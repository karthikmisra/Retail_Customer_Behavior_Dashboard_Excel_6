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K:\Data Analyst Coding_Ninjas_2025\1.Microsoft Excel\11.Summary_Data_Analysis-II\DIY\2.Behaviour Analytics Enchncement project\"/>
    </mc:Choice>
  </mc:AlternateContent>
  <xr:revisionPtr revIDLastSave="0" documentId="8_{D2F349ED-19DF-479D-9CA1-216D707CB65F}" xr6:coauthVersionLast="47" xr6:coauthVersionMax="47" xr10:uidLastSave="{00000000-0000-0000-0000-000000000000}"/>
  <bookViews>
    <workbookView xWindow="-110" yWindow="-110" windowWidth="19420" windowHeight="10300" xr2:uid="{D2049BA2-7156-4B08-85F5-0EA0E9333C8F}"/>
  </bookViews>
  <sheets>
    <sheet name="customer_dataset" sheetId="2" r:id="rId1"/>
    <sheet name="purchase_dataset" sheetId="4" r:id="rId2"/>
    <sheet name="Pivot" sheetId="3" r:id="rId3"/>
    <sheet name="Dashboard" sheetId="5" r:id="rId4"/>
  </sheets>
  <definedNames>
    <definedName name="_xlnm._FilterDatabase" localSheetId="0" hidden="1">'customer_dataset'!$O$2:$Q$2242</definedName>
    <definedName name="ExternalData_1" localSheetId="0" hidden="1">'customer_dataset'!$A$2:$J$2244</definedName>
    <definedName name="ExternalData_1" localSheetId="1" hidden="1">purchase_dataset!$A$1:$F$2441</definedName>
    <definedName name="Slicer_AGE_GROUP">#N/A</definedName>
    <definedName name="Slicer_Education">#N/A</definedName>
    <definedName name="Slicer_Income">#N/A</definedName>
    <definedName name="Slicer_Kidhome">#N/A</definedName>
    <definedName name="Slicer_Marital_Status">#N/A</definedName>
    <definedName name="Slicer_TOTAL_PURCHASE">#N/A</definedName>
    <definedName name="Slicer_Year_Birth">#N/A</definedName>
  </definedNames>
  <calcPr calcId="191029"/>
  <pivotCaches>
    <pivotCache cacheId="49" r:id="rId5"/>
    <pivotCache cacheId="7" r:id="rId6"/>
    <pivotCache cacheId="34" r:id="rId7"/>
    <pivotCache cacheId="48"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 i="3" l="1" a="1"/>
  <c r="I13" i="3" s="1"/>
  <c r="H13" i="3" a="1"/>
  <c r="H13" i="3" s="1"/>
  <c r="G13" i="3" a="1"/>
  <c r="G13" i="3" s="1"/>
  <c r="F14" i="3"/>
  <c r="F15" i="3"/>
  <c r="F16" i="3"/>
  <c r="F17" i="3"/>
  <c r="F13" i="3"/>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3" i="2"/>
  <c r="U4" i="2" a="1"/>
  <c r="U4" i="2"/>
  <c r="U5" i="2" a="1"/>
  <c r="U5" i="2" s="1"/>
  <c r="U6" i="2" a="1"/>
  <c r="U6" i="2"/>
  <c r="U7" i="2" a="1"/>
  <c r="U7" i="2"/>
  <c r="U8" i="2" a="1"/>
  <c r="U8" i="2" s="1"/>
  <c r="U9" i="2" a="1"/>
  <c r="U9" i="2" s="1"/>
  <c r="U10" i="2" a="1"/>
  <c r="U10" i="2" s="1"/>
  <c r="U11" i="2" a="1"/>
  <c r="U11" i="2" s="1"/>
  <c r="U12" i="2" a="1"/>
  <c r="U12" i="2"/>
  <c r="U13" i="2" a="1"/>
  <c r="U13" i="2" s="1"/>
  <c r="U14" i="2" a="1"/>
  <c r="U14" i="2" s="1"/>
  <c r="U15" i="2" a="1"/>
  <c r="U15" i="2" s="1"/>
  <c r="U16" i="2" a="1"/>
  <c r="U16" i="2"/>
  <c r="U17" i="2" a="1"/>
  <c r="U17" i="2" s="1"/>
  <c r="U18" i="2" a="1"/>
  <c r="U18" i="2" s="1"/>
  <c r="U19" i="2" a="1"/>
  <c r="U19" i="2" s="1"/>
  <c r="U20" i="2" a="1"/>
  <c r="U20" i="2" s="1"/>
  <c r="U21" i="2" a="1"/>
  <c r="U21" i="2"/>
  <c r="U22" i="2" a="1"/>
  <c r="U22" i="2" s="1"/>
  <c r="U23" i="2" a="1"/>
  <c r="U23" i="2" s="1"/>
  <c r="U24" i="2" a="1"/>
  <c r="U24" i="2" s="1"/>
  <c r="U25" i="2" a="1"/>
  <c r="U25" i="2" s="1"/>
  <c r="U26" i="2" a="1"/>
  <c r="U26" i="2"/>
  <c r="U27" i="2" a="1"/>
  <c r="U27" i="2" s="1"/>
  <c r="U28" i="2" a="1"/>
  <c r="U28" i="2" s="1"/>
  <c r="U29" i="2" a="1"/>
  <c r="U29" i="2" s="1"/>
  <c r="U30" i="2" a="1"/>
  <c r="U30" i="2" s="1"/>
  <c r="U31" i="2" a="1"/>
  <c r="U31" i="2" s="1"/>
  <c r="U32" i="2" a="1"/>
  <c r="U32" i="2" s="1"/>
  <c r="U33" i="2" a="1"/>
  <c r="U33" i="2" s="1"/>
  <c r="U34" i="2" a="1"/>
  <c r="U34" i="2" s="1"/>
  <c r="U35" i="2" a="1"/>
  <c r="U35" i="2" s="1"/>
  <c r="U36" i="2" a="1"/>
  <c r="U36" i="2" s="1"/>
  <c r="U37" i="2" a="1"/>
  <c r="U37" i="2"/>
  <c r="U38" i="2" a="1"/>
  <c r="U38" i="2" s="1"/>
  <c r="U39" i="2" a="1"/>
  <c r="U39" i="2"/>
  <c r="U40" i="2" a="1"/>
  <c r="U40" i="2" s="1"/>
  <c r="U41" i="2" a="1"/>
  <c r="U41" i="2" s="1"/>
  <c r="U42" i="2" a="1"/>
  <c r="U42" i="2"/>
  <c r="U43" i="2" a="1"/>
  <c r="U43" i="2" s="1"/>
  <c r="U44" i="2" a="1"/>
  <c r="U44" i="2" s="1"/>
  <c r="U45" i="2" a="1"/>
  <c r="U45" i="2"/>
  <c r="U46" i="2" a="1"/>
  <c r="U46" i="2"/>
  <c r="U47" i="2" a="1"/>
  <c r="U47" i="2" s="1"/>
  <c r="U48" i="2" a="1"/>
  <c r="U48" i="2"/>
  <c r="U49" i="2" a="1"/>
  <c r="U49" i="2"/>
  <c r="U50" i="2" a="1"/>
  <c r="U50" i="2"/>
  <c r="U51" i="2" a="1"/>
  <c r="U51" i="2" s="1"/>
  <c r="U52" i="2" a="1"/>
  <c r="U52" i="2" s="1"/>
  <c r="U53" i="2" a="1"/>
  <c r="U53" i="2" s="1"/>
  <c r="U54" i="2" a="1"/>
  <c r="U54" i="2" s="1"/>
  <c r="U55" i="2" a="1"/>
  <c r="U55" i="2" s="1"/>
  <c r="U56" i="2" a="1"/>
  <c r="U56" i="2" s="1"/>
  <c r="U57" i="2" a="1"/>
  <c r="U57" i="2" s="1"/>
  <c r="U58" i="2" a="1"/>
  <c r="U58" i="2" s="1"/>
  <c r="U59" i="2" a="1"/>
  <c r="U59" i="2" s="1"/>
  <c r="U60" i="2" a="1"/>
  <c r="U60" i="2" s="1"/>
  <c r="U61" i="2" a="1"/>
  <c r="U61" i="2" s="1"/>
  <c r="U62" i="2" a="1"/>
  <c r="U62" i="2" s="1"/>
  <c r="U63" i="2" a="1"/>
  <c r="U63" i="2" s="1"/>
  <c r="U64" i="2" a="1"/>
  <c r="U64" i="2" s="1"/>
  <c r="U65" i="2" a="1"/>
  <c r="U65" i="2" s="1"/>
  <c r="U66" i="2" a="1"/>
  <c r="U66" i="2" s="1"/>
  <c r="U67" i="2" a="1"/>
  <c r="U67" i="2"/>
  <c r="U68" i="2" a="1"/>
  <c r="U68" i="2" s="1"/>
  <c r="U69" i="2" a="1"/>
  <c r="U69" i="2" s="1"/>
  <c r="U70" i="2" a="1"/>
  <c r="U70" i="2" s="1"/>
  <c r="U71" i="2" a="1"/>
  <c r="U71" i="2" s="1"/>
  <c r="U72" i="2" a="1"/>
  <c r="U72" i="2" s="1"/>
  <c r="U73" i="2" a="1"/>
  <c r="U73" i="2" s="1"/>
  <c r="U74" i="2" a="1"/>
  <c r="U74" i="2" s="1"/>
  <c r="U75" i="2" a="1"/>
  <c r="U75" i="2"/>
  <c r="U76" i="2" a="1"/>
  <c r="U76" i="2"/>
  <c r="U77" i="2" a="1"/>
  <c r="U77" i="2" s="1"/>
  <c r="U78" i="2" a="1"/>
  <c r="U78" i="2" s="1"/>
  <c r="U79" i="2" a="1"/>
  <c r="U79" i="2" s="1"/>
  <c r="U80" i="2" a="1"/>
  <c r="U80" i="2" s="1"/>
  <c r="U81" i="2" a="1"/>
  <c r="U81" i="2" s="1"/>
  <c r="U82" i="2" a="1"/>
  <c r="U82" i="2" s="1"/>
  <c r="U83" i="2" a="1"/>
  <c r="U83" i="2" s="1"/>
  <c r="U84" i="2" a="1"/>
  <c r="U84" i="2" s="1"/>
  <c r="U85" i="2" a="1"/>
  <c r="U85" i="2" s="1"/>
  <c r="U86" i="2" a="1"/>
  <c r="U86" i="2"/>
  <c r="U87" i="2" a="1"/>
  <c r="U87" i="2" s="1"/>
  <c r="U88" i="2" a="1"/>
  <c r="U88" i="2" s="1"/>
  <c r="U89" i="2" a="1"/>
  <c r="U89" i="2" s="1"/>
  <c r="U90" i="2" a="1"/>
  <c r="U90" i="2"/>
  <c r="U91" i="2" a="1"/>
  <c r="U91" i="2" s="1"/>
  <c r="U92" i="2" a="1"/>
  <c r="U92" i="2" s="1"/>
  <c r="U93" i="2" a="1"/>
  <c r="U93" i="2"/>
  <c r="U94" i="2" a="1"/>
  <c r="U94" i="2" s="1"/>
  <c r="U95" i="2" a="1"/>
  <c r="U95" i="2" s="1"/>
  <c r="U96" i="2" a="1"/>
  <c r="U96" i="2" s="1"/>
  <c r="U97" i="2" a="1"/>
  <c r="U97" i="2" s="1"/>
  <c r="U98" i="2" a="1"/>
  <c r="U98" i="2" s="1"/>
  <c r="U99" i="2" a="1"/>
  <c r="U99" i="2" s="1"/>
  <c r="U100" i="2" a="1"/>
  <c r="U100" i="2" s="1"/>
  <c r="U101" i="2" a="1"/>
  <c r="U101" i="2" s="1"/>
  <c r="U102" i="2" a="1"/>
  <c r="U102" i="2" s="1"/>
  <c r="U103" i="2" a="1"/>
  <c r="U103" i="2" s="1"/>
  <c r="U104" i="2" a="1"/>
  <c r="U104" i="2" s="1"/>
  <c r="U105" i="2" a="1"/>
  <c r="U105" i="2"/>
  <c r="U106" i="2" a="1"/>
  <c r="U106" i="2" s="1"/>
  <c r="U107" i="2" a="1"/>
  <c r="U107" i="2" s="1"/>
  <c r="U108" i="2" a="1"/>
  <c r="U108" i="2" s="1"/>
  <c r="U109" i="2" a="1"/>
  <c r="U109" i="2" s="1"/>
  <c r="U110" i="2" a="1"/>
  <c r="U110" i="2" s="1"/>
  <c r="U111" i="2" a="1"/>
  <c r="U111" i="2" s="1"/>
  <c r="U112" i="2" a="1"/>
  <c r="U112" i="2" s="1"/>
  <c r="U113" i="2" a="1"/>
  <c r="U113" i="2" s="1"/>
  <c r="U114" i="2" a="1"/>
  <c r="U114" i="2" s="1"/>
  <c r="U115" i="2" a="1"/>
  <c r="U115" i="2" s="1"/>
  <c r="U116" i="2" a="1"/>
  <c r="U116" i="2" s="1"/>
  <c r="U117" i="2" a="1"/>
  <c r="U117" i="2" s="1"/>
  <c r="U118" i="2" a="1"/>
  <c r="U118" i="2" s="1"/>
  <c r="U119" i="2" a="1"/>
  <c r="U119" i="2" s="1"/>
  <c r="U120" i="2" a="1"/>
  <c r="U120" i="2"/>
  <c r="U121" i="2" a="1"/>
  <c r="U121" i="2"/>
  <c r="U122" i="2" a="1"/>
  <c r="U122" i="2" s="1"/>
  <c r="U123" i="2" a="1"/>
  <c r="U123" i="2" s="1"/>
  <c r="U124" i="2" a="1"/>
  <c r="U124" i="2" s="1"/>
  <c r="U125" i="2" a="1"/>
  <c r="U125" i="2" s="1"/>
  <c r="U126" i="2" a="1"/>
  <c r="U126" i="2" s="1"/>
  <c r="U127" i="2" a="1"/>
  <c r="U127" i="2" s="1"/>
  <c r="U128" i="2" a="1"/>
  <c r="U128" i="2" s="1"/>
  <c r="U129" i="2" a="1"/>
  <c r="U129" i="2" s="1"/>
  <c r="U130" i="2" a="1"/>
  <c r="U130" i="2" s="1"/>
  <c r="U131" i="2" a="1"/>
  <c r="U131" i="2" s="1"/>
  <c r="U132" i="2" a="1"/>
  <c r="U132" i="2"/>
  <c r="U133" i="2" a="1"/>
  <c r="U133" i="2" s="1"/>
  <c r="U134" i="2" a="1"/>
  <c r="U134" i="2" s="1"/>
  <c r="U135" i="2" a="1"/>
  <c r="U135" i="2" s="1"/>
  <c r="U136" i="2" a="1"/>
  <c r="U136" i="2" s="1"/>
  <c r="U137" i="2" a="1"/>
  <c r="U137" i="2" s="1"/>
  <c r="U138" i="2" a="1"/>
  <c r="U138" i="2" s="1"/>
  <c r="U139" i="2" a="1"/>
  <c r="U139" i="2" s="1"/>
  <c r="U140" i="2" a="1"/>
  <c r="U140" i="2"/>
  <c r="U141" i="2" a="1"/>
  <c r="U141" i="2" s="1"/>
  <c r="U142" i="2" a="1"/>
  <c r="U142" i="2" s="1"/>
  <c r="U143" i="2" a="1"/>
  <c r="U143" i="2" s="1"/>
  <c r="U144" i="2" a="1"/>
  <c r="U144" i="2" s="1"/>
  <c r="U145" i="2" a="1"/>
  <c r="U145" i="2" s="1"/>
  <c r="U146" i="2" a="1"/>
  <c r="U146" i="2" s="1"/>
  <c r="U147" i="2" a="1"/>
  <c r="U147" i="2" s="1"/>
  <c r="U148" i="2" a="1"/>
  <c r="U148" i="2" s="1"/>
  <c r="U149" i="2" a="1"/>
  <c r="U149" i="2" s="1"/>
  <c r="U150" i="2" a="1"/>
  <c r="U150" i="2"/>
  <c r="U151" i="2" a="1"/>
  <c r="U151" i="2" s="1"/>
  <c r="U152" i="2" a="1"/>
  <c r="U152" i="2" s="1"/>
  <c r="U153" i="2" a="1"/>
  <c r="U153" i="2" s="1"/>
  <c r="U154" i="2" a="1"/>
  <c r="U154" i="2" s="1"/>
  <c r="U155" i="2" a="1"/>
  <c r="U155" i="2" s="1"/>
  <c r="U156" i="2" a="1"/>
  <c r="U156" i="2" s="1"/>
  <c r="U157" i="2" a="1"/>
  <c r="U157" i="2" s="1"/>
  <c r="U158" i="2" a="1"/>
  <c r="U158" i="2" s="1"/>
  <c r="U159" i="2" a="1"/>
  <c r="U159" i="2"/>
  <c r="U160" i="2" a="1"/>
  <c r="U160" i="2" s="1"/>
  <c r="U161" i="2" a="1"/>
  <c r="U161" i="2" s="1"/>
  <c r="U162" i="2" a="1"/>
  <c r="U162" i="2" s="1"/>
  <c r="U163" i="2" a="1"/>
  <c r="U163" i="2" s="1"/>
  <c r="U164" i="2" a="1"/>
  <c r="U164" i="2"/>
  <c r="U165" i="2" a="1"/>
  <c r="U165" i="2" s="1"/>
  <c r="U166" i="2" a="1"/>
  <c r="U166" i="2" s="1"/>
  <c r="U167" i="2" a="1"/>
  <c r="U167" i="2" s="1"/>
  <c r="U168" i="2" a="1"/>
  <c r="U168" i="2"/>
  <c r="U169" i="2" a="1"/>
  <c r="U169" i="2" s="1"/>
  <c r="U170" i="2" a="1"/>
  <c r="U170" i="2" s="1"/>
  <c r="U171" i="2" a="1"/>
  <c r="U171" i="2"/>
  <c r="U172" i="2" a="1"/>
  <c r="U172" i="2"/>
  <c r="U173" i="2" a="1"/>
  <c r="U173" i="2" s="1"/>
  <c r="U174" i="2" a="1"/>
  <c r="U174" i="2" s="1"/>
  <c r="U175" i="2" a="1"/>
  <c r="U175" i="2" s="1"/>
  <c r="U176" i="2" a="1"/>
  <c r="U176" i="2" s="1"/>
  <c r="U177" i="2" a="1"/>
  <c r="U177" i="2" s="1"/>
  <c r="U178" i="2" a="1"/>
  <c r="U178" i="2" s="1"/>
  <c r="U179" i="2" a="1"/>
  <c r="U179" i="2" s="1"/>
  <c r="U180" i="2" a="1"/>
  <c r="U180" i="2"/>
  <c r="U181" i="2" a="1"/>
  <c r="U181" i="2" s="1"/>
  <c r="U182" i="2" a="1"/>
  <c r="U182" i="2" s="1"/>
  <c r="U183" i="2" a="1"/>
  <c r="U183" i="2" s="1"/>
  <c r="U184" i="2" a="1"/>
  <c r="U184" i="2" s="1"/>
  <c r="U185" i="2" a="1"/>
  <c r="U185" i="2" s="1"/>
  <c r="U186" i="2" a="1"/>
  <c r="U186" i="2" s="1"/>
  <c r="U187" i="2" a="1"/>
  <c r="U187" i="2" s="1"/>
  <c r="U188" i="2" a="1"/>
  <c r="U188" i="2" s="1"/>
  <c r="U189" i="2" a="1"/>
  <c r="U189" i="2"/>
  <c r="U190" i="2" a="1"/>
  <c r="U190" i="2" s="1"/>
  <c r="U191" i="2" a="1"/>
  <c r="U191" i="2" s="1"/>
  <c r="U192" i="2" a="1"/>
  <c r="U192" i="2" s="1"/>
  <c r="U193" i="2" a="1"/>
  <c r="U193" i="2" s="1"/>
  <c r="U194" i="2" a="1"/>
  <c r="U194" i="2" s="1"/>
  <c r="U195" i="2" a="1"/>
  <c r="U195" i="2" s="1"/>
  <c r="U196" i="2" a="1"/>
  <c r="U196" i="2" s="1"/>
  <c r="U197" i="2" a="1"/>
  <c r="U197" i="2" s="1"/>
  <c r="U198" i="2" a="1"/>
  <c r="U198" i="2" s="1"/>
  <c r="U199" i="2" a="1"/>
  <c r="U199" i="2" s="1"/>
  <c r="U200" i="2" a="1"/>
  <c r="U200" i="2" s="1"/>
  <c r="U201" i="2" a="1"/>
  <c r="U201" i="2" s="1"/>
  <c r="U202" i="2" a="1"/>
  <c r="U202" i="2"/>
  <c r="U203" i="2" a="1"/>
  <c r="U203" i="2" s="1"/>
  <c r="U204" i="2" a="1"/>
  <c r="U204" i="2" s="1"/>
  <c r="U205" i="2" a="1"/>
  <c r="U205" i="2" s="1"/>
  <c r="U206" i="2" a="1"/>
  <c r="U206" i="2" s="1"/>
  <c r="U207" i="2" a="1"/>
  <c r="U207" i="2" s="1"/>
  <c r="U208" i="2" a="1"/>
  <c r="U208" i="2" s="1"/>
  <c r="U209" i="2" a="1"/>
  <c r="U209" i="2" s="1"/>
  <c r="U210" i="2" a="1"/>
  <c r="U210" i="2"/>
  <c r="U211" i="2" a="1"/>
  <c r="U211" i="2" s="1"/>
  <c r="U212" i="2" a="1"/>
  <c r="U212" i="2" s="1"/>
  <c r="U213" i="2" a="1"/>
  <c r="U213" i="2" s="1"/>
  <c r="U214" i="2" a="1"/>
  <c r="U214" i="2" s="1"/>
  <c r="U215" i="2" a="1"/>
  <c r="U215" i="2" s="1"/>
  <c r="U216" i="2" a="1"/>
  <c r="U216" i="2" s="1"/>
  <c r="U217" i="2" a="1"/>
  <c r="U217" i="2"/>
  <c r="U218" i="2" a="1"/>
  <c r="U218" i="2"/>
  <c r="U219" i="2" a="1"/>
  <c r="U219" i="2"/>
  <c r="U220" i="2" a="1"/>
  <c r="U220" i="2" s="1"/>
  <c r="U221" i="2" a="1"/>
  <c r="U221" i="2" s="1"/>
  <c r="U222" i="2" a="1"/>
  <c r="U222" i="2" s="1"/>
  <c r="U223" i="2" a="1"/>
  <c r="U223" i="2" s="1"/>
  <c r="U224" i="2" a="1"/>
  <c r="U224" i="2" s="1"/>
  <c r="U225" i="2" a="1"/>
  <c r="U225" i="2" s="1"/>
  <c r="U226" i="2" a="1"/>
  <c r="U226" i="2" s="1"/>
  <c r="U227" i="2" a="1"/>
  <c r="U227" i="2" s="1"/>
  <c r="U228" i="2" a="1"/>
  <c r="U228" i="2" s="1"/>
  <c r="U229" i="2" a="1"/>
  <c r="U229" i="2" s="1"/>
  <c r="U230" i="2" a="1"/>
  <c r="U230" i="2" s="1"/>
  <c r="U231" i="2" a="1"/>
  <c r="U231" i="2" s="1"/>
  <c r="U232" i="2" a="1"/>
  <c r="U232" i="2" s="1"/>
  <c r="U233" i="2" a="1"/>
  <c r="U233" i="2" s="1"/>
  <c r="U234" i="2" a="1"/>
  <c r="U234" i="2" s="1"/>
  <c r="U235" i="2" a="1"/>
  <c r="U235" i="2" s="1"/>
  <c r="U236" i="2" a="1"/>
  <c r="U236" i="2" s="1"/>
  <c r="U237" i="2" a="1"/>
  <c r="U237" i="2"/>
  <c r="U238" i="2" a="1"/>
  <c r="U238" i="2" s="1"/>
  <c r="U239" i="2" a="1"/>
  <c r="U239" i="2" s="1"/>
  <c r="U240" i="2" a="1"/>
  <c r="U240" i="2" s="1"/>
  <c r="U241" i="2" a="1"/>
  <c r="U241" i="2" s="1"/>
  <c r="U242" i="2" a="1"/>
  <c r="U242" i="2" s="1"/>
  <c r="U243" i="2" a="1"/>
  <c r="U243" i="2"/>
  <c r="U244" i="2" a="1"/>
  <c r="U244" i="2" s="1"/>
  <c r="U245" i="2" a="1"/>
  <c r="U245" i="2" s="1"/>
  <c r="U246" i="2" a="1"/>
  <c r="U246" i="2" s="1"/>
  <c r="U247" i="2" a="1"/>
  <c r="U247" i="2"/>
  <c r="U248" i="2" a="1"/>
  <c r="U248" i="2" s="1"/>
  <c r="U249" i="2" a="1"/>
  <c r="U249" i="2" s="1"/>
  <c r="U250" i="2" a="1"/>
  <c r="U250" i="2" s="1"/>
  <c r="U251" i="2" a="1"/>
  <c r="U251" i="2" s="1"/>
  <c r="U252" i="2" a="1"/>
  <c r="U252" i="2" s="1"/>
  <c r="U253" i="2" a="1"/>
  <c r="U253" i="2"/>
  <c r="U254" i="2" a="1"/>
  <c r="U254" i="2" s="1"/>
  <c r="U255" i="2" a="1"/>
  <c r="U255" i="2" s="1"/>
  <c r="U256" i="2" a="1"/>
  <c r="U256" i="2" s="1"/>
  <c r="U257" i="2" a="1"/>
  <c r="U257" i="2" s="1"/>
  <c r="U258" i="2" a="1"/>
  <c r="U258" i="2" s="1"/>
  <c r="U259" i="2" a="1"/>
  <c r="U259" i="2" s="1"/>
  <c r="U260" i="2" a="1"/>
  <c r="U260" i="2" s="1"/>
  <c r="U261" i="2" a="1"/>
  <c r="U261" i="2" s="1"/>
  <c r="U262" i="2" a="1"/>
  <c r="U262" i="2" s="1"/>
  <c r="U263" i="2" a="1"/>
  <c r="U263" i="2" s="1"/>
  <c r="U264" i="2" a="1"/>
  <c r="U264" i="2" s="1"/>
  <c r="U265" i="2" a="1"/>
  <c r="U265" i="2" s="1"/>
  <c r="U266" i="2" a="1"/>
  <c r="U266" i="2"/>
  <c r="U267" i="2" a="1"/>
  <c r="U267" i="2" s="1"/>
  <c r="U268" i="2" a="1"/>
  <c r="U268" i="2" s="1"/>
  <c r="U269" i="2" a="1"/>
  <c r="U269" i="2" s="1"/>
  <c r="U270" i="2" a="1"/>
  <c r="U270" i="2" s="1"/>
  <c r="U271" i="2" a="1"/>
  <c r="U271" i="2" s="1"/>
  <c r="U272" i="2" a="1"/>
  <c r="U272" i="2" s="1"/>
  <c r="U273" i="2" a="1"/>
  <c r="U273" i="2" s="1"/>
  <c r="U274" i="2" a="1"/>
  <c r="U274" i="2" s="1"/>
  <c r="U275" i="2" a="1"/>
  <c r="U275" i="2" s="1"/>
  <c r="U276" i="2" a="1"/>
  <c r="U276" i="2" s="1"/>
  <c r="U277" i="2" a="1"/>
  <c r="U277" i="2" s="1"/>
  <c r="U278" i="2" a="1"/>
  <c r="U278" i="2"/>
  <c r="U279" i="2" a="1"/>
  <c r="U279" i="2" s="1"/>
  <c r="U280" i="2" a="1"/>
  <c r="U280" i="2" s="1"/>
  <c r="U281" i="2" a="1"/>
  <c r="U281" i="2" s="1"/>
  <c r="U282" i="2" a="1"/>
  <c r="U282" i="2" s="1"/>
  <c r="U283" i="2" a="1"/>
  <c r="U283" i="2" s="1"/>
  <c r="U284" i="2" a="1"/>
  <c r="U284" i="2" s="1"/>
  <c r="U285" i="2" a="1"/>
  <c r="U285" i="2" s="1"/>
  <c r="U286" i="2" a="1"/>
  <c r="U286" i="2" s="1"/>
  <c r="U287" i="2" a="1"/>
  <c r="U287" i="2" s="1"/>
  <c r="U288" i="2" a="1"/>
  <c r="U288" i="2"/>
  <c r="U289" i="2" a="1"/>
  <c r="U289" i="2" s="1"/>
  <c r="U290" i="2" a="1"/>
  <c r="U290" i="2" s="1"/>
  <c r="U291" i="2" a="1"/>
  <c r="U291" i="2" s="1"/>
  <c r="U292" i="2" a="1"/>
  <c r="U292" i="2" s="1"/>
  <c r="U293" i="2" a="1"/>
  <c r="U293" i="2" s="1"/>
  <c r="U294" i="2" a="1"/>
  <c r="U294" i="2" s="1"/>
  <c r="U295" i="2" a="1"/>
  <c r="U295" i="2"/>
  <c r="U296" i="2" a="1"/>
  <c r="U296" i="2" s="1"/>
  <c r="U297" i="2" a="1"/>
  <c r="U297" i="2"/>
  <c r="U298" i="2" a="1"/>
  <c r="U298" i="2" s="1"/>
  <c r="U299" i="2" a="1"/>
  <c r="U299" i="2" s="1"/>
  <c r="U300" i="2" a="1"/>
  <c r="U300" i="2" s="1"/>
  <c r="U301" i="2" a="1"/>
  <c r="U301" i="2" s="1"/>
  <c r="U302" i="2" a="1"/>
  <c r="U302" i="2" s="1"/>
  <c r="U303" i="2" a="1"/>
  <c r="U303" i="2" s="1"/>
  <c r="U304" i="2" a="1"/>
  <c r="U304" i="2" s="1"/>
  <c r="U305" i="2" a="1"/>
  <c r="U305" i="2" s="1"/>
  <c r="U306" i="2" a="1"/>
  <c r="U306" i="2" s="1"/>
  <c r="U307" i="2" a="1"/>
  <c r="U307" i="2"/>
  <c r="U308" i="2" a="1"/>
  <c r="U308" i="2" s="1"/>
  <c r="U309" i="2" a="1"/>
  <c r="U309" i="2" s="1"/>
  <c r="U310" i="2" a="1"/>
  <c r="U310" i="2" s="1"/>
  <c r="U311" i="2" a="1"/>
  <c r="U311" i="2" s="1"/>
  <c r="U312" i="2" a="1"/>
  <c r="U312" i="2"/>
  <c r="U313" i="2" a="1"/>
  <c r="U313" i="2"/>
  <c r="U314" i="2" a="1"/>
  <c r="U314" i="2"/>
  <c r="U315" i="2" a="1"/>
  <c r="U315" i="2" s="1"/>
  <c r="U316" i="2" a="1"/>
  <c r="U316" i="2" s="1"/>
  <c r="U317" i="2" a="1"/>
  <c r="U317" i="2" s="1"/>
  <c r="U318" i="2" a="1"/>
  <c r="U318" i="2" s="1"/>
  <c r="U319" i="2" a="1"/>
  <c r="U319" i="2" s="1"/>
  <c r="U320" i="2" a="1"/>
  <c r="U320" i="2" s="1"/>
  <c r="U321" i="2" a="1"/>
  <c r="U321" i="2"/>
  <c r="U322" i="2" a="1"/>
  <c r="U322" i="2" s="1"/>
  <c r="U323" i="2" a="1"/>
  <c r="U323" i="2" s="1"/>
  <c r="U324" i="2" a="1"/>
  <c r="U324" i="2"/>
  <c r="U325" i="2" a="1"/>
  <c r="U325" i="2" s="1"/>
  <c r="U326" i="2" a="1"/>
  <c r="U326" i="2" s="1"/>
  <c r="U327" i="2" a="1"/>
  <c r="U327" i="2" s="1"/>
  <c r="U328" i="2" a="1"/>
  <c r="U328" i="2" s="1"/>
  <c r="U329" i="2" a="1"/>
  <c r="U329" i="2" s="1"/>
  <c r="U330" i="2" a="1"/>
  <c r="U330" i="2" s="1"/>
  <c r="U331" i="2" a="1"/>
  <c r="U331" i="2" s="1"/>
  <c r="U332" i="2" a="1"/>
  <c r="U332" i="2" s="1"/>
  <c r="U333" i="2" a="1"/>
  <c r="U333" i="2" s="1"/>
  <c r="U334" i="2" a="1"/>
  <c r="U334" i="2" s="1"/>
  <c r="U335" i="2" a="1"/>
  <c r="U335" i="2" s="1"/>
  <c r="U336" i="2" a="1"/>
  <c r="U336" i="2" s="1"/>
  <c r="U337" i="2" a="1"/>
  <c r="U337" i="2" s="1"/>
  <c r="U338" i="2" a="1"/>
  <c r="U338" i="2" s="1"/>
  <c r="U339" i="2" a="1"/>
  <c r="U339" i="2" s="1"/>
  <c r="U340" i="2" a="1"/>
  <c r="U340" i="2" s="1"/>
  <c r="U341" i="2" a="1"/>
  <c r="U341" i="2" s="1"/>
  <c r="U342" i="2" a="1"/>
  <c r="U342" i="2" s="1"/>
  <c r="U343" i="2" a="1"/>
  <c r="U343" i="2" s="1"/>
  <c r="U344" i="2" a="1"/>
  <c r="U344" i="2" s="1"/>
  <c r="U345" i="2" a="1"/>
  <c r="U345" i="2"/>
  <c r="U346" i="2" a="1"/>
  <c r="U346" i="2" s="1"/>
  <c r="U347" i="2" a="1"/>
  <c r="U347" i="2" s="1"/>
  <c r="U348" i="2" a="1"/>
  <c r="U348" i="2" s="1"/>
  <c r="U349" i="2" a="1"/>
  <c r="U349" i="2" s="1"/>
  <c r="U350" i="2" a="1"/>
  <c r="U350" i="2"/>
  <c r="U351" i="2" a="1"/>
  <c r="U351" i="2"/>
  <c r="U352" i="2" a="1"/>
  <c r="U352" i="2" s="1"/>
  <c r="U353" i="2" a="1"/>
  <c r="U353" i="2" s="1"/>
  <c r="U354" i="2" a="1"/>
  <c r="U354" i="2" s="1"/>
  <c r="U355" i="2" a="1"/>
  <c r="U355" i="2" s="1"/>
  <c r="U356" i="2" a="1"/>
  <c r="U356" i="2" s="1"/>
  <c r="U357" i="2" a="1"/>
  <c r="U357" i="2" s="1"/>
  <c r="U358" i="2" a="1"/>
  <c r="U358" i="2" s="1"/>
  <c r="U359" i="2" a="1"/>
  <c r="U359" i="2" s="1"/>
  <c r="U360" i="2" a="1"/>
  <c r="U360" i="2" s="1"/>
  <c r="U361" i="2" a="1"/>
  <c r="U361" i="2" s="1"/>
  <c r="U362" i="2" a="1"/>
  <c r="U362" i="2" s="1"/>
  <c r="U363" i="2" a="1"/>
  <c r="U363" i="2" s="1"/>
  <c r="U364" i="2" a="1"/>
  <c r="U364" i="2" s="1"/>
  <c r="U365" i="2" a="1"/>
  <c r="U365" i="2" s="1"/>
  <c r="U366" i="2" a="1"/>
  <c r="U366" i="2" s="1"/>
  <c r="U367" i="2" a="1"/>
  <c r="U367" i="2"/>
  <c r="U368" i="2" a="1"/>
  <c r="U368" i="2" s="1"/>
  <c r="U369" i="2" a="1"/>
  <c r="U369" i="2"/>
  <c r="U370" i="2" a="1"/>
  <c r="U370" i="2" s="1"/>
  <c r="U371" i="2" a="1"/>
  <c r="U371" i="2" s="1"/>
  <c r="U372" i="2" a="1"/>
  <c r="U372" i="2" s="1"/>
  <c r="U373" i="2" a="1"/>
  <c r="U373" i="2" s="1"/>
  <c r="U374" i="2" a="1"/>
  <c r="U374" i="2" s="1"/>
  <c r="U375" i="2" a="1"/>
  <c r="U375" i="2" s="1"/>
  <c r="U376" i="2" a="1"/>
  <c r="U376" i="2" s="1"/>
  <c r="U377" i="2" a="1"/>
  <c r="U377" i="2" s="1"/>
  <c r="U378" i="2" a="1"/>
  <c r="U378" i="2" s="1"/>
  <c r="U379" i="2" a="1"/>
  <c r="U379" i="2"/>
  <c r="U380" i="2" a="1"/>
  <c r="U380" i="2" s="1"/>
  <c r="U381" i="2" a="1"/>
  <c r="U381" i="2" s="1"/>
  <c r="U382" i="2" a="1"/>
  <c r="U382" i="2" s="1"/>
  <c r="U383" i="2" a="1"/>
  <c r="U383" i="2" s="1"/>
  <c r="U384" i="2" a="1"/>
  <c r="U384" i="2" s="1"/>
  <c r="U385" i="2" a="1"/>
  <c r="U385" i="2" s="1"/>
  <c r="U386" i="2" a="1"/>
  <c r="U386" i="2" s="1"/>
  <c r="U387" i="2" a="1"/>
  <c r="U387" i="2"/>
  <c r="U388" i="2" a="1"/>
  <c r="U388" i="2" s="1"/>
  <c r="U389" i="2" a="1"/>
  <c r="U389" i="2" s="1"/>
  <c r="U390" i="2" a="1"/>
  <c r="U390" i="2" s="1"/>
  <c r="U391" i="2" a="1"/>
  <c r="U391" i="2" s="1"/>
  <c r="U392" i="2" a="1"/>
  <c r="U392" i="2" s="1"/>
  <c r="U393" i="2" a="1"/>
  <c r="U393" i="2" s="1"/>
  <c r="U394" i="2" a="1"/>
  <c r="U394" i="2"/>
  <c r="U395" i="2" a="1"/>
  <c r="U395" i="2" s="1"/>
  <c r="U396" i="2" a="1"/>
  <c r="U396" i="2" s="1"/>
  <c r="U397" i="2" a="1"/>
  <c r="U397" i="2" s="1"/>
  <c r="U398" i="2" a="1"/>
  <c r="U398" i="2" s="1"/>
  <c r="U399" i="2" a="1"/>
  <c r="U399" i="2" s="1"/>
  <c r="U400" i="2" a="1"/>
  <c r="U400" i="2" s="1"/>
  <c r="U401" i="2" a="1"/>
  <c r="U401" i="2" s="1"/>
  <c r="U402" i="2" a="1"/>
  <c r="U402" i="2" s="1"/>
  <c r="U403" i="2" a="1"/>
  <c r="U403" i="2" s="1"/>
  <c r="U404" i="2" a="1"/>
  <c r="U404" i="2" s="1"/>
  <c r="U405" i="2" a="1"/>
  <c r="U405" i="2" s="1"/>
  <c r="U406" i="2" a="1"/>
  <c r="U406" i="2"/>
  <c r="U407" i="2" a="1"/>
  <c r="U407" i="2" s="1"/>
  <c r="U408" i="2" a="1"/>
  <c r="U408" i="2" s="1"/>
  <c r="U409" i="2" a="1"/>
  <c r="U409" i="2" s="1"/>
  <c r="U410" i="2" a="1"/>
  <c r="U410" i="2" s="1"/>
  <c r="U411" i="2" a="1"/>
  <c r="U411" i="2" s="1"/>
  <c r="U412" i="2" a="1"/>
  <c r="U412" i="2" s="1"/>
  <c r="U413" i="2" a="1"/>
  <c r="U413" i="2" s="1"/>
  <c r="U414" i="2" a="1"/>
  <c r="U414" i="2" s="1"/>
  <c r="U415" i="2" a="1"/>
  <c r="U415" i="2"/>
  <c r="U416" i="2" a="1"/>
  <c r="U416" i="2" s="1"/>
  <c r="U417" i="2" a="1"/>
  <c r="U417" i="2" s="1"/>
  <c r="U418" i="2" a="1"/>
  <c r="U418" i="2" s="1"/>
  <c r="U419" i="2" a="1"/>
  <c r="U419" i="2" s="1"/>
  <c r="U420" i="2" a="1"/>
  <c r="U420" i="2" s="1"/>
  <c r="U421" i="2" a="1"/>
  <c r="U421" i="2" s="1"/>
  <c r="U422" i="2" a="1"/>
  <c r="U422" i="2" s="1"/>
  <c r="U423" i="2" a="1"/>
  <c r="U423" i="2" s="1"/>
  <c r="U424" i="2" a="1"/>
  <c r="U424" i="2" s="1"/>
  <c r="U425" i="2" a="1"/>
  <c r="U425" i="2" s="1"/>
  <c r="U426" i="2" a="1"/>
  <c r="U426" i="2" s="1"/>
  <c r="U427" i="2" a="1"/>
  <c r="U427" i="2"/>
  <c r="U428" i="2" a="1"/>
  <c r="U428" i="2" s="1"/>
  <c r="U429" i="2" a="1"/>
  <c r="U429" i="2" s="1"/>
  <c r="U430" i="2" a="1"/>
  <c r="U430" i="2" s="1"/>
  <c r="U431" i="2" a="1"/>
  <c r="U431" i="2" s="1"/>
  <c r="U432" i="2" a="1"/>
  <c r="U432" i="2" s="1"/>
  <c r="U433" i="2" a="1"/>
  <c r="U433" i="2" s="1"/>
  <c r="U434" i="2" a="1"/>
  <c r="U434" i="2"/>
  <c r="U435" i="2" a="1"/>
  <c r="U435" i="2" s="1"/>
  <c r="U436" i="2" a="1"/>
  <c r="U436" i="2" s="1"/>
  <c r="U437" i="2" a="1"/>
  <c r="U437" i="2" s="1"/>
  <c r="U438" i="2" a="1"/>
  <c r="U438" i="2" s="1"/>
  <c r="U439" i="2" a="1"/>
  <c r="U439" i="2" s="1"/>
  <c r="U440" i="2" a="1"/>
  <c r="U440" i="2" s="1"/>
  <c r="U441" i="2" a="1"/>
  <c r="U441" i="2" s="1"/>
  <c r="U442" i="2" a="1"/>
  <c r="U442" i="2" s="1"/>
  <c r="U443" i="2" a="1"/>
  <c r="U443" i="2" s="1"/>
  <c r="U444" i="2" a="1"/>
  <c r="U444" i="2"/>
  <c r="U445" i="2" a="1"/>
  <c r="U445" i="2" s="1"/>
  <c r="U446" i="2" a="1"/>
  <c r="U446" i="2" s="1"/>
  <c r="U447" i="2" a="1"/>
  <c r="U447" i="2"/>
  <c r="U448" i="2" a="1"/>
  <c r="U448" i="2" s="1"/>
  <c r="U449" i="2" a="1"/>
  <c r="U449" i="2" s="1"/>
  <c r="U450" i="2" a="1"/>
  <c r="U450" i="2"/>
  <c r="U451" i="2" a="1"/>
  <c r="U451" i="2" s="1"/>
  <c r="U452" i="2" a="1"/>
  <c r="U452" i="2" s="1"/>
  <c r="U453" i="2" a="1"/>
  <c r="U453" i="2" s="1"/>
  <c r="U454" i="2" a="1"/>
  <c r="U454" i="2" s="1"/>
  <c r="U455" i="2" a="1"/>
  <c r="U455" i="2" s="1"/>
  <c r="U456" i="2" a="1"/>
  <c r="U456" i="2" s="1"/>
  <c r="U457" i="2" a="1"/>
  <c r="U457" i="2" s="1"/>
  <c r="U458" i="2" a="1"/>
  <c r="U458" i="2" s="1"/>
  <c r="U459" i="2" a="1"/>
  <c r="U459" i="2" s="1"/>
  <c r="U460" i="2" a="1"/>
  <c r="U460" i="2" s="1"/>
  <c r="U461" i="2" a="1"/>
  <c r="U461" i="2" s="1"/>
  <c r="U462" i="2" a="1"/>
  <c r="U462" i="2" s="1"/>
  <c r="U463" i="2" a="1"/>
  <c r="U463" i="2"/>
  <c r="U464" i="2" a="1"/>
  <c r="U464" i="2" s="1"/>
  <c r="U465" i="2" a="1"/>
  <c r="U465" i="2" s="1"/>
  <c r="U466" i="2" a="1"/>
  <c r="U466" i="2" s="1"/>
  <c r="U467" i="2" a="1"/>
  <c r="U467" i="2" s="1"/>
  <c r="U468" i="2" a="1"/>
  <c r="U468" i="2" s="1"/>
  <c r="U469" i="2" a="1"/>
  <c r="U469" i="2" s="1"/>
  <c r="U470" i="2" a="1"/>
  <c r="U470" i="2"/>
  <c r="U471" i="2" a="1"/>
  <c r="U471" i="2" s="1"/>
  <c r="U472" i="2" a="1"/>
  <c r="U472" i="2"/>
  <c r="U473" i="2" a="1"/>
  <c r="U473" i="2" s="1"/>
  <c r="U474" i="2" a="1"/>
  <c r="U474" i="2" s="1"/>
  <c r="U475" i="2" a="1"/>
  <c r="U475" i="2" s="1"/>
  <c r="U476" i="2" a="1"/>
  <c r="U476" i="2"/>
  <c r="U477" i="2" a="1"/>
  <c r="U477" i="2" s="1"/>
  <c r="U478" i="2" a="1"/>
  <c r="U478" i="2" s="1"/>
  <c r="U479" i="2" a="1"/>
  <c r="U479" i="2" s="1"/>
  <c r="U480" i="2" a="1"/>
  <c r="U480" i="2" s="1"/>
  <c r="U481" i="2" a="1"/>
  <c r="U481" i="2" s="1"/>
  <c r="U482" i="2" a="1"/>
  <c r="U482" i="2" s="1"/>
  <c r="U483" i="2" a="1"/>
  <c r="U483" i="2" s="1"/>
  <c r="U484" i="2" a="1"/>
  <c r="U484" i="2" s="1"/>
  <c r="U485" i="2" a="1"/>
  <c r="U485" i="2" s="1"/>
  <c r="U486" i="2" a="1"/>
  <c r="U486" i="2" s="1"/>
  <c r="U487" i="2" a="1"/>
  <c r="U487" i="2"/>
  <c r="U488" i="2" a="1"/>
  <c r="U488" i="2" s="1"/>
  <c r="U489" i="2" a="1"/>
  <c r="U489" i="2" s="1"/>
  <c r="U490" i="2" a="1"/>
  <c r="U490" i="2" s="1"/>
  <c r="U491" i="2" a="1"/>
  <c r="U491" i="2" s="1"/>
  <c r="U492" i="2" a="1"/>
  <c r="U492" i="2" s="1"/>
  <c r="U493" i="2" a="1"/>
  <c r="U493" i="2" s="1"/>
  <c r="U494" i="2" a="1"/>
  <c r="U494" i="2" s="1"/>
  <c r="U495" i="2" a="1"/>
  <c r="U495" i="2"/>
  <c r="U496" i="2" a="1"/>
  <c r="U496" i="2"/>
  <c r="U497" i="2" a="1"/>
  <c r="U497" i="2" s="1"/>
  <c r="U498" i="2" a="1"/>
  <c r="U498" i="2" s="1"/>
  <c r="U499" i="2" a="1"/>
  <c r="U499" i="2" s="1"/>
  <c r="U500" i="2" a="1"/>
  <c r="U500" i="2" s="1"/>
  <c r="U501" i="2" a="1"/>
  <c r="U501" i="2" s="1"/>
  <c r="U502" i="2" a="1"/>
  <c r="U502" i="2"/>
  <c r="U503" i="2" a="1"/>
  <c r="U503" i="2" s="1"/>
  <c r="U504" i="2" a="1"/>
  <c r="U504" i="2"/>
  <c r="U505" i="2" a="1"/>
  <c r="U505" i="2" s="1"/>
  <c r="U506" i="2" a="1"/>
  <c r="U506" i="2"/>
  <c r="U507" i="2" a="1"/>
  <c r="U507" i="2" s="1"/>
  <c r="U508" i="2" a="1"/>
  <c r="U508" i="2" s="1"/>
  <c r="U509" i="2" a="1"/>
  <c r="U509" i="2" s="1"/>
  <c r="U510" i="2" a="1"/>
  <c r="U510" i="2" s="1"/>
  <c r="U511" i="2" a="1"/>
  <c r="U511" i="2" s="1"/>
  <c r="U512" i="2" a="1"/>
  <c r="U512" i="2" s="1"/>
  <c r="U513" i="2" a="1"/>
  <c r="U513" i="2" s="1"/>
  <c r="U514" i="2" a="1"/>
  <c r="U514" i="2" s="1"/>
  <c r="U515" i="2" a="1"/>
  <c r="U515" i="2" s="1"/>
  <c r="U516" i="2" a="1"/>
  <c r="U516" i="2" s="1"/>
  <c r="U517" i="2" a="1"/>
  <c r="U517" i="2" s="1"/>
  <c r="U518" i="2" a="1"/>
  <c r="U518" i="2" s="1"/>
  <c r="U519" i="2" a="1"/>
  <c r="U519" i="2" s="1"/>
  <c r="U520" i="2" a="1"/>
  <c r="U520" i="2" s="1"/>
  <c r="U521" i="2" a="1"/>
  <c r="U521" i="2" s="1"/>
  <c r="U522" i="2" a="1"/>
  <c r="U522" i="2" s="1"/>
  <c r="U523" i="2" a="1"/>
  <c r="U523" i="2" s="1"/>
  <c r="U524" i="2" a="1"/>
  <c r="U524" i="2" s="1"/>
  <c r="U525" i="2" a="1"/>
  <c r="U525" i="2" s="1"/>
  <c r="U526" i="2" a="1"/>
  <c r="U526" i="2" s="1"/>
  <c r="U527" i="2" a="1"/>
  <c r="U527" i="2" s="1"/>
  <c r="U528" i="2" a="1"/>
  <c r="U528" i="2" s="1"/>
  <c r="U529" i="2" a="1"/>
  <c r="U529" i="2" s="1"/>
  <c r="U530" i="2" a="1"/>
  <c r="U530" i="2" s="1"/>
  <c r="U531" i="2" a="1"/>
  <c r="U531" i="2" s="1"/>
  <c r="U532" i="2" a="1"/>
  <c r="U532" i="2" s="1"/>
  <c r="U533" i="2" a="1"/>
  <c r="U533" i="2"/>
  <c r="U534" i="2" a="1"/>
  <c r="U534" i="2" s="1"/>
  <c r="U535" i="2" a="1"/>
  <c r="U535" i="2" s="1"/>
  <c r="U536" i="2" a="1"/>
  <c r="U536" i="2" s="1"/>
  <c r="U537" i="2" a="1"/>
  <c r="U537" i="2" s="1"/>
  <c r="U538" i="2" a="1"/>
  <c r="U538" i="2" s="1"/>
  <c r="U539" i="2" a="1"/>
  <c r="U539" i="2"/>
  <c r="U540" i="2" a="1"/>
  <c r="U540" i="2" s="1"/>
  <c r="U541" i="2" a="1"/>
  <c r="U541" i="2"/>
  <c r="U542" i="2" a="1"/>
  <c r="U542" i="2" s="1"/>
  <c r="U543" i="2" a="1"/>
  <c r="U543" i="2" s="1"/>
  <c r="U544" i="2" a="1"/>
  <c r="U544" i="2" s="1"/>
  <c r="U545" i="2" a="1"/>
  <c r="U545" i="2" s="1"/>
  <c r="U546" i="2" a="1"/>
  <c r="U546" i="2" s="1"/>
  <c r="U547" i="2" a="1"/>
  <c r="U547" i="2" s="1"/>
  <c r="U548" i="2" a="1"/>
  <c r="U548" i="2" s="1"/>
  <c r="U549" i="2" a="1"/>
  <c r="U549" i="2" s="1"/>
  <c r="U550" i="2" a="1"/>
  <c r="U550" i="2" s="1"/>
  <c r="U551" i="2" a="1"/>
  <c r="U551" i="2" s="1"/>
  <c r="U552" i="2" a="1"/>
  <c r="U552" i="2" s="1"/>
  <c r="U553" i="2" a="1"/>
  <c r="U553" i="2" s="1"/>
  <c r="U554" i="2" a="1"/>
  <c r="U554" i="2" s="1"/>
  <c r="U555" i="2" a="1"/>
  <c r="U555" i="2" s="1"/>
  <c r="U556" i="2" a="1"/>
  <c r="U556" i="2" s="1"/>
  <c r="U557" i="2" a="1"/>
  <c r="U557" i="2" s="1"/>
  <c r="U558" i="2" a="1"/>
  <c r="U558" i="2" s="1"/>
  <c r="U559" i="2" a="1"/>
  <c r="U559" i="2" s="1"/>
  <c r="U560" i="2" a="1"/>
  <c r="U560" i="2" s="1"/>
  <c r="U561" i="2" a="1"/>
  <c r="U561" i="2" s="1"/>
  <c r="U562" i="2" a="1"/>
  <c r="U562" i="2" s="1"/>
  <c r="U563" i="2" a="1"/>
  <c r="U563" i="2" s="1"/>
  <c r="U564" i="2" a="1"/>
  <c r="U564" i="2" s="1"/>
  <c r="U565" i="2" a="1"/>
  <c r="U565" i="2" s="1"/>
  <c r="U566" i="2" a="1"/>
  <c r="U566" i="2" s="1"/>
  <c r="U567" i="2" a="1"/>
  <c r="U567" i="2" s="1"/>
  <c r="U568" i="2" a="1"/>
  <c r="U568" i="2" s="1"/>
  <c r="U569" i="2" a="1"/>
  <c r="U569" i="2" s="1"/>
  <c r="U570" i="2" a="1"/>
  <c r="U570" i="2" s="1"/>
  <c r="U571" i="2" a="1"/>
  <c r="U571" i="2" s="1"/>
  <c r="U572" i="2" a="1"/>
  <c r="U572" i="2"/>
  <c r="U573" i="2" a="1"/>
  <c r="U573" i="2" s="1"/>
  <c r="U574" i="2" a="1"/>
  <c r="U574" i="2" s="1"/>
  <c r="U575" i="2" a="1"/>
  <c r="U575" i="2" s="1"/>
  <c r="U576" i="2" a="1"/>
  <c r="U576" i="2" s="1"/>
  <c r="U577" i="2" a="1"/>
  <c r="U577" i="2" s="1"/>
  <c r="U578" i="2" a="1"/>
  <c r="U578" i="2" s="1"/>
  <c r="U579" i="2" a="1"/>
  <c r="U579" i="2" s="1"/>
  <c r="U580" i="2" a="1"/>
  <c r="U580" i="2" s="1"/>
  <c r="U581" i="2" a="1"/>
  <c r="U581" i="2" s="1"/>
  <c r="U582" i="2" a="1"/>
  <c r="U582" i="2"/>
  <c r="U583" i="2" a="1"/>
  <c r="U583" i="2" s="1"/>
  <c r="U584" i="2" a="1"/>
  <c r="U584" i="2" s="1"/>
  <c r="U585" i="2" a="1"/>
  <c r="U585" i="2" s="1"/>
  <c r="U586" i="2" a="1"/>
  <c r="U586" i="2" s="1"/>
  <c r="U587" i="2" a="1"/>
  <c r="U587" i="2"/>
  <c r="U588" i="2" a="1"/>
  <c r="U588" i="2" s="1"/>
  <c r="U589" i="2" a="1"/>
  <c r="U589" i="2" s="1"/>
  <c r="U590" i="2" a="1"/>
  <c r="U590" i="2" s="1"/>
  <c r="U591" i="2" a="1"/>
  <c r="U591" i="2" s="1"/>
  <c r="U592" i="2" a="1"/>
  <c r="U592" i="2" s="1"/>
  <c r="U593" i="2" a="1"/>
  <c r="U593" i="2"/>
  <c r="U594" i="2" a="1"/>
  <c r="U594" i="2" s="1"/>
  <c r="U595" i="2" a="1"/>
  <c r="U595" i="2" s="1"/>
  <c r="U596" i="2" a="1"/>
  <c r="U596" i="2"/>
  <c r="U597" i="2" a="1"/>
  <c r="U597" i="2" s="1"/>
  <c r="U598" i="2" a="1"/>
  <c r="U598" i="2" s="1"/>
  <c r="U599" i="2" a="1"/>
  <c r="U599" i="2" s="1"/>
  <c r="U600" i="2" a="1"/>
  <c r="U600" i="2" s="1"/>
  <c r="U601" i="2" a="1"/>
  <c r="U601" i="2"/>
  <c r="U602" i="2" a="1"/>
  <c r="U602" i="2" s="1"/>
  <c r="U603" i="2" a="1"/>
  <c r="U603" i="2" s="1"/>
  <c r="U604" i="2" a="1"/>
  <c r="U604" i="2" s="1"/>
  <c r="U605" i="2" a="1"/>
  <c r="U605" i="2" s="1"/>
  <c r="U606" i="2" a="1"/>
  <c r="U606" i="2" s="1"/>
  <c r="U607" i="2" a="1"/>
  <c r="U607" i="2" s="1"/>
  <c r="U608" i="2" a="1"/>
  <c r="U608" i="2" s="1"/>
  <c r="U609" i="2" a="1"/>
  <c r="U609" i="2" s="1"/>
  <c r="U610" i="2" a="1"/>
  <c r="U610" i="2" s="1"/>
  <c r="U611" i="2" a="1"/>
  <c r="U611" i="2" s="1"/>
  <c r="U612" i="2" a="1"/>
  <c r="U612" i="2" s="1"/>
  <c r="U613" i="2" a="1"/>
  <c r="U613" i="2" s="1"/>
  <c r="U614" i="2" a="1"/>
  <c r="U614" i="2" s="1"/>
  <c r="U615" i="2" a="1"/>
  <c r="U615" i="2"/>
  <c r="U616" i="2" a="1"/>
  <c r="U616" i="2" s="1"/>
  <c r="U617" i="2" a="1"/>
  <c r="U617" i="2" s="1"/>
  <c r="U618" i="2" a="1"/>
  <c r="U618" i="2" s="1"/>
  <c r="U619" i="2" a="1"/>
  <c r="U619" i="2" s="1"/>
  <c r="U620" i="2" a="1"/>
  <c r="U620" i="2" s="1"/>
  <c r="U621" i="2" a="1"/>
  <c r="U621" i="2" s="1"/>
  <c r="U622" i="2" a="1"/>
  <c r="U622" i="2" s="1"/>
  <c r="U623" i="2" a="1"/>
  <c r="U623" i="2"/>
  <c r="U624" i="2" a="1"/>
  <c r="U624" i="2" s="1"/>
  <c r="U625" i="2" a="1"/>
  <c r="U625" i="2" s="1"/>
  <c r="U626" i="2" a="1"/>
  <c r="U626" i="2"/>
  <c r="U627" i="2" a="1"/>
  <c r="U627" i="2" s="1"/>
  <c r="U628" i="2" a="1"/>
  <c r="U628" i="2" s="1"/>
  <c r="U629" i="2" a="1"/>
  <c r="U629" i="2" s="1"/>
  <c r="U630" i="2" a="1"/>
  <c r="U630" i="2"/>
  <c r="U631" i="2" a="1"/>
  <c r="U631" i="2"/>
  <c r="U632" i="2" a="1"/>
  <c r="U632" i="2" s="1"/>
  <c r="U633" i="2" a="1"/>
  <c r="U633" i="2" s="1"/>
  <c r="U634" i="2" a="1"/>
  <c r="U634" i="2" s="1"/>
  <c r="U635" i="2" a="1"/>
  <c r="U635" i="2" s="1"/>
  <c r="U636" i="2" a="1"/>
  <c r="U636" i="2" s="1"/>
  <c r="U637" i="2" a="1"/>
  <c r="U637" i="2"/>
  <c r="U638" i="2" a="1"/>
  <c r="U638" i="2" s="1"/>
  <c r="U639" i="2" a="1"/>
  <c r="U639" i="2" s="1"/>
  <c r="U640" i="2" a="1"/>
  <c r="U640" i="2" s="1"/>
  <c r="U641" i="2" a="1"/>
  <c r="U641" i="2"/>
  <c r="U642" i="2" a="1"/>
  <c r="U642" i="2" s="1"/>
  <c r="U643" i="2" a="1"/>
  <c r="U643" i="2" s="1"/>
  <c r="U644" i="2" a="1"/>
  <c r="U644" i="2" s="1"/>
  <c r="U645" i="2" a="1"/>
  <c r="U645" i="2" s="1"/>
  <c r="U646" i="2" a="1"/>
  <c r="U646" i="2" s="1"/>
  <c r="U647" i="2" a="1"/>
  <c r="U647" i="2" s="1"/>
  <c r="U648" i="2" a="1"/>
  <c r="U648" i="2"/>
  <c r="U649" i="2" a="1"/>
  <c r="U649" i="2"/>
  <c r="U650" i="2" a="1"/>
  <c r="U650" i="2"/>
  <c r="U651" i="2" a="1"/>
  <c r="U651" i="2" s="1"/>
  <c r="U652" i="2" a="1"/>
  <c r="U652" i="2" s="1"/>
  <c r="U653" i="2" a="1"/>
  <c r="U653" i="2" s="1"/>
  <c r="U654" i="2" a="1"/>
  <c r="U654" i="2" s="1"/>
  <c r="U655" i="2" a="1"/>
  <c r="U655" i="2"/>
  <c r="U656" i="2" a="1"/>
  <c r="U656" i="2" s="1"/>
  <c r="U657" i="2" a="1"/>
  <c r="U657" i="2" s="1"/>
  <c r="U658" i="2" a="1"/>
  <c r="U658" i="2" s="1"/>
  <c r="U659" i="2" a="1"/>
  <c r="U659" i="2" s="1"/>
  <c r="U660" i="2" a="1"/>
  <c r="U660" i="2" s="1"/>
  <c r="U661" i="2" a="1"/>
  <c r="U661" i="2"/>
  <c r="U662" i="2" a="1"/>
  <c r="U662" i="2" s="1"/>
  <c r="U663" i="2" a="1"/>
  <c r="U663" i="2" s="1"/>
  <c r="U664" i="2" a="1"/>
  <c r="U664" i="2" s="1"/>
  <c r="U665" i="2" a="1"/>
  <c r="U665" i="2"/>
  <c r="U666" i="2" a="1"/>
  <c r="U666" i="2" s="1"/>
  <c r="U667" i="2" a="1"/>
  <c r="U667" i="2" s="1"/>
  <c r="U668" i="2" a="1"/>
  <c r="U668" i="2" s="1"/>
  <c r="U669" i="2" a="1"/>
  <c r="U669" i="2" s="1"/>
  <c r="U670" i="2" a="1"/>
  <c r="U670" i="2" s="1"/>
  <c r="U671" i="2" a="1"/>
  <c r="U671" i="2" s="1"/>
  <c r="U672" i="2" a="1"/>
  <c r="U672" i="2" s="1"/>
  <c r="U673" i="2" a="1"/>
  <c r="U673" i="2" s="1"/>
  <c r="U674" i="2" a="1"/>
  <c r="U674" i="2"/>
  <c r="U675" i="2" a="1"/>
  <c r="U675" i="2" s="1"/>
  <c r="U676" i="2" a="1"/>
  <c r="U676" i="2" s="1"/>
  <c r="U677" i="2" a="1"/>
  <c r="U677" i="2" s="1"/>
  <c r="U678" i="2" a="1"/>
  <c r="U678" i="2" s="1"/>
  <c r="U679" i="2" a="1"/>
  <c r="U679" i="2" s="1"/>
  <c r="U680" i="2" a="1"/>
  <c r="U680" i="2" s="1"/>
  <c r="U681" i="2" a="1"/>
  <c r="U681" i="2"/>
  <c r="U682" i="2" a="1"/>
  <c r="U682" i="2" s="1"/>
  <c r="U683" i="2" a="1"/>
  <c r="U683" i="2"/>
  <c r="U684" i="2" a="1"/>
  <c r="U684" i="2" s="1"/>
  <c r="U685" i="2" a="1"/>
  <c r="U685" i="2" s="1"/>
  <c r="U686" i="2" a="1"/>
  <c r="U686" i="2"/>
  <c r="U687" i="2" a="1"/>
  <c r="U687" i="2" s="1"/>
  <c r="U688" i="2" a="1"/>
  <c r="U688" i="2" s="1"/>
  <c r="U689" i="2" a="1"/>
  <c r="U689" i="2" s="1"/>
  <c r="U690" i="2" a="1"/>
  <c r="U690" i="2" s="1"/>
  <c r="U691" i="2" a="1"/>
  <c r="U691" i="2" s="1"/>
  <c r="U692" i="2" a="1"/>
  <c r="U692" i="2" s="1"/>
  <c r="U693" i="2" a="1"/>
  <c r="U693" i="2" s="1"/>
  <c r="U694" i="2" a="1"/>
  <c r="U694" i="2" s="1"/>
  <c r="U695" i="2" a="1"/>
  <c r="U695" i="2" s="1"/>
  <c r="U696" i="2" a="1"/>
  <c r="U696" i="2" s="1"/>
  <c r="U697" i="2" a="1"/>
  <c r="U697" i="2" s="1"/>
  <c r="U698" i="2" a="1"/>
  <c r="U698" i="2"/>
  <c r="U699" i="2" a="1"/>
  <c r="U699" i="2" s="1"/>
  <c r="U700" i="2" a="1"/>
  <c r="U700" i="2" s="1"/>
  <c r="U701" i="2" a="1"/>
  <c r="U701" i="2" s="1"/>
  <c r="U702" i="2" a="1"/>
  <c r="U702" i="2" s="1"/>
  <c r="U703" i="2" a="1"/>
  <c r="U703" i="2" s="1"/>
  <c r="U704" i="2" a="1"/>
  <c r="U704" i="2" s="1"/>
  <c r="U705" i="2" a="1"/>
  <c r="U705" i="2" s="1"/>
  <c r="U706" i="2" a="1"/>
  <c r="U706" i="2" s="1"/>
  <c r="U707" i="2" a="1"/>
  <c r="U707" i="2" s="1"/>
  <c r="U708" i="2" a="1"/>
  <c r="U708" i="2" s="1"/>
  <c r="U709" i="2" a="1"/>
  <c r="U709" i="2" s="1"/>
  <c r="U710" i="2" a="1"/>
  <c r="U710" i="2" s="1"/>
  <c r="U711" i="2" a="1"/>
  <c r="U711" i="2"/>
  <c r="U712" i="2" a="1"/>
  <c r="U712" i="2" s="1"/>
  <c r="U713" i="2" a="1"/>
  <c r="U713" i="2" s="1"/>
  <c r="U714" i="2" a="1"/>
  <c r="U714" i="2" s="1"/>
  <c r="U715" i="2" a="1"/>
  <c r="U715" i="2" s="1"/>
  <c r="U716" i="2" a="1"/>
  <c r="U716" i="2"/>
  <c r="U717" i="2" a="1"/>
  <c r="U717" i="2" s="1"/>
  <c r="U718" i="2" a="1"/>
  <c r="U718" i="2" s="1"/>
  <c r="U719" i="2" a="1"/>
  <c r="U719" i="2" s="1"/>
  <c r="U720" i="2" a="1"/>
  <c r="U720" i="2" s="1"/>
  <c r="U721" i="2" a="1"/>
  <c r="U721" i="2" s="1"/>
  <c r="U722" i="2" a="1"/>
  <c r="U722" i="2" s="1"/>
  <c r="U723" i="2" a="1"/>
  <c r="U723" i="2" s="1"/>
  <c r="U724" i="2" a="1"/>
  <c r="U724" i="2" s="1"/>
  <c r="U725" i="2" a="1"/>
  <c r="U725" i="2" s="1"/>
  <c r="U726" i="2" a="1"/>
  <c r="U726" i="2" s="1"/>
  <c r="U727" i="2" a="1"/>
  <c r="U727" i="2" s="1"/>
  <c r="U728" i="2" a="1"/>
  <c r="U728" i="2" s="1"/>
  <c r="U729" i="2" a="1"/>
  <c r="U729" i="2" s="1"/>
  <c r="U730" i="2" a="1"/>
  <c r="U730" i="2" s="1"/>
  <c r="U731" i="2" a="1"/>
  <c r="U731" i="2" s="1"/>
  <c r="U732" i="2" a="1"/>
  <c r="U732" i="2" s="1"/>
  <c r="U733" i="2" a="1"/>
  <c r="U733" i="2" s="1"/>
  <c r="U734" i="2" a="1"/>
  <c r="U734" i="2" s="1"/>
  <c r="U735" i="2" a="1"/>
  <c r="U735" i="2" s="1"/>
  <c r="U736" i="2" a="1"/>
  <c r="U736" i="2" s="1"/>
  <c r="U737" i="2" a="1"/>
  <c r="U737" i="2"/>
  <c r="U738" i="2" a="1"/>
  <c r="U738" i="2"/>
  <c r="U739" i="2" a="1"/>
  <c r="U739" i="2" s="1"/>
  <c r="U740" i="2" a="1"/>
  <c r="U740" i="2" s="1"/>
  <c r="U741" i="2" a="1"/>
  <c r="U741" i="2"/>
  <c r="U742" i="2" a="1"/>
  <c r="U742" i="2" s="1"/>
  <c r="U743" i="2" a="1"/>
  <c r="U743" i="2" s="1"/>
  <c r="U744" i="2" a="1"/>
  <c r="U744" i="2"/>
  <c r="U745" i="2" a="1"/>
  <c r="U745" i="2" s="1"/>
  <c r="U746" i="2" a="1"/>
  <c r="U746" i="2" s="1"/>
  <c r="U747" i="2" a="1"/>
  <c r="U747" i="2"/>
  <c r="U748" i="2" a="1"/>
  <c r="U748" i="2" s="1"/>
  <c r="U749" i="2" a="1"/>
  <c r="U749" i="2" s="1"/>
  <c r="U750" i="2" a="1"/>
  <c r="U750" i="2"/>
  <c r="U751" i="2" a="1"/>
  <c r="U751" i="2" s="1"/>
  <c r="U752" i="2" a="1"/>
  <c r="U752" i="2"/>
  <c r="U753" i="2" a="1"/>
  <c r="U753" i="2" s="1"/>
  <c r="U754" i="2" a="1"/>
  <c r="U754" i="2" s="1"/>
  <c r="U755" i="2" a="1"/>
  <c r="U755" i="2" s="1"/>
  <c r="U756" i="2" a="1"/>
  <c r="U756" i="2" s="1"/>
  <c r="U757" i="2" a="1"/>
  <c r="U757" i="2"/>
  <c r="U758" i="2" a="1"/>
  <c r="U758" i="2" s="1"/>
  <c r="U759" i="2" a="1"/>
  <c r="U759" i="2" s="1"/>
  <c r="U760" i="2" a="1"/>
  <c r="U760" i="2" s="1"/>
  <c r="U761" i="2" a="1"/>
  <c r="U761" i="2"/>
  <c r="U762" i="2" a="1"/>
  <c r="U762" i="2" s="1"/>
  <c r="U763" i="2" a="1"/>
  <c r="U763" i="2" s="1"/>
  <c r="U764" i="2" a="1"/>
  <c r="U764" i="2" s="1"/>
  <c r="U765" i="2" a="1"/>
  <c r="U765" i="2"/>
  <c r="U766" i="2" a="1"/>
  <c r="U766" i="2" s="1"/>
  <c r="U767" i="2" a="1"/>
  <c r="U767" i="2"/>
  <c r="U768" i="2" a="1"/>
  <c r="U768" i="2" s="1"/>
  <c r="U769" i="2" a="1"/>
  <c r="U769" i="2" s="1"/>
  <c r="U770" i="2" a="1"/>
  <c r="U770" i="2" s="1"/>
  <c r="U771" i="2" a="1"/>
  <c r="U771" i="2" s="1"/>
  <c r="U772" i="2" a="1"/>
  <c r="U772" i="2" s="1"/>
  <c r="U773" i="2" a="1"/>
  <c r="U773" i="2" s="1"/>
  <c r="U774" i="2" a="1"/>
  <c r="U774" i="2" s="1"/>
  <c r="U775" i="2" a="1"/>
  <c r="U775" i="2" s="1"/>
  <c r="U776" i="2" a="1"/>
  <c r="U776" i="2" s="1"/>
  <c r="U777" i="2" a="1"/>
  <c r="U777" i="2" s="1"/>
  <c r="U778" i="2" a="1"/>
  <c r="U778" i="2" s="1"/>
  <c r="U779" i="2" a="1"/>
  <c r="U779" i="2" s="1"/>
  <c r="U780" i="2" a="1"/>
  <c r="U780" i="2" s="1"/>
  <c r="U781" i="2" a="1"/>
  <c r="U781" i="2" s="1"/>
  <c r="U782" i="2" a="1"/>
  <c r="U782" i="2" s="1"/>
  <c r="U783" i="2" a="1"/>
  <c r="U783" i="2"/>
  <c r="U784" i="2" a="1"/>
  <c r="U784" i="2" s="1"/>
  <c r="U785" i="2" a="1"/>
  <c r="U785" i="2" s="1"/>
  <c r="U786" i="2" a="1"/>
  <c r="U786" i="2" s="1"/>
  <c r="U787" i="2" a="1"/>
  <c r="U787" i="2" s="1"/>
  <c r="U788" i="2" a="1"/>
  <c r="U788" i="2"/>
  <c r="U789" i="2" a="1"/>
  <c r="U789" i="2" s="1"/>
  <c r="U790" i="2" a="1"/>
  <c r="U790" i="2" s="1"/>
  <c r="U791" i="2" a="1"/>
  <c r="U791" i="2" s="1"/>
  <c r="U792" i="2" a="1"/>
  <c r="U792" i="2" s="1"/>
  <c r="U793" i="2" a="1"/>
  <c r="U793" i="2" s="1"/>
  <c r="U794" i="2" a="1"/>
  <c r="U794" i="2" s="1"/>
  <c r="U795" i="2" a="1"/>
  <c r="U795" i="2" s="1"/>
  <c r="U796" i="2" a="1"/>
  <c r="U796" i="2" s="1"/>
  <c r="U797" i="2" a="1"/>
  <c r="U797" i="2" s="1"/>
  <c r="U798" i="2" a="1"/>
  <c r="U798" i="2" s="1"/>
  <c r="U799" i="2" a="1"/>
  <c r="U799" i="2" s="1"/>
  <c r="U800" i="2" a="1"/>
  <c r="U800" i="2"/>
  <c r="U801" i="2" a="1"/>
  <c r="U801" i="2" s="1"/>
  <c r="U802" i="2" a="1"/>
  <c r="U802" i="2" s="1"/>
  <c r="U803" i="2" a="1"/>
  <c r="U803" i="2" s="1"/>
  <c r="U804" i="2" a="1"/>
  <c r="U804" i="2" s="1"/>
  <c r="U805" i="2" a="1"/>
  <c r="U805" i="2" s="1"/>
  <c r="U806" i="2" a="1"/>
  <c r="U806" i="2" s="1"/>
  <c r="U807" i="2" a="1"/>
  <c r="U807" i="2" s="1"/>
  <c r="U808" i="2" a="1"/>
  <c r="U808" i="2" s="1"/>
  <c r="U809" i="2" a="1"/>
  <c r="U809" i="2" s="1"/>
  <c r="U810" i="2" a="1"/>
  <c r="U810" i="2" s="1"/>
  <c r="U811" i="2" a="1"/>
  <c r="U811" i="2" s="1"/>
  <c r="U812" i="2" a="1"/>
  <c r="U812" i="2"/>
  <c r="U813" i="2" a="1"/>
  <c r="U813" i="2" s="1"/>
  <c r="U814" i="2" a="1"/>
  <c r="U814" i="2" s="1"/>
  <c r="U815" i="2" a="1"/>
  <c r="U815" i="2" s="1"/>
  <c r="U816" i="2" a="1"/>
  <c r="U816" i="2" s="1"/>
  <c r="U817" i="2" a="1"/>
  <c r="U817" i="2" s="1"/>
  <c r="U818" i="2" a="1"/>
  <c r="U818" i="2" s="1"/>
  <c r="U819" i="2" a="1"/>
  <c r="U819" i="2" s="1"/>
  <c r="U820" i="2" a="1"/>
  <c r="U820" i="2" s="1"/>
  <c r="U821" i="2" a="1"/>
  <c r="U821" i="2" s="1"/>
  <c r="U822" i="2" a="1"/>
  <c r="U822" i="2" s="1"/>
  <c r="U823" i="2" a="1"/>
  <c r="U823" i="2" s="1"/>
  <c r="U824" i="2" a="1"/>
  <c r="U824" i="2" s="1"/>
  <c r="U825" i="2" a="1"/>
  <c r="U825" i="2" s="1"/>
  <c r="U826" i="2" a="1"/>
  <c r="U826" i="2"/>
  <c r="U827" i="2" a="1"/>
  <c r="U827" i="2" s="1"/>
  <c r="U828" i="2" a="1"/>
  <c r="U828" i="2" s="1"/>
  <c r="U829" i="2" a="1"/>
  <c r="U829" i="2" s="1"/>
  <c r="U830" i="2" a="1"/>
  <c r="U830" i="2" s="1"/>
  <c r="U831" i="2" a="1"/>
  <c r="U831" i="2" s="1"/>
  <c r="U832" i="2" a="1"/>
  <c r="U832" i="2" s="1"/>
  <c r="U833" i="2" a="1"/>
  <c r="U833" i="2"/>
  <c r="U834" i="2" a="1"/>
  <c r="U834" i="2"/>
  <c r="U835" i="2" a="1"/>
  <c r="U835" i="2" s="1"/>
  <c r="U836" i="2" a="1"/>
  <c r="U836" i="2" s="1"/>
  <c r="U837" i="2" a="1"/>
  <c r="U837" i="2" s="1"/>
  <c r="U838" i="2" a="1"/>
  <c r="U838" i="2"/>
  <c r="U839" i="2" a="1"/>
  <c r="U839" i="2" s="1"/>
  <c r="U840" i="2" a="1"/>
  <c r="U840" i="2" s="1"/>
  <c r="U841" i="2" a="1"/>
  <c r="U841" i="2" s="1"/>
  <c r="U842" i="2" a="1"/>
  <c r="U842" i="2" s="1"/>
  <c r="U843" i="2" a="1"/>
  <c r="U843" i="2" s="1"/>
  <c r="U844" i="2" a="1"/>
  <c r="U844" i="2"/>
  <c r="U845" i="2" a="1"/>
  <c r="U845" i="2" s="1"/>
  <c r="U846" i="2" a="1"/>
  <c r="U846" i="2" s="1"/>
  <c r="U847" i="2" a="1"/>
  <c r="U847" i="2" s="1"/>
  <c r="U848" i="2" a="1"/>
  <c r="U848" i="2" s="1"/>
  <c r="U849" i="2" a="1"/>
  <c r="U849" i="2" s="1"/>
  <c r="U850" i="2" a="1"/>
  <c r="U850" i="2" s="1"/>
  <c r="U851" i="2" a="1"/>
  <c r="U851" i="2" s="1"/>
  <c r="U852" i="2" a="1"/>
  <c r="U852" i="2" s="1"/>
  <c r="U853" i="2" a="1"/>
  <c r="U853" i="2" s="1"/>
  <c r="U854" i="2" a="1"/>
  <c r="U854" i="2" s="1"/>
  <c r="U855" i="2" a="1"/>
  <c r="U855" i="2"/>
  <c r="U856" i="2" a="1"/>
  <c r="U856" i="2" s="1"/>
  <c r="U857" i="2" a="1"/>
  <c r="U857" i="2" s="1"/>
  <c r="U858" i="2" a="1"/>
  <c r="U858" i="2" s="1"/>
  <c r="U859" i="2" a="1"/>
  <c r="U859" i="2" s="1"/>
  <c r="U860" i="2" a="1"/>
  <c r="U860" i="2" s="1"/>
  <c r="U861" i="2" a="1"/>
  <c r="U861" i="2"/>
  <c r="U862" i="2" a="1"/>
  <c r="U862" i="2" s="1"/>
  <c r="U863" i="2" a="1"/>
  <c r="U863" i="2" s="1"/>
  <c r="U864" i="2" a="1"/>
  <c r="U864" i="2" s="1"/>
  <c r="U865" i="2" a="1"/>
  <c r="U865" i="2" s="1"/>
  <c r="U866" i="2" a="1"/>
  <c r="U866" i="2" s="1"/>
  <c r="U867" i="2" a="1"/>
  <c r="U867" i="2" s="1"/>
  <c r="U868" i="2" a="1"/>
  <c r="U868" i="2" s="1"/>
  <c r="U869" i="2" a="1"/>
  <c r="U869" i="2" s="1"/>
  <c r="U870" i="2" a="1"/>
  <c r="U870" i="2"/>
  <c r="U871" i="2" a="1"/>
  <c r="U871" i="2" s="1"/>
  <c r="U872" i="2" a="1"/>
  <c r="U872" i="2" s="1"/>
  <c r="U873" i="2" a="1"/>
  <c r="U873" i="2" s="1"/>
  <c r="U874" i="2" a="1"/>
  <c r="U874" i="2" s="1"/>
  <c r="U875" i="2" a="1"/>
  <c r="U875" i="2" s="1"/>
  <c r="U876" i="2" a="1"/>
  <c r="U876" i="2" s="1"/>
  <c r="U877" i="2" a="1"/>
  <c r="U877" i="2" s="1"/>
  <c r="U878" i="2" a="1"/>
  <c r="U878" i="2"/>
  <c r="U879" i="2" a="1"/>
  <c r="U879" i="2"/>
  <c r="U880" i="2" a="1"/>
  <c r="U880" i="2" s="1"/>
  <c r="U881" i="2" a="1"/>
  <c r="U881" i="2" s="1"/>
  <c r="U882" i="2" a="1"/>
  <c r="U882" i="2" s="1"/>
  <c r="U883" i="2" a="1"/>
  <c r="U883" i="2" s="1"/>
  <c r="U884" i="2" a="1"/>
  <c r="U884" i="2" s="1"/>
  <c r="U885" i="2" a="1"/>
  <c r="U885" i="2" s="1"/>
  <c r="U886" i="2" a="1"/>
  <c r="U886" i="2" s="1"/>
  <c r="U887" i="2" a="1"/>
  <c r="U887" i="2" s="1"/>
  <c r="U888" i="2" a="1"/>
  <c r="U888" i="2" s="1"/>
  <c r="U889" i="2" a="1"/>
  <c r="U889" i="2" s="1"/>
  <c r="U890" i="2" a="1"/>
  <c r="U890" i="2"/>
  <c r="U891" i="2" a="1"/>
  <c r="U891" i="2" s="1"/>
  <c r="U892" i="2" a="1"/>
  <c r="U892" i="2" s="1"/>
  <c r="U893" i="2" a="1"/>
  <c r="U893" i="2" s="1"/>
  <c r="U894" i="2" a="1"/>
  <c r="U894" i="2" s="1"/>
  <c r="U895" i="2" a="1"/>
  <c r="U895" i="2" s="1"/>
  <c r="U896" i="2" a="1"/>
  <c r="U896" i="2" s="1"/>
  <c r="U897" i="2" a="1"/>
  <c r="U897" i="2"/>
  <c r="U898" i="2" a="1"/>
  <c r="U898" i="2" s="1"/>
  <c r="U899" i="2" a="1"/>
  <c r="U899" i="2"/>
  <c r="U900" i="2" a="1"/>
  <c r="U900" i="2" s="1"/>
  <c r="U901" i="2" a="1"/>
  <c r="U901" i="2" s="1"/>
  <c r="U902" i="2" a="1"/>
  <c r="U902" i="2" s="1"/>
  <c r="U903" i="2" a="1"/>
  <c r="U903" i="2" s="1"/>
  <c r="U904" i="2" a="1"/>
  <c r="U904" i="2" s="1"/>
  <c r="U905" i="2" a="1"/>
  <c r="U905" i="2" s="1"/>
  <c r="U906" i="2" a="1"/>
  <c r="U906" i="2" s="1"/>
  <c r="U907" i="2" a="1"/>
  <c r="U907" i="2" s="1"/>
  <c r="U908" i="2" a="1"/>
  <c r="U908" i="2" s="1"/>
  <c r="U909" i="2" a="1"/>
  <c r="U909" i="2" s="1"/>
  <c r="U910" i="2" a="1"/>
  <c r="U910" i="2" s="1"/>
  <c r="U911" i="2" a="1"/>
  <c r="U911" i="2" s="1"/>
  <c r="U912" i="2" a="1"/>
  <c r="U912" i="2"/>
  <c r="U913" i="2" a="1"/>
  <c r="U913" i="2" s="1"/>
  <c r="U914" i="2" a="1"/>
  <c r="U914" i="2" s="1"/>
  <c r="U915" i="2" a="1"/>
  <c r="U915" i="2" s="1"/>
  <c r="U916" i="2" a="1"/>
  <c r="U916" i="2"/>
  <c r="U917" i="2" a="1"/>
  <c r="U917" i="2" s="1"/>
  <c r="U918" i="2" a="1"/>
  <c r="U918" i="2" s="1"/>
  <c r="U919" i="2" a="1"/>
  <c r="U919" i="2" s="1"/>
  <c r="U920" i="2" a="1"/>
  <c r="U920" i="2" s="1"/>
  <c r="U921" i="2" a="1"/>
  <c r="U921" i="2" s="1"/>
  <c r="U922" i="2" a="1"/>
  <c r="U922" i="2" s="1"/>
  <c r="U923" i="2" a="1"/>
  <c r="U923" i="2"/>
  <c r="U924" i="2" a="1"/>
  <c r="U924" i="2"/>
  <c r="U925" i="2" a="1"/>
  <c r="U925" i="2" s="1"/>
  <c r="U926" i="2" a="1"/>
  <c r="U926" i="2" s="1"/>
  <c r="U927" i="2" a="1"/>
  <c r="U927" i="2" s="1"/>
  <c r="U928" i="2" a="1"/>
  <c r="U928" i="2" s="1"/>
  <c r="U929" i="2" a="1"/>
  <c r="U929" i="2" s="1"/>
  <c r="U930" i="2" a="1"/>
  <c r="U930" i="2"/>
  <c r="U931" i="2" a="1"/>
  <c r="U931" i="2" s="1"/>
  <c r="U932" i="2" a="1"/>
  <c r="U932" i="2" s="1"/>
  <c r="U933" i="2" a="1"/>
  <c r="U933" i="2"/>
  <c r="U934" i="2" a="1"/>
  <c r="U934" i="2" s="1"/>
  <c r="U935" i="2" a="1"/>
  <c r="U935" i="2" s="1"/>
  <c r="U936" i="2" a="1"/>
  <c r="U936" i="2" s="1"/>
  <c r="U937" i="2" a="1"/>
  <c r="U937" i="2" s="1"/>
  <c r="U938" i="2" a="1"/>
  <c r="U938" i="2" s="1"/>
  <c r="U939" i="2" a="1"/>
  <c r="U939" i="2" s="1"/>
  <c r="U940" i="2" a="1"/>
  <c r="U940" i="2" s="1"/>
  <c r="U941" i="2" a="1"/>
  <c r="U941" i="2" s="1"/>
  <c r="U942" i="2" a="1"/>
  <c r="U942" i="2" s="1"/>
  <c r="U943" i="2" a="1"/>
  <c r="U943" i="2" s="1"/>
  <c r="U944" i="2" a="1"/>
  <c r="U944" i="2" s="1"/>
  <c r="U945" i="2" a="1"/>
  <c r="U945" i="2" s="1"/>
  <c r="U946" i="2" a="1"/>
  <c r="U946" i="2" s="1"/>
  <c r="U947" i="2" a="1"/>
  <c r="U947" i="2" s="1"/>
  <c r="U948" i="2" a="1"/>
  <c r="U948" i="2" s="1"/>
  <c r="U949" i="2" a="1"/>
  <c r="U949" i="2" s="1"/>
  <c r="U950" i="2" a="1"/>
  <c r="U950" i="2" s="1"/>
  <c r="U951" i="2" a="1"/>
  <c r="U951" i="2" s="1"/>
  <c r="U952" i="2" a="1"/>
  <c r="U952" i="2" s="1"/>
  <c r="U953" i="2" a="1"/>
  <c r="U953" i="2" s="1"/>
  <c r="U954" i="2" a="1"/>
  <c r="U954" i="2" s="1"/>
  <c r="U955" i="2" a="1"/>
  <c r="U955" i="2" s="1"/>
  <c r="U956" i="2" a="1"/>
  <c r="U956" i="2" s="1"/>
  <c r="U957" i="2" a="1"/>
  <c r="U957" i="2" s="1"/>
  <c r="U958" i="2" a="1"/>
  <c r="U958" i="2" s="1"/>
  <c r="U959" i="2" a="1"/>
  <c r="U959" i="2" s="1"/>
  <c r="U960" i="2" a="1"/>
  <c r="U960" i="2"/>
  <c r="U961" i="2" a="1"/>
  <c r="U961" i="2" s="1"/>
  <c r="U962" i="2" a="1"/>
  <c r="U962" i="2" s="1"/>
  <c r="U963" i="2" a="1"/>
  <c r="U963" i="2" s="1"/>
  <c r="U964" i="2" a="1"/>
  <c r="U964" i="2" s="1"/>
  <c r="U965" i="2" a="1"/>
  <c r="U965" i="2" s="1"/>
  <c r="U966" i="2" a="1"/>
  <c r="U966" i="2" s="1"/>
  <c r="U967" i="2" a="1"/>
  <c r="U967" i="2" s="1"/>
  <c r="U968" i="2" a="1"/>
  <c r="U968" i="2" s="1"/>
  <c r="U969" i="2" a="1"/>
  <c r="U969" i="2"/>
  <c r="U970" i="2" a="1"/>
  <c r="U970" i="2"/>
  <c r="U971" i="2" a="1"/>
  <c r="U971" i="2" s="1"/>
  <c r="U972" i="2" a="1"/>
  <c r="U972" i="2" s="1"/>
  <c r="U973" i="2" a="1"/>
  <c r="U973" i="2" s="1"/>
  <c r="U974" i="2" a="1"/>
  <c r="U974" i="2" s="1"/>
  <c r="U975" i="2" a="1"/>
  <c r="U975" i="2" s="1"/>
  <c r="U976" i="2" a="1"/>
  <c r="U976" i="2" s="1"/>
  <c r="U977" i="2" a="1"/>
  <c r="U977" i="2" s="1"/>
  <c r="U978" i="2" a="1"/>
  <c r="U978" i="2" s="1"/>
  <c r="U979" i="2" a="1"/>
  <c r="U979" i="2" s="1"/>
  <c r="U980" i="2" a="1"/>
  <c r="U980" i="2" s="1"/>
  <c r="U981" i="2" a="1"/>
  <c r="U981" i="2"/>
  <c r="U982" i="2" a="1"/>
  <c r="U982" i="2" s="1"/>
  <c r="U983" i="2" a="1"/>
  <c r="U983" i="2" s="1"/>
  <c r="U984" i="2" a="1"/>
  <c r="U984" i="2" s="1"/>
  <c r="U985" i="2" a="1"/>
  <c r="U985" i="2" s="1"/>
  <c r="U986" i="2" a="1"/>
  <c r="U986" i="2" s="1"/>
  <c r="U987" i="2" a="1"/>
  <c r="U987" i="2" s="1"/>
  <c r="U988" i="2" a="1"/>
  <c r="U988" i="2"/>
  <c r="U989" i="2" a="1"/>
  <c r="U989" i="2" s="1"/>
  <c r="U990" i="2" a="1"/>
  <c r="U990" i="2" s="1"/>
  <c r="U991" i="2" a="1"/>
  <c r="U991" i="2" s="1"/>
  <c r="U992" i="2" a="1"/>
  <c r="U992" i="2" s="1"/>
  <c r="U993" i="2" a="1"/>
  <c r="U993" i="2" s="1"/>
  <c r="U994" i="2" a="1"/>
  <c r="U994" i="2" s="1"/>
  <c r="U995" i="2" a="1"/>
  <c r="U995" i="2" s="1"/>
  <c r="U996" i="2" a="1"/>
  <c r="U996" i="2" s="1"/>
  <c r="U997" i="2" a="1"/>
  <c r="U997" i="2" s="1"/>
  <c r="U998" i="2" a="1"/>
  <c r="U998" i="2"/>
  <c r="U999" i="2" a="1"/>
  <c r="U999" i="2" s="1"/>
  <c r="U1000" i="2" a="1"/>
  <c r="U1000" i="2" s="1"/>
  <c r="U1001" i="2" a="1"/>
  <c r="U1001" i="2" s="1"/>
  <c r="U1002" i="2" a="1"/>
  <c r="U1002" i="2" s="1"/>
  <c r="U1003" i="2" a="1"/>
  <c r="U1003" i="2" s="1"/>
  <c r="U1004" i="2" a="1"/>
  <c r="U1004" i="2" s="1"/>
  <c r="U1005" i="2" a="1"/>
  <c r="U1005" i="2" s="1"/>
  <c r="U1006" i="2" a="1"/>
  <c r="U1006" i="2" s="1"/>
  <c r="U1007" i="2" a="1"/>
  <c r="U1007" i="2" s="1"/>
  <c r="U1008" i="2" a="1"/>
  <c r="U1008" i="2" s="1"/>
  <c r="U1009" i="2" a="1"/>
  <c r="U1009" i="2" s="1"/>
  <c r="U1010" i="2" a="1"/>
  <c r="U1010" i="2"/>
  <c r="U1011" i="2" a="1"/>
  <c r="U1011" i="2" s="1"/>
  <c r="U1012" i="2" a="1"/>
  <c r="U1012" i="2" s="1"/>
  <c r="U1013" i="2" a="1"/>
  <c r="U1013" i="2" s="1"/>
  <c r="U1014" i="2" a="1"/>
  <c r="U1014" i="2" s="1"/>
  <c r="U1015" i="2" a="1"/>
  <c r="U1015" i="2" s="1"/>
  <c r="U1016" i="2" a="1"/>
  <c r="U1016" i="2" s="1"/>
  <c r="U1017" i="2" a="1"/>
  <c r="U1017" i="2" s="1"/>
  <c r="U1018" i="2" a="1"/>
  <c r="U1018" i="2" s="1"/>
  <c r="U1019" i="2" a="1"/>
  <c r="U1019" i="2" s="1"/>
  <c r="U1020" i="2" a="1"/>
  <c r="U1020" i="2" s="1"/>
  <c r="U1021" i="2" a="1"/>
  <c r="U1021" i="2" s="1"/>
  <c r="U1022" i="2" a="1"/>
  <c r="U1022" i="2" s="1"/>
  <c r="U1023" i="2" a="1"/>
  <c r="U1023" i="2" s="1"/>
  <c r="U1024" i="2" a="1"/>
  <c r="U1024" i="2" s="1"/>
  <c r="U1025" i="2" a="1"/>
  <c r="U1025" i="2" s="1"/>
  <c r="U1026" i="2" a="1"/>
  <c r="U1026" i="2" s="1"/>
  <c r="U1027" i="2" a="1"/>
  <c r="U1027" i="2" s="1"/>
  <c r="U1028" i="2" a="1"/>
  <c r="U1028" i="2"/>
  <c r="U1029" i="2" a="1"/>
  <c r="U1029" i="2"/>
  <c r="U1030" i="2" a="1"/>
  <c r="U1030" i="2" s="1"/>
  <c r="U1031" i="2" a="1"/>
  <c r="U1031" i="2" s="1"/>
  <c r="U1032" i="2" a="1"/>
  <c r="U1032" i="2" s="1"/>
  <c r="U1033" i="2" a="1"/>
  <c r="U1033" i="2"/>
  <c r="U1034" i="2" a="1"/>
  <c r="U1034" i="2"/>
  <c r="U1035" i="2" a="1"/>
  <c r="U1035" i="2"/>
  <c r="U1036" i="2" a="1"/>
  <c r="U1036" i="2" s="1"/>
  <c r="U1037" i="2" a="1"/>
  <c r="U1037" i="2" s="1"/>
  <c r="U1038" i="2" a="1"/>
  <c r="U1038" i="2" s="1"/>
  <c r="U1039" i="2" a="1"/>
  <c r="U1039" i="2" s="1"/>
  <c r="U1040" i="2" a="1"/>
  <c r="U1040" i="2" s="1"/>
  <c r="U1041" i="2" a="1"/>
  <c r="U1041" i="2" s="1"/>
  <c r="U1042" i="2" a="1"/>
  <c r="U1042" i="2"/>
  <c r="U1043" i="2" a="1"/>
  <c r="U1043" i="2" s="1"/>
  <c r="U1044" i="2" a="1"/>
  <c r="U1044" i="2" s="1"/>
  <c r="U1045" i="2" a="1"/>
  <c r="U1045" i="2"/>
  <c r="U1046" i="2" a="1"/>
  <c r="U1046" i="2" s="1"/>
  <c r="U1047" i="2" a="1"/>
  <c r="U1047" i="2" s="1"/>
  <c r="U1048" i="2" a="1"/>
  <c r="U1048" i="2" s="1"/>
  <c r="U1049" i="2" a="1"/>
  <c r="U1049" i="2" s="1"/>
  <c r="U1050" i="2" a="1"/>
  <c r="U1050" i="2" s="1"/>
  <c r="U1051" i="2" a="1"/>
  <c r="U1051" i="2" s="1"/>
  <c r="U1052" i="2" a="1"/>
  <c r="U1052" i="2" s="1"/>
  <c r="U1053" i="2" a="1"/>
  <c r="U1053" i="2" s="1"/>
  <c r="U1054" i="2" a="1"/>
  <c r="U1054" i="2" s="1"/>
  <c r="U1055" i="2" a="1"/>
  <c r="U1055" i="2" s="1"/>
  <c r="U1056" i="2" a="1"/>
  <c r="U1056" i="2" s="1"/>
  <c r="U1057" i="2" a="1"/>
  <c r="U1057" i="2" s="1"/>
  <c r="U1058" i="2" a="1"/>
  <c r="U1058" i="2" s="1"/>
  <c r="U1059" i="2" a="1"/>
  <c r="U1059" i="2" s="1"/>
  <c r="U1060" i="2" a="1"/>
  <c r="U1060" i="2" s="1"/>
  <c r="U1061" i="2" a="1"/>
  <c r="U1061" i="2" s="1"/>
  <c r="U1062" i="2" a="1"/>
  <c r="U1062" i="2"/>
  <c r="U1063" i="2" a="1"/>
  <c r="U1063" i="2" s="1"/>
  <c r="U1064" i="2" a="1"/>
  <c r="U1064" i="2" s="1"/>
  <c r="U1065" i="2" a="1"/>
  <c r="U1065" i="2" s="1"/>
  <c r="U1066" i="2" a="1"/>
  <c r="U1066" i="2" s="1"/>
  <c r="U1067" i="2" a="1"/>
  <c r="U1067" i="2" s="1"/>
  <c r="U1068" i="2" a="1"/>
  <c r="U1068" i="2" s="1"/>
  <c r="U1069" i="2" a="1"/>
  <c r="U1069" i="2" s="1"/>
  <c r="U1070" i="2" a="1"/>
  <c r="U1070" i="2" s="1"/>
  <c r="U1071" i="2" a="1"/>
  <c r="U1071" i="2" s="1"/>
  <c r="U1072" i="2" a="1"/>
  <c r="U1072" i="2"/>
  <c r="U1073" i="2" a="1"/>
  <c r="U1073" i="2" s="1"/>
  <c r="U1074" i="2" a="1"/>
  <c r="U1074" i="2" s="1"/>
  <c r="U1075" i="2" a="1"/>
  <c r="U1075" i="2" s="1"/>
  <c r="U1076" i="2" a="1"/>
  <c r="U1076" i="2" s="1"/>
  <c r="U1077" i="2" a="1"/>
  <c r="U1077" i="2" s="1"/>
  <c r="U1078" i="2" a="1"/>
  <c r="U1078" i="2" s="1"/>
  <c r="U1079" i="2" a="1"/>
  <c r="U1079" i="2" s="1"/>
  <c r="U1080" i="2" a="1"/>
  <c r="U1080" i="2" s="1"/>
  <c r="U1081" i="2" a="1"/>
  <c r="U1081" i="2"/>
  <c r="U1082" i="2" a="1"/>
  <c r="U1082" i="2" s="1"/>
  <c r="U1083" i="2" a="1"/>
  <c r="U1083" i="2" s="1"/>
  <c r="U1084" i="2" a="1"/>
  <c r="U1084" i="2" s="1"/>
  <c r="U1085" i="2" a="1"/>
  <c r="U1085" i="2" s="1"/>
  <c r="U1086" i="2" a="1"/>
  <c r="U1086" i="2"/>
  <c r="U1087" i="2" a="1"/>
  <c r="U1087" i="2" s="1"/>
  <c r="U1088" i="2" a="1"/>
  <c r="U1088" i="2" s="1"/>
  <c r="U1089" i="2" a="1"/>
  <c r="U1089" i="2" s="1"/>
  <c r="U1090" i="2" a="1"/>
  <c r="U1090" i="2" s="1"/>
  <c r="U1091" i="2" a="1"/>
  <c r="U1091" i="2" s="1"/>
  <c r="U1092" i="2" a="1"/>
  <c r="U1092" i="2" s="1"/>
  <c r="U1093" i="2" a="1"/>
  <c r="U1093" i="2" s="1"/>
  <c r="U1094" i="2" a="1"/>
  <c r="U1094" i="2" s="1"/>
  <c r="U1095" i="2" a="1"/>
  <c r="U1095" i="2"/>
  <c r="U1096" i="2" a="1"/>
  <c r="U1096" i="2" s="1"/>
  <c r="U1097" i="2" a="1"/>
  <c r="U1097" i="2" s="1"/>
  <c r="U1098" i="2" a="1"/>
  <c r="U1098" i="2" s="1"/>
  <c r="U1099" i="2" a="1"/>
  <c r="U1099" i="2" s="1"/>
  <c r="U1100" i="2" a="1"/>
  <c r="U1100" i="2" s="1"/>
  <c r="U1101" i="2" a="1"/>
  <c r="U1101" i="2"/>
  <c r="U1102" i="2" a="1"/>
  <c r="U1102" i="2" s="1"/>
  <c r="U1103" i="2" a="1"/>
  <c r="U1103" i="2" s="1"/>
  <c r="U1104" i="2" a="1"/>
  <c r="U1104" i="2" s="1"/>
  <c r="U1105" i="2" a="1"/>
  <c r="U1105" i="2"/>
  <c r="U1106" i="2" a="1"/>
  <c r="U1106" i="2" s="1"/>
  <c r="U1107" i="2" a="1"/>
  <c r="U1107" i="2" s="1"/>
  <c r="U1108" i="2" a="1"/>
  <c r="U1108" i="2" s="1"/>
  <c r="U1109" i="2" a="1"/>
  <c r="U1109" i="2" s="1"/>
  <c r="U1110" i="2" a="1"/>
  <c r="U1110" i="2" s="1"/>
  <c r="U1111" i="2" a="1"/>
  <c r="U1111" i="2" s="1"/>
  <c r="U1112" i="2" a="1"/>
  <c r="U1112" i="2" s="1"/>
  <c r="U1113" i="2" a="1"/>
  <c r="U1113" i="2" s="1"/>
  <c r="U1114" i="2" a="1"/>
  <c r="U1114" i="2" s="1"/>
  <c r="U1115" i="2" a="1"/>
  <c r="U1115" i="2" s="1"/>
  <c r="U1116" i="2" a="1"/>
  <c r="U1116" i="2" s="1"/>
  <c r="U1117" i="2" a="1"/>
  <c r="U1117" i="2" s="1"/>
  <c r="U1118" i="2" a="1"/>
  <c r="U1118" i="2" s="1"/>
  <c r="U1119" i="2" a="1"/>
  <c r="U1119" i="2" s="1"/>
  <c r="U1120" i="2" a="1"/>
  <c r="U1120" i="2" s="1"/>
  <c r="U1121" i="2" a="1"/>
  <c r="U1121" i="2" s="1"/>
  <c r="U1122" i="2" a="1"/>
  <c r="U1122" i="2" s="1"/>
  <c r="U1123" i="2" a="1"/>
  <c r="U1123" i="2" s="1"/>
  <c r="U1124" i="2" a="1"/>
  <c r="U1124" i="2" s="1"/>
  <c r="U1125" i="2" a="1"/>
  <c r="U1125" i="2" s="1"/>
  <c r="U1126" i="2" a="1"/>
  <c r="U1126" i="2" s="1"/>
  <c r="U1127" i="2" a="1"/>
  <c r="U1127" i="2" s="1"/>
  <c r="U1128" i="2" a="1"/>
  <c r="U1128" i="2" s="1"/>
  <c r="U1129" i="2" a="1"/>
  <c r="U1129" i="2" s="1"/>
  <c r="U1130" i="2" a="1"/>
  <c r="U1130" i="2" s="1"/>
  <c r="U1131" i="2" a="1"/>
  <c r="U1131" i="2" s="1"/>
  <c r="U1132" i="2" a="1"/>
  <c r="U1132" i="2"/>
  <c r="U1133" i="2" a="1"/>
  <c r="U1133" i="2" s="1"/>
  <c r="U1134" i="2" a="1"/>
  <c r="U1134" i="2"/>
  <c r="U1135" i="2" a="1"/>
  <c r="U1135" i="2" s="1"/>
  <c r="U1136" i="2" a="1"/>
  <c r="U1136" i="2" s="1"/>
  <c r="U1137" i="2" a="1"/>
  <c r="U1137" i="2" s="1"/>
  <c r="U1138" i="2" a="1"/>
  <c r="U1138" i="2" s="1"/>
  <c r="U1139" i="2" a="1"/>
  <c r="U1139" i="2" s="1"/>
  <c r="U1140" i="2" a="1"/>
  <c r="U1140" i="2" s="1"/>
  <c r="U1141" i="2" a="1"/>
  <c r="U1141" i="2" s="1"/>
  <c r="U1142" i="2" a="1"/>
  <c r="U1142" i="2" s="1"/>
  <c r="U1143" i="2" a="1"/>
  <c r="U1143" i="2" s="1"/>
  <c r="U1144" i="2" a="1"/>
  <c r="U1144" i="2" s="1"/>
  <c r="U1145" i="2" a="1"/>
  <c r="U1145" i="2" s="1"/>
  <c r="U1146" i="2" a="1"/>
  <c r="U1146" i="2" s="1"/>
  <c r="U1147" i="2" a="1"/>
  <c r="U1147" i="2"/>
  <c r="U1148" i="2" a="1"/>
  <c r="U1148" i="2" s="1"/>
  <c r="U1149" i="2" a="1"/>
  <c r="U1149" i="2" s="1"/>
  <c r="U1150" i="2" a="1"/>
  <c r="U1150" i="2" s="1"/>
  <c r="U1151" i="2" a="1"/>
  <c r="U1151" i="2" s="1"/>
  <c r="U1152" i="2" a="1"/>
  <c r="U1152" i="2" s="1"/>
  <c r="U1153" i="2" a="1"/>
  <c r="U1153" i="2"/>
  <c r="U1154" i="2" a="1"/>
  <c r="U1154" i="2" s="1"/>
  <c r="U1155" i="2" a="1"/>
  <c r="U1155" i="2" s="1"/>
  <c r="U1156" i="2" a="1"/>
  <c r="U1156" i="2" s="1"/>
  <c r="U1157" i="2" a="1"/>
  <c r="U1157" i="2" s="1"/>
  <c r="U1158" i="2" a="1"/>
  <c r="U1158" i="2" s="1"/>
  <c r="U1159" i="2" a="1"/>
  <c r="U1159" i="2" s="1"/>
  <c r="U1160" i="2" a="1"/>
  <c r="U1160" i="2"/>
  <c r="U1161" i="2" a="1"/>
  <c r="U1161" i="2" s="1"/>
  <c r="U1162" i="2" a="1"/>
  <c r="U1162" i="2" s="1"/>
  <c r="U1163" i="2" a="1"/>
  <c r="U1163" i="2" s="1"/>
  <c r="U1164" i="2" a="1"/>
  <c r="U1164" i="2" s="1"/>
  <c r="U1165" i="2" a="1"/>
  <c r="U1165" i="2" s="1"/>
  <c r="U1166" i="2" a="1"/>
  <c r="U1166" i="2" s="1"/>
  <c r="U1167" i="2" a="1"/>
  <c r="U1167" i="2" s="1"/>
  <c r="U1168" i="2" a="1"/>
  <c r="U1168" i="2"/>
  <c r="U1169" i="2" a="1"/>
  <c r="U1169" i="2" s="1"/>
  <c r="U1170" i="2" a="1"/>
  <c r="U1170" i="2"/>
  <c r="U1171" i="2" a="1"/>
  <c r="U1171" i="2" s="1"/>
  <c r="U1172" i="2" a="1"/>
  <c r="U1172" i="2" s="1"/>
  <c r="U1173" i="2" a="1"/>
  <c r="U1173" i="2"/>
  <c r="U1174" i="2" a="1"/>
  <c r="U1174" i="2" s="1"/>
  <c r="U1175" i="2" a="1"/>
  <c r="U1175" i="2" s="1"/>
  <c r="U1176" i="2" a="1"/>
  <c r="U1176" i="2" s="1"/>
  <c r="U1177" i="2" a="1"/>
  <c r="U1177" i="2"/>
  <c r="U1178" i="2" a="1"/>
  <c r="U1178" i="2" s="1"/>
  <c r="U1179" i="2" a="1"/>
  <c r="U1179" i="2" s="1"/>
  <c r="U1180" i="2" a="1"/>
  <c r="U1180" i="2" s="1"/>
  <c r="U1181" i="2" a="1"/>
  <c r="U1181" i="2" s="1"/>
  <c r="U1182" i="2" a="1"/>
  <c r="U1182" i="2" s="1"/>
  <c r="U1183" i="2" a="1"/>
  <c r="U1183" i="2"/>
  <c r="U1184" i="2" a="1"/>
  <c r="U1184" i="2" s="1"/>
  <c r="U1185" i="2" a="1"/>
  <c r="U1185" i="2" s="1"/>
  <c r="U1186" i="2" a="1"/>
  <c r="U1186" i="2" s="1"/>
  <c r="U1187" i="2" a="1"/>
  <c r="U1187" i="2" s="1"/>
  <c r="U1188" i="2" a="1"/>
  <c r="U1188" i="2" s="1"/>
  <c r="U1189" i="2" a="1"/>
  <c r="U1189" i="2"/>
  <c r="U1190" i="2" a="1"/>
  <c r="U1190" i="2"/>
  <c r="U1191" i="2" a="1"/>
  <c r="U1191" i="2" s="1"/>
  <c r="U1192" i="2" a="1"/>
  <c r="U1192" i="2"/>
  <c r="U1193" i="2" a="1"/>
  <c r="U1193" i="2" s="1"/>
  <c r="U1194" i="2" a="1"/>
  <c r="U1194" i="2"/>
  <c r="U1195" i="2" a="1"/>
  <c r="U1195" i="2" s="1"/>
  <c r="U1196" i="2" a="1"/>
  <c r="U1196" i="2" s="1"/>
  <c r="U1197" i="2" a="1"/>
  <c r="U1197" i="2"/>
  <c r="U1198" i="2" a="1"/>
  <c r="U1198" i="2" s="1"/>
  <c r="U1199" i="2" a="1"/>
  <c r="U1199" i="2" s="1"/>
  <c r="U1200" i="2" a="1"/>
  <c r="U1200" i="2" s="1"/>
  <c r="U1201" i="2" a="1"/>
  <c r="U1201" i="2" s="1"/>
  <c r="U1202" i="2" a="1"/>
  <c r="U1202" i="2" s="1"/>
  <c r="U1203" i="2" a="1"/>
  <c r="U1203" i="2" s="1"/>
  <c r="U1204" i="2" a="1"/>
  <c r="U1204" i="2" s="1"/>
  <c r="U1205" i="2" a="1"/>
  <c r="U1205" i="2" s="1"/>
  <c r="U1206" i="2" a="1"/>
  <c r="U1206" i="2" s="1"/>
  <c r="U1207" i="2" a="1"/>
  <c r="U1207" i="2"/>
  <c r="U1208" i="2" a="1"/>
  <c r="U1208" i="2" s="1"/>
  <c r="U1209" i="2" a="1"/>
  <c r="U1209" i="2" s="1"/>
  <c r="U1210" i="2" a="1"/>
  <c r="U1210" i="2" s="1"/>
  <c r="U1211" i="2" a="1"/>
  <c r="U1211" i="2" s="1"/>
  <c r="U1212" i="2" a="1"/>
  <c r="U1212" i="2" s="1"/>
  <c r="U1213" i="2" a="1"/>
  <c r="U1213" i="2" s="1"/>
  <c r="U1214" i="2" a="1"/>
  <c r="U1214" i="2" s="1"/>
  <c r="U1215" i="2" a="1"/>
  <c r="U1215" i="2" s="1"/>
  <c r="U1216" i="2" a="1"/>
  <c r="U1216" i="2" s="1"/>
  <c r="U1217" i="2" a="1"/>
  <c r="U1217" i="2" s="1"/>
  <c r="U1218" i="2" a="1"/>
  <c r="U1218" i="2" s="1"/>
  <c r="U1219" i="2" a="1"/>
  <c r="U1219" i="2"/>
  <c r="U1220" i="2" a="1"/>
  <c r="U1220" i="2" s="1"/>
  <c r="U1221" i="2" a="1"/>
  <c r="U1221" i="2" s="1"/>
  <c r="U1222" i="2" a="1"/>
  <c r="U1222" i="2" s="1"/>
  <c r="U1223" i="2" a="1"/>
  <c r="U1223" i="2" s="1"/>
  <c r="U1224" i="2" a="1"/>
  <c r="U1224" i="2" s="1"/>
  <c r="U1225" i="2" a="1"/>
  <c r="U1225" i="2"/>
  <c r="U1226" i="2" a="1"/>
  <c r="U1226" i="2" s="1"/>
  <c r="U1227" i="2" a="1"/>
  <c r="U1227" i="2" s="1"/>
  <c r="U1228" i="2" a="1"/>
  <c r="U1228" i="2" s="1"/>
  <c r="U1229" i="2" a="1"/>
  <c r="U1229" i="2" s="1"/>
  <c r="U1230" i="2" a="1"/>
  <c r="U1230" i="2" s="1"/>
  <c r="U1231" i="2" a="1"/>
  <c r="U1231" i="2" s="1"/>
  <c r="U1232" i="2" a="1"/>
  <c r="U1232" i="2"/>
  <c r="U1233" i="2" a="1"/>
  <c r="U1233" i="2" s="1"/>
  <c r="U1234" i="2" a="1"/>
  <c r="U1234" i="2" s="1"/>
  <c r="U1235" i="2" a="1"/>
  <c r="U1235" i="2" s="1"/>
  <c r="U1236" i="2" a="1"/>
  <c r="U1236" i="2" s="1"/>
  <c r="U1237" i="2" a="1"/>
  <c r="U1237" i="2" s="1"/>
  <c r="U1238" i="2" a="1"/>
  <c r="U1238" i="2" s="1"/>
  <c r="U1239" i="2" a="1"/>
  <c r="U1239" i="2"/>
  <c r="U1240" i="2" a="1"/>
  <c r="U1240" i="2" s="1"/>
  <c r="U1241" i="2" a="1"/>
  <c r="U1241" i="2" s="1"/>
  <c r="U1242" i="2" a="1"/>
  <c r="U1242" i="2"/>
  <c r="U1243" i="2" a="1"/>
  <c r="U1243" i="2" s="1"/>
  <c r="U1244" i="2" a="1"/>
  <c r="U1244" i="2" s="1"/>
  <c r="U1245" i="2" a="1"/>
  <c r="U1245" i="2"/>
  <c r="U1246" i="2" a="1"/>
  <c r="U1246" i="2" s="1"/>
  <c r="U1247" i="2" a="1"/>
  <c r="U1247" i="2" s="1"/>
  <c r="U1248" i="2" a="1"/>
  <c r="U1248" i="2"/>
  <c r="U1249" i="2" a="1"/>
  <c r="U1249" i="2"/>
  <c r="U1250" i="2" a="1"/>
  <c r="U1250" i="2" s="1"/>
  <c r="U1251" i="2" a="1"/>
  <c r="U1251" i="2" s="1"/>
  <c r="U1252" i="2" a="1"/>
  <c r="U1252" i="2" s="1"/>
  <c r="U1253" i="2" a="1"/>
  <c r="U1253" i="2" s="1"/>
  <c r="U1254" i="2" a="1"/>
  <c r="U1254" i="2" s="1"/>
  <c r="U1255" i="2" a="1"/>
  <c r="U1255" i="2"/>
  <c r="U1256" i="2" a="1"/>
  <c r="U1256" i="2"/>
  <c r="U1257" i="2" a="1"/>
  <c r="U1257" i="2" s="1"/>
  <c r="U1258" i="2" a="1"/>
  <c r="U1258" i="2" s="1"/>
  <c r="U1259" i="2" a="1"/>
  <c r="U1259" i="2" s="1"/>
  <c r="U1260" i="2" a="1"/>
  <c r="U1260" i="2" s="1"/>
  <c r="U1261" i="2" a="1"/>
  <c r="U1261" i="2" s="1"/>
  <c r="U1262" i="2" a="1"/>
  <c r="U1262" i="2" s="1"/>
  <c r="U1263" i="2" a="1"/>
  <c r="U1263" i="2" s="1"/>
  <c r="U1264" i="2" a="1"/>
  <c r="U1264" i="2"/>
  <c r="U1265" i="2" a="1"/>
  <c r="U1265" i="2" s="1"/>
  <c r="U1266" i="2" a="1"/>
  <c r="U1266" i="2" s="1"/>
  <c r="U1267" i="2" a="1"/>
  <c r="U1267" i="2" s="1"/>
  <c r="U1268" i="2" a="1"/>
  <c r="U1268" i="2" s="1"/>
  <c r="U1269" i="2" a="1"/>
  <c r="U1269" i="2" s="1"/>
  <c r="U1270" i="2" a="1"/>
  <c r="U1270" i="2" s="1"/>
  <c r="U1271" i="2" a="1"/>
  <c r="U1271" i="2" s="1"/>
  <c r="U1272" i="2" a="1"/>
  <c r="U1272" i="2" s="1"/>
  <c r="U1273" i="2" a="1"/>
  <c r="U1273" i="2" s="1"/>
  <c r="U1274" i="2" a="1"/>
  <c r="U1274" i="2" s="1"/>
  <c r="U1275" i="2" a="1"/>
  <c r="U1275" i="2" s="1"/>
  <c r="U1276" i="2" a="1"/>
  <c r="U1276" i="2"/>
  <c r="U1277" i="2" a="1"/>
  <c r="U1277" i="2" s="1"/>
  <c r="U1278" i="2" a="1"/>
  <c r="U1278" i="2" s="1"/>
  <c r="U1279" i="2" a="1"/>
  <c r="U1279" i="2" s="1"/>
  <c r="U1280" i="2" a="1"/>
  <c r="U1280" i="2" s="1"/>
  <c r="U1281" i="2" a="1"/>
  <c r="U1281" i="2" s="1"/>
  <c r="U1282" i="2" a="1"/>
  <c r="U1282" i="2"/>
  <c r="U1283" i="2" a="1"/>
  <c r="U1283" i="2" s="1"/>
  <c r="U1284" i="2" a="1"/>
  <c r="U1284" i="2"/>
  <c r="U1285" i="2" a="1"/>
  <c r="U1285" i="2" s="1"/>
  <c r="U1286" i="2" a="1"/>
  <c r="U1286" i="2" s="1"/>
  <c r="U1287" i="2" a="1"/>
  <c r="U1287" i="2" s="1"/>
  <c r="U1288" i="2" a="1"/>
  <c r="U1288" i="2" s="1"/>
  <c r="U1289" i="2" a="1"/>
  <c r="U1289" i="2" s="1"/>
  <c r="U1290" i="2" a="1"/>
  <c r="U1290" i="2" s="1"/>
  <c r="U1291" i="2" a="1"/>
  <c r="U1291" i="2"/>
  <c r="U1292" i="2" a="1"/>
  <c r="U1292" i="2" s="1"/>
  <c r="U1293" i="2" a="1"/>
  <c r="U1293" i="2" s="1"/>
  <c r="U1294" i="2" a="1"/>
  <c r="U1294" i="2" s="1"/>
  <c r="U1295" i="2" a="1"/>
  <c r="U1295" i="2" s="1"/>
  <c r="U1296" i="2" a="1"/>
  <c r="U1296" i="2" s="1"/>
  <c r="U1297" i="2" a="1"/>
  <c r="U1297" i="2" s="1"/>
  <c r="U1298" i="2" a="1"/>
  <c r="U1298" i="2" s="1"/>
  <c r="U1299" i="2" a="1"/>
  <c r="U1299" i="2" s="1"/>
  <c r="U1300" i="2" a="1"/>
  <c r="U1300" i="2" s="1"/>
  <c r="U1301" i="2" a="1"/>
  <c r="U1301" i="2" s="1"/>
  <c r="U1302" i="2" a="1"/>
  <c r="U1302" i="2" s="1"/>
  <c r="U1303" i="2" a="1"/>
  <c r="U1303" i="2"/>
  <c r="U1304" i="2" a="1"/>
  <c r="U1304" i="2" s="1"/>
  <c r="U1305" i="2" a="1"/>
  <c r="U1305" i="2" s="1"/>
  <c r="U1306" i="2" a="1"/>
  <c r="U1306" i="2" s="1"/>
  <c r="U1307" i="2" a="1"/>
  <c r="U1307" i="2" s="1"/>
  <c r="U1308" i="2" a="1"/>
  <c r="U1308" i="2" s="1"/>
  <c r="U1309" i="2" a="1"/>
  <c r="U1309" i="2" s="1"/>
  <c r="U1310" i="2" a="1"/>
  <c r="U1310" i="2" s="1"/>
  <c r="U1311" i="2" a="1"/>
  <c r="U1311" i="2"/>
  <c r="U1312" i="2" a="1"/>
  <c r="U1312" i="2"/>
  <c r="U1313" i="2" a="1"/>
  <c r="U1313" i="2" s="1"/>
  <c r="U1314" i="2" a="1"/>
  <c r="U1314" i="2"/>
  <c r="U1315" i="2" a="1"/>
  <c r="U1315" i="2" s="1"/>
  <c r="U1316" i="2" a="1"/>
  <c r="U1316" i="2" s="1"/>
  <c r="U1317" i="2" a="1"/>
  <c r="U1317" i="2" s="1"/>
  <c r="U1318" i="2" a="1"/>
  <c r="U1318" i="2"/>
  <c r="U1319" i="2" a="1"/>
  <c r="U1319" i="2" s="1"/>
  <c r="U1320" i="2" a="1"/>
  <c r="U1320" i="2" s="1"/>
  <c r="U1321" i="2" a="1"/>
  <c r="U1321" i="2" s="1"/>
  <c r="U1322" i="2" a="1"/>
  <c r="U1322" i="2"/>
  <c r="U1323" i="2" a="1"/>
  <c r="U1323" i="2" s="1"/>
  <c r="U1324" i="2" a="1"/>
  <c r="U1324" i="2" s="1"/>
  <c r="U1325" i="2" a="1"/>
  <c r="U1325" i="2" s="1"/>
  <c r="U1326" i="2" a="1"/>
  <c r="U1326" i="2" s="1"/>
  <c r="U1327" i="2" a="1"/>
  <c r="U1327" i="2" s="1"/>
  <c r="U1328" i="2" a="1"/>
  <c r="U1328" i="2" s="1"/>
  <c r="U1329" i="2" a="1"/>
  <c r="U1329" i="2"/>
  <c r="U1330" i="2" a="1"/>
  <c r="U1330" i="2"/>
  <c r="U1331" i="2" a="1"/>
  <c r="U1331" i="2" s="1"/>
  <c r="U1332" i="2" a="1"/>
  <c r="U1332" i="2" s="1"/>
  <c r="U1333" i="2" a="1"/>
  <c r="U1333" i="2" s="1"/>
  <c r="U1334" i="2" a="1"/>
  <c r="U1334" i="2"/>
  <c r="U1335" i="2" a="1"/>
  <c r="U1335" i="2" s="1"/>
  <c r="U1336" i="2" a="1"/>
  <c r="U1336" i="2"/>
  <c r="U1337" i="2" a="1"/>
  <c r="U1337" i="2" s="1"/>
  <c r="U1338" i="2" a="1"/>
  <c r="U1338" i="2" s="1"/>
  <c r="U1339" i="2" a="1"/>
  <c r="U1339" i="2" s="1"/>
  <c r="U1340" i="2" a="1"/>
  <c r="U1340" i="2" s="1"/>
  <c r="U1341" i="2" a="1"/>
  <c r="U1341" i="2" s="1"/>
  <c r="U1342" i="2" a="1"/>
  <c r="U1342" i="2" s="1"/>
  <c r="U1343" i="2" a="1"/>
  <c r="U1343" i="2" s="1"/>
  <c r="U1344" i="2" a="1"/>
  <c r="U1344" i="2"/>
  <c r="U1345" i="2" a="1"/>
  <c r="U1345" i="2" s="1"/>
  <c r="U1346" i="2" a="1"/>
  <c r="U1346" i="2"/>
  <c r="U1347" i="2" a="1"/>
  <c r="U1347" i="2" s="1"/>
  <c r="U1348" i="2" a="1"/>
  <c r="U1348" i="2" s="1"/>
  <c r="U1349" i="2" a="1"/>
  <c r="U1349" i="2" s="1"/>
  <c r="U1350" i="2" a="1"/>
  <c r="U1350" i="2" s="1"/>
  <c r="U1351" i="2" a="1"/>
  <c r="U1351" i="2" s="1"/>
  <c r="U1352" i="2" a="1"/>
  <c r="U1352" i="2" s="1"/>
  <c r="U1353" i="2" a="1"/>
  <c r="U1353" i="2"/>
  <c r="U1354" i="2" a="1"/>
  <c r="U1354" i="2"/>
  <c r="U1355" i="2" a="1"/>
  <c r="U1355" i="2" s="1"/>
  <c r="U1356" i="2" a="1"/>
  <c r="U1356" i="2" s="1"/>
  <c r="U1357" i="2" a="1"/>
  <c r="U1357" i="2" s="1"/>
  <c r="U1358" i="2" a="1"/>
  <c r="U1358" i="2" s="1"/>
  <c r="U1359" i="2" a="1"/>
  <c r="U1359" i="2" s="1"/>
  <c r="U1360" i="2" a="1"/>
  <c r="U1360" i="2" s="1"/>
  <c r="U1361" i="2" a="1"/>
  <c r="U1361" i="2" s="1"/>
  <c r="U1362" i="2" a="1"/>
  <c r="U1362" i="2" s="1"/>
  <c r="U1363" i="2" a="1"/>
  <c r="U1363" i="2"/>
  <c r="U1364" i="2" a="1"/>
  <c r="U1364" i="2"/>
  <c r="U1365" i="2" a="1"/>
  <c r="U1365" i="2" s="1"/>
  <c r="U1366" i="2" a="1"/>
  <c r="U1366" i="2" s="1"/>
  <c r="U1367" i="2" a="1"/>
  <c r="U1367" i="2" s="1"/>
  <c r="U1368" i="2" a="1"/>
  <c r="U1368" i="2" s="1"/>
  <c r="U1369" i="2" a="1"/>
  <c r="U1369" i="2" s="1"/>
  <c r="U1370" i="2" a="1"/>
  <c r="U1370" i="2"/>
  <c r="U1371" i="2" a="1"/>
  <c r="U1371" i="2"/>
  <c r="U1372" i="2" a="1"/>
  <c r="U1372" i="2" s="1"/>
  <c r="U1373" i="2" a="1"/>
  <c r="U1373" i="2" s="1"/>
  <c r="U1374" i="2" a="1"/>
  <c r="U1374" i="2" s="1"/>
  <c r="U1375" i="2" a="1"/>
  <c r="U1375" i="2" s="1"/>
  <c r="U1376" i="2" a="1"/>
  <c r="U1376" i="2" s="1"/>
  <c r="U1377" i="2" a="1"/>
  <c r="U1377" i="2" s="1"/>
  <c r="U1378" i="2" a="1"/>
  <c r="U1378" i="2" s="1"/>
  <c r="U1379" i="2" a="1"/>
  <c r="U1379" i="2" s="1"/>
  <c r="U1380" i="2" a="1"/>
  <c r="U1380" i="2" s="1"/>
  <c r="U1381" i="2" a="1"/>
  <c r="U1381" i="2" s="1"/>
  <c r="U1382" i="2" a="1"/>
  <c r="U1382" i="2" s="1"/>
  <c r="U1383" i="2" a="1"/>
  <c r="U1383" i="2" s="1"/>
  <c r="U1384" i="2" a="1"/>
  <c r="U1384" i="2" s="1"/>
  <c r="U1385" i="2" a="1"/>
  <c r="U1385" i="2" s="1"/>
  <c r="U1386" i="2" a="1"/>
  <c r="U1386" i="2" s="1"/>
  <c r="U1387" i="2" a="1"/>
  <c r="U1387" i="2" s="1"/>
  <c r="U1388" i="2" a="1"/>
  <c r="U1388" i="2"/>
  <c r="U1389" i="2" a="1"/>
  <c r="U1389" i="2" s="1"/>
  <c r="U1390" i="2" a="1"/>
  <c r="U1390" i="2" s="1"/>
  <c r="U1391" i="2" a="1"/>
  <c r="U1391" i="2" s="1"/>
  <c r="U1392" i="2" a="1"/>
  <c r="U1392" i="2" s="1"/>
  <c r="U1393" i="2" a="1"/>
  <c r="U1393" i="2" s="1"/>
  <c r="U1394" i="2" a="1"/>
  <c r="U1394" i="2" s="1"/>
  <c r="U1395" i="2" a="1"/>
  <c r="U1395" i="2" s="1"/>
  <c r="U1396" i="2" a="1"/>
  <c r="U1396" i="2" s="1"/>
  <c r="U1397" i="2" a="1"/>
  <c r="U1397" i="2" s="1"/>
  <c r="U1398" i="2" a="1"/>
  <c r="U1398" i="2" s="1"/>
  <c r="U1399" i="2" a="1"/>
  <c r="U1399" i="2" s="1"/>
  <c r="U1400" i="2" a="1"/>
  <c r="U1400" i="2" s="1"/>
  <c r="U1401" i="2" a="1"/>
  <c r="U1401" i="2" s="1"/>
  <c r="U1402" i="2" a="1"/>
  <c r="U1402" i="2" s="1"/>
  <c r="U1403" i="2" a="1"/>
  <c r="U1403" i="2" s="1"/>
  <c r="U1404" i="2" a="1"/>
  <c r="U1404" i="2"/>
  <c r="U1405" i="2" a="1"/>
  <c r="U1405" i="2" s="1"/>
  <c r="U1406" i="2" a="1"/>
  <c r="U1406" i="2"/>
  <c r="U1407" i="2" a="1"/>
  <c r="U1407" i="2" s="1"/>
  <c r="U1408" i="2" a="1"/>
  <c r="U1408" i="2" s="1"/>
  <c r="U1409" i="2" a="1"/>
  <c r="U1409" i="2" s="1"/>
  <c r="U1410" i="2" a="1"/>
  <c r="U1410" i="2" s="1"/>
  <c r="U1411" i="2" a="1"/>
  <c r="U1411" i="2" s="1"/>
  <c r="U1412" i="2" a="1"/>
  <c r="U1412" i="2" s="1"/>
  <c r="U1413" i="2" a="1"/>
  <c r="U1413" i="2" s="1"/>
  <c r="U1414" i="2" a="1"/>
  <c r="U1414" i="2" s="1"/>
  <c r="U1415" i="2" a="1"/>
  <c r="U1415" i="2" s="1"/>
  <c r="U1416" i="2" a="1"/>
  <c r="U1416" i="2" s="1"/>
  <c r="U1417" i="2" a="1"/>
  <c r="U1417" i="2" s="1"/>
  <c r="U1418" i="2" a="1"/>
  <c r="U1418" i="2"/>
  <c r="U1419" i="2" a="1"/>
  <c r="U1419" i="2" s="1"/>
  <c r="U1420" i="2" a="1"/>
  <c r="U1420" i="2" s="1"/>
  <c r="U1421" i="2" a="1"/>
  <c r="U1421" i="2" s="1"/>
  <c r="U1422" i="2" a="1"/>
  <c r="U1422" i="2" s="1"/>
  <c r="U1423" i="2" a="1"/>
  <c r="U1423" i="2" s="1"/>
  <c r="U1424" i="2" a="1"/>
  <c r="U1424" i="2" s="1"/>
  <c r="U1425" i="2" a="1"/>
  <c r="U1425" i="2" s="1"/>
  <c r="U1426" i="2" a="1"/>
  <c r="U1426" i="2" s="1"/>
  <c r="U1427" i="2" a="1"/>
  <c r="U1427" i="2" s="1"/>
  <c r="U1428" i="2" a="1"/>
  <c r="U1428" i="2" s="1"/>
  <c r="U1429" i="2" a="1"/>
  <c r="U1429" i="2"/>
  <c r="U1430" i="2" a="1"/>
  <c r="U1430" i="2" s="1"/>
  <c r="U1431" i="2" a="1"/>
  <c r="U1431" i="2" s="1"/>
  <c r="U1432" i="2" a="1"/>
  <c r="U1432" i="2"/>
  <c r="U1433" i="2" a="1"/>
  <c r="U1433" i="2" s="1"/>
  <c r="U1434" i="2" a="1"/>
  <c r="U1434" i="2" s="1"/>
  <c r="U1435" i="2" a="1"/>
  <c r="U1435" i="2" s="1"/>
  <c r="U1436" i="2" a="1"/>
  <c r="U1436" i="2" s="1"/>
  <c r="U1437" i="2" a="1"/>
  <c r="U1437" i="2" s="1"/>
  <c r="U1438" i="2" a="1"/>
  <c r="U1438" i="2" s="1"/>
  <c r="U1439" i="2" a="1"/>
  <c r="U1439" i="2" s="1"/>
  <c r="U1440" i="2" a="1"/>
  <c r="U1440" i="2"/>
  <c r="U1441" i="2" a="1"/>
  <c r="U1441" i="2" s="1"/>
  <c r="U1442" i="2" a="1"/>
  <c r="U1442" i="2" s="1"/>
  <c r="U1443" i="2" a="1"/>
  <c r="U1443" i="2" s="1"/>
  <c r="U1444" i="2" a="1"/>
  <c r="U1444" i="2" s="1"/>
  <c r="U1445" i="2" a="1"/>
  <c r="U1445" i="2" s="1"/>
  <c r="U1446" i="2" a="1"/>
  <c r="U1446" i="2" s="1"/>
  <c r="U1447" i="2" a="1"/>
  <c r="U1447" i="2"/>
  <c r="U1448" i="2" a="1"/>
  <c r="U1448" i="2"/>
  <c r="U1449" i="2" a="1"/>
  <c r="U1449" i="2"/>
  <c r="U1450" i="2" a="1"/>
  <c r="U1450" i="2" s="1"/>
  <c r="U1451" i="2" a="1"/>
  <c r="U1451" i="2" s="1"/>
  <c r="U1452" i="2" a="1"/>
  <c r="U1452" i="2" s="1"/>
  <c r="U1453" i="2" a="1"/>
  <c r="U1453" i="2" s="1"/>
  <c r="U1454" i="2" a="1"/>
  <c r="U1454" i="2" s="1"/>
  <c r="U1455" i="2" a="1"/>
  <c r="U1455" i="2" s="1"/>
  <c r="U1456" i="2" a="1"/>
  <c r="U1456" i="2" s="1"/>
  <c r="U1457" i="2" a="1"/>
  <c r="U1457" i="2" s="1"/>
  <c r="U1458" i="2" a="1"/>
  <c r="U1458" i="2" s="1"/>
  <c r="U1459" i="2" a="1"/>
  <c r="U1459" i="2"/>
  <c r="U1460" i="2" a="1"/>
  <c r="U1460" i="2" s="1"/>
  <c r="U1461" i="2" a="1"/>
  <c r="U1461" i="2" s="1"/>
  <c r="U1462" i="2" a="1"/>
  <c r="U1462" i="2" s="1"/>
  <c r="U1463" i="2" a="1"/>
  <c r="U1463" i="2" s="1"/>
  <c r="U1464" i="2" a="1"/>
  <c r="U1464" i="2" s="1"/>
  <c r="U1465" i="2" a="1"/>
  <c r="U1465" i="2" s="1"/>
  <c r="U1466" i="2" a="1"/>
  <c r="U1466" i="2"/>
  <c r="U1467" i="2" a="1"/>
  <c r="U1467" i="2" s="1"/>
  <c r="U1468" i="2" a="1"/>
  <c r="U1468" i="2"/>
  <c r="U1469" i="2" a="1"/>
  <c r="U1469" i="2" s="1"/>
  <c r="U1470" i="2" a="1"/>
  <c r="U1470" i="2" s="1"/>
  <c r="U1471" i="2" a="1"/>
  <c r="U1471" i="2" s="1"/>
  <c r="U1472" i="2" a="1"/>
  <c r="U1472" i="2" s="1"/>
  <c r="U1473" i="2" a="1"/>
  <c r="U1473" i="2" s="1"/>
  <c r="U1474" i="2" a="1"/>
  <c r="U1474" i="2" s="1"/>
  <c r="U1475" i="2" a="1"/>
  <c r="U1475" i="2" s="1"/>
  <c r="U1476" i="2" a="1"/>
  <c r="U1476" i="2" s="1"/>
  <c r="U1477" i="2" a="1"/>
  <c r="U1477" i="2"/>
  <c r="U1478" i="2" a="1"/>
  <c r="U1478" i="2" s="1"/>
  <c r="U1479" i="2" a="1"/>
  <c r="U1479" i="2" s="1"/>
  <c r="U1480" i="2" a="1"/>
  <c r="U1480" i="2" s="1"/>
  <c r="U1481" i="2" a="1"/>
  <c r="U1481" i="2" s="1"/>
  <c r="U1482" i="2" a="1"/>
  <c r="U1482" i="2" s="1"/>
  <c r="U1483" i="2" a="1"/>
  <c r="U1483" i="2"/>
  <c r="U1484" i="2" a="1"/>
  <c r="U1484" i="2" s="1"/>
  <c r="U1485" i="2" a="1"/>
  <c r="U1485" i="2" s="1"/>
  <c r="U1486" i="2" a="1"/>
  <c r="U1486" i="2" s="1"/>
  <c r="U1487" i="2" a="1"/>
  <c r="U1487" i="2"/>
  <c r="U1488" i="2" a="1"/>
  <c r="U1488" i="2" s="1"/>
  <c r="U1489" i="2" a="1"/>
  <c r="U1489" i="2" s="1"/>
  <c r="U1490" i="2" a="1"/>
  <c r="U1490" i="2" s="1"/>
  <c r="U1491" i="2" a="1"/>
  <c r="U1491" i="2" s="1"/>
  <c r="U1492" i="2" a="1"/>
  <c r="U1492" i="2" s="1"/>
  <c r="U1493" i="2" a="1"/>
  <c r="U1493" i="2" s="1"/>
  <c r="U1494" i="2" a="1"/>
  <c r="U1494" i="2" s="1"/>
  <c r="U1495" i="2" a="1"/>
  <c r="U1495" i="2"/>
  <c r="U1496" i="2" a="1"/>
  <c r="U1496" i="2" s="1"/>
  <c r="U1497" i="2" a="1"/>
  <c r="U1497" i="2" s="1"/>
  <c r="U1498" i="2" a="1"/>
  <c r="U1498" i="2" s="1"/>
  <c r="U1499" i="2" a="1"/>
  <c r="U1499" i="2" s="1"/>
  <c r="U1500" i="2" a="1"/>
  <c r="U1500" i="2" s="1"/>
  <c r="U1501" i="2" a="1"/>
  <c r="U1501" i="2"/>
  <c r="U1502" i="2" a="1"/>
  <c r="U1502" i="2" s="1"/>
  <c r="U1503" i="2" a="1"/>
  <c r="U1503" i="2" s="1"/>
  <c r="U1504" i="2" a="1"/>
  <c r="U1504" i="2" s="1"/>
  <c r="U1505" i="2" a="1"/>
  <c r="U1505" i="2"/>
  <c r="U1506" i="2" a="1"/>
  <c r="U1506" i="2" s="1"/>
  <c r="U1507" i="2" a="1"/>
  <c r="U1507" i="2"/>
  <c r="U1508" i="2" a="1"/>
  <c r="U1508" i="2"/>
  <c r="U1509" i="2" a="1"/>
  <c r="U1509" i="2" s="1"/>
  <c r="U1510" i="2" a="1"/>
  <c r="U1510" i="2" s="1"/>
  <c r="U1511" i="2" a="1"/>
  <c r="U1511" i="2" s="1"/>
  <c r="U1512" i="2" a="1"/>
  <c r="U1512" i="2" s="1"/>
  <c r="U1513" i="2" a="1"/>
  <c r="U1513" i="2"/>
  <c r="U1514" i="2" a="1"/>
  <c r="U1514" i="2" s="1"/>
  <c r="U1515" i="2" a="1"/>
  <c r="U1515" i="2" s="1"/>
  <c r="U1516" i="2" a="1"/>
  <c r="U1516" i="2" s="1"/>
  <c r="U1517" i="2" a="1"/>
  <c r="U1517" i="2" s="1"/>
  <c r="U1518" i="2" a="1"/>
  <c r="U1518" i="2" s="1"/>
  <c r="U1519" i="2" a="1"/>
  <c r="U1519" i="2" s="1"/>
  <c r="U1520" i="2" a="1"/>
  <c r="U1520" i="2" s="1"/>
  <c r="U1521" i="2" a="1"/>
  <c r="U1521" i="2"/>
  <c r="U1522" i="2" a="1"/>
  <c r="U1522" i="2" s="1"/>
  <c r="U1523" i="2" a="1"/>
  <c r="U1523" i="2"/>
  <c r="U1524" i="2" a="1"/>
  <c r="U1524" i="2" s="1"/>
  <c r="U1525" i="2" a="1"/>
  <c r="U1525" i="2" s="1"/>
  <c r="U1526" i="2" a="1"/>
  <c r="U1526" i="2" s="1"/>
  <c r="U1527" i="2" a="1"/>
  <c r="U1527" i="2" s="1"/>
  <c r="U1528" i="2" a="1"/>
  <c r="U1528" i="2" s="1"/>
  <c r="U1529" i="2" a="1"/>
  <c r="U1529" i="2"/>
  <c r="U1530" i="2" a="1"/>
  <c r="U1530" i="2" s="1"/>
  <c r="U1531" i="2" a="1"/>
  <c r="U1531" i="2" s="1"/>
  <c r="U1532" i="2" a="1"/>
  <c r="U1532" i="2" s="1"/>
  <c r="U1533" i="2" a="1"/>
  <c r="U1533" i="2"/>
  <c r="U1534" i="2" a="1"/>
  <c r="U1534" i="2" s="1"/>
  <c r="U1535" i="2" a="1"/>
  <c r="U1535" i="2" s="1"/>
  <c r="U1536" i="2" a="1"/>
  <c r="U1536" i="2" s="1"/>
  <c r="U1537" i="2" a="1"/>
  <c r="U1537" i="2"/>
  <c r="U1538" i="2" a="1"/>
  <c r="U1538" i="2" s="1"/>
  <c r="U1539" i="2" a="1"/>
  <c r="U1539" i="2" s="1"/>
  <c r="U1540" i="2" a="1"/>
  <c r="U1540" i="2" s="1"/>
  <c r="U1541" i="2" a="1"/>
  <c r="U1541" i="2" s="1"/>
  <c r="U1542" i="2" a="1"/>
  <c r="U1542" i="2" s="1"/>
  <c r="U1543" i="2" a="1"/>
  <c r="U1543" i="2" s="1"/>
  <c r="U1544" i="2" a="1"/>
  <c r="U1544" i="2" s="1"/>
  <c r="U1545" i="2" a="1"/>
  <c r="U1545" i="2" s="1"/>
  <c r="U1546" i="2" a="1"/>
  <c r="U1546" i="2"/>
  <c r="U1547" i="2" a="1"/>
  <c r="U1547" i="2" s="1"/>
  <c r="U1548" i="2" a="1"/>
  <c r="U1548" i="2" s="1"/>
  <c r="U1549" i="2" a="1"/>
  <c r="U1549" i="2" s="1"/>
  <c r="U1550" i="2" a="1"/>
  <c r="U1550" i="2" s="1"/>
  <c r="U1551" i="2" a="1"/>
  <c r="U1551" i="2" s="1"/>
  <c r="U1552" i="2" a="1"/>
  <c r="U1552" i="2" s="1"/>
  <c r="U1553" i="2" a="1"/>
  <c r="U1553" i="2" s="1"/>
  <c r="U1554" i="2" a="1"/>
  <c r="U1554" i="2" s="1"/>
  <c r="U1555" i="2" a="1"/>
  <c r="U1555" i="2"/>
  <c r="U1556" i="2" a="1"/>
  <c r="U1556" i="2" s="1"/>
  <c r="U1557" i="2" a="1"/>
  <c r="U1557" i="2" s="1"/>
  <c r="U1558" i="2" a="1"/>
  <c r="U1558" i="2" s="1"/>
  <c r="U1559" i="2" a="1"/>
  <c r="U1559" i="2" s="1"/>
  <c r="U1560" i="2" a="1"/>
  <c r="U1560" i="2" s="1"/>
  <c r="U1561" i="2" a="1"/>
  <c r="U1561" i="2" s="1"/>
  <c r="U1562" i="2" a="1"/>
  <c r="U1562" i="2" s="1"/>
  <c r="U1563" i="2" a="1"/>
  <c r="U1563" i="2" s="1"/>
  <c r="U1564" i="2" a="1"/>
  <c r="U1564" i="2" s="1"/>
  <c r="U1565" i="2" a="1"/>
  <c r="U1565" i="2" s="1"/>
  <c r="U1566" i="2" a="1"/>
  <c r="U1566" i="2" s="1"/>
  <c r="U1567" i="2" a="1"/>
  <c r="U1567" i="2" s="1"/>
  <c r="U1568" i="2" a="1"/>
  <c r="U1568" i="2"/>
  <c r="U1569" i="2" a="1"/>
  <c r="U1569" i="2" s="1"/>
  <c r="U1570" i="2" a="1"/>
  <c r="U1570" i="2" s="1"/>
  <c r="U1571" i="2" a="1"/>
  <c r="U1571" i="2" s="1"/>
  <c r="U1572" i="2" a="1"/>
  <c r="U1572" i="2" s="1"/>
  <c r="U1573" i="2" a="1"/>
  <c r="U1573" i="2" s="1"/>
  <c r="U1574" i="2" a="1"/>
  <c r="U1574" i="2" s="1"/>
  <c r="U1575" i="2" a="1"/>
  <c r="U1575" i="2" s="1"/>
  <c r="U1576" i="2" a="1"/>
  <c r="U1576" i="2" s="1"/>
  <c r="U1577" i="2" a="1"/>
  <c r="U1577" i="2"/>
  <c r="U1578" i="2" a="1"/>
  <c r="U1578" i="2" s="1"/>
  <c r="U1579" i="2" a="1"/>
  <c r="U1579" i="2" s="1"/>
  <c r="U1580" i="2" a="1"/>
  <c r="U1580" i="2" s="1"/>
  <c r="U1581" i="2" a="1"/>
  <c r="U1581" i="2" s="1"/>
  <c r="U1582" i="2" a="1"/>
  <c r="U1582" i="2"/>
  <c r="U1583" i="2" a="1"/>
  <c r="U1583" i="2" s="1"/>
  <c r="U1584" i="2" a="1"/>
  <c r="U1584" i="2" s="1"/>
  <c r="U1585" i="2" a="1"/>
  <c r="U1585" i="2" s="1"/>
  <c r="U1586" i="2" a="1"/>
  <c r="U1586" i="2" s="1"/>
  <c r="U1587" i="2" a="1"/>
  <c r="U1587" i="2" s="1"/>
  <c r="U1588" i="2" a="1"/>
  <c r="U1588" i="2" s="1"/>
  <c r="U1589" i="2" a="1"/>
  <c r="U1589" i="2" s="1"/>
  <c r="U1590" i="2" a="1"/>
  <c r="U1590" i="2" s="1"/>
  <c r="U1591" i="2" a="1"/>
  <c r="U1591" i="2" s="1"/>
  <c r="U1592" i="2" a="1"/>
  <c r="U1592" i="2"/>
  <c r="U1593" i="2" a="1"/>
  <c r="U1593" i="2"/>
  <c r="U1594" i="2" a="1"/>
  <c r="U1594" i="2" s="1"/>
  <c r="U1595" i="2" a="1"/>
  <c r="U1595" i="2" s="1"/>
  <c r="U1596" i="2" a="1"/>
  <c r="U1596" i="2" s="1"/>
  <c r="U1597" i="2" a="1"/>
  <c r="U1597" i="2" s="1"/>
  <c r="U1598" i="2" a="1"/>
  <c r="U1598" i="2" s="1"/>
  <c r="U1599" i="2" a="1"/>
  <c r="U1599" i="2" s="1"/>
  <c r="U1600" i="2" a="1"/>
  <c r="U1600" i="2" s="1"/>
  <c r="U1601" i="2" a="1"/>
  <c r="U1601" i="2" s="1"/>
  <c r="U1602" i="2" a="1"/>
  <c r="U1602" i="2" s="1"/>
  <c r="U1603" i="2" a="1"/>
  <c r="U1603" i="2" s="1"/>
  <c r="U1604" i="2" a="1"/>
  <c r="U1604" i="2" s="1"/>
  <c r="U1605" i="2" a="1"/>
  <c r="U1605" i="2" s="1"/>
  <c r="U1606" i="2" a="1"/>
  <c r="U1606" i="2" s="1"/>
  <c r="U1607" i="2" a="1"/>
  <c r="U1607" i="2" s="1"/>
  <c r="U1608" i="2" a="1"/>
  <c r="U1608" i="2" s="1"/>
  <c r="U1609" i="2" a="1"/>
  <c r="U1609" i="2" s="1"/>
  <c r="U1610" i="2" a="1"/>
  <c r="U1610" i="2" s="1"/>
  <c r="U1611" i="2" a="1"/>
  <c r="U1611" i="2" s="1"/>
  <c r="U1612" i="2" a="1"/>
  <c r="U1612" i="2" s="1"/>
  <c r="U1613" i="2" a="1"/>
  <c r="U1613" i="2" s="1"/>
  <c r="U1614" i="2" a="1"/>
  <c r="U1614" i="2" s="1"/>
  <c r="U1615" i="2" a="1"/>
  <c r="U1615" i="2" s="1"/>
  <c r="U1616" i="2" a="1"/>
  <c r="U1616" i="2" s="1"/>
  <c r="U1617" i="2" a="1"/>
  <c r="U1617" i="2" s="1"/>
  <c r="U1618" i="2" a="1"/>
  <c r="U1618" i="2" s="1"/>
  <c r="U1619" i="2" a="1"/>
  <c r="U1619" i="2"/>
  <c r="U1620" i="2" a="1"/>
  <c r="U1620" i="2" s="1"/>
  <c r="U1621" i="2" a="1"/>
  <c r="U1621" i="2" s="1"/>
  <c r="U1622" i="2" a="1"/>
  <c r="U1622" i="2"/>
  <c r="U1623" i="2" a="1"/>
  <c r="U1623" i="2" s="1"/>
  <c r="U1624" i="2" a="1"/>
  <c r="U1624" i="2" s="1"/>
  <c r="U1625" i="2" a="1"/>
  <c r="U1625" i="2"/>
  <c r="U1626" i="2" a="1"/>
  <c r="U1626" i="2" s="1"/>
  <c r="U1627" i="2" a="1"/>
  <c r="U1627" i="2" s="1"/>
  <c r="U1628" i="2" a="1"/>
  <c r="U1628" i="2" s="1"/>
  <c r="U1629" i="2" a="1"/>
  <c r="U1629" i="2" s="1"/>
  <c r="U1630" i="2" a="1"/>
  <c r="U1630" i="2" s="1"/>
  <c r="U1631" i="2" a="1"/>
  <c r="U1631" i="2" s="1"/>
  <c r="U1632" i="2" a="1"/>
  <c r="U1632" i="2" s="1"/>
  <c r="U1633" i="2" a="1"/>
  <c r="U1633" i="2"/>
  <c r="U1634" i="2" a="1"/>
  <c r="U1634" i="2" s="1"/>
  <c r="U1635" i="2" a="1"/>
  <c r="U1635" i="2" s="1"/>
  <c r="U1636" i="2" a="1"/>
  <c r="U1636" i="2" s="1"/>
  <c r="U1637" i="2" a="1"/>
  <c r="U1637" i="2" s="1"/>
  <c r="U1638" i="2" a="1"/>
  <c r="U1638" i="2" s="1"/>
  <c r="U1639" i="2" a="1"/>
  <c r="U1639" i="2" s="1"/>
  <c r="U1640" i="2" a="1"/>
  <c r="U1640" i="2" s="1"/>
  <c r="U1641" i="2" a="1"/>
  <c r="U1641" i="2"/>
  <c r="U1642" i="2" a="1"/>
  <c r="U1642" i="2" s="1"/>
  <c r="U1643" i="2" a="1"/>
  <c r="U1643" i="2" s="1"/>
  <c r="U1644" i="2" a="1"/>
  <c r="U1644" i="2" s="1"/>
  <c r="U1645" i="2" a="1"/>
  <c r="U1645" i="2" s="1"/>
  <c r="U1646" i="2" a="1"/>
  <c r="U1646" i="2" s="1"/>
  <c r="U1647" i="2" a="1"/>
  <c r="U1647" i="2" s="1"/>
  <c r="U1648" i="2" a="1"/>
  <c r="U1648" i="2" s="1"/>
  <c r="U1649" i="2" a="1"/>
  <c r="U1649" i="2" s="1"/>
  <c r="U1650" i="2" a="1"/>
  <c r="U1650" i="2" s="1"/>
  <c r="U1651" i="2" a="1"/>
  <c r="U1651" i="2"/>
  <c r="U1652" i="2" a="1"/>
  <c r="U1652" i="2"/>
  <c r="U1653" i="2" a="1"/>
  <c r="U1653" i="2"/>
  <c r="U1654" i="2" a="1"/>
  <c r="U1654" i="2" s="1"/>
  <c r="U1655" i="2" a="1"/>
  <c r="U1655" i="2" s="1"/>
  <c r="U1656" i="2" a="1"/>
  <c r="U1656" i="2" s="1"/>
  <c r="U1657" i="2" a="1"/>
  <c r="U1657" i="2" s="1"/>
  <c r="U1658" i="2" a="1"/>
  <c r="U1658" i="2" s="1"/>
  <c r="U1659" i="2" a="1"/>
  <c r="U1659" i="2"/>
  <c r="U1660" i="2" a="1"/>
  <c r="U1660" i="2"/>
  <c r="U1661" i="2" a="1"/>
  <c r="U1661" i="2" s="1"/>
  <c r="U1662" i="2" a="1"/>
  <c r="U1662" i="2" s="1"/>
  <c r="U1663" i="2" a="1"/>
  <c r="U1663" i="2" s="1"/>
  <c r="U1664" i="2" a="1"/>
  <c r="U1664" i="2" s="1"/>
  <c r="U1665" i="2" a="1"/>
  <c r="U1665" i="2" s="1"/>
  <c r="U1666" i="2" a="1"/>
  <c r="U1666" i="2"/>
  <c r="U1667" i="2" a="1"/>
  <c r="U1667" i="2" s="1"/>
  <c r="U1668" i="2" a="1"/>
  <c r="U1668" i="2" s="1"/>
  <c r="U1669" i="2" a="1"/>
  <c r="U1669" i="2" s="1"/>
  <c r="U1670" i="2" a="1"/>
  <c r="U1670" i="2" s="1"/>
  <c r="U1671" i="2" a="1"/>
  <c r="U1671" i="2" s="1"/>
  <c r="U1672" i="2" a="1"/>
  <c r="U1672" i="2" s="1"/>
  <c r="U1673" i="2" a="1"/>
  <c r="U1673" i="2" s="1"/>
  <c r="U1674" i="2" a="1"/>
  <c r="U1674" i="2" s="1"/>
  <c r="U1675" i="2" a="1"/>
  <c r="U1675" i="2" s="1"/>
  <c r="U1676" i="2" a="1"/>
  <c r="U1676" i="2" s="1"/>
  <c r="U1677" i="2" a="1"/>
  <c r="U1677" i="2"/>
  <c r="U1678" i="2" a="1"/>
  <c r="U1678" i="2" s="1"/>
  <c r="U1679" i="2" a="1"/>
  <c r="U1679" i="2" s="1"/>
  <c r="U1680" i="2" a="1"/>
  <c r="U1680" i="2" s="1"/>
  <c r="U1681" i="2" a="1"/>
  <c r="U1681" i="2" s="1"/>
  <c r="U1682" i="2" a="1"/>
  <c r="U1682" i="2" s="1"/>
  <c r="U1683" i="2" a="1"/>
  <c r="U1683" i="2" s="1"/>
  <c r="U1684" i="2" a="1"/>
  <c r="U1684" i="2"/>
  <c r="U1685" i="2" a="1"/>
  <c r="U1685" i="2" s="1"/>
  <c r="U1686" i="2" a="1"/>
  <c r="U1686" i="2" s="1"/>
  <c r="U1687" i="2" a="1"/>
  <c r="U1687" i="2" s="1"/>
  <c r="U1688" i="2" a="1"/>
  <c r="U1688" i="2" s="1"/>
  <c r="U1689" i="2" a="1"/>
  <c r="U1689" i="2" s="1"/>
  <c r="U1690" i="2" a="1"/>
  <c r="U1690" i="2" s="1"/>
  <c r="U1691" i="2" a="1"/>
  <c r="U1691" i="2" s="1"/>
  <c r="U1692" i="2" a="1"/>
  <c r="U1692" i="2" s="1"/>
  <c r="U1693" i="2" a="1"/>
  <c r="U1693" i="2" s="1"/>
  <c r="U1694" i="2" a="1"/>
  <c r="U1694" i="2" s="1"/>
  <c r="U1695" i="2" a="1"/>
  <c r="U1695" i="2"/>
  <c r="U1696" i="2" a="1"/>
  <c r="U1696" i="2" s="1"/>
  <c r="U1697" i="2" a="1"/>
  <c r="U1697" i="2" s="1"/>
  <c r="U1698" i="2" a="1"/>
  <c r="U1698" i="2" s="1"/>
  <c r="U1699" i="2" a="1"/>
  <c r="U1699" i="2" s="1"/>
  <c r="U1700" i="2" a="1"/>
  <c r="U1700" i="2" s="1"/>
  <c r="U1701" i="2" a="1"/>
  <c r="U1701" i="2" s="1"/>
  <c r="U1702" i="2" a="1"/>
  <c r="U1702" i="2" s="1"/>
  <c r="U1703" i="2" a="1"/>
  <c r="U1703" i="2" s="1"/>
  <c r="U1704" i="2" a="1"/>
  <c r="U1704" i="2" s="1"/>
  <c r="U1705" i="2" a="1"/>
  <c r="U1705" i="2"/>
  <c r="U1706" i="2" a="1"/>
  <c r="U1706" i="2"/>
  <c r="U1707" i="2" a="1"/>
  <c r="U1707" i="2"/>
  <c r="U1708" i="2" a="1"/>
  <c r="U1708" i="2" s="1"/>
  <c r="U1709" i="2" a="1"/>
  <c r="U1709" i="2" s="1"/>
  <c r="U1710" i="2" a="1"/>
  <c r="U1710" i="2" s="1"/>
  <c r="U1711" i="2" a="1"/>
  <c r="U1711" i="2" s="1"/>
  <c r="U1712" i="2" a="1"/>
  <c r="U1712" i="2"/>
  <c r="U1713" i="2" a="1"/>
  <c r="U1713" i="2" s="1"/>
  <c r="U1714" i="2" a="1"/>
  <c r="U1714" i="2" s="1"/>
  <c r="U1715" i="2" a="1"/>
  <c r="U1715" i="2" s="1"/>
  <c r="U1716" i="2" a="1"/>
  <c r="U1716" i="2" s="1"/>
  <c r="U1717" i="2" a="1"/>
  <c r="U1717" i="2"/>
  <c r="U1718" i="2" a="1"/>
  <c r="U1718" i="2" s="1"/>
  <c r="U1719" i="2" a="1"/>
  <c r="U1719" i="2" s="1"/>
  <c r="U1720" i="2" a="1"/>
  <c r="U1720" i="2" s="1"/>
  <c r="U1721" i="2" a="1"/>
  <c r="U1721" i="2" s="1"/>
  <c r="U1722" i="2" a="1"/>
  <c r="U1722" i="2" s="1"/>
  <c r="U1723" i="2" a="1"/>
  <c r="U1723" i="2" s="1"/>
  <c r="U1724" i="2" a="1"/>
  <c r="U1724" i="2" s="1"/>
  <c r="U1725" i="2" a="1"/>
  <c r="U1725" i="2"/>
  <c r="U1726" i="2" a="1"/>
  <c r="U1726" i="2" s="1"/>
  <c r="U1727" i="2" a="1"/>
  <c r="U1727" i="2"/>
  <c r="U1728" i="2" a="1"/>
  <c r="U1728" i="2" s="1"/>
  <c r="U1729" i="2" a="1"/>
  <c r="U1729" i="2" s="1"/>
  <c r="U1730" i="2" a="1"/>
  <c r="U1730" i="2"/>
  <c r="U1731" i="2" a="1"/>
  <c r="U1731" i="2" s="1"/>
  <c r="U1732" i="2" a="1"/>
  <c r="U1732" i="2" s="1"/>
  <c r="U1733" i="2" a="1"/>
  <c r="U1733" i="2" s="1"/>
  <c r="U1734" i="2" a="1"/>
  <c r="U1734" i="2" s="1"/>
  <c r="U1735" i="2" a="1"/>
  <c r="U1735" i="2" s="1"/>
  <c r="U1736" i="2" a="1"/>
  <c r="U1736" i="2"/>
  <c r="U1737" i="2" a="1"/>
  <c r="U1737" i="2"/>
  <c r="U1738" i="2" a="1"/>
  <c r="U1738" i="2" s="1"/>
  <c r="U1739" i="2" a="1"/>
  <c r="U1739" i="2" s="1"/>
  <c r="U1740" i="2" a="1"/>
  <c r="U1740" i="2" s="1"/>
  <c r="U1741" i="2" a="1"/>
  <c r="U1741" i="2" s="1"/>
  <c r="U1742" i="2" a="1"/>
  <c r="U1742" i="2" s="1"/>
  <c r="U1743" i="2" a="1"/>
  <c r="U1743" i="2" s="1"/>
  <c r="U1744" i="2" a="1"/>
  <c r="U1744" i="2"/>
  <c r="U1745" i="2" a="1"/>
  <c r="U1745" i="2" s="1"/>
  <c r="U1746" i="2" a="1"/>
  <c r="U1746" i="2" s="1"/>
  <c r="U1747" i="2" a="1"/>
  <c r="U1747" i="2" s="1"/>
  <c r="U1748" i="2" a="1"/>
  <c r="U1748" i="2" s="1"/>
  <c r="U1749" i="2" a="1"/>
  <c r="U1749" i="2"/>
  <c r="U1750" i="2" a="1"/>
  <c r="U1750" i="2" s="1"/>
  <c r="U1751" i="2" a="1"/>
  <c r="U1751" i="2" s="1"/>
  <c r="U1752" i="2" a="1"/>
  <c r="U1752" i="2" s="1"/>
  <c r="U1753" i="2" a="1"/>
  <c r="U1753" i="2" s="1"/>
  <c r="U1754" i="2" a="1"/>
  <c r="U1754" i="2" s="1"/>
  <c r="U1755" i="2" a="1"/>
  <c r="U1755" i="2" s="1"/>
  <c r="U1756" i="2" a="1"/>
  <c r="U1756" i="2" s="1"/>
  <c r="U1757" i="2" a="1"/>
  <c r="U1757" i="2"/>
  <c r="U1758" i="2" a="1"/>
  <c r="U1758" i="2" s="1"/>
  <c r="U1759" i="2" a="1"/>
  <c r="U1759" i="2"/>
  <c r="U1760" i="2" a="1"/>
  <c r="U1760" i="2" s="1"/>
  <c r="U1761" i="2" a="1"/>
  <c r="U1761" i="2" s="1"/>
  <c r="U1762" i="2" a="1"/>
  <c r="U1762" i="2" s="1"/>
  <c r="U1763" i="2" a="1"/>
  <c r="U1763" i="2" s="1"/>
  <c r="U1764" i="2" a="1"/>
  <c r="U1764" i="2" s="1"/>
  <c r="U1765" i="2" a="1"/>
  <c r="U1765" i="2" s="1"/>
  <c r="U1766" i="2" a="1"/>
  <c r="U1766" i="2" s="1"/>
  <c r="U1767" i="2" a="1"/>
  <c r="U1767" i="2"/>
  <c r="U1768" i="2" a="1"/>
  <c r="U1768" i="2" s="1"/>
  <c r="U1769" i="2" a="1"/>
  <c r="U1769" i="2" s="1"/>
  <c r="U1770" i="2" a="1"/>
  <c r="U1770" i="2" s="1"/>
  <c r="U1771" i="2" a="1"/>
  <c r="U1771" i="2" s="1"/>
  <c r="U1772" i="2" a="1"/>
  <c r="U1772" i="2" s="1"/>
  <c r="U1773" i="2" a="1"/>
  <c r="U1773" i="2"/>
  <c r="U1774" i="2" a="1"/>
  <c r="U1774" i="2" s="1"/>
  <c r="U1775" i="2" a="1"/>
  <c r="U1775" i="2"/>
  <c r="U1776" i="2" a="1"/>
  <c r="U1776" i="2" s="1"/>
  <c r="U1777" i="2" a="1"/>
  <c r="U1777" i="2" s="1"/>
  <c r="U1778" i="2" a="1"/>
  <c r="U1778" i="2" s="1"/>
  <c r="U1779" i="2" a="1"/>
  <c r="U1779" i="2" s="1"/>
  <c r="U1780" i="2" a="1"/>
  <c r="U1780" i="2" s="1"/>
  <c r="U1781" i="2" a="1"/>
  <c r="U1781" i="2" s="1"/>
  <c r="U1782" i="2" a="1"/>
  <c r="U1782" i="2" s="1"/>
  <c r="U1783" i="2" a="1"/>
  <c r="U1783" i="2"/>
  <c r="U1784" i="2" a="1"/>
  <c r="U1784" i="2"/>
  <c r="U1785" i="2" a="1"/>
  <c r="U1785" i="2" s="1"/>
  <c r="U1786" i="2" a="1"/>
  <c r="U1786" i="2" s="1"/>
  <c r="U1787" i="2" a="1"/>
  <c r="U1787" i="2" s="1"/>
  <c r="U1788" i="2" a="1"/>
  <c r="U1788" i="2" s="1"/>
  <c r="U1789" i="2" a="1"/>
  <c r="U1789" i="2" s="1"/>
  <c r="U1790" i="2" a="1"/>
  <c r="U1790" i="2"/>
  <c r="U1791" i="2" a="1"/>
  <c r="U1791" i="2" s="1"/>
  <c r="U1792" i="2" a="1"/>
  <c r="U1792" i="2" s="1"/>
  <c r="U1793" i="2" a="1"/>
  <c r="U1793" i="2" s="1"/>
  <c r="U1794" i="2" a="1"/>
  <c r="U1794" i="2" s="1"/>
  <c r="U1795" i="2" a="1"/>
  <c r="U1795" i="2"/>
  <c r="U1796" i="2" a="1"/>
  <c r="U1796" i="2" s="1"/>
  <c r="U1797" i="2" a="1"/>
  <c r="U1797" i="2" s="1"/>
  <c r="U1798" i="2" a="1"/>
  <c r="U1798" i="2" s="1"/>
  <c r="U1799" i="2" a="1"/>
  <c r="U1799" i="2"/>
  <c r="U1800" i="2" a="1"/>
  <c r="U1800" i="2" s="1"/>
  <c r="U1801" i="2" a="1"/>
  <c r="U1801" i="2" s="1"/>
  <c r="U1802" i="2" a="1"/>
  <c r="U1802" i="2" s="1"/>
  <c r="U1803" i="2" a="1"/>
  <c r="U1803" i="2" s="1"/>
  <c r="U1804" i="2" a="1"/>
  <c r="U1804" i="2" s="1"/>
  <c r="U1805" i="2" a="1"/>
  <c r="U1805" i="2" s="1"/>
  <c r="U1806" i="2" a="1"/>
  <c r="U1806" i="2" s="1"/>
  <c r="U1807" i="2" a="1"/>
  <c r="U1807" i="2" s="1"/>
  <c r="U1808" i="2" a="1"/>
  <c r="U1808" i="2" s="1"/>
  <c r="U1809" i="2" a="1"/>
  <c r="U1809" i="2" s="1"/>
  <c r="U1810" i="2" a="1"/>
  <c r="U1810" i="2" s="1"/>
  <c r="U1811" i="2" a="1"/>
  <c r="U1811" i="2" s="1"/>
  <c r="U1812" i="2" a="1"/>
  <c r="U1812" i="2" s="1"/>
  <c r="U1813" i="2" a="1"/>
  <c r="U1813" i="2" s="1"/>
  <c r="U1814" i="2" a="1"/>
  <c r="U1814" i="2" s="1"/>
  <c r="U1815" i="2" a="1"/>
  <c r="U1815" i="2"/>
  <c r="U1816" i="2" a="1"/>
  <c r="U1816" i="2" s="1"/>
  <c r="U1817" i="2" a="1"/>
  <c r="U1817" i="2"/>
  <c r="U1818" i="2" a="1"/>
  <c r="U1818" i="2" s="1"/>
  <c r="U1819" i="2" a="1"/>
  <c r="U1819" i="2" s="1"/>
  <c r="U1820" i="2" a="1"/>
  <c r="U1820" i="2" s="1"/>
  <c r="U1821" i="2" a="1"/>
  <c r="U1821" i="2" s="1"/>
  <c r="U1822" i="2" a="1"/>
  <c r="U1822" i="2" s="1"/>
  <c r="U1823" i="2" a="1"/>
  <c r="U1823" i="2" s="1"/>
  <c r="U1824" i="2" a="1"/>
  <c r="U1824" i="2" s="1"/>
  <c r="U1825" i="2" a="1"/>
  <c r="U1825" i="2" s="1"/>
  <c r="U1826" i="2" a="1"/>
  <c r="U1826" i="2" s="1"/>
  <c r="U1827" i="2" a="1"/>
  <c r="U1827" i="2" s="1"/>
  <c r="U1828" i="2" a="1"/>
  <c r="U1828" i="2" s="1"/>
  <c r="U1829" i="2" a="1"/>
  <c r="U1829" i="2" s="1"/>
  <c r="U1830" i="2" a="1"/>
  <c r="U1830" i="2" s="1"/>
  <c r="U1831" i="2" a="1"/>
  <c r="U1831" i="2" s="1"/>
  <c r="U1832" i="2" a="1"/>
  <c r="U1832" i="2" s="1"/>
  <c r="U1833" i="2" a="1"/>
  <c r="U1833" i="2" s="1"/>
  <c r="U1834" i="2" a="1"/>
  <c r="U1834" i="2"/>
  <c r="U1835" i="2" a="1"/>
  <c r="U1835" i="2"/>
  <c r="U1836" i="2" a="1"/>
  <c r="U1836" i="2" s="1"/>
  <c r="U1837" i="2" a="1"/>
  <c r="U1837" i="2"/>
  <c r="U1838" i="2" a="1"/>
  <c r="U1838" i="2" s="1"/>
  <c r="U1839" i="2" a="1"/>
  <c r="U1839" i="2" s="1"/>
  <c r="U1840" i="2" a="1"/>
  <c r="U1840" i="2" s="1"/>
  <c r="U1841" i="2" a="1"/>
  <c r="U1841" i="2"/>
  <c r="U1842" i="2" a="1"/>
  <c r="U1842" i="2" s="1"/>
  <c r="U1843" i="2" a="1"/>
  <c r="U1843" i="2" s="1"/>
  <c r="U1844" i="2" a="1"/>
  <c r="U1844" i="2" s="1"/>
  <c r="U1845" i="2" a="1"/>
  <c r="U1845" i="2" s="1"/>
  <c r="U1846" i="2" a="1"/>
  <c r="U1846" i="2" s="1"/>
  <c r="U1847" i="2" a="1"/>
  <c r="U1847" i="2" s="1"/>
  <c r="U1848" i="2" a="1"/>
  <c r="U1848" i="2" s="1"/>
  <c r="U1849" i="2" a="1"/>
  <c r="U1849" i="2" s="1"/>
  <c r="U1850" i="2" a="1"/>
  <c r="U1850" i="2" s="1"/>
  <c r="U1851" i="2" a="1"/>
  <c r="U1851" i="2"/>
  <c r="U1852" i="2" a="1"/>
  <c r="U1852" i="2" s="1"/>
  <c r="U1853" i="2" a="1"/>
  <c r="U1853" i="2" s="1"/>
  <c r="U1854" i="2" a="1"/>
  <c r="U1854" i="2" s="1"/>
  <c r="U1855" i="2" a="1"/>
  <c r="U1855" i="2" s="1"/>
  <c r="U1856" i="2" a="1"/>
  <c r="U1856" i="2" s="1"/>
  <c r="U1857" i="2" a="1"/>
  <c r="U1857" i="2" s="1"/>
  <c r="U1858" i="2" a="1"/>
  <c r="U1858" i="2" s="1"/>
  <c r="U1859" i="2" a="1"/>
  <c r="U1859" i="2" s="1"/>
  <c r="U1860" i="2" a="1"/>
  <c r="U1860" i="2" s="1"/>
  <c r="U1861" i="2" a="1"/>
  <c r="U1861" i="2" s="1"/>
  <c r="U1862" i="2" a="1"/>
  <c r="U1862" i="2"/>
  <c r="U1863" i="2" a="1"/>
  <c r="U1863" i="2"/>
  <c r="U1864" i="2" a="1"/>
  <c r="U1864" i="2" s="1"/>
  <c r="U1865" i="2" a="1"/>
  <c r="U1865" i="2" s="1"/>
  <c r="U1866" i="2" a="1"/>
  <c r="U1866" i="2" s="1"/>
  <c r="U1867" i="2" a="1"/>
  <c r="U1867" i="2"/>
  <c r="U1868" i="2" a="1"/>
  <c r="U1868" i="2" s="1"/>
  <c r="U1869" i="2" a="1"/>
  <c r="U1869" i="2" s="1"/>
  <c r="U1870" i="2" a="1"/>
  <c r="U1870" i="2"/>
  <c r="U1871" i="2" a="1"/>
  <c r="U1871" i="2"/>
  <c r="U1872" i="2" a="1"/>
  <c r="U1872" i="2" s="1"/>
  <c r="U1873" i="2" a="1"/>
  <c r="U1873" i="2" s="1"/>
  <c r="U1874" i="2" a="1"/>
  <c r="U1874" i="2" s="1"/>
  <c r="U1875" i="2" a="1"/>
  <c r="U1875" i="2" s="1"/>
  <c r="U1876" i="2" a="1"/>
  <c r="U1876" i="2"/>
  <c r="U1877" i="2" a="1"/>
  <c r="U1877" i="2"/>
  <c r="U1878" i="2" a="1"/>
  <c r="U1878" i="2" s="1"/>
  <c r="U1879" i="2" a="1"/>
  <c r="U1879" i="2" s="1"/>
  <c r="U1880" i="2" a="1"/>
  <c r="U1880" i="2"/>
  <c r="U1881" i="2" a="1"/>
  <c r="U1881" i="2" s="1"/>
  <c r="U1882" i="2" a="1"/>
  <c r="U1882" i="2" s="1"/>
  <c r="U1883" i="2" a="1"/>
  <c r="U1883" i="2" s="1"/>
  <c r="U1884" i="2" a="1"/>
  <c r="U1884" i="2" s="1"/>
  <c r="U1885" i="2" a="1"/>
  <c r="U1885" i="2" s="1"/>
  <c r="U1886" i="2" a="1"/>
  <c r="U1886" i="2" s="1"/>
  <c r="U1887" i="2" a="1"/>
  <c r="U1887" i="2" s="1"/>
  <c r="U1888" i="2" a="1"/>
  <c r="U1888" i="2" s="1"/>
  <c r="U1889" i="2" a="1"/>
  <c r="U1889" i="2" s="1"/>
  <c r="U1890" i="2" a="1"/>
  <c r="U1890" i="2" s="1"/>
  <c r="U1891" i="2" a="1"/>
  <c r="U1891" i="2" s="1"/>
  <c r="U1892" i="2" a="1"/>
  <c r="U1892" i="2" s="1"/>
  <c r="U1893" i="2" a="1"/>
  <c r="U1893" i="2"/>
  <c r="U1894" i="2" a="1"/>
  <c r="U1894" i="2" s="1"/>
  <c r="U1895" i="2" a="1"/>
  <c r="U1895" i="2" s="1"/>
  <c r="U1896" i="2" a="1"/>
  <c r="U1896" i="2" s="1"/>
  <c r="U1897" i="2" a="1"/>
  <c r="U1897" i="2" s="1"/>
  <c r="U1898" i="2" a="1"/>
  <c r="U1898" i="2" s="1"/>
  <c r="U1899" i="2" a="1"/>
  <c r="U1899" i="2" s="1"/>
  <c r="U1900" i="2" a="1"/>
  <c r="U1900" i="2" s="1"/>
  <c r="U1901" i="2" a="1"/>
  <c r="U1901" i="2" s="1"/>
  <c r="U1902" i="2" a="1"/>
  <c r="U1902" i="2" s="1"/>
  <c r="U1903" i="2" a="1"/>
  <c r="U1903" i="2"/>
  <c r="U1904" i="2" a="1"/>
  <c r="U1904" i="2" s="1"/>
  <c r="U1905" i="2" a="1"/>
  <c r="U1905" i="2"/>
  <c r="U1906" i="2" a="1"/>
  <c r="U1906" i="2" s="1"/>
  <c r="U1907" i="2" a="1"/>
  <c r="U1907" i="2" s="1"/>
  <c r="U1908" i="2" a="1"/>
  <c r="U1908" i="2" s="1"/>
  <c r="U1909" i="2" a="1"/>
  <c r="U1909" i="2" s="1"/>
  <c r="U1910" i="2" a="1"/>
  <c r="U1910" i="2"/>
  <c r="U1911" i="2" a="1"/>
  <c r="U1911" i="2"/>
  <c r="U1912" i="2" a="1"/>
  <c r="U1912" i="2" s="1"/>
  <c r="U1913" i="2" a="1"/>
  <c r="U1913" i="2"/>
  <c r="U1914" i="2" a="1"/>
  <c r="U1914" i="2" s="1"/>
  <c r="U1915" i="2" a="1"/>
  <c r="U1915" i="2" s="1"/>
  <c r="U1916" i="2" a="1"/>
  <c r="U1916" i="2" s="1"/>
  <c r="U1917" i="2" a="1"/>
  <c r="U1917" i="2" s="1"/>
  <c r="U1918" i="2" a="1"/>
  <c r="U1918" i="2"/>
  <c r="U1919" i="2" a="1"/>
  <c r="U1919" i="2" s="1"/>
  <c r="U1920" i="2" a="1"/>
  <c r="U1920" i="2" s="1"/>
  <c r="U1921" i="2" a="1"/>
  <c r="U1921" i="2" s="1"/>
  <c r="U1922" i="2" a="1"/>
  <c r="U1922" i="2"/>
  <c r="U1923" i="2" a="1"/>
  <c r="U1923" i="2" s="1"/>
  <c r="U1924" i="2" a="1"/>
  <c r="U1924" i="2" s="1"/>
  <c r="U1925" i="2" a="1"/>
  <c r="U1925" i="2" s="1"/>
  <c r="U1926" i="2" a="1"/>
  <c r="U1926" i="2" s="1"/>
  <c r="U1927" i="2" a="1"/>
  <c r="U1927" i="2"/>
  <c r="U1928" i="2" a="1"/>
  <c r="U1928" i="2" s="1"/>
  <c r="U1929" i="2" a="1"/>
  <c r="U1929" i="2" s="1"/>
  <c r="U1930" i="2" a="1"/>
  <c r="U1930" i="2" s="1"/>
  <c r="U1931" i="2" a="1"/>
  <c r="U1931" i="2" s="1"/>
  <c r="U1932" i="2" a="1"/>
  <c r="U1932" i="2" s="1"/>
  <c r="U1933" i="2" a="1"/>
  <c r="U1933" i="2" s="1"/>
  <c r="U1934" i="2" a="1"/>
  <c r="U1934" i="2" s="1"/>
  <c r="U1935" i="2" a="1"/>
  <c r="U1935" i="2"/>
  <c r="U1936" i="2" a="1"/>
  <c r="U1936" i="2" s="1"/>
  <c r="U1937" i="2" a="1"/>
  <c r="U1937" i="2"/>
  <c r="U1938" i="2" a="1"/>
  <c r="U1938" i="2" s="1"/>
  <c r="U1939" i="2" a="1"/>
  <c r="U1939" i="2" s="1"/>
  <c r="U1940" i="2" a="1"/>
  <c r="U1940" i="2" s="1"/>
  <c r="U1941" i="2" a="1"/>
  <c r="U1941" i="2" s="1"/>
  <c r="U1942" i="2" a="1"/>
  <c r="U1942" i="2"/>
  <c r="U1943" i="2" a="1"/>
  <c r="U1943" i="2" s="1"/>
  <c r="U1944" i="2" a="1"/>
  <c r="U1944" i="2" s="1"/>
  <c r="U1945" i="2" a="1"/>
  <c r="U1945" i="2" s="1"/>
  <c r="U1946" i="2" a="1"/>
  <c r="U1946" i="2" s="1"/>
  <c r="U1947" i="2" a="1"/>
  <c r="U1947" i="2" s="1"/>
  <c r="U1948" i="2" a="1"/>
  <c r="U1948" i="2" s="1"/>
  <c r="U1949" i="2" a="1"/>
  <c r="U1949" i="2"/>
  <c r="U1950" i="2" a="1"/>
  <c r="U1950" i="2" s="1"/>
  <c r="U1951" i="2" a="1"/>
  <c r="U1951" i="2" s="1"/>
  <c r="U1952" i="2" a="1"/>
  <c r="U1952" i="2" s="1"/>
  <c r="U1953" i="2" a="1"/>
  <c r="U1953" i="2"/>
  <c r="U1954" i="2" a="1"/>
  <c r="U1954" i="2"/>
  <c r="U1955" i="2" a="1"/>
  <c r="U1955" i="2"/>
  <c r="U1956" i="2" a="1"/>
  <c r="U1956" i="2" s="1"/>
  <c r="U1957" i="2" a="1"/>
  <c r="U1957" i="2"/>
  <c r="U1958" i="2" a="1"/>
  <c r="U1958" i="2" s="1"/>
  <c r="U1959" i="2" a="1"/>
  <c r="U1959" i="2" s="1"/>
  <c r="U1960" i="2" a="1"/>
  <c r="U1960" i="2" s="1"/>
  <c r="U1961" i="2" a="1"/>
  <c r="U1961" i="2"/>
  <c r="U1962" i="2" a="1"/>
  <c r="U1962" i="2" s="1"/>
  <c r="U1963" i="2" a="1"/>
  <c r="U1963" i="2" s="1"/>
  <c r="U1964" i="2" a="1"/>
  <c r="U1964" i="2"/>
  <c r="U1965" i="2" a="1"/>
  <c r="U1965" i="2" s="1"/>
  <c r="U1966" i="2" a="1"/>
  <c r="U1966" i="2" s="1"/>
  <c r="U1967" i="2" a="1"/>
  <c r="U1967" i="2" s="1"/>
  <c r="U1968" i="2" a="1"/>
  <c r="U1968" i="2" s="1"/>
  <c r="U1969" i="2" a="1"/>
  <c r="U1969" i="2" s="1"/>
  <c r="U1970" i="2" a="1"/>
  <c r="U1970" i="2" s="1"/>
  <c r="U1971" i="2" a="1"/>
  <c r="U1971" i="2" s="1"/>
  <c r="U1972" i="2" a="1"/>
  <c r="U1972" i="2" s="1"/>
  <c r="U1973" i="2" a="1"/>
  <c r="U1973" i="2" s="1"/>
  <c r="U1974" i="2" a="1"/>
  <c r="U1974" i="2" s="1"/>
  <c r="U1975" i="2" a="1"/>
  <c r="U1975" i="2" s="1"/>
  <c r="U1976" i="2" a="1"/>
  <c r="U1976" i="2" s="1"/>
  <c r="U1977" i="2" a="1"/>
  <c r="U1977" i="2"/>
  <c r="U1978" i="2" a="1"/>
  <c r="U1978" i="2"/>
  <c r="U1979" i="2" a="1"/>
  <c r="U1979" i="2"/>
  <c r="U1980" i="2" a="1"/>
  <c r="U1980" i="2" s="1"/>
  <c r="U1981" i="2" a="1"/>
  <c r="U1981" i="2" s="1"/>
  <c r="U1982" i="2" a="1"/>
  <c r="U1982" i="2" s="1"/>
  <c r="U1983" i="2" a="1"/>
  <c r="U1983" i="2" s="1"/>
  <c r="U1984" i="2" a="1"/>
  <c r="U1984" i="2"/>
  <c r="U1985" i="2" a="1"/>
  <c r="U1985" i="2" s="1"/>
  <c r="U1986" i="2" a="1"/>
  <c r="U1986" i="2" s="1"/>
  <c r="U1987" i="2" a="1"/>
  <c r="U1987" i="2"/>
  <c r="U1988" i="2" a="1"/>
  <c r="U1988" i="2" s="1"/>
  <c r="U1989" i="2" a="1"/>
  <c r="U1989" i="2" s="1"/>
  <c r="U1990" i="2" a="1"/>
  <c r="U1990" i="2" s="1"/>
  <c r="U1991" i="2" a="1"/>
  <c r="U1991" i="2" s="1"/>
  <c r="U1992" i="2" a="1"/>
  <c r="U1992" i="2" s="1"/>
  <c r="U1993" i="2" a="1"/>
  <c r="U1993" i="2" s="1"/>
  <c r="U1994" i="2" a="1"/>
  <c r="U1994" i="2"/>
  <c r="U1995" i="2" a="1"/>
  <c r="U1995" i="2"/>
  <c r="U1996" i="2" a="1"/>
  <c r="U1996" i="2" s="1"/>
  <c r="U1997" i="2" a="1"/>
  <c r="U1997" i="2"/>
  <c r="U1998" i="2" a="1"/>
  <c r="U1998" i="2" s="1"/>
  <c r="U1999" i="2" a="1"/>
  <c r="U1999" i="2" s="1"/>
  <c r="U2000" i="2" a="1"/>
  <c r="U2000" i="2" s="1"/>
  <c r="U2001" i="2" a="1"/>
  <c r="U2001" i="2" s="1"/>
  <c r="U2002" i="2" a="1"/>
  <c r="U2002" i="2"/>
  <c r="U2003" i="2" a="1"/>
  <c r="U2003" i="2" s="1"/>
  <c r="U2004" i="2" a="1"/>
  <c r="U2004" i="2" s="1"/>
  <c r="U2005" i="2" a="1"/>
  <c r="U2005" i="2" s="1"/>
  <c r="U2006" i="2" a="1"/>
  <c r="U2006" i="2" s="1"/>
  <c r="U2007" i="2" a="1"/>
  <c r="U2007" i="2" s="1"/>
  <c r="U2008" i="2" a="1"/>
  <c r="U2008" i="2" s="1"/>
  <c r="U2009" i="2" a="1"/>
  <c r="U2009" i="2" s="1"/>
  <c r="U2010" i="2" a="1"/>
  <c r="U2010" i="2" s="1"/>
  <c r="U2011" i="2" a="1"/>
  <c r="U2011" i="2" s="1"/>
  <c r="U2012" i="2" a="1"/>
  <c r="U2012" i="2"/>
  <c r="U2013" i="2" a="1"/>
  <c r="U2013" i="2" s="1"/>
  <c r="U2014" i="2" a="1"/>
  <c r="U2014" i="2" s="1"/>
  <c r="U2015" i="2" a="1"/>
  <c r="U2015" i="2"/>
  <c r="U2016" i="2" a="1"/>
  <c r="U2016" i="2" s="1"/>
  <c r="U2017" i="2" a="1"/>
  <c r="U2017" i="2"/>
  <c r="U2018" i="2" a="1"/>
  <c r="U2018" i="2" s="1"/>
  <c r="U2019" i="2" a="1"/>
  <c r="U2019" i="2"/>
  <c r="U2020" i="2" a="1"/>
  <c r="U2020" i="2" s="1"/>
  <c r="U2021" i="2" a="1"/>
  <c r="U2021" i="2" s="1"/>
  <c r="U2022" i="2" a="1"/>
  <c r="U2022" i="2" s="1"/>
  <c r="U2023" i="2" a="1"/>
  <c r="U2023" i="2" s="1"/>
  <c r="U2024" i="2" a="1"/>
  <c r="U2024" i="2" s="1"/>
  <c r="U2025" i="2" a="1"/>
  <c r="U2025" i="2" s="1"/>
  <c r="U2026" i="2" a="1"/>
  <c r="U2026" i="2"/>
  <c r="U2027" i="2" a="1"/>
  <c r="U2027" i="2"/>
  <c r="U2028" i="2" a="1"/>
  <c r="U2028" i="2" s="1"/>
  <c r="U2029" i="2" a="1"/>
  <c r="U2029" i="2" s="1"/>
  <c r="U2030" i="2" a="1"/>
  <c r="U2030" i="2"/>
  <c r="U2031" i="2" a="1"/>
  <c r="U2031" i="2" s="1"/>
  <c r="U2032" i="2" a="1"/>
  <c r="U2032" i="2" s="1"/>
  <c r="U2033" i="2" a="1"/>
  <c r="U2033" i="2" s="1"/>
  <c r="U2034" i="2" a="1"/>
  <c r="U2034" i="2" s="1"/>
  <c r="U2035" i="2" a="1"/>
  <c r="U2035" i="2" s="1"/>
  <c r="U2036" i="2" a="1"/>
  <c r="U2036" i="2"/>
  <c r="U2037" i="2" a="1"/>
  <c r="U2037" i="2" s="1"/>
  <c r="U2038" i="2" a="1"/>
  <c r="U2038" i="2" s="1"/>
  <c r="U2039" i="2" a="1"/>
  <c r="U2039" i="2" s="1"/>
  <c r="U2040" i="2" a="1"/>
  <c r="U2040" i="2" s="1"/>
  <c r="U2041" i="2" a="1"/>
  <c r="U2041" i="2" s="1"/>
  <c r="U2042" i="2" a="1"/>
  <c r="U2042" i="2" s="1"/>
  <c r="U2043" i="2" a="1"/>
  <c r="U2043" i="2" s="1"/>
  <c r="U2044" i="2" a="1"/>
  <c r="U2044" i="2" s="1"/>
  <c r="U2045" i="2" a="1"/>
  <c r="U2045" i="2" s="1"/>
  <c r="U2046" i="2" a="1"/>
  <c r="U2046" i="2" s="1"/>
  <c r="U2047" i="2" a="1"/>
  <c r="U2047" i="2" s="1"/>
  <c r="U2048" i="2" a="1"/>
  <c r="U2048" i="2" s="1"/>
  <c r="U2049" i="2" a="1"/>
  <c r="U2049" i="2" s="1"/>
  <c r="U2050" i="2" a="1"/>
  <c r="U2050" i="2"/>
  <c r="U2051" i="2" a="1"/>
  <c r="U2051" i="2"/>
  <c r="U2052" i="2" a="1"/>
  <c r="U2052" i="2" s="1"/>
  <c r="U2053" i="2" a="1"/>
  <c r="U2053" i="2"/>
  <c r="U2054" i="2" a="1"/>
  <c r="U2054" i="2" s="1"/>
  <c r="U2055" i="2" a="1"/>
  <c r="U2055" i="2"/>
  <c r="U2056" i="2" a="1"/>
  <c r="U2056" i="2" s="1"/>
  <c r="U2057" i="2" a="1"/>
  <c r="U2057" i="2" s="1"/>
  <c r="U2058" i="2" a="1"/>
  <c r="U2058" i="2" s="1"/>
  <c r="U2059" i="2" a="1"/>
  <c r="U2059" i="2" s="1"/>
  <c r="U2060" i="2" a="1"/>
  <c r="U2060" i="2" s="1"/>
  <c r="U2061" i="2" a="1"/>
  <c r="U2061" i="2" s="1"/>
  <c r="U2062" i="2" a="1"/>
  <c r="U2062" i="2" s="1"/>
  <c r="U2063" i="2" a="1"/>
  <c r="U2063" i="2" s="1"/>
  <c r="U2064" i="2" a="1"/>
  <c r="U2064" i="2" s="1"/>
  <c r="U2065" i="2" a="1"/>
  <c r="U2065" i="2" s="1"/>
  <c r="U2066" i="2" a="1"/>
  <c r="U2066" i="2" s="1"/>
  <c r="U2067" i="2" a="1"/>
  <c r="U2067" i="2" s="1"/>
  <c r="U2068" i="2" a="1"/>
  <c r="U2068" i="2" s="1"/>
  <c r="U2069" i="2" a="1"/>
  <c r="U2069" i="2" s="1"/>
  <c r="U2070" i="2" a="1"/>
  <c r="U2070" i="2" s="1"/>
  <c r="U2071" i="2" a="1"/>
  <c r="U2071" i="2"/>
  <c r="U2072" i="2" a="1"/>
  <c r="U2072" i="2" s="1"/>
  <c r="U2073" i="2" a="1"/>
  <c r="U2073" i="2"/>
  <c r="U2074" i="2" a="1"/>
  <c r="U2074" i="2" s="1"/>
  <c r="U2075" i="2" a="1"/>
  <c r="U2075" i="2" s="1"/>
  <c r="U2076" i="2" a="1"/>
  <c r="U2076" i="2" s="1"/>
  <c r="U2077" i="2" a="1"/>
  <c r="U2077" i="2" s="1"/>
  <c r="U2078" i="2" a="1"/>
  <c r="U2078" i="2"/>
  <c r="U2079" i="2" a="1"/>
  <c r="U2079" i="2"/>
  <c r="U2080" i="2" a="1"/>
  <c r="U2080" i="2" s="1"/>
  <c r="U2081" i="2" a="1"/>
  <c r="U2081" i="2" s="1"/>
  <c r="U2082" i="2" a="1"/>
  <c r="U2082" i="2" s="1"/>
  <c r="U2083" i="2" a="1"/>
  <c r="U2083" i="2" s="1"/>
  <c r="U2084" i="2" a="1"/>
  <c r="U2084" i="2" s="1"/>
  <c r="U2085" i="2" a="1"/>
  <c r="U2085" i="2" s="1"/>
  <c r="U2086" i="2" a="1"/>
  <c r="U2086" i="2"/>
  <c r="U2087" i="2" a="1"/>
  <c r="U2087" i="2"/>
  <c r="U2088" i="2" a="1"/>
  <c r="U2088" i="2" s="1"/>
  <c r="U2089" i="2" a="1"/>
  <c r="U2089" i="2" s="1"/>
  <c r="U2090" i="2" a="1"/>
  <c r="U2090" i="2" s="1"/>
  <c r="U2091" i="2" a="1"/>
  <c r="U2091" i="2" s="1"/>
  <c r="U2092" i="2" a="1"/>
  <c r="U2092" i="2" s="1"/>
  <c r="U2093" i="2" a="1"/>
  <c r="U2093" i="2"/>
  <c r="U2094" i="2" a="1"/>
  <c r="U2094" i="2" s="1"/>
  <c r="U2095" i="2" a="1"/>
  <c r="U2095" i="2" s="1"/>
  <c r="U2096" i="2" a="1"/>
  <c r="U2096" i="2"/>
  <c r="U2097" i="2" a="1"/>
  <c r="U2097" i="2" s="1"/>
  <c r="U2098" i="2" a="1"/>
  <c r="U2098" i="2" s="1"/>
  <c r="U2099" i="2" a="1"/>
  <c r="U2099" i="2" s="1"/>
  <c r="U2100" i="2" a="1"/>
  <c r="U2100" i="2" s="1"/>
  <c r="U2101" i="2" a="1"/>
  <c r="U2101" i="2"/>
  <c r="U2102" i="2" a="1"/>
  <c r="U2102" i="2"/>
  <c r="U2103" i="2" a="1"/>
  <c r="U2103" i="2" s="1"/>
  <c r="U2104" i="2" a="1"/>
  <c r="U2104" i="2" s="1"/>
  <c r="U2105" i="2" a="1"/>
  <c r="U2105" i="2"/>
  <c r="U2106" i="2" a="1"/>
  <c r="U2106" i="2" s="1"/>
  <c r="U2107" i="2" a="1"/>
  <c r="U2107" i="2" s="1"/>
  <c r="U2108" i="2" a="1"/>
  <c r="U2108" i="2" s="1"/>
  <c r="U2109" i="2" a="1"/>
  <c r="U2109" i="2"/>
  <c r="U2110" i="2" a="1"/>
  <c r="U2110" i="2" s="1"/>
  <c r="U2111" i="2" a="1"/>
  <c r="U2111" i="2"/>
  <c r="U2112" i="2" a="1"/>
  <c r="U2112" i="2" s="1"/>
  <c r="U2113" i="2" a="1"/>
  <c r="U2113" i="2" s="1"/>
  <c r="U2114" i="2" a="1"/>
  <c r="U2114" i="2"/>
  <c r="U2115" i="2" a="1"/>
  <c r="U2115" i="2" s="1"/>
  <c r="U2116" i="2" a="1"/>
  <c r="U2116" i="2" s="1"/>
  <c r="U2117" i="2" a="1"/>
  <c r="U2117" i="2" s="1"/>
  <c r="U2118" i="2" a="1"/>
  <c r="U2118" i="2" s="1"/>
  <c r="U2119" i="2" a="1"/>
  <c r="U2119" i="2" s="1"/>
  <c r="U2120" i="2" a="1"/>
  <c r="U2120" i="2"/>
  <c r="U2121" i="2" a="1"/>
  <c r="U2121" i="2"/>
  <c r="U2122" i="2" a="1"/>
  <c r="U2122" i="2" s="1"/>
  <c r="U2123" i="2" a="1"/>
  <c r="U2123" i="2" s="1"/>
  <c r="U2124" i="2" a="1"/>
  <c r="U2124" i="2" s="1"/>
  <c r="U2125" i="2" a="1"/>
  <c r="U2125" i="2" s="1"/>
  <c r="U2126" i="2" a="1"/>
  <c r="U2126" i="2" s="1"/>
  <c r="U2127" i="2" a="1"/>
  <c r="U2127" i="2" s="1"/>
  <c r="U2128" i="2" a="1"/>
  <c r="U2128" i="2"/>
  <c r="U2129" i="2" a="1"/>
  <c r="U2129" i="2" s="1"/>
  <c r="U2130" i="2" a="1"/>
  <c r="U2130" i="2" s="1"/>
  <c r="U2131" i="2" a="1"/>
  <c r="U2131" i="2" s="1"/>
  <c r="U2132" i="2" a="1"/>
  <c r="U2132" i="2" s="1"/>
  <c r="U2133" i="2" a="1"/>
  <c r="U2133" i="2" s="1"/>
  <c r="U2134" i="2" a="1"/>
  <c r="U2134" i="2"/>
  <c r="U2135" i="2" a="1"/>
  <c r="U2135" i="2" s="1"/>
  <c r="U2136" i="2" a="1"/>
  <c r="U2136" i="2" s="1"/>
  <c r="U2137" i="2" a="1"/>
  <c r="U2137" i="2"/>
  <c r="U2138" i="2" a="1"/>
  <c r="U2138" i="2"/>
  <c r="U2139" i="2" a="1"/>
  <c r="U2139" i="2" s="1"/>
  <c r="U2140" i="2" a="1"/>
  <c r="U2140" i="2" s="1"/>
  <c r="U2141" i="2" a="1"/>
  <c r="U2141" i="2"/>
  <c r="U2142" i="2" a="1"/>
  <c r="U2142" i="2" s="1"/>
  <c r="U2143" i="2" a="1"/>
  <c r="U2143" i="2" s="1"/>
  <c r="U2144" i="2" a="1"/>
  <c r="U2144" i="2" s="1"/>
  <c r="U2145" i="2" a="1"/>
  <c r="U2145" i="2" s="1"/>
  <c r="U2146" i="2" a="1"/>
  <c r="U2146" i="2"/>
  <c r="U2147" i="2" a="1"/>
  <c r="U2147" i="2" s="1"/>
  <c r="U2148" i="2" a="1"/>
  <c r="U2148" i="2" s="1"/>
  <c r="U2149" i="2" a="1"/>
  <c r="U2149" i="2" s="1"/>
  <c r="U2150" i="2" a="1"/>
  <c r="U2150" i="2"/>
  <c r="U2151" i="2" a="1"/>
  <c r="U2151" i="2" s="1"/>
  <c r="U2152" i="2" a="1"/>
  <c r="U2152" i="2" s="1"/>
  <c r="U2153" i="2" a="1"/>
  <c r="U2153" i="2" s="1"/>
  <c r="U2154" i="2" a="1"/>
  <c r="U2154" i="2" s="1"/>
  <c r="U2155" i="2" a="1"/>
  <c r="U2155" i="2" s="1"/>
  <c r="U2156" i="2" a="1"/>
  <c r="U2156" i="2"/>
  <c r="U2157" i="2" a="1"/>
  <c r="U2157" i="2" s="1"/>
  <c r="U2158" i="2" a="1"/>
  <c r="U2158" i="2" s="1"/>
  <c r="U2159" i="2" a="1"/>
  <c r="U2159" i="2" s="1"/>
  <c r="U2160" i="2" a="1"/>
  <c r="U2160" i="2" s="1"/>
  <c r="U2161" i="2" a="1"/>
  <c r="U2161" i="2" s="1"/>
  <c r="U2162" i="2" a="1"/>
  <c r="U2162" i="2" s="1"/>
  <c r="U2163" i="2" a="1"/>
  <c r="U2163" i="2" s="1"/>
  <c r="U2164" i="2" a="1"/>
  <c r="U2164" i="2" s="1"/>
  <c r="U2165" i="2" a="1"/>
  <c r="U2165" i="2" s="1"/>
  <c r="U2166" i="2" a="1"/>
  <c r="U2166" i="2" s="1"/>
  <c r="U2167" i="2" a="1"/>
  <c r="U2167" i="2" s="1"/>
  <c r="U2168" i="2" a="1"/>
  <c r="U2168" i="2"/>
  <c r="U2169" i="2" a="1"/>
  <c r="U2169" i="2" s="1"/>
  <c r="U2170" i="2" a="1"/>
  <c r="U2170" i="2"/>
  <c r="U2171" i="2" a="1"/>
  <c r="U2171" i="2" s="1"/>
  <c r="U2172" i="2" a="1"/>
  <c r="U2172" i="2" s="1"/>
  <c r="U2173" i="2" a="1"/>
  <c r="U2173" i="2" s="1"/>
  <c r="U2174" i="2" a="1"/>
  <c r="U2174" i="2" s="1"/>
  <c r="U2175" i="2" a="1"/>
  <c r="U2175" i="2" s="1"/>
  <c r="U2176" i="2" a="1"/>
  <c r="U2176" i="2" s="1"/>
  <c r="U2177" i="2" a="1"/>
  <c r="U2177" i="2" s="1"/>
  <c r="U2178" i="2" a="1"/>
  <c r="U2178" i="2" s="1"/>
  <c r="U2179" i="2" a="1"/>
  <c r="U2179" i="2"/>
  <c r="U2180" i="2" a="1"/>
  <c r="U2180" i="2" s="1"/>
  <c r="U2181" i="2" a="1"/>
  <c r="U2181" i="2"/>
  <c r="U2182" i="2" a="1"/>
  <c r="U2182" i="2"/>
  <c r="U2183" i="2" a="1"/>
  <c r="U2183" i="2" s="1"/>
  <c r="U2184" i="2" a="1"/>
  <c r="U2184" i="2" s="1"/>
  <c r="U2185" i="2" a="1"/>
  <c r="U2185" i="2" s="1"/>
  <c r="U2186" i="2" a="1"/>
  <c r="U2186" i="2" s="1"/>
  <c r="U2187" i="2" a="1"/>
  <c r="U2187" i="2" s="1"/>
  <c r="U2188" i="2" a="1"/>
  <c r="U2188" i="2" s="1"/>
  <c r="U2189" i="2" a="1"/>
  <c r="U2189" i="2" s="1"/>
  <c r="U2190" i="2" a="1"/>
  <c r="U2190" i="2" s="1"/>
  <c r="U2191" i="2" a="1"/>
  <c r="U2191" i="2" s="1"/>
  <c r="U2192" i="2" a="1"/>
  <c r="U2192" i="2" s="1"/>
  <c r="U2193" i="2" a="1"/>
  <c r="U2193" i="2"/>
  <c r="U2194" i="2" a="1"/>
  <c r="U2194" i="2" s="1"/>
  <c r="U2195" i="2" a="1"/>
  <c r="U2195" i="2"/>
  <c r="U2196" i="2" a="1"/>
  <c r="U2196" i="2" s="1"/>
  <c r="U2197" i="2" a="1"/>
  <c r="U2197" i="2" s="1"/>
  <c r="U2198" i="2" a="1"/>
  <c r="U2198" i="2" s="1"/>
  <c r="U2199" i="2" a="1"/>
  <c r="U2199" i="2" s="1"/>
  <c r="U2200" i="2" a="1"/>
  <c r="U2200" i="2"/>
  <c r="U2201" i="2" a="1"/>
  <c r="U2201" i="2" s="1"/>
  <c r="U2202" i="2" a="1"/>
  <c r="U2202" i="2" s="1"/>
  <c r="U2203" i="2" a="1"/>
  <c r="U2203" i="2" s="1"/>
  <c r="U2204" i="2" a="1"/>
  <c r="U2204" i="2" s="1"/>
  <c r="U2205" i="2" a="1"/>
  <c r="U2205" i="2" s="1"/>
  <c r="U2206" i="2" a="1"/>
  <c r="U2206" i="2"/>
  <c r="U2207" i="2" a="1"/>
  <c r="U2207" i="2" s="1"/>
  <c r="U2208" i="2" a="1"/>
  <c r="U2208" i="2" s="1"/>
  <c r="U2209" i="2" a="1"/>
  <c r="U2209" i="2"/>
  <c r="U2210" i="2" a="1"/>
  <c r="U2210" i="2"/>
  <c r="U2211" i="2" a="1"/>
  <c r="U2211" i="2"/>
  <c r="U2212" i="2" a="1"/>
  <c r="U2212" i="2" s="1"/>
  <c r="U2213" i="2" a="1"/>
  <c r="U2213" i="2" s="1"/>
  <c r="U2214" i="2" a="1"/>
  <c r="U2214" i="2" s="1"/>
  <c r="U2215" i="2" a="1"/>
  <c r="U2215" i="2" s="1"/>
  <c r="U2216" i="2" a="1"/>
  <c r="U2216" i="2"/>
  <c r="U2217" i="2" a="1"/>
  <c r="U2217" i="2" s="1"/>
  <c r="U2218" i="2" a="1"/>
  <c r="U2218" i="2" s="1"/>
  <c r="U2219" i="2" a="1"/>
  <c r="U2219" i="2"/>
  <c r="U2220" i="2" a="1"/>
  <c r="U2220" i="2" s="1"/>
  <c r="U2221" i="2" a="1"/>
  <c r="U2221" i="2" s="1"/>
  <c r="U2222" i="2" a="1"/>
  <c r="U2222" i="2" s="1"/>
  <c r="U2223" i="2" a="1"/>
  <c r="U2223" i="2" s="1"/>
  <c r="U2224" i="2" a="1"/>
  <c r="U2224" i="2" s="1"/>
  <c r="U2225" i="2" a="1"/>
  <c r="U2225" i="2" s="1"/>
  <c r="U2226" i="2" a="1"/>
  <c r="U2226" i="2" s="1"/>
  <c r="U2227" i="2" a="1"/>
  <c r="U2227" i="2" s="1"/>
  <c r="U2228" i="2" a="1"/>
  <c r="U2228" i="2"/>
  <c r="U2229" i="2" a="1"/>
  <c r="U2229" i="2" s="1"/>
  <c r="U2230" i="2" a="1"/>
  <c r="U2230" i="2" s="1"/>
  <c r="U2231" i="2" a="1"/>
  <c r="U2231" i="2" s="1"/>
  <c r="U2232" i="2" a="1"/>
  <c r="U2232" i="2" s="1"/>
  <c r="U2233" i="2" a="1"/>
  <c r="U2233" i="2" s="1"/>
  <c r="U2234" i="2" a="1"/>
  <c r="U2234" i="2" s="1"/>
  <c r="U2235" i="2" a="1"/>
  <c r="U2235" i="2" s="1"/>
  <c r="U2236" i="2" a="1"/>
  <c r="U2236" i="2" s="1"/>
  <c r="U2237" i="2" a="1"/>
  <c r="U2237" i="2" s="1"/>
  <c r="U2238" i="2" a="1"/>
  <c r="U2238" i="2" s="1"/>
  <c r="U2239" i="2" a="1"/>
  <c r="U2239" i="2"/>
  <c r="U2240" i="2" a="1"/>
  <c r="U2240" i="2" s="1"/>
  <c r="U2241" i="2" a="1"/>
  <c r="U2241" i="2" s="1"/>
  <c r="U2242" i="2" a="1"/>
  <c r="U2242" i="2" s="1"/>
  <c r="U3" i="2" a="1"/>
  <c r="U3" i="2" s="1"/>
  <c r="O3" i="2" a="1"/>
  <c r="P64" i="2" s="1"/>
  <c r="P65" i="2"/>
  <c r="P80" i="2"/>
  <c r="P81" i="2"/>
  <c r="P385" i="2"/>
  <c r="P432" i="2"/>
  <c r="P517" i="2"/>
  <c r="P530" i="2"/>
  <c r="P721" i="2"/>
  <c r="P835" i="2"/>
  <c r="P844" i="2"/>
  <c r="P845" i="2"/>
  <c r="P1087" i="2"/>
  <c r="P1107" i="2"/>
  <c r="P1125" i="2"/>
  <c r="P1185" i="2"/>
  <c r="P1325" i="2"/>
  <c r="P1391" i="2"/>
  <c r="P1398" i="2"/>
  <c r="P1526" i="2"/>
  <c r="P1540" i="2"/>
  <c r="P1541" i="2"/>
  <c r="P1542" i="2"/>
  <c r="P1666" i="2"/>
  <c r="P1683" i="2"/>
  <c r="P1718" i="2"/>
  <c r="P1721" i="2"/>
  <c r="P1786" i="2"/>
  <c r="P1817" i="2"/>
  <c r="P1830" i="2"/>
  <c r="P1832" i="2"/>
  <c r="P1910" i="2"/>
  <c r="P1926" i="2"/>
  <c r="P1927" i="2"/>
  <c r="P1955" i="2"/>
  <c r="P2015" i="2"/>
  <c r="P2042" i="2"/>
  <c r="P2044" i="2"/>
  <c r="P2056" i="2"/>
  <c r="P2128" i="2"/>
  <c r="P2142" i="2"/>
  <c r="P2144" i="2"/>
  <c r="P2145" i="2"/>
  <c r="P2222"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Q1070" i="2" s="1"/>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Q1142" i="2" s="1"/>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Q1202" i="2" s="1"/>
  <c r="N1203" i="2"/>
  <c r="N1204" i="2"/>
  <c r="N1205" i="2"/>
  <c r="N1206" i="2"/>
  <c r="N1207" i="2"/>
  <c r="N1208" i="2"/>
  <c r="N1209" i="2"/>
  <c r="N1210" i="2"/>
  <c r="N1211" i="2"/>
  <c r="N1212" i="2"/>
  <c r="N1213" i="2"/>
  <c r="N1214" i="2"/>
  <c r="Q1214" i="2" s="1"/>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Q1274" i="2" s="1"/>
  <c r="N1275" i="2"/>
  <c r="N1276" i="2"/>
  <c r="N1277" i="2"/>
  <c r="N1278" i="2"/>
  <c r="N1279" i="2"/>
  <c r="N1280" i="2"/>
  <c r="N1281" i="2"/>
  <c r="N1282" i="2"/>
  <c r="N1283" i="2"/>
  <c r="N1284" i="2"/>
  <c r="N1285" i="2"/>
  <c r="N1286" i="2"/>
  <c r="Q1286" i="2" s="1"/>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Q1310" i="2" s="1"/>
  <c r="N1311" i="2"/>
  <c r="N1312" i="2"/>
  <c r="N1313" i="2"/>
  <c r="N1314" i="2"/>
  <c r="N1315" i="2"/>
  <c r="N1316" i="2"/>
  <c r="N1317" i="2"/>
  <c r="N1318" i="2"/>
  <c r="N1319" i="2"/>
  <c r="N1320" i="2"/>
  <c r="N1321" i="2"/>
  <c r="N1322" i="2"/>
  <c r="Q1322" i="2" s="1"/>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Q1370" i="2" s="1"/>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Q1430" i="2" s="1"/>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Q1490" i="2" s="1"/>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Q1526" i="2" s="1"/>
  <c r="N1527" i="2"/>
  <c r="N1528" i="2"/>
  <c r="N1529" i="2"/>
  <c r="N1530" i="2"/>
  <c r="N1531" i="2"/>
  <c r="N1532" i="2"/>
  <c r="N1533" i="2"/>
  <c r="N1534" i="2"/>
  <c r="N1535" i="2"/>
  <c r="N1536" i="2"/>
  <c r="N1537" i="2"/>
  <c r="N1538" i="2"/>
  <c r="Q1538" i="2" s="1"/>
  <c r="N1539" i="2"/>
  <c r="N1540" i="2"/>
  <c r="N1541" i="2"/>
  <c r="N1542" i="2"/>
  <c r="N1543" i="2"/>
  <c r="N1544" i="2"/>
  <c r="N1545" i="2"/>
  <c r="N1546" i="2"/>
  <c r="N1547" i="2"/>
  <c r="N1548" i="2"/>
  <c r="N1549" i="2"/>
  <c r="N1550" i="2"/>
  <c r="Q1550" i="2" s="1"/>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Q1598" i="2" s="1"/>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Q1622" i="2" s="1"/>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Q1670" i="2" s="1"/>
  <c r="N1671" i="2"/>
  <c r="N1672" i="2"/>
  <c r="N1673" i="2"/>
  <c r="N1674" i="2"/>
  <c r="N1675" i="2"/>
  <c r="N1676" i="2"/>
  <c r="N1677" i="2"/>
  <c r="N1678" i="2"/>
  <c r="N1679" i="2"/>
  <c r="N1680" i="2"/>
  <c r="N1681" i="2"/>
  <c r="N1682" i="2"/>
  <c r="Q1682" i="2" s="1"/>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Q1706" i="2" s="1"/>
  <c r="N1707" i="2"/>
  <c r="N1708" i="2"/>
  <c r="N1709" i="2"/>
  <c r="N1710" i="2"/>
  <c r="N1711" i="2"/>
  <c r="N1712" i="2"/>
  <c r="N1713" i="2"/>
  <c r="N1714" i="2"/>
  <c r="N1715" i="2"/>
  <c r="N1716" i="2"/>
  <c r="N1717" i="2"/>
  <c r="N1718" i="2"/>
  <c r="Q1718" i="2" s="1"/>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Q1766" i="2" s="1"/>
  <c r="N1767" i="2"/>
  <c r="N1768" i="2"/>
  <c r="N1769" i="2"/>
  <c r="N1770" i="2"/>
  <c r="N1771" i="2"/>
  <c r="N1772" i="2"/>
  <c r="N1773" i="2"/>
  <c r="N1774" i="2"/>
  <c r="N1775" i="2"/>
  <c r="N1776" i="2"/>
  <c r="N1777" i="2"/>
  <c r="N1778" i="2"/>
  <c r="Q1778" i="2" s="1"/>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Q1814" i="2" s="1"/>
  <c r="N1815" i="2"/>
  <c r="N1816" i="2"/>
  <c r="N1817" i="2"/>
  <c r="N1818" i="2"/>
  <c r="N1819" i="2"/>
  <c r="N1820" i="2"/>
  <c r="N1821" i="2"/>
  <c r="N1822" i="2"/>
  <c r="N1823" i="2"/>
  <c r="N1824" i="2"/>
  <c r="N1825" i="2"/>
  <c r="N1826" i="2"/>
  <c r="Q1826" i="2" s="1"/>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Q1886" i="2" s="1"/>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Q1910" i="2" s="1"/>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Q2006" i="2" s="1"/>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Q2066" i="2" s="1"/>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Q2102" i="2" s="1"/>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Q2198" i="2" s="1"/>
  <c r="N2199" i="2"/>
  <c r="N2200" i="2"/>
  <c r="N2201" i="2"/>
  <c r="N2202" i="2"/>
  <c r="N2203" i="2"/>
  <c r="N2204" i="2"/>
  <c r="N2205" i="2"/>
  <c r="N2206" i="2"/>
  <c r="N2207" i="2"/>
  <c r="N2208" i="2"/>
  <c r="N2209" i="2"/>
  <c r="N2210" i="2"/>
  <c r="Q2210" i="2" s="1"/>
  <c r="N2211" i="2"/>
  <c r="N2212" i="2"/>
  <c r="N2213" i="2"/>
  <c r="N2214" i="2"/>
  <c r="N2215" i="2"/>
  <c r="N2216" i="2"/>
  <c r="N2217" i="2"/>
  <c r="N2218" i="2"/>
  <c r="N2219" i="2"/>
  <c r="N2220" i="2"/>
  <c r="N2221" i="2"/>
  <c r="N2222" i="2"/>
  <c r="Q2222" i="2" s="1"/>
  <c r="N2223" i="2"/>
  <c r="N2224" i="2"/>
  <c r="N2225" i="2"/>
  <c r="N2226" i="2"/>
  <c r="N2227" i="2"/>
  <c r="N2228" i="2"/>
  <c r="N2229" i="2"/>
  <c r="N2230" i="2"/>
  <c r="N2231" i="2"/>
  <c r="N2232" i="2"/>
  <c r="N2233" i="2"/>
  <c r="N2234" i="2"/>
  <c r="N2235" i="2"/>
  <c r="N2236" i="2"/>
  <c r="N2237" i="2"/>
  <c r="N2238" i="2"/>
  <c r="N2239" i="2"/>
  <c r="N2240" i="2"/>
  <c r="N2241" i="2"/>
  <c r="N2242" i="2"/>
  <c r="N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Q55" i="2" s="1"/>
  <c r="M56" i="2"/>
  <c r="M57" i="2"/>
  <c r="M58" i="2"/>
  <c r="M59" i="2"/>
  <c r="M60" i="2"/>
  <c r="M61" i="2"/>
  <c r="M62" i="2"/>
  <c r="M63" i="2"/>
  <c r="M64" i="2"/>
  <c r="M65" i="2"/>
  <c r="M66" i="2"/>
  <c r="Q66" i="2" s="1"/>
  <c r="M67" i="2"/>
  <c r="Q67" i="2" s="1"/>
  <c r="M68" i="2"/>
  <c r="M69" i="2"/>
  <c r="M70" i="2"/>
  <c r="M71" i="2"/>
  <c r="M72" i="2"/>
  <c r="M73" i="2"/>
  <c r="M74" i="2"/>
  <c r="M75" i="2"/>
  <c r="M76" i="2"/>
  <c r="M77" i="2"/>
  <c r="M78" i="2"/>
  <c r="M79" i="2"/>
  <c r="Q79" i="2" s="1"/>
  <c r="M80" i="2"/>
  <c r="M81" i="2"/>
  <c r="M82" i="2"/>
  <c r="M83" i="2"/>
  <c r="M84" i="2"/>
  <c r="M85" i="2"/>
  <c r="M86" i="2"/>
  <c r="M87" i="2"/>
  <c r="M88" i="2"/>
  <c r="M89" i="2"/>
  <c r="M90" i="2"/>
  <c r="M91" i="2"/>
  <c r="Q91" i="2" s="1"/>
  <c r="M92" i="2"/>
  <c r="M93" i="2"/>
  <c r="M94" i="2"/>
  <c r="M95" i="2"/>
  <c r="M96" i="2"/>
  <c r="M97" i="2"/>
  <c r="M98" i="2"/>
  <c r="M99" i="2"/>
  <c r="M100" i="2"/>
  <c r="M101" i="2"/>
  <c r="M102" i="2"/>
  <c r="M103" i="2"/>
  <c r="Q103" i="2" s="1"/>
  <c r="M104" i="2"/>
  <c r="M105" i="2"/>
  <c r="M106" i="2"/>
  <c r="M107" i="2"/>
  <c r="M108" i="2"/>
  <c r="M109" i="2"/>
  <c r="M110" i="2"/>
  <c r="M111" i="2"/>
  <c r="M112" i="2"/>
  <c r="M113" i="2"/>
  <c r="M114" i="2"/>
  <c r="M115" i="2"/>
  <c r="Q115" i="2" s="1"/>
  <c r="M116" i="2"/>
  <c r="M117" i="2"/>
  <c r="M118" i="2"/>
  <c r="M119" i="2"/>
  <c r="M120" i="2"/>
  <c r="M121" i="2"/>
  <c r="M122" i="2"/>
  <c r="M123" i="2"/>
  <c r="M124" i="2"/>
  <c r="M125" i="2"/>
  <c r="M126" i="2"/>
  <c r="M127" i="2"/>
  <c r="Q127" i="2" s="1"/>
  <c r="M128" i="2"/>
  <c r="M129" i="2"/>
  <c r="M130" i="2"/>
  <c r="M131" i="2"/>
  <c r="M132" i="2"/>
  <c r="M133" i="2"/>
  <c r="M134" i="2"/>
  <c r="M135" i="2"/>
  <c r="M136" i="2"/>
  <c r="M137" i="2"/>
  <c r="M138" i="2"/>
  <c r="M139" i="2"/>
  <c r="Q139" i="2" s="1"/>
  <c r="M140" i="2"/>
  <c r="M141" i="2"/>
  <c r="M142" i="2"/>
  <c r="M143" i="2"/>
  <c r="M144" i="2"/>
  <c r="M145" i="2"/>
  <c r="M146" i="2"/>
  <c r="M147" i="2"/>
  <c r="M148" i="2"/>
  <c r="M149" i="2"/>
  <c r="M150" i="2"/>
  <c r="M151" i="2"/>
  <c r="Q151" i="2" s="1"/>
  <c r="M152" i="2"/>
  <c r="M153" i="2"/>
  <c r="M154" i="2"/>
  <c r="M155" i="2"/>
  <c r="M156" i="2"/>
  <c r="M157" i="2"/>
  <c r="M158" i="2"/>
  <c r="M159" i="2"/>
  <c r="M160" i="2"/>
  <c r="M161" i="2"/>
  <c r="M162" i="2"/>
  <c r="M163" i="2"/>
  <c r="Q163" i="2" s="1"/>
  <c r="M164" i="2"/>
  <c r="M165" i="2"/>
  <c r="M166" i="2"/>
  <c r="M167" i="2"/>
  <c r="M168" i="2"/>
  <c r="M169" i="2"/>
  <c r="M170" i="2"/>
  <c r="M171" i="2"/>
  <c r="M172" i="2"/>
  <c r="M173" i="2"/>
  <c r="M174" i="2"/>
  <c r="M175" i="2"/>
  <c r="Q175" i="2" s="1"/>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Q283" i="2" s="1"/>
  <c r="M284" i="2"/>
  <c r="M285" i="2"/>
  <c r="M286" i="2"/>
  <c r="M287" i="2"/>
  <c r="M288" i="2"/>
  <c r="M289" i="2"/>
  <c r="M290" i="2"/>
  <c r="M291" i="2"/>
  <c r="M292" i="2"/>
  <c r="M293" i="2"/>
  <c r="M294" i="2"/>
  <c r="M295" i="2"/>
  <c r="Q295" i="2" s="1"/>
  <c r="M296" i="2"/>
  <c r="M297" i="2"/>
  <c r="M298" i="2"/>
  <c r="M299" i="2"/>
  <c r="M300" i="2"/>
  <c r="M301" i="2"/>
  <c r="M302" i="2"/>
  <c r="M303" i="2"/>
  <c r="M304" i="2"/>
  <c r="M305" i="2"/>
  <c r="M306" i="2"/>
  <c r="M307" i="2"/>
  <c r="Q307" i="2" s="1"/>
  <c r="M308" i="2"/>
  <c r="M309" i="2"/>
  <c r="M310" i="2"/>
  <c r="M311" i="2"/>
  <c r="M312" i="2"/>
  <c r="M313" i="2"/>
  <c r="M314" i="2"/>
  <c r="M315" i="2"/>
  <c r="M316" i="2"/>
  <c r="M317" i="2"/>
  <c r="M318" i="2"/>
  <c r="M319" i="2"/>
  <c r="Q319" i="2" s="1"/>
  <c r="M320" i="2"/>
  <c r="M321" i="2"/>
  <c r="M322" i="2"/>
  <c r="M323" i="2"/>
  <c r="M324" i="2"/>
  <c r="M325" i="2"/>
  <c r="M326" i="2"/>
  <c r="M327" i="2"/>
  <c r="M328" i="2"/>
  <c r="M329" i="2"/>
  <c r="M330" i="2"/>
  <c r="M331" i="2"/>
  <c r="Q331" i="2" s="1"/>
  <c r="M332" i="2"/>
  <c r="M333" i="2"/>
  <c r="M334" i="2"/>
  <c r="M335" i="2"/>
  <c r="M336" i="2"/>
  <c r="M337" i="2"/>
  <c r="M338" i="2"/>
  <c r="M339" i="2"/>
  <c r="M340" i="2"/>
  <c r="M341" i="2"/>
  <c r="M342" i="2"/>
  <c r="M343" i="2"/>
  <c r="Q343" i="2" s="1"/>
  <c r="M344" i="2"/>
  <c r="M345" i="2"/>
  <c r="M346" i="2"/>
  <c r="M347" i="2"/>
  <c r="M348" i="2"/>
  <c r="M349" i="2"/>
  <c r="M350" i="2"/>
  <c r="M351" i="2"/>
  <c r="M352" i="2"/>
  <c r="M353" i="2"/>
  <c r="M354" i="2"/>
  <c r="M355" i="2"/>
  <c r="Q355" i="2" s="1"/>
  <c r="M356" i="2"/>
  <c r="M357" i="2"/>
  <c r="M358" i="2"/>
  <c r="M359" i="2"/>
  <c r="M360" i="2"/>
  <c r="M361" i="2"/>
  <c r="M362" i="2"/>
  <c r="M363" i="2"/>
  <c r="M364" i="2"/>
  <c r="M365" i="2"/>
  <c r="M366" i="2"/>
  <c r="M367" i="2"/>
  <c r="Q367" i="2" s="1"/>
  <c r="M368" i="2"/>
  <c r="M369" i="2"/>
  <c r="M370" i="2"/>
  <c r="M371" i="2"/>
  <c r="M372" i="2"/>
  <c r="M373" i="2"/>
  <c r="M374" i="2"/>
  <c r="M375" i="2"/>
  <c r="M376" i="2"/>
  <c r="M377" i="2"/>
  <c r="M378" i="2"/>
  <c r="M379" i="2"/>
  <c r="Q379" i="2" s="1"/>
  <c r="M380" i="2"/>
  <c r="M381" i="2"/>
  <c r="M382" i="2"/>
  <c r="M383" i="2"/>
  <c r="M384" i="2"/>
  <c r="M385" i="2"/>
  <c r="M386" i="2"/>
  <c r="M387" i="2"/>
  <c r="M388" i="2"/>
  <c r="M389" i="2"/>
  <c r="M390" i="2"/>
  <c r="M391" i="2"/>
  <c r="Q391" i="2" s="1"/>
  <c r="M392" i="2"/>
  <c r="M393" i="2"/>
  <c r="M394" i="2"/>
  <c r="M395" i="2"/>
  <c r="M396" i="2"/>
  <c r="M397" i="2"/>
  <c r="M398" i="2"/>
  <c r="M399" i="2"/>
  <c r="M400" i="2"/>
  <c r="M401" i="2"/>
  <c r="M402" i="2"/>
  <c r="M403" i="2"/>
  <c r="Q403" i="2" s="1"/>
  <c r="M404" i="2"/>
  <c r="M405" i="2"/>
  <c r="M406" i="2"/>
  <c r="M407" i="2"/>
  <c r="M408" i="2"/>
  <c r="M409" i="2"/>
  <c r="M410" i="2"/>
  <c r="M411" i="2"/>
  <c r="M412" i="2"/>
  <c r="M413" i="2"/>
  <c r="M414" i="2"/>
  <c r="M415" i="2"/>
  <c r="Q415" i="2" s="1"/>
  <c r="M416" i="2"/>
  <c r="M417" i="2"/>
  <c r="M418" i="2"/>
  <c r="M419" i="2"/>
  <c r="M420" i="2"/>
  <c r="M421" i="2"/>
  <c r="M422" i="2"/>
  <c r="M423" i="2"/>
  <c r="M424" i="2"/>
  <c r="M425" i="2"/>
  <c r="M426" i="2"/>
  <c r="M427" i="2"/>
  <c r="Q427" i="2" s="1"/>
  <c r="M428" i="2"/>
  <c r="M429" i="2"/>
  <c r="M430" i="2"/>
  <c r="M431" i="2"/>
  <c r="M432" i="2"/>
  <c r="M433" i="2"/>
  <c r="M434" i="2"/>
  <c r="M435" i="2"/>
  <c r="M436" i="2"/>
  <c r="M437" i="2"/>
  <c r="M438" i="2"/>
  <c r="M439" i="2"/>
  <c r="Q439" i="2" s="1"/>
  <c r="M440" i="2"/>
  <c r="M441" i="2"/>
  <c r="M442" i="2"/>
  <c r="M443" i="2"/>
  <c r="M444" i="2"/>
  <c r="M445" i="2"/>
  <c r="M446" i="2"/>
  <c r="M447" i="2"/>
  <c r="M448" i="2"/>
  <c r="M449" i="2"/>
  <c r="M450" i="2"/>
  <c r="M451" i="2"/>
  <c r="Q451" i="2" s="1"/>
  <c r="M452" i="2"/>
  <c r="M453" i="2"/>
  <c r="M454" i="2"/>
  <c r="M455" i="2"/>
  <c r="M456" i="2"/>
  <c r="M457" i="2"/>
  <c r="M458" i="2"/>
  <c r="M459" i="2"/>
  <c r="M460" i="2"/>
  <c r="M461" i="2"/>
  <c r="M462" i="2"/>
  <c r="M463" i="2"/>
  <c r="Q463" i="2" s="1"/>
  <c r="M464" i="2"/>
  <c r="M465" i="2"/>
  <c r="M466" i="2"/>
  <c r="M467" i="2"/>
  <c r="M468" i="2"/>
  <c r="M469" i="2"/>
  <c r="M470" i="2"/>
  <c r="M471" i="2"/>
  <c r="M472" i="2"/>
  <c r="M473" i="2"/>
  <c r="M474" i="2"/>
  <c r="M475" i="2"/>
  <c r="Q475" i="2" s="1"/>
  <c r="M476" i="2"/>
  <c r="M477" i="2"/>
  <c r="M478" i="2"/>
  <c r="M479" i="2"/>
  <c r="M480" i="2"/>
  <c r="M481" i="2"/>
  <c r="M482" i="2"/>
  <c r="M483" i="2"/>
  <c r="M484" i="2"/>
  <c r="M485" i="2"/>
  <c r="M486" i="2"/>
  <c r="M487" i="2"/>
  <c r="Q487" i="2" s="1"/>
  <c r="M488" i="2"/>
  <c r="M489" i="2"/>
  <c r="M490" i="2"/>
  <c r="M491" i="2"/>
  <c r="M492" i="2"/>
  <c r="M493" i="2"/>
  <c r="M494" i="2"/>
  <c r="M495" i="2"/>
  <c r="M496" i="2"/>
  <c r="M497" i="2"/>
  <c r="M498" i="2"/>
  <c r="M499" i="2"/>
  <c r="Q499" i="2" s="1"/>
  <c r="M500" i="2"/>
  <c r="M501" i="2"/>
  <c r="M502" i="2"/>
  <c r="M503" i="2"/>
  <c r="M504" i="2"/>
  <c r="M505" i="2"/>
  <c r="M506" i="2"/>
  <c r="M507" i="2"/>
  <c r="M508" i="2"/>
  <c r="M509" i="2"/>
  <c r="M510" i="2"/>
  <c r="M511" i="2"/>
  <c r="Q511" i="2" s="1"/>
  <c r="M512" i="2"/>
  <c r="M513" i="2"/>
  <c r="M514" i="2"/>
  <c r="M515" i="2"/>
  <c r="M516" i="2"/>
  <c r="M517" i="2"/>
  <c r="M518" i="2"/>
  <c r="M519" i="2"/>
  <c r="M520" i="2"/>
  <c r="M521" i="2"/>
  <c r="M522" i="2"/>
  <c r="M523" i="2"/>
  <c r="Q523" i="2" s="1"/>
  <c r="M524" i="2"/>
  <c r="M525" i="2"/>
  <c r="M526" i="2"/>
  <c r="M527" i="2"/>
  <c r="M528" i="2"/>
  <c r="M529" i="2"/>
  <c r="M530" i="2"/>
  <c r="M531" i="2"/>
  <c r="M532" i="2"/>
  <c r="M533" i="2"/>
  <c r="M534" i="2"/>
  <c r="M535" i="2"/>
  <c r="Q535" i="2" s="1"/>
  <c r="M536" i="2"/>
  <c r="M537" i="2"/>
  <c r="M538" i="2"/>
  <c r="M539" i="2"/>
  <c r="M540" i="2"/>
  <c r="M541" i="2"/>
  <c r="M542" i="2"/>
  <c r="M543" i="2"/>
  <c r="M544" i="2"/>
  <c r="M545" i="2"/>
  <c r="M546" i="2"/>
  <c r="M547" i="2"/>
  <c r="Q547" i="2" s="1"/>
  <c r="M548" i="2"/>
  <c r="M549" i="2"/>
  <c r="M550" i="2"/>
  <c r="M551" i="2"/>
  <c r="M552" i="2"/>
  <c r="M553" i="2"/>
  <c r="M554" i="2"/>
  <c r="M555" i="2"/>
  <c r="M556" i="2"/>
  <c r="M557" i="2"/>
  <c r="M558" i="2"/>
  <c r="M559" i="2"/>
  <c r="Q559" i="2" s="1"/>
  <c r="M560" i="2"/>
  <c r="M561" i="2"/>
  <c r="M562" i="2"/>
  <c r="M563" i="2"/>
  <c r="M564" i="2"/>
  <c r="M565" i="2"/>
  <c r="M566" i="2"/>
  <c r="M567" i="2"/>
  <c r="M568" i="2"/>
  <c r="M569" i="2"/>
  <c r="M570" i="2"/>
  <c r="M571" i="2"/>
  <c r="Q571" i="2" s="1"/>
  <c r="M572" i="2"/>
  <c r="M573" i="2"/>
  <c r="M574" i="2"/>
  <c r="M575" i="2"/>
  <c r="M576" i="2"/>
  <c r="M577" i="2"/>
  <c r="M578" i="2"/>
  <c r="M579" i="2"/>
  <c r="M580" i="2"/>
  <c r="M581" i="2"/>
  <c r="M582" i="2"/>
  <c r="M583" i="2"/>
  <c r="Q583" i="2" s="1"/>
  <c r="M584" i="2"/>
  <c r="M585" i="2"/>
  <c r="M586" i="2"/>
  <c r="M587" i="2"/>
  <c r="M588" i="2"/>
  <c r="M589" i="2"/>
  <c r="M590" i="2"/>
  <c r="M591" i="2"/>
  <c r="M592" i="2"/>
  <c r="M593" i="2"/>
  <c r="M594" i="2"/>
  <c r="M595" i="2"/>
  <c r="Q595" i="2" s="1"/>
  <c r="M596" i="2"/>
  <c r="M597" i="2"/>
  <c r="M598" i="2"/>
  <c r="M599" i="2"/>
  <c r="M600" i="2"/>
  <c r="M601" i="2"/>
  <c r="M602" i="2"/>
  <c r="M603" i="2"/>
  <c r="M604" i="2"/>
  <c r="M605" i="2"/>
  <c r="M606" i="2"/>
  <c r="M607" i="2"/>
  <c r="Q607" i="2" s="1"/>
  <c r="M608" i="2"/>
  <c r="M609" i="2"/>
  <c r="M610" i="2"/>
  <c r="M611" i="2"/>
  <c r="M612" i="2"/>
  <c r="M613" i="2"/>
  <c r="M614" i="2"/>
  <c r="M615" i="2"/>
  <c r="M616" i="2"/>
  <c r="M617" i="2"/>
  <c r="M618" i="2"/>
  <c r="M619" i="2"/>
  <c r="Q619" i="2" s="1"/>
  <c r="M620" i="2"/>
  <c r="M621" i="2"/>
  <c r="M622" i="2"/>
  <c r="M623" i="2"/>
  <c r="M624" i="2"/>
  <c r="M625" i="2"/>
  <c r="M626" i="2"/>
  <c r="M627" i="2"/>
  <c r="M628" i="2"/>
  <c r="M629" i="2"/>
  <c r="M630" i="2"/>
  <c r="M631" i="2"/>
  <c r="Q631" i="2" s="1"/>
  <c r="M632" i="2"/>
  <c r="M633" i="2"/>
  <c r="M634" i="2"/>
  <c r="M635" i="2"/>
  <c r="M636" i="2"/>
  <c r="M637" i="2"/>
  <c r="M638" i="2"/>
  <c r="M639" i="2"/>
  <c r="M640" i="2"/>
  <c r="M641" i="2"/>
  <c r="M642" i="2"/>
  <c r="M643" i="2"/>
  <c r="Q643" i="2" s="1"/>
  <c r="M644" i="2"/>
  <c r="M645" i="2"/>
  <c r="M646" i="2"/>
  <c r="M647" i="2"/>
  <c r="M648" i="2"/>
  <c r="M649" i="2"/>
  <c r="M650" i="2"/>
  <c r="M651" i="2"/>
  <c r="M652" i="2"/>
  <c r="M653" i="2"/>
  <c r="M654" i="2"/>
  <c r="M655" i="2"/>
  <c r="Q655" i="2" s="1"/>
  <c r="M656" i="2"/>
  <c r="M657" i="2"/>
  <c r="M658" i="2"/>
  <c r="M659" i="2"/>
  <c r="M660" i="2"/>
  <c r="M661" i="2"/>
  <c r="M662" i="2"/>
  <c r="M663" i="2"/>
  <c r="M664" i="2"/>
  <c r="M665" i="2"/>
  <c r="M666" i="2"/>
  <c r="M667" i="2"/>
  <c r="Q667" i="2" s="1"/>
  <c r="M668" i="2"/>
  <c r="M669" i="2"/>
  <c r="M670" i="2"/>
  <c r="M671" i="2"/>
  <c r="M672" i="2"/>
  <c r="M673" i="2"/>
  <c r="M674" i="2"/>
  <c r="M675" i="2"/>
  <c r="M676" i="2"/>
  <c r="M677" i="2"/>
  <c r="M678" i="2"/>
  <c r="M679" i="2"/>
  <c r="Q679" i="2" s="1"/>
  <c r="M680" i="2"/>
  <c r="M681" i="2"/>
  <c r="M682" i="2"/>
  <c r="M683" i="2"/>
  <c r="M684" i="2"/>
  <c r="M685" i="2"/>
  <c r="M686" i="2"/>
  <c r="M687" i="2"/>
  <c r="M688" i="2"/>
  <c r="M689" i="2"/>
  <c r="M690" i="2"/>
  <c r="M691" i="2"/>
  <c r="Q691" i="2" s="1"/>
  <c r="M692" i="2"/>
  <c r="M693" i="2"/>
  <c r="M694" i="2"/>
  <c r="M695" i="2"/>
  <c r="M696" i="2"/>
  <c r="M697" i="2"/>
  <c r="M698" i="2"/>
  <c r="M699" i="2"/>
  <c r="M700" i="2"/>
  <c r="M701" i="2"/>
  <c r="M702" i="2"/>
  <c r="M703" i="2"/>
  <c r="Q703" i="2" s="1"/>
  <c r="M704" i="2"/>
  <c r="M705" i="2"/>
  <c r="M706" i="2"/>
  <c r="M707" i="2"/>
  <c r="M708" i="2"/>
  <c r="M709" i="2"/>
  <c r="M710" i="2"/>
  <c r="M711" i="2"/>
  <c r="M712" i="2"/>
  <c r="M713" i="2"/>
  <c r="M714" i="2"/>
  <c r="M715" i="2"/>
  <c r="Q715" i="2" s="1"/>
  <c r="M716" i="2"/>
  <c r="M717" i="2"/>
  <c r="M718" i="2"/>
  <c r="M719" i="2"/>
  <c r="M720" i="2"/>
  <c r="M721" i="2"/>
  <c r="M722" i="2"/>
  <c r="M723" i="2"/>
  <c r="M724" i="2"/>
  <c r="M725" i="2"/>
  <c r="M726" i="2"/>
  <c r="M727" i="2"/>
  <c r="Q727" i="2" s="1"/>
  <c r="M728" i="2"/>
  <c r="M729" i="2"/>
  <c r="M730" i="2"/>
  <c r="M731" i="2"/>
  <c r="M732" i="2"/>
  <c r="M733" i="2"/>
  <c r="M734" i="2"/>
  <c r="M735" i="2"/>
  <c r="M736" i="2"/>
  <c r="M737" i="2"/>
  <c r="M738" i="2"/>
  <c r="M739" i="2"/>
  <c r="Q739" i="2" s="1"/>
  <c r="M740" i="2"/>
  <c r="M741" i="2"/>
  <c r="M742" i="2"/>
  <c r="M743" i="2"/>
  <c r="M744" i="2"/>
  <c r="M745" i="2"/>
  <c r="M746" i="2"/>
  <c r="M747" i="2"/>
  <c r="M748" i="2"/>
  <c r="M749" i="2"/>
  <c r="M750" i="2"/>
  <c r="M751" i="2"/>
  <c r="Q751" i="2" s="1"/>
  <c r="M752" i="2"/>
  <c r="M753" i="2"/>
  <c r="M754" i="2"/>
  <c r="M755" i="2"/>
  <c r="M756" i="2"/>
  <c r="M757" i="2"/>
  <c r="M758" i="2"/>
  <c r="M759" i="2"/>
  <c r="M760" i="2"/>
  <c r="M761" i="2"/>
  <c r="M762" i="2"/>
  <c r="M763" i="2"/>
  <c r="Q763" i="2" s="1"/>
  <c r="M764" i="2"/>
  <c r="M765" i="2"/>
  <c r="M766" i="2"/>
  <c r="M767" i="2"/>
  <c r="M768" i="2"/>
  <c r="M769" i="2"/>
  <c r="M770" i="2"/>
  <c r="M771" i="2"/>
  <c r="M772" i="2"/>
  <c r="M773" i="2"/>
  <c r="M774" i="2"/>
  <c r="M775" i="2"/>
  <c r="Q775" i="2" s="1"/>
  <c r="M776" i="2"/>
  <c r="M777" i="2"/>
  <c r="M778" i="2"/>
  <c r="M779" i="2"/>
  <c r="M780" i="2"/>
  <c r="M781" i="2"/>
  <c r="M782" i="2"/>
  <c r="M783" i="2"/>
  <c r="M784" i="2"/>
  <c r="M785" i="2"/>
  <c r="M786" i="2"/>
  <c r="M787" i="2"/>
  <c r="Q787" i="2" s="1"/>
  <c r="M788" i="2"/>
  <c r="M789" i="2"/>
  <c r="M790" i="2"/>
  <c r="M791" i="2"/>
  <c r="M792" i="2"/>
  <c r="M793" i="2"/>
  <c r="M794" i="2"/>
  <c r="M795" i="2"/>
  <c r="M796" i="2"/>
  <c r="M797" i="2"/>
  <c r="M798" i="2"/>
  <c r="M799" i="2"/>
  <c r="Q799" i="2" s="1"/>
  <c r="M800" i="2"/>
  <c r="M801" i="2"/>
  <c r="M802" i="2"/>
  <c r="M803" i="2"/>
  <c r="M804" i="2"/>
  <c r="M805" i="2"/>
  <c r="M806" i="2"/>
  <c r="M807" i="2"/>
  <c r="M808" i="2"/>
  <c r="M809" i="2"/>
  <c r="M810" i="2"/>
  <c r="M811" i="2"/>
  <c r="Q811" i="2" s="1"/>
  <c r="M812" i="2"/>
  <c r="M813" i="2"/>
  <c r="M814" i="2"/>
  <c r="M815" i="2"/>
  <c r="M816" i="2"/>
  <c r="M817" i="2"/>
  <c r="M818" i="2"/>
  <c r="M819" i="2"/>
  <c r="M820" i="2"/>
  <c r="M821" i="2"/>
  <c r="M822" i="2"/>
  <c r="M823" i="2"/>
  <c r="Q823" i="2" s="1"/>
  <c r="M824" i="2"/>
  <c r="M825" i="2"/>
  <c r="M826" i="2"/>
  <c r="M827" i="2"/>
  <c r="M828" i="2"/>
  <c r="M829" i="2"/>
  <c r="M830" i="2"/>
  <c r="M831" i="2"/>
  <c r="M832" i="2"/>
  <c r="M833" i="2"/>
  <c r="M834" i="2"/>
  <c r="M835" i="2"/>
  <c r="Q835" i="2" s="1"/>
  <c r="M836" i="2"/>
  <c r="M837" i="2"/>
  <c r="M838" i="2"/>
  <c r="M839" i="2"/>
  <c r="M840" i="2"/>
  <c r="M841" i="2"/>
  <c r="M842" i="2"/>
  <c r="M843" i="2"/>
  <c r="M844" i="2"/>
  <c r="M845" i="2"/>
  <c r="M846" i="2"/>
  <c r="M847" i="2"/>
  <c r="Q847" i="2" s="1"/>
  <c r="M848" i="2"/>
  <c r="M849" i="2"/>
  <c r="M850" i="2"/>
  <c r="M851" i="2"/>
  <c r="M852" i="2"/>
  <c r="M853" i="2"/>
  <c r="M854" i="2"/>
  <c r="M855" i="2"/>
  <c r="M856" i="2"/>
  <c r="M857" i="2"/>
  <c r="M858" i="2"/>
  <c r="M859" i="2"/>
  <c r="Q859" i="2" s="1"/>
  <c r="M860" i="2"/>
  <c r="M861" i="2"/>
  <c r="M862" i="2"/>
  <c r="M863" i="2"/>
  <c r="M864" i="2"/>
  <c r="M865" i="2"/>
  <c r="M866" i="2"/>
  <c r="M867" i="2"/>
  <c r="M868" i="2"/>
  <c r="M869" i="2"/>
  <c r="M870" i="2"/>
  <c r="M871" i="2"/>
  <c r="Q871" i="2" s="1"/>
  <c r="M872" i="2"/>
  <c r="M873" i="2"/>
  <c r="M874" i="2"/>
  <c r="M875" i="2"/>
  <c r="M876" i="2"/>
  <c r="M877" i="2"/>
  <c r="M878" i="2"/>
  <c r="M879" i="2"/>
  <c r="M880" i="2"/>
  <c r="M881" i="2"/>
  <c r="M882" i="2"/>
  <c r="M883" i="2"/>
  <c r="Q883" i="2" s="1"/>
  <c r="M884" i="2"/>
  <c r="M885" i="2"/>
  <c r="M886" i="2"/>
  <c r="M887" i="2"/>
  <c r="M888" i="2"/>
  <c r="M889" i="2"/>
  <c r="M890" i="2"/>
  <c r="M891" i="2"/>
  <c r="M892" i="2"/>
  <c r="M893" i="2"/>
  <c r="M894" i="2"/>
  <c r="M895" i="2"/>
  <c r="Q895" i="2" s="1"/>
  <c r="M896" i="2"/>
  <c r="M897" i="2"/>
  <c r="M898" i="2"/>
  <c r="M899" i="2"/>
  <c r="M900" i="2"/>
  <c r="M901" i="2"/>
  <c r="M902" i="2"/>
  <c r="M903" i="2"/>
  <c r="M904" i="2"/>
  <c r="M905" i="2"/>
  <c r="M906" i="2"/>
  <c r="M907" i="2"/>
  <c r="Q907" i="2" s="1"/>
  <c r="M908" i="2"/>
  <c r="M909" i="2"/>
  <c r="M910" i="2"/>
  <c r="M911" i="2"/>
  <c r="M912" i="2"/>
  <c r="M913" i="2"/>
  <c r="M914" i="2"/>
  <c r="M915" i="2"/>
  <c r="M916" i="2"/>
  <c r="M917" i="2"/>
  <c r="M918" i="2"/>
  <c r="M919" i="2"/>
  <c r="Q919" i="2" s="1"/>
  <c r="M920" i="2"/>
  <c r="M921" i="2"/>
  <c r="M922" i="2"/>
  <c r="M923" i="2"/>
  <c r="M924" i="2"/>
  <c r="M925" i="2"/>
  <c r="M926" i="2"/>
  <c r="M927" i="2"/>
  <c r="M928" i="2"/>
  <c r="M929" i="2"/>
  <c r="M930" i="2"/>
  <c r="M931" i="2"/>
  <c r="Q931" i="2" s="1"/>
  <c r="M932" i="2"/>
  <c r="M933" i="2"/>
  <c r="M934" i="2"/>
  <c r="M935" i="2"/>
  <c r="M936" i="2"/>
  <c r="M937" i="2"/>
  <c r="M938" i="2"/>
  <c r="M939" i="2"/>
  <c r="M940" i="2"/>
  <c r="M941" i="2"/>
  <c r="M942" i="2"/>
  <c r="M943" i="2"/>
  <c r="Q943" i="2" s="1"/>
  <c r="M944" i="2"/>
  <c r="M945" i="2"/>
  <c r="M946" i="2"/>
  <c r="M947" i="2"/>
  <c r="M948" i="2"/>
  <c r="M949" i="2"/>
  <c r="M950" i="2"/>
  <c r="M951" i="2"/>
  <c r="M952" i="2"/>
  <c r="M953" i="2"/>
  <c r="M954" i="2"/>
  <c r="M955" i="2"/>
  <c r="Q955" i="2" s="1"/>
  <c r="M956" i="2"/>
  <c r="M957" i="2"/>
  <c r="M958" i="2"/>
  <c r="M959" i="2"/>
  <c r="M960" i="2"/>
  <c r="M961" i="2"/>
  <c r="M962" i="2"/>
  <c r="M963" i="2"/>
  <c r="M964" i="2"/>
  <c r="M965" i="2"/>
  <c r="M966" i="2"/>
  <c r="M967" i="2"/>
  <c r="Q967" i="2" s="1"/>
  <c r="M968" i="2"/>
  <c r="M969" i="2"/>
  <c r="M970" i="2"/>
  <c r="M971" i="2"/>
  <c r="M972" i="2"/>
  <c r="M973" i="2"/>
  <c r="M974" i="2"/>
  <c r="M975" i="2"/>
  <c r="M976" i="2"/>
  <c r="M977" i="2"/>
  <c r="M978" i="2"/>
  <c r="M979" i="2"/>
  <c r="Q979" i="2" s="1"/>
  <c r="M980" i="2"/>
  <c r="M981" i="2"/>
  <c r="M982" i="2"/>
  <c r="M983" i="2"/>
  <c r="M984" i="2"/>
  <c r="M985" i="2"/>
  <c r="M986" i="2"/>
  <c r="M987" i="2"/>
  <c r="M988" i="2"/>
  <c r="M989" i="2"/>
  <c r="M990" i="2"/>
  <c r="M991" i="2"/>
  <c r="Q991" i="2" s="1"/>
  <c r="M992" i="2"/>
  <c r="M993" i="2"/>
  <c r="M994" i="2"/>
  <c r="M995" i="2"/>
  <c r="M996" i="2"/>
  <c r="M997" i="2"/>
  <c r="M998" i="2"/>
  <c r="M999" i="2"/>
  <c r="M1000" i="2"/>
  <c r="M1001" i="2"/>
  <c r="M1002" i="2"/>
  <c r="M1003" i="2"/>
  <c r="Q1003" i="2" s="1"/>
  <c r="M1004" i="2"/>
  <c r="M1005" i="2"/>
  <c r="M1006" i="2"/>
  <c r="M1007" i="2"/>
  <c r="M1008" i="2"/>
  <c r="M1009" i="2"/>
  <c r="M1010" i="2"/>
  <c r="M1011" i="2"/>
  <c r="M1012" i="2"/>
  <c r="M1013" i="2"/>
  <c r="M1014" i="2"/>
  <c r="M1015" i="2"/>
  <c r="Q1015" i="2" s="1"/>
  <c r="M1016" i="2"/>
  <c r="M1017" i="2"/>
  <c r="M1018" i="2"/>
  <c r="M1019" i="2"/>
  <c r="M1020" i="2"/>
  <c r="M1021" i="2"/>
  <c r="M1022" i="2"/>
  <c r="M1023" i="2"/>
  <c r="M1024" i="2"/>
  <c r="M1025" i="2"/>
  <c r="M1026" i="2"/>
  <c r="M1027" i="2"/>
  <c r="Q1027" i="2" s="1"/>
  <c r="M1028" i="2"/>
  <c r="M1029" i="2"/>
  <c r="M1030" i="2"/>
  <c r="M1031" i="2"/>
  <c r="M1032" i="2"/>
  <c r="M1033" i="2"/>
  <c r="M1034" i="2"/>
  <c r="M1035" i="2"/>
  <c r="M1036" i="2"/>
  <c r="M1037" i="2"/>
  <c r="M1038" i="2"/>
  <c r="M1039" i="2"/>
  <c r="Q1039" i="2" s="1"/>
  <c r="M1040" i="2"/>
  <c r="M1041" i="2"/>
  <c r="M1042" i="2"/>
  <c r="M1043" i="2"/>
  <c r="M1044" i="2"/>
  <c r="M1045" i="2"/>
  <c r="M1046" i="2"/>
  <c r="M1047" i="2"/>
  <c r="M1048" i="2"/>
  <c r="M1049" i="2"/>
  <c r="M1050" i="2"/>
  <c r="M1051" i="2"/>
  <c r="Q1051" i="2" s="1"/>
  <c r="M1052" i="2"/>
  <c r="M1053" i="2"/>
  <c r="M1054" i="2"/>
  <c r="M1055" i="2"/>
  <c r="M1056" i="2"/>
  <c r="M1057" i="2"/>
  <c r="M1058" i="2"/>
  <c r="M1059" i="2"/>
  <c r="M1060" i="2"/>
  <c r="M1061" i="2"/>
  <c r="M1062" i="2"/>
  <c r="M1063" i="2"/>
  <c r="Q1063" i="2" s="1"/>
  <c r="M1064" i="2"/>
  <c r="M1065" i="2"/>
  <c r="M1066" i="2"/>
  <c r="M1067" i="2"/>
  <c r="M1068" i="2"/>
  <c r="M1069" i="2"/>
  <c r="M1070" i="2"/>
  <c r="M1071" i="2"/>
  <c r="M1072" i="2"/>
  <c r="M1073" i="2"/>
  <c r="M1074" i="2"/>
  <c r="M1075" i="2"/>
  <c r="Q1075" i="2" s="1"/>
  <c r="M1076" i="2"/>
  <c r="M1077" i="2"/>
  <c r="M1078" i="2"/>
  <c r="M1079" i="2"/>
  <c r="M1080" i="2"/>
  <c r="M1081" i="2"/>
  <c r="M1082" i="2"/>
  <c r="M1083" i="2"/>
  <c r="M1084" i="2"/>
  <c r="M1085" i="2"/>
  <c r="M1086" i="2"/>
  <c r="M1087" i="2"/>
  <c r="Q1087" i="2" s="1"/>
  <c r="M1088" i="2"/>
  <c r="M1089" i="2"/>
  <c r="M1090" i="2"/>
  <c r="M1091" i="2"/>
  <c r="M1092" i="2"/>
  <c r="M1093" i="2"/>
  <c r="M1094" i="2"/>
  <c r="M1095" i="2"/>
  <c r="M1096" i="2"/>
  <c r="M1097" i="2"/>
  <c r="M1098" i="2"/>
  <c r="M1099" i="2"/>
  <c r="Q1099" i="2" s="1"/>
  <c r="M1100" i="2"/>
  <c r="M1101" i="2"/>
  <c r="M1102" i="2"/>
  <c r="M1103" i="2"/>
  <c r="M1104" i="2"/>
  <c r="M1105" i="2"/>
  <c r="M1106" i="2"/>
  <c r="M1107" i="2"/>
  <c r="M1108" i="2"/>
  <c r="M1109" i="2"/>
  <c r="M1110" i="2"/>
  <c r="M1111" i="2"/>
  <c r="Q1111" i="2" s="1"/>
  <c r="M1112" i="2"/>
  <c r="M1113" i="2"/>
  <c r="M1114" i="2"/>
  <c r="M1115" i="2"/>
  <c r="M1116" i="2"/>
  <c r="M1117" i="2"/>
  <c r="M1118" i="2"/>
  <c r="M1119" i="2"/>
  <c r="M1120" i="2"/>
  <c r="M1121" i="2"/>
  <c r="M1122" i="2"/>
  <c r="M1123" i="2"/>
  <c r="Q1123" i="2" s="1"/>
  <c r="M1124" i="2"/>
  <c r="M1125" i="2"/>
  <c r="M1126" i="2"/>
  <c r="M1127" i="2"/>
  <c r="M1128" i="2"/>
  <c r="M1129" i="2"/>
  <c r="M1130" i="2"/>
  <c r="M1131" i="2"/>
  <c r="M1132" i="2"/>
  <c r="M1133" i="2"/>
  <c r="M1134" i="2"/>
  <c r="M1135" i="2"/>
  <c r="Q1135" i="2" s="1"/>
  <c r="M1136" i="2"/>
  <c r="M1137" i="2"/>
  <c r="M1138" i="2"/>
  <c r="M1139" i="2"/>
  <c r="M1140" i="2"/>
  <c r="M1141" i="2"/>
  <c r="M1142" i="2"/>
  <c r="M1143" i="2"/>
  <c r="M1144" i="2"/>
  <c r="M1145" i="2"/>
  <c r="M1146" i="2"/>
  <c r="M1147" i="2"/>
  <c r="Q1147" i="2" s="1"/>
  <c r="M1148" i="2"/>
  <c r="M1149" i="2"/>
  <c r="M1150" i="2"/>
  <c r="M1151" i="2"/>
  <c r="M1152" i="2"/>
  <c r="M1153" i="2"/>
  <c r="M1154" i="2"/>
  <c r="M1155" i="2"/>
  <c r="M1156" i="2"/>
  <c r="M1157" i="2"/>
  <c r="M1158" i="2"/>
  <c r="M1159" i="2"/>
  <c r="Q1159" i="2" s="1"/>
  <c r="M1160" i="2"/>
  <c r="M1161" i="2"/>
  <c r="M1162" i="2"/>
  <c r="M1163" i="2"/>
  <c r="M1164" i="2"/>
  <c r="M1165" i="2"/>
  <c r="M1166" i="2"/>
  <c r="M1167" i="2"/>
  <c r="M1168" i="2"/>
  <c r="M1169" i="2"/>
  <c r="M1170" i="2"/>
  <c r="M1171" i="2"/>
  <c r="Q1171" i="2" s="1"/>
  <c r="M1172" i="2"/>
  <c r="M1173" i="2"/>
  <c r="M1174" i="2"/>
  <c r="M1175" i="2"/>
  <c r="M1176" i="2"/>
  <c r="M1177" i="2"/>
  <c r="M1178" i="2"/>
  <c r="M1179" i="2"/>
  <c r="M1180" i="2"/>
  <c r="M1181" i="2"/>
  <c r="M1182" i="2"/>
  <c r="M1183" i="2"/>
  <c r="Q1183" i="2" s="1"/>
  <c r="M1184" i="2"/>
  <c r="M1185" i="2"/>
  <c r="M1186" i="2"/>
  <c r="M1187" i="2"/>
  <c r="M1188" i="2"/>
  <c r="M1189" i="2"/>
  <c r="M1190" i="2"/>
  <c r="M1191" i="2"/>
  <c r="M1192" i="2"/>
  <c r="M1193" i="2"/>
  <c r="M1194" i="2"/>
  <c r="M1195" i="2"/>
  <c r="Q1195" i="2" s="1"/>
  <c r="M1196" i="2"/>
  <c r="M1197" i="2"/>
  <c r="M1198" i="2"/>
  <c r="M1199" i="2"/>
  <c r="M1200" i="2"/>
  <c r="M1201" i="2"/>
  <c r="M1202" i="2"/>
  <c r="M1203" i="2"/>
  <c r="M1204" i="2"/>
  <c r="M1205" i="2"/>
  <c r="M1206" i="2"/>
  <c r="M1207" i="2"/>
  <c r="Q1207" i="2" s="1"/>
  <c r="M1208" i="2"/>
  <c r="M1209" i="2"/>
  <c r="M1210" i="2"/>
  <c r="M1211" i="2"/>
  <c r="M1212" i="2"/>
  <c r="M1213" i="2"/>
  <c r="M1214" i="2"/>
  <c r="M1215" i="2"/>
  <c r="M1216" i="2"/>
  <c r="M1217" i="2"/>
  <c r="M1218" i="2"/>
  <c r="M1219" i="2"/>
  <c r="Q1219" i="2" s="1"/>
  <c r="M1220" i="2"/>
  <c r="M1221" i="2"/>
  <c r="M1222" i="2"/>
  <c r="M1223" i="2"/>
  <c r="M1224" i="2"/>
  <c r="M1225" i="2"/>
  <c r="M1226" i="2"/>
  <c r="M1227" i="2"/>
  <c r="M1228" i="2"/>
  <c r="M1229" i="2"/>
  <c r="M1230" i="2"/>
  <c r="M1231" i="2"/>
  <c r="Q1231" i="2" s="1"/>
  <c r="M1232" i="2"/>
  <c r="M1233" i="2"/>
  <c r="M1234" i="2"/>
  <c r="M1235" i="2"/>
  <c r="M1236" i="2"/>
  <c r="M1237" i="2"/>
  <c r="M1238" i="2"/>
  <c r="M1239" i="2"/>
  <c r="M1240" i="2"/>
  <c r="M1241" i="2"/>
  <c r="M1242" i="2"/>
  <c r="M1243" i="2"/>
  <c r="Q1243" i="2" s="1"/>
  <c r="M1244" i="2"/>
  <c r="M1245" i="2"/>
  <c r="M1246" i="2"/>
  <c r="M1247" i="2"/>
  <c r="M1248" i="2"/>
  <c r="M1249" i="2"/>
  <c r="M1250" i="2"/>
  <c r="M1251" i="2"/>
  <c r="M1252" i="2"/>
  <c r="M1253" i="2"/>
  <c r="M1254" i="2"/>
  <c r="M1255" i="2"/>
  <c r="Q1255" i="2" s="1"/>
  <c r="M1256" i="2"/>
  <c r="M1257" i="2"/>
  <c r="M1258" i="2"/>
  <c r="M1259" i="2"/>
  <c r="M1260" i="2"/>
  <c r="M1261" i="2"/>
  <c r="M1262" i="2"/>
  <c r="M1263" i="2"/>
  <c r="M1264" i="2"/>
  <c r="M1265" i="2"/>
  <c r="M1266" i="2"/>
  <c r="M1267" i="2"/>
  <c r="Q1267" i="2" s="1"/>
  <c r="M1268" i="2"/>
  <c r="M1269" i="2"/>
  <c r="M1270" i="2"/>
  <c r="M1271" i="2"/>
  <c r="M1272" i="2"/>
  <c r="M1273" i="2"/>
  <c r="M1274" i="2"/>
  <c r="M1275" i="2"/>
  <c r="M1276" i="2"/>
  <c r="M1277" i="2"/>
  <c r="M1278" i="2"/>
  <c r="M1279" i="2"/>
  <c r="Q1279" i="2" s="1"/>
  <c r="M1280" i="2"/>
  <c r="M1281" i="2"/>
  <c r="M1282" i="2"/>
  <c r="M1283" i="2"/>
  <c r="M1284" i="2"/>
  <c r="M1285" i="2"/>
  <c r="M1286" i="2"/>
  <c r="M1287" i="2"/>
  <c r="M1288" i="2"/>
  <c r="M1289" i="2"/>
  <c r="M1290" i="2"/>
  <c r="M1291" i="2"/>
  <c r="Q1291" i="2" s="1"/>
  <c r="M1292" i="2"/>
  <c r="M1293" i="2"/>
  <c r="M1294" i="2"/>
  <c r="M1295" i="2"/>
  <c r="M1296" i="2"/>
  <c r="M1297" i="2"/>
  <c r="M1298" i="2"/>
  <c r="M1299" i="2"/>
  <c r="M1300" i="2"/>
  <c r="M1301" i="2"/>
  <c r="M1302" i="2"/>
  <c r="M1303" i="2"/>
  <c r="Q1303" i="2" s="1"/>
  <c r="M1304" i="2"/>
  <c r="M1305" i="2"/>
  <c r="M1306" i="2"/>
  <c r="M1307" i="2"/>
  <c r="M1308" i="2"/>
  <c r="M1309" i="2"/>
  <c r="M1310" i="2"/>
  <c r="M1311" i="2"/>
  <c r="M1312" i="2"/>
  <c r="M1313" i="2"/>
  <c r="M1314" i="2"/>
  <c r="M1315" i="2"/>
  <c r="Q1315" i="2" s="1"/>
  <c r="M1316" i="2"/>
  <c r="M1317" i="2"/>
  <c r="M1318" i="2"/>
  <c r="M1319" i="2"/>
  <c r="M1320" i="2"/>
  <c r="M1321" i="2"/>
  <c r="M1322" i="2"/>
  <c r="M1323" i="2"/>
  <c r="M1324" i="2"/>
  <c r="M1325" i="2"/>
  <c r="M1326" i="2"/>
  <c r="M1327" i="2"/>
  <c r="Q1327" i="2" s="1"/>
  <c r="M1328" i="2"/>
  <c r="M1329" i="2"/>
  <c r="M1330" i="2"/>
  <c r="M1331" i="2"/>
  <c r="M1332" i="2"/>
  <c r="M1333" i="2"/>
  <c r="M1334" i="2"/>
  <c r="M1335" i="2"/>
  <c r="M1336" i="2"/>
  <c r="M1337" i="2"/>
  <c r="M1338" i="2"/>
  <c r="M1339" i="2"/>
  <c r="Q1339" i="2" s="1"/>
  <c r="M1340" i="2"/>
  <c r="M1341" i="2"/>
  <c r="M1342" i="2"/>
  <c r="M1343" i="2"/>
  <c r="M1344" i="2"/>
  <c r="M1345" i="2"/>
  <c r="M1346" i="2"/>
  <c r="M1347" i="2"/>
  <c r="M1348" i="2"/>
  <c r="M1349" i="2"/>
  <c r="M1350" i="2"/>
  <c r="M1351" i="2"/>
  <c r="Q1351" i="2" s="1"/>
  <c r="M1352" i="2"/>
  <c r="M1353" i="2"/>
  <c r="M1354" i="2"/>
  <c r="M1355" i="2"/>
  <c r="M1356" i="2"/>
  <c r="M1357" i="2"/>
  <c r="M1358" i="2"/>
  <c r="M1359" i="2"/>
  <c r="M1360" i="2"/>
  <c r="M1361" i="2"/>
  <c r="M1362" i="2"/>
  <c r="M1363" i="2"/>
  <c r="Q1363" i="2" s="1"/>
  <c r="M1364" i="2"/>
  <c r="M1365" i="2"/>
  <c r="M1366" i="2"/>
  <c r="M1367" i="2"/>
  <c r="M1368" i="2"/>
  <c r="M1369" i="2"/>
  <c r="M1370" i="2"/>
  <c r="M1371" i="2"/>
  <c r="M1372" i="2"/>
  <c r="M1373" i="2"/>
  <c r="M1374" i="2"/>
  <c r="M1375" i="2"/>
  <c r="Q1375" i="2" s="1"/>
  <c r="M1376" i="2"/>
  <c r="M1377" i="2"/>
  <c r="M1378" i="2"/>
  <c r="M1379" i="2"/>
  <c r="M1380" i="2"/>
  <c r="M1381" i="2"/>
  <c r="M1382" i="2"/>
  <c r="M1383" i="2"/>
  <c r="M1384" i="2"/>
  <c r="M1385" i="2"/>
  <c r="M1386" i="2"/>
  <c r="M1387" i="2"/>
  <c r="Q1387" i="2" s="1"/>
  <c r="M1388" i="2"/>
  <c r="M1389" i="2"/>
  <c r="M1390" i="2"/>
  <c r="M1391" i="2"/>
  <c r="M1392" i="2"/>
  <c r="M1393" i="2"/>
  <c r="M1394" i="2"/>
  <c r="M1395" i="2"/>
  <c r="M1396" i="2"/>
  <c r="M1397" i="2"/>
  <c r="M1398" i="2"/>
  <c r="M1399" i="2"/>
  <c r="Q1399" i="2" s="1"/>
  <c r="M1400" i="2"/>
  <c r="M1401" i="2"/>
  <c r="M1402" i="2"/>
  <c r="M1403" i="2"/>
  <c r="M1404" i="2"/>
  <c r="M1405" i="2"/>
  <c r="M1406" i="2"/>
  <c r="M1407" i="2"/>
  <c r="M1408" i="2"/>
  <c r="M1409" i="2"/>
  <c r="M1410" i="2"/>
  <c r="M1411" i="2"/>
  <c r="Q1411" i="2" s="1"/>
  <c r="M1412" i="2"/>
  <c r="M1413" i="2"/>
  <c r="M1414" i="2"/>
  <c r="M1415" i="2"/>
  <c r="M1416" i="2"/>
  <c r="M1417" i="2"/>
  <c r="M1418" i="2"/>
  <c r="M1419" i="2"/>
  <c r="M1420" i="2"/>
  <c r="M1421" i="2"/>
  <c r="M1422" i="2"/>
  <c r="M1423" i="2"/>
  <c r="Q1423" i="2" s="1"/>
  <c r="M1424" i="2"/>
  <c r="M1425" i="2"/>
  <c r="M1426" i="2"/>
  <c r="M1427" i="2"/>
  <c r="M1428" i="2"/>
  <c r="M1429" i="2"/>
  <c r="M1430" i="2"/>
  <c r="M1431" i="2"/>
  <c r="M1432" i="2"/>
  <c r="M1433" i="2"/>
  <c r="M1434" i="2"/>
  <c r="M1435" i="2"/>
  <c r="Q1435" i="2" s="1"/>
  <c r="M1436" i="2"/>
  <c r="M1437" i="2"/>
  <c r="M1438" i="2"/>
  <c r="M1439" i="2"/>
  <c r="M1440" i="2"/>
  <c r="M1441" i="2"/>
  <c r="M1442" i="2"/>
  <c r="M1443" i="2"/>
  <c r="M1444" i="2"/>
  <c r="M1445" i="2"/>
  <c r="M1446" i="2"/>
  <c r="M1447" i="2"/>
  <c r="Q1447" i="2" s="1"/>
  <c r="M1448" i="2"/>
  <c r="M1449" i="2"/>
  <c r="M1450" i="2"/>
  <c r="M1451" i="2"/>
  <c r="M1452" i="2"/>
  <c r="M1453" i="2"/>
  <c r="M1454" i="2"/>
  <c r="M1455" i="2"/>
  <c r="M1456" i="2"/>
  <c r="M1457" i="2"/>
  <c r="M1458" i="2"/>
  <c r="M1459" i="2"/>
  <c r="Q1459" i="2" s="1"/>
  <c r="M1460" i="2"/>
  <c r="M1461" i="2"/>
  <c r="M1462" i="2"/>
  <c r="M1463" i="2"/>
  <c r="M1464" i="2"/>
  <c r="M1465" i="2"/>
  <c r="M1466" i="2"/>
  <c r="M1467" i="2"/>
  <c r="M1468" i="2"/>
  <c r="M1469" i="2"/>
  <c r="M1470" i="2"/>
  <c r="M1471" i="2"/>
  <c r="Q1471" i="2" s="1"/>
  <c r="M1472" i="2"/>
  <c r="M1473" i="2"/>
  <c r="M1474" i="2"/>
  <c r="M1475" i="2"/>
  <c r="M1476" i="2"/>
  <c r="M1477" i="2"/>
  <c r="M1478" i="2"/>
  <c r="M1479" i="2"/>
  <c r="M1480" i="2"/>
  <c r="M1481" i="2"/>
  <c r="M1482" i="2"/>
  <c r="M1483" i="2"/>
  <c r="Q1483" i="2" s="1"/>
  <c r="M1484" i="2"/>
  <c r="M1485" i="2"/>
  <c r="M1486" i="2"/>
  <c r="M1487" i="2"/>
  <c r="M1488" i="2"/>
  <c r="M1489" i="2"/>
  <c r="M1490" i="2"/>
  <c r="M1491" i="2"/>
  <c r="M1492" i="2"/>
  <c r="M1493" i="2"/>
  <c r="M1494" i="2"/>
  <c r="M1495" i="2"/>
  <c r="Q1495" i="2" s="1"/>
  <c r="M1496" i="2"/>
  <c r="M1497" i="2"/>
  <c r="M1498" i="2"/>
  <c r="M1499" i="2"/>
  <c r="M1500" i="2"/>
  <c r="M1501" i="2"/>
  <c r="M1502" i="2"/>
  <c r="M1503" i="2"/>
  <c r="M1504" i="2"/>
  <c r="M1505" i="2"/>
  <c r="M1506" i="2"/>
  <c r="M1507" i="2"/>
  <c r="Q1507" i="2" s="1"/>
  <c r="M1508" i="2"/>
  <c r="M1509" i="2"/>
  <c r="M1510" i="2"/>
  <c r="M1511" i="2"/>
  <c r="M1512" i="2"/>
  <c r="M1513" i="2"/>
  <c r="M1514" i="2"/>
  <c r="M1515" i="2"/>
  <c r="M1516" i="2"/>
  <c r="M1517" i="2"/>
  <c r="M1518" i="2"/>
  <c r="M1519" i="2"/>
  <c r="Q1519" i="2" s="1"/>
  <c r="M1520" i="2"/>
  <c r="M1521" i="2"/>
  <c r="M1522" i="2"/>
  <c r="M1523" i="2"/>
  <c r="M1524" i="2"/>
  <c r="M1525" i="2"/>
  <c r="M1526" i="2"/>
  <c r="M1527" i="2"/>
  <c r="M1528" i="2"/>
  <c r="M1529" i="2"/>
  <c r="M1530" i="2"/>
  <c r="M1531" i="2"/>
  <c r="Q1531" i="2" s="1"/>
  <c r="M1532" i="2"/>
  <c r="M1533" i="2"/>
  <c r="M1534" i="2"/>
  <c r="M1535" i="2"/>
  <c r="M1536" i="2"/>
  <c r="M1537" i="2"/>
  <c r="M1538" i="2"/>
  <c r="M1539" i="2"/>
  <c r="M1540" i="2"/>
  <c r="M1541" i="2"/>
  <c r="M1542" i="2"/>
  <c r="M1543" i="2"/>
  <c r="Q1543" i="2" s="1"/>
  <c r="M1544" i="2"/>
  <c r="M1545" i="2"/>
  <c r="M1546" i="2"/>
  <c r="M1547" i="2"/>
  <c r="M1548" i="2"/>
  <c r="M1549" i="2"/>
  <c r="M1550" i="2"/>
  <c r="M1551" i="2"/>
  <c r="M1552" i="2"/>
  <c r="M1553" i="2"/>
  <c r="M1554" i="2"/>
  <c r="M1555" i="2"/>
  <c r="Q1555" i="2" s="1"/>
  <c r="M1556" i="2"/>
  <c r="M1557" i="2"/>
  <c r="M1558" i="2"/>
  <c r="M1559" i="2"/>
  <c r="M1560" i="2"/>
  <c r="M1561" i="2"/>
  <c r="M1562" i="2"/>
  <c r="M1563" i="2"/>
  <c r="M1564" i="2"/>
  <c r="M1565" i="2"/>
  <c r="M1566" i="2"/>
  <c r="M1567" i="2"/>
  <c r="Q1567" i="2" s="1"/>
  <c r="M1568" i="2"/>
  <c r="M1569" i="2"/>
  <c r="M1570" i="2"/>
  <c r="M1571" i="2"/>
  <c r="M1572" i="2"/>
  <c r="M1573" i="2"/>
  <c r="M1574" i="2"/>
  <c r="M1575" i="2"/>
  <c r="M1576" i="2"/>
  <c r="M1577" i="2"/>
  <c r="M1578" i="2"/>
  <c r="M1579" i="2"/>
  <c r="Q1579" i="2" s="1"/>
  <c r="M1580" i="2"/>
  <c r="M1581" i="2"/>
  <c r="M1582" i="2"/>
  <c r="M1583" i="2"/>
  <c r="M1584" i="2"/>
  <c r="M1585" i="2"/>
  <c r="M1586" i="2"/>
  <c r="M1587" i="2"/>
  <c r="M1588" i="2"/>
  <c r="M1589" i="2"/>
  <c r="M1590" i="2"/>
  <c r="M1591" i="2"/>
  <c r="Q1591" i="2" s="1"/>
  <c r="M1592" i="2"/>
  <c r="M1593" i="2"/>
  <c r="M1594" i="2"/>
  <c r="M1595" i="2"/>
  <c r="M1596" i="2"/>
  <c r="M1597" i="2"/>
  <c r="M1598" i="2"/>
  <c r="M1599" i="2"/>
  <c r="M1600" i="2"/>
  <c r="M1601" i="2"/>
  <c r="M1602" i="2"/>
  <c r="M1603" i="2"/>
  <c r="Q1603" i="2" s="1"/>
  <c r="M1604" i="2"/>
  <c r="M1605" i="2"/>
  <c r="M1606" i="2"/>
  <c r="M1607" i="2"/>
  <c r="M1608" i="2"/>
  <c r="M1609" i="2"/>
  <c r="M1610" i="2"/>
  <c r="M1611" i="2"/>
  <c r="M1612" i="2"/>
  <c r="M1613" i="2"/>
  <c r="M1614" i="2"/>
  <c r="M1615" i="2"/>
  <c r="Q1615" i="2" s="1"/>
  <c r="M1616" i="2"/>
  <c r="M1617" i="2"/>
  <c r="M1618" i="2"/>
  <c r="M1619" i="2"/>
  <c r="M1620" i="2"/>
  <c r="M1621" i="2"/>
  <c r="M1622" i="2"/>
  <c r="M1623" i="2"/>
  <c r="M1624" i="2"/>
  <c r="M1625" i="2"/>
  <c r="M1626" i="2"/>
  <c r="M1627" i="2"/>
  <c r="Q1627" i="2" s="1"/>
  <c r="M1628" i="2"/>
  <c r="M1629" i="2"/>
  <c r="M1630" i="2"/>
  <c r="M1631" i="2"/>
  <c r="M1632" i="2"/>
  <c r="M1633" i="2"/>
  <c r="M1634" i="2"/>
  <c r="M1635" i="2"/>
  <c r="M1636" i="2"/>
  <c r="M1637" i="2"/>
  <c r="M1638" i="2"/>
  <c r="M1639" i="2"/>
  <c r="Q1639" i="2" s="1"/>
  <c r="M1640" i="2"/>
  <c r="M1641" i="2"/>
  <c r="M1642" i="2"/>
  <c r="M1643" i="2"/>
  <c r="M1644" i="2"/>
  <c r="M1645" i="2"/>
  <c r="M1646" i="2"/>
  <c r="M1647" i="2"/>
  <c r="M1648" i="2"/>
  <c r="M1649" i="2"/>
  <c r="M1650" i="2"/>
  <c r="M1651" i="2"/>
  <c r="Q1651" i="2" s="1"/>
  <c r="M1652" i="2"/>
  <c r="M1653" i="2"/>
  <c r="M1654" i="2"/>
  <c r="M1655" i="2"/>
  <c r="M1656" i="2"/>
  <c r="M1657" i="2"/>
  <c r="M1658" i="2"/>
  <c r="M1659" i="2"/>
  <c r="M1660" i="2"/>
  <c r="M1661" i="2"/>
  <c r="M1662" i="2"/>
  <c r="M1663" i="2"/>
  <c r="Q1663" i="2" s="1"/>
  <c r="M1664" i="2"/>
  <c r="M1665" i="2"/>
  <c r="M1666" i="2"/>
  <c r="M1667" i="2"/>
  <c r="M1668" i="2"/>
  <c r="M1669" i="2"/>
  <c r="M1670" i="2"/>
  <c r="M1671" i="2"/>
  <c r="M1672" i="2"/>
  <c r="M1673" i="2"/>
  <c r="M1674" i="2"/>
  <c r="M1675" i="2"/>
  <c r="Q1675" i="2" s="1"/>
  <c r="M1676" i="2"/>
  <c r="M1677" i="2"/>
  <c r="M1678" i="2"/>
  <c r="M1679" i="2"/>
  <c r="M1680" i="2"/>
  <c r="M1681" i="2"/>
  <c r="M1682" i="2"/>
  <c r="M1683" i="2"/>
  <c r="M1684" i="2"/>
  <c r="M1685" i="2"/>
  <c r="M1686" i="2"/>
  <c r="M1687" i="2"/>
  <c r="Q1687" i="2" s="1"/>
  <c r="M1688" i="2"/>
  <c r="M1689" i="2"/>
  <c r="M1690" i="2"/>
  <c r="M1691" i="2"/>
  <c r="M1692" i="2"/>
  <c r="M1693" i="2"/>
  <c r="M1694" i="2"/>
  <c r="M1695" i="2"/>
  <c r="M1696" i="2"/>
  <c r="M1697" i="2"/>
  <c r="M1698" i="2"/>
  <c r="M1699" i="2"/>
  <c r="Q1699" i="2" s="1"/>
  <c r="M1700" i="2"/>
  <c r="M1701" i="2"/>
  <c r="M1702" i="2"/>
  <c r="M1703" i="2"/>
  <c r="M1704" i="2"/>
  <c r="M1705" i="2"/>
  <c r="M1706" i="2"/>
  <c r="M1707" i="2"/>
  <c r="M1708" i="2"/>
  <c r="M1709" i="2"/>
  <c r="M1710" i="2"/>
  <c r="M1711" i="2"/>
  <c r="Q1711" i="2" s="1"/>
  <c r="M1712" i="2"/>
  <c r="M1713" i="2"/>
  <c r="M1714" i="2"/>
  <c r="M1715" i="2"/>
  <c r="M1716" i="2"/>
  <c r="M1717" i="2"/>
  <c r="M1718" i="2"/>
  <c r="M1719" i="2"/>
  <c r="M1720" i="2"/>
  <c r="M1721" i="2"/>
  <c r="M1722" i="2"/>
  <c r="M1723" i="2"/>
  <c r="Q1723" i="2" s="1"/>
  <c r="M1724" i="2"/>
  <c r="M1725" i="2"/>
  <c r="M1726" i="2"/>
  <c r="M1727" i="2"/>
  <c r="M1728" i="2"/>
  <c r="M1729" i="2"/>
  <c r="M1730" i="2"/>
  <c r="M1731" i="2"/>
  <c r="M1732" i="2"/>
  <c r="M1733" i="2"/>
  <c r="M1734" i="2"/>
  <c r="M1735" i="2"/>
  <c r="Q1735" i="2" s="1"/>
  <c r="M1736" i="2"/>
  <c r="M1737" i="2"/>
  <c r="M1738" i="2"/>
  <c r="M1739" i="2"/>
  <c r="M1740" i="2"/>
  <c r="M1741" i="2"/>
  <c r="M1742" i="2"/>
  <c r="M1743" i="2"/>
  <c r="M1744" i="2"/>
  <c r="M1745" i="2"/>
  <c r="M1746" i="2"/>
  <c r="M1747" i="2"/>
  <c r="Q1747" i="2" s="1"/>
  <c r="M1748" i="2"/>
  <c r="M1749" i="2"/>
  <c r="M1750" i="2"/>
  <c r="M1751" i="2"/>
  <c r="M1752" i="2"/>
  <c r="M1753" i="2"/>
  <c r="M1754" i="2"/>
  <c r="M1755" i="2"/>
  <c r="M1756" i="2"/>
  <c r="M1757" i="2"/>
  <c r="M1758" i="2"/>
  <c r="M1759" i="2"/>
  <c r="Q1759" i="2" s="1"/>
  <c r="M1760" i="2"/>
  <c r="M1761" i="2"/>
  <c r="M1762" i="2"/>
  <c r="M1763" i="2"/>
  <c r="M1764" i="2"/>
  <c r="M1765" i="2"/>
  <c r="M1766" i="2"/>
  <c r="M1767" i="2"/>
  <c r="M1768" i="2"/>
  <c r="M1769" i="2"/>
  <c r="M1770" i="2"/>
  <c r="M1771" i="2"/>
  <c r="Q1771" i="2" s="1"/>
  <c r="M1772" i="2"/>
  <c r="M1773" i="2"/>
  <c r="M1774" i="2"/>
  <c r="M1775" i="2"/>
  <c r="M1776" i="2"/>
  <c r="M1777" i="2"/>
  <c r="M1778" i="2"/>
  <c r="M1779" i="2"/>
  <c r="M1780" i="2"/>
  <c r="M1781" i="2"/>
  <c r="M1782" i="2"/>
  <c r="M1783" i="2"/>
  <c r="Q1783" i="2" s="1"/>
  <c r="M1784" i="2"/>
  <c r="M1785" i="2"/>
  <c r="M1786" i="2"/>
  <c r="M1787" i="2"/>
  <c r="M1788" i="2"/>
  <c r="M1789" i="2"/>
  <c r="M1790" i="2"/>
  <c r="M1791" i="2"/>
  <c r="M1792" i="2"/>
  <c r="M1793" i="2"/>
  <c r="M1794" i="2"/>
  <c r="M1795" i="2"/>
  <c r="Q1795" i="2" s="1"/>
  <c r="M1796" i="2"/>
  <c r="M1797" i="2"/>
  <c r="M1798" i="2"/>
  <c r="M1799" i="2"/>
  <c r="M1800" i="2"/>
  <c r="M1801" i="2"/>
  <c r="M1802" i="2"/>
  <c r="M1803" i="2"/>
  <c r="M1804" i="2"/>
  <c r="M1805" i="2"/>
  <c r="M1806" i="2"/>
  <c r="M1807" i="2"/>
  <c r="Q1807" i="2" s="1"/>
  <c r="M1808" i="2"/>
  <c r="M1809" i="2"/>
  <c r="M1810" i="2"/>
  <c r="M1811" i="2"/>
  <c r="M1812" i="2"/>
  <c r="M1813" i="2"/>
  <c r="M1814" i="2"/>
  <c r="M1815" i="2"/>
  <c r="M1816" i="2"/>
  <c r="M1817" i="2"/>
  <c r="M1818" i="2"/>
  <c r="M1819" i="2"/>
  <c r="Q1819" i="2" s="1"/>
  <c r="M1820" i="2"/>
  <c r="M1821" i="2"/>
  <c r="M1822" i="2"/>
  <c r="M1823" i="2"/>
  <c r="M1824" i="2"/>
  <c r="M1825" i="2"/>
  <c r="M1826" i="2"/>
  <c r="M1827" i="2"/>
  <c r="M1828" i="2"/>
  <c r="M1829" i="2"/>
  <c r="M1830" i="2"/>
  <c r="M1831" i="2"/>
  <c r="Q1831" i="2" s="1"/>
  <c r="M1832" i="2"/>
  <c r="M1833" i="2"/>
  <c r="M1834" i="2"/>
  <c r="M1835" i="2"/>
  <c r="M1836" i="2"/>
  <c r="M1837" i="2"/>
  <c r="M1838" i="2"/>
  <c r="M1839" i="2"/>
  <c r="M1840" i="2"/>
  <c r="M1841" i="2"/>
  <c r="M1842" i="2"/>
  <c r="M1843" i="2"/>
  <c r="Q1843" i="2" s="1"/>
  <c r="M1844" i="2"/>
  <c r="M1845" i="2"/>
  <c r="M1846" i="2"/>
  <c r="M1847" i="2"/>
  <c r="M1848" i="2"/>
  <c r="M1849" i="2"/>
  <c r="M1850" i="2"/>
  <c r="M1851" i="2"/>
  <c r="M1852" i="2"/>
  <c r="M1853" i="2"/>
  <c r="M1854" i="2"/>
  <c r="M1855" i="2"/>
  <c r="Q1855" i="2" s="1"/>
  <c r="M1856" i="2"/>
  <c r="M1857" i="2"/>
  <c r="M1858" i="2"/>
  <c r="M1859" i="2"/>
  <c r="M1860" i="2"/>
  <c r="M1861" i="2"/>
  <c r="M1862" i="2"/>
  <c r="M1863" i="2"/>
  <c r="M1864" i="2"/>
  <c r="M1865" i="2"/>
  <c r="M1866" i="2"/>
  <c r="M1867" i="2"/>
  <c r="Q1867" i="2" s="1"/>
  <c r="M1868" i="2"/>
  <c r="M1869" i="2"/>
  <c r="M1870" i="2"/>
  <c r="M1871" i="2"/>
  <c r="M1872" i="2"/>
  <c r="M1873" i="2"/>
  <c r="M1874" i="2"/>
  <c r="M1875" i="2"/>
  <c r="M1876" i="2"/>
  <c r="M1877" i="2"/>
  <c r="M1878" i="2"/>
  <c r="M1879" i="2"/>
  <c r="Q1879" i="2" s="1"/>
  <c r="M1880" i="2"/>
  <c r="M1881" i="2"/>
  <c r="M1882" i="2"/>
  <c r="M1883" i="2"/>
  <c r="M1884" i="2"/>
  <c r="M1885" i="2"/>
  <c r="M1886" i="2"/>
  <c r="M1887" i="2"/>
  <c r="M1888" i="2"/>
  <c r="M1889" i="2"/>
  <c r="M1890" i="2"/>
  <c r="M1891" i="2"/>
  <c r="Q1891" i="2" s="1"/>
  <c r="M1892" i="2"/>
  <c r="M1893" i="2"/>
  <c r="M1894" i="2"/>
  <c r="M1895" i="2"/>
  <c r="M1896" i="2"/>
  <c r="M1897" i="2"/>
  <c r="M1898" i="2"/>
  <c r="M1899" i="2"/>
  <c r="M1900" i="2"/>
  <c r="M1901" i="2"/>
  <c r="M1902" i="2"/>
  <c r="M1903" i="2"/>
  <c r="Q1903" i="2" s="1"/>
  <c r="M1904" i="2"/>
  <c r="M1905" i="2"/>
  <c r="M1906" i="2"/>
  <c r="M1907" i="2"/>
  <c r="M1908" i="2"/>
  <c r="M1909" i="2"/>
  <c r="M1910" i="2"/>
  <c r="M1911" i="2"/>
  <c r="M1912" i="2"/>
  <c r="M1913" i="2"/>
  <c r="M1914" i="2"/>
  <c r="M1915" i="2"/>
  <c r="Q1915" i="2" s="1"/>
  <c r="M1916" i="2"/>
  <c r="M1917" i="2"/>
  <c r="M1918" i="2"/>
  <c r="M1919" i="2"/>
  <c r="M1920" i="2"/>
  <c r="M1921" i="2"/>
  <c r="M1922" i="2"/>
  <c r="M1923" i="2"/>
  <c r="M1924" i="2"/>
  <c r="M1925" i="2"/>
  <c r="M1926" i="2"/>
  <c r="M1927" i="2"/>
  <c r="Q1927" i="2" s="1"/>
  <c r="M1928" i="2"/>
  <c r="M1929" i="2"/>
  <c r="M1930" i="2"/>
  <c r="M1931" i="2"/>
  <c r="M1932" i="2"/>
  <c r="M1933" i="2"/>
  <c r="M1934" i="2"/>
  <c r="M1935" i="2"/>
  <c r="M1936" i="2"/>
  <c r="M1937" i="2"/>
  <c r="M1938" i="2"/>
  <c r="M1939" i="2"/>
  <c r="Q1939" i="2" s="1"/>
  <c r="M1940" i="2"/>
  <c r="M1941" i="2"/>
  <c r="M1942" i="2"/>
  <c r="M1943" i="2"/>
  <c r="M1944" i="2"/>
  <c r="M1945" i="2"/>
  <c r="M1946" i="2"/>
  <c r="M1947" i="2"/>
  <c r="M1948" i="2"/>
  <c r="M1949" i="2"/>
  <c r="M1950" i="2"/>
  <c r="M1951" i="2"/>
  <c r="Q1951" i="2" s="1"/>
  <c r="M1952" i="2"/>
  <c r="M1953" i="2"/>
  <c r="M1954" i="2"/>
  <c r="M1955" i="2"/>
  <c r="M1956" i="2"/>
  <c r="M1957" i="2"/>
  <c r="M1958" i="2"/>
  <c r="M1959" i="2"/>
  <c r="M1960" i="2"/>
  <c r="M1961" i="2"/>
  <c r="M1962" i="2"/>
  <c r="M1963" i="2"/>
  <c r="Q1963" i="2" s="1"/>
  <c r="M1964" i="2"/>
  <c r="M1965" i="2"/>
  <c r="M1966" i="2"/>
  <c r="M1967" i="2"/>
  <c r="M1968" i="2"/>
  <c r="M1969" i="2"/>
  <c r="M1970" i="2"/>
  <c r="M1971" i="2"/>
  <c r="M1972" i="2"/>
  <c r="M1973" i="2"/>
  <c r="M1974" i="2"/>
  <c r="M1975" i="2"/>
  <c r="Q1975" i="2" s="1"/>
  <c r="M1976" i="2"/>
  <c r="M1977" i="2"/>
  <c r="M1978" i="2"/>
  <c r="M1979" i="2"/>
  <c r="M1980" i="2"/>
  <c r="M1981" i="2"/>
  <c r="M1982" i="2"/>
  <c r="M1983" i="2"/>
  <c r="M1984" i="2"/>
  <c r="M1985" i="2"/>
  <c r="M1986" i="2"/>
  <c r="M1987" i="2"/>
  <c r="Q1987" i="2" s="1"/>
  <c r="M1988" i="2"/>
  <c r="M1989" i="2"/>
  <c r="M1990" i="2"/>
  <c r="M1991" i="2"/>
  <c r="M1992" i="2"/>
  <c r="M1993" i="2"/>
  <c r="M1994" i="2"/>
  <c r="M1995" i="2"/>
  <c r="M1996" i="2"/>
  <c r="M1997" i="2"/>
  <c r="M1998" i="2"/>
  <c r="M1999" i="2"/>
  <c r="Q1999" i="2" s="1"/>
  <c r="M2000" i="2"/>
  <c r="M2001" i="2"/>
  <c r="M2002" i="2"/>
  <c r="M2003" i="2"/>
  <c r="M2004" i="2"/>
  <c r="M2005" i="2"/>
  <c r="M2006" i="2"/>
  <c r="M2007" i="2"/>
  <c r="M2008" i="2"/>
  <c r="M2009" i="2"/>
  <c r="M2010" i="2"/>
  <c r="M2011" i="2"/>
  <c r="Q2011" i="2" s="1"/>
  <c r="M2012" i="2"/>
  <c r="M2013" i="2"/>
  <c r="M2014" i="2"/>
  <c r="M2015" i="2"/>
  <c r="M2016" i="2"/>
  <c r="M2017" i="2"/>
  <c r="M2018" i="2"/>
  <c r="M2019" i="2"/>
  <c r="M2020" i="2"/>
  <c r="M2021" i="2"/>
  <c r="M2022" i="2"/>
  <c r="M2023" i="2"/>
  <c r="Q2023" i="2" s="1"/>
  <c r="M2024" i="2"/>
  <c r="M2025" i="2"/>
  <c r="M2026" i="2"/>
  <c r="M2027" i="2"/>
  <c r="M2028" i="2"/>
  <c r="M2029" i="2"/>
  <c r="M2030" i="2"/>
  <c r="M2031" i="2"/>
  <c r="M2032" i="2"/>
  <c r="M2033" i="2"/>
  <c r="M2034" i="2"/>
  <c r="M2035" i="2"/>
  <c r="Q2035" i="2" s="1"/>
  <c r="M2036" i="2"/>
  <c r="Q2036" i="2" s="1"/>
  <c r="M2037" i="2"/>
  <c r="M2038" i="2"/>
  <c r="M2039" i="2"/>
  <c r="M2040" i="2"/>
  <c r="M2041" i="2"/>
  <c r="M2042" i="2"/>
  <c r="M2043" i="2"/>
  <c r="M2044" i="2"/>
  <c r="M2045" i="2"/>
  <c r="M2046" i="2"/>
  <c r="M2047" i="2"/>
  <c r="Q2047" i="2" s="1"/>
  <c r="M2048" i="2"/>
  <c r="Q2048" i="2" s="1"/>
  <c r="M2049" i="2"/>
  <c r="M2050" i="2"/>
  <c r="M2051" i="2"/>
  <c r="M2052" i="2"/>
  <c r="M2053" i="2"/>
  <c r="M2054" i="2"/>
  <c r="M2055" i="2"/>
  <c r="M2056" i="2"/>
  <c r="M2057" i="2"/>
  <c r="M2058" i="2"/>
  <c r="M2059" i="2"/>
  <c r="Q2059" i="2" s="1"/>
  <c r="M2060" i="2"/>
  <c r="Q2060" i="2" s="1"/>
  <c r="M2061" i="2"/>
  <c r="M2062" i="2"/>
  <c r="M2063" i="2"/>
  <c r="M2064" i="2"/>
  <c r="M2065" i="2"/>
  <c r="M2066" i="2"/>
  <c r="M2067" i="2"/>
  <c r="M2068" i="2"/>
  <c r="M2069" i="2"/>
  <c r="M2070" i="2"/>
  <c r="M2071" i="2"/>
  <c r="Q2071" i="2" s="1"/>
  <c r="M2072" i="2"/>
  <c r="Q2072" i="2" s="1"/>
  <c r="M2073" i="2"/>
  <c r="M2074" i="2"/>
  <c r="M2075" i="2"/>
  <c r="M2076" i="2"/>
  <c r="M2077" i="2"/>
  <c r="M2078" i="2"/>
  <c r="M2079" i="2"/>
  <c r="M2080" i="2"/>
  <c r="M2081" i="2"/>
  <c r="M2082" i="2"/>
  <c r="M2083" i="2"/>
  <c r="Q2083" i="2" s="1"/>
  <c r="M2084" i="2"/>
  <c r="Q2084" i="2" s="1"/>
  <c r="M2085" i="2"/>
  <c r="M2086" i="2"/>
  <c r="M2087" i="2"/>
  <c r="M2088" i="2"/>
  <c r="M2089" i="2"/>
  <c r="M2090" i="2"/>
  <c r="M2091" i="2"/>
  <c r="M2092" i="2"/>
  <c r="M2093" i="2"/>
  <c r="M2094" i="2"/>
  <c r="M2095" i="2"/>
  <c r="Q2095" i="2" s="1"/>
  <c r="M2096" i="2"/>
  <c r="Q2096" i="2" s="1"/>
  <c r="M2097" i="2"/>
  <c r="M2098" i="2"/>
  <c r="M2099" i="2"/>
  <c r="M2100" i="2"/>
  <c r="M2101" i="2"/>
  <c r="M2102" i="2"/>
  <c r="M2103" i="2"/>
  <c r="M2104" i="2"/>
  <c r="M2105" i="2"/>
  <c r="M2106" i="2"/>
  <c r="M2107" i="2"/>
  <c r="Q2107" i="2" s="1"/>
  <c r="M2108" i="2"/>
  <c r="Q2108" i="2" s="1"/>
  <c r="M2109" i="2"/>
  <c r="M2110" i="2"/>
  <c r="M2111" i="2"/>
  <c r="M2112" i="2"/>
  <c r="M2113" i="2"/>
  <c r="M2114" i="2"/>
  <c r="M2115" i="2"/>
  <c r="M2116" i="2"/>
  <c r="M2117" i="2"/>
  <c r="M2118" i="2"/>
  <c r="M2119" i="2"/>
  <c r="Q2119" i="2" s="1"/>
  <c r="M2120" i="2"/>
  <c r="Q2120" i="2" s="1"/>
  <c r="M2121" i="2"/>
  <c r="M2122" i="2"/>
  <c r="M2123" i="2"/>
  <c r="M2124" i="2"/>
  <c r="M2125" i="2"/>
  <c r="M2126" i="2"/>
  <c r="M2127" i="2"/>
  <c r="M2128" i="2"/>
  <c r="M2129" i="2"/>
  <c r="M2130" i="2"/>
  <c r="M2131" i="2"/>
  <c r="Q2131" i="2" s="1"/>
  <c r="M2132" i="2"/>
  <c r="Q2132" i="2" s="1"/>
  <c r="M2133" i="2"/>
  <c r="M2134" i="2"/>
  <c r="M2135" i="2"/>
  <c r="M2136" i="2"/>
  <c r="M2137" i="2"/>
  <c r="M2138" i="2"/>
  <c r="M2139" i="2"/>
  <c r="M2140" i="2"/>
  <c r="M2141" i="2"/>
  <c r="M2142" i="2"/>
  <c r="M2143" i="2"/>
  <c r="Q2143" i="2" s="1"/>
  <c r="M2144" i="2"/>
  <c r="Q2144" i="2" s="1"/>
  <c r="M2145" i="2"/>
  <c r="M2146" i="2"/>
  <c r="M2147" i="2"/>
  <c r="M2148" i="2"/>
  <c r="M2149" i="2"/>
  <c r="M2150" i="2"/>
  <c r="M2151" i="2"/>
  <c r="M2152" i="2"/>
  <c r="M2153" i="2"/>
  <c r="M2154" i="2"/>
  <c r="M2155" i="2"/>
  <c r="Q2155" i="2" s="1"/>
  <c r="M2156" i="2"/>
  <c r="Q2156" i="2" s="1"/>
  <c r="M2157" i="2"/>
  <c r="M2158" i="2"/>
  <c r="M2159" i="2"/>
  <c r="M2160" i="2"/>
  <c r="M2161" i="2"/>
  <c r="M2162" i="2"/>
  <c r="M2163" i="2"/>
  <c r="M2164" i="2"/>
  <c r="M2165" i="2"/>
  <c r="M2166" i="2"/>
  <c r="M2167" i="2"/>
  <c r="Q2167" i="2" s="1"/>
  <c r="M2168" i="2"/>
  <c r="Q2168" i="2" s="1"/>
  <c r="M2169" i="2"/>
  <c r="M2170" i="2"/>
  <c r="M2171" i="2"/>
  <c r="M2172" i="2"/>
  <c r="M2173" i="2"/>
  <c r="M2174" i="2"/>
  <c r="M2175" i="2"/>
  <c r="M2176" i="2"/>
  <c r="M2177" i="2"/>
  <c r="M2178" i="2"/>
  <c r="M2179" i="2"/>
  <c r="Q2179" i="2" s="1"/>
  <c r="M2180" i="2"/>
  <c r="Q2180" i="2" s="1"/>
  <c r="M2181" i="2"/>
  <c r="M2182" i="2"/>
  <c r="M2183" i="2"/>
  <c r="M2184" i="2"/>
  <c r="M2185" i="2"/>
  <c r="M2186" i="2"/>
  <c r="M2187" i="2"/>
  <c r="M2188" i="2"/>
  <c r="M2189" i="2"/>
  <c r="M2190" i="2"/>
  <c r="M2191" i="2"/>
  <c r="Q2191" i="2" s="1"/>
  <c r="M2192" i="2"/>
  <c r="Q2192" i="2" s="1"/>
  <c r="M2193" i="2"/>
  <c r="M2194" i="2"/>
  <c r="M2195" i="2"/>
  <c r="M2196" i="2"/>
  <c r="M2197" i="2"/>
  <c r="M2198" i="2"/>
  <c r="M2199" i="2"/>
  <c r="M2200" i="2"/>
  <c r="M2201" i="2"/>
  <c r="M2202" i="2"/>
  <c r="M2203" i="2"/>
  <c r="Q2203" i="2" s="1"/>
  <c r="M2204" i="2"/>
  <c r="Q2204" i="2" s="1"/>
  <c r="M2205" i="2"/>
  <c r="M2206" i="2"/>
  <c r="M2207" i="2"/>
  <c r="M2208" i="2"/>
  <c r="M2209" i="2"/>
  <c r="M2210" i="2"/>
  <c r="M2211" i="2"/>
  <c r="M2212" i="2"/>
  <c r="M2213" i="2"/>
  <c r="M2214" i="2"/>
  <c r="M2215" i="2"/>
  <c r="Q2215" i="2" s="1"/>
  <c r="M2216" i="2"/>
  <c r="Q2216" i="2" s="1"/>
  <c r="M2217" i="2"/>
  <c r="M2218" i="2"/>
  <c r="M2219" i="2"/>
  <c r="M2220" i="2"/>
  <c r="M2221" i="2"/>
  <c r="M2222" i="2"/>
  <c r="M2223" i="2"/>
  <c r="M2224" i="2"/>
  <c r="M2225" i="2"/>
  <c r="M2226" i="2"/>
  <c r="M2227" i="2"/>
  <c r="Q2227" i="2" s="1"/>
  <c r="M2228" i="2"/>
  <c r="Q2228" i="2" s="1"/>
  <c r="M2229" i="2"/>
  <c r="M2230" i="2"/>
  <c r="M2231" i="2"/>
  <c r="M2232" i="2"/>
  <c r="M2233" i="2"/>
  <c r="M2234" i="2"/>
  <c r="M2235" i="2"/>
  <c r="M2236" i="2"/>
  <c r="M2237" i="2"/>
  <c r="M2238" i="2"/>
  <c r="M2239" i="2"/>
  <c r="Q2239" i="2" s="1"/>
  <c r="M2240" i="2"/>
  <c r="Q2240" i="2" s="1"/>
  <c r="M2241" i="2"/>
  <c r="M2242" i="2"/>
  <c r="M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3" i="2"/>
  <c r="K5" i="2"/>
  <c r="K4" i="2"/>
  <c r="K2242" i="2"/>
  <c r="K2241" i="2"/>
  <c r="K2240" i="2"/>
  <c r="K2239" i="2"/>
  <c r="K2238" i="2"/>
  <c r="K2237" i="2"/>
  <c r="K2236" i="2"/>
  <c r="K2235" i="2"/>
  <c r="K2234" i="2"/>
  <c r="K2233" i="2"/>
  <c r="K2232" i="2"/>
  <c r="K2231" i="2"/>
  <c r="K2230" i="2"/>
  <c r="K2229" i="2"/>
  <c r="K2228" i="2"/>
  <c r="K2227" i="2"/>
  <c r="K2226" i="2"/>
  <c r="K2225" i="2"/>
  <c r="K2224" i="2"/>
  <c r="K2223" i="2"/>
  <c r="K2222" i="2"/>
  <c r="K2221" i="2"/>
  <c r="K2220" i="2"/>
  <c r="K2219" i="2"/>
  <c r="K2218" i="2"/>
  <c r="K2217" i="2"/>
  <c r="K2216" i="2"/>
  <c r="K2215" i="2"/>
  <c r="K2214" i="2"/>
  <c r="K2213" i="2"/>
  <c r="K2212" i="2"/>
  <c r="K2211" i="2"/>
  <c r="K2210" i="2"/>
  <c r="K2209" i="2"/>
  <c r="K2208" i="2"/>
  <c r="K2207" i="2"/>
  <c r="K2206" i="2"/>
  <c r="K2205" i="2"/>
  <c r="K2204" i="2"/>
  <c r="K2203" i="2"/>
  <c r="K2202" i="2"/>
  <c r="K2201" i="2"/>
  <c r="K2200" i="2"/>
  <c r="K2199" i="2"/>
  <c r="K2198" i="2"/>
  <c r="K2197" i="2"/>
  <c r="K2196" i="2"/>
  <c r="K2195" i="2"/>
  <c r="K2194" i="2"/>
  <c r="K2193" i="2"/>
  <c r="K2192" i="2"/>
  <c r="K2191" i="2"/>
  <c r="K2190" i="2"/>
  <c r="K2189" i="2"/>
  <c r="K2188" i="2"/>
  <c r="K2187" i="2"/>
  <c r="K2186" i="2"/>
  <c r="K2185" i="2"/>
  <c r="K2184" i="2"/>
  <c r="K2183" i="2"/>
  <c r="K2182" i="2"/>
  <c r="K2181" i="2"/>
  <c r="K2180" i="2"/>
  <c r="K2179" i="2"/>
  <c r="K2178" i="2"/>
  <c r="K2177" i="2"/>
  <c r="K2176" i="2"/>
  <c r="K2175" i="2"/>
  <c r="K2174" i="2"/>
  <c r="K2173" i="2"/>
  <c r="K2172" i="2"/>
  <c r="K2171" i="2"/>
  <c r="K2170" i="2"/>
  <c r="K2169" i="2"/>
  <c r="K2168" i="2"/>
  <c r="K2167" i="2"/>
  <c r="K2166" i="2"/>
  <c r="K2165" i="2"/>
  <c r="K2164" i="2"/>
  <c r="K2163" i="2"/>
  <c r="K2162" i="2"/>
  <c r="K2161" i="2"/>
  <c r="K2160" i="2"/>
  <c r="K2159" i="2"/>
  <c r="K2158" i="2"/>
  <c r="K2157" i="2"/>
  <c r="K2156" i="2"/>
  <c r="K2155" i="2"/>
  <c r="K2154" i="2"/>
  <c r="K2153" i="2"/>
  <c r="K2152" i="2"/>
  <c r="K2151" i="2"/>
  <c r="K2150" i="2"/>
  <c r="K2149" i="2"/>
  <c r="K2148" i="2"/>
  <c r="K2147" i="2"/>
  <c r="K2146" i="2"/>
  <c r="K2145" i="2"/>
  <c r="K2144" i="2"/>
  <c r="K2143" i="2"/>
  <c r="K2142" i="2"/>
  <c r="K2141" i="2"/>
  <c r="K2140" i="2"/>
  <c r="K2139" i="2"/>
  <c r="K2138" i="2"/>
  <c r="K2137" i="2"/>
  <c r="K2136" i="2"/>
  <c r="K2135" i="2"/>
  <c r="K2134" i="2"/>
  <c r="K2133" i="2"/>
  <c r="K2132" i="2"/>
  <c r="K2131" i="2"/>
  <c r="K2130" i="2"/>
  <c r="K2129" i="2"/>
  <c r="K2128" i="2"/>
  <c r="K2127" i="2"/>
  <c r="K2126" i="2"/>
  <c r="K2125" i="2"/>
  <c r="K2124" i="2"/>
  <c r="K2123" i="2"/>
  <c r="K2122" i="2"/>
  <c r="K2121" i="2"/>
  <c r="K2120" i="2"/>
  <c r="K2119" i="2"/>
  <c r="K2118" i="2"/>
  <c r="K2117" i="2"/>
  <c r="K2116" i="2"/>
  <c r="K2115" i="2"/>
  <c r="K2114" i="2"/>
  <c r="K2113" i="2"/>
  <c r="K2112" i="2"/>
  <c r="K2111" i="2"/>
  <c r="K2110" i="2"/>
  <c r="K2109" i="2"/>
  <c r="K2108" i="2"/>
  <c r="K2107" i="2"/>
  <c r="K2106" i="2"/>
  <c r="K2105" i="2"/>
  <c r="K2104" i="2"/>
  <c r="K2103" i="2"/>
  <c r="K2102" i="2"/>
  <c r="K2101" i="2"/>
  <c r="K2100" i="2"/>
  <c r="K2099" i="2"/>
  <c r="K2098" i="2"/>
  <c r="K2097" i="2"/>
  <c r="K2096" i="2"/>
  <c r="K2095" i="2"/>
  <c r="K2094" i="2"/>
  <c r="K2093" i="2"/>
  <c r="K2092" i="2"/>
  <c r="K2091" i="2"/>
  <c r="K2090" i="2"/>
  <c r="K2089" i="2"/>
  <c r="K2088" i="2"/>
  <c r="K2087" i="2"/>
  <c r="K2086" i="2"/>
  <c r="K2085" i="2"/>
  <c r="K2084" i="2"/>
  <c r="K2083" i="2"/>
  <c r="K2082" i="2"/>
  <c r="K2081" i="2"/>
  <c r="K2080" i="2"/>
  <c r="K2079" i="2"/>
  <c r="K2078" i="2"/>
  <c r="K2077" i="2"/>
  <c r="K2076" i="2"/>
  <c r="K2075" i="2"/>
  <c r="K2074" i="2"/>
  <c r="K2073" i="2"/>
  <c r="K2072" i="2"/>
  <c r="K2071" i="2"/>
  <c r="K2070" i="2"/>
  <c r="K2069" i="2"/>
  <c r="K2068" i="2"/>
  <c r="K2067" i="2"/>
  <c r="K2066" i="2"/>
  <c r="K2065" i="2"/>
  <c r="K2064" i="2"/>
  <c r="K2063" i="2"/>
  <c r="K2062" i="2"/>
  <c r="K2061" i="2"/>
  <c r="K2060" i="2"/>
  <c r="K2059" i="2"/>
  <c r="K2058" i="2"/>
  <c r="K2057" i="2"/>
  <c r="K2056" i="2"/>
  <c r="K2055" i="2"/>
  <c r="K2054" i="2"/>
  <c r="K2053" i="2"/>
  <c r="K2052" i="2"/>
  <c r="K2051" i="2"/>
  <c r="K2050" i="2"/>
  <c r="K2049" i="2"/>
  <c r="K2048" i="2"/>
  <c r="K2047" i="2"/>
  <c r="K2046" i="2"/>
  <c r="K2045" i="2"/>
  <c r="K2044" i="2"/>
  <c r="K2043" i="2"/>
  <c r="K2042" i="2"/>
  <c r="K2041" i="2"/>
  <c r="K2040" i="2"/>
  <c r="K2039" i="2"/>
  <c r="K2038" i="2"/>
  <c r="K2037" i="2"/>
  <c r="K2036" i="2"/>
  <c r="K2035" i="2"/>
  <c r="K2034" i="2"/>
  <c r="K2033" i="2"/>
  <c r="K2032" i="2"/>
  <c r="K2031" i="2"/>
  <c r="K2030" i="2"/>
  <c r="K2029" i="2"/>
  <c r="K2028" i="2"/>
  <c r="K2027" i="2"/>
  <c r="K2026" i="2"/>
  <c r="K2025" i="2"/>
  <c r="K2024" i="2"/>
  <c r="K2023" i="2"/>
  <c r="K2022" i="2"/>
  <c r="K2021" i="2"/>
  <c r="K2020" i="2"/>
  <c r="K2019" i="2"/>
  <c r="K2018" i="2"/>
  <c r="K2017" i="2"/>
  <c r="K2016" i="2"/>
  <c r="K2015" i="2"/>
  <c r="K2014" i="2"/>
  <c r="K2013" i="2"/>
  <c r="K2012" i="2"/>
  <c r="K2011" i="2"/>
  <c r="K2010" i="2"/>
  <c r="K2009" i="2"/>
  <c r="K2008" i="2"/>
  <c r="K2007" i="2"/>
  <c r="K2006" i="2"/>
  <c r="K2005" i="2"/>
  <c r="K2004" i="2"/>
  <c r="K2003" i="2"/>
  <c r="K2002" i="2"/>
  <c r="K2001" i="2"/>
  <c r="K2000" i="2"/>
  <c r="K1999" i="2"/>
  <c r="K1998" i="2"/>
  <c r="K1997" i="2"/>
  <c r="K1996" i="2"/>
  <c r="K1995" i="2"/>
  <c r="K1994" i="2"/>
  <c r="K1993" i="2"/>
  <c r="K1992" i="2"/>
  <c r="K1991" i="2"/>
  <c r="K1990" i="2"/>
  <c r="K1989" i="2"/>
  <c r="K1988" i="2"/>
  <c r="K1987" i="2"/>
  <c r="K1986" i="2"/>
  <c r="K1985" i="2"/>
  <c r="K1984" i="2"/>
  <c r="K1983" i="2"/>
  <c r="K1982" i="2"/>
  <c r="K1981" i="2"/>
  <c r="K1980" i="2"/>
  <c r="K1979" i="2"/>
  <c r="K1978" i="2"/>
  <c r="K1977" i="2"/>
  <c r="K1976" i="2"/>
  <c r="K1975" i="2"/>
  <c r="K1974" i="2"/>
  <c r="K1973" i="2"/>
  <c r="K1972" i="2"/>
  <c r="K1971" i="2"/>
  <c r="K1970" i="2"/>
  <c r="K1969" i="2"/>
  <c r="K1968" i="2"/>
  <c r="K1967" i="2"/>
  <c r="K1966" i="2"/>
  <c r="K1965" i="2"/>
  <c r="K1964" i="2"/>
  <c r="K1963" i="2"/>
  <c r="K1962" i="2"/>
  <c r="K1961" i="2"/>
  <c r="K1960" i="2"/>
  <c r="K1959" i="2"/>
  <c r="K1958" i="2"/>
  <c r="K1957" i="2"/>
  <c r="K1956" i="2"/>
  <c r="K1955" i="2"/>
  <c r="K1954" i="2"/>
  <c r="K1953" i="2"/>
  <c r="K1952" i="2"/>
  <c r="K1951" i="2"/>
  <c r="K1950" i="2"/>
  <c r="K1949" i="2"/>
  <c r="K1948" i="2"/>
  <c r="K1947" i="2"/>
  <c r="K1946" i="2"/>
  <c r="K1945" i="2"/>
  <c r="K1944" i="2"/>
  <c r="K1943" i="2"/>
  <c r="K1942" i="2"/>
  <c r="K1941" i="2"/>
  <c r="K1940" i="2"/>
  <c r="K1939" i="2"/>
  <c r="K1938" i="2"/>
  <c r="K1937" i="2"/>
  <c r="K1936" i="2"/>
  <c r="K1935" i="2"/>
  <c r="K1934" i="2"/>
  <c r="K1933" i="2"/>
  <c r="K1932" i="2"/>
  <c r="K1931" i="2"/>
  <c r="K1930" i="2"/>
  <c r="K1929" i="2"/>
  <c r="K1928" i="2"/>
  <c r="K1927" i="2"/>
  <c r="K1926" i="2"/>
  <c r="K1925" i="2"/>
  <c r="K1924" i="2"/>
  <c r="K1923" i="2"/>
  <c r="K1922" i="2"/>
  <c r="K1921" i="2"/>
  <c r="K1920" i="2"/>
  <c r="K1919" i="2"/>
  <c r="K1918" i="2"/>
  <c r="K1917" i="2"/>
  <c r="K1916" i="2"/>
  <c r="K1915" i="2"/>
  <c r="K1914" i="2"/>
  <c r="K1913" i="2"/>
  <c r="K1912" i="2"/>
  <c r="K1911" i="2"/>
  <c r="K1910" i="2"/>
  <c r="K1909" i="2"/>
  <c r="K1908" i="2"/>
  <c r="K1907" i="2"/>
  <c r="K1906" i="2"/>
  <c r="K1905" i="2"/>
  <c r="K1904" i="2"/>
  <c r="K1903" i="2"/>
  <c r="K1902" i="2"/>
  <c r="K1901" i="2"/>
  <c r="K1900" i="2"/>
  <c r="K1899" i="2"/>
  <c r="K1898" i="2"/>
  <c r="K1897" i="2"/>
  <c r="K1896" i="2"/>
  <c r="K1895" i="2"/>
  <c r="K1894" i="2"/>
  <c r="K1893" i="2"/>
  <c r="K1892" i="2"/>
  <c r="K1891" i="2"/>
  <c r="K1890" i="2"/>
  <c r="K1889" i="2"/>
  <c r="K1888" i="2"/>
  <c r="K1887" i="2"/>
  <c r="K1886" i="2"/>
  <c r="K1885" i="2"/>
  <c r="K1884" i="2"/>
  <c r="K1883" i="2"/>
  <c r="K1882" i="2"/>
  <c r="K1881" i="2"/>
  <c r="K1880" i="2"/>
  <c r="K1879" i="2"/>
  <c r="K1878" i="2"/>
  <c r="K1877" i="2"/>
  <c r="K1876" i="2"/>
  <c r="K1875" i="2"/>
  <c r="K1874" i="2"/>
  <c r="K1873" i="2"/>
  <c r="K1872" i="2"/>
  <c r="K1871" i="2"/>
  <c r="K1870" i="2"/>
  <c r="K1869" i="2"/>
  <c r="K1868" i="2"/>
  <c r="K1867" i="2"/>
  <c r="K1866" i="2"/>
  <c r="K1865" i="2"/>
  <c r="K1864" i="2"/>
  <c r="K1863" i="2"/>
  <c r="K1862" i="2"/>
  <c r="K1861" i="2"/>
  <c r="K1860" i="2"/>
  <c r="K1859" i="2"/>
  <c r="K1858" i="2"/>
  <c r="K1857" i="2"/>
  <c r="K1856" i="2"/>
  <c r="K1855" i="2"/>
  <c r="K1854" i="2"/>
  <c r="K1853" i="2"/>
  <c r="K1852" i="2"/>
  <c r="K1851" i="2"/>
  <c r="K1850" i="2"/>
  <c r="K1849" i="2"/>
  <c r="K1848" i="2"/>
  <c r="K1847" i="2"/>
  <c r="K1846" i="2"/>
  <c r="K1845" i="2"/>
  <c r="K1844" i="2"/>
  <c r="K1843" i="2"/>
  <c r="K1842" i="2"/>
  <c r="K1841" i="2"/>
  <c r="K1840" i="2"/>
  <c r="K1839" i="2"/>
  <c r="K1838" i="2"/>
  <c r="K1837" i="2"/>
  <c r="K1836" i="2"/>
  <c r="K1835" i="2"/>
  <c r="K1834" i="2"/>
  <c r="K1833" i="2"/>
  <c r="K1832" i="2"/>
  <c r="K1831" i="2"/>
  <c r="K1830" i="2"/>
  <c r="K1829" i="2"/>
  <c r="K1828" i="2"/>
  <c r="K1827" i="2"/>
  <c r="K1826" i="2"/>
  <c r="K1825" i="2"/>
  <c r="K1824" i="2"/>
  <c r="K1823" i="2"/>
  <c r="K1822" i="2"/>
  <c r="K1821" i="2"/>
  <c r="K1820" i="2"/>
  <c r="K1819" i="2"/>
  <c r="K1818" i="2"/>
  <c r="K1817" i="2"/>
  <c r="K1816" i="2"/>
  <c r="K1815" i="2"/>
  <c r="K1814" i="2"/>
  <c r="K1813" i="2"/>
  <c r="K1812" i="2"/>
  <c r="K1811" i="2"/>
  <c r="K1810" i="2"/>
  <c r="K1809" i="2"/>
  <c r="K1808" i="2"/>
  <c r="K1807" i="2"/>
  <c r="K1806" i="2"/>
  <c r="K1805" i="2"/>
  <c r="K1804" i="2"/>
  <c r="K1803" i="2"/>
  <c r="K1802" i="2"/>
  <c r="K1801" i="2"/>
  <c r="K1800" i="2"/>
  <c r="K1799" i="2"/>
  <c r="K1798" i="2"/>
  <c r="K1797" i="2"/>
  <c r="K1796" i="2"/>
  <c r="K1795" i="2"/>
  <c r="K1794" i="2"/>
  <c r="K1793" i="2"/>
  <c r="K1792" i="2"/>
  <c r="K1791" i="2"/>
  <c r="K1790" i="2"/>
  <c r="K1789" i="2"/>
  <c r="K1788" i="2"/>
  <c r="K1787" i="2"/>
  <c r="K1786" i="2"/>
  <c r="K1785" i="2"/>
  <c r="K1784" i="2"/>
  <c r="K1783" i="2"/>
  <c r="K1782" i="2"/>
  <c r="K1781" i="2"/>
  <c r="K1780" i="2"/>
  <c r="K1779" i="2"/>
  <c r="K1778" i="2"/>
  <c r="K1777" i="2"/>
  <c r="K1776" i="2"/>
  <c r="K1775" i="2"/>
  <c r="K1774" i="2"/>
  <c r="K1773" i="2"/>
  <c r="K1772" i="2"/>
  <c r="K1771" i="2"/>
  <c r="K1770" i="2"/>
  <c r="K1769" i="2"/>
  <c r="K1768" i="2"/>
  <c r="K1767" i="2"/>
  <c r="K1766" i="2"/>
  <c r="K1765" i="2"/>
  <c r="K1764" i="2"/>
  <c r="K1763" i="2"/>
  <c r="K1762" i="2"/>
  <c r="K1761" i="2"/>
  <c r="K1760" i="2"/>
  <c r="K1759" i="2"/>
  <c r="K1758" i="2"/>
  <c r="K1757" i="2"/>
  <c r="K1756" i="2"/>
  <c r="K1755" i="2"/>
  <c r="K1754" i="2"/>
  <c r="K1753" i="2"/>
  <c r="K1752" i="2"/>
  <c r="K1751" i="2"/>
  <c r="K1750" i="2"/>
  <c r="K1749" i="2"/>
  <c r="K1748" i="2"/>
  <c r="K1747" i="2"/>
  <c r="K1746" i="2"/>
  <c r="K1745" i="2"/>
  <c r="K1744" i="2"/>
  <c r="K1743" i="2"/>
  <c r="K1742" i="2"/>
  <c r="K1741" i="2"/>
  <c r="K1740" i="2"/>
  <c r="K1739" i="2"/>
  <c r="K1738" i="2"/>
  <c r="K1737" i="2"/>
  <c r="K1736" i="2"/>
  <c r="K1735" i="2"/>
  <c r="K1734" i="2"/>
  <c r="K1733" i="2"/>
  <c r="K1732" i="2"/>
  <c r="K1731" i="2"/>
  <c r="K1730" i="2"/>
  <c r="K1729" i="2"/>
  <c r="K1728" i="2"/>
  <c r="K1727" i="2"/>
  <c r="K1726" i="2"/>
  <c r="K1725" i="2"/>
  <c r="K1724" i="2"/>
  <c r="K1723" i="2"/>
  <c r="K1722" i="2"/>
  <c r="K1721" i="2"/>
  <c r="K1720" i="2"/>
  <c r="K1719" i="2"/>
  <c r="K1718" i="2"/>
  <c r="K1717" i="2"/>
  <c r="K1716" i="2"/>
  <c r="K1715" i="2"/>
  <c r="K1714" i="2"/>
  <c r="K1713" i="2"/>
  <c r="K1712" i="2"/>
  <c r="K1711" i="2"/>
  <c r="K1710" i="2"/>
  <c r="K1709" i="2"/>
  <c r="K1708" i="2"/>
  <c r="K1707" i="2"/>
  <c r="K1706" i="2"/>
  <c r="K1705" i="2"/>
  <c r="K1704" i="2"/>
  <c r="K1703" i="2"/>
  <c r="K1702" i="2"/>
  <c r="K1701" i="2"/>
  <c r="K1700" i="2"/>
  <c r="K1699" i="2"/>
  <c r="K1698" i="2"/>
  <c r="K1697" i="2"/>
  <c r="K1696" i="2"/>
  <c r="K1695" i="2"/>
  <c r="K1694" i="2"/>
  <c r="K1693" i="2"/>
  <c r="K1692" i="2"/>
  <c r="K1691" i="2"/>
  <c r="K1690" i="2"/>
  <c r="K1689" i="2"/>
  <c r="K1688" i="2"/>
  <c r="K1687" i="2"/>
  <c r="K1686" i="2"/>
  <c r="K1685" i="2"/>
  <c r="K1684" i="2"/>
  <c r="K1683" i="2"/>
  <c r="K1682" i="2"/>
  <c r="K1681" i="2"/>
  <c r="K1680" i="2"/>
  <c r="K1679" i="2"/>
  <c r="K1678" i="2"/>
  <c r="K1677" i="2"/>
  <c r="K1676" i="2"/>
  <c r="K1675" i="2"/>
  <c r="K1674" i="2"/>
  <c r="K1673" i="2"/>
  <c r="K1672" i="2"/>
  <c r="K1671" i="2"/>
  <c r="K1670" i="2"/>
  <c r="K1669" i="2"/>
  <c r="K1668" i="2"/>
  <c r="K1667" i="2"/>
  <c r="K1666" i="2"/>
  <c r="K1665" i="2"/>
  <c r="K1664" i="2"/>
  <c r="K1663" i="2"/>
  <c r="K1662" i="2"/>
  <c r="K1661" i="2"/>
  <c r="K1660" i="2"/>
  <c r="K1659" i="2"/>
  <c r="K1658" i="2"/>
  <c r="K1657" i="2"/>
  <c r="K1656" i="2"/>
  <c r="K1655" i="2"/>
  <c r="K1654" i="2"/>
  <c r="K1653" i="2"/>
  <c r="K1652" i="2"/>
  <c r="K1651" i="2"/>
  <c r="K1650" i="2"/>
  <c r="K1649" i="2"/>
  <c r="K1648" i="2"/>
  <c r="K1647" i="2"/>
  <c r="K1646" i="2"/>
  <c r="K1645" i="2"/>
  <c r="K1644" i="2"/>
  <c r="K1643" i="2"/>
  <c r="K1642" i="2"/>
  <c r="K1641" i="2"/>
  <c r="K1640" i="2"/>
  <c r="K1639" i="2"/>
  <c r="K1638" i="2"/>
  <c r="K1637" i="2"/>
  <c r="K1636" i="2"/>
  <c r="K1635" i="2"/>
  <c r="K1634" i="2"/>
  <c r="K1633" i="2"/>
  <c r="K1632" i="2"/>
  <c r="K1631" i="2"/>
  <c r="K1630" i="2"/>
  <c r="K1629" i="2"/>
  <c r="K1628" i="2"/>
  <c r="K1627" i="2"/>
  <c r="K1626" i="2"/>
  <c r="K1625" i="2"/>
  <c r="K1624" i="2"/>
  <c r="K1623" i="2"/>
  <c r="K1622" i="2"/>
  <c r="K1621" i="2"/>
  <c r="K1620" i="2"/>
  <c r="K1619" i="2"/>
  <c r="K1618" i="2"/>
  <c r="K1617" i="2"/>
  <c r="K1616" i="2"/>
  <c r="K1615" i="2"/>
  <c r="K1614" i="2"/>
  <c r="K1613" i="2"/>
  <c r="K1612" i="2"/>
  <c r="K1611" i="2"/>
  <c r="K1610" i="2"/>
  <c r="K1609" i="2"/>
  <c r="K1608" i="2"/>
  <c r="K1607" i="2"/>
  <c r="K1606" i="2"/>
  <c r="K1605" i="2"/>
  <c r="K1604" i="2"/>
  <c r="K1603" i="2"/>
  <c r="K1602" i="2"/>
  <c r="K1601" i="2"/>
  <c r="K1600" i="2"/>
  <c r="K1599" i="2"/>
  <c r="K1598" i="2"/>
  <c r="K1597" i="2"/>
  <c r="K1596" i="2"/>
  <c r="K1595" i="2"/>
  <c r="K1594" i="2"/>
  <c r="K1593" i="2"/>
  <c r="K1592" i="2"/>
  <c r="K1591" i="2"/>
  <c r="K1590" i="2"/>
  <c r="K1589" i="2"/>
  <c r="K1588" i="2"/>
  <c r="K1587" i="2"/>
  <c r="K1586" i="2"/>
  <c r="K1585" i="2"/>
  <c r="K1584" i="2"/>
  <c r="K1583" i="2"/>
  <c r="K1582" i="2"/>
  <c r="K1581" i="2"/>
  <c r="K1580" i="2"/>
  <c r="K1579" i="2"/>
  <c r="K1578" i="2"/>
  <c r="K1577" i="2"/>
  <c r="K1576" i="2"/>
  <c r="K1575" i="2"/>
  <c r="K1574" i="2"/>
  <c r="K1573" i="2"/>
  <c r="K1572" i="2"/>
  <c r="K1571" i="2"/>
  <c r="K1570" i="2"/>
  <c r="K1569" i="2"/>
  <c r="K1568" i="2"/>
  <c r="K1567" i="2"/>
  <c r="K1566" i="2"/>
  <c r="K1565" i="2"/>
  <c r="K1564" i="2"/>
  <c r="K1563" i="2"/>
  <c r="K1562" i="2"/>
  <c r="K1561" i="2"/>
  <c r="K1560" i="2"/>
  <c r="K1559" i="2"/>
  <c r="K1558" i="2"/>
  <c r="K1557" i="2"/>
  <c r="K1556" i="2"/>
  <c r="K1555" i="2"/>
  <c r="K1554" i="2"/>
  <c r="K1553" i="2"/>
  <c r="K1552" i="2"/>
  <c r="K1551" i="2"/>
  <c r="K1550" i="2"/>
  <c r="K1549" i="2"/>
  <c r="K1548" i="2"/>
  <c r="K1547" i="2"/>
  <c r="K1546" i="2"/>
  <c r="K1545" i="2"/>
  <c r="K1544" i="2"/>
  <c r="K1543" i="2"/>
  <c r="K1542" i="2"/>
  <c r="K1541" i="2"/>
  <c r="K1540" i="2"/>
  <c r="K1539" i="2"/>
  <c r="K1538" i="2"/>
  <c r="K1537" i="2"/>
  <c r="K1536" i="2"/>
  <c r="K1535" i="2"/>
  <c r="K1534" i="2"/>
  <c r="K1533" i="2"/>
  <c r="K1532" i="2"/>
  <c r="K1531" i="2"/>
  <c r="K1530" i="2"/>
  <c r="K1529" i="2"/>
  <c r="K1528" i="2"/>
  <c r="K1527" i="2"/>
  <c r="K1526" i="2"/>
  <c r="K1525" i="2"/>
  <c r="K1524" i="2"/>
  <c r="K1523" i="2"/>
  <c r="K1522" i="2"/>
  <c r="K1521" i="2"/>
  <c r="K1520" i="2"/>
  <c r="K1519" i="2"/>
  <c r="K1518" i="2"/>
  <c r="K1517" i="2"/>
  <c r="K1516" i="2"/>
  <c r="K1515" i="2"/>
  <c r="K1514" i="2"/>
  <c r="K1513" i="2"/>
  <c r="K1512" i="2"/>
  <c r="K1511" i="2"/>
  <c r="K1510" i="2"/>
  <c r="K1509" i="2"/>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3" i="2"/>
  <c r="P2225" i="2" l="1"/>
  <c r="P1362" i="2"/>
  <c r="Q1010" i="2"/>
  <c r="P2224" i="2"/>
  <c r="P2130" i="2"/>
  <c r="P2016" i="2"/>
  <c r="P1924" i="2"/>
  <c r="P1814" i="2"/>
  <c r="P1681" i="2"/>
  <c r="P1538" i="2"/>
  <c r="P1326" i="2"/>
  <c r="P1095" i="2"/>
  <c r="P802" i="2"/>
  <c r="P386" i="2"/>
  <c r="P7" i="2"/>
  <c r="P151" i="2"/>
  <c r="P298" i="2"/>
  <c r="P449" i="2"/>
  <c r="P590" i="2"/>
  <c r="P723" i="2"/>
  <c r="P855" i="2"/>
  <c r="P975" i="2"/>
  <c r="P1097" i="2"/>
  <c r="P1196" i="2"/>
  <c r="P1284" i="2"/>
  <c r="P1366" i="2"/>
  <c r="P1441" i="2"/>
  <c r="P1509" i="2"/>
  <c r="P1567" i="2"/>
  <c r="P1631" i="2"/>
  <c r="P1689" i="2"/>
  <c r="P82" i="2"/>
  <c r="P284" i="2"/>
  <c r="P436" i="2"/>
  <c r="P577" i="2"/>
  <c r="P722" i="2"/>
  <c r="P873" i="2"/>
  <c r="P1013" i="2"/>
  <c r="P1141" i="2"/>
  <c r="P1239" i="2"/>
  <c r="P1330" i="2"/>
  <c r="P1407" i="2"/>
  <c r="P1481" i="2"/>
  <c r="P1561" i="2"/>
  <c r="P1626" i="2"/>
  <c r="P1684" i="2"/>
  <c r="P1740" i="2"/>
  <c r="P1788" i="2"/>
  <c r="P1834" i="2"/>
  <c r="P1882" i="2"/>
  <c r="P1929" i="2"/>
  <c r="P1974" i="2"/>
  <c r="P2018" i="2"/>
  <c r="P2060" i="2"/>
  <c r="P2104" i="2"/>
  <c r="P2147" i="2"/>
  <c r="P2187" i="2"/>
  <c r="P2226" i="2"/>
  <c r="P127" i="2"/>
  <c r="P292" i="2"/>
  <c r="P437" i="2"/>
  <c r="P578" i="2"/>
  <c r="P746" i="2"/>
  <c r="P894" i="2"/>
  <c r="P1033" i="2"/>
  <c r="P1142" i="2"/>
  <c r="P1246" i="2"/>
  <c r="P1331" i="2"/>
  <c r="P1409" i="2"/>
  <c r="P1498" i="2"/>
  <c r="P1563" i="2"/>
  <c r="P1627" i="2"/>
  <c r="P1688" i="2"/>
  <c r="P1741" i="2"/>
  <c r="P1789" i="2"/>
  <c r="P1835" i="2"/>
  <c r="P1883" i="2"/>
  <c r="P1930" i="2"/>
  <c r="P1975" i="2"/>
  <c r="P2019" i="2"/>
  <c r="P2061" i="2"/>
  <c r="P2105" i="2"/>
  <c r="P2148" i="2"/>
  <c r="P2188" i="2"/>
  <c r="P2227" i="2"/>
  <c r="P129" i="2"/>
  <c r="P296" i="2"/>
  <c r="P448" i="2"/>
  <c r="P606" i="2"/>
  <c r="P761" i="2"/>
  <c r="P912" i="2"/>
  <c r="P1037" i="2"/>
  <c r="P1145" i="2"/>
  <c r="P1247" i="2"/>
  <c r="P1332" i="2"/>
  <c r="P1430" i="2"/>
  <c r="P1501" i="2"/>
  <c r="P1564" i="2"/>
  <c r="P1629" i="2"/>
  <c r="P1696" i="2"/>
  <c r="P1749" i="2"/>
  <c r="P1795" i="2"/>
  <c r="P1843" i="2"/>
  <c r="P1890" i="2"/>
  <c r="P1937" i="2"/>
  <c r="P1982" i="2"/>
  <c r="P2024" i="2"/>
  <c r="P2068" i="2"/>
  <c r="P2111" i="2"/>
  <c r="P2154" i="2"/>
  <c r="P2193" i="2"/>
  <c r="P2232" i="2"/>
  <c r="P143" i="2"/>
  <c r="P297" i="2"/>
  <c r="P467" i="2"/>
  <c r="P630" i="2"/>
  <c r="P786" i="2"/>
  <c r="P913" i="2"/>
  <c r="P1038" i="2"/>
  <c r="P1153" i="2"/>
  <c r="P1249" i="2"/>
  <c r="P1355" i="2"/>
  <c r="P1433" i="2"/>
  <c r="P1502" i="2"/>
  <c r="P1565" i="2"/>
  <c r="P1639" i="2"/>
  <c r="P1707" i="2"/>
  <c r="P1756" i="2"/>
  <c r="P1804" i="2"/>
  <c r="P1850" i="2"/>
  <c r="P1897" i="2"/>
  <c r="P1945" i="2"/>
  <c r="P1988" i="2"/>
  <c r="P2032" i="2"/>
  <c r="P2075" i="2"/>
  <c r="P2118" i="2"/>
  <c r="P2160" i="2"/>
  <c r="P2200" i="2"/>
  <c r="P2239" i="2"/>
  <c r="P146" i="2"/>
  <c r="P324" i="2"/>
  <c r="P494" i="2"/>
  <c r="P650" i="2"/>
  <c r="P795" i="2"/>
  <c r="P922" i="2"/>
  <c r="P1043" i="2"/>
  <c r="P1154" i="2"/>
  <c r="P1271" i="2"/>
  <c r="P1358" i="2"/>
  <c r="P1439" i="2"/>
  <c r="P1507" i="2"/>
  <c r="P1577" i="2"/>
  <c r="P1649" i="2"/>
  <c r="P1714" i="2"/>
  <c r="P1764" i="2"/>
  <c r="P1811" i="2"/>
  <c r="P1858" i="2"/>
  <c r="P1906" i="2"/>
  <c r="P1952" i="2"/>
  <c r="P1996" i="2"/>
  <c r="P2039" i="2"/>
  <c r="P2082" i="2"/>
  <c r="P2126" i="2"/>
  <c r="P2167" i="2"/>
  <c r="P2206" i="2"/>
  <c r="P175" i="2"/>
  <c r="P346" i="2"/>
  <c r="P516" i="2"/>
  <c r="P651" i="2"/>
  <c r="P801" i="2"/>
  <c r="P923" i="2"/>
  <c r="P1044" i="2"/>
  <c r="P1181" i="2"/>
  <c r="P1278" i="2"/>
  <c r="P1360" i="2"/>
  <c r="P1440" i="2"/>
  <c r="P1514" i="2"/>
  <c r="P1588" i="2"/>
  <c r="P1659" i="2"/>
  <c r="P1715" i="2"/>
  <c r="P1765" i="2"/>
  <c r="P1812" i="2"/>
  <c r="P1859" i="2"/>
  <c r="P1907" i="2"/>
  <c r="P1953" i="2"/>
  <c r="P1997" i="2"/>
  <c r="P2040" i="2"/>
  <c r="P2083" i="2"/>
  <c r="P2127" i="2"/>
  <c r="P2168" i="2"/>
  <c r="P2207" i="2"/>
  <c r="P33" i="2"/>
  <c r="P218" i="2"/>
  <c r="P373" i="2"/>
  <c r="P529" i="2"/>
  <c r="P658" i="2"/>
  <c r="P804" i="2"/>
  <c r="P963" i="2"/>
  <c r="P1083" i="2"/>
  <c r="P1193" i="2"/>
  <c r="P1283" i="2"/>
  <c r="P1374" i="2"/>
  <c r="P1463" i="2"/>
  <c r="P1537" i="2"/>
  <c r="P1600" i="2"/>
  <c r="P1664" i="2"/>
  <c r="P1719" i="2"/>
  <c r="P1768" i="2"/>
  <c r="P1816" i="2"/>
  <c r="P1861" i="2"/>
  <c r="P1909" i="2"/>
  <c r="P1956" i="2"/>
  <c r="P1999" i="2"/>
  <c r="P2043" i="2"/>
  <c r="P2085" i="2"/>
  <c r="P2129" i="2"/>
  <c r="P2170" i="2"/>
  <c r="P2210" i="2"/>
  <c r="P2211" i="2"/>
  <c r="P2103" i="2"/>
  <c r="P2012" i="2"/>
  <c r="P1908" i="2"/>
  <c r="P1785" i="2"/>
  <c r="P1665" i="2"/>
  <c r="P1479" i="2"/>
  <c r="P1310" i="2"/>
  <c r="P1079" i="2"/>
  <c r="P720" i="2"/>
  <c r="P384" i="2"/>
  <c r="P2208" i="2"/>
  <c r="P2102" i="2"/>
  <c r="P2000" i="2"/>
  <c r="P1881" i="2"/>
  <c r="P1782" i="2"/>
  <c r="P1662" i="2"/>
  <c r="P1477" i="2"/>
  <c r="P1296" i="2"/>
  <c r="P994" i="2"/>
  <c r="P706" i="2"/>
  <c r="P372" i="2"/>
  <c r="P2186" i="2"/>
  <c r="P2099" i="2"/>
  <c r="P1998" i="2"/>
  <c r="P1880" i="2"/>
  <c r="P1769" i="2"/>
  <c r="P1621" i="2"/>
  <c r="P1476" i="2"/>
  <c r="P1282" i="2"/>
  <c r="P974" i="2"/>
  <c r="P672" i="2"/>
  <c r="P244" i="2"/>
  <c r="P2184" i="2"/>
  <c r="P2087" i="2"/>
  <c r="P1973" i="2"/>
  <c r="P1877" i="2"/>
  <c r="P1766" i="2"/>
  <c r="P1605" i="2"/>
  <c r="P1475" i="2"/>
  <c r="P1238" i="2"/>
  <c r="P966" i="2"/>
  <c r="P657" i="2"/>
  <c r="P238" i="2"/>
  <c r="P2182" i="2"/>
  <c r="P2084" i="2"/>
  <c r="P1972" i="2"/>
  <c r="P1864" i="2"/>
  <c r="P1739" i="2"/>
  <c r="P1602" i="2"/>
  <c r="P1453" i="2"/>
  <c r="P1224" i="2"/>
  <c r="P965" i="2"/>
  <c r="P576" i="2"/>
  <c r="P237" i="2"/>
  <c r="P2171" i="2"/>
  <c r="P2059" i="2"/>
  <c r="P1970" i="2"/>
  <c r="P1860" i="2"/>
  <c r="P1738" i="2"/>
  <c r="P1601" i="2"/>
  <c r="P1406" i="2"/>
  <c r="P1212" i="2"/>
  <c r="P926" i="2"/>
  <c r="P574" i="2"/>
  <c r="P220" i="2"/>
  <c r="P2169" i="2"/>
  <c r="P2058" i="2"/>
  <c r="P1958" i="2"/>
  <c r="P1833" i="2"/>
  <c r="P1736" i="2"/>
  <c r="P1597" i="2"/>
  <c r="P1403" i="2"/>
  <c r="P1195" i="2"/>
  <c r="P854" i="2"/>
  <c r="P537" i="2"/>
  <c r="P201" i="2"/>
  <c r="Q1521" i="2"/>
  <c r="Q271" i="2"/>
  <c r="Q259" i="2"/>
  <c r="Q247" i="2"/>
  <c r="Q235" i="2"/>
  <c r="Q223" i="2"/>
  <c r="Q211" i="2"/>
  <c r="Q199" i="2"/>
  <c r="Q187" i="2"/>
  <c r="Q2211" i="2"/>
  <c r="Q2199" i="2"/>
  <c r="Q2175" i="2"/>
  <c r="Q2139" i="2"/>
  <c r="Q2127" i="2"/>
  <c r="Q2115" i="2"/>
  <c r="Q2103" i="2"/>
  <c r="Q2067" i="2"/>
  <c r="Q2043" i="2"/>
  <c r="Q2031" i="2"/>
  <c r="Q1995" i="2"/>
  <c r="Q1983" i="2"/>
  <c r="Q1971" i="2"/>
  <c r="Q986" i="2"/>
  <c r="Q974" i="2"/>
  <c r="Q926" i="2"/>
  <c r="Q902" i="2"/>
  <c r="Q878" i="2"/>
  <c r="Q866" i="2"/>
  <c r="Q770" i="2"/>
  <c r="Q722" i="2"/>
  <c r="Q686" i="2"/>
  <c r="Q638" i="2"/>
  <c r="Q494" i="2"/>
  <c r="Q482" i="2"/>
  <c r="Q458" i="2"/>
  <c r="Q422" i="2"/>
  <c r="Q410" i="2"/>
  <c r="Q398" i="2"/>
  <c r="Q386" i="2"/>
  <c r="Q186" i="2"/>
  <c r="Q174" i="2"/>
  <c r="Q150" i="2"/>
  <c r="Q138" i="2"/>
  <c r="Q102" i="2"/>
  <c r="S3" i="2"/>
  <c r="Q43" i="2"/>
  <c r="Q31" i="2"/>
  <c r="Q19" i="2"/>
  <c r="Q7" i="2"/>
  <c r="P2240" i="2"/>
  <c r="P2223" i="2"/>
  <c r="P2201" i="2"/>
  <c r="P2183" i="2"/>
  <c r="P2162" i="2"/>
  <c r="P2143" i="2"/>
  <c r="P2119" i="2"/>
  <c r="P2100" i="2"/>
  <c r="P2076" i="2"/>
  <c r="P2057" i="2"/>
  <c r="P2033" i="2"/>
  <c r="P2013" i="2"/>
  <c r="P1989" i="2"/>
  <c r="P1971" i="2"/>
  <c r="P1946" i="2"/>
  <c r="P1925" i="2"/>
  <c r="P1898" i="2"/>
  <c r="P1878" i="2"/>
  <c r="P1852" i="2"/>
  <c r="P1831" i="2"/>
  <c r="P1805" i="2"/>
  <c r="P1783" i="2"/>
  <c r="P1757" i="2"/>
  <c r="P1737" i="2"/>
  <c r="P1708" i="2"/>
  <c r="P1682" i="2"/>
  <c r="P1651" i="2"/>
  <c r="P1623" i="2"/>
  <c r="P1589" i="2"/>
  <c r="P1562" i="2"/>
  <c r="P1527" i="2"/>
  <c r="P1499" i="2"/>
  <c r="P1464" i="2"/>
  <c r="P1431" i="2"/>
  <c r="P1392" i="2"/>
  <c r="P1357" i="2"/>
  <c r="P1311" i="2"/>
  <c r="P1272" i="2"/>
  <c r="P1228" i="2"/>
  <c r="P1184" i="2"/>
  <c r="P1126" i="2"/>
  <c r="P1081" i="2"/>
  <c r="P1014" i="2"/>
  <c r="P964" i="2"/>
  <c r="P897" i="2"/>
  <c r="P843" i="2"/>
  <c r="P771" i="2"/>
  <c r="P707" i="2"/>
  <c r="P633" i="2"/>
  <c r="P575" i="2"/>
  <c r="P498" i="2"/>
  <c r="P433" i="2"/>
  <c r="P347" i="2"/>
  <c r="P290" i="2"/>
  <c r="P202" i="2"/>
  <c r="P128" i="2"/>
  <c r="P34" i="2"/>
  <c r="Q326" i="2"/>
  <c r="Q302" i="2"/>
  <c r="Q242" i="2"/>
  <c r="Q194" i="2"/>
  <c r="P2238" i="2"/>
  <c r="P2220" i="2"/>
  <c r="P2199" i="2"/>
  <c r="P2181" i="2"/>
  <c r="P2159" i="2"/>
  <c r="P2141" i="2"/>
  <c r="P2117" i="2"/>
  <c r="P2097" i="2"/>
  <c r="P2073" i="2"/>
  <c r="P2055" i="2"/>
  <c r="P2031" i="2"/>
  <c r="P2011" i="2"/>
  <c r="P1987" i="2"/>
  <c r="P1968" i="2"/>
  <c r="P1943" i="2"/>
  <c r="P1922" i="2"/>
  <c r="P1896" i="2"/>
  <c r="P1874" i="2"/>
  <c r="P1848" i="2"/>
  <c r="P1829" i="2"/>
  <c r="P1802" i="2"/>
  <c r="P1781" i="2"/>
  <c r="P1754" i="2"/>
  <c r="P1733" i="2"/>
  <c r="P1705" i="2"/>
  <c r="P1680" i="2"/>
  <c r="P1647" i="2"/>
  <c r="P1619" i="2"/>
  <c r="P1586" i="2"/>
  <c r="P1560" i="2"/>
  <c r="P1525" i="2"/>
  <c r="P1497" i="2"/>
  <c r="P1462" i="2"/>
  <c r="P1428" i="2"/>
  <c r="P1385" i="2"/>
  <c r="P1350" i="2"/>
  <c r="P1309" i="2"/>
  <c r="P1266" i="2"/>
  <c r="P1222" i="2"/>
  <c r="P1179" i="2"/>
  <c r="P1124" i="2"/>
  <c r="P1078" i="2"/>
  <c r="P1012" i="2"/>
  <c r="P950" i="2"/>
  <c r="P889" i="2"/>
  <c r="P834" i="2"/>
  <c r="P760" i="2"/>
  <c r="P702" i="2"/>
  <c r="P627" i="2"/>
  <c r="P573" i="2"/>
  <c r="P493" i="2"/>
  <c r="P426" i="2"/>
  <c r="P345" i="2"/>
  <c r="P278" i="2"/>
  <c r="P196" i="2"/>
  <c r="P126" i="2"/>
  <c r="P24" i="2"/>
  <c r="P2237" i="2"/>
  <c r="P2219" i="2"/>
  <c r="P2198" i="2"/>
  <c r="P2180" i="2"/>
  <c r="P2158" i="2"/>
  <c r="P2140" i="2"/>
  <c r="P2116" i="2"/>
  <c r="P2096" i="2"/>
  <c r="P2072" i="2"/>
  <c r="P2054" i="2"/>
  <c r="P2030" i="2"/>
  <c r="P2010" i="2"/>
  <c r="P1986" i="2"/>
  <c r="P1967" i="2"/>
  <c r="P1942" i="2"/>
  <c r="P1921" i="2"/>
  <c r="P1895" i="2"/>
  <c r="P1873" i="2"/>
  <c r="P1847" i="2"/>
  <c r="P1828" i="2"/>
  <c r="P1801" i="2"/>
  <c r="P1780" i="2"/>
  <c r="P1753" i="2"/>
  <c r="P1732" i="2"/>
  <c r="P1703" i="2"/>
  <c r="P1679" i="2"/>
  <c r="P1646" i="2"/>
  <c r="P1618" i="2"/>
  <c r="P1584" i="2"/>
  <c r="P1558" i="2"/>
  <c r="P1524" i="2"/>
  <c r="P1495" i="2"/>
  <c r="P1458" i="2"/>
  <c r="P1427" i="2"/>
  <c r="P1383" i="2"/>
  <c r="P1349" i="2"/>
  <c r="P1302" i="2"/>
  <c r="P1265" i="2"/>
  <c r="P1217" i="2"/>
  <c r="P1178" i="2"/>
  <c r="P1123" i="2"/>
  <c r="P1077" i="2"/>
  <c r="P1011" i="2"/>
  <c r="P949" i="2"/>
  <c r="P881" i="2"/>
  <c r="P829" i="2"/>
  <c r="P759" i="2"/>
  <c r="P694" i="2"/>
  <c r="P623" i="2"/>
  <c r="P570" i="2"/>
  <c r="P488" i="2"/>
  <c r="P416" i="2"/>
  <c r="P331" i="2"/>
  <c r="P277" i="2"/>
  <c r="P194" i="2"/>
  <c r="P125" i="2"/>
  <c r="P23" i="2"/>
  <c r="S4" i="2"/>
  <c r="Q371" i="2"/>
  <c r="Q287" i="2"/>
  <c r="Q155" i="2"/>
  <c r="Q107" i="2"/>
  <c r="P2236" i="2"/>
  <c r="P2214" i="2"/>
  <c r="P2196" i="2"/>
  <c r="P2175" i="2"/>
  <c r="P2157" i="2"/>
  <c r="P2133" i="2"/>
  <c r="P2115" i="2"/>
  <c r="P2091" i="2"/>
  <c r="P2071" i="2"/>
  <c r="P2047" i="2"/>
  <c r="P2028" i="2"/>
  <c r="P2004" i="2"/>
  <c r="P1985" i="2"/>
  <c r="P1961" i="2"/>
  <c r="P1940" i="2"/>
  <c r="P1914" i="2"/>
  <c r="P1894" i="2"/>
  <c r="P1868" i="2"/>
  <c r="P1846" i="2"/>
  <c r="P1820" i="2"/>
  <c r="P1799" i="2"/>
  <c r="P1773" i="2"/>
  <c r="P1752" i="2"/>
  <c r="P1725" i="2"/>
  <c r="P1701" i="2"/>
  <c r="P1669" i="2"/>
  <c r="P1644" i="2"/>
  <c r="P1610" i="2"/>
  <c r="P1581" i="2"/>
  <c r="P1548" i="2"/>
  <c r="P1522" i="2"/>
  <c r="P1486" i="2"/>
  <c r="P1457" i="2"/>
  <c r="P1415" i="2"/>
  <c r="P1381" i="2"/>
  <c r="P1335" i="2"/>
  <c r="P1301" i="2"/>
  <c r="P1254" i="2"/>
  <c r="P1215" i="2"/>
  <c r="P1160" i="2"/>
  <c r="P1116" i="2"/>
  <c r="P1059" i="2"/>
  <c r="P1007" i="2"/>
  <c r="P939" i="2"/>
  <c r="P876" i="2"/>
  <c r="P807" i="2"/>
  <c r="P750" i="2"/>
  <c r="P681" i="2"/>
  <c r="P617" i="2"/>
  <c r="P546" i="2"/>
  <c r="P486" i="2"/>
  <c r="P403" i="2"/>
  <c r="P330" i="2"/>
  <c r="P249" i="2"/>
  <c r="P180" i="2"/>
  <c r="P90" i="2"/>
  <c r="P22" i="2"/>
  <c r="P2235" i="2"/>
  <c r="P2213" i="2"/>
  <c r="P2195" i="2"/>
  <c r="P2174" i="2"/>
  <c r="P2156" i="2"/>
  <c r="P2132" i="2"/>
  <c r="P2114" i="2"/>
  <c r="P2090" i="2"/>
  <c r="P2070" i="2"/>
  <c r="P2046" i="2"/>
  <c r="P2027" i="2"/>
  <c r="P2003" i="2"/>
  <c r="P1984" i="2"/>
  <c r="P1960" i="2"/>
  <c r="P1939" i="2"/>
  <c r="P1913" i="2"/>
  <c r="P1893" i="2"/>
  <c r="P1867" i="2"/>
  <c r="P1845" i="2"/>
  <c r="P1819" i="2"/>
  <c r="P1798" i="2"/>
  <c r="P1772" i="2"/>
  <c r="P1751" i="2"/>
  <c r="P1724" i="2"/>
  <c r="P1700" i="2"/>
  <c r="P1668" i="2"/>
  <c r="P1643" i="2"/>
  <c r="P1608" i="2"/>
  <c r="P1579" i="2"/>
  <c r="P1547" i="2"/>
  <c r="P1518" i="2"/>
  <c r="P1485" i="2"/>
  <c r="P1456" i="2"/>
  <c r="P1414" i="2"/>
  <c r="P1380" i="2"/>
  <c r="P1334" i="2"/>
  <c r="P1300" i="2"/>
  <c r="P1253" i="2"/>
  <c r="P1214" i="2"/>
  <c r="P1159" i="2"/>
  <c r="P1115" i="2"/>
  <c r="P1055" i="2"/>
  <c r="P999" i="2"/>
  <c r="P938" i="2"/>
  <c r="P875" i="2"/>
  <c r="P806" i="2"/>
  <c r="P749" i="2"/>
  <c r="P675" i="2"/>
  <c r="P616" i="2"/>
  <c r="P542" i="2"/>
  <c r="P473" i="2"/>
  <c r="P402" i="2"/>
  <c r="P329" i="2"/>
  <c r="P246" i="2"/>
  <c r="P179" i="2"/>
  <c r="P89" i="2"/>
  <c r="P17" i="2"/>
  <c r="P2234" i="2"/>
  <c r="P2212" i="2"/>
  <c r="P2194" i="2"/>
  <c r="P2172" i="2"/>
  <c r="P2155" i="2"/>
  <c r="P2131" i="2"/>
  <c r="P2112" i="2"/>
  <c r="P2088" i="2"/>
  <c r="P2069" i="2"/>
  <c r="P2045" i="2"/>
  <c r="P2025" i="2"/>
  <c r="P2001" i="2"/>
  <c r="P1983" i="2"/>
  <c r="P1959" i="2"/>
  <c r="P1938" i="2"/>
  <c r="P1912" i="2"/>
  <c r="P1891" i="2"/>
  <c r="P1865" i="2"/>
  <c r="P1844" i="2"/>
  <c r="P1818" i="2"/>
  <c r="P1796" i="2"/>
  <c r="P1770" i="2"/>
  <c r="P1750" i="2"/>
  <c r="P1722" i="2"/>
  <c r="P1698" i="2"/>
  <c r="P1667" i="2"/>
  <c r="P1641" i="2"/>
  <c r="P1606" i="2"/>
  <c r="P1578" i="2"/>
  <c r="P1545" i="2"/>
  <c r="P1515" i="2"/>
  <c r="P1482" i="2"/>
  <c r="P1454" i="2"/>
  <c r="P1410" i="2"/>
  <c r="P1378" i="2"/>
  <c r="P1333" i="2"/>
  <c r="P1298" i="2"/>
  <c r="P1250" i="2"/>
  <c r="P1213" i="2"/>
  <c r="P1155" i="2"/>
  <c r="P1109" i="2"/>
  <c r="P1045" i="2"/>
  <c r="P998" i="2"/>
  <c r="P927" i="2"/>
  <c r="P874" i="2"/>
  <c r="P805" i="2"/>
  <c r="P747" i="2"/>
  <c r="P673" i="2"/>
  <c r="P615" i="2"/>
  <c r="P541" i="2"/>
  <c r="P468" i="2"/>
  <c r="P388" i="2"/>
  <c r="P328" i="2"/>
  <c r="P245" i="2"/>
  <c r="P176" i="2"/>
  <c r="P83" i="2"/>
  <c r="P18" i="2"/>
  <c r="P21" i="2"/>
  <c r="P58" i="2"/>
  <c r="P110" i="2"/>
  <c r="P148" i="2"/>
  <c r="P187" i="2"/>
  <c r="P233" i="2"/>
  <c r="P265" i="2"/>
  <c r="P301" i="2"/>
  <c r="P344" i="2"/>
  <c r="P380" i="2"/>
  <c r="P410" i="2"/>
  <c r="P453" i="2"/>
  <c r="P489" i="2"/>
  <c r="P528" i="2"/>
  <c r="P565" i="2"/>
  <c r="P593" i="2"/>
  <c r="P629" i="2"/>
  <c r="P665" i="2"/>
  <c r="P701" i="2"/>
  <c r="P731" i="2"/>
  <c r="P767" i="2"/>
  <c r="P803" i="2"/>
  <c r="P833" i="2"/>
  <c r="P869" i="2"/>
  <c r="P895" i="2"/>
  <c r="P925" i="2"/>
  <c r="P961" i="2"/>
  <c r="P990" i="2"/>
  <c r="P1017" i="2"/>
  <c r="P1053" i="2"/>
  <c r="P1080" i="2"/>
  <c r="P1106" i="2"/>
  <c r="P1136" i="2"/>
  <c r="P1157" i="2"/>
  <c r="P1183" i="2"/>
  <c r="P1211" i="2"/>
  <c r="P1234" i="2"/>
  <c r="P1252" i="2"/>
  <c r="P1276" i="2"/>
  <c r="P1297" i="2"/>
  <c r="P1318" i="2"/>
  <c r="P1342" i="2"/>
  <c r="P1359" i="2"/>
  <c r="P1379" i="2"/>
  <c r="P1396" i="2"/>
  <c r="P1416" i="2"/>
  <c r="P1438" i="2"/>
  <c r="P1455" i="2"/>
  <c r="P1473" i="2"/>
  <c r="P1488" i="2"/>
  <c r="P1503" i="2"/>
  <c r="P1521" i="2"/>
  <c r="P1536" i="2"/>
  <c r="P1551" i="2"/>
  <c r="P1566" i="2"/>
  <c r="P1582" i="2"/>
  <c r="P1599" i="2"/>
  <c r="P1614" i="2"/>
  <c r="P1630" i="2"/>
  <c r="P1645" i="2"/>
  <c r="P1660" i="2"/>
  <c r="P1676" i="2"/>
  <c r="P1690" i="2"/>
  <c r="P1704" i="2"/>
  <c r="P1717" i="2"/>
  <c r="P1730" i="2"/>
  <c r="P1743" i="2"/>
  <c r="P1755" i="2"/>
  <c r="P1767" i="2"/>
  <c r="P1779" i="2"/>
  <c r="P1791" i="2"/>
  <c r="P1803" i="2"/>
  <c r="P1815" i="2"/>
  <c r="P1827" i="2"/>
  <c r="P1839" i="2"/>
  <c r="P1851" i="2"/>
  <c r="P1863" i="2"/>
  <c r="P1875" i="2"/>
  <c r="P1887" i="2"/>
  <c r="P1899" i="2"/>
  <c r="P1911" i="2"/>
  <c r="P1923" i="2"/>
  <c r="P1935" i="2"/>
  <c r="P1947" i="2"/>
  <c r="P54" i="2"/>
  <c r="P96" i="2"/>
  <c r="P144" i="2"/>
  <c r="P182" i="2"/>
  <c r="P236" i="2"/>
  <c r="P268" i="2"/>
  <c r="P317" i="2"/>
  <c r="P354" i="2"/>
  <c r="P389" i="2"/>
  <c r="P434" i="2"/>
  <c r="P472" i="2"/>
  <c r="P515" i="2"/>
  <c r="P551" i="2"/>
  <c r="P591" i="2"/>
  <c r="P628" i="2"/>
  <c r="P671" i="2"/>
  <c r="P705" i="2"/>
  <c r="P745" i="2"/>
  <c r="P779" i="2"/>
  <c r="P808" i="2"/>
  <c r="P850" i="2"/>
  <c r="P880" i="2"/>
  <c r="P914" i="2"/>
  <c r="P948" i="2"/>
  <c r="P985" i="2"/>
  <c r="P1015" i="2"/>
  <c r="P1054" i="2"/>
  <c r="P1082" i="2"/>
  <c r="P1114" i="2"/>
  <c r="P1140" i="2"/>
  <c r="P1166" i="2"/>
  <c r="P1197" i="2"/>
  <c r="P1223" i="2"/>
  <c r="P1248" i="2"/>
  <c r="P1270" i="2"/>
  <c r="P1295" i="2"/>
  <c r="P1314" i="2"/>
  <c r="P1343" i="2"/>
  <c r="P1361" i="2"/>
  <c r="P1382" i="2"/>
  <c r="P1405" i="2"/>
  <c r="P1426" i="2"/>
  <c r="P1444" i="2"/>
  <c r="P1466" i="2"/>
  <c r="P1483" i="2"/>
  <c r="P1500" i="2"/>
  <c r="P1516" i="2"/>
  <c r="P1535" i="2"/>
  <c r="P1552" i="2"/>
  <c r="P1569" i="2"/>
  <c r="P1587" i="2"/>
  <c r="P1603" i="2"/>
  <c r="P1620" i="2"/>
  <c r="P1638" i="2"/>
  <c r="P1655" i="2"/>
  <c r="P1670" i="2"/>
  <c r="P1686" i="2"/>
  <c r="P1702" i="2"/>
  <c r="P1716" i="2"/>
  <c r="P1731" i="2"/>
  <c r="P1745" i="2"/>
  <c r="P1758" i="2"/>
  <c r="P1771" i="2"/>
  <c r="P1784" i="2"/>
  <c r="P1797" i="2"/>
  <c r="P1810" i="2"/>
  <c r="P1823" i="2"/>
  <c r="P1836" i="2"/>
  <c r="P1849" i="2"/>
  <c r="P1862" i="2"/>
  <c r="P1876" i="2"/>
  <c r="P1889" i="2"/>
  <c r="P1902" i="2"/>
  <c r="P1915" i="2"/>
  <c r="P1928" i="2"/>
  <c r="P1941" i="2"/>
  <c r="P1954" i="2"/>
  <c r="P1966" i="2"/>
  <c r="P1978" i="2"/>
  <c r="P1990" i="2"/>
  <c r="P2002" i="2"/>
  <c r="P2014" i="2"/>
  <c r="P2026" i="2"/>
  <c r="P2038" i="2"/>
  <c r="P2050" i="2"/>
  <c r="P2062" i="2"/>
  <c r="P2074" i="2"/>
  <c r="P2086" i="2"/>
  <c r="P2098" i="2"/>
  <c r="P2110" i="2"/>
  <c r="P2122" i="2"/>
  <c r="P2134" i="2"/>
  <c r="P2146" i="2"/>
  <c r="P16" i="2"/>
  <c r="P57" i="2"/>
  <c r="P112" i="2"/>
  <c r="P152" i="2"/>
  <c r="P200" i="2"/>
  <c r="P242" i="2"/>
  <c r="P280" i="2"/>
  <c r="P323" i="2"/>
  <c r="P360" i="2"/>
  <c r="P406" i="2"/>
  <c r="P441" i="2"/>
  <c r="P487" i="2"/>
  <c r="P518" i="2"/>
  <c r="P569" i="2"/>
  <c r="P600" i="2"/>
  <c r="P645" i="2"/>
  <c r="P674" i="2"/>
  <c r="P708" i="2"/>
  <c r="P748" i="2"/>
  <c r="P785" i="2"/>
  <c r="P822" i="2"/>
  <c r="P856" i="2"/>
  <c r="P893" i="2"/>
  <c r="P924" i="2"/>
  <c r="P962" i="2"/>
  <c r="P993" i="2"/>
  <c r="P1030" i="2"/>
  <c r="P1063" i="2"/>
  <c r="P1088" i="2"/>
  <c r="P1121" i="2"/>
  <c r="P1143" i="2"/>
  <c r="P1174" i="2"/>
  <c r="P1200" i="2"/>
  <c r="P1229" i="2"/>
  <c r="P1251" i="2"/>
  <c r="P1277" i="2"/>
  <c r="P1299" i="2"/>
  <c r="P1324" i="2"/>
  <c r="P1346" i="2"/>
  <c r="P1367" i="2"/>
  <c r="P1390" i="2"/>
  <c r="P1408" i="2"/>
  <c r="P1429" i="2"/>
  <c r="P1451" i="2"/>
  <c r="P1470" i="2"/>
  <c r="P1487" i="2"/>
  <c r="P1505" i="2"/>
  <c r="P1523" i="2"/>
  <c r="P1539" i="2"/>
  <c r="P1555" i="2"/>
  <c r="P1574" i="2"/>
  <c r="P1590" i="2"/>
  <c r="P1607" i="2"/>
  <c r="P1625" i="2"/>
  <c r="P1642" i="2"/>
  <c r="P1658" i="2"/>
  <c r="P1674" i="2"/>
  <c r="P1691" i="2"/>
  <c r="P1706" i="2"/>
  <c r="P1720" i="2"/>
  <c r="P1734" i="2"/>
  <c r="P1748" i="2"/>
  <c r="P1761" i="2"/>
  <c r="P1774" i="2"/>
  <c r="P1787" i="2"/>
  <c r="P1800" i="2"/>
  <c r="P1813" i="2"/>
  <c r="P1826" i="2"/>
  <c r="P1840" i="2"/>
  <c r="P1853" i="2"/>
  <c r="P1866" i="2"/>
  <c r="P1879" i="2"/>
  <c r="P1892" i="2"/>
  <c r="P1905" i="2"/>
  <c r="P1918" i="2"/>
  <c r="P1931" i="2"/>
  <c r="P1944" i="2"/>
  <c r="P1957" i="2"/>
  <c r="P1969" i="2"/>
  <c r="P1981" i="2"/>
  <c r="P1993" i="2"/>
  <c r="P2005" i="2"/>
  <c r="P2017" i="2"/>
  <c r="P2029" i="2"/>
  <c r="P2041" i="2"/>
  <c r="P2053" i="2"/>
  <c r="P2065" i="2"/>
  <c r="P2077" i="2"/>
  <c r="P2089" i="2"/>
  <c r="P2101" i="2"/>
  <c r="P2113" i="2"/>
  <c r="P2125" i="2"/>
  <c r="P2137" i="2"/>
  <c r="P2149" i="2"/>
  <c r="P2161" i="2"/>
  <c r="P2173" i="2"/>
  <c r="P2185" i="2"/>
  <c r="P2197" i="2"/>
  <c r="P2209" i="2"/>
  <c r="P2221" i="2"/>
  <c r="P2233" i="2"/>
  <c r="P46" i="2"/>
  <c r="P98" i="2"/>
  <c r="P153" i="2"/>
  <c r="P213" i="2"/>
  <c r="P262" i="2"/>
  <c r="P306" i="2"/>
  <c r="P355" i="2"/>
  <c r="P407" i="2"/>
  <c r="P454" i="2"/>
  <c r="P499" i="2"/>
  <c r="P549" i="2"/>
  <c r="P592" i="2"/>
  <c r="P646" i="2"/>
  <c r="P685" i="2"/>
  <c r="P729" i="2"/>
  <c r="P772" i="2"/>
  <c r="P820" i="2"/>
  <c r="P857" i="2"/>
  <c r="P898" i="2"/>
  <c r="P940" i="2"/>
  <c r="P976" i="2"/>
  <c r="P1018" i="2"/>
  <c r="P1064" i="2"/>
  <c r="P1099" i="2"/>
  <c r="P1127" i="2"/>
  <c r="P1164" i="2"/>
  <c r="P1198" i="2"/>
  <c r="P1230" i="2"/>
  <c r="P1261" i="2"/>
  <c r="P1285" i="2"/>
  <c r="P1312" i="2"/>
  <c r="P1344" i="2"/>
  <c r="P1368" i="2"/>
  <c r="P1393" i="2"/>
  <c r="P1418" i="2"/>
  <c r="P1442" i="2"/>
  <c r="P1468" i="2"/>
  <c r="P1489" i="2"/>
  <c r="P1510" i="2"/>
  <c r="P1528" i="2"/>
  <c r="P1549" i="2"/>
  <c r="P1571" i="2"/>
  <c r="P1591" i="2"/>
  <c r="P1612" i="2"/>
  <c r="P1632" i="2"/>
  <c r="P1653" i="2"/>
  <c r="P1671" i="2"/>
  <c r="P1692" i="2"/>
  <c r="P1709" i="2"/>
  <c r="P1726" i="2"/>
  <c r="P1742" i="2"/>
  <c r="P1759" i="2"/>
  <c r="P1775" i="2"/>
  <c r="P1790" i="2"/>
  <c r="P1806" i="2"/>
  <c r="P1821" i="2"/>
  <c r="P1837" i="2"/>
  <c r="P1854" i="2"/>
  <c r="P1869" i="2"/>
  <c r="P1884" i="2"/>
  <c r="P1900" i="2"/>
  <c r="P1916" i="2"/>
  <c r="P1932" i="2"/>
  <c r="P1948" i="2"/>
  <c r="P1962" i="2"/>
  <c r="P1976" i="2"/>
  <c r="P1991" i="2"/>
  <c r="P2006" i="2"/>
  <c r="P2020" i="2"/>
  <c r="P2034" i="2"/>
  <c r="P2048" i="2"/>
  <c r="P2063" i="2"/>
  <c r="P2078" i="2"/>
  <c r="P2092" i="2"/>
  <c r="P2106" i="2"/>
  <c r="P2120" i="2"/>
  <c r="P2135" i="2"/>
  <c r="P2150" i="2"/>
  <c r="P2163" i="2"/>
  <c r="P2176" i="2"/>
  <c r="P2189" i="2"/>
  <c r="P2202" i="2"/>
  <c r="P2215" i="2"/>
  <c r="P2228" i="2"/>
  <c r="P2241" i="2"/>
  <c r="P53" i="2"/>
  <c r="P100" i="2"/>
  <c r="P158" i="2"/>
  <c r="P214" i="2"/>
  <c r="P263" i="2"/>
  <c r="P307" i="2"/>
  <c r="P359" i="2"/>
  <c r="P408" i="2"/>
  <c r="P455" i="2"/>
  <c r="P500" i="2"/>
  <c r="P550" i="2"/>
  <c r="P599" i="2"/>
  <c r="P647" i="2"/>
  <c r="P686" i="2"/>
  <c r="P730" i="2"/>
  <c r="P778" i="2"/>
  <c r="P821" i="2"/>
  <c r="P858" i="2"/>
  <c r="P902" i="2"/>
  <c r="P941" i="2"/>
  <c r="P981" i="2"/>
  <c r="P1019" i="2"/>
  <c r="P1065" i="2"/>
  <c r="P1100" i="2"/>
  <c r="P1137" i="2"/>
  <c r="P1165" i="2"/>
  <c r="P1199" i="2"/>
  <c r="P1235" i="2"/>
  <c r="P1262" i="2"/>
  <c r="P1286" i="2"/>
  <c r="P1313" i="2"/>
  <c r="P1345" i="2"/>
  <c r="P1370" i="2"/>
  <c r="P1394" i="2"/>
  <c r="P1420" i="2"/>
  <c r="P1443" i="2"/>
  <c r="P1469" i="2"/>
  <c r="P1490" i="2"/>
  <c r="P1511" i="2"/>
  <c r="P1529" i="2"/>
  <c r="P1550" i="2"/>
  <c r="P1573" i="2"/>
  <c r="P1593" i="2"/>
  <c r="P1613" i="2"/>
  <c r="P1633" i="2"/>
  <c r="P1654" i="2"/>
  <c r="P1672" i="2"/>
  <c r="P1693" i="2"/>
  <c r="P1710" i="2"/>
  <c r="P1727" i="2"/>
  <c r="P1744" i="2"/>
  <c r="P1760" i="2"/>
  <c r="P1776" i="2"/>
  <c r="P1792" i="2"/>
  <c r="P1807" i="2"/>
  <c r="P1822" i="2"/>
  <c r="P1838" i="2"/>
  <c r="P1855" i="2"/>
  <c r="P1870" i="2"/>
  <c r="P1885" i="2"/>
  <c r="P1901" i="2"/>
  <c r="P1917" i="2"/>
  <c r="P1933" i="2"/>
  <c r="P1949" i="2"/>
  <c r="P1963" i="2"/>
  <c r="P1977" i="2"/>
  <c r="P1992" i="2"/>
  <c r="P2007" i="2"/>
  <c r="P2021" i="2"/>
  <c r="P2035" i="2"/>
  <c r="P2049" i="2"/>
  <c r="P2064" i="2"/>
  <c r="P2079" i="2"/>
  <c r="P2093" i="2"/>
  <c r="P2107" i="2"/>
  <c r="P2121" i="2"/>
  <c r="P2136" i="2"/>
  <c r="P2151" i="2"/>
  <c r="P2164" i="2"/>
  <c r="P2177" i="2"/>
  <c r="P2190" i="2"/>
  <c r="P2203" i="2"/>
  <c r="P2216" i="2"/>
  <c r="P2229" i="2"/>
  <c r="P2242" i="2"/>
  <c r="P55" i="2"/>
  <c r="P113" i="2"/>
  <c r="P160" i="2"/>
  <c r="P215" i="2"/>
  <c r="P264" i="2"/>
  <c r="P321" i="2"/>
  <c r="P361" i="2"/>
  <c r="P409" i="2"/>
  <c r="P465" i="2"/>
  <c r="P513" i="2"/>
  <c r="P555" i="2"/>
  <c r="P604" i="2"/>
  <c r="P648" i="2"/>
  <c r="P690" i="2"/>
  <c r="P732" i="2"/>
  <c r="P780" i="2"/>
  <c r="P823" i="2"/>
  <c r="P870" i="2"/>
  <c r="P906" i="2"/>
  <c r="P946" i="2"/>
  <c r="P986" i="2"/>
  <c r="P1031" i="2"/>
  <c r="P1066" i="2"/>
  <c r="P1101" i="2"/>
  <c r="P1138" i="2"/>
  <c r="P1172" i="2"/>
  <c r="P1201" i="2"/>
  <c r="P1236" i="2"/>
  <c r="P1263" i="2"/>
  <c r="P1287" i="2"/>
  <c r="P1319" i="2"/>
  <c r="P1347" i="2"/>
  <c r="P1372" i="2"/>
  <c r="P1395" i="2"/>
  <c r="P1421" i="2"/>
  <c r="P1445" i="2"/>
  <c r="P1471" i="2"/>
  <c r="P1492" i="2"/>
  <c r="P1512" i="2"/>
  <c r="P1531" i="2"/>
  <c r="P1553" i="2"/>
  <c r="P1575" i="2"/>
  <c r="P1594" i="2"/>
  <c r="P1615" i="2"/>
  <c r="P1634" i="2"/>
  <c r="P1656" i="2"/>
  <c r="P1677" i="2"/>
  <c r="P1694" i="2"/>
  <c r="P1712" i="2"/>
  <c r="P1728" i="2"/>
  <c r="P1746" i="2"/>
  <c r="P1762" i="2"/>
  <c r="P1777" i="2"/>
  <c r="P1793" i="2"/>
  <c r="P1808" i="2"/>
  <c r="P1824" i="2"/>
  <c r="P1841" i="2"/>
  <c r="P1856" i="2"/>
  <c r="P1871" i="2"/>
  <c r="P1886" i="2"/>
  <c r="P1903" i="2"/>
  <c r="P1919" i="2"/>
  <c r="P1934" i="2"/>
  <c r="P1950" i="2"/>
  <c r="P1964" i="2"/>
  <c r="P1979" i="2"/>
  <c r="P1994" i="2"/>
  <c r="P2008" i="2"/>
  <c r="P2022" i="2"/>
  <c r="P2036" i="2"/>
  <c r="P2051" i="2"/>
  <c r="P2066" i="2"/>
  <c r="P2080" i="2"/>
  <c r="P2094" i="2"/>
  <c r="P2108" i="2"/>
  <c r="P2123" i="2"/>
  <c r="P2138" i="2"/>
  <c r="P2152" i="2"/>
  <c r="P2165" i="2"/>
  <c r="P2178" i="2"/>
  <c r="P2191" i="2"/>
  <c r="P2204" i="2"/>
  <c r="P2217" i="2"/>
  <c r="P2230" i="2"/>
  <c r="P56" i="2"/>
  <c r="P117" i="2"/>
  <c r="P170" i="2"/>
  <c r="P216" i="2"/>
  <c r="P266" i="2"/>
  <c r="P322" i="2"/>
  <c r="P371" i="2"/>
  <c r="P415" i="2"/>
  <c r="P466" i="2"/>
  <c r="P514" i="2"/>
  <c r="P556" i="2"/>
  <c r="P605" i="2"/>
  <c r="P649" i="2"/>
  <c r="P693" i="2"/>
  <c r="P733" i="2"/>
  <c r="P781" i="2"/>
  <c r="P828" i="2"/>
  <c r="P871" i="2"/>
  <c r="P907" i="2"/>
  <c r="P947" i="2"/>
  <c r="P991" i="2"/>
  <c r="P1032" i="2"/>
  <c r="P1067" i="2"/>
  <c r="P1102" i="2"/>
  <c r="P1139" i="2"/>
  <c r="P1173" i="2"/>
  <c r="P1202" i="2"/>
  <c r="P1237" i="2"/>
  <c r="P1264" i="2"/>
  <c r="P1294" i="2"/>
  <c r="P1320" i="2"/>
  <c r="P1348" i="2"/>
  <c r="P1373" i="2"/>
  <c r="P1397" i="2"/>
  <c r="P1422" i="2"/>
  <c r="P1446" i="2"/>
  <c r="P1474" i="2"/>
  <c r="P1494" i="2"/>
  <c r="P1513" i="2"/>
  <c r="P1534" i="2"/>
  <c r="P1554" i="2"/>
  <c r="P1576" i="2"/>
  <c r="P1595" i="2"/>
  <c r="P1617" i="2"/>
  <c r="P1636" i="2"/>
  <c r="P1657" i="2"/>
  <c r="P1678" i="2"/>
  <c r="P1695" i="2"/>
  <c r="P1713" i="2"/>
  <c r="P1729" i="2"/>
  <c r="P1747" i="2"/>
  <c r="P1763" i="2"/>
  <c r="P1778" i="2"/>
  <c r="P1794" i="2"/>
  <c r="P1809" i="2"/>
  <c r="P1825" i="2"/>
  <c r="P1842" i="2"/>
  <c r="P1857" i="2"/>
  <c r="P1872" i="2"/>
  <c r="P1888" i="2"/>
  <c r="P1904" i="2"/>
  <c r="P1920" i="2"/>
  <c r="P1936" i="2"/>
  <c r="P1951" i="2"/>
  <c r="P1965" i="2"/>
  <c r="P1980" i="2"/>
  <c r="P1995" i="2"/>
  <c r="P2009" i="2"/>
  <c r="P2023" i="2"/>
  <c r="P2037" i="2"/>
  <c r="P2052" i="2"/>
  <c r="P2067" i="2"/>
  <c r="P2081" i="2"/>
  <c r="P2095" i="2"/>
  <c r="P2109" i="2"/>
  <c r="P2124" i="2"/>
  <c r="P2139" i="2"/>
  <c r="P2153" i="2"/>
  <c r="P2166" i="2"/>
  <c r="P2179" i="2"/>
  <c r="P2192" i="2"/>
  <c r="P2205" i="2"/>
  <c r="P2218" i="2"/>
  <c r="P2231" i="2"/>
  <c r="Q146" i="2"/>
  <c r="Q14" i="2"/>
  <c r="Q1835" i="2"/>
  <c r="Q2242" i="2"/>
  <c r="Q2230" i="2"/>
  <c r="Q2218" i="2"/>
  <c r="Q2206" i="2"/>
  <c r="Q2194" i="2"/>
  <c r="Q2182" i="2"/>
  <c r="Q2170" i="2"/>
  <c r="Q2158" i="2"/>
  <c r="Q2146" i="2"/>
  <c r="Q2134" i="2"/>
  <c r="Q2122" i="2"/>
  <c r="Q2110" i="2"/>
  <c r="Q2098" i="2"/>
  <c r="Q2086" i="2"/>
  <c r="Q2074" i="2"/>
  <c r="Q2062" i="2"/>
  <c r="Q2050" i="2"/>
  <c r="Q2038" i="2"/>
  <c r="Q2026" i="2"/>
  <c r="Q2014" i="2"/>
  <c r="Q2002" i="2"/>
  <c r="Q1990" i="2"/>
  <c r="Q1978" i="2"/>
  <c r="Q1966" i="2"/>
  <c r="Q1954" i="2"/>
  <c r="Q1942" i="2"/>
  <c r="Q1930" i="2"/>
  <c r="Q1918" i="2"/>
  <c r="Q1906" i="2"/>
  <c r="Q1894" i="2"/>
  <c r="Q1882" i="2"/>
  <c r="Q1870" i="2"/>
  <c r="Q1858" i="2"/>
  <c r="Q1846" i="2"/>
  <c r="Q1834" i="2"/>
  <c r="Q1822" i="2"/>
  <c r="Q1810" i="2"/>
  <c r="Q1798" i="2"/>
  <c r="Q1786" i="2"/>
  <c r="Q1774" i="2"/>
  <c r="Q1762" i="2"/>
  <c r="Q1750" i="2"/>
  <c r="Q1738" i="2"/>
  <c r="Q1726" i="2"/>
  <c r="Q1714" i="2"/>
  <c r="Q1702" i="2"/>
  <c r="Q1690" i="2"/>
  <c r="Q1678" i="2"/>
  <c r="Q1666" i="2"/>
  <c r="Q1654" i="2"/>
  <c r="Q1642" i="2"/>
  <c r="Q1366" i="2"/>
  <c r="Q814" i="2"/>
  <c r="Q478" i="2"/>
  <c r="Q250" i="2"/>
  <c r="Q130" i="2"/>
  <c r="P1735" i="2"/>
  <c r="P1723" i="2"/>
  <c r="P1711" i="2"/>
  <c r="P1699" i="2"/>
  <c r="P1687" i="2"/>
  <c r="P1675" i="2"/>
  <c r="P1663" i="2"/>
  <c r="P1650" i="2"/>
  <c r="P1637" i="2"/>
  <c r="P1624" i="2"/>
  <c r="P1611" i="2"/>
  <c r="P1598" i="2"/>
  <c r="P1585" i="2"/>
  <c r="P1572" i="2"/>
  <c r="P1559" i="2"/>
  <c r="P1546" i="2"/>
  <c r="P1533" i="2"/>
  <c r="P1519" i="2"/>
  <c r="P1506" i="2"/>
  <c r="P1493" i="2"/>
  <c r="P1480" i="2"/>
  <c r="P1467" i="2"/>
  <c r="P1452" i="2"/>
  <c r="P1434" i="2"/>
  <c r="P1419" i="2"/>
  <c r="P1404" i="2"/>
  <c r="P1386" i="2"/>
  <c r="P1371" i="2"/>
  <c r="P1356" i="2"/>
  <c r="P1338" i="2"/>
  <c r="P1323" i="2"/>
  <c r="P1308" i="2"/>
  <c r="P1290" i="2"/>
  <c r="P1275" i="2"/>
  <c r="P1260" i="2"/>
  <c r="P1242" i="2"/>
  <c r="P1227" i="2"/>
  <c r="P1210" i="2"/>
  <c r="P1188" i="2"/>
  <c r="P1171" i="2"/>
  <c r="P1152" i="2"/>
  <c r="P1130" i="2"/>
  <c r="P1113" i="2"/>
  <c r="P1094" i="2"/>
  <c r="P1070" i="2"/>
  <c r="P1051" i="2"/>
  <c r="P1029" i="2"/>
  <c r="P1002" i="2"/>
  <c r="P979" i="2"/>
  <c r="P960" i="2"/>
  <c r="P934" i="2"/>
  <c r="P911" i="2"/>
  <c r="P888" i="2"/>
  <c r="P862" i="2"/>
  <c r="P842" i="2"/>
  <c r="P819" i="2"/>
  <c r="P791" i="2"/>
  <c r="P766" i="2"/>
  <c r="P744" i="2"/>
  <c r="P714" i="2"/>
  <c r="P689" i="2"/>
  <c r="P664" i="2"/>
  <c r="P636" i="2"/>
  <c r="P614" i="2"/>
  <c r="P589" i="2"/>
  <c r="P561" i="2"/>
  <c r="P534" i="2"/>
  <c r="P512" i="2"/>
  <c r="P479" i="2"/>
  <c r="P452" i="2"/>
  <c r="P425" i="2"/>
  <c r="P394" i="2"/>
  <c r="P370" i="2"/>
  <c r="P343" i="2"/>
  <c r="P310" i="2"/>
  <c r="P283" i="2"/>
  <c r="P259" i="2"/>
  <c r="P228" i="2"/>
  <c r="P199" i="2"/>
  <c r="P168" i="2"/>
  <c r="P132" i="2"/>
  <c r="P108" i="2"/>
  <c r="P79" i="2"/>
  <c r="P40" i="2"/>
  <c r="P6" i="2"/>
  <c r="P1337" i="2"/>
  <c r="P1322" i="2"/>
  <c r="P1307" i="2"/>
  <c r="P1289" i="2"/>
  <c r="P1274" i="2"/>
  <c r="P1259" i="2"/>
  <c r="P1241" i="2"/>
  <c r="P1226" i="2"/>
  <c r="P1209" i="2"/>
  <c r="P1187" i="2"/>
  <c r="P1169" i="2"/>
  <c r="P1151" i="2"/>
  <c r="P1129" i="2"/>
  <c r="P1112" i="2"/>
  <c r="P1093" i="2"/>
  <c r="P1069" i="2"/>
  <c r="P1050" i="2"/>
  <c r="P1027" i="2"/>
  <c r="P1001" i="2"/>
  <c r="P978" i="2"/>
  <c r="P959" i="2"/>
  <c r="P933" i="2"/>
  <c r="P910" i="2"/>
  <c r="P887" i="2"/>
  <c r="P861" i="2"/>
  <c r="P841" i="2"/>
  <c r="P818" i="2"/>
  <c r="P790" i="2"/>
  <c r="P765" i="2"/>
  <c r="P743" i="2"/>
  <c r="P713" i="2"/>
  <c r="P688" i="2"/>
  <c r="P663" i="2"/>
  <c r="P635" i="2"/>
  <c r="P613" i="2"/>
  <c r="P588" i="2"/>
  <c r="P558" i="2"/>
  <c r="P533" i="2"/>
  <c r="P511" i="2"/>
  <c r="P478" i="2"/>
  <c r="P451" i="2"/>
  <c r="P424" i="2"/>
  <c r="P393" i="2"/>
  <c r="P369" i="2"/>
  <c r="P342" i="2"/>
  <c r="P309" i="2"/>
  <c r="P282" i="2"/>
  <c r="P258" i="2"/>
  <c r="P227" i="2"/>
  <c r="P198" i="2"/>
  <c r="P167" i="2"/>
  <c r="P131" i="2"/>
  <c r="P107" i="2"/>
  <c r="P76" i="2"/>
  <c r="P36" i="2"/>
  <c r="P5" i="2"/>
  <c r="P1697" i="2"/>
  <c r="P1685" i="2"/>
  <c r="P1673" i="2"/>
  <c r="P1661" i="2"/>
  <c r="P1648" i="2"/>
  <c r="P1635" i="2"/>
  <c r="P1622" i="2"/>
  <c r="P1609" i="2"/>
  <c r="P1596" i="2"/>
  <c r="P1583" i="2"/>
  <c r="P1570" i="2"/>
  <c r="P1557" i="2"/>
  <c r="P1543" i="2"/>
  <c r="P1530" i="2"/>
  <c r="P1517" i="2"/>
  <c r="P1504" i="2"/>
  <c r="P1491" i="2"/>
  <c r="P1478" i="2"/>
  <c r="P1465" i="2"/>
  <c r="P1450" i="2"/>
  <c r="P1432" i="2"/>
  <c r="P1417" i="2"/>
  <c r="P1402" i="2"/>
  <c r="P1384" i="2"/>
  <c r="P1369" i="2"/>
  <c r="P1354" i="2"/>
  <c r="P1336" i="2"/>
  <c r="P1321" i="2"/>
  <c r="P1306" i="2"/>
  <c r="P1288" i="2"/>
  <c r="P1273" i="2"/>
  <c r="P1258" i="2"/>
  <c r="P1240" i="2"/>
  <c r="P1225" i="2"/>
  <c r="P1208" i="2"/>
  <c r="P1186" i="2"/>
  <c r="P1167" i="2"/>
  <c r="P1150" i="2"/>
  <c r="P1128" i="2"/>
  <c r="P1111" i="2"/>
  <c r="P1092" i="2"/>
  <c r="P1068" i="2"/>
  <c r="P1046" i="2"/>
  <c r="P1026" i="2"/>
  <c r="P1000" i="2"/>
  <c r="P977" i="2"/>
  <c r="P954" i="2"/>
  <c r="P928" i="2"/>
  <c r="P909" i="2"/>
  <c r="P886" i="2"/>
  <c r="P859" i="2"/>
  <c r="P837" i="2"/>
  <c r="P817" i="2"/>
  <c r="P789" i="2"/>
  <c r="P762" i="2"/>
  <c r="P737" i="2"/>
  <c r="P709" i="2"/>
  <c r="P687" i="2"/>
  <c r="P662" i="2"/>
  <c r="P634" i="2"/>
  <c r="P609" i="2"/>
  <c r="P587" i="2"/>
  <c r="P557" i="2"/>
  <c r="P532" i="2"/>
  <c r="P504" i="2"/>
  <c r="P474" i="2"/>
  <c r="P450" i="2"/>
  <c r="P422" i="2"/>
  <c r="P390" i="2"/>
  <c r="P362" i="2"/>
  <c r="P341" i="2"/>
  <c r="P308" i="2"/>
  <c r="P281" i="2"/>
  <c r="P253" i="2"/>
  <c r="P223" i="2"/>
  <c r="P197" i="2"/>
  <c r="P166" i="2"/>
  <c r="P130" i="2"/>
  <c r="P101" i="2"/>
  <c r="P72" i="2"/>
  <c r="P35" i="2"/>
  <c r="P4" i="2"/>
  <c r="Q2226" i="2"/>
  <c r="Q2190" i="2"/>
  <c r="Q2154" i="2"/>
  <c r="Q2118" i="2"/>
  <c r="Q2094" i="2"/>
  <c r="Q2058" i="2"/>
  <c r="Q2022" i="2"/>
  <c r="Q1986" i="2"/>
  <c r="Q1950" i="2"/>
  <c r="Q1926" i="2"/>
  <c r="Q1890" i="2"/>
  <c r="Q1866" i="2"/>
  <c r="Q1830" i="2"/>
  <c r="Q1806" i="2"/>
  <c r="Q1770" i="2"/>
  <c r="Q1734" i="2"/>
  <c r="Q1710" i="2"/>
  <c r="Q1698" i="2"/>
  <c r="Q1674" i="2"/>
  <c r="Q1638" i="2"/>
  <c r="Q1602" i="2"/>
  <c r="Q1578" i="2"/>
  <c r="Q1506" i="2"/>
  <c r="Q1434" i="2"/>
  <c r="Q1410" i="2"/>
  <c r="Q1038" i="2"/>
  <c r="Q1002" i="2"/>
  <c r="Q966" i="2"/>
  <c r="Q930" i="2"/>
  <c r="Q858" i="2"/>
  <c r="Q822" i="2"/>
  <c r="Q798" i="2"/>
  <c r="Q738" i="2"/>
  <c r="Q666" i="2"/>
  <c r="Q582" i="2"/>
  <c r="Q498" i="2"/>
  <c r="Q438" i="2"/>
  <c r="Q354" i="2"/>
  <c r="Q222" i="2"/>
  <c r="Q2225" i="2"/>
  <c r="Q2213" i="2"/>
  <c r="Q2141" i="2"/>
  <c r="Q125" i="2"/>
  <c r="Q2238" i="2"/>
  <c r="Q2202" i="2"/>
  <c r="Q2178" i="2"/>
  <c r="Q2142" i="2"/>
  <c r="Q2106" i="2"/>
  <c r="Q2070" i="2"/>
  <c r="Q2046" i="2"/>
  <c r="Q2010" i="2"/>
  <c r="Q1974" i="2"/>
  <c r="Q1962" i="2"/>
  <c r="Q1914" i="2"/>
  <c r="Q1878" i="2"/>
  <c r="Q1854" i="2"/>
  <c r="Q1818" i="2"/>
  <c r="Q1794" i="2"/>
  <c r="Q1782" i="2"/>
  <c r="Q1746" i="2"/>
  <c r="Q1722" i="2"/>
  <c r="Q1686" i="2"/>
  <c r="Q1650" i="2"/>
  <c r="Q1626" i="2"/>
  <c r="Q1590" i="2"/>
  <c r="Q1554" i="2"/>
  <c r="Q1518" i="2"/>
  <c r="Q1482" i="2"/>
  <c r="Q1446" i="2"/>
  <c r="Q1422" i="2"/>
  <c r="Q1086" i="2"/>
  <c r="Q1026" i="2"/>
  <c r="Q954" i="2"/>
  <c r="Q870" i="2"/>
  <c r="Q774" i="2"/>
  <c r="Q714" i="2"/>
  <c r="Q594" i="2"/>
  <c r="Q474" i="2"/>
  <c r="Q2201" i="2"/>
  <c r="Q2129" i="2"/>
  <c r="Q65" i="2"/>
  <c r="Q1662" i="2"/>
  <c r="Q1614" i="2"/>
  <c r="Q1566" i="2"/>
  <c r="Q1494" i="2"/>
  <c r="Q1386" i="2"/>
  <c r="Q570" i="2"/>
  <c r="Q510" i="2"/>
  <c r="Q450" i="2"/>
  <c r="Q366" i="2"/>
  <c r="Q294" i="2"/>
  <c r="Q2153" i="2"/>
  <c r="Q2214" i="2"/>
  <c r="Q2166" i="2"/>
  <c r="Q2130" i="2"/>
  <c r="Q2082" i="2"/>
  <c r="Q2034" i="2"/>
  <c r="Q1998" i="2"/>
  <c r="Q1938" i="2"/>
  <c r="Q1902" i="2"/>
  <c r="Q1842" i="2"/>
  <c r="Q1758" i="2"/>
  <c r="Q1062" i="2"/>
  <c r="Q942" i="2"/>
  <c r="Q786" i="2"/>
  <c r="Q546" i="2"/>
  <c r="Q330" i="2"/>
  <c r="Q210" i="2"/>
  <c r="Q2189" i="2"/>
  <c r="Q2117" i="2"/>
  <c r="Q185" i="2"/>
  <c r="Q101" i="2"/>
  <c r="Q1959" i="2"/>
  <c r="Q1923" i="2"/>
  <c r="Q1911" i="2"/>
  <c r="Q1899" i="2"/>
  <c r="Q1887" i="2"/>
  <c r="Q1851" i="2"/>
  <c r="Q1839" i="2"/>
  <c r="Q1827" i="2"/>
  <c r="Q1815" i="2"/>
  <c r="Q1767" i="2"/>
  <c r="Q1755" i="2"/>
  <c r="Q1743" i="2"/>
  <c r="Q1707" i="2"/>
  <c r="Q1695" i="2"/>
  <c r="Q1683" i="2"/>
  <c r="Q1671" i="2"/>
  <c r="Q1635" i="2"/>
  <c r="Q1623" i="2"/>
  <c r="Q1611" i="2"/>
  <c r="Q1599" i="2"/>
  <c r="Q1563" i="2"/>
  <c r="Q1551" i="2"/>
  <c r="Q1527" i="2"/>
  <c r="Q1491" i="2"/>
  <c r="Q1479" i="2"/>
  <c r="Q1467" i="2"/>
  <c r="Q1455" i="2"/>
  <c r="Q1419" i="2"/>
  <c r="Q1407" i="2"/>
  <c r="Q1395" i="2"/>
  <c r="Q1383" i="2"/>
  <c r="Q1371" i="2"/>
  <c r="Q1359" i="2"/>
  <c r="Q1347" i="2"/>
  <c r="Q1335" i="2"/>
  <c r="Q1323" i="2"/>
  <c r="Q1311" i="2"/>
  <c r="Q1299" i="2"/>
  <c r="Q1287" i="2"/>
  <c r="Q1251" i="2"/>
  <c r="Q1239" i="2"/>
  <c r="Q1203" i="2"/>
  <c r="Q1191" i="2"/>
  <c r="Q1167" i="2"/>
  <c r="Q1143" i="2"/>
  <c r="Q1119" i="2"/>
  <c r="Q1107" i="2"/>
  <c r="Q1083" i="2"/>
  <c r="Q1047" i="2"/>
  <c r="Q1023" i="2"/>
  <c r="Q1011" i="2"/>
  <c r="Q987" i="2"/>
  <c r="Q927" i="2"/>
  <c r="Q903" i="2"/>
  <c r="Q879" i="2"/>
  <c r="Q843" i="2"/>
  <c r="Q807" i="2"/>
  <c r="Q783" i="2"/>
  <c r="Q771" i="2"/>
  <c r="Q735" i="2"/>
  <c r="Q723" i="2"/>
  <c r="Q711" i="2"/>
  <c r="Q699" i="2"/>
  <c r="Q687" i="2"/>
  <c r="Q615" i="2"/>
  <c r="Q579" i="2"/>
  <c r="Q507" i="2"/>
  <c r="Q495" i="2"/>
  <c r="Q483" i="2"/>
  <c r="Q471" i="2"/>
  <c r="Q423" i="2"/>
  <c r="Q411" i="2"/>
  <c r="Q375" i="2"/>
  <c r="Q327" i="2"/>
  <c r="Q303" i="2"/>
  <c r="Q267" i="2"/>
  <c r="Q231" i="2"/>
  <c r="Q207" i="2"/>
  <c r="Q183" i="2"/>
  <c r="Q135" i="2"/>
  <c r="Q123" i="2"/>
  <c r="Q87" i="2"/>
  <c r="Q39" i="2"/>
  <c r="Q27" i="2"/>
  <c r="Q15" i="2"/>
  <c r="Q286" i="2"/>
  <c r="Q238" i="2"/>
  <c r="Q541" i="2"/>
  <c r="Q561" i="2"/>
  <c r="Q1008" i="2"/>
  <c r="Q84" i="2"/>
  <c r="Q1475" i="2"/>
  <c r="Q839" i="2"/>
  <c r="Q635" i="2"/>
  <c r="Q551" i="2"/>
  <c r="P1461" i="2"/>
  <c r="P1449" i="2"/>
  <c r="P1437" i="2"/>
  <c r="P1425" i="2"/>
  <c r="P1413" i="2"/>
  <c r="P1401" i="2"/>
  <c r="P1389" i="2"/>
  <c r="P1377" i="2"/>
  <c r="P1365" i="2"/>
  <c r="P1353" i="2"/>
  <c r="P1341" i="2"/>
  <c r="P1329" i="2"/>
  <c r="P1317" i="2"/>
  <c r="P1305" i="2"/>
  <c r="P1293" i="2"/>
  <c r="P1281" i="2"/>
  <c r="P1269" i="2"/>
  <c r="P1257" i="2"/>
  <c r="P1245" i="2"/>
  <c r="P1233" i="2"/>
  <c r="P1221" i="2"/>
  <c r="P1207" i="2"/>
  <c r="P1191" i="2"/>
  <c r="P1177" i="2"/>
  <c r="P1163" i="2"/>
  <c r="P1149" i="2"/>
  <c r="P1135" i="2"/>
  <c r="P1119" i="2"/>
  <c r="P1105" i="2"/>
  <c r="P1091" i="2"/>
  <c r="P1076" i="2"/>
  <c r="P1058" i="2"/>
  <c r="P1042" i="2"/>
  <c r="P1025" i="2"/>
  <c r="P1006" i="2"/>
  <c r="P989" i="2"/>
  <c r="P973" i="2"/>
  <c r="P953" i="2"/>
  <c r="P937" i="2"/>
  <c r="P921" i="2"/>
  <c r="P901" i="2"/>
  <c r="P885" i="2"/>
  <c r="P868" i="2"/>
  <c r="P849" i="2"/>
  <c r="P832" i="2"/>
  <c r="P816" i="2"/>
  <c r="P794" i="2"/>
  <c r="P777" i="2"/>
  <c r="P758" i="2"/>
  <c r="P736" i="2"/>
  <c r="P719" i="2"/>
  <c r="P700" i="2"/>
  <c r="P678" i="2"/>
  <c r="P661" i="2"/>
  <c r="P642" i="2"/>
  <c r="P622" i="2"/>
  <c r="P603" i="2"/>
  <c r="P586" i="2"/>
  <c r="P564" i="2"/>
  <c r="P545" i="2"/>
  <c r="P527" i="2"/>
  <c r="P503" i="2"/>
  <c r="P485" i="2"/>
  <c r="P464" i="2"/>
  <c r="P440" i="2"/>
  <c r="P421" i="2"/>
  <c r="P401" i="2"/>
  <c r="P377" i="2"/>
  <c r="P358" i="2"/>
  <c r="P337" i="2"/>
  <c r="P316" i="2"/>
  <c r="P295" i="2"/>
  <c r="P276" i="2"/>
  <c r="P252" i="2"/>
  <c r="P232" i="2"/>
  <c r="P212" i="2"/>
  <c r="P186" i="2"/>
  <c r="P165" i="2"/>
  <c r="P142" i="2"/>
  <c r="P116" i="2"/>
  <c r="P95" i="2"/>
  <c r="P71" i="2"/>
  <c r="P43" i="2"/>
  <c r="P20" i="2"/>
  <c r="P1652" i="2"/>
  <c r="P1640" i="2"/>
  <c r="P1628" i="2"/>
  <c r="P1616" i="2"/>
  <c r="P1604" i="2"/>
  <c r="P1592" i="2"/>
  <c r="P1580" i="2"/>
  <c r="P1568" i="2"/>
  <c r="P1556" i="2"/>
  <c r="P1544" i="2"/>
  <c r="P1532" i="2"/>
  <c r="P1520" i="2"/>
  <c r="P1508" i="2"/>
  <c r="P1496" i="2"/>
  <c r="P1484" i="2"/>
  <c r="P1472" i="2"/>
  <c r="P1460" i="2"/>
  <c r="P1448" i="2"/>
  <c r="P1436" i="2"/>
  <c r="P1424" i="2"/>
  <c r="P1412" i="2"/>
  <c r="P1400" i="2"/>
  <c r="P1388" i="2"/>
  <c r="P1376" i="2"/>
  <c r="P1364" i="2"/>
  <c r="P1352" i="2"/>
  <c r="P1340" i="2"/>
  <c r="P1328" i="2"/>
  <c r="P1316" i="2"/>
  <c r="P1304" i="2"/>
  <c r="P1292" i="2"/>
  <c r="P1280" i="2"/>
  <c r="P1268" i="2"/>
  <c r="P1256" i="2"/>
  <c r="P1244" i="2"/>
  <c r="P1232" i="2"/>
  <c r="P1220" i="2"/>
  <c r="P1205" i="2"/>
  <c r="P1190" i="2"/>
  <c r="P1176" i="2"/>
  <c r="P1162" i="2"/>
  <c r="P1148" i="2"/>
  <c r="P1133" i="2"/>
  <c r="P1118" i="2"/>
  <c r="P1104" i="2"/>
  <c r="P1090" i="2"/>
  <c r="P1075" i="2"/>
  <c r="P1057" i="2"/>
  <c r="P1041" i="2"/>
  <c r="P1024" i="2"/>
  <c r="P1005" i="2"/>
  <c r="P988" i="2"/>
  <c r="P972" i="2"/>
  <c r="P952" i="2"/>
  <c r="P936" i="2"/>
  <c r="P919" i="2"/>
  <c r="P900" i="2"/>
  <c r="P883" i="2"/>
  <c r="P867" i="2"/>
  <c r="P847" i="2"/>
  <c r="P831" i="2"/>
  <c r="P815" i="2"/>
  <c r="P793" i="2"/>
  <c r="P774" i="2"/>
  <c r="P757" i="2"/>
  <c r="P735" i="2"/>
  <c r="P718" i="2"/>
  <c r="P699" i="2"/>
  <c r="P677" i="2"/>
  <c r="P660" i="2"/>
  <c r="P641" i="2"/>
  <c r="P621" i="2"/>
  <c r="P602" i="2"/>
  <c r="P585" i="2"/>
  <c r="P563" i="2"/>
  <c r="P544" i="2"/>
  <c r="P526" i="2"/>
  <c r="P502" i="2"/>
  <c r="P481" i="2"/>
  <c r="P463" i="2"/>
  <c r="P439" i="2"/>
  <c r="P420" i="2"/>
  <c r="P400" i="2"/>
  <c r="P376" i="2"/>
  <c r="P357" i="2"/>
  <c r="P336" i="2"/>
  <c r="P314" i="2"/>
  <c r="P294" i="2"/>
  <c r="P275" i="2"/>
  <c r="P251" i="2"/>
  <c r="P230" i="2"/>
  <c r="P211" i="2"/>
  <c r="P185" i="2"/>
  <c r="P162" i="2"/>
  <c r="P141" i="2"/>
  <c r="P115" i="2"/>
  <c r="P94" i="2"/>
  <c r="P70" i="2"/>
  <c r="P42" i="2"/>
  <c r="P19" i="2"/>
  <c r="P1459" i="2"/>
  <c r="P1447" i="2"/>
  <c r="P1435" i="2"/>
  <c r="P1423" i="2"/>
  <c r="P1411" i="2"/>
  <c r="P1399" i="2"/>
  <c r="P1387" i="2"/>
  <c r="P1375" i="2"/>
  <c r="P1363" i="2"/>
  <c r="P1351" i="2"/>
  <c r="P1339" i="2"/>
  <c r="P1327" i="2"/>
  <c r="P1315" i="2"/>
  <c r="P1303" i="2"/>
  <c r="P1291" i="2"/>
  <c r="P1279" i="2"/>
  <c r="P1267" i="2"/>
  <c r="P1255" i="2"/>
  <c r="P1243" i="2"/>
  <c r="P1231" i="2"/>
  <c r="P1219" i="2"/>
  <c r="P1203" i="2"/>
  <c r="P1189" i="2"/>
  <c r="P1175" i="2"/>
  <c r="P1161" i="2"/>
  <c r="P1147" i="2"/>
  <c r="P1131" i="2"/>
  <c r="P1117" i="2"/>
  <c r="P1103" i="2"/>
  <c r="P1089" i="2"/>
  <c r="P1071" i="2"/>
  <c r="P1056" i="2"/>
  <c r="P1039" i="2"/>
  <c r="P1020" i="2"/>
  <c r="P1003" i="2"/>
  <c r="P987" i="2"/>
  <c r="P967" i="2"/>
  <c r="P951" i="2"/>
  <c r="P935" i="2"/>
  <c r="P915" i="2"/>
  <c r="P899" i="2"/>
  <c r="P882" i="2"/>
  <c r="P863" i="2"/>
  <c r="P846" i="2"/>
  <c r="P830" i="2"/>
  <c r="P809" i="2"/>
  <c r="P792" i="2"/>
  <c r="P773" i="2"/>
  <c r="P753" i="2"/>
  <c r="P734" i="2"/>
  <c r="P717" i="2"/>
  <c r="P695" i="2"/>
  <c r="P676" i="2"/>
  <c r="P659" i="2"/>
  <c r="P637" i="2"/>
  <c r="P618" i="2"/>
  <c r="P601" i="2"/>
  <c r="P579" i="2"/>
  <c r="P562" i="2"/>
  <c r="P543" i="2"/>
  <c r="P520" i="2"/>
  <c r="P501" i="2"/>
  <c r="P480" i="2"/>
  <c r="P458" i="2"/>
  <c r="P438" i="2"/>
  <c r="P419" i="2"/>
  <c r="P395" i="2"/>
  <c r="P374" i="2"/>
  <c r="P356" i="2"/>
  <c r="P332" i="2"/>
  <c r="P311" i="2"/>
  <c r="P293" i="2"/>
  <c r="P269" i="2"/>
  <c r="P250" i="2"/>
  <c r="P229" i="2"/>
  <c r="P203" i="2"/>
  <c r="P184" i="2"/>
  <c r="P161" i="2"/>
  <c r="P137" i="2"/>
  <c r="P114" i="2"/>
  <c r="P93" i="2"/>
  <c r="P66" i="2"/>
  <c r="P41" i="2"/>
  <c r="O3" i="2"/>
  <c r="P3" i="2" s="1"/>
  <c r="P8" i="2"/>
  <c r="P28" i="2"/>
  <c r="P47" i="2"/>
  <c r="P67" i="2"/>
  <c r="P84" i="2"/>
  <c r="P102" i="2"/>
  <c r="P118" i="2"/>
  <c r="P138" i="2"/>
  <c r="P154" i="2"/>
  <c r="P172" i="2"/>
  <c r="P188" i="2"/>
  <c r="P204" i="2"/>
  <c r="P224" i="2"/>
  <c r="P239" i="2"/>
  <c r="P254" i="2"/>
  <c r="P270" i="2"/>
  <c r="P285" i="2"/>
  <c r="P302" i="2"/>
  <c r="P318" i="2"/>
  <c r="P333" i="2"/>
  <c r="P348" i="2"/>
  <c r="P364" i="2"/>
  <c r="P381" i="2"/>
  <c r="P396" i="2"/>
  <c r="P412" i="2"/>
  <c r="P427" i="2"/>
  <c r="P442" i="2"/>
  <c r="P460" i="2"/>
  <c r="P475" i="2"/>
  <c r="P490" i="2"/>
  <c r="P505" i="2"/>
  <c r="P521" i="2"/>
  <c r="P538" i="2"/>
  <c r="P552" i="2"/>
  <c r="P566" i="2"/>
  <c r="P580" i="2"/>
  <c r="P594" i="2"/>
  <c r="P610" i="2"/>
  <c r="P624" i="2"/>
  <c r="P638" i="2"/>
  <c r="P652" i="2"/>
  <c r="P666" i="2"/>
  <c r="P682" i="2"/>
  <c r="P696" i="2"/>
  <c r="P710" i="2"/>
  <c r="P724" i="2"/>
  <c r="P738" i="2"/>
  <c r="P754" i="2"/>
  <c r="P768" i="2"/>
  <c r="P782" i="2"/>
  <c r="P796" i="2"/>
  <c r="P810" i="2"/>
  <c r="P825" i="2"/>
  <c r="P838" i="2"/>
  <c r="P851" i="2"/>
  <c r="P864" i="2"/>
  <c r="P877" i="2"/>
  <c r="P890" i="2"/>
  <c r="P903" i="2"/>
  <c r="P916" i="2"/>
  <c r="P929" i="2"/>
  <c r="P942" i="2"/>
  <c r="P955" i="2"/>
  <c r="P969" i="2"/>
  <c r="P982" i="2"/>
  <c r="P995" i="2"/>
  <c r="P1008" i="2"/>
  <c r="P1021" i="2"/>
  <c r="P1034" i="2"/>
  <c r="P1047" i="2"/>
  <c r="P1060" i="2"/>
  <c r="P1072" i="2"/>
  <c r="P1084" i="2"/>
  <c r="P1096" i="2"/>
  <c r="P1108" i="2"/>
  <c r="P1120" i="2"/>
  <c r="P1132" i="2"/>
  <c r="P1144" i="2"/>
  <c r="P1156" i="2"/>
  <c r="P1168" i="2"/>
  <c r="P1180" i="2"/>
  <c r="P1192" i="2"/>
  <c r="P1204" i="2"/>
  <c r="P1216" i="2"/>
  <c r="P9" i="2"/>
  <c r="P31" i="2"/>
  <c r="P48" i="2"/>
  <c r="P68" i="2"/>
  <c r="P86" i="2"/>
  <c r="P103" i="2"/>
  <c r="P122" i="2"/>
  <c r="P139" i="2"/>
  <c r="P155" i="2"/>
  <c r="P173" i="2"/>
  <c r="P189" i="2"/>
  <c r="P209" i="2"/>
  <c r="P225" i="2"/>
  <c r="P240" i="2"/>
  <c r="P256" i="2"/>
  <c r="P271" i="2"/>
  <c r="P288" i="2"/>
  <c r="P304" i="2"/>
  <c r="P319" i="2"/>
  <c r="P334" i="2"/>
  <c r="P349" i="2"/>
  <c r="P367" i="2"/>
  <c r="P382" i="2"/>
  <c r="P397" i="2"/>
  <c r="P413" i="2"/>
  <c r="P428" i="2"/>
  <c r="P445" i="2"/>
  <c r="P461" i="2"/>
  <c r="P476" i="2"/>
  <c r="P491" i="2"/>
  <c r="P506" i="2"/>
  <c r="P524" i="2"/>
  <c r="P539" i="2"/>
  <c r="P553" i="2"/>
  <c r="P567" i="2"/>
  <c r="P581" i="2"/>
  <c r="P597" i="2"/>
  <c r="P611" i="2"/>
  <c r="P625" i="2"/>
  <c r="P639" i="2"/>
  <c r="P653" i="2"/>
  <c r="P669" i="2"/>
  <c r="P683" i="2"/>
  <c r="P697" i="2"/>
  <c r="P711" i="2"/>
  <c r="P725" i="2"/>
  <c r="P741" i="2"/>
  <c r="P755" i="2"/>
  <c r="P769" i="2"/>
  <c r="P783" i="2"/>
  <c r="P797" i="2"/>
  <c r="P813" i="2"/>
  <c r="P826" i="2"/>
  <c r="P839" i="2"/>
  <c r="P852" i="2"/>
  <c r="P865" i="2"/>
  <c r="P878" i="2"/>
  <c r="P891" i="2"/>
  <c r="P904" i="2"/>
  <c r="P917" i="2"/>
  <c r="P930" i="2"/>
  <c r="P943" i="2"/>
  <c r="P957" i="2"/>
  <c r="P970" i="2"/>
  <c r="P983" i="2"/>
  <c r="P996" i="2"/>
  <c r="P1009" i="2"/>
  <c r="P1022" i="2"/>
  <c r="P1035" i="2"/>
  <c r="P1048" i="2"/>
  <c r="P1061" i="2"/>
  <c r="P1073" i="2"/>
  <c r="P1085" i="2"/>
  <c r="P10" i="2"/>
  <c r="P32" i="2"/>
  <c r="P52" i="2"/>
  <c r="P69" i="2"/>
  <c r="P88" i="2"/>
  <c r="P104" i="2"/>
  <c r="P124" i="2"/>
  <c r="P140" i="2"/>
  <c r="P156" i="2"/>
  <c r="P174" i="2"/>
  <c r="P190" i="2"/>
  <c r="P210" i="2"/>
  <c r="P226" i="2"/>
  <c r="P241" i="2"/>
  <c r="P257" i="2"/>
  <c r="P272" i="2"/>
  <c r="P289" i="2"/>
  <c r="P305" i="2"/>
  <c r="P320" i="2"/>
  <c r="P335" i="2"/>
  <c r="P350" i="2"/>
  <c r="P368" i="2"/>
  <c r="P383" i="2"/>
  <c r="P398" i="2"/>
  <c r="P414" i="2"/>
  <c r="P429" i="2"/>
  <c r="P446" i="2"/>
  <c r="P462" i="2"/>
  <c r="P477" i="2"/>
  <c r="P492" i="2"/>
  <c r="P508" i="2"/>
  <c r="P525" i="2"/>
  <c r="P540" i="2"/>
  <c r="P554" i="2"/>
  <c r="P568" i="2"/>
  <c r="P582" i="2"/>
  <c r="P598" i="2"/>
  <c r="P612" i="2"/>
  <c r="P626" i="2"/>
  <c r="P640" i="2"/>
  <c r="P654" i="2"/>
  <c r="P670" i="2"/>
  <c r="P684" i="2"/>
  <c r="P698" i="2"/>
  <c r="P712" i="2"/>
  <c r="P726" i="2"/>
  <c r="P742" i="2"/>
  <c r="P756" i="2"/>
  <c r="P770" i="2"/>
  <c r="P784" i="2"/>
  <c r="P798" i="2"/>
  <c r="P814" i="2"/>
  <c r="P827" i="2"/>
  <c r="P840" i="2"/>
  <c r="P853" i="2"/>
  <c r="P866" i="2"/>
  <c r="P879" i="2"/>
  <c r="P892" i="2"/>
  <c r="P905" i="2"/>
  <c r="P918" i="2"/>
  <c r="P931" i="2"/>
  <c r="P945" i="2"/>
  <c r="P958" i="2"/>
  <c r="P971" i="2"/>
  <c r="P984" i="2"/>
  <c r="P997" i="2"/>
  <c r="P1010" i="2"/>
  <c r="P1023" i="2"/>
  <c r="P1036" i="2"/>
  <c r="P1049" i="2"/>
  <c r="P1062" i="2"/>
  <c r="P1074" i="2"/>
  <c r="P1086" i="2"/>
  <c r="P1098" i="2"/>
  <c r="P1110" i="2"/>
  <c r="P1122" i="2"/>
  <c r="P1134" i="2"/>
  <c r="P1146" i="2"/>
  <c r="P1158" i="2"/>
  <c r="P1170" i="2"/>
  <c r="P1182" i="2"/>
  <c r="P1194" i="2"/>
  <c r="P1206" i="2"/>
  <c r="P1218" i="2"/>
  <c r="Q2241" i="2"/>
  <c r="Q2229" i="2"/>
  <c r="Q2217" i="2"/>
  <c r="Q2169" i="2"/>
  <c r="Q2145" i="2"/>
  <c r="Q2097" i="2"/>
  <c r="Q2073" i="2"/>
  <c r="Q2001" i="2"/>
  <c r="Q1965" i="2"/>
  <c r="Q1953" i="2"/>
  <c r="Q1941" i="2"/>
  <c r="Q1929" i="2"/>
  <c r="Q1893" i="2"/>
  <c r="Q1881" i="2"/>
  <c r="Q1857" i="2"/>
  <c r="Q1821" i="2"/>
  <c r="Q1797" i="2"/>
  <c r="Q1749" i="2"/>
  <c r="Q1725" i="2"/>
  <c r="Q1677" i="2"/>
  <c r="Q1665" i="2"/>
  <c r="Q1653" i="2"/>
  <c r="Q1641" i="2"/>
  <c r="Q1593" i="2"/>
  <c r="Q1569" i="2"/>
  <c r="Q1497" i="2"/>
  <c r="Q1425" i="2"/>
  <c r="Q1389" i="2"/>
  <c r="Q1377" i="2"/>
  <c r="Q1317" i="2"/>
  <c r="Q1305" i="2"/>
  <c r="Q1293" i="2"/>
  <c r="Q1281" i="2"/>
  <c r="Q1257" i="2"/>
  <c r="Q1233" i="2"/>
  <c r="Q1221" i="2"/>
  <c r="Q1209" i="2"/>
  <c r="Q1173" i="2"/>
  <c r="Q1161" i="2"/>
  <c r="Q1125" i="2"/>
  <c r="Q1101" i="2"/>
  <c r="Q1029" i="2"/>
  <c r="Q981" i="2"/>
  <c r="Q969" i="2"/>
  <c r="Q945" i="2"/>
  <c r="Q909" i="2"/>
  <c r="Q861" i="2"/>
  <c r="Q801" i="2"/>
  <c r="Q717" i="2"/>
  <c r="Q681" i="2"/>
  <c r="Q669" i="2"/>
  <c r="Q657" i="2"/>
  <c r="Q645" i="2"/>
  <c r="Q633" i="2"/>
  <c r="Q621" i="2"/>
  <c r="Q609" i="2"/>
  <c r="Q597" i="2"/>
  <c r="Q585" i="2"/>
  <c r="Q573" i="2"/>
  <c r="Q549" i="2"/>
  <c r="Q537" i="2"/>
  <c r="Q525" i="2"/>
  <c r="Q513" i="2"/>
  <c r="Q501" i="2"/>
  <c r="Q489" i="2"/>
  <c r="Q477" i="2"/>
  <c r="Q465" i="2"/>
  <c r="Q453" i="2"/>
  <c r="Q441" i="2"/>
  <c r="Q429" i="2"/>
  <c r="Q417" i="2"/>
  <c r="Q405" i="2"/>
  <c r="Q393" i="2"/>
  <c r="Q381" i="2"/>
  <c r="Q369" i="2"/>
  <c r="Q357" i="2"/>
  <c r="Q345" i="2"/>
  <c r="Q333" i="2"/>
  <c r="Q321" i="2"/>
  <c r="Q309" i="2"/>
  <c r="Q297" i="2"/>
  <c r="Q285" i="2"/>
  <c r="Q273" i="2"/>
  <c r="Q261" i="2"/>
  <c r="Q249" i="2"/>
  <c r="Q237" i="2"/>
  <c r="Q225" i="2"/>
  <c r="Q213" i="2"/>
  <c r="Q201" i="2"/>
  <c r="Q189" i="2"/>
  <c r="Q177" i="2"/>
  <c r="Q165" i="2"/>
  <c r="Q153" i="2"/>
  <c r="Q141" i="2"/>
  <c r="Q129" i="2"/>
  <c r="Q117" i="2"/>
  <c r="Q105" i="2"/>
  <c r="Q93" i="2"/>
  <c r="Q81" i="2"/>
  <c r="Q69" i="2"/>
  <c r="Q57" i="2"/>
  <c r="Q45" i="2"/>
  <c r="Q33" i="2"/>
  <c r="Q21" i="2"/>
  <c r="Q9" i="2"/>
  <c r="Q2024" i="2"/>
  <c r="Q2012" i="2"/>
  <c r="Q2000" i="2"/>
  <c r="Q1988" i="2"/>
  <c r="Q1976" i="2"/>
  <c r="Q1964" i="2"/>
  <c r="Q1952" i="2"/>
  <c r="Q1940" i="2"/>
  <c r="Q1928" i="2"/>
  <c r="Q1916" i="2"/>
  <c r="Q1904" i="2"/>
  <c r="Q1892" i="2"/>
  <c r="Q1880" i="2"/>
  <c r="Q1868" i="2"/>
  <c r="Q1856" i="2"/>
  <c r="Q1844" i="2"/>
  <c r="Q1832" i="2"/>
  <c r="Q1820" i="2"/>
  <c r="Q1808" i="2"/>
  <c r="Q1796" i="2"/>
  <c r="Q1784" i="2"/>
  <c r="Q1772" i="2"/>
  <c r="Q1760" i="2"/>
  <c r="Q1748" i="2"/>
  <c r="Q1736" i="2"/>
  <c r="Q1724" i="2"/>
  <c r="Q1712" i="2"/>
  <c r="Q1700" i="2"/>
  <c r="Q1688" i="2"/>
  <c r="Q1676" i="2"/>
  <c r="Q1664" i="2"/>
  <c r="Q1652" i="2"/>
  <c r="Q1640" i="2"/>
  <c r="Q1628" i="2"/>
  <c r="Q1616" i="2"/>
  <c r="Q1604" i="2"/>
  <c r="Q1592" i="2"/>
  <c r="Q1580" i="2"/>
  <c r="Q1568" i="2"/>
  <c r="Q1556" i="2"/>
  <c r="Q1544" i="2"/>
  <c r="Q1532" i="2"/>
  <c r="Q1520" i="2"/>
  <c r="Q1508" i="2"/>
  <c r="Q1496" i="2"/>
  <c r="Q1484" i="2"/>
  <c r="Q1472" i="2"/>
  <c r="Q1460" i="2"/>
  <c r="Q1448" i="2"/>
  <c r="Q1436" i="2"/>
  <c r="Q1424" i="2"/>
  <c r="Q1412" i="2"/>
  <c r="Q1400" i="2"/>
  <c r="Q1388" i="2"/>
  <c r="Q1376" i="2"/>
  <c r="Q1364" i="2"/>
  <c r="Q1352" i="2"/>
  <c r="Q1340" i="2"/>
  <c r="Q1328" i="2"/>
  <c r="Q1316" i="2"/>
  <c r="Q1304" i="2"/>
  <c r="Q1292" i="2"/>
  <c r="Q1280" i="2"/>
  <c r="Q1268" i="2"/>
  <c r="Q1256" i="2"/>
  <c r="Q1244" i="2"/>
  <c r="Q1232" i="2"/>
  <c r="Q1220" i="2"/>
  <c r="Q1208" i="2"/>
  <c r="Q1196" i="2"/>
  <c r="Q1184" i="2"/>
  <c r="Q1172" i="2"/>
  <c r="Q1160" i="2"/>
  <c r="Q1148" i="2"/>
  <c r="Q1136" i="2"/>
  <c r="Q1124" i="2"/>
  <c r="Q1112" i="2"/>
  <c r="Q1100" i="2"/>
  <c r="Q1088" i="2"/>
  <c r="Q1076" i="2"/>
  <c r="Q1064" i="2"/>
  <c r="Q1052" i="2"/>
  <c r="Q1040" i="2"/>
  <c r="Q1028" i="2"/>
  <c r="Q1016" i="2"/>
  <c r="Q1004" i="2"/>
  <c r="Q992" i="2"/>
  <c r="Q980" i="2"/>
  <c r="Q968" i="2"/>
  <c r="Q956" i="2"/>
  <c r="Q944" i="2"/>
  <c r="Q932" i="2"/>
  <c r="Q920" i="2"/>
  <c r="Q908" i="2"/>
  <c r="Q896" i="2"/>
  <c r="Q884" i="2"/>
  <c r="Q872" i="2"/>
  <c r="Q860" i="2"/>
  <c r="Q848" i="2"/>
  <c r="Q836" i="2"/>
  <c r="Q824" i="2"/>
  <c r="Q812" i="2"/>
  <c r="Q800" i="2"/>
  <c r="Q788" i="2"/>
  <c r="Q776" i="2"/>
  <c r="Q764" i="2"/>
  <c r="Q752" i="2"/>
  <c r="Q740" i="2"/>
  <c r="Q728" i="2"/>
  <c r="Q716" i="2"/>
  <c r="Q704" i="2"/>
  <c r="Q692" i="2"/>
  <c r="Q680" i="2"/>
  <c r="Q668" i="2"/>
  <c r="Q656" i="2"/>
  <c r="Q644" i="2"/>
  <c r="Q632" i="2"/>
  <c r="Q620" i="2"/>
  <c r="Q608" i="2"/>
  <c r="Q596" i="2"/>
  <c r="Q584" i="2"/>
  <c r="Q572" i="2"/>
  <c r="Q560" i="2"/>
  <c r="Q548" i="2"/>
  <c r="Q536" i="2"/>
  <c r="Q524" i="2"/>
  <c r="Q512" i="2"/>
  <c r="Q500" i="2"/>
  <c r="Q488" i="2"/>
  <c r="Q476" i="2"/>
  <c r="Q464" i="2"/>
  <c r="Q452" i="2"/>
  <c r="Q440" i="2"/>
  <c r="Q428" i="2"/>
  <c r="Q416" i="2"/>
  <c r="Q404" i="2"/>
  <c r="Q392" i="2"/>
  <c r="Q380" i="2"/>
  <c r="Q368" i="2"/>
  <c r="Q356" i="2"/>
  <c r="Q344" i="2"/>
  <c r="Q332" i="2"/>
  <c r="Q320" i="2"/>
  <c r="Q308" i="2"/>
  <c r="Q296" i="2"/>
  <c r="Q284" i="2"/>
  <c r="Q272" i="2"/>
  <c r="Q260" i="2"/>
  <c r="Q248" i="2"/>
  <c r="Q236" i="2"/>
  <c r="Q224" i="2"/>
  <c r="Q212" i="2"/>
  <c r="Q200" i="2"/>
  <c r="Q188" i="2"/>
  <c r="Q176" i="2"/>
  <c r="Q164" i="2"/>
  <c r="Q152" i="2"/>
  <c r="Q140" i="2"/>
  <c r="Q128" i="2"/>
  <c r="Q116" i="2"/>
  <c r="Q104" i="2"/>
  <c r="Q92" i="2"/>
  <c r="Q80" i="2"/>
  <c r="Q68" i="2"/>
  <c r="Q56" i="2"/>
  <c r="Q44" i="2"/>
  <c r="Q32" i="2"/>
  <c r="Q20" i="2"/>
  <c r="Q8" i="2"/>
  <c r="Q2057" i="2"/>
  <c r="Q2045" i="2"/>
  <c r="Q2009" i="2"/>
  <c r="Q1997" i="2"/>
  <c r="Q1973" i="2"/>
  <c r="Q1925" i="2"/>
  <c r="Q1901" i="2"/>
  <c r="Q1853" i="2"/>
  <c r="Q1841" i="2"/>
  <c r="Q1793" i="2"/>
  <c r="Q1769" i="2"/>
  <c r="Q1721" i="2"/>
  <c r="Q1697" i="2"/>
  <c r="Q1637" i="2"/>
  <c r="Q1613" i="2"/>
  <c r="Q1541" i="2"/>
  <c r="Q1505" i="2"/>
  <c r="Q1481" i="2"/>
  <c r="Q1433" i="2"/>
  <c r="Q1397" i="2"/>
  <c r="Q1325" i="2"/>
  <c r="Q1265" i="2"/>
  <c r="Q1241" i="2"/>
  <c r="Q1217" i="2"/>
  <c r="Q1193" i="2"/>
  <c r="Q1133" i="2"/>
  <c r="Q1025" i="2"/>
  <c r="Q965" i="2"/>
  <c r="Q941" i="2"/>
  <c r="Q857" i="2"/>
  <c r="Q809" i="2"/>
  <c r="Q785" i="2"/>
  <c r="Q737" i="2"/>
  <c r="Q665" i="2"/>
  <c r="Q581" i="2"/>
  <c r="Q569" i="2"/>
  <c r="Q365" i="2"/>
  <c r="Q341" i="2"/>
  <c r="Q293" i="2"/>
  <c r="Q209" i="2"/>
  <c r="Q1333" i="2"/>
  <c r="Q637" i="2"/>
  <c r="Q373" i="2"/>
  <c r="Q2212" i="2"/>
  <c r="Q2188" i="2"/>
  <c r="Q2176" i="2"/>
  <c r="Q2164" i="2"/>
  <c r="Q2140" i="2"/>
  <c r="Q2128" i="2"/>
  <c r="Q2116" i="2"/>
  <c r="Q2104" i="2"/>
  <c r="Q2080" i="2"/>
  <c r="Q2056" i="2"/>
  <c r="Q2032" i="2"/>
  <c r="Q2020" i="2"/>
  <c r="Q1996" i="2"/>
  <c r="Q1972" i="2"/>
  <c r="Q1948" i="2"/>
  <c r="Q1924" i="2"/>
  <c r="Q1900" i="2"/>
  <c r="Q1864" i="2"/>
  <c r="Q1828" i="2"/>
  <c r="Q1804" i="2"/>
  <c r="Q1792" i="2"/>
  <c r="Q1768" i="2"/>
  <c r="Q1744" i="2"/>
  <c r="Q1720" i="2"/>
  <c r="Q1696" i="2"/>
  <c r="Q1684" i="2"/>
  <c r="Q1672" i="2"/>
  <c r="Q1660" i="2"/>
  <c r="Q1636" i="2"/>
  <c r="Q1612" i="2"/>
  <c r="Q1588" i="2"/>
  <c r="Q1576" i="2"/>
  <c r="Q1564" i="2"/>
  <c r="Q1540" i="2"/>
  <c r="Q1516" i="2"/>
  <c r="Q1492" i="2"/>
  <c r="Q1468" i="2"/>
  <c r="Q1456" i="2"/>
  <c r="Q1432" i="2"/>
  <c r="Q1408" i="2"/>
  <c r="Q1384" i="2"/>
  <c r="Q1360" i="2"/>
  <c r="Q1348" i="2"/>
  <c r="Q1324" i="2"/>
  <c r="Q1300" i="2"/>
  <c r="Q1276" i="2"/>
  <c r="Q1264" i="2"/>
  <c r="Q1240" i="2"/>
  <c r="Q1216" i="2"/>
  <c r="Q1192" i="2"/>
  <c r="Q1180" i="2"/>
  <c r="Q1156" i="2"/>
  <c r="Q1132" i="2"/>
  <c r="Q1108" i="2"/>
  <c r="Q1084" i="2"/>
  <c r="Q1072" i="2"/>
  <c r="Q1048" i="2"/>
  <c r="Q2081" i="2"/>
  <c r="Q2069" i="2"/>
  <c r="Q1985" i="2"/>
  <c r="Q1937" i="2"/>
  <c r="Q1913" i="2"/>
  <c r="Q1865" i="2"/>
  <c r="Q1829" i="2"/>
  <c r="Q1709" i="2"/>
  <c r="Q1685" i="2"/>
  <c r="Q1649" i="2"/>
  <c r="Q1625" i="2"/>
  <c r="Q1577" i="2"/>
  <c r="Q1553" i="2"/>
  <c r="Q1493" i="2"/>
  <c r="Q1469" i="2"/>
  <c r="Q1421" i="2"/>
  <c r="Q1361" i="2"/>
  <c r="Q1277" i="2"/>
  <c r="Q1253" i="2"/>
  <c r="Q1229" i="2"/>
  <c r="Q1205" i="2"/>
  <c r="Q1121" i="2"/>
  <c r="Q1061" i="2"/>
  <c r="Q989" i="2"/>
  <c r="Q953" i="2"/>
  <c r="Q869" i="2"/>
  <c r="Q725" i="2"/>
  <c r="Q701" i="2"/>
  <c r="Q593" i="2"/>
  <c r="Q557" i="2"/>
  <c r="Q533" i="2"/>
  <c r="Q497" i="2"/>
  <c r="Q473" i="2"/>
  <c r="Q413" i="2"/>
  <c r="Q389" i="2"/>
  <c r="Q353" i="2"/>
  <c r="Q329" i="2"/>
  <c r="Q269" i="2"/>
  <c r="Q233" i="2"/>
  <c r="Q841" i="2"/>
  <c r="Q613" i="2"/>
  <c r="Q2236" i="2"/>
  <c r="Q2224" i="2"/>
  <c r="Q2200" i="2"/>
  <c r="Q2152" i="2"/>
  <c r="Q2092" i="2"/>
  <c r="Q2068" i="2"/>
  <c r="Q2044" i="2"/>
  <c r="Q2008" i="2"/>
  <c r="Q1984" i="2"/>
  <c r="Q1960" i="2"/>
  <c r="Q1936" i="2"/>
  <c r="Q1912" i="2"/>
  <c r="Q1888" i="2"/>
  <c r="Q1876" i="2"/>
  <c r="Q1852" i="2"/>
  <c r="Q1840" i="2"/>
  <c r="Q1816" i="2"/>
  <c r="Q1780" i="2"/>
  <c r="Q1756" i="2"/>
  <c r="Q1732" i="2"/>
  <c r="Q1708" i="2"/>
  <c r="Q1648" i="2"/>
  <c r="Q1624" i="2"/>
  <c r="Q1600" i="2"/>
  <c r="Q1552" i="2"/>
  <c r="Q1528" i="2"/>
  <c r="Q1504" i="2"/>
  <c r="Q1480" i="2"/>
  <c r="Q1444" i="2"/>
  <c r="Q1420" i="2"/>
  <c r="Q1396" i="2"/>
  <c r="Q1372" i="2"/>
  <c r="Q1336" i="2"/>
  <c r="Q1312" i="2"/>
  <c r="Q1288" i="2"/>
  <c r="Q1252" i="2"/>
  <c r="Q1228" i="2"/>
  <c r="Q1204" i="2"/>
  <c r="Q1168" i="2"/>
  <c r="Q1144" i="2"/>
  <c r="Q1120" i="2"/>
  <c r="Q1096" i="2"/>
  <c r="Q1060" i="2"/>
  <c r="Q3" i="2"/>
  <c r="Q2231" i="2"/>
  <c r="Q2219" i="2"/>
  <c r="Q2207" i="2"/>
  <c r="Q2195" i="2"/>
  <c r="Q2183" i="2"/>
  <c r="Q2171" i="2"/>
  <c r="Q2159" i="2"/>
  <c r="Q2147" i="2"/>
  <c r="Q2135" i="2"/>
  <c r="Q2123" i="2"/>
  <c r="Q2111" i="2"/>
  <c r="Q2099" i="2"/>
  <c r="Q2087" i="2"/>
  <c r="Q2075" i="2"/>
  <c r="Q2063" i="2"/>
  <c r="Q2051" i="2"/>
  <c r="Q2039" i="2"/>
  <c r="Q2027" i="2"/>
  <c r="Q2015" i="2"/>
  <c r="Q2003" i="2"/>
  <c r="Q1991" i="2"/>
  <c r="Q1979" i="2"/>
  <c r="Q1967" i="2"/>
  <c r="Q1955" i="2"/>
  <c r="Q1943" i="2"/>
  <c r="Q1931" i="2"/>
  <c r="Q1919" i="2"/>
  <c r="Q1907" i="2"/>
  <c r="Q1895" i="2"/>
  <c r="Q1883" i="2"/>
  <c r="Q1871" i="2"/>
  <c r="Q1859" i="2"/>
  <c r="Q1847" i="2"/>
  <c r="Q1823" i="2"/>
  <c r="Q1811" i="2"/>
  <c r="Q1799" i="2"/>
  <c r="Q1787" i="2"/>
  <c r="Q1775" i="2"/>
  <c r="Q1763" i="2"/>
  <c r="Q1751" i="2"/>
  <c r="Q1739" i="2"/>
  <c r="Q1727" i="2"/>
  <c r="Q1715" i="2"/>
  <c r="Q1703" i="2"/>
  <c r="Q1691" i="2"/>
  <c r="Q1679" i="2"/>
  <c r="Q1667" i="2"/>
  <c r="Q1655" i="2"/>
  <c r="Q1643" i="2"/>
  <c r="Q1631" i="2"/>
  <c r="Q1619" i="2"/>
  <c r="Q1607" i="2"/>
  <c r="Q1595" i="2"/>
  <c r="Q1583" i="2"/>
  <c r="Q1571" i="2"/>
  <c r="Q1559" i="2"/>
  <c r="Q1547" i="2"/>
  <c r="Q1535" i="2"/>
  <c r="Q1523" i="2"/>
  <c r="Q1511" i="2"/>
  <c r="Q1499" i="2"/>
  <c r="Q1487" i="2"/>
  <c r="Q1463" i="2"/>
  <c r="Q1451" i="2"/>
  <c r="Q1439" i="2"/>
  <c r="Q1427" i="2"/>
  <c r="Q1415" i="2"/>
  <c r="Q1403" i="2"/>
  <c r="Q1391" i="2"/>
  <c r="Q1379" i="2"/>
  <c r="Q1367" i="2"/>
  <c r="Q1355" i="2"/>
  <c r="Q1343" i="2"/>
  <c r="Q1331" i="2"/>
  <c r="Q1319" i="2"/>
  <c r="Q1307" i="2"/>
  <c r="Q1295" i="2"/>
  <c r="Q1283" i="2"/>
  <c r="Q1271" i="2"/>
  <c r="Q1259" i="2"/>
  <c r="Q1247" i="2"/>
  <c r="Q1235" i="2"/>
  <c r="Q1223" i="2"/>
  <c r="Q1211" i="2"/>
  <c r="Q1199" i="2"/>
  <c r="Q1187" i="2"/>
  <c r="Q1175" i="2"/>
  <c r="Q1163" i="2"/>
  <c r="Q1151" i="2"/>
  <c r="Q1139" i="2"/>
  <c r="Q1127" i="2"/>
  <c r="Q1115" i="2"/>
  <c r="Q1103" i="2"/>
  <c r="Q1091" i="2"/>
  <c r="Q1079" i="2"/>
  <c r="Q1067" i="2"/>
  <c r="Q1055" i="2"/>
  <c r="Q1043" i="2"/>
  <c r="Q1031" i="2"/>
  <c r="Q1019" i="2"/>
  <c r="Q1007" i="2"/>
  <c r="Q995" i="2"/>
  <c r="Q983" i="2"/>
  <c r="Q971" i="2"/>
  <c r="Q959" i="2"/>
  <c r="Q947" i="2"/>
  <c r="Q935" i="2"/>
  <c r="Q923" i="2"/>
  <c r="Q911" i="2"/>
  <c r="Q899" i="2"/>
  <c r="Q887" i="2"/>
  <c r="Q875" i="2"/>
  <c r="Q863" i="2"/>
  <c r="Q851" i="2"/>
  <c r="Q827" i="2"/>
  <c r="Q815" i="2"/>
  <c r="Q803" i="2"/>
  <c r="Q791" i="2"/>
  <c r="Q779" i="2"/>
  <c r="Q767" i="2"/>
  <c r="Q755" i="2"/>
  <c r="Q743" i="2"/>
  <c r="Q731" i="2"/>
  <c r="Q719" i="2"/>
  <c r="Q443" i="2"/>
  <c r="Q407" i="2"/>
  <c r="Q395" i="2"/>
  <c r="Q251" i="2"/>
  <c r="Q203" i="2"/>
  <c r="Q83" i="2"/>
  <c r="Q1630" i="2"/>
  <c r="Q1618" i="2"/>
  <c r="Q1606" i="2"/>
  <c r="Q1594" i="2"/>
  <c r="Q1582" i="2"/>
  <c r="Q1570" i="2"/>
  <c r="Q1558" i="2"/>
  <c r="Q1546" i="2"/>
  <c r="Q1534" i="2"/>
  <c r="Q1522" i="2"/>
  <c r="Q1510" i="2"/>
  <c r="Q1498" i="2"/>
  <c r="Q1486" i="2"/>
  <c r="Q1474" i="2"/>
  <c r="Q1462" i="2"/>
  <c r="Q1450" i="2"/>
  <c r="Q1438" i="2"/>
  <c r="Q1426" i="2"/>
  <c r="Q1414" i="2"/>
  <c r="Q1402" i="2"/>
  <c r="Q1390" i="2"/>
  <c r="Q1378" i="2"/>
  <c r="Q1354" i="2"/>
  <c r="Q1342" i="2"/>
  <c r="Q1330" i="2"/>
  <c r="Q1318" i="2"/>
  <c r="Q1306" i="2"/>
  <c r="Q1294" i="2"/>
  <c r="Q1282" i="2"/>
  <c r="Q1270" i="2"/>
  <c r="Q1258" i="2"/>
  <c r="Q1246" i="2"/>
  <c r="Q1234" i="2"/>
  <c r="Q1222" i="2"/>
  <c r="Q1210" i="2"/>
  <c r="Q1198" i="2"/>
  <c r="Q1186" i="2"/>
  <c r="Q1174" i="2"/>
  <c r="Q1162" i="2"/>
  <c r="Q1150" i="2"/>
  <c r="Q1138" i="2"/>
  <c r="Q1126" i="2"/>
  <c r="Q1114" i="2"/>
  <c r="Q1102" i="2"/>
  <c r="Q1090" i="2"/>
  <c r="Q1078" i="2"/>
  <c r="Q1066" i="2"/>
  <c r="Q1054" i="2"/>
  <c r="Q1042" i="2"/>
  <c r="Q1030" i="2"/>
  <c r="Q1018" i="2"/>
  <c r="Q1006" i="2"/>
  <c r="Q994" i="2"/>
  <c r="Q982" i="2"/>
  <c r="Q970" i="2"/>
  <c r="Q958" i="2"/>
  <c r="Q946" i="2"/>
  <c r="Q934" i="2"/>
  <c r="Q922" i="2"/>
  <c r="Q910" i="2"/>
  <c r="Q898" i="2"/>
  <c r="Q886" i="2"/>
  <c r="Q874" i="2"/>
  <c r="Q862" i="2"/>
  <c r="Q850" i="2"/>
  <c r="Q838" i="2"/>
  <c r="Q826" i="2"/>
  <c r="Q802" i="2"/>
  <c r="Q790" i="2"/>
  <c r="Q778" i="2"/>
  <c r="Q766" i="2"/>
  <c r="Q754" i="2"/>
  <c r="Q742" i="2"/>
  <c r="Q730" i="2"/>
  <c r="Q718" i="2"/>
  <c r="Q706" i="2"/>
  <c r="Q598" i="2"/>
  <c r="Q514" i="2"/>
  <c r="Q394" i="2"/>
  <c r="Q346" i="2"/>
  <c r="Q118" i="2"/>
  <c r="Q82" i="2"/>
  <c r="Q46" i="2"/>
  <c r="P1052" i="2"/>
  <c r="P1040" i="2"/>
  <c r="P1028" i="2"/>
  <c r="P1016" i="2"/>
  <c r="P1004" i="2"/>
  <c r="P992" i="2"/>
  <c r="P980" i="2"/>
  <c r="P968" i="2"/>
  <c r="P956" i="2"/>
  <c r="P944" i="2"/>
  <c r="P932" i="2"/>
  <c r="P920" i="2"/>
  <c r="P908" i="2"/>
  <c r="P896" i="2"/>
  <c r="P884" i="2"/>
  <c r="P872" i="2"/>
  <c r="P860" i="2"/>
  <c r="P848" i="2"/>
  <c r="P836" i="2"/>
  <c r="P824" i="2"/>
  <c r="P812" i="2"/>
  <c r="P800" i="2"/>
  <c r="P788" i="2"/>
  <c r="P776" i="2"/>
  <c r="P764" i="2"/>
  <c r="P752" i="2"/>
  <c r="P740" i="2"/>
  <c r="P728" i="2"/>
  <c r="P716" i="2"/>
  <c r="P704" i="2"/>
  <c r="P692" i="2"/>
  <c r="P680" i="2"/>
  <c r="P668" i="2"/>
  <c r="P656" i="2"/>
  <c r="P644" i="2"/>
  <c r="P632" i="2"/>
  <c r="P620" i="2"/>
  <c r="P608" i="2"/>
  <c r="P596" i="2"/>
  <c r="P584" i="2"/>
  <c r="P572" i="2"/>
  <c r="P560" i="2"/>
  <c r="P548" i="2"/>
  <c r="P536" i="2"/>
  <c r="P523" i="2"/>
  <c r="P510" i="2"/>
  <c r="P497" i="2"/>
  <c r="P484" i="2"/>
  <c r="P470" i="2"/>
  <c r="P457" i="2"/>
  <c r="P444" i="2"/>
  <c r="P431" i="2"/>
  <c r="P418" i="2"/>
  <c r="P405" i="2"/>
  <c r="P392" i="2"/>
  <c r="P379" i="2"/>
  <c r="P366" i="2"/>
  <c r="P353" i="2"/>
  <c r="P340" i="2"/>
  <c r="P326" i="2"/>
  <c r="P313" i="2"/>
  <c r="P300" i="2"/>
  <c r="P287" i="2"/>
  <c r="P274" i="2"/>
  <c r="P261" i="2"/>
  <c r="P248" i="2"/>
  <c r="P235" i="2"/>
  <c r="P222" i="2"/>
  <c r="P208" i="2"/>
  <c r="P192" i="2"/>
  <c r="P178" i="2"/>
  <c r="P164" i="2"/>
  <c r="P150" i="2"/>
  <c r="P136" i="2"/>
  <c r="P120" i="2"/>
  <c r="P106" i="2"/>
  <c r="P92" i="2"/>
  <c r="P78" i="2"/>
  <c r="P60" i="2"/>
  <c r="P45" i="2"/>
  <c r="P30" i="2"/>
  <c r="P12" i="2"/>
  <c r="P811" i="2"/>
  <c r="P799" i="2"/>
  <c r="P787" i="2"/>
  <c r="P775" i="2"/>
  <c r="P763" i="2"/>
  <c r="P751" i="2"/>
  <c r="P739" i="2"/>
  <c r="P727" i="2"/>
  <c r="P715" i="2"/>
  <c r="P703" i="2"/>
  <c r="P691" i="2"/>
  <c r="P679" i="2"/>
  <c r="P667" i="2"/>
  <c r="P655" i="2"/>
  <c r="P643" i="2"/>
  <c r="P631" i="2"/>
  <c r="P619" i="2"/>
  <c r="P607" i="2"/>
  <c r="P595" i="2"/>
  <c r="P583" i="2"/>
  <c r="P571" i="2"/>
  <c r="P559" i="2"/>
  <c r="P547" i="2"/>
  <c r="P535" i="2"/>
  <c r="P522" i="2"/>
  <c r="P509" i="2"/>
  <c r="P496" i="2"/>
  <c r="P482" i="2"/>
  <c r="P469" i="2"/>
  <c r="P456" i="2"/>
  <c r="P443" i="2"/>
  <c r="P430" i="2"/>
  <c r="P417" i="2"/>
  <c r="P404" i="2"/>
  <c r="P391" i="2"/>
  <c r="P378" i="2"/>
  <c r="P365" i="2"/>
  <c r="P352" i="2"/>
  <c r="P338" i="2"/>
  <c r="P325" i="2"/>
  <c r="P312" i="2"/>
  <c r="P299" i="2"/>
  <c r="P286" i="2"/>
  <c r="P273" i="2"/>
  <c r="P260" i="2"/>
  <c r="P247" i="2"/>
  <c r="P234" i="2"/>
  <c r="P221" i="2"/>
  <c r="P206" i="2"/>
  <c r="P191" i="2"/>
  <c r="P177" i="2"/>
  <c r="P163" i="2"/>
  <c r="P149" i="2"/>
  <c r="P134" i="2"/>
  <c r="P119" i="2"/>
  <c r="P105" i="2"/>
  <c r="P91" i="2"/>
  <c r="P77" i="2"/>
  <c r="P59" i="2"/>
  <c r="P44" i="2"/>
  <c r="P29" i="2"/>
  <c r="P11" i="2"/>
  <c r="Q1539" i="2"/>
  <c r="Q2150" i="2"/>
  <c r="Q2233" i="2"/>
  <c r="Q2221" i="2"/>
  <c r="Q2209" i="2"/>
  <c r="Q2197" i="2"/>
  <c r="Q2185" i="2"/>
  <c r="Q2173" i="2"/>
  <c r="Q2161" i="2"/>
  <c r="Q2149" i="2"/>
  <c r="Q2137" i="2"/>
  <c r="Q2125" i="2"/>
  <c r="Q2113" i="2"/>
  <c r="Q2101" i="2"/>
  <c r="Q2089" i="2"/>
  <c r="Q2077" i="2"/>
  <c r="Q2065" i="2"/>
  <c r="Q2053" i="2"/>
  <c r="Q2041" i="2"/>
  <c r="Q2029" i="2"/>
  <c r="Q2017" i="2"/>
  <c r="Q2005" i="2"/>
  <c r="Q1993" i="2"/>
  <c r="Q1981" i="2"/>
  <c r="Q1969" i="2"/>
  <c r="Q1957" i="2"/>
  <c r="Q1945" i="2"/>
  <c r="Q1933" i="2"/>
  <c r="Q1921" i="2"/>
  <c r="Q1909" i="2"/>
  <c r="Q1897" i="2"/>
  <c r="Q1885" i="2"/>
  <c r="Q1873" i="2"/>
  <c r="Q1861" i="2"/>
  <c r="Q1849" i="2"/>
  <c r="Q1837" i="2"/>
  <c r="Q1825" i="2"/>
  <c r="Q1813" i="2"/>
  <c r="Q1801" i="2"/>
  <c r="Q1789" i="2"/>
  <c r="Q1777" i="2"/>
  <c r="Q1765" i="2"/>
  <c r="Q1753" i="2"/>
  <c r="Q1741" i="2"/>
  <c r="Q1729" i="2"/>
  <c r="Q1717" i="2"/>
  <c r="Q1705" i="2"/>
  <c r="Q1693" i="2"/>
  <c r="Q1681" i="2"/>
  <c r="Q1669" i="2"/>
  <c r="Q1657" i="2"/>
  <c r="Q1201" i="2"/>
  <c r="Q1069" i="2"/>
  <c r="Q745" i="2"/>
  <c r="Q2187" i="2"/>
  <c r="Q2055" i="2"/>
  <c r="Q1779" i="2"/>
  <c r="Q1645" i="2"/>
  <c r="Q1633" i="2"/>
  <c r="Q1621" i="2"/>
  <c r="Q1609" i="2"/>
  <c r="Q1597" i="2"/>
  <c r="Q1585" i="2"/>
  <c r="Q1573" i="2"/>
  <c r="Q1561" i="2"/>
  <c r="Q1549" i="2"/>
  <c r="Q1537" i="2"/>
  <c r="Q1525" i="2"/>
  <c r="Q1513" i="2"/>
  <c r="Q1501" i="2"/>
  <c r="Q1489" i="2"/>
  <c r="Q1477" i="2"/>
  <c r="Q1465" i="2"/>
  <c r="Q1453" i="2"/>
  <c r="Q1441" i="2"/>
  <c r="Q1429" i="2"/>
  <c r="Q1417" i="2"/>
  <c r="Q1405" i="2"/>
  <c r="Q1393" i="2"/>
  <c r="Q1381" i="2"/>
  <c r="Q1369" i="2"/>
  <c r="Q1357" i="2"/>
  <c r="Q1345" i="2"/>
  <c r="Q1321" i="2"/>
  <c r="Q1309" i="2"/>
  <c r="Q1297" i="2"/>
  <c r="Q1285" i="2"/>
  <c r="Q1273" i="2"/>
  <c r="Q1261" i="2"/>
  <c r="Q1249" i="2"/>
  <c r="Q1237" i="2"/>
  <c r="Q1225" i="2"/>
  <c r="Q1213" i="2"/>
  <c r="Q1189" i="2"/>
  <c r="Q1177" i="2"/>
  <c r="Q1165" i="2"/>
  <c r="Q1153" i="2"/>
  <c r="Q1141" i="2"/>
  <c r="Q1129" i="2"/>
  <c r="Q1117" i="2"/>
  <c r="Q1105" i="2"/>
  <c r="Q1093" i="2"/>
  <c r="Q1081" i="2"/>
  <c r="Q1057" i="2"/>
  <c r="Q1045" i="2"/>
  <c r="Q1033" i="2"/>
  <c r="Q1021" i="2"/>
  <c r="Q1009" i="2"/>
  <c r="Q997" i="2"/>
  <c r="Q985" i="2"/>
  <c r="Q973" i="2"/>
  <c r="Q961" i="2"/>
  <c r="Q949" i="2"/>
  <c r="Q937" i="2"/>
  <c r="Q925" i="2"/>
  <c r="Q913" i="2"/>
  <c r="Q901" i="2"/>
  <c r="Q889" i="2"/>
  <c r="Q877" i="2"/>
  <c r="Q865" i="2"/>
  <c r="Q853" i="2"/>
  <c r="Q829" i="2"/>
  <c r="Q817" i="2"/>
  <c r="Q805" i="2"/>
  <c r="Q793" i="2"/>
  <c r="Q781" i="2"/>
  <c r="Q769" i="2"/>
  <c r="Q757" i="2"/>
  <c r="Q733" i="2"/>
  <c r="Q721" i="2"/>
  <c r="Q241" i="2"/>
  <c r="Q1781" i="2"/>
  <c r="Q1757" i="2"/>
  <c r="Q1565" i="2"/>
  <c r="Q1409" i="2"/>
  <c r="Q1373" i="2"/>
  <c r="Q1349" i="2"/>
  <c r="Q1313" i="2"/>
  <c r="Q1157" i="2"/>
  <c r="Q1013" i="2"/>
  <c r="Q929" i="2"/>
  <c r="Q917" i="2"/>
  <c r="Q653" i="2"/>
  <c r="Q629" i="2"/>
  <c r="Q617" i="2"/>
  <c r="Q245" i="2"/>
  <c r="Q867" i="2"/>
  <c r="Q639" i="2"/>
  <c r="Q51" i="2"/>
  <c r="Q2234" i="2"/>
  <c r="Q2186" i="2"/>
  <c r="Q2174" i="2"/>
  <c r="Q2162" i="2"/>
  <c r="Q2138" i="2"/>
  <c r="Q2126" i="2"/>
  <c r="Q2114" i="2"/>
  <c r="Q2090" i="2"/>
  <c r="Q2078" i="2"/>
  <c r="Q2054" i="2"/>
  <c r="Q2042" i="2"/>
  <c r="Q2030" i="2"/>
  <c r="Q2018" i="2"/>
  <c r="Q1994" i="2"/>
  <c r="Q1982" i="2"/>
  <c r="Q1970" i="2"/>
  <c r="Q1958" i="2"/>
  <c r="Q1838" i="2"/>
  <c r="Q1754" i="2"/>
  <c r="Q1742" i="2"/>
  <c r="Q1610" i="2"/>
  <c r="Q1466" i="2"/>
  <c r="Q1418" i="2"/>
  <c r="Q578" i="2"/>
  <c r="Q446" i="2"/>
  <c r="Q170" i="2"/>
  <c r="Q158" i="2"/>
  <c r="Q709" i="2"/>
  <c r="Q697" i="2"/>
  <c r="Q685" i="2"/>
  <c r="Q673" i="2"/>
  <c r="Q661" i="2"/>
  <c r="Q649" i="2"/>
  <c r="Q625" i="2"/>
  <c r="Q601" i="2"/>
  <c r="Q589" i="2"/>
  <c r="Q577" i="2"/>
  <c r="Q565" i="2"/>
  <c r="Q553" i="2"/>
  <c r="Q529" i="2"/>
  <c r="Q517" i="2"/>
  <c r="Q505" i="2"/>
  <c r="Q493" i="2"/>
  <c r="Q481" i="2"/>
  <c r="Q469" i="2"/>
  <c r="Q457" i="2"/>
  <c r="Q445" i="2"/>
  <c r="Q433" i="2"/>
  <c r="Q421" i="2"/>
  <c r="Q409" i="2"/>
  <c r="Q397" i="2"/>
  <c r="Q385" i="2"/>
  <c r="Q361" i="2"/>
  <c r="Q349" i="2"/>
  <c r="Q337" i="2"/>
  <c r="Q325" i="2"/>
  <c r="Q313" i="2"/>
  <c r="Q301" i="2"/>
  <c r="Q289" i="2"/>
  <c r="Q277" i="2"/>
  <c r="Q265" i="2"/>
  <c r="Q253" i="2"/>
  <c r="Q229" i="2"/>
  <c r="Q217" i="2"/>
  <c r="Q205" i="2"/>
  <c r="Q193" i="2"/>
  <c r="Q181" i="2"/>
  <c r="Q169" i="2"/>
  <c r="Q157" i="2"/>
  <c r="Q145" i="2"/>
  <c r="Q133" i="2"/>
  <c r="Q121" i="2"/>
  <c r="Q109" i="2"/>
  <c r="Q97" i="2"/>
  <c r="Q85" i="2"/>
  <c r="Q73" i="2"/>
  <c r="Q61" i="2"/>
  <c r="Q49" i="2"/>
  <c r="Q37" i="2"/>
  <c r="Q25" i="2"/>
  <c r="Q13" i="2"/>
  <c r="Q2181" i="2"/>
  <c r="Q2109" i="2"/>
  <c r="Q2085" i="2"/>
  <c r="Q2037" i="2"/>
  <c r="Q2013" i="2"/>
  <c r="Q1809" i="2"/>
  <c r="Q1785" i="2"/>
  <c r="Q1713" i="2"/>
  <c r="Q1605" i="2"/>
  <c r="Q1533" i="2"/>
  <c r="Q1509" i="2"/>
  <c r="Q1461" i="2"/>
  <c r="Q1437" i="2"/>
  <c r="Q1365" i="2"/>
  <c r="Q1269" i="2"/>
  <c r="Q1053" i="2"/>
  <c r="Q993" i="2"/>
  <c r="Q921" i="2"/>
  <c r="Q825" i="2"/>
  <c r="Q53" i="2"/>
  <c r="Q17" i="2"/>
  <c r="Q1356" i="2"/>
  <c r="Q1332" i="2"/>
  <c r="Q1320" i="2"/>
  <c r="Q1284" i="2"/>
  <c r="Q1272" i="2"/>
  <c r="Q1260" i="2"/>
  <c r="Q1248" i="2"/>
  <c r="Q1188" i="2"/>
  <c r="Q1176" i="2"/>
  <c r="Q1152" i="2"/>
  <c r="Q1068" i="2"/>
  <c r="Q1056" i="2"/>
  <c r="Q972" i="2"/>
  <c r="Q960" i="2"/>
  <c r="Q900" i="2"/>
  <c r="Q840" i="2"/>
  <c r="Q768" i="2"/>
  <c r="Q672" i="2"/>
  <c r="Q612" i="2"/>
  <c r="Q600" i="2"/>
  <c r="Q564" i="2"/>
  <c r="Q552" i="2"/>
  <c r="Q540" i="2"/>
  <c r="Q528" i="2"/>
  <c r="Q516" i="2"/>
  <c r="Q480" i="2"/>
  <c r="Q468" i="2"/>
  <c r="Q456" i="2"/>
  <c r="Q444" i="2"/>
  <c r="Q432" i="2"/>
  <c r="Q408" i="2"/>
  <c r="Q396" i="2"/>
  <c r="Q372" i="2"/>
  <c r="Q360" i="2"/>
  <c r="Q336" i="2"/>
  <c r="Q324" i="2"/>
  <c r="Q312" i="2"/>
  <c r="Q300" i="2"/>
  <c r="Q288" i="2"/>
  <c r="Q252" i="2"/>
  <c r="Q240" i="2"/>
  <c r="Q216" i="2"/>
  <c r="Q168" i="2"/>
  <c r="Q156" i="2"/>
  <c r="Q132" i="2"/>
  <c r="Q108" i="2"/>
  <c r="Q96" i="2"/>
  <c r="Q72" i="2"/>
  <c r="Q36" i="2"/>
  <c r="Q12" i="2"/>
  <c r="Q1946" i="2"/>
  <c r="Q1934" i="2"/>
  <c r="Q1922" i="2"/>
  <c r="Q1898" i="2"/>
  <c r="Q1874" i="2"/>
  <c r="Q1862" i="2"/>
  <c r="Q1850" i="2"/>
  <c r="Q1802" i="2"/>
  <c r="Q1790" i="2"/>
  <c r="Q1730" i="2"/>
  <c r="Q1694" i="2"/>
  <c r="Q1658" i="2"/>
  <c r="Q1646" i="2"/>
  <c r="Q1634" i="2"/>
  <c r="Q1586" i="2"/>
  <c r="Q1574" i="2"/>
  <c r="Q1562" i="2"/>
  <c r="Q1514" i="2"/>
  <c r="Q1502" i="2"/>
  <c r="Q1478" i="2"/>
  <c r="Q1454" i="2"/>
  <c r="Q1442" i="2"/>
  <c r="Q1406" i="2"/>
  <c r="Q1394" i="2"/>
  <c r="Q1382" i="2"/>
  <c r="Q1358" i="2"/>
  <c r="Q1346" i="2"/>
  <c r="Q1334" i="2"/>
  <c r="Q1298" i="2"/>
  <c r="Q1238" i="2"/>
  <c r="Q1226" i="2"/>
  <c r="Q1190" i="2"/>
  <c r="Q1178" i="2"/>
  <c r="Q1166" i="2"/>
  <c r="Q1130" i="2"/>
  <c r="Q1118" i="2"/>
  <c r="Q1106" i="2"/>
  <c r="Q1094" i="2"/>
  <c r="Q1082" i="2"/>
  <c r="Q1022" i="2"/>
  <c r="Q998" i="2"/>
  <c r="Q938" i="2"/>
  <c r="Q854" i="2"/>
  <c r="Q842" i="2"/>
  <c r="Q830" i="2"/>
  <c r="Q794" i="2"/>
  <c r="Q782" i="2"/>
  <c r="Q758" i="2"/>
  <c r="Q746" i="2"/>
  <c r="Q698" i="2"/>
  <c r="Q650" i="2"/>
  <c r="Q626" i="2"/>
  <c r="Q614" i="2"/>
  <c r="Q602" i="2"/>
  <c r="Q566" i="2"/>
  <c r="Q542" i="2"/>
  <c r="Q530" i="2"/>
  <c r="Q338" i="2"/>
  <c r="Q278" i="2"/>
  <c r="Q266" i="2"/>
  <c r="Q254" i="2"/>
  <c r="Q218" i="2"/>
  <c r="Q182" i="2"/>
  <c r="Q122" i="2"/>
  <c r="Q98" i="2"/>
  <c r="Q50" i="2"/>
  <c r="Q38" i="2"/>
  <c r="Q26" i="2"/>
  <c r="Q707" i="2"/>
  <c r="Q695" i="2"/>
  <c r="Q683" i="2"/>
  <c r="Q671" i="2"/>
  <c r="Q659" i="2"/>
  <c r="Q647" i="2"/>
  <c r="Q623" i="2"/>
  <c r="Q611" i="2"/>
  <c r="Q599" i="2"/>
  <c r="Q587" i="2"/>
  <c r="Q575" i="2"/>
  <c r="Q563" i="2"/>
  <c r="Q539" i="2"/>
  <c r="Q527" i="2"/>
  <c r="Q515" i="2"/>
  <c r="Q503" i="2"/>
  <c r="Q491" i="2"/>
  <c r="Q479" i="2"/>
  <c r="Q467" i="2"/>
  <c r="Q455" i="2"/>
  <c r="Q431" i="2"/>
  <c r="Q419" i="2"/>
  <c r="Q383" i="2"/>
  <c r="Q359" i="2"/>
  <c r="Q347" i="2"/>
  <c r="Q335" i="2"/>
  <c r="Q323" i="2"/>
  <c r="Q311" i="2"/>
  <c r="Q299" i="2"/>
  <c r="Q275" i="2"/>
  <c r="Q263" i="2"/>
  <c r="Q239" i="2"/>
  <c r="Q227" i="2"/>
  <c r="Q215" i="2"/>
  <c r="Q191" i="2"/>
  <c r="Q179" i="2"/>
  <c r="Q167" i="2"/>
  <c r="Q143" i="2"/>
  <c r="Q131" i="2"/>
  <c r="Q119" i="2"/>
  <c r="Q95" i="2"/>
  <c r="Q71" i="2"/>
  <c r="Q59" i="2"/>
  <c r="Q47" i="2"/>
  <c r="Q35" i="2"/>
  <c r="Q23" i="2"/>
  <c r="Q11" i="2"/>
  <c r="Q694" i="2"/>
  <c r="Q682" i="2"/>
  <c r="Q670" i="2"/>
  <c r="Q658" i="2"/>
  <c r="Q646" i="2"/>
  <c r="Q634" i="2"/>
  <c r="Q622" i="2"/>
  <c r="Q610" i="2"/>
  <c r="Q586" i="2"/>
  <c r="Q574" i="2"/>
  <c r="Q562" i="2"/>
  <c r="Q550" i="2"/>
  <c r="Q538" i="2"/>
  <c r="Q526" i="2"/>
  <c r="Q502" i="2"/>
  <c r="Q490" i="2"/>
  <c r="Q466" i="2"/>
  <c r="Q454" i="2"/>
  <c r="Q442" i="2"/>
  <c r="Q430" i="2"/>
  <c r="Q418" i="2"/>
  <c r="Q406" i="2"/>
  <c r="Q382" i="2"/>
  <c r="Q370" i="2"/>
  <c r="Q358" i="2"/>
  <c r="Q334" i="2"/>
  <c r="Q322" i="2"/>
  <c r="Q310" i="2"/>
  <c r="Q298" i="2"/>
  <c r="Q274" i="2"/>
  <c r="Q262" i="2"/>
  <c r="Q226" i="2"/>
  <c r="Q214" i="2"/>
  <c r="Q202" i="2"/>
  <c r="Q190" i="2"/>
  <c r="Q178" i="2"/>
  <c r="Q166" i="2"/>
  <c r="Q154" i="2"/>
  <c r="Q142" i="2"/>
  <c r="Q106" i="2"/>
  <c r="Q94" i="2"/>
  <c r="Q70" i="2"/>
  <c r="Q58" i="2"/>
  <c r="Q34" i="2"/>
  <c r="Q22" i="2"/>
  <c r="Q10" i="2"/>
  <c r="Q1530" i="2"/>
  <c r="Q1458" i="2"/>
  <c r="Q654" i="2"/>
  <c r="Q618" i="2"/>
  <c r="Q426" i="2"/>
  <c r="Q390" i="2"/>
  <c r="Q258" i="2"/>
  <c r="Q198" i="2"/>
  <c r="Q18" i="2"/>
  <c r="P531" i="2"/>
  <c r="P519" i="2"/>
  <c r="P507" i="2"/>
  <c r="P495" i="2"/>
  <c r="P483" i="2"/>
  <c r="P471" i="2"/>
  <c r="P459" i="2"/>
  <c r="P447" i="2"/>
  <c r="P435" i="2"/>
  <c r="P423" i="2"/>
  <c r="P411" i="2"/>
  <c r="P399" i="2"/>
  <c r="P387" i="2"/>
  <c r="P375" i="2"/>
  <c r="P363" i="2"/>
  <c r="P351" i="2"/>
  <c r="P339" i="2"/>
  <c r="P327" i="2"/>
  <c r="P315" i="2"/>
  <c r="P303" i="2"/>
  <c r="P291" i="2"/>
  <c r="P279" i="2"/>
  <c r="P267" i="2"/>
  <c r="P255" i="2"/>
  <c r="P243" i="2"/>
  <c r="P231" i="2"/>
  <c r="P219" i="2"/>
  <c r="P207" i="2"/>
  <c r="P195" i="2"/>
  <c r="P183" i="2"/>
  <c r="P171" i="2"/>
  <c r="P159" i="2"/>
  <c r="P147" i="2"/>
  <c r="P135" i="2"/>
  <c r="P123" i="2"/>
  <c r="P111" i="2"/>
  <c r="P99" i="2"/>
  <c r="P87" i="2"/>
  <c r="P75" i="2"/>
  <c r="P63" i="2"/>
  <c r="P51" i="2"/>
  <c r="P39" i="2"/>
  <c r="P27" i="2"/>
  <c r="P15" i="2"/>
  <c r="P74" i="2"/>
  <c r="P62" i="2"/>
  <c r="P50" i="2"/>
  <c r="P38" i="2"/>
  <c r="P26" i="2"/>
  <c r="P14" i="2"/>
  <c r="P217" i="2"/>
  <c r="P205" i="2"/>
  <c r="P193" i="2"/>
  <c r="P181" i="2"/>
  <c r="P169" i="2"/>
  <c r="P157" i="2"/>
  <c r="P145" i="2"/>
  <c r="P133" i="2"/>
  <c r="P121" i="2"/>
  <c r="P109" i="2"/>
  <c r="P97" i="2"/>
  <c r="P85" i="2"/>
  <c r="P73" i="2"/>
  <c r="P61" i="2"/>
  <c r="P49" i="2"/>
  <c r="P37" i="2"/>
  <c r="P25" i="2"/>
  <c r="P13" i="2"/>
  <c r="Q1036" i="2"/>
  <c r="Q1024" i="2"/>
  <c r="Q1012" i="2"/>
  <c r="Q1000" i="2"/>
  <c r="Q988" i="2"/>
  <c r="Q976" i="2"/>
  <c r="Q964" i="2"/>
  <c r="Q952" i="2"/>
  <c r="Q940" i="2"/>
  <c r="Q928" i="2"/>
  <c r="Q916" i="2"/>
  <c r="Q904" i="2"/>
  <c r="Q892" i="2"/>
  <c r="Q880" i="2"/>
  <c r="Q868" i="2"/>
  <c r="Q856" i="2"/>
  <c r="Q844" i="2"/>
  <c r="Q832" i="2"/>
  <c r="Q820" i="2"/>
  <c r="Q808" i="2"/>
  <c r="Q796" i="2"/>
  <c r="Q784" i="2"/>
  <c r="Q772" i="2"/>
  <c r="Q760" i="2"/>
  <c r="Q748" i="2"/>
  <c r="Q736" i="2"/>
  <c r="Q724" i="2"/>
  <c r="Q712" i="2"/>
  <c r="Q700" i="2"/>
  <c r="Q688" i="2"/>
  <c r="Q676" i="2"/>
  <c r="Q664" i="2"/>
  <c r="Q652" i="2"/>
  <c r="Q640" i="2"/>
  <c r="Q628" i="2"/>
  <c r="Q616" i="2"/>
  <c r="Q604" i="2"/>
  <c r="Q592" i="2"/>
  <c r="Q580" i="2"/>
  <c r="Q568" i="2"/>
  <c r="Q556" i="2"/>
  <c r="Q544" i="2"/>
  <c r="Q532" i="2"/>
  <c r="Q520" i="2"/>
  <c r="Q508" i="2"/>
  <c r="Q496" i="2"/>
  <c r="Q484" i="2"/>
  <c r="Q472" i="2"/>
  <c r="Q460" i="2"/>
  <c r="Q448" i="2"/>
  <c r="Q436" i="2"/>
  <c r="Q424" i="2"/>
  <c r="Q412" i="2"/>
  <c r="Q400" i="2"/>
  <c r="Q388" i="2"/>
  <c r="Q376" i="2"/>
  <c r="Q364" i="2"/>
  <c r="Q352" i="2"/>
  <c r="Q340" i="2"/>
  <c r="Q328" i="2"/>
  <c r="Q316" i="2"/>
  <c r="Q304" i="2"/>
  <c r="Q292" i="2"/>
  <c r="Q280" i="2"/>
  <c r="Q268" i="2"/>
  <c r="Q256" i="2"/>
  <c r="Q244" i="2"/>
  <c r="Q232" i="2"/>
  <c r="Q220" i="2"/>
  <c r="Q208" i="2"/>
  <c r="Q196" i="2"/>
  <c r="Q184" i="2"/>
  <c r="Q172" i="2"/>
  <c r="Q160" i="2"/>
  <c r="Q148" i="2"/>
  <c r="Q136" i="2"/>
  <c r="Q124" i="2"/>
  <c r="Q112" i="2"/>
  <c r="Q100" i="2"/>
  <c r="Q88" i="2"/>
  <c r="Q76" i="2"/>
  <c r="Q64" i="2"/>
  <c r="Q52" i="2"/>
  <c r="Q40" i="2"/>
  <c r="Q28" i="2"/>
  <c r="Q16" i="2"/>
  <c r="Q4" i="2"/>
  <c r="Q2235" i="2"/>
  <c r="Q2223" i="2"/>
  <c r="Q2163" i="2"/>
  <c r="Q2151" i="2"/>
  <c r="Q2091" i="2"/>
  <c r="Q2079" i="2"/>
  <c r="Q2019" i="2"/>
  <c r="Q2007" i="2"/>
  <c r="Q1947" i="2"/>
  <c r="Q1935" i="2"/>
  <c r="Q1875" i="2"/>
  <c r="Q1863" i="2"/>
  <c r="Q1803" i="2"/>
  <c r="Q1791" i="2"/>
  <c r="Q1731" i="2"/>
  <c r="Q1719" i="2"/>
  <c r="Q1659" i="2"/>
  <c r="Q1647" i="2"/>
  <c r="Q1587" i="2"/>
  <c r="Q1575" i="2"/>
  <c r="Q1515" i="2"/>
  <c r="Q1503" i="2"/>
  <c r="Q1443" i="2"/>
  <c r="Q1431" i="2"/>
  <c r="Q1227" i="2"/>
  <c r="Q1215" i="2"/>
  <c r="Q1179" i="2"/>
  <c r="Q1131" i="2"/>
  <c r="Q939" i="2"/>
  <c r="Q855" i="2"/>
  <c r="Q831" i="2"/>
  <c r="Q651" i="2"/>
  <c r="Q627" i="2"/>
  <c r="Q603" i="2"/>
  <c r="Q567" i="2"/>
  <c r="Q543" i="2"/>
  <c r="Q459" i="2"/>
  <c r="Q339" i="2"/>
  <c r="Q279" i="2"/>
  <c r="Q255" i="2"/>
  <c r="Q171" i="2"/>
  <c r="Q111" i="2"/>
  <c r="Q1344" i="2"/>
  <c r="Q1296" i="2"/>
  <c r="Q1164" i="2"/>
  <c r="Q1104" i="2"/>
  <c r="Q1044" i="2"/>
  <c r="Q888" i="2"/>
  <c r="Q816" i="2"/>
  <c r="Q756" i="2"/>
  <c r="Q696" i="2"/>
  <c r="Q684" i="2"/>
  <c r="Q660" i="2"/>
  <c r="Q2220" i="2"/>
  <c r="Q2196" i="2"/>
  <c r="Q2160" i="2"/>
  <c r="Q2136" i="2"/>
  <c r="Q2112" i="2"/>
  <c r="Q2088" i="2"/>
  <c r="Q2052" i="2"/>
  <c r="Q2028" i="2"/>
  <c r="Q2004" i="2"/>
  <c r="Q1980" i="2"/>
  <c r="Q1956" i="2"/>
  <c r="Q1920" i="2"/>
  <c r="Q1896" i="2"/>
  <c r="Q1872" i="2"/>
  <c r="Q1848" i="2"/>
  <c r="Q1824" i="2"/>
  <c r="Q1800" i="2"/>
  <c r="Q1776" i="2"/>
  <c r="Q1740" i="2"/>
  <c r="Q1716" i="2"/>
  <c r="Q1692" i="2"/>
  <c r="Q1668" i="2"/>
  <c r="Q1644" i="2"/>
  <c r="Q1608" i="2"/>
  <c r="Q1584" i="2"/>
  <c r="Q1560" i="2"/>
  <c r="Q1536" i="2"/>
  <c r="Q1512" i="2"/>
  <c r="Q1488" i="2"/>
  <c r="Q1452" i="2"/>
  <c r="Q1428" i="2"/>
  <c r="Q1404" i="2"/>
  <c r="Q1368" i="2"/>
  <c r="Q1224" i="2"/>
  <c r="Q1140" i="2"/>
  <c r="Q1116" i="2"/>
  <c r="Q1092" i="2"/>
  <c r="Q1080" i="2"/>
  <c r="Q1032" i="2"/>
  <c r="Q1020" i="2"/>
  <c r="Q996" i="2"/>
  <c r="Q984" i="2"/>
  <c r="Q948" i="2"/>
  <c r="Q936" i="2"/>
  <c r="Q924" i="2"/>
  <c r="Q912" i="2"/>
  <c r="Q876" i="2"/>
  <c r="Q864" i="2"/>
  <c r="Q852" i="2"/>
  <c r="Q828" i="2"/>
  <c r="Q804" i="2"/>
  <c r="Q792" i="2"/>
  <c r="Q744" i="2"/>
  <c r="Q732" i="2"/>
  <c r="Q720" i="2"/>
  <c r="Q708" i="2"/>
  <c r="Q624" i="2"/>
  <c r="Q588" i="2"/>
  <c r="Q384" i="2"/>
  <c r="Q264" i="2"/>
  <c r="Q228" i="2"/>
  <c r="Q180" i="2"/>
  <c r="Q144" i="2"/>
  <c r="Q24" i="2"/>
  <c r="Q2232" i="2"/>
  <c r="Q2208" i="2"/>
  <c r="Q2184" i="2"/>
  <c r="Q2172" i="2"/>
  <c r="Q2148" i="2"/>
  <c r="Q2124" i="2"/>
  <c r="Q2100" i="2"/>
  <c r="Q2076" i="2"/>
  <c r="Q2064" i="2"/>
  <c r="Q2040" i="2"/>
  <c r="Q2016" i="2"/>
  <c r="Q1992" i="2"/>
  <c r="Q1968" i="2"/>
  <c r="Q1944" i="2"/>
  <c r="Q1932" i="2"/>
  <c r="Q1908" i="2"/>
  <c r="Q1884" i="2"/>
  <c r="Q1860" i="2"/>
  <c r="Q1836" i="2"/>
  <c r="Q1812" i="2"/>
  <c r="Q1788" i="2"/>
  <c r="Q1764" i="2"/>
  <c r="Q1752" i="2"/>
  <c r="Q1728" i="2"/>
  <c r="Q1704" i="2"/>
  <c r="Q1680" i="2"/>
  <c r="Q1656" i="2"/>
  <c r="Q1632" i="2"/>
  <c r="Q1620" i="2"/>
  <c r="Q1596" i="2"/>
  <c r="Q1572" i="2"/>
  <c r="Q1548" i="2"/>
  <c r="Q1524" i="2"/>
  <c r="Q1500" i="2"/>
  <c r="Q1476" i="2"/>
  <c r="Q1464" i="2"/>
  <c r="Q1440" i="2"/>
  <c r="Q1416" i="2"/>
  <c r="Q1392" i="2"/>
  <c r="Q1380" i="2"/>
  <c r="Q1308" i="2"/>
  <c r="Q1236" i="2"/>
  <c r="Q1212" i="2"/>
  <c r="Q1200" i="2"/>
  <c r="Q1128" i="2"/>
  <c r="Q780" i="2"/>
  <c r="Q2205" i="2"/>
  <c r="Q2193" i="2"/>
  <c r="Q2157" i="2"/>
  <c r="Q2133" i="2"/>
  <c r="Q2121" i="2"/>
  <c r="Q2061" i="2"/>
  <c r="Q2049" i="2"/>
  <c r="Q2025" i="2"/>
  <c r="Q1989" i="2"/>
  <c r="Q1977" i="2"/>
  <c r="Q1917" i="2"/>
  <c r="Q1905" i="2"/>
  <c r="Q1869" i="2"/>
  <c r="Q1845" i="2"/>
  <c r="Q1833" i="2"/>
  <c r="Q1773" i="2"/>
  <c r="Q1761" i="2"/>
  <c r="Q1737" i="2"/>
  <c r="Q1701" i="2"/>
  <c r="Q1689" i="2"/>
  <c r="Q1629" i="2"/>
  <c r="Q1617" i="2"/>
  <c r="Q1581" i="2"/>
  <c r="Q1557" i="2"/>
  <c r="Q1545" i="2"/>
  <c r="Q1485" i="2"/>
  <c r="Q1473" i="2"/>
  <c r="Q1449" i="2"/>
  <c r="Q1413" i="2"/>
  <c r="Q1401" i="2"/>
  <c r="Q1353" i="2"/>
  <c r="Q1341" i="2"/>
  <c r="Q1329" i="2"/>
  <c r="Q1245" i="2"/>
  <c r="Q1197" i="2"/>
  <c r="Q1185" i="2"/>
  <c r="Q1149" i="2"/>
  <c r="Q1137" i="2"/>
  <c r="Q1113" i="2"/>
  <c r="Q1089" i="2"/>
  <c r="Q1077" i="2"/>
  <c r="Q1065" i="2"/>
  <c r="Q1041" i="2"/>
  <c r="Q1017" i="2"/>
  <c r="Q1005" i="2"/>
  <c r="Q957" i="2"/>
  <c r="Q933" i="2"/>
  <c r="Q897" i="2"/>
  <c r="Q885" i="2"/>
  <c r="Q873" i="2"/>
  <c r="Q849" i="2"/>
  <c r="Q837" i="2"/>
  <c r="Q813" i="2"/>
  <c r="Q789" i="2"/>
  <c r="Q777" i="2"/>
  <c r="Q765" i="2"/>
  <c r="Q753" i="2"/>
  <c r="Q741" i="2"/>
  <c r="Q729" i="2"/>
  <c r="Q705" i="2"/>
  <c r="Q693" i="2"/>
  <c r="Q1542" i="2"/>
  <c r="Q1470" i="2"/>
  <c r="Q1398" i="2"/>
  <c r="Q1374" i="2"/>
  <c r="Q1362" i="2"/>
  <c r="Q1350" i="2"/>
  <c r="Q1338" i="2"/>
  <c r="Q1326" i="2"/>
  <c r="Q1314" i="2"/>
  <c r="Q1302" i="2"/>
  <c r="Q1290" i="2"/>
  <c r="Q1278" i="2"/>
  <c r="Q1266" i="2"/>
  <c r="Q1254" i="2"/>
  <c r="Q1242" i="2"/>
  <c r="Q1230" i="2"/>
  <c r="Q1218" i="2"/>
  <c r="Q1206" i="2"/>
  <c r="Q1194" i="2"/>
  <c r="Q1182" i="2"/>
  <c r="Q1170" i="2"/>
  <c r="Q1158" i="2"/>
  <c r="Q1146" i="2"/>
  <c r="Q1134" i="2"/>
  <c r="Q1122" i="2"/>
  <c r="Q1110" i="2"/>
  <c r="Q1098" i="2"/>
  <c r="Q1074" i="2"/>
  <c r="Q1050" i="2"/>
  <c r="Q1014" i="2"/>
  <c r="Q990" i="2"/>
  <c r="Q978" i="2"/>
  <c r="Q918" i="2"/>
  <c r="Q906" i="2"/>
  <c r="Q894" i="2"/>
  <c r="Q882" i="2"/>
  <c r="Q846" i="2"/>
  <c r="Q834" i="2"/>
  <c r="Q810" i="2"/>
  <c r="Q762" i="2"/>
  <c r="Q750" i="2"/>
  <c r="Q726" i="2"/>
  <c r="Q702" i="2"/>
  <c r="Q690" i="2"/>
  <c r="Q678" i="2"/>
  <c r="Q642" i="2"/>
  <c r="Q630" i="2"/>
  <c r="Q606" i="2"/>
  <c r="Q558" i="2"/>
  <c r="Q534" i="2"/>
  <c r="Q522" i="2"/>
  <c r="Q486" i="2"/>
  <c r="Q462" i="2"/>
  <c r="Q414" i="2"/>
  <c r="Q402" i="2"/>
  <c r="Q378" i="2"/>
  <c r="Q342" i="2"/>
  <c r="Q318" i="2"/>
  <c r="Q306" i="2"/>
  <c r="Q282" i="2"/>
  <c r="Q270" i="2"/>
  <c r="Q246" i="2"/>
  <c r="Q234" i="2"/>
  <c r="Q162" i="2"/>
  <c r="Q126" i="2"/>
  <c r="Q114" i="2"/>
  <c r="Q90" i="2"/>
  <c r="Q78" i="2"/>
  <c r="Q54" i="2"/>
  <c r="Q42" i="2"/>
  <c r="Q30" i="2"/>
  <c r="Q6" i="2"/>
  <c r="Q2237" i="2"/>
  <c r="Q2177" i="2"/>
  <c r="Q2165" i="2"/>
  <c r="Q2105" i="2"/>
  <c r="Q2093" i="2"/>
  <c r="Q2033" i="2"/>
  <c r="Q2021" i="2"/>
  <c r="Q1961" i="2"/>
  <c r="Q1949" i="2"/>
  <c r="Q1889" i="2"/>
  <c r="Q1877" i="2"/>
  <c r="Q1817" i="2"/>
  <c r="Q1805" i="2"/>
  <c r="Q1745" i="2"/>
  <c r="Q1733" i="2"/>
  <c r="Q1673" i="2"/>
  <c r="Q1661" i="2"/>
  <c r="Q1601" i="2"/>
  <c r="Q1589" i="2"/>
  <c r="Q1529" i="2"/>
  <c r="Q1517" i="2"/>
  <c r="Q1457" i="2"/>
  <c r="Q1445" i="2"/>
  <c r="Q1385" i="2"/>
  <c r="Q1337" i="2"/>
  <c r="Q1181" i="2"/>
  <c r="Q1145" i="2"/>
  <c r="Q1109" i="2"/>
  <c r="Q1073" i="2"/>
  <c r="Q1037" i="2"/>
  <c r="Q893" i="2"/>
  <c r="Q773" i="2"/>
  <c r="Q713" i="2"/>
  <c r="Q509" i="2"/>
  <c r="Q485" i="2"/>
  <c r="Q461" i="2"/>
  <c r="Q425" i="2"/>
  <c r="Q317" i="2"/>
  <c r="Q173" i="2"/>
  <c r="Q137" i="2"/>
  <c r="Q89" i="2"/>
  <c r="Q29" i="2"/>
  <c r="Q1301" i="2"/>
  <c r="Q1289" i="2"/>
  <c r="Q1169" i="2"/>
  <c r="Q1097" i="2"/>
  <c r="Q1085" i="2"/>
  <c r="Q1049" i="2"/>
  <c r="Q1001" i="2"/>
  <c r="Q977" i="2"/>
  <c r="Q905" i="2"/>
  <c r="Q881" i="2"/>
  <c r="Q845" i="2"/>
  <c r="Q833" i="2"/>
  <c r="Q821" i="2"/>
  <c r="Q797" i="2"/>
  <c r="Q761" i="2"/>
  <c r="Q749" i="2"/>
  <c r="Q689" i="2"/>
  <c r="Q677" i="2"/>
  <c r="Q641" i="2"/>
  <c r="Q605" i="2"/>
  <c r="Q545" i="2"/>
  <c r="Q521" i="2"/>
  <c r="Q449" i="2"/>
  <c r="Q437" i="2"/>
  <c r="Q401" i="2"/>
  <c r="Q377" i="2"/>
  <c r="Q305" i="2"/>
  <c r="Q281" i="2"/>
  <c r="Q257" i="2"/>
  <c r="Q221" i="2"/>
  <c r="Q197" i="2"/>
  <c r="Q161" i="2"/>
  <c r="Q149" i="2"/>
  <c r="Q113" i="2"/>
  <c r="Q77" i="2"/>
  <c r="Q41" i="2"/>
  <c r="Q5" i="2"/>
  <c r="Q1275" i="2"/>
  <c r="Q1263" i="2"/>
  <c r="Q1155" i="2"/>
  <c r="Q1095" i="2"/>
  <c r="Q1071" i="2"/>
  <c r="Q1059" i="2"/>
  <c r="Q1035" i="2"/>
  <c r="Q999" i="2"/>
  <c r="Q975" i="2"/>
  <c r="Q963" i="2"/>
  <c r="Q951" i="2"/>
  <c r="Q915" i="2"/>
  <c r="Q891" i="2"/>
  <c r="Q819" i="2"/>
  <c r="Q795" i="2"/>
  <c r="Q759" i="2"/>
  <c r="Q747" i="2"/>
  <c r="Q675" i="2"/>
  <c r="Q663" i="2"/>
  <c r="Q591" i="2"/>
  <c r="Q555" i="2"/>
  <c r="Q531" i="2"/>
  <c r="Q519" i="2"/>
  <c r="Q447" i="2"/>
  <c r="Q435" i="2"/>
  <c r="Q399" i="2"/>
  <c r="Q387" i="2"/>
  <c r="Q363" i="2"/>
  <c r="Q351" i="2"/>
  <c r="Q315" i="2"/>
  <c r="Q291" i="2"/>
  <c r="Q243" i="2"/>
  <c r="Q219" i="2"/>
  <c r="Q195" i="2"/>
  <c r="Q159" i="2"/>
  <c r="Q147" i="2"/>
  <c r="Q99" i="2"/>
  <c r="Q75" i="2"/>
  <c r="Q63" i="2"/>
  <c r="Q1262" i="2"/>
  <c r="Q1250" i="2"/>
  <c r="Q1154" i="2"/>
  <c r="Q1058" i="2"/>
  <c r="Q1046" i="2"/>
  <c r="Q1034" i="2"/>
  <c r="Q962" i="2"/>
  <c r="Q950" i="2"/>
  <c r="Q914" i="2"/>
  <c r="Q890" i="2"/>
  <c r="Q818" i="2"/>
  <c r="Q806" i="2"/>
  <c r="Q734" i="2"/>
  <c r="Q710" i="2"/>
  <c r="Q674" i="2"/>
  <c r="Q662" i="2"/>
  <c r="Q590" i="2"/>
  <c r="Q554" i="2"/>
  <c r="Q518" i="2"/>
  <c r="Q506" i="2"/>
  <c r="Q470" i="2"/>
  <c r="Q434" i="2"/>
  <c r="Q374" i="2"/>
  <c r="Q362" i="2"/>
  <c r="Q350" i="2"/>
  <c r="Q314" i="2"/>
  <c r="Q290" i="2"/>
  <c r="Q230" i="2"/>
  <c r="Q206" i="2"/>
  <c r="Q134" i="2"/>
  <c r="Q110" i="2"/>
  <c r="Q86" i="2"/>
  <c r="Q74" i="2"/>
  <c r="Q62" i="2"/>
  <c r="Q648" i="2"/>
  <c r="Q636" i="2"/>
  <c r="Q576" i="2"/>
  <c r="Q504" i="2"/>
  <c r="Q492" i="2"/>
  <c r="Q420" i="2"/>
  <c r="Q348" i="2"/>
  <c r="Q276" i="2"/>
  <c r="Q204" i="2"/>
  <c r="Q192" i="2"/>
  <c r="Q120" i="2"/>
  <c r="Q60" i="2"/>
  <c r="Q48" i="2"/>
  <c r="S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E3F6E4-63A2-4DB4-892E-C9EDC82B79D4}" keepAlive="1" name="Query - customer_dataset" description="Connection to the 'customer_dataset' query in the workbook." type="5" refreshedVersion="8" background="1" saveData="1">
    <dbPr connection="Provider=Microsoft.Mashup.OleDb.1;Data Source=$Workbook$;Location=customer_dataset;Extended Properties=&quot;&quot;" command="SELECT * FROM [customer_dataset]"/>
  </connection>
  <connection id="2" xr16:uid="{963B5BDA-973D-478D-B23F-36F20F61FD23}" keepAlive="1" name="Query - purchase_dataset" description="Connection to the 'purchase_dataset' query in the workbook." type="5" refreshedVersion="8" background="1" saveData="1">
    <dbPr connection="Provider=Microsoft.Mashup.OleDb.1;Data Source=$Workbook$;Location=purchase_dataset;Extended Properties=&quot;&quot;" command="SELECT * FROM [purchase_datase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<sst xmlns="http://schemas.openxmlformats.org/spreadsheetml/2006/main" count="4635" uniqueCount="65">
  <si>
    <t>Column1</t>
  </si>
  <si>
    <t>ID</t>
  </si>
  <si>
    <t>Year_Birth</t>
  </si>
  <si>
    <t>Education</t>
  </si>
  <si>
    <t>Marital_Status</t>
  </si>
  <si>
    <t>Income</t>
  </si>
  <si>
    <t>Kidhome</t>
  </si>
  <si>
    <t>Teenhome</t>
  </si>
  <si>
    <t>Dt_Customer</t>
  </si>
  <si>
    <t>Recency</t>
  </si>
  <si>
    <t>Graduation</t>
  </si>
  <si>
    <t>Single</t>
  </si>
  <si>
    <t>Together</t>
  </si>
  <si>
    <t>PhD</t>
  </si>
  <si>
    <t>Married</t>
  </si>
  <si>
    <t>Master</t>
  </si>
  <si>
    <t>Divorced</t>
  </si>
  <si>
    <t>Basic</t>
  </si>
  <si>
    <t>2n Cycle</t>
  </si>
  <si>
    <t>Widow</t>
  </si>
  <si>
    <t>Alone</t>
  </si>
  <si>
    <t>Absurd</t>
  </si>
  <si>
    <t>YOLO</t>
  </si>
  <si>
    <t>MntFruits</t>
  </si>
  <si>
    <t>MntSweetProducts</t>
  </si>
  <si>
    <t>NumWebPurchases</t>
  </si>
  <si>
    <t>NumStorePurchases</t>
  </si>
  <si>
    <t>AGE</t>
  </si>
  <si>
    <t>AGE GROUP</t>
  </si>
  <si>
    <t>TOTAL PURCHASE</t>
  </si>
  <si>
    <t>Dataset - 1</t>
  </si>
  <si>
    <t>Dataset - 2</t>
  </si>
  <si>
    <t>1.(Step) : Answers</t>
  </si>
  <si>
    <t>Row Labels</t>
  </si>
  <si>
    <t>&gt;50</t>
  </si>
  <si>
    <t>30-50</t>
  </si>
  <si>
    <t>Grand Total</t>
  </si>
  <si>
    <t>Sum of TOTAL PURCHASE</t>
  </si>
  <si>
    <t>Product Category</t>
  </si>
  <si>
    <t>Sweet products</t>
  </si>
  <si>
    <t>Fruits</t>
  </si>
  <si>
    <t>Total Combined</t>
  </si>
  <si>
    <t>2.(Step) : Answers</t>
  </si>
  <si>
    <t>Total Sales Amount</t>
  </si>
  <si>
    <t>Sum of Total Sales Amount</t>
  </si>
  <si>
    <t>Income group</t>
  </si>
  <si>
    <t>3.(Step) : Answers</t>
  </si>
  <si>
    <t>100k</t>
  </si>
  <si>
    <t>30k</t>
  </si>
  <si>
    <t>30k-50k</t>
  </si>
  <si>
    <t>50k-75k</t>
  </si>
  <si>
    <t>75k-100k</t>
  </si>
  <si>
    <t>Average of TOTAL PURCHASE</t>
  </si>
  <si>
    <t>Lifespan years</t>
  </si>
  <si>
    <t>Average of Lifespan years</t>
  </si>
  <si>
    <t>Average of Income</t>
  </si>
  <si>
    <t>Column Labels</t>
  </si>
  <si>
    <t>Average of Recency</t>
  </si>
  <si>
    <t>Formulas</t>
  </si>
  <si>
    <t>Total Revenue</t>
  </si>
  <si>
    <t>Total Purchase Volume</t>
  </si>
  <si>
    <t>Total Average income</t>
  </si>
  <si>
    <t>Average Regency</t>
  </si>
  <si>
    <t>Pivot Charts</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</si>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</sst>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sz val="11"/>
      <color rgb="FFFF0000"/>
      <name val="Calibri"/>
      <family val="2"/>
      <scheme val="minor"/>
    </font>
    <font>
      <b/>
      <sz val="11"/>
      <color theme="1"/>
      <name val="Calibri"/>
      <family val="2"/>
      <scheme val="minor"/>
    </font>
    <font>
      <b/>
      <sz val="11"/>
      <color theme="5" tint="-0.249977111117893"/>
      <name val="Calibri"/>
      <family val="2"/>
      <scheme val="minor"/>
    </font>
    <font>
      <sz val="20"/>
      <color theme="0"/>
      <name val="Calibri"/>
      <family val="2"/>
      <scheme val="minor"/>
    </font>
    <font>
      <sz val="18"/>
      <color theme="0"/>
      <name val="Calibri"/>
      <family val="2"/>
      <scheme val="minor"/>
    </font>
    <font>
      <sz val="14"/>
      <color theme="0"/>
      <name val="Calibri"/>
      <family val="2"/>
      <scheme val="minor"/>
    </font>
    <font>
      <sz val="16"/>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4" tint="0.39997558519241921"/>
        <bgColor indexed="64"/>
      </patternFill>
    </fill>
  </fills>
  <borders count="26">
    <border>
      <left/>
      <right/>
      <top/>
      <bottom/>
      <diagonal/>
    </border>
    <border>
      <left/>
      <right/>
      <top/>
      <bottom style="thin">
        <color theme="5"/>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0" fillId="0" borderId="0" xfId="0" applyNumberFormat="1"/>
    <xf numFmtId="14" fontId="0" fillId="0" borderId="0" xfId="0" applyNumberFormat="1"/>
    <xf numFmtId="0" fontId="3" fillId="0" borderId="1" xfId="0" applyFont="1" applyBorder="1"/>
    <xf numFmtId="0" fontId="0" fillId="0" borderId="0" xfId="0" applyAlignment="1">
      <alignment horizontal="center" vertical="center"/>
    </xf>
    <xf numFmtId="0" fontId="0" fillId="0" borderId="0" xfId="0" applyNumberFormat="1" applyAlignment="1">
      <alignment horizontal="center" vertical="center"/>
    </xf>
    <xf numFmtId="49" fontId="1" fillId="2" borderId="0" xfId="0" applyNumberFormat="1" applyFont="1" applyFill="1" applyAlignment="1">
      <alignment horizontal="center" vertical="center"/>
    </xf>
    <xf numFmtId="0" fontId="2" fillId="0" borderId="0" xfId="0" applyFont="1" applyAlignment="1">
      <alignment horizontal="center" vertical="center"/>
    </xf>
    <xf numFmtId="0" fontId="0" fillId="0" borderId="0" xfId="0" applyNumberFormat="1" applyAlignment="1">
      <alignment horizontal="center" vertical="center"/>
    </xf>
    <xf numFmtId="0" fontId="0" fillId="0" borderId="2" xfId="0" applyBorder="1"/>
    <xf numFmtId="0" fontId="0" fillId="0" borderId="3" xfId="0" applyBorder="1"/>
    <xf numFmtId="0" fontId="0" fillId="0" borderId="4" xfId="0" applyBorder="1"/>
    <xf numFmtId="0" fontId="0" fillId="0" borderId="2" xfId="0" pivotButton="1" applyBorder="1"/>
    <xf numFmtId="0" fontId="0" fillId="0" borderId="6" xfId="0" applyBorder="1"/>
    <xf numFmtId="0" fontId="0" fillId="0" borderId="2" xfId="0" applyBorder="1" applyAlignment="1">
      <alignment horizontal="left"/>
    </xf>
    <xf numFmtId="0" fontId="0" fillId="0" borderId="6" xfId="0" applyNumberFormat="1" applyBorder="1"/>
    <xf numFmtId="0" fontId="0" fillId="0" borderId="5" xfId="0" applyBorder="1" applyAlignment="1">
      <alignment horizontal="left"/>
    </xf>
    <xf numFmtId="0" fontId="0" fillId="0" borderId="7" xfId="0" applyNumberFormat="1" applyBorder="1"/>
    <xf numFmtId="0" fontId="0" fillId="0" borderId="9" xfId="0" applyBorder="1" applyAlignment="1">
      <alignment horizontal="left"/>
    </xf>
    <xf numFmtId="0" fontId="0" fillId="0" borderId="8" xfId="0" applyNumberFormat="1" applyBorder="1"/>
    <xf numFmtId="0" fontId="0" fillId="0" borderId="0" xfId="0" applyNumberFormat="1" applyAlignment="1">
      <alignment vertical="center"/>
    </xf>
    <xf numFmtId="0" fontId="0" fillId="0" borderId="10" xfId="0" applyBorder="1"/>
    <xf numFmtId="0" fontId="0" fillId="0" borderId="2" xfId="0" applyNumberFormat="1" applyBorder="1"/>
    <xf numFmtId="0" fontId="0" fillId="0" borderId="10" xfId="0" applyNumberFormat="1" applyBorder="1"/>
    <xf numFmtId="0" fontId="0" fillId="0" borderId="5" xfId="0" applyNumberFormat="1" applyBorder="1"/>
    <xf numFmtId="0" fontId="0" fillId="0" borderId="11" xfId="0" applyNumberFormat="1" applyBorder="1"/>
    <xf numFmtId="0" fontId="0" fillId="0" borderId="9" xfId="0" applyNumberFormat="1" applyBorder="1"/>
    <xf numFmtId="0" fontId="0" fillId="0" borderId="12" xfId="0" applyNumberFormat="1" applyBorder="1"/>
    <xf numFmtId="164" fontId="0" fillId="0" borderId="0" xfId="0" applyNumberFormat="1"/>
    <xf numFmtId="0" fontId="0" fillId="0" borderId="13" xfId="0" applyBorder="1"/>
    <xf numFmtId="0" fontId="0" fillId="0" borderId="13" xfId="0" applyNumberFormat="1" applyBorder="1"/>
    <xf numFmtId="0" fontId="0" fillId="0" borderId="14" xfId="0" applyNumberFormat="1" applyBorder="1"/>
    <xf numFmtId="0" fontId="0" fillId="0" borderId="15" xfId="0" applyNumberFormat="1" applyBorder="1"/>
    <xf numFmtId="0" fontId="0" fillId="0" borderId="0" xfId="0" applyBorder="1"/>
    <xf numFmtId="0" fontId="0" fillId="0" borderId="0" xfId="0" applyNumberFormat="1" applyBorder="1"/>
    <xf numFmtId="1" fontId="0" fillId="0" borderId="2" xfId="0" applyNumberFormat="1" applyBorder="1"/>
    <xf numFmtId="1" fontId="0" fillId="0" borderId="13" xfId="0" applyNumberFormat="1" applyBorder="1"/>
    <xf numFmtId="1" fontId="0" fillId="0" borderId="6" xfId="0" applyNumberFormat="1" applyBorder="1"/>
    <xf numFmtId="1" fontId="0" fillId="0" borderId="5" xfId="0" applyNumberFormat="1" applyBorder="1"/>
    <xf numFmtId="1" fontId="0" fillId="0" borderId="14" xfId="0" applyNumberFormat="1" applyBorder="1"/>
    <xf numFmtId="1" fontId="0" fillId="0" borderId="7" xfId="0" applyNumberFormat="1" applyBorder="1"/>
    <xf numFmtId="1" fontId="0" fillId="0" borderId="9" xfId="0" applyNumberFormat="1" applyBorder="1"/>
    <xf numFmtId="1" fontId="0" fillId="0" borderId="15" xfId="0" applyNumberFormat="1" applyBorder="1"/>
    <xf numFmtId="1" fontId="0" fillId="0" borderId="8" xfId="0" applyNumberFormat="1" applyBorder="1"/>
    <xf numFmtId="0" fontId="6" fillId="3" borderId="16" xfId="0" applyFont="1" applyFill="1" applyBorder="1" applyAlignment="1">
      <alignment horizontal="center" vertical="center"/>
    </xf>
    <xf numFmtId="164" fontId="7" fillId="4" borderId="16" xfId="0" applyNumberFormat="1" applyFont="1" applyFill="1" applyBorder="1" applyAlignment="1">
      <alignment horizontal="center" vertical="center"/>
    </xf>
    <xf numFmtId="164" fontId="5" fillId="4" borderId="16" xfId="0" applyNumberFormat="1" applyFont="1" applyFill="1" applyBorder="1" applyAlignment="1">
      <alignment horizontal="center" vertical="center"/>
    </xf>
    <xf numFmtId="164" fontId="4" fillId="4" borderId="16" xfId="0" applyNumberFormat="1" applyFont="1" applyFill="1" applyBorder="1" applyAlignment="1">
      <alignment horizontal="center" vertical="center"/>
    </xf>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6" fillId="3" borderId="25" xfId="0" applyFont="1" applyFill="1" applyBorder="1" applyAlignment="1">
      <alignment horizontal="center" vertical="center"/>
    </xf>
    <xf numFmtId="164" fontId="7" fillId="4" borderId="25" xfId="0" applyNumberFormat="1" applyFont="1" applyFill="1" applyBorder="1" applyAlignment="1">
      <alignment horizontal="center" vertical="center"/>
    </xf>
  </cellXfs>
  <cellStyles count="1">
    <cellStyle name="Normal" xfId="0" builtinId="0"/>
  </cellStyles>
  <dxfs count="8">
    <dxf>
      <numFmt numFmtId="1" formatCode="0"/>
    </dxf>
    <dxf>
      <font>
        <b/>
        <i val="0"/>
        <strike val="0"/>
        <condense val="0"/>
        <extend val="0"/>
        <outline val="0"/>
        <shadow val="0"/>
        <u val="none"/>
        <vertAlign val="baseline"/>
        <sz val="11"/>
        <color theme="5" tint="-0.249977111117893"/>
        <name val="Calibri"/>
        <family val="2"/>
        <scheme val="minor"/>
      </font>
    </dxf>
    <dxf>
      <border outline="0">
        <bottom style="thin">
          <color theme="5"/>
        </bottom>
      </border>
    </dxf>
    <dxf>
      <border outline="0">
        <top style="thin">
          <color theme="5"/>
        </top>
      </border>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[Retail_Customer_Behaviour_Dashboard_Excel_6.xlsx]Pivot!PivotTable1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Purchase by Age Group</a:t>
            </a:r>
          </a:p>
        </c:rich>
      </c:tx>
      <c:layout>
        <c:manualLayout>
          <c:xMode val="edge"/>
          <c:yMode val="edge"/>
          <c:x val="0.15928113826840598"/>
          <c:y val="7.43903164346751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80708661417324"/>
          <c:y val="0.34644668372670895"/>
          <c:w val="0.60136368110236216"/>
          <c:h val="0.4909058725735394"/>
        </c:manualLayout>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Pivot!$A$2:$A$4</c:f>
              <c:strCache>
                <c:ptCount val="2"/>
                <c:pt idx="0">
                  <c:v>&gt;50</c:v>
                </c:pt>
                <c:pt idx="1">
                  <c:v>30-50</c:v>
                </c:pt>
              </c:strCache>
            </c:strRef>
          </c:cat>
          <c:val>
            <c:numRef>
              <c:f>Pivot!$B$2:$B$4</c:f>
              <c:numCache>
                <c:formatCode>General</c:formatCode>
                <c:ptCount val="2"/>
                <c:pt idx="0">
                  <c:v>51375</c:v>
                </c:pt>
                <c:pt idx="1">
                  <c:v>22216</c:v>
                </c:pt>
              </c:numCache>
            </c:numRef>
          </c:val>
          <c:extLst>
            <c:ext xmlns:c16="http://schemas.microsoft.com/office/drawing/2014/chart" uri="{C3380CC4-5D6E-409C-BE32-E72D297353CC}">
              <c16:uniqueId val="{00000000-E168-41D9-84FB-850394135AD2}"/>
            </c:ext>
          </c:extLst>
        </c:ser>
        <c:dLbls>
          <c:dLblPos val="inEnd"/>
          <c:showLegendKey val="0"/>
          <c:showVal val="1"/>
          <c:showCatName val="0"/>
          <c:showSerName val="0"/>
          <c:showPercent val="0"/>
          <c:showBubbleSize val="0"/>
        </c:dLbls>
        <c:gapWidth val="219"/>
        <c:overlap val="-27"/>
        <c:axId val="1553261631"/>
        <c:axId val="1457920687"/>
      </c:barChart>
      <c:catAx>
        <c:axId val="15532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920687"/>
        <c:crosses val="autoZero"/>
        <c:auto val="1"/>
        <c:lblAlgn val="ctr"/>
        <c:lblOffset val="100"/>
        <c:noMultiLvlLbl val="0"/>
      </c:catAx>
      <c:valAx>
        <c:axId val="145792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6163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[Retail_Customer_Behaviour_Dashboard_Excel_6.xlsx]Pivot!PivotTable2</c:name>
    <c:fmtId val="2"/>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944985568089461"/>
              <c:y val="0.217051380789965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593662463145653"/>
                  <c:h val="0.17815491253163165"/>
                </c:manualLayout>
              </c15:layout>
            </c:ext>
          </c:extLst>
        </c:dLbl>
      </c:pivotFmt>
      <c:pivotFmt>
        <c:idx val="7"/>
        <c:spPr>
          <a:solidFill>
            <a:schemeClr val="accent2"/>
          </a:solidFill>
          <a:ln w="19050">
            <a:solidFill>
              <a:schemeClr val="lt1"/>
            </a:solidFill>
          </a:ln>
          <a:effectLst/>
        </c:spPr>
        <c:dLbl>
          <c:idx val="0"/>
          <c:layout>
            <c:manualLayout>
              <c:x val="-8.2611968333339794E-2"/>
              <c:y val="-0.1847662009021895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6267250102768908E-2"/>
                  <c:h val="0.1605842226867642"/>
                </c:manualLayout>
              </c15:layout>
            </c:ext>
          </c:extLst>
        </c:dLbl>
      </c:pivotFmt>
      <c:pivotFmt>
        <c:idx val="8"/>
        <c:spPr>
          <a:solidFill>
            <a:schemeClr val="accent3"/>
          </a:solidFill>
          <a:ln w="19050">
            <a:solidFill>
              <a:schemeClr val="lt1"/>
            </a:solidFill>
          </a:ln>
          <a:effectLst/>
        </c:spPr>
        <c:dLbl>
          <c:idx val="0"/>
          <c:layout>
            <c:manualLayout>
              <c:x val="0.15633117430992674"/>
              <c:y val="3.79057101991418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6806943251083161E-2"/>
                  <c:h val="0.17455715700297061"/>
                </c:manualLayout>
              </c15:layout>
            </c:ext>
          </c:extLst>
        </c:dLbl>
      </c:pivotFmt>
    </c:pivotFmts>
    <c:plotArea>
      <c:layout/>
      <c:pieChart>
        <c:varyColors val="1"/>
        <c:ser>
          <c:idx val="0"/>
          <c:order val="0"/>
          <c:tx>
            <c:strRef>
              <c:f>Pivot!$B$6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88-4E9E-9116-168FC981AD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88-4E9E-9116-168FC981AD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88-4E9E-9116-168FC981AD13}"/>
              </c:ext>
            </c:extLst>
          </c:dPt>
          <c:dLbls>
            <c:dLbl>
              <c:idx val="0"/>
              <c:layout>
                <c:manualLayout>
                  <c:x val="-0.11944985568089461"/>
                  <c:y val="0.217051380789965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593662463145653"/>
                      <c:h val="0.17815491253163165"/>
                    </c:manualLayout>
                  </c15:layout>
                </c:ext>
                <c:ext xmlns:c16="http://schemas.microsoft.com/office/drawing/2014/chart" uri="{C3380CC4-5D6E-409C-BE32-E72D297353CC}">
                  <c16:uniqueId val="{00000001-7988-4E9E-9116-168FC981AD13}"/>
                </c:ext>
              </c:extLst>
            </c:dLbl>
            <c:dLbl>
              <c:idx val="1"/>
              <c:layout>
                <c:manualLayout>
                  <c:x val="-8.2611968333339794E-2"/>
                  <c:y val="-0.1847662009021895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6267250102768908E-2"/>
                      <c:h val="0.1605842226867642"/>
                    </c:manualLayout>
                  </c15:layout>
                </c:ext>
                <c:ext xmlns:c16="http://schemas.microsoft.com/office/drawing/2014/chart" uri="{C3380CC4-5D6E-409C-BE32-E72D297353CC}">
                  <c16:uniqueId val="{00000003-7988-4E9E-9116-168FC981AD13}"/>
                </c:ext>
              </c:extLst>
            </c:dLbl>
            <c:dLbl>
              <c:idx val="2"/>
              <c:layout>
                <c:manualLayout>
                  <c:x val="0.15633117430992674"/>
                  <c:y val="3.79057101991418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6806943251083161E-2"/>
                      <c:h val="0.17455715700297061"/>
                    </c:manualLayout>
                  </c15:layout>
                </c:ext>
                <c:ext xmlns:c16="http://schemas.microsoft.com/office/drawing/2014/chart" uri="{C3380CC4-5D6E-409C-BE32-E72D297353CC}">
                  <c16:uniqueId val="{00000005-7988-4E9E-9116-168FC981AD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Pivot!$A$7:$A$10</c:f>
              <c:strCache>
                <c:ptCount val="3"/>
                <c:pt idx="0">
                  <c:v>Fruits</c:v>
                </c:pt>
                <c:pt idx="1">
                  <c:v>Sweet products</c:v>
                </c:pt>
                <c:pt idx="2">
                  <c:v>Total Combined</c:v>
                </c:pt>
              </c:strCache>
            </c:strRef>
          </c:cat>
          <c:val>
            <c:numRef>
              <c:f>Pivot!$B$7:$B$10</c:f>
              <c:numCache>
                <c:formatCode>General</c:formatCode>
                <c:ptCount val="3"/>
                <c:pt idx="0">
                  <c:v>58917</c:v>
                </c:pt>
                <c:pt idx="1">
                  <c:v>60621</c:v>
                </c:pt>
                <c:pt idx="2">
                  <c:v>119538</c:v>
                </c:pt>
              </c:numCache>
            </c:numRef>
          </c:val>
          <c:extLst>
            <c:ext xmlns:c16="http://schemas.microsoft.com/office/drawing/2014/chart" uri="{C3380CC4-5D6E-409C-BE32-E72D297353CC}">
              <c16:uniqueId val="{00000006-7988-4E9E-9116-168FC981AD13}"/>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 Income &amp; Total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Pivot!$F$13:$F$17</c:f>
              <c:strCache>
                <c:ptCount val="5"/>
                <c:pt idx="0">
                  <c:v>30k</c:v>
                </c:pt>
                <c:pt idx="1">
                  <c:v>30k-50k</c:v>
                </c:pt>
                <c:pt idx="2">
                  <c:v>50k-75k</c:v>
                </c:pt>
                <c:pt idx="3">
                  <c:v>75k-100k</c:v>
                </c:pt>
                <c:pt idx="4">
                  <c:v>100k</c:v>
                </c:pt>
              </c:strCache>
            </c:strRef>
          </c:xVal>
          <c:yVal>
            <c:numRef>
              <c:f>Pivot!$G$13:$G$17</c:f>
              <c:numCache>
                <c:formatCode>General</c:formatCode>
                <c:ptCount val="5"/>
                <c:pt idx="0">
                  <c:v>13.017766497461929</c:v>
                </c:pt>
                <c:pt idx="1">
                  <c:v>12.946376811594202</c:v>
                </c:pt>
                <c:pt idx="2">
                  <c:v>13.003764115432872</c:v>
                </c:pt>
                <c:pt idx="3">
                  <c:v>12.898843930635838</c:v>
                </c:pt>
                <c:pt idx="4">
                  <c:v>12.923076923076923</c:v>
                </c:pt>
              </c:numCache>
            </c:numRef>
          </c:yVal>
          <c:smooth val="1"/>
          <c:extLst>
            <c:ext xmlns:c16="http://schemas.microsoft.com/office/drawing/2014/chart" uri="{C3380CC4-5D6E-409C-BE32-E72D297353CC}">
              <c16:uniqueId val="{00000000-6639-4F66-9E46-6DDFF769FD82}"/>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Pivot!$F$13:$F$17</c:f>
              <c:strCache>
                <c:ptCount val="5"/>
                <c:pt idx="0">
                  <c:v>30k</c:v>
                </c:pt>
                <c:pt idx="1">
                  <c:v>30k-50k</c:v>
                </c:pt>
                <c:pt idx="2">
                  <c:v>50k-75k</c:v>
                </c:pt>
                <c:pt idx="3">
                  <c:v>75k-100k</c:v>
                </c:pt>
                <c:pt idx="4">
                  <c:v>100k</c:v>
                </c:pt>
              </c:strCache>
            </c:strRef>
          </c:xVal>
          <c:yVal>
            <c:numRef>
              <c:f>Pivot!$I$13:$I$17</c:f>
              <c:numCache>
                <c:formatCode>General</c:formatCode>
                <c:ptCount val="5"/>
                <c:pt idx="0">
                  <c:v>10.611675126903553</c:v>
                </c:pt>
                <c:pt idx="1">
                  <c:v>11.31304347826087</c:v>
                </c:pt>
                <c:pt idx="2">
                  <c:v>43.12421580928482</c:v>
                </c:pt>
                <c:pt idx="3">
                  <c:v>76.49132947976878</c:v>
                </c:pt>
                <c:pt idx="4">
                  <c:v>59.07692307692308</c:v>
                </c:pt>
              </c:numCache>
            </c:numRef>
          </c:yVal>
          <c:smooth val="1"/>
          <c:extLst>
            <c:ext xmlns:c16="http://schemas.microsoft.com/office/drawing/2014/chart" uri="{C3380CC4-5D6E-409C-BE32-E72D297353CC}">
              <c16:uniqueId val="{00000002-6639-4F66-9E46-6DDFF769FD82}"/>
            </c:ext>
          </c:extLst>
        </c:ser>
        <c:dLbls>
          <c:showLegendKey val="0"/>
          <c:showVal val="0"/>
          <c:showCatName val="0"/>
          <c:showSerName val="0"/>
          <c:showPercent val="0"/>
          <c:showBubbleSize val="0"/>
        </c:dLbls>
        <c:axId val="1553660911"/>
        <c:axId val="1457768047"/>
      </c:scatterChart>
      <c:scatterChart>
        <c:scatterStyle val="smoothMarker"/>
        <c:varyColors val="0"/>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Pivot!$F$13:$F$17</c:f>
              <c:strCache>
                <c:ptCount val="5"/>
                <c:pt idx="0">
                  <c:v>30k</c:v>
                </c:pt>
                <c:pt idx="1">
                  <c:v>30k-50k</c:v>
                </c:pt>
                <c:pt idx="2">
                  <c:v>50k-75k</c:v>
                </c:pt>
                <c:pt idx="3">
                  <c:v>75k-100k</c:v>
                </c:pt>
                <c:pt idx="4">
                  <c:v>100k</c:v>
                </c:pt>
              </c:strCache>
            </c:strRef>
          </c:xVal>
          <c:yVal>
            <c:numRef>
              <c:f>Pivot!$H$13:$H$17</c:f>
              <c:numCache>
                <c:formatCode>General</c:formatCode>
                <c:ptCount val="5"/>
                <c:pt idx="0">
                  <c:v>4181</c:v>
                </c:pt>
                <c:pt idx="1">
                  <c:v>7806</c:v>
                </c:pt>
                <c:pt idx="2">
                  <c:v>34370</c:v>
                </c:pt>
                <c:pt idx="3">
                  <c:v>26466</c:v>
                </c:pt>
                <c:pt idx="4">
                  <c:v>768</c:v>
                </c:pt>
              </c:numCache>
            </c:numRef>
          </c:yVal>
          <c:smooth val="1"/>
          <c:extLst>
            <c:ext xmlns:c16="http://schemas.microsoft.com/office/drawing/2014/chart" uri="{C3380CC4-5D6E-409C-BE32-E72D297353CC}">
              <c16:uniqueId val="{00000001-6639-4F66-9E46-6DDFF769FD82}"/>
            </c:ext>
          </c:extLst>
        </c:ser>
        <c:dLbls>
          <c:showLegendKey val="0"/>
          <c:showVal val="0"/>
          <c:showCatName val="0"/>
          <c:showSerName val="0"/>
          <c:showPercent val="0"/>
          <c:showBubbleSize val="0"/>
        </c:dLbls>
        <c:axId val="1457837647"/>
        <c:axId val="1457840047"/>
      </c:scatterChart>
      <c:valAx>
        <c:axId val="15536609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68047"/>
        <c:crosses val="autoZero"/>
        <c:crossBetween val="midCat"/>
      </c:valAx>
      <c:valAx>
        <c:axId val="145776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660911"/>
        <c:crosses val="autoZero"/>
        <c:crossBetween val="midCat"/>
      </c:valAx>
      <c:valAx>
        <c:axId val="1457840047"/>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37647"/>
        <c:crosses val="max"/>
        <c:crossBetween val="midCat"/>
      </c:valAx>
      <c:valAx>
        <c:axId val="1457837647"/>
        <c:scaling>
          <c:orientation val="minMax"/>
        </c:scaling>
        <c:delete val="1"/>
        <c:axPos val="b"/>
        <c:majorTickMark val="out"/>
        <c:minorTickMark val="none"/>
        <c:tickLblPos val="nextTo"/>
        <c:crossAx val="1457840047"/>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[Retail_Customer_Behaviour_Dashboard_Excel_6.xlsx]Pivot!PivotTable10</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s>
    <c:plotArea>
      <c:layout/>
      <c:barChart>
        <c:barDir val="bar"/>
        <c:grouping val="clustered"/>
        <c:varyColors val="0"/>
        <c:ser>
          <c:idx val="0"/>
          <c:order val="0"/>
          <c:tx>
            <c:strRef>
              <c:f>Pivot!$B$21</c:f>
              <c:strCache>
                <c:ptCount val="1"/>
                <c:pt idx="0">
                  <c:v>Sum of TOTAL PURCHASE</c:v>
                </c:pt>
              </c:strCache>
            </c:strRef>
          </c:tx>
          <c:spPr>
            <a:solidFill>
              <a:schemeClr val="accent1"/>
            </a:solidFill>
            <a:ln>
              <a:noFill/>
            </a:ln>
            <a:effectLst/>
          </c:spPr>
          <c:invertIfNegative val="0"/>
          <c:cat>
            <c:strRef>
              <c:f>Pivot!$A$22:$A$27</c:f>
              <c:strCache>
                <c:ptCount val="5"/>
                <c:pt idx="0">
                  <c:v>2n Cycle</c:v>
                </c:pt>
                <c:pt idx="1">
                  <c:v>Basic</c:v>
                </c:pt>
                <c:pt idx="2">
                  <c:v>Graduation</c:v>
                </c:pt>
                <c:pt idx="3">
                  <c:v>Master</c:v>
                </c:pt>
                <c:pt idx="4">
                  <c:v>PhD</c:v>
                </c:pt>
              </c:strCache>
            </c:strRef>
          </c:cat>
          <c:val>
            <c:numRef>
              <c:f>Pivot!$B$22:$B$27</c:f>
              <c:numCache>
                <c:formatCode>General</c:formatCode>
                <c:ptCount val="5"/>
                <c:pt idx="0">
                  <c:v>8071</c:v>
                </c:pt>
                <c:pt idx="1">
                  <c:v>808</c:v>
                </c:pt>
                <c:pt idx="2">
                  <c:v>41921</c:v>
                </c:pt>
                <c:pt idx="3">
                  <c:v>10017</c:v>
                </c:pt>
                <c:pt idx="4">
                  <c:v>12774</c:v>
                </c:pt>
              </c:numCache>
            </c:numRef>
          </c:val>
          <c:extLst>
            <c:ext xmlns:c16="http://schemas.microsoft.com/office/drawing/2014/chart" uri="{C3380CC4-5D6E-409C-BE32-E72D297353CC}">
              <c16:uniqueId val="{00000000-750E-4C9E-82A9-606662CB854E}"/>
            </c:ext>
          </c:extLst>
        </c:ser>
        <c:ser>
          <c:idx val="1"/>
          <c:order val="1"/>
          <c:tx>
            <c:strRef>
              <c:f>Pivot!$C$21</c:f>
              <c:strCache>
                <c:ptCount val="1"/>
                <c:pt idx="0">
                  <c:v>Average of Income</c:v>
                </c:pt>
              </c:strCache>
            </c:strRef>
          </c:tx>
          <c:spPr>
            <a:solidFill>
              <a:schemeClr val="accent2"/>
            </a:solidFill>
            <a:ln>
              <a:noFill/>
            </a:ln>
            <a:effectLst/>
          </c:spPr>
          <c:invertIfNegative val="0"/>
          <c:cat>
            <c:strRef>
              <c:f>Pivot!$A$22:$A$27</c:f>
              <c:strCache>
                <c:ptCount val="5"/>
                <c:pt idx="0">
                  <c:v>2n Cycle</c:v>
                </c:pt>
                <c:pt idx="1">
                  <c:v>Basic</c:v>
                </c:pt>
                <c:pt idx="2">
                  <c:v>Graduation</c:v>
                </c:pt>
                <c:pt idx="3">
                  <c:v>Master</c:v>
                </c:pt>
                <c:pt idx="4">
                  <c:v>PhD</c:v>
                </c:pt>
              </c:strCache>
            </c:strRef>
          </c:cat>
          <c:val>
            <c:numRef>
              <c:f>Pivot!$C$22:$C$27</c:f>
              <c:numCache>
                <c:formatCode>General</c:formatCode>
                <c:ptCount val="5"/>
                <c:pt idx="0">
                  <c:v>47633.19</c:v>
                </c:pt>
                <c:pt idx="1">
                  <c:v>20306.259259259259</c:v>
                </c:pt>
                <c:pt idx="2">
                  <c:v>52720.37365591398</c:v>
                </c:pt>
                <c:pt idx="3">
                  <c:v>52917.534246575342</c:v>
                </c:pt>
                <c:pt idx="4">
                  <c:v>56145.313929313932</c:v>
                </c:pt>
              </c:numCache>
            </c:numRef>
          </c:val>
          <c:extLst>
            <c:ext xmlns:c16="http://schemas.microsoft.com/office/drawing/2014/chart" uri="{C3380CC4-5D6E-409C-BE32-E72D297353CC}">
              <c16:uniqueId val="{00000001-750E-4C9E-82A9-606662CB854E}"/>
            </c:ext>
          </c:extLst>
        </c:ser>
        <c:ser>
          <c:idx val="2"/>
          <c:order val="2"/>
          <c:tx>
            <c:strRef>
              <c:f>Pivot!$D$21</c:f>
              <c:strCache>
                <c:ptCount val="1"/>
                <c:pt idx="0">
                  <c:v>Average of TOTAL PURCHASE</c:v>
                </c:pt>
              </c:strCache>
            </c:strRef>
          </c:tx>
          <c:spPr>
            <a:solidFill>
              <a:schemeClr val="accent3"/>
            </a:solidFill>
            <a:ln>
              <a:noFill/>
            </a:ln>
            <a:effectLst/>
          </c:spPr>
          <c:invertIfNegative val="0"/>
          <c:cat>
            <c:strRef>
              <c:f>Pivot!$A$22:$A$27</c:f>
              <c:strCache>
                <c:ptCount val="5"/>
                <c:pt idx="0">
                  <c:v>2n Cycle</c:v>
                </c:pt>
                <c:pt idx="1">
                  <c:v>Basic</c:v>
                </c:pt>
                <c:pt idx="2">
                  <c:v>Graduation</c:v>
                </c:pt>
                <c:pt idx="3">
                  <c:v>Master</c:v>
                </c:pt>
                <c:pt idx="4">
                  <c:v>PhD</c:v>
                </c:pt>
              </c:strCache>
            </c:strRef>
          </c:cat>
          <c:val>
            <c:numRef>
              <c:f>Pivot!$D$22:$D$27</c:f>
              <c:numCache>
                <c:formatCode>General</c:formatCode>
                <c:ptCount val="5"/>
                <c:pt idx="0">
                  <c:v>39.758620689655174</c:v>
                </c:pt>
                <c:pt idx="1">
                  <c:v>14.962962962962964</c:v>
                </c:pt>
                <c:pt idx="2">
                  <c:v>37.196983141082519</c:v>
                </c:pt>
                <c:pt idx="3">
                  <c:v>27.072972972972973</c:v>
                </c:pt>
                <c:pt idx="4">
                  <c:v>26.283950617283949</c:v>
                </c:pt>
              </c:numCache>
            </c:numRef>
          </c:val>
          <c:extLst>
            <c:ext xmlns:c16="http://schemas.microsoft.com/office/drawing/2014/chart" uri="{C3380CC4-5D6E-409C-BE32-E72D297353CC}">
              <c16:uniqueId val="{00000002-750E-4C9E-82A9-606662CB854E}"/>
            </c:ext>
          </c:extLst>
        </c:ser>
        <c:dLbls>
          <c:dLblPos val="inEnd"/>
          <c:showLegendKey val="0"/>
          <c:showVal val="0"/>
          <c:showCatName val="0"/>
          <c:showSerName val="0"/>
          <c:showPercent val="0"/>
          <c:showBubbleSize val="0"/>
        </c:dLbls>
        <c:gapWidth val="182"/>
        <c:axId val="1553586671"/>
        <c:axId val="1457778127"/>
      </c:barChart>
      <c:catAx>
        <c:axId val="155358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78127"/>
        <c:crosses val="autoZero"/>
        <c:auto val="1"/>
        <c:lblAlgn val="ctr"/>
        <c:lblOffset val="100"/>
        <c:noMultiLvlLbl val="0"/>
      </c:catAx>
      <c:valAx>
        <c:axId val="145777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8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754156</xdr:colOff>
      <xdr:row>34</xdr:row>
      <xdr:rowOff>25400</xdr:rowOff>
    </xdr:from>
    <xdr:to>
      <xdr:col>4</xdr:col>
      <xdr:colOff>879662</xdr:colOff>
      <xdr:row>47</xdr:row>
      <xdr:rowOff>121584</xdr:rowOff>
    </xdr:to>
    <mc:AlternateContent xmlns:mc="http://schemas.openxmlformats.org/markup-compatibility/2006">
      <mc:Choice xmlns:a14="http://schemas.microsoft.com/office/drawing/2010/main" Requires="a14">
        <xdr:graphicFrame macro="">
          <xdr:nvGraphicFramePr>
            <xdr:cNvPr id="9" name="Year_Birth">
              <a:extLst>
                <a:ext uri="{FF2B5EF4-FFF2-40B4-BE49-F238E27FC236}">
                  <a16:creationId xmlns:a16="http://schemas.microsoft.com/office/drawing/2014/main" id="{3F20CCE1-EBF6-35E8-15FB-CAFD0FCA25D9}"/>
                </a:ext>
              </a:extLst>
            </xdr:cNvPr>
            <xdr:cNvGraphicFramePr/>
          </xdr:nvGraphicFramePr>
          <xdr:xfrm>
            <a:off x="0" y="0"/>
            <a:ext cx="0" cy="0"/>
          </xdr:xfrm>
          <a:graphic>
            <a:graphicData uri="http://schemas.microsoft.com/office/drawing/2010/slicer">
              <sle:slicer xmlns:sle="http://schemas.microsoft.com/office/drawing/2010/slicer" name="Year_Birth"/>
            </a:graphicData>
          </a:graphic>
        </xdr:graphicFrame>
      </mc:Choice>
      <mc:Fallback>
        <xdr:sp macro="" textlink="">
          <xdr:nvSpPr>
            <xdr:cNvPr id="0" name=""/>
            <xdr:cNvSpPr>
              <a:spLocks noTextEdit="1"/>
            </xdr:cNvSpPr>
          </xdr:nvSpPr>
          <xdr:spPr>
            <a:xfrm>
              <a:off x="3189568" y="6375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393700</xdr:colOff>
      <xdr:row>36</xdr:row>
      <xdr:rowOff>128121</xdr:rowOff>
    </xdr:from>
    <xdr:to>
      <xdr:col>4</xdr:col>
      <xdr:colOff>1355912</xdr:colOff>
      <xdr:row>50</xdr:row>
      <xdr:rowOff>37540</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A9AFB822-CB5C-8D90-667A-D20A2C62356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665818" y="6851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869950</xdr:colOff>
      <xdr:row>39</xdr:row>
      <xdr:rowOff>44076</xdr:rowOff>
    </xdr:from>
    <xdr:to>
      <xdr:col>5</xdr:col>
      <xdr:colOff>286871</xdr:colOff>
      <xdr:row>52</xdr:row>
      <xdr:rowOff>140260</xdr:rowOff>
    </xdr:to>
    <mc:AlternateContent xmlns:mc="http://schemas.openxmlformats.org/markup-compatibility/2006">
      <mc:Choice xmlns:a14="http://schemas.microsoft.com/office/drawing/2010/main" Requires="a14">
        <xdr:graphicFrame macro="">
          <xdr:nvGraphicFramePr>
            <xdr:cNvPr id="11" name="Marital_Status">
              <a:extLst>
                <a:ext uri="{FF2B5EF4-FFF2-40B4-BE49-F238E27FC236}">
                  <a16:creationId xmlns:a16="http://schemas.microsoft.com/office/drawing/2014/main" id="{3FA1EC11-08F4-45CA-5338-AD7176421588}"/>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4135718" y="7327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150906</xdr:colOff>
      <xdr:row>41</xdr:row>
      <xdr:rowOff>146797</xdr:rowOff>
    </xdr:from>
    <xdr:to>
      <xdr:col>5</xdr:col>
      <xdr:colOff>440765</xdr:colOff>
      <xdr:row>55</xdr:row>
      <xdr:rowOff>56216</xdr:rowOff>
    </xdr:to>
    <mc:AlternateContent xmlns:mc="http://schemas.openxmlformats.org/markup-compatibility/2006">
      <mc:Choice xmlns:a14="http://schemas.microsoft.com/office/drawing/2010/main" Requires="a14">
        <xdr:graphicFrame macro="">
          <xdr:nvGraphicFramePr>
            <xdr:cNvPr id="12" name="Income">
              <a:extLst>
                <a:ext uri="{FF2B5EF4-FFF2-40B4-BE49-F238E27FC236}">
                  <a16:creationId xmlns:a16="http://schemas.microsoft.com/office/drawing/2014/main" id="{6B53C27B-06A9-79AF-F856-D415D36B19EA}"/>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4289612" y="7804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627156</xdr:colOff>
      <xdr:row>44</xdr:row>
      <xdr:rowOff>62753</xdr:rowOff>
    </xdr:from>
    <xdr:to>
      <xdr:col>6</xdr:col>
      <xdr:colOff>28015</xdr:colOff>
      <xdr:row>57</xdr:row>
      <xdr:rowOff>158937</xdr:rowOff>
    </xdr:to>
    <mc:AlternateContent xmlns:mc="http://schemas.openxmlformats.org/markup-compatibility/2006">
      <mc:Choice xmlns:a14="http://schemas.microsoft.com/office/drawing/2010/main" Requires="a14">
        <xdr:graphicFrame macro="">
          <xdr:nvGraphicFramePr>
            <xdr:cNvPr id="13" name="Kidhome">
              <a:extLst>
                <a:ext uri="{FF2B5EF4-FFF2-40B4-BE49-F238E27FC236}">
                  <a16:creationId xmlns:a16="http://schemas.microsoft.com/office/drawing/2014/main" id="{6BD0D978-B206-F53F-7D4E-BDC822CA53DC}"/>
                </a:ext>
              </a:extLst>
            </xdr:cNvPr>
            <xdr:cNvGraphicFramePr/>
          </xdr:nvGraphicFramePr>
          <xdr:xfrm>
            <a:off x="0" y="0"/>
            <a:ext cx="0" cy="0"/>
          </xdr:xfrm>
          <a:graphic>
            <a:graphicData uri="http://schemas.microsoft.com/office/drawing/2010/slicer">
              <sle:slicer xmlns:sle="http://schemas.microsoft.com/office/drawing/2010/slicer" name="Kidhome"/>
            </a:graphicData>
          </a:graphic>
        </xdr:graphicFrame>
      </mc:Choice>
      <mc:Fallback>
        <xdr:sp macro="" textlink="">
          <xdr:nvSpPr>
            <xdr:cNvPr id="0" name=""/>
            <xdr:cNvSpPr>
              <a:spLocks noTextEdit="1"/>
            </xdr:cNvSpPr>
          </xdr:nvSpPr>
          <xdr:spPr>
            <a:xfrm>
              <a:off x="4765862" y="8280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35112</xdr:colOff>
      <xdr:row>46</xdr:row>
      <xdr:rowOff>165474</xdr:rowOff>
    </xdr:from>
    <xdr:to>
      <xdr:col>7</xdr:col>
      <xdr:colOff>85912</xdr:colOff>
      <xdr:row>60</xdr:row>
      <xdr:rowOff>74893</xdr:rowOff>
    </xdr:to>
    <mc:AlternateContent xmlns:mc="http://schemas.openxmlformats.org/markup-compatibility/2006">
      <mc:Choice xmlns:a14="http://schemas.microsoft.com/office/drawing/2010/main" Requires="a14">
        <xdr:graphicFrame macro="">
          <xdr:nvGraphicFramePr>
            <xdr:cNvPr id="14" name="AGE GROUP">
              <a:extLst>
                <a:ext uri="{FF2B5EF4-FFF2-40B4-BE49-F238E27FC236}">
                  <a16:creationId xmlns:a16="http://schemas.microsoft.com/office/drawing/2014/main" id="{8D48FA46-158E-5163-BE09-6F4C216BE2A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712759" y="8756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4004</xdr:colOff>
      <xdr:row>9</xdr:row>
      <xdr:rowOff>26637</xdr:rowOff>
    </xdr:from>
    <xdr:to>
      <xdr:col>8</xdr:col>
      <xdr:colOff>589643</xdr:colOff>
      <xdr:row>19</xdr:row>
      <xdr:rowOff>11545</xdr:rowOff>
    </xdr:to>
    <xdr:graphicFrame macro="">
      <xdr:nvGraphicFramePr>
        <xdr:cNvPr id="2" name="Chart 1">
          <a:extLst>
            <a:ext uri="{FF2B5EF4-FFF2-40B4-BE49-F238E27FC236}">
              <a16:creationId xmlns:a16="http://schemas.microsoft.com/office/drawing/2014/main" id="{82505FCE-2DA3-4BEE-9FDB-4AA968090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600942</xdr:colOff>
      <xdr:row>9</xdr:row>
      <xdr:rowOff>22516</xdr:rowOff>
    </xdr:from>
    <xdr:to>
      <xdr:col>14</xdr:col>
      <xdr:colOff>571500</xdr:colOff>
      <xdr:row>19</xdr:row>
      <xdr:rowOff>18143</xdr:rowOff>
    </xdr:to>
    <xdr:graphicFrame macro="">
      <xdr:nvGraphicFramePr>
        <xdr:cNvPr id="3" name="Chart 2">
          <a:extLst>
            <a:ext uri="{FF2B5EF4-FFF2-40B4-BE49-F238E27FC236}">
              <a16:creationId xmlns:a16="http://schemas.microsoft.com/office/drawing/2014/main" id="{D3AD890F-D77F-48B8-B414-B1DD60D91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18142</xdr:colOff>
      <xdr:row>19</xdr:row>
      <xdr:rowOff>22266</xdr:rowOff>
    </xdr:from>
    <xdr:to>
      <xdr:col>14</xdr:col>
      <xdr:colOff>580571</xdr:colOff>
      <xdr:row>30</xdr:row>
      <xdr:rowOff>154213</xdr:rowOff>
    </xdr:to>
    <xdr:graphicFrame macro="">
      <xdr:nvGraphicFramePr>
        <xdr:cNvPr id="4" name="Chart 3">
          <a:extLst>
            <a:ext uri="{FF2B5EF4-FFF2-40B4-BE49-F238E27FC236}">
              <a16:creationId xmlns:a16="http://schemas.microsoft.com/office/drawing/2014/main" id="{D0712769-B816-4E11-BDDF-156FCF41E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9072</xdr:colOff>
      <xdr:row>19</xdr:row>
      <xdr:rowOff>825</xdr:rowOff>
    </xdr:from>
    <xdr:to>
      <xdr:col>8</xdr:col>
      <xdr:colOff>598714</xdr:colOff>
      <xdr:row>30</xdr:row>
      <xdr:rowOff>172357</xdr:rowOff>
    </xdr:to>
    <xdr:graphicFrame macro="">
      <xdr:nvGraphicFramePr>
        <xdr:cNvPr id="5" name="Chart 4">
          <a:extLst>
            <a:ext uri="{FF2B5EF4-FFF2-40B4-BE49-F238E27FC236}">
              <a16:creationId xmlns:a16="http://schemas.microsoft.com/office/drawing/2014/main" id="{61B14D75-517A-4590-BA9E-704DD8456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14940</xdr:colOff>
      <xdr:row>1</xdr:row>
      <xdr:rowOff>7471</xdr:rowOff>
    </xdr:from>
    <xdr:ext cx="7358529" cy="558257"/>
    <xdr:sp macro="" textlink="">
      <xdr:nvSpPr>
        <xdr:cNvPr id="6" name="TextBox 5">
          <a:extLst>
            <a:ext uri="{FF2B5EF4-FFF2-40B4-BE49-F238E27FC236}">
              <a16:creationId xmlns:a16="http://schemas.microsoft.com/office/drawing/2014/main" id="{A59EEFB1-3984-C089-3743-3B0E68980283}"/>
            </a:ext>
          </a:extLst>
        </xdr:cNvPr>
        <xdr:cNvSpPr txBox="1"/>
      </xdr:nvSpPr>
      <xdr:spPr>
        <a:xfrm>
          <a:off x="1852705" y="201706"/>
          <a:ext cx="7358529" cy="558257"/>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a:solidFill>
                <a:schemeClr val="bg1"/>
              </a:solidFill>
            </a:rPr>
            <a:t>Behavioral Analytics Enhancement </a:t>
          </a:r>
        </a:p>
      </xdr:txBody>
    </xdr:sp>
    <xdr:clientData/>
  </xdr:oneCellAnchor>
  <xdr:twoCellAnchor editAs="oneCell">
    <xdr:from>
      <xdr:col>15</xdr:col>
      <xdr:colOff>11547</xdr:colOff>
      <xdr:row>1</xdr:row>
      <xdr:rowOff>22412</xdr:rowOff>
    </xdr:from>
    <xdr:to>
      <xdr:col>18</xdr:col>
      <xdr:colOff>29883</xdr:colOff>
      <xdr:row>9</xdr:row>
      <xdr:rowOff>2037</xdr:rowOff>
    </xdr:to>
    <mc:AlternateContent xmlns:mc="http://schemas.openxmlformats.org/markup-compatibility/2006">
      <mc:Choice xmlns:a14="http://schemas.microsoft.com/office/drawing/2010/main" Requires="a14">
        <xdr:graphicFrame macro="">
          <xdr:nvGraphicFramePr>
            <xdr:cNvPr id="7" name="Year_Birth 1">
              <a:extLst>
                <a:ext uri="{FF2B5EF4-FFF2-40B4-BE49-F238E27FC236}">
                  <a16:creationId xmlns:a16="http://schemas.microsoft.com/office/drawing/2014/main" id="{01577034-D02D-45C8-A026-3D683454CB32}"/>
                </a:ext>
              </a:extLst>
            </xdr:cNvPr>
            <xdr:cNvGraphicFramePr/>
          </xdr:nvGraphicFramePr>
          <xdr:xfrm>
            <a:off x="0" y="0"/>
            <a:ext cx="0" cy="0"/>
          </xdr:xfrm>
          <a:graphic>
            <a:graphicData uri="http://schemas.microsoft.com/office/drawing/2010/slicer">
              <sle:slicer xmlns:sle="http://schemas.microsoft.com/office/drawing/2010/slicer" name="Year_Birth 1"/>
            </a:graphicData>
          </a:graphic>
        </xdr:graphicFrame>
      </mc:Choice>
      <mc:Fallback>
        <xdr:sp macro="" textlink="">
          <xdr:nvSpPr>
            <xdr:cNvPr id="0" name=""/>
            <xdr:cNvSpPr>
              <a:spLocks noTextEdit="1"/>
            </xdr:cNvSpPr>
          </xdr:nvSpPr>
          <xdr:spPr>
            <a:xfrm>
              <a:off x="9190183" y="218685"/>
              <a:ext cx="1854064" cy="1457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603250</xdr:colOff>
      <xdr:row>9</xdr:row>
      <xdr:rowOff>2888</xdr:rowOff>
    </xdr:from>
    <xdr:to>
      <xdr:col>18</xdr:col>
      <xdr:colOff>103909</xdr:colOff>
      <xdr:row>15</xdr:row>
      <xdr:rowOff>69273</xdr:rowOff>
    </xdr:to>
    <mc:AlternateContent xmlns:mc="http://schemas.openxmlformats.org/markup-compatibility/2006">
      <mc:Choice xmlns:a14="http://schemas.microsoft.com/office/drawing/2010/main" Requires="a14">
        <xdr:graphicFrame macro="">
          <xdr:nvGraphicFramePr>
            <xdr:cNvPr id="8" name="Education 1">
              <a:extLst>
                <a:ext uri="{FF2B5EF4-FFF2-40B4-BE49-F238E27FC236}">
                  <a16:creationId xmlns:a16="http://schemas.microsoft.com/office/drawing/2014/main" id="{F1F2C23C-B0B4-4D16-8EA0-BAA3AA18A84F}"/>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9169977" y="1676979"/>
              <a:ext cx="1948296" cy="1174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45605</xdr:colOff>
      <xdr:row>1</xdr:row>
      <xdr:rowOff>37353</xdr:rowOff>
    </xdr:from>
    <xdr:to>
      <xdr:col>20</xdr:col>
      <xdr:colOff>582706</xdr:colOff>
      <xdr:row>10</xdr:row>
      <xdr:rowOff>115454</xdr:rowOff>
    </xdr:to>
    <mc:AlternateContent xmlns:mc="http://schemas.openxmlformats.org/markup-compatibility/2006">
      <mc:Choice xmlns:a14="http://schemas.microsoft.com/office/drawing/2010/main" Requires="a14">
        <xdr:graphicFrame macro="">
          <xdr:nvGraphicFramePr>
            <xdr:cNvPr id="9" name="Marital_Status 1">
              <a:extLst>
                <a:ext uri="{FF2B5EF4-FFF2-40B4-BE49-F238E27FC236}">
                  <a16:creationId xmlns:a16="http://schemas.microsoft.com/office/drawing/2014/main" id="{7063357F-F6C5-4D8C-9D2E-F899E4F15722}"/>
                </a:ext>
              </a:extLst>
            </xdr:cNvPr>
            <xdr:cNvGraphicFramePr/>
          </xdr:nvGraphicFramePr>
          <xdr:xfrm>
            <a:off x="0" y="0"/>
            <a:ext cx="0" cy="0"/>
          </xdr:xfrm>
          <a:graphic>
            <a:graphicData uri="http://schemas.microsoft.com/office/drawing/2010/slicer">
              <sle:slicer xmlns:sle="http://schemas.microsoft.com/office/drawing/2010/slicer" name="Marital_Status 1"/>
            </a:graphicData>
          </a:graphic>
        </xdr:graphicFrame>
      </mc:Choice>
      <mc:Fallback>
        <xdr:sp macro="" textlink="">
          <xdr:nvSpPr>
            <xdr:cNvPr id="0" name=""/>
            <xdr:cNvSpPr>
              <a:spLocks noTextEdit="1"/>
            </xdr:cNvSpPr>
          </xdr:nvSpPr>
          <xdr:spPr>
            <a:xfrm>
              <a:off x="11059969" y="233626"/>
              <a:ext cx="1760919" cy="1740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37862</xdr:colOff>
      <xdr:row>10</xdr:row>
      <xdr:rowOff>147205</xdr:rowOff>
    </xdr:from>
    <xdr:to>
      <xdr:col>20</xdr:col>
      <xdr:colOff>590176</xdr:colOff>
      <xdr:row>26</xdr:row>
      <xdr:rowOff>34635</xdr:rowOff>
    </xdr:to>
    <mc:AlternateContent xmlns:mc="http://schemas.openxmlformats.org/markup-compatibility/2006">
      <mc:Choice xmlns:a14="http://schemas.microsoft.com/office/drawing/2010/main" Requires="a14">
        <xdr:graphicFrame macro="">
          <xdr:nvGraphicFramePr>
            <xdr:cNvPr id="10" name="Income 1">
              <a:extLst>
                <a:ext uri="{FF2B5EF4-FFF2-40B4-BE49-F238E27FC236}">
                  <a16:creationId xmlns:a16="http://schemas.microsoft.com/office/drawing/2014/main" id="{75096966-4F03-43D7-AC23-CBB1E71844AC}"/>
                </a:ext>
              </a:extLst>
            </xdr:cNvPr>
            <xdr:cNvGraphicFramePr/>
          </xdr:nvGraphicFramePr>
          <xdr:xfrm>
            <a:off x="0" y="0"/>
            <a:ext cx="0" cy="0"/>
          </xdr:xfrm>
          <a:graphic>
            <a:graphicData uri="http://schemas.microsoft.com/office/drawing/2010/slicer">
              <sle:slicer xmlns:sle="http://schemas.microsoft.com/office/drawing/2010/slicer" name="Income 1"/>
            </a:graphicData>
          </a:graphic>
        </xdr:graphicFrame>
      </mc:Choice>
      <mc:Fallback>
        <xdr:sp macro="" textlink="">
          <xdr:nvSpPr>
            <xdr:cNvPr id="0" name=""/>
            <xdr:cNvSpPr>
              <a:spLocks noTextEdit="1"/>
            </xdr:cNvSpPr>
          </xdr:nvSpPr>
          <xdr:spPr>
            <a:xfrm>
              <a:off x="11052226" y="2006023"/>
              <a:ext cx="1776132" cy="2843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17658</xdr:colOff>
      <xdr:row>26</xdr:row>
      <xdr:rowOff>46182</xdr:rowOff>
    </xdr:from>
    <xdr:to>
      <xdr:col>20</xdr:col>
      <xdr:colOff>589643</xdr:colOff>
      <xdr:row>30</xdr:row>
      <xdr:rowOff>161636</xdr:rowOff>
    </xdr:to>
    <mc:AlternateContent xmlns:mc="http://schemas.openxmlformats.org/markup-compatibility/2006">
      <mc:Choice xmlns:a14="http://schemas.microsoft.com/office/drawing/2010/main" Requires="a14">
        <xdr:graphicFrame macro="">
          <xdr:nvGraphicFramePr>
            <xdr:cNvPr id="11" name="Kidhome 1">
              <a:extLst>
                <a:ext uri="{FF2B5EF4-FFF2-40B4-BE49-F238E27FC236}">
                  <a16:creationId xmlns:a16="http://schemas.microsoft.com/office/drawing/2014/main" id="{AAF8A33B-F54B-44A6-8F78-D2F689922B2F}"/>
                </a:ext>
              </a:extLst>
            </xdr:cNvPr>
            <xdr:cNvGraphicFramePr/>
          </xdr:nvGraphicFramePr>
          <xdr:xfrm>
            <a:off x="0" y="0"/>
            <a:ext cx="0" cy="0"/>
          </xdr:xfrm>
          <a:graphic>
            <a:graphicData uri="http://schemas.microsoft.com/office/drawing/2010/slicer">
              <sle:slicer xmlns:sle="http://schemas.microsoft.com/office/drawing/2010/slicer" name="Kidhome 1"/>
            </a:graphicData>
          </a:graphic>
        </xdr:graphicFrame>
      </mc:Choice>
      <mc:Fallback>
        <xdr:sp macro="" textlink="">
          <xdr:nvSpPr>
            <xdr:cNvPr id="0" name=""/>
            <xdr:cNvSpPr>
              <a:spLocks noTextEdit="1"/>
            </xdr:cNvSpPr>
          </xdr:nvSpPr>
          <xdr:spPr>
            <a:xfrm>
              <a:off x="11032022" y="4860637"/>
              <a:ext cx="1795803" cy="854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598714</xdr:colOff>
      <xdr:row>15</xdr:row>
      <xdr:rowOff>95251</xdr:rowOff>
    </xdr:from>
    <xdr:to>
      <xdr:col>18</xdr:col>
      <xdr:colOff>33990</xdr:colOff>
      <xdr:row>20</xdr:row>
      <xdr:rowOff>173182</xdr:rowOff>
    </xdr:to>
    <mc:AlternateContent xmlns:mc="http://schemas.openxmlformats.org/markup-compatibility/2006">
      <mc:Choice xmlns:a14="http://schemas.microsoft.com/office/drawing/2010/main" Requires="a14">
        <xdr:graphicFrame macro="">
          <xdr:nvGraphicFramePr>
            <xdr:cNvPr id="12" name="AGE GROUP 1">
              <a:extLst>
                <a:ext uri="{FF2B5EF4-FFF2-40B4-BE49-F238E27FC236}">
                  <a16:creationId xmlns:a16="http://schemas.microsoft.com/office/drawing/2014/main" id="{431093FB-C1F7-40EF-905B-065C4552F3D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9165441" y="2877706"/>
              <a:ext cx="1882913" cy="1001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13856</xdr:colOff>
      <xdr:row>20</xdr:row>
      <xdr:rowOff>158175</xdr:rowOff>
    </xdr:from>
    <xdr:to>
      <xdr:col>18</xdr:col>
      <xdr:colOff>6928</xdr:colOff>
      <xdr:row>30</xdr:row>
      <xdr:rowOff>163285</xdr:rowOff>
    </xdr:to>
    <mc:AlternateContent xmlns:mc="http://schemas.openxmlformats.org/markup-compatibility/2006">
      <mc:Choice xmlns:a14="http://schemas.microsoft.com/office/drawing/2010/main" Requires="a14">
        <xdr:graphicFrame macro="">
          <xdr:nvGraphicFramePr>
            <xdr:cNvPr id="13" name="TOTAL PURCHASE">
              <a:extLst>
                <a:ext uri="{FF2B5EF4-FFF2-40B4-BE49-F238E27FC236}">
                  <a16:creationId xmlns:a16="http://schemas.microsoft.com/office/drawing/2014/main" id="{05440AC7-D332-C53C-5E94-C36E116696F9}"/>
                </a:ext>
              </a:extLst>
            </xdr:cNvPr>
            <xdr:cNvGraphicFramePr/>
          </xdr:nvGraphicFramePr>
          <xdr:xfrm>
            <a:off x="0" y="0"/>
            <a:ext cx="0" cy="0"/>
          </xdr:xfrm>
          <a:graphic>
            <a:graphicData uri="http://schemas.microsoft.com/office/drawing/2010/slicer">
              <sle:slicer xmlns:sle="http://schemas.microsoft.com/office/drawing/2010/slicer" name="TOTAL PURCHASE"/>
            </a:graphicData>
          </a:graphic>
        </xdr:graphicFrame>
      </mc:Choice>
      <mc:Fallback>
        <xdr:sp macro="" textlink="">
          <xdr:nvSpPr>
            <xdr:cNvPr id="0" name=""/>
            <xdr:cNvSpPr>
              <a:spLocks noTextEdit="1"/>
            </xdr:cNvSpPr>
          </xdr:nvSpPr>
          <xdr:spPr>
            <a:xfrm>
              <a:off x="9192492" y="3864266"/>
              <a:ext cx="1828800" cy="1852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MISRA" refreshedDate="46280.862572453705" createdVersion="8" refreshedVersion="8" minRefreshableVersion="3" recordCount="2240" xr:uid="{8C91615A-27F7-465E-8AD2-DE9BDA6DCF2A}">
  <cacheSource type="worksheet">
    <worksheetSource ref="A2:Q2242" sheet="customer_dataset"/>
  </cacheSource>
  <cacheFields count="17">
    <cacheField name="Column1" numFmtId="0">
      <sharedItems containsSemiMixedTypes="0" containsString="0" containsNumber="1" containsInteger="1" minValue="0" maxValue="2239"/>
    </cacheField>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acheField>
    <cacheField name="Marital_Status" numFmtId="0">
      <sharedItems/>
    </cacheField>
    <cacheField name="Income" numFmtId="0">
      <sharedItems containsString="0" containsBlank="1" containsNumber="1" containsInteger="1" minValue="1730" maxValue="666666"/>
    </cacheField>
    <cacheField name="Kidhome" numFmtId="0">
      <sharedItems containsSemiMixedTypes="0" containsString="0" containsNumber="1" containsInteger="1" minValue="0" maxValue="2"/>
    </cacheField>
    <cacheField name="Teenhome" numFmtId="14">
      <sharedItems containsSemiMixedTypes="0" containsNonDate="0" containsDate="1" containsString="0" minDate="1899-12-30T00:00:00" maxDate="1900-01-02T00:00:00"/>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Fruits" numFmtId="0">
      <sharedItems containsSemiMixedTypes="0" containsString="0" containsNumber="1" containsInteger="1" minValue="0" maxValue="199"/>
    </cacheField>
    <cacheField name="MntSweetProducts" numFmtId="0">
      <sharedItems containsSemiMixedTypes="0" containsString="0" containsNumber="1" containsInteger="1" minValue="0" maxValue="263"/>
    </cacheField>
    <cacheField name="NumWebPurchases" numFmtId="0">
      <sharedItems containsSemiMixedTypes="0" containsString="0" containsNumber="1" containsInteger="1" minValue="0" maxValue="263"/>
    </cacheField>
    <cacheField name="NumStorePurchases" numFmtId="0">
      <sharedItems containsSemiMixedTypes="0" containsString="0" containsNumber="1" containsInteger="1" minValue="0" maxValue="13"/>
    </cacheField>
    <cacheField name="AGE" numFmtId="0">
      <sharedItems containsSemiMixedTypes="0" containsString="0" containsNumber="1" containsInteger="1" minValue="30" maxValue="133"/>
    </cacheField>
    <cacheField name="AGE GROUP" numFmtId="0">
      <sharedItems count="2">
        <s v="&gt;50"/>
        <s v="30-50"/>
      </sharedItems>
    </cacheField>
    <cacheField name="TOTAL PURCHASE" numFmtId="0">
      <sharedItems containsSemiMixedTypes="0" containsString="0" containsNumber="1" containsInteger="1" minValue="0" maxValue="263" count="185">
        <n v="92"/>
        <n v="3"/>
        <n v="31"/>
        <n v="7"/>
        <n v="33"/>
        <n v="52"/>
        <n v="56"/>
        <n v="5"/>
        <n v="1"/>
        <n v="4"/>
        <n v="120"/>
        <n v="10"/>
        <n v="80"/>
        <n v="16"/>
        <n v="18"/>
        <n v="25"/>
        <n v="27"/>
        <n v="43"/>
        <n v="9"/>
        <n v="41"/>
        <n v="11"/>
        <n v="15"/>
        <n v="263"/>
        <n v="76"/>
        <n v="28"/>
        <n v="77"/>
        <n v="20"/>
        <n v="54"/>
        <n v="183"/>
        <n v="6"/>
        <n v="39"/>
        <n v="14"/>
        <n v="50"/>
        <n v="180"/>
        <n v="47"/>
        <n v="34"/>
        <n v="133"/>
        <n v="130"/>
        <n v="24"/>
        <n v="30"/>
        <n v="126"/>
        <n v="8"/>
        <n v="2"/>
        <n v="66"/>
        <n v="19"/>
        <n v="23"/>
        <n v="114"/>
        <n v="78"/>
        <n v="140"/>
        <n v="45"/>
        <n v="36"/>
        <n v="12"/>
        <n v="68"/>
        <n v="143"/>
        <n v="46"/>
        <n v="110"/>
        <n v="26"/>
        <n v="87"/>
        <n v="108"/>
        <n v="82"/>
        <n v="85"/>
        <n v="35"/>
        <n v="22"/>
        <n v="94"/>
        <n v="57"/>
        <n v="73"/>
        <n v="42"/>
        <n v="17"/>
        <n v="101"/>
        <n v="83"/>
        <n v="79"/>
        <n v="125"/>
        <n v="179"/>
        <n v="38"/>
        <n v="32"/>
        <n v="96"/>
        <n v="186"/>
        <n v="111"/>
        <n v="37"/>
        <n v="59"/>
        <n v="142"/>
        <n v="21"/>
        <n v="173"/>
        <n v="128"/>
        <n v="185"/>
        <n v="53"/>
        <n v="155"/>
        <n v="102"/>
        <n v="138"/>
        <n v="29"/>
        <n v="146"/>
        <n v="60"/>
        <n v="156"/>
        <n v="55"/>
        <n v="58"/>
        <n v="103"/>
        <n v="129"/>
        <n v="157"/>
        <n v="195"/>
        <n v="115"/>
        <n v="136"/>
        <n v="141"/>
        <n v="63"/>
        <n v="97"/>
        <n v="13"/>
        <n v="40"/>
        <n v="51"/>
        <n v="99"/>
        <n v="116"/>
        <n v="44"/>
        <n v="184"/>
        <n v="104"/>
        <n v="163"/>
        <n v="75"/>
        <n v="203"/>
        <n v="202"/>
        <n v="205"/>
        <n v="86"/>
        <n v="88"/>
        <n v="65"/>
        <n v="70"/>
        <n v="48"/>
        <n v="64"/>
        <n v="61"/>
        <n v="192"/>
        <n v="49"/>
        <n v="168"/>
        <n v="84"/>
        <n v="62"/>
        <n v="124"/>
        <n v="95"/>
        <n v="112"/>
        <n v="109"/>
        <n v="123"/>
        <n v="147"/>
        <n v="89"/>
        <n v="72"/>
        <n v="165"/>
        <n v="131"/>
        <n v="170"/>
        <n v="69"/>
        <n v="118"/>
        <n v="145"/>
        <n v="161"/>
        <n v="167"/>
        <n v="164"/>
        <n v="135"/>
        <n v="148"/>
        <n v="105"/>
        <n v="67"/>
        <n v="176"/>
        <n v="113"/>
        <n v="159"/>
        <n v="91"/>
        <n v="152"/>
        <n v="0"/>
        <n v="100"/>
        <n v="117"/>
        <n v="119"/>
        <n v="154"/>
        <n v="158"/>
        <n v="122"/>
        <n v="200"/>
        <n v="153"/>
        <n v="172"/>
        <n v="81"/>
        <n v="134"/>
        <n v="149"/>
        <n v="169"/>
        <n v="98"/>
        <n v="206"/>
        <n v="132"/>
        <n v="175"/>
        <n v="93"/>
        <n v="107"/>
        <n v="187"/>
        <n v="74"/>
        <n v="162"/>
        <n v="197"/>
        <n v="174"/>
        <n v="262"/>
        <n v="90"/>
        <n v="189"/>
        <n v="137"/>
        <n v="71"/>
      </sharedItems>
    </cacheField>
  </cacheFields>
  <extLst>
    <ext xmlns:x14="http://schemas.microsoft.com/office/spreadsheetml/2009/9/main" uri="{725AE2AE-9491-48be-B2B4-4EB974FC3084}">
      <x14:pivotCacheDefinition pivotCacheId="17137181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MISRA" refreshedDate="46280.878043287034" createdVersion="8" refreshedVersion="8" minRefreshableVersion="3" recordCount="3" xr:uid="{216E6073-BAF6-49B2-B870-CF76544CA097}">
  <cacheSource type="worksheet">
    <worksheetSource ref="R2:S5" sheet="customer_dataset"/>
  </cacheSource>
  <cacheFields count="2">
    <cacheField name="Product Category" numFmtId="0">
      <sharedItems count="3">
        <s v="Sweet products"/>
        <s v="Fruits"/>
        <s v="Total Combined"/>
      </sharedItems>
    </cacheField>
    <cacheField name="Total Sales Amount" numFmtId="0">
      <sharedItems containsSemiMixedTypes="0" containsString="0" containsNumber="1" containsInteger="1" minValue="58917" maxValue="11953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MISRA" refreshedDate="46280.899815046294" createdVersion="8" refreshedVersion="8" minRefreshableVersion="3" recordCount="2240" xr:uid="{95593846-4169-48F5-9329-122419FCDDAC}">
  <cacheSource type="worksheet">
    <worksheetSource ref="B2:W2242" sheet="customer_dataset"/>
  </cacheSource>
  <cacheFields count="22">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Income" numFmtId="0">
      <sharedItems containsString="0" containsBlank="1" containsNumber="1" containsInteger="1" minValue="1730" maxValue="666666"/>
    </cacheField>
    <cacheField name="Kidhome" numFmtId="0">
      <sharedItems containsSemiMixedTypes="0" containsString="0" containsNumber="1" containsInteger="1" minValue="0" maxValue="2"/>
    </cacheField>
    <cacheField name="Teenhome" numFmtId="14">
      <sharedItems containsSemiMixedTypes="0" containsNonDate="0" containsDate="1" containsString="0" minDate="1899-12-30T00:00:00" maxDate="1900-01-02T00:00:00"/>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Fruits" numFmtId="0">
      <sharedItems containsSemiMixedTypes="0" containsString="0" containsNumber="1" containsInteger="1" minValue="0" maxValue="199"/>
    </cacheField>
    <cacheField name="MntSweetProducts" numFmtId="0">
      <sharedItems containsSemiMixedTypes="0" containsString="0" containsNumber="1" containsInteger="1" minValue="0" maxValue="263"/>
    </cacheField>
    <cacheField name="NumWebPurchases" numFmtId="0">
      <sharedItems containsSemiMixedTypes="0" containsString="0" containsNumber="1" containsInteger="1" minValue="0" maxValue="263"/>
    </cacheField>
    <cacheField name="NumStorePurchases" numFmtId="0">
      <sharedItems containsSemiMixedTypes="0" containsString="0" containsNumber="1" containsInteger="1" minValue="0" maxValue="13"/>
    </cacheField>
    <cacheField name="AGE" numFmtId="0">
      <sharedItems containsSemiMixedTypes="0" containsString="0" containsNumber="1" containsInteger="1" minValue="30" maxValue="133"/>
    </cacheField>
    <cacheField name="AGE GROUP" numFmtId="0">
      <sharedItems/>
    </cacheField>
    <cacheField name="TOTAL PURCHASE" numFmtId="0">
      <sharedItems containsSemiMixedTypes="0" containsString="0" containsNumber="1" containsInteger="1" minValue="0" maxValue="263"/>
    </cacheField>
    <cacheField name="Product Category" numFmtId="0">
      <sharedItems containsBlank="1"/>
    </cacheField>
    <cacheField name="Total Sales Amount" numFmtId="0">
      <sharedItems containsString="0" containsBlank="1" containsNumber="1" containsInteger="1" minValue="58917" maxValue="119538"/>
    </cacheField>
    <cacheField name="Field19" caption="Field19" numFmtId="0">
      <sharedItems containsNonDate="0" containsString="0" containsBlank="1"/>
    </cacheField>
    <cacheField name="Income group" numFmtId="164">
      <sharedItems count="5">
        <s v="50k-75k"/>
        <s v="30k-50k"/>
        <s v="30k"/>
        <s v="75k-100k"/>
        <s v="100k"/>
      </sharedItems>
    </cacheField>
    <cacheField name="Field21" caption="Field21" numFmtId="0">
      <sharedItems containsNonDate="0" containsString="0" containsBlank="1"/>
    </cacheField>
    <cacheField name="Lifespan years" numFmtId="0">
      <sharedItems containsSemiMixedTypes="0" containsString="0" containsNumber="1" containsInteger="1" minValue="12" maxValue="1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MISRA" refreshedDate="46280.934607754629" createdVersion="8" refreshedVersion="8" minRefreshableVersion="3" recordCount="2240" xr:uid="{561022D0-1CAF-490A-9703-CC749E636F17}">
  <cacheSource type="worksheet">
    <worksheetSource ref="B2:X2242" sheet="customer_dataset"/>
  </cacheSource>
  <cacheFields count="23">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ount="59">
        <n v="1957"/>
        <n v="1954"/>
        <n v="1965"/>
        <n v="1984"/>
        <n v="1981"/>
        <n v="1967"/>
        <n v="1971"/>
        <n v="1985"/>
        <n v="1974"/>
        <n v="1950"/>
        <n v="1983"/>
        <n v="1976"/>
        <n v="1959"/>
        <n v="1952"/>
        <n v="1987"/>
        <n v="1946"/>
        <n v="1980"/>
        <n v="1949"/>
        <n v="1982"/>
        <n v="1979"/>
        <n v="1951"/>
        <n v="1969"/>
        <n v="1986"/>
        <n v="1989"/>
        <n v="1963"/>
        <n v="1970"/>
        <n v="1973"/>
        <n v="1943"/>
        <n v="1975"/>
        <n v="1996"/>
        <n v="1968"/>
        <n v="1964"/>
        <n v="1977"/>
        <n v="1978"/>
        <n v="1955"/>
        <n v="1966"/>
        <n v="1988"/>
        <n v="1948"/>
        <n v="1958"/>
        <n v="1972"/>
        <n v="1960"/>
        <n v="1945"/>
        <n v="1991"/>
        <n v="1962"/>
        <n v="1953"/>
        <n v="1961"/>
        <n v="1956"/>
        <n v="1992"/>
        <n v="1900"/>
        <n v="1893"/>
        <n v="1990"/>
        <n v="1947"/>
        <n v="1899"/>
        <n v="1993"/>
        <n v="1994"/>
        <n v="1941"/>
        <n v="1944"/>
        <n v="1995"/>
        <n v="1940"/>
      </sharedItems>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Income" numFmtId="0">
      <sharedItems containsString="0" containsBlank="1" containsNumber="1" containsInteger="1" minValue="1730" maxValue="666666" count="1975">
        <n v="58138"/>
        <n v="46344"/>
        <n v="71613"/>
        <n v="26646"/>
        <n v="58293"/>
        <n v="62513"/>
        <n v="55635"/>
        <n v="33454"/>
        <n v="30351"/>
        <n v="5648"/>
        <m/>
        <n v="7500"/>
        <n v="63033"/>
        <n v="59354"/>
        <n v="17323"/>
        <n v="82800"/>
        <n v="41850"/>
        <n v="37760"/>
        <n v="76995"/>
        <n v="33812"/>
        <n v="37040"/>
        <n v="2447"/>
        <n v="58607"/>
        <n v="65324"/>
        <n v="40689"/>
        <n v="18589"/>
        <n v="53359"/>
        <n v="38360"/>
        <n v="84618"/>
        <n v="10979"/>
        <n v="38620"/>
        <n v="40548"/>
        <n v="46610"/>
        <n v="68657"/>
        <n v="49389"/>
        <n v="67353"/>
        <n v="23718"/>
        <n v="42429"/>
        <n v="48948"/>
        <n v="80011"/>
        <n v="20559"/>
        <n v="21994"/>
        <n v="79941"/>
        <n v="41728"/>
        <n v="72550"/>
        <n v="65486"/>
        <n v="79143"/>
        <n v="35790"/>
        <n v="82582"/>
        <n v="66373"/>
        <n v="82384"/>
        <n v="70287"/>
        <n v="27938"/>
        <n v="55954"/>
        <n v="75777"/>
        <n v="66653"/>
        <n v="61823"/>
        <n v="67680"/>
        <n v="70666"/>
        <n v="25721"/>
        <n v="32474"/>
        <n v="88194"/>
        <n v="69096"/>
        <n v="74854"/>
        <n v="66991"/>
        <n v="65031"/>
        <n v="60631"/>
        <n v="28332"/>
        <n v="40246"/>
        <n v="75251"/>
        <n v="75825"/>
        <n v="26326"/>
        <n v="56046"/>
        <n v="29760"/>
        <n v="26304"/>
        <n v="23559"/>
        <n v="81361"/>
        <n v="29440"/>
        <n v="36138"/>
        <n v="50388"/>
        <n v="79593"/>
        <n v="54178"/>
        <n v="42394"/>
        <n v="23626"/>
        <n v="30096"/>
        <n v="47916"/>
        <n v="51813"/>
        <n v="78497"/>
        <n v="50150"/>
        <n v="47823"/>
        <n v="34554"/>
        <n v="85693"/>
        <n v="65846"/>
        <n v="87195"/>
        <n v="24594"/>
        <n v="49096"/>
        <n v="52413"/>
        <n v="38557"/>
        <n v="89058"/>
        <n v="77298"/>
        <n v="68126"/>
        <n v="57288"/>
        <n v="86037"/>
        <n v="43974"/>
        <n v="50785"/>
        <n v="90765"/>
        <n v="36550"/>
        <n v="30753"/>
        <n v="21918"/>
        <n v="56129"/>
        <n v="32557"/>
        <n v="19510"/>
        <n v="30992"/>
        <n v="101970"/>
        <n v="71488"/>
        <n v="79607"/>
        <n v="54348"/>
        <n v="77376"/>
        <n v="62998"/>
        <n v="61331"/>
        <n v="73448"/>
        <n v="41551"/>
        <n v="62981"/>
        <n v="9548"/>
        <n v="33762"/>
        <n v="35860"/>
        <n v="36921"/>
        <n v="92859"/>
        <n v="65104"/>
        <n v="86111"/>
        <n v="68352"/>
        <n v="41883"/>
        <n v="59809"/>
        <n v="23957"/>
        <n v="38547"/>
        <n v="35688"/>
        <n v="49605"/>
        <n v="65747"/>
        <n v="34176"/>
        <n v="61010"/>
        <n v="69372"/>
        <n v="49967"/>
        <n v="60199"/>
        <n v="55375"/>
        <n v="80317"/>
        <n v="30523"/>
        <n v="70356"/>
        <n v="23228"/>
        <n v="74165"/>
        <n v="157243"/>
        <n v="43482"/>
        <n v="62551"/>
        <n v="52332"/>
        <n v="66951"/>
        <n v="26091"/>
        <n v="33456"/>
        <n v="28718"/>
        <n v="50447"/>
        <n v="53537"/>
        <n v="52074"/>
        <n v="80427"/>
        <n v="83837"/>
        <n v="38853"/>
        <n v="38285"/>
        <n v="51650"/>
        <n v="16248"/>
        <n v="66835"/>
        <n v="30477"/>
        <n v="28249"/>
        <n v="25271"/>
        <n v="32303"/>
        <n v="61286"/>
        <n v="74068"/>
        <n v="45759"/>
        <n v="24882"/>
        <n v="66973"/>
        <n v="36640"/>
        <n v="38872"/>
        <n v="51148"/>
        <n v="31353"/>
        <n v="69661"/>
        <n v="80067"/>
        <n v="86718"/>
        <n v="46854"/>
        <n v="69142"/>
        <n v="75922"/>
        <n v="63693"/>
        <n v="102160"/>
        <n v="40637"/>
        <n v="18890"/>
        <n v="29604"/>
        <n v="48721"/>
        <n v="44794"/>
        <n v="64497"/>
        <n v="46097"/>
        <n v="77972"/>
        <n v="44377"/>
        <n v="46014"/>
        <n v="70951"/>
        <n v="41443"/>
        <n v="52195"/>
        <n v="83790"/>
        <n v="44551"/>
        <n v="69508"/>
        <n v="45204"/>
        <n v="72460"/>
        <n v="77622"/>
        <n v="30732"/>
        <n v="63887"/>
        <n v="42011"/>
        <n v="51369"/>
        <n v="51537"/>
        <n v="79930"/>
        <n v="34320"/>
        <n v="37070"/>
        <n v="81975"/>
        <n v="38590"/>
        <n v="15033"/>
        <n v="62745"/>
        <n v="22212"/>
        <n v="23661"/>
        <n v="79761"/>
        <n v="60182"/>
        <n v="73455"/>
        <n v="64961"/>
        <n v="22804"/>
        <n v="73687"/>
        <n v="61074"/>
        <n v="31686"/>
        <n v="80134"/>
        <n v="75027"/>
        <n v="67546"/>
        <n v="65176"/>
        <n v="31160"/>
        <n v="29938"/>
        <n v="102692"/>
        <n v="26490"/>
        <n v="75702"/>
        <n v="30899"/>
        <n v="63342"/>
        <n v="45989"/>
        <n v="18701"/>
        <n v="40737"/>
        <n v="15287"/>
        <n v="69674"/>
        <n v="44159"/>
        <n v="37717"/>
        <n v="43776"/>
        <n v="38179"/>
        <n v="80124"/>
        <n v="38097"/>
        <n v="72940"/>
        <n v="22070"/>
        <n v="69267"/>
        <n v="31788"/>
        <n v="61905"/>
        <n v="29315"/>
        <n v="33378"/>
        <n v="66313"/>
        <n v="60714"/>
        <n v="77882"/>
        <n v="69867"/>
        <n v="63841"/>
        <n v="24480"/>
        <n v="65640"/>
        <n v="44319"/>
        <n v="30631"/>
        <n v="75278"/>
        <n v="50898"/>
        <n v="79946"/>
        <n v="35416"/>
        <n v="32414"/>
        <n v="38361"/>
        <n v="82497"/>
        <n v="16626"/>
        <n v="29672"/>
        <n v="55951"/>
        <n v="35388"/>
        <n v="42386"/>
        <n v="68627"/>
        <n v="57912"/>
        <n v="35246"/>
        <n v="58821"/>
        <n v="46377"/>
        <n v="39747"/>
        <n v="23976"/>
        <n v="80950"/>
        <n v="27038"/>
        <n v="77457"/>
        <n v="64100"/>
        <n v="42670"/>
        <n v="12571"/>
        <n v="22574"/>
        <n v="70893"/>
        <n v="54198"/>
        <n v="28839"/>
        <n v="40321"/>
        <n v="66503"/>
        <n v="30833"/>
        <n v="64795"/>
        <n v="34421"/>
        <n v="47025"/>
        <n v="64325"/>
        <n v="40464"/>
        <n v="62187"/>
        <n v="14849"/>
        <n v="27255"/>
        <n v="54432"/>
        <n v="29999"/>
        <n v="24072"/>
        <n v="33996"/>
        <n v="66334"/>
        <n v="35178"/>
        <n v="22010"/>
        <n v="62204"/>
        <n v="75693"/>
        <n v="30675"/>
        <n v="83003"/>
        <n v="83532"/>
        <n v="68655"/>
        <n v="41411"/>
        <n v="55212"/>
        <n v="59292"/>
        <n v="27190"/>
        <n v="82623"/>
        <n v="44300"/>
        <n v="84835"/>
        <n v="30372"/>
        <n v="33181"/>
        <n v="71113"/>
        <n v="71952"/>
        <n v="69759"/>
        <n v="72099"/>
        <n v="60000"/>
        <n v="38643"/>
        <n v="50737"/>
        <n v="68462"/>
        <n v="65073"/>
        <n v="46681"/>
        <n v="78618"/>
        <n v="28442"/>
        <n v="51479"/>
        <n v="54803"/>
        <n v="79530"/>
        <n v="31615"/>
        <n v="72025"/>
        <n v="52614"/>
        <n v="35684"/>
        <n v="48178"/>
        <n v="29548"/>
        <n v="63810"/>
        <n v="38578"/>
        <n v="46098"/>
        <n v="22585"/>
        <n v="30279"/>
        <n v="66426"/>
        <n v="30822"/>
        <n v="33581"/>
        <n v="19986"/>
        <n v="27421"/>
        <n v="36143"/>
        <n v="10245"/>
        <n v="43795"/>
        <n v="63381"/>
        <n v="38823"/>
        <n v="83664"/>
        <n v="90300"/>
        <n v="62499"/>
        <n v="74293"/>
        <n v="51012"/>
        <n v="70777"/>
        <n v="68682"/>
        <n v="43824"/>
        <n v="15345"/>
        <n v="23442"/>
        <n v="14515"/>
        <n v="31395"/>
        <n v="75276"/>
        <n v="42373"/>
        <n v="30507"/>
        <n v="55521"/>
        <n v="48006"/>
        <n v="27213"/>
        <n v="65808"/>
        <n v="50437"/>
        <n v="23616"/>
        <n v="53858"/>
        <n v="66465"/>
        <n v="46923"/>
        <n v="75072"/>
        <n v="75865"/>
        <n v="19789"/>
        <n v="91065"/>
        <n v="49505"/>
        <n v="37401"/>
        <n v="18492"/>
        <n v="82584"/>
        <n v="93027"/>
        <n v="48686"/>
        <n v="92910"/>
        <n v="75433"/>
        <n v="10404"/>
        <n v="61314"/>
        <n v="84865"/>
        <n v="42387"/>
        <n v="67309"/>
        <n v="75236"/>
        <n v="30015"/>
        <n v="50943"/>
        <n v="67272"/>
        <n v="51529"/>
        <n v="32011"/>
        <n v="28691"/>
        <n v="56223"/>
        <n v="18100"/>
        <n v="20130"/>
        <n v="23295"/>
        <n v="42618"/>
        <n v="81246"/>
        <n v="24027"/>
        <n v="55707"/>
        <n v="57959"/>
        <n v="56796"/>
        <n v="36230"/>
        <n v="70829"/>
        <n v="65991"/>
        <n v="38988"/>
        <n v="89572"/>
        <n v="42207"/>
        <n v="50300"/>
        <n v="66664"/>
        <n v="60597"/>
        <n v="70165"/>
        <n v="50520"/>
        <n v="33183"/>
        <n v="66582"/>
        <n v="75261"/>
        <n v="31880"/>
        <n v="53790"/>
        <n v="49269"/>
        <n v="61456"/>
        <n v="37406"/>
        <n v="56937"/>
        <n v="38415"/>
        <n v="20518"/>
        <n v="62503"/>
        <n v="41644"/>
        <n v="55842"/>
        <n v="62010"/>
        <n v="41124"/>
        <n v="38961"/>
        <n v="32233"/>
        <n v="43057"/>
        <n v="83151"/>
        <n v="78825"/>
        <n v="60093"/>
        <n v="14045"/>
        <n v="28457"/>
        <n v="78952"/>
        <n v="46310"/>
        <n v="76005"/>
        <n v="58308"/>
        <n v="55614"/>
        <n v="59432"/>
        <n v="55563"/>
        <n v="78642"/>
        <n v="67911"/>
        <n v="65275"/>
        <n v="27203"/>
        <n v="48330"/>
        <n v="24279"/>
        <n v="64355"/>
        <n v="53653"/>
        <n v="65665"/>
        <n v="81217"/>
        <n v="34935"/>
        <n v="61250"/>
        <n v="39665"/>
        <n v="60152"/>
        <n v="48920"/>
        <n v="89120"/>
        <n v="44124"/>
        <n v="81169"/>
        <n v="36443"/>
        <n v="26095"/>
        <n v="71367"/>
        <n v="80184"/>
        <n v="30630"/>
        <n v="73454"/>
        <n v="42691"/>
        <n v="70503"/>
        <n v="25545"/>
        <n v="32880"/>
        <n v="77863"/>
        <n v="50353"/>
        <n v="61839"/>
        <n v="49154"/>
        <n v="47682"/>
        <n v="72679"/>
        <n v="57954"/>
        <n v="65316"/>
        <n v="28567"/>
        <n v="47352"/>
        <n v="44931"/>
        <n v="76982"/>
        <n v="57247"/>
        <n v="22944"/>
        <n v="25315"/>
        <n v="43638"/>
        <n v="42710"/>
        <n v="84169"/>
        <n v="54058"/>
        <n v="24683"/>
        <n v="85620"/>
        <n v="47850"/>
        <n v="19514"/>
        <n v="27159"/>
        <n v="39548"/>
        <n v="21474"/>
        <n v="60504"/>
        <n v="22419"/>
        <n v="81698"/>
        <n v="43462"/>
        <n v="54880"/>
        <n v="79908"/>
        <n v="15315"/>
        <n v="87771"/>
        <n v="33039"/>
        <n v="81741"/>
        <n v="71499"/>
        <n v="62466"/>
        <n v="48799"/>
        <n v="52157"/>
        <n v="66565"/>
        <n v="29298"/>
        <n v="47691"/>
        <n v="38200"/>
        <n v="44989"/>
        <n v="38443"/>
        <n v="38593"/>
        <n v="64413"/>
        <n v="36959"/>
        <n v="61996"/>
        <n v="51287"/>
        <n v="13260"/>
        <n v="47472"/>
        <n v="54603"/>
        <n v="45207"/>
        <n v="47821"/>
        <n v="27450"/>
        <n v="39453"/>
        <n v="26850"/>
        <n v="79800"/>
        <n v="61794"/>
        <n v="53863"/>
        <n v="24221"/>
        <n v="39684"/>
        <n v="92163"/>
        <n v="69882"/>
        <n v="33178"/>
        <n v="59973"/>
        <n v="17459"/>
        <n v="23910"/>
        <n v="42169"/>
        <n v="26224"/>
        <n v="31089"/>
        <n v="30081"/>
        <n v="62807"/>
        <n v="72906"/>
        <n v="61467"/>
        <n v="49618"/>
        <n v="21888"/>
        <n v="26150"/>
        <n v="30801"/>
        <n v="81168"/>
        <n v="26877"/>
        <n v="45006"/>
        <n v="18978"/>
        <n v="48240"/>
        <n v="45837"/>
        <n v="35791"/>
        <n v="162397"/>
        <n v="54162"/>
        <n v="30522"/>
        <n v="54456"/>
        <n v="31632"/>
        <n v="72298"/>
        <n v="36975"/>
        <n v="72635"/>
        <n v="13624"/>
        <n v="84196"/>
        <n v="70971"/>
        <n v="34487"/>
        <n v="28769"/>
        <n v="69084"/>
        <n v="65488"/>
        <n v="32218"/>
        <n v="83917"/>
        <n v="46102"/>
        <n v="84574"/>
        <n v="56181"/>
        <n v="63120"/>
        <n v="73691"/>
        <n v="76140"/>
        <n v="62859"/>
        <n v="45906"/>
        <n v="77632"/>
        <n v="46463"/>
        <n v="105471"/>
        <n v="55282"/>
        <n v="78710"/>
        <n v="66886"/>
        <n v="98777"/>
        <n v="29103"/>
        <n v="67445"/>
        <n v="50616"/>
        <n v="49431"/>
        <n v="153924"/>
        <n v="61278"/>
        <n v="73059"/>
        <n v="46734"/>
        <n v="56253"/>
        <n v="58330"/>
        <n v="25965"/>
        <n v="14661"/>
        <n v="18690"/>
        <n v="45068"/>
        <n v="21063"/>
        <n v="29187"/>
        <n v="54690"/>
        <n v="59304"/>
        <n v="59247"/>
        <n v="66731"/>
        <n v="77353"/>
        <n v="26751"/>
        <n v="81300"/>
        <n v="70337"/>
        <n v="36145"/>
        <n v="65295"/>
        <n v="68118"/>
        <n v="68743"/>
        <n v="41039"/>
        <n v="38946"/>
        <n v="65777"/>
        <n v="66476"/>
        <n v="86857"/>
        <n v="160803"/>
        <n v="77845"/>
        <n v="69476"/>
        <n v="50611"/>
        <n v="61209"/>
        <n v="42315"/>
        <n v="13084"/>
        <n v="47570"/>
        <n v="61923"/>
        <n v="34824"/>
        <n v="26518"/>
        <n v="45938"/>
        <n v="78468"/>
        <n v="78901"/>
        <n v="71427"/>
        <n v="71022"/>
        <n v="90247"/>
        <n v="41335"/>
        <n v="35682"/>
        <n v="43185"/>
        <n v="66375"/>
        <n v="25252"/>
        <n v="55250"/>
        <n v="33249"/>
        <n v="58398"/>
        <n v="50272"/>
        <n v="76618"/>
        <n v="87305"/>
        <n v="25851"/>
        <n v="58710"/>
        <n v="45160"/>
        <n v="74806"/>
        <n v="59111"/>
        <n v="18988"/>
        <n v="72190"/>
        <n v="80395"/>
        <n v="75012"/>
        <n v="56962"/>
        <n v="89891"/>
        <n v="35946"/>
        <n v="53593"/>
        <n v="45072"/>
        <n v="89694"/>
        <n v="67432"/>
        <n v="70545"/>
        <n v="17487"/>
        <n v="62882"/>
        <n v="64108"/>
        <n v="34941"/>
        <n v="48767"/>
        <n v="38702"/>
        <n v="82224"/>
        <n v="83844"/>
        <n v="17003"/>
        <n v="71163"/>
        <n v="33697"/>
        <n v="63564"/>
        <n v="83443"/>
        <n v="51518"/>
        <n v="80952"/>
        <n v="75507"/>
        <n v="63855"/>
        <n v="62220"/>
        <n v="58512"/>
        <n v="40662"/>
        <n v="38829"/>
        <n v="35523"/>
        <n v="79146"/>
        <n v="78285"/>
        <n v="31626"/>
        <n v="75127"/>
        <n v="48726"/>
        <n v="74985"/>
        <n v="67430"/>
        <n v="46891"/>
        <n v="62058"/>
        <n v="72063"/>
        <n v="78939"/>
        <n v="42720"/>
        <n v="33622"/>
        <n v="6835"/>
        <n v="41452"/>
        <n v="40760"/>
        <n v="74250"/>
        <n v="51124"/>
        <n v="72258"/>
        <n v="71466"/>
        <n v="36283"/>
        <n v="20587"/>
        <n v="30467"/>
        <n v="31590"/>
        <n v="20425"/>
        <n v="17144"/>
        <n v="42564"/>
        <n v="43783"/>
        <n v="40780"/>
        <n v="62847"/>
        <n v="82017"/>
        <n v="16813"/>
        <n v="51267"/>
        <n v="46524"/>
        <n v="45183"/>
        <n v="70421"/>
        <n v="60161"/>
        <n v="73926"/>
        <n v="19329"/>
        <n v="61872"/>
        <n v="46984"/>
        <n v="34838"/>
        <n v="82716"/>
        <n v="48192"/>
        <n v="49681"/>
        <n v="56850"/>
        <n v="55267"/>
        <n v="59666"/>
        <n v="72504"/>
        <n v="26872"/>
        <n v="21359"/>
        <n v="73170"/>
        <n v="52750"/>
        <n v="91820"/>
        <n v="65968"/>
        <n v="30772"/>
        <n v="22507"/>
        <n v="65685"/>
        <n v="25804"/>
        <n v="76412"/>
        <n v="22063"/>
        <n v="57091"/>
        <n v="78353"/>
        <n v="93404"/>
        <n v="37859"/>
        <n v="80995"/>
        <n v="16529"/>
        <n v="55412"/>
        <n v="48789"/>
        <n v="56575"/>
        <n v="25130"/>
        <n v="35441"/>
        <n v="71391"/>
        <n v="49494"/>
        <n v="81702"/>
        <n v="45889"/>
        <n v="56628"/>
        <n v="34026"/>
        <n v="40049"/>
        <n v="19419"/>
        <n v="82504"/>
        <n v="81205"/>
        <n v="61618"/>
        <n v="55284"/>
        <n v="49980"/>
        <n v="15072"/>
        <n v="49166"/>
        <n v="82347"/>
        <n v="30843"/>
        <n v="46374"/>
        <n v="60474"/>
        <n v="38576"/>
        <n v="55357"/>
        <n v="37758"/>
        <n v="85710"/>
        <n v="44602"/>
        <n v="38683"/>
        <n v="49514"/>
        <n v="57906"/>
        <n v="43456"/>
        <n v="19485"/>
        <n v="53172"/>
        <n v="30545"/>
        <n v="70123"/>
        <n v="62450"/>
        <n v="21675"/>
        <n v="42395"/>
        <n v="61346"/>
        <n v="80812"/>
        <n v="42835"/>
        <n v="39922"/>
        <n v="86424"/>
        <n v="17117"/>
        <n v="24762"/>
        <n v="35797"/>
        <n v="36627"/>
        <n v="51111"/>
        <n v="82072"/>
        <n v="46231"/>
        <n v="42243"/>
        <n v="51195"/>
        <n v="68092"/>
        <n v="31814"/>
        <n v="51390"/>
        <n v="76630"/>
        <n v="26868"/>
        <n v="55260"/>
        <n v="64090"/>
        <n v="78331"/>
        <n v="37087"/>
        <n v="21846"/>
        <n v="81320"/>
        <n v="54137"/>
        <n v="66825"/>
        <n v="57100"/>
        <n v="58917"/>
        <n v="85072"/>
        <n v="86429"/>
        <n v="45684"/>
        <n v="47889"/>
        <n v="45921"/>
        <n v="78420"/>
        <n v="75114"/>
        <n v="52278"/>
        <n v="35641"/>
        <n v="95529"/>
        <n v="62820"/>
        <n v="73113"/>
        <n v="42607"/>
        <n v="74637"/>
        <n v="46015"/>
        <n v="72354"/>
        <n v="39858"/>
        <n v="34469"/>
        <n v="83033"/>
        <n v="24401"/>
        <n v="77583"/>
        <n v="74116"/>
        <n v="68397"/>
        <n v="79632"/>
        <n v="46107"/>
        <n v="64950"/>
        <n v="25443"/>
        <n v="32892"/>
        <n v="71796"/>
        <n v="67536"/>
        <n v="55239"/>
        <n v="60554"/>
        <n v="64831"/>
        <n v="56067"/>
        <n v="82025"/>
        <n v="94384"/>
        <n v="14906"/>
        <n v="51563"/>
        <n v="57937"/>
        <n v="68274"/>
        <n v="39771"/>
        <n v="67893"/>
        <n v="27922"/>
        <n v="52190"/>
        <n v="44051"/>
        <n v="42767"/>
        <n v="46106"/>
        <n v="16927"/>
        <n v="59754"/>
        <n v="53700"/>
        <n v="59041"/>
        <n v="54237"/>
        <n v="70647"/>
        <n v="52597"/>
        <n v="41021"/>
        <n v="40233"/>
        <n v="50183"/>
        <n v="54753"/>
        <n v="92955"/>
        <n v="33471"/>
        <n v="34596"/>
        <n v="44010"/>
        <n v="84219"/>
        <n v="40706"/>
        <n v="15716"/>
        <n v="59052"/>
        <n v="80573"/>
        <n v="83715"/>
        <n v="82576"/>
        <n v="35704"/>
        <n v="53103"/>
        <n v="46779"/>
        <n v="4861"/>
        <n v="33462"/>
        <n v="80763"/>
        <n v="65352"/>
        <n v="82170"/>
        <n v="75759"/>
        <n v="79689"/>
        <n v="35340"/>
        <n v="85683"/>
        <n v="24884"/>
        <n v="42021"/>
        <n v="64449"/>
        <n v="64587"/>
        <n v="75437"/>
        <n v="52845"/>
        <n v="46086"/>
        <n v="78028"/>
        <n v="95169"/>
        <n v="56337"/>
        <n v="22434"/>
        <n v="36930"/>
        <n v="36130"/>
        <n v="65569"/>
        <n v="36736"/>
        <n v="77568"/>
        <n v="49187"/>
        <n v="30168"/>
        <n v="34053"/>
        <n v="38196"/>
        <n v="59412"/>
        <n v="70924"/>
        <n v="54165"/>
        <n v="32300"/>
        <n v="20180"/>
        <n v="34961"/>
        <n v="28440"/>
        <n v="64504"/>
        <n v="33564"/>
        <n v="17345"/>
        <n v="56320"/>
        <n v="28647"/>
        <n v="15038"/>
        <n v="32173"/>
        <n v="68316"/>
        <n v="74538"/>
        <n v="91700"/>
        <n v="68695"/>
        <n v="31056"/>
        <n v="28071"/>
        <n v="37334"/>
        <n v="46423"/>
        <n v="37126"/>
        <n v="47703"/>
        <n v="61180"/>
        <n v="38998"/>
        <n v="8028"/>
        <n v="76081"/>
        <n v="34728"/>
        <n v="33168"/>
        <n v="33585"/>
        <n v="77037"/>
        <n v="35196"/>
        <n v="44529"/>
        <n v="28764"/>
        <n v="69098"/>
        <n v="25959"/>
        <n v="27100"/>
        <n v="70596"/>
        <n v="42557"/>
        <n v="53312"/>
        <n v="72228"/>
        <n v="67605"/>
        <n v="62845"/>
        <n v="65196"/>
        <n v="42000"/>
        <n v="65526"/>
        <n v="16860"/>
        <n v="83528"/>
        <n v="64176"/>
        <n v="22304"/>
        <n v="67023"/>
        <n v="70713"/>
        <n v="59925"/>
        <n v="39722"/>
        <n v="88347"/>
        <n v="87171"/>
        <n v="26907"/>
        <n v="50014"/>
        <n v="41014"/>
        <n v="66294"/>
        <n v="36715"/>
        <n v="79456"/>
        <n v="40479"/>
        <n v="75345"/>
        <n v="54233"/>
        <n v="24163"/>
        <n v="84460"/>
        <n v="71691"/>
        <n v="85844"/>
        <n v="39190"/>
        <n v="57236"/>
        <n v="61825"/>
        <n v="79803"/>
        <n v="80910"/>
        <n v="27590"/>
        <n v="56775"/>
        <n v="83829"/>
        <n v="54210"/>
        <n v="38508"/>
        <n v="53187"/>
        <n v="30023"/>
        <n v="76045"/>
        <n v="50870"/>
        <n v="65463"/>
        <n v="66480"/>
        <n v="76773"/>
        <n v="54466"/>
        <n v="16269"/>
        <n v="71819"/>
        <n v="33569"/>
        <n v="36262"/>
        <n v="22634"/>
        <n v="70566"/>
        <n v="31605"/>
        <n v="52034"/>
        <n v="48526"/>
        <n v="39552"/>
        <n v="86358"/>
        <n v="46931"/>
        <n v="16581"/>
        <n v="63998"/>
        <n v="67381"/>
        <n v="25930"/>
        <n v="42693"/>
        <n v="85606"/>
        <n v="72903"/>
        <n v="49669"/>
        <n v="36778"/>
        <n v="85696"/>
        <n v="49678"/>
        <n v="37155"/>
        <n v="21282"/>
        <n v="33419"/>
        <n v="63285"/>
        <n v="21255"/>
        <n v="42162"/>
        <n v="54450"/>
        <n v="57744"/>
        <n v="26576"/>
        <n v="57513"/>
        <n v="68142"/>
        <n v="83145"/>
        <n v="54197"/>
        <n v="23091"/>
        <n v="46049"/>
        <n v="56715"/>
        <n v="79410"/>
        <n v="57304"/>
        <n v="44375"/>
        <n v="59594"/>
        <n v="80685"/>
        <n v="40344"/>
        <n v="62710"/>
        <n v="48985"/>
        <n v="35322"/>
        <n v="77142"/>
        <n v="81657"/>
        <n v="14421"/>
        <n v="74214"/>
        <n v="66726"/>
        <n v="23724"/>
        <n v="47353"/>
        <n v="33444"/>
        <n v="54386"/>
        <n v="28510"/>
        <n v="90638"/>
        <n v="48070"/>
        <n v="43140"/>
        <n v="54959"/>
        <n v="15056"/>
        <n v="26954"/>
        <n v="22327"/>
        <n v="44393"/>
        <n v="62000"/>
        <n v="31497"/>
        <n v="45894"/>
        <n v="78579"/>
        <n v="67369"/>
        <n v="58401"/>
        <n v="62307"/>
        <n v="43641"/>
        <n v="70091"/>
        <n v="78075"/>
        <n v="59184"/>
        <n v="54809"/>
        <n v="58113"/>
        <n v="51412"/>
        <n v="66636"/>
        <n v="50965"/>
        <n v="18351"/>
        <n v="40451"/>
        <n v="36317"/>
        <n v="42213"/>
        <n v="65748"/>
        <n v="77044"/>
        <n v="74918"/>
        <n v="56721"/>
        <n v="42160"/>
        <n v="61559"/>
        <n v="33629"/>
        <n v="34377"/>
        <n v="8940"/>
        <n v="26228"/>
        <n v="77297"/>
        <n v="40211"/>
        <n v="33438"/>
        <n v="75032"/>
        <n v="61284"/>
        <n v="22518"/>
        <n v="54730"/>
        <n v="38452"/>
        <n v="44421"/>
        <n v="38197"/>
        <n v="41986"/>
        <n v="28427"/>
        <n v="37395"/>
        <n v="64722"/>
        <n v="55249"/>
        <n v="84906"/>
        <n v="44213"/>
        <n v="25707"/>
        <n v="59062"/>
        <n v="76624"/>
        <n v="66000"/>
        <n v="27683"/>
        <n v="1730"/>
        <n v="40521"/>
        <n v="20427"/>
        <n v="65106"/>
        <n v="69969"/>
        <n v="67433"/>
        <n v="77766"/>
        <n v="74716"/>
        <n v="55158"/>
        <n v="62972"/>
        <n v="74190"/>
        <n v="39356"/>
        <n v="76653"/>
        <n v="90687"/>
        <n v="73450"/>
        <n v="31454"/>
        <n v="47139"/>
        <n v="53378"/>
        <n v="19656"/>
        <n v="45579"/>
        <n v="85485"/>
        <n v="55956"/>
        <n v="64191"/>
        <n v="38808"/>
        <n v="57183"/>
        <n v="23748"/>
        <n v="66303"/>
        <n v="37368"/>
        <n v="40800"/>
        <n v="71847"/>
        <n v="46149"/>
        <n v="78687"/>
        <n v="49118"/>
        <n v="37633"/>
        <n v="39767"/>
        <n v="26997"/>
        <n v="33986"/>
        <n v="46831"/>
        <n v="52531"/>
        <n v="15759"/>
        <n v="43050"/>
        <n v="42997"/>
        <n v="48918"/>
        <n v="60033"/>
        <n v="34043"/>
        <n v="57811"/>
        <n v="78569"/>
        <n v="157733"/>
        <n v="23148"/>
        <n v="44267"/>
        <n v="71626"/>
        <n v="60894"/>
        <n v="50200"/>
        <n v="81051"/>
        <n v="65169"/>
        <n v="59868"/>
        <n v="65695"/>
        <n v="64857"/>
        <n v="45143"/>
        <n v="74805"/>
        <n v="59060"/>
        <n v="27238"/>
        <n v="47009"/>
        <n v="46094"/>
        <n v="37235"/>
        <n v="81843"/>
        <n v="46692"/>
        <n v="77382"/>
        <n v="37774"/>
        <n v="18393"/>
        <n v="72828"/>
        <n v="24711"/>
        <n v="45503"/>
        <n v="6560"/>
        <n v="71604"/>
        <n v="27244"/>
        <n v="48752"/>
        <n v="71434"/>
        <n v="90842"/>
        <n v="88097"/>
        <n v="51948"/>
        <n v="71853"/>
        <n v="35876"/>
        <n v="39660"/>
        <n v="50127"/>
        <n v="43263"/>
        <n v="18929"/>
        <n v="24367"/>
        <n v="26887"/>
        <n v="62061"/>
        <n v="76542"/>
        <n v="70515"/>
        <n v="18227"/>
        <n v="69139"/>
        <n v="69109"/>
        <n v="69627"/>
        <n v="38136"/>
        <n v="62159"/>
        <n v="80695"/>
        <n v="33316"/>
        <n v="58554"/>
        <n v="17256"/>
        <n v="53034"/>
        <n v="52203"/>
        <n v="59601"/>
        <n v="75154"/>
        <n v="37971"/>
        <n v="67267"/>
        <n v="57338"/>
        <n v="50523"/>
        <n v="56242"/>
        <n v="48904"/>
        <n v="56243"/>
        <n v="21355"/>
        <n v="57420"/>
        <n v="46390"/>
        <n v="54342"/>
        <n v="20895"/>
        <n v="92344"/>
        <n v="44964"/>
        <n v="53761"/>
        <n v="22682"/>
        <n v="38887"/>
        <n v="41658"/>
        <n v="29791"/>
        <n v="63915"/>
        <n v="39996"/>
        <n v="26759"/>
        <n v="51039"/>
        <n v="60544"/>
        <n v="37716"/>
        <n v="36864"/>
        <n v="44511"/>
        <n v="36947"/>
        <n v="67087"/>
        <n v="57045"/>
        <n v="36957"/>
        <n v="69389"/>
        <n v="43142"/>
        <n v="80589"/>
        <n v="34412"/>
        <n v="57537"/>
        <n v="51315"/>
        <n v="36026"/>
        <n v="24639"/>
        <n v="34578"/>
        <n v="65704"/>
        <n v="54132"/>
        <n v="28164"/>
        <n v="43269"/>
        <n v="38741"/>
        <n v="31907"/>
        <n v="31163"/>
        <n v="92533"/>
        <n v="34853"/>
        <n v="70844"/>
        <n v="31086"/>
        <n v="20491"/>
        <n v="42523"/>
        <n v="33402"/>
        <n v="36408"/>
        <n v="21645"/>
        <n v="78427"/>
        <n v="82657"/>
        <n v="51876"/>
        <n v="78041"/>
        <n v="52852"/>
        <n v="70038"/>
        <n v="69401"/>
        <n v="46053"/>
        <n v="77343"/>
        <n v="73892"/>
        <n v="40304"/>
        <n v="32727"/>
        <n v="43300"/>
        <n v="26290"/>
        <n v="93790"/>
        <n v="38410"/>
        <n v="64866"/>
        <n v="57957"/>
        <n v="16531"/>
        <n v="28072"/>
        <n v="49476"/>
        <n v="50725"/>
        <n v="41145"/>
        <n v="67419"/>
        <n v="23162"/>
        <n v="34380"/>
        <n v="34704"/>
        <n v="94871"/>
        <n v="65148"/>
        <n v="39898"/>
        <n v="59892"/>
        <n v="41020"/>
        <n v="57072"/>
        <n v="19414"/>
        <n v="19107"/>
        <n v="75484"/>
        <n v="70379"/>
        <n v="79419"/>
        <n v="64014"/>
        <n v="76998"/>
        <n v="49854"/>
        <n v="60585"/>
        <n v="42873"/>
        <n v="87679"/>
        <n v="57867"/>
        <n v="35765"/>
        <n v="65492"/>
        <n v="32952"/>
        <n v="53374"/>
        <n v="71706"/>
        <n v="68487"/>
        <n v="53253"/>
        <n v="42014"/>
        <n v="54108"/>
        <n v="49667"/>
        <n v="63206"/>
        <n v="57136"/>
        <n v="46772"/>
        <n v="78931"/>
        <n v="53977"/>
        <n v="73538"/>
        <n v="79529"/>
        <n v="20981"/>
        <n v="51766"/>
        <n v="55759"/>
        <n v="37787"/>
        <n v="27242"/>
        <n v="87188"/>
        <n v="69930"/>
        <n v="37697"/>
        <n v="3502"/>
        <n v="58597"/>
        <n v="82032"/>
        <n v="28087"/>
        <n v="74004"/>
        <n v="19740"/>
        <n v="57036"/>
        <n v="53083"/>
        <n v="69283"/>
        <n v="23331"/>
        <n v="9255"/>
        <n v="67786"/>
        <n v="71969"/>
        <n v="59235"/>
        <n v="31928"/>
        <n v="74881"/>
        <n v="65819"/>
        <n v="51411"/>
        <n v="51983"/>
        <n v="30390"/>
        <n v="30983"/>
        <n v="66033"/>
        <n v="37284"/>
        <n v="57530"/>
        <n v="76800"/>
        <n v="63943"/>
        <n v="37054"/>
        <n v="47175"/>
        <n v="31859"/>
        <n v="27215"/>
        <n v="70179"/>
        <n v="24645"/>
        <n v="79865"/>
        <n v="44322"/>
        <n v="47958"/>
        <n v="63972"/>
        <n v="75315"/>
        <n v="55517"/>
        <n v="75283"/>
        <n v="27161"/>
        <n v="38201"/>
        <n v="45203"/>
        <n v="81574"/>
        <n v="60482"/>
        <n v="34633"/>
        <n v="78093"/>
        <n v="82460"/>
        <n v="45903"/>
        <n v="40442"/>
        <n v="61482"/>
        <n v="34968"/>
        <n v="75794"/>
        <n v="74268"/>
        <n v="13724"/>
        <n v="52569"/>
        <n v="48432"/>
        <n v="36108"/>
        <n v="76445"/>
        <n v="36663"/>
        <n v="53843"/>
        <n v="90226"/>
        <n v="70638"/>
        <n v="44512"/>
        <n v="27116"/>
        <n v="54072"/>
        <n v="71855"/>
        <n v="51250"/>
        <n v="60432"/>
        <n v="12393"/>
        <n v="64509"/>
        <n v="33955"/>
        <n v="55434"/>
        <n v="28359"/>
        <n v="52973"/>
        <n v="51717"/>
        <n v="18793"/>
        <n v="50664"/>
        <n v="54414"/>
        <n v="54549"/>
        <n v="47111"/>
        <n v="41003"/>
        <n v="19444"/>
        <n v="36301"/>
        <n v="42731"/>
        <n v="52854"/>
        <n v="22775"/>
        <n v="59821"/>
        <n v="50002"/>
        <n v="69755"/>
        <n v="44078"/>
        <n v="30560"/>
        <n v="35924"/>
        <n v="64140"/>
        <n v="56386"/>
        <n v="75774"/>
        <n v="39228"/>
        <n v="58494"/>
        <n v="58684"/>
        <n v="56551"/>
        <n v="22448"/>
        <n v="82014"/>
        <n v="34213"/>
        <n v="157146"/>
        <n v="25358"/>
        <n v="35544"/>
        <n v="36634"/>
        <n v="62670"/>
        <n v="50334"/>
        <n v="72066"/>
        <n v="50729"/>
        <n v="34916"/>
        <n v="64892"/>
        <n v="43602"/>
        <n v="41473"/>
        <n v="63246"/>
        <n v="36732"/>
        <n v="37929"/>
        <n v="86610"/>
        <n v="80141"/>
        <n v="69016"/>
        <n v="20193"/>
        <n v="27573"/>
        <n v="15862"/>
        <n v="49544"/>
        <n v="33228"/>
        <n v="70440"/>
        <n v="38232"/>
        <n v="22554"/>
        <n v="23536"/>
        <n v="49413"/>
        <n v="42231"/>
        <n v="78789"/>
        <n v="56534"/>
        <n v="58350"/>
        <n v="49090"/>
        <n v="61787"/>
        <n v="18169"/>
        <n v="24336"/>
        <n v="18222"/>
        <n v="62335"/>
        <n v="42033"/>
        <n v="86580"/>
        <n v="41437"/>
        <n v="73705"/>
        <n v="61064"/>
        <n v="18358"/>
        <n v="55012"/>
        <n v="9722"/>
        <n v="38175"/>
        <n v="58656"/>
        <n v="52117"/>
        <n v="64813"/>
        <n v="54222"/>
        <n v="83512"/>
        <n v="77520"/>
        <n v="41154"/>
        <n v="80398"/>
        <n v="18746"/>
        <n v="60230"/>
        <n v="22108"/>
        <n v="44392"/>
        <n v="55424"/>
        <n v="17688"/>
        <n v="92491"/>
        <n v="90273"/>
        <n v="82571"/>
        <n v="38513"/>
        <n v="16653"/>
        <n v="42586"/>
        <n v="23529"/>
        <n v="71107"/>
        <n v="46910"/>
        <n v="37244"/>
        <n v="82427"/>
        <n v="75342"/>
        <n v="70044"/>
        <n v="77437"/>
        <n v="54984"/>
        <n v="42403"/>
        <n v="55761"/>
        <n v="37292"/>
        <n v="45576"/>
        <n v="70321"/>
        <n v="58086"/>
        <n v="81795"/>
        <n v="28389"/>
        <n v="69901"/>
        <n v="80360"/>
        <n v="51569"/>
        <n v="16014"/>
        <n v="41120"/>
        <n v="39763"/>
        <n v="38725"/>
        <n v="77981"/>
        <n v="62905"/>
        <n v="13533"/>
        <n v="59481"/>
        <n v="72117"/>
        <n v="21955"/>
        <n v="67131"/>
        <n v="36802"/>
        <n v="47808"/>
        <n v="25509"/>
        <n v="85431"/>
        <n v="42664"/>
        <n v="28973"/>
        <n v="39435"/>
        <n v="65370"/>
        <n v="20194"/>
        <n v="42473"/>
        <n v="64590"/>
        <n v="71232"/>
        <n v="34600"/>
        <n v="46904"/>
        <n v="49094"/>
        <n v="36075"/>
        <n v="60839"/>
        <n v="82122"/>
        <n v="34074"/>
        <n v="28520"/>
        <n v="62535"/>
        <n v="36273"/>
        <n v="63404"/>
        <n v="78416"/>
        <n v="59385"/>
        <n v="44689"/>
        <n v="7144"/>
        <n v="90369"/>
        <n v="63159"/>
        <n v="46757"/>
        <n v="79734"/>
        <n v="63207"/>
        <n v="72071"/>
        <n v="21840"/>
        <n v="58582"/>
        <n v="72282"/>
        <n v="50387"/>
        <n v="32583"/>
        <n v="62568"/>
        <n v="44635"/>
        <n v="63967"/>
        <n v="52513"/>
        <n v="25293"/>
        <n v="54111"/>
        <n v="78394"/>
        <n v="80739"/>
        <n v="22669"/>
        <n v="29236"/>
        <n v="44911"/>
        <n v="54693"/>
        <n v="48186"/>
        <n v="41580"/>
        <n v="80336"/>
        <n v="47743"/>
        <n v="57333"/>
        <n v="32313"/>
        <n v="84953"/>
        <n v="27071"/>
        <n v="68148"/>
        <n v="65735"/>
        <n v="86836"/>
        <n v="4023"/>
        <n v="30093"/>
        <n v="57705"/>
        <n v="25008"/>
        <n v="83257"/>
        <n v="22280"/>
        <n v="72159"/>
        <n v="64260"/>
        <n v="82733"/>
        <n v="74290"/>
        <n v="58217"/>
        <n v="21024"/>
        <n v="70116"/>
        <n v="54006"/>
        <n v="69063"/>
        <n v="11448"/>
        <n v="70886"/>
        <n v="60208"/>
        <n v="32889"/>
        <n v="34738"/>
        <n v="30538"/>
        <n v="82326"/>
        <n v="26642"/>
        <n v="69932"/>
        <n v="44503"/>
        <n v="60200"/>
        <n v="49638"/>
        <n v="23830"/>
        <n v="33051"/>
        <n v="72905"/>
        <n v="69702"/>
        <n v="70300"/>
        <n v="70643"/>
        <n v="30396"/>
        <n v="62772"/>
        <n v="30298"/>
        <n v="44155"/>
        <n v="86979"/>
        <n v="76532"/>
        <n v="42081"/>
        <n v="88420"/>
        <n v="31158"/>
        <n v="61671"/>
        <n v="69719"/>
        <n v="49160"/>
        <n v="90933"/>
        <n v="113734"/>
        <n v="22148"/>
        <n v="73395"/>
        <n v="29819"/>
        <n v="45688"/>
        <n v="60491"/>
        <n v="33235"/>
        <n v="35701"/>
        <n v="31535"/>
        <n v="92556"/>
        <n v="67384"/>
        <n v="77870"/>
        <n v="57107"/>
        <n v="36038"/>
        <n v="34230"/>
        <n v="31878"/>
        <n v="70932"/>
        <n v="91249"/>
        <n v="77598"/>
        <n v="80982"/>
        <n v="22701"/>
        <n v="70617"/>
        <n v="64849"/>
        <n v="62694"/>
        <n v="61917"/>
        <n v="67472"/>
        <n v="21059"/>
        <n v="29543"/>
        <n v="75903"/>
        <n v="34984"/>
        <n v="54998"/>
        <n v="54356"/>
        <n v="34242"/>
        <n v="25410"/>
        <n v="73356"/>
        <n v="28320"/>
        <n v="23763"/>
        <n v="72570"/>
        <n v="34529"/>
        <n v="70792"/>
        <n v="63211"/>
        <n v="83891"/>
        <n v="36065"/>
        <n v="51141"/>
        <n v="56939"/>
        <n v="80872"/>
        <n v="72335"/>
        <n v="61798"/>
        <n v="76842"/>
        <n v="29478"/>
        <n v="46998"/>
        <n v="96843"/>
        <n v="70053"/>
        <n v="71670"/>
        <n v="44359"/>
        <n v="40887"/>
        <n v="48877"/>
        <n v="74485"/>
        <n v="64474"/>
        <n v="77226"/>
        <n v="72643"/>
        <n v="85738"/>
        <n v="55686"/>
        <n v="39062"/>
        <n v="40794"/>
        <n v="4428"/>
        <n v="32632"/>
        <n v="38236"/>
        <n v="36781"/>
        <n v="31385"/>
        <n v="24570"/>
        <n v="94642"/>
        <n v="58646"/>
        <n v="53201"/>
        <n v="57113"/>
        <n v="51373"/>
        <n v="23477"/>
        <n v="58116"/>
        <n v="72968"/>
        <n v="39791"/>
        <n v="91712"/>
        <n v="94472"/>
        <n v="13672"/>
        <n v="96547"/>
        <n v="79205"/>
        <n v="56559"/>
        <n v="32644"/>
        <n v="67506"/>
        <n v="24206"/>
        <n v="28420"/>
        <n v="22979"/>
        <n v="33279"/>
        <n v="30368"/>
        <n v="63684"/>
        <n v="41638"/>
        <n v="68805"/>
        <n v="65814"/>
        <n v="71964"/>
        <n v="39146"/>
        <n v="96876"/>
        <n v="34445"/>
        <n v="68281"/>
        <n v="36790"/>
        <n v="27943"/>
        <n v="22263"/>
        <n v="30261"/>
        <n v="28587"/>
        <n v="43815"/>
        <n v="48195"/>
        <n v="77027"/>
        <n v="71322"/>
        <n v="32765"/>
        <n v="23272"/>
        <n v="49912"/>
        <n v="68117"/>
        <n v="67225"/>
        <n v="17649"/>
        <n v="55914"/>
        <n v="40059"/>
        <n v="60905"/>
        <n v="75330"/>
        <n v="60689"/>
        <n v="38680"/>
        <n v="61416"/>
        <n v="49767"/>
        <n v="83273"/>
        <n v="29009"/>
        <n v="45057"/>
        <n v="37150"/>
        <n v="43020"/>
        <n v="53154"/>
        <n v="65308"/>
        <n v="76467"/>
        <n v="81044"/>
        <n v="32871"/>
        <n v="55801"/>
        <n v="76320"/>
        <n v="36927"/>
        <n v="48794"/>
        <n v="23478"/>
        <n v="71128"/>
        <n v="59462"/>
        <n v="42554"/>
        <n v="67046"/>
        <n v="42192"/>
        <n v="77610"/>
        <n v="31761"/>
        <n v="34350"/>
        <n v="54591"/>
        <n v="71866"/>
        <n v="69520"/>
        <n v="64713"/>
        <n v="27889"/>
        <n v="22123"/>
        <n v="27803"/>
        <n v="51651"/>
        <n v="87000"/>
        <n v="79823"/>
        <n v="30828"/>
        <n v="34109"/>
        <n v="53367"/>
        <n v="22390"/>
        <n v="79244"/>
        <n v="48699"/>
        <n v="80144"/>
        <n v="54252"/>
        <n v="81929"/>
        <n v="76068"/>
        <n v="53204"/>
        <n v="14796"/>
        <n v="78128"/>
        <n v="14188"/>
        <n v="72967"/>
        <n v="48150"/>
        <n v="82332"/>
        <n v="58275"/>
        <n v="44953"/>
        <n v="34587"/>
        <n v="43018"/>
        <n v="45736"/>
        <n v="27733"/>
        <n v="69805"/>
        <n v="72217"/>
        <n v="25818"/>
        <n v="37509"/>
        <n v="25176"/>
        <n v="43586"/>
        <n v="53230"/>
        <n v="50116"/>
        <n v="82333"/>
        <n v="65220"/>
        <n v="33590"/>
        <n v="72309"/>
        <n v="156924"/>
        <n v="16005"/>
        <n v="65487"/>
        <n v="58692"/>
        <n v="40590"/>
        <n v="62637"/>
        <n v="29435"/>
        <n v="19346"/>
        <n v="35788"/>
        <n v="36997"/>
        <n v="23539"/>
        <n v="65333"/>
        <n v="78499"/>
        <n v="29732"/>
        <n v="41275"/>
        <n v="63516"/>
        <n v="42769"/>
        <n v="49572"/>
        <n v="69209"/>
        <n v="17148"/>
        <n v="32146"/>
        <n v="41713"/>
        <n v="58482"/>
        <n v="59686"/>
        <n v="60896"/>
        <n v="62994"/>
        <n v="47320"/>
        <n v="74859"/>
        <n v="15253"/>
        <n v="31560"/>
        <n v="91172"/>
        <n v="90000"/>
        <n v="41967"/>
        <n v="69263"/>
        <n v="65706"/>
        <n v="60934"/>
        <n v="71965"/>
        <n v="65210"/>
        <n v="79174"/>
        <n v="81380"/>
        <n v="52914"/>
        <n v="26067"/>
        <n v="44325"/>
        <n v="26487"/>
        <n v="53233"/>
        <n v="67716"/>
        <n v="76234"/>
        <n v="84117"/>
        <n v="25224"/>
        <n v="89616"/>
        <n v="40851"/>
        <n v="27469"/>
        <n v="73803"/>
        <n v="8820"/>
        <n v="43322"/>
        <n v="55593"/>
        <n v="50501"/>
        <n v="37085"/>
        <n v="16185"/>
        <n v="57731"/>
        <n v="73807"/>
        <n v="35893"/>
        <n v="61014"/>
        <n v="32144"/>
        <n v="14918"/>
        <n v="45146"/>
        <n v="41769"/>
        <n v="88325"/>
        <n v="38054"/>
        <n v="80617"/>
        <n v="5305"/>
        <n v="36807"/>
        <n v="40101"/>
        <n v="58025"/>
        <n v="33562"/>
        <n v="57642"/>
        <n v="63777"/>
        <n v="57967"/>
        <n v="24434"/>
        <n v="11012"/>
        <n v="44802"/>
        <n v="26816"/>
        <n v="666666"/>
        <n v="61223"/>
        <n v="56981"/>
        <n v="69245"/>
        <n v="52869"/>
      </sharedItems>
    </cacheField>
    <cacheField name="Kidhome" numFmtId="0">
      <sharedItems containsSemiMixedTypes="0" containsString="0" containsNumber="1" containsInteger="1" minValue="0" maxValue="2" count="3">
        <n v="0"/>
        <n v="1"/>
        <n v="2"/>
      </sharedItems>
    </cacheField>
    <cacheField name="Teenhome" numFmtId="14">
      <sharedItems containsSemiMixedTypes="0" containsNonDate="0" containsDate="1" containsString="0" minDate="1899-12-30T00:00:00" maxDate="1900-01-02T00:00:00"/>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Fruits" numFmtId="0">
      <sharedItems containsSemiMixedTypes="0" containsString="0" containsNumber="1" containsInteger="1" minValue="0" maxValue="199"/>
    </cacheField>
    <cacheField name="MntSweetProducts" numFmtId="0">
      <sharedItems containsSemiMixedTypes="0" containsString="0" containsNumber="1" containsInteger="1" minValue="0" maxValue="263"/>
    </cacheField>
    <cacheField name="NumWebPurchases" numFmtId="0">
      <sharedItems containsSemiMixedTypes="0" containsString="0" containsNumber="1" containsInteger="1" minValue="0" maxValue="263"/>
    </cacheField>
    <cacheField name="NumStorePurchases" numFmtId="0">
      <sharedItems containsSemiMixedTypes="0" containsString="0" containsNumber="1" containsInteger="1" minValue="0" maxValue="13"/>
    </cacheField>
    <cacheField name="AGE" numFmtId="0">
      <sharedItems containsSemiMixedTypes="0" containsString="0" containsNumber="1" containsInteger="1" minValue="30" maxValue="133"/>
    </cacheField>
    <cacheField name="AGE GROUP" numFmtId="0">
      <sharedItems count="2">
        <s v="&gt;50"/>
        <s v="30-50"/>
      </sharedItems>
    </cacheField>
    <cacheField name="TOTAL PURCHASE" numFmtId="0">
      <sharedItems containsSemiMixedTypes="0" containsString="0" containsNumber="1" containsInteger="1" minValue="0" maxValue="263"/>
    </cacheField>
    <cacheField name="Product Category" numFmtId="0">
      <sharedItems containsBlank="1" count="4">
        <s v="Sweet products"/>
        <s v="Fruits"/>
        <s v="Total Combined"/>
        <m/>
      </sharedItems>
    </cacheField>
    <cacheField name="Total Sales Amount" numFmtId="0">
      <sharedItems containsString="0" containsBlank="1" containsNumber="1" containsInteger="1" minValue="58917" maxValue="119538"/>
    </cacheField>
    <cacheField name="Field19" caption="Field19" numFmtId="0">
      <sharedItems containsNonDate="0" containsString="0" containsBlank="1" count="1">
        <m/>
      </sharedItems>
    </cacheField>
    <cacheField name="Income group" numFmtId="164">
      <sharedItems count="5">
        <s v="50k-75k"/>
        <s v="30k-50k"/>
        <s v="30k"/>
        <s v="75k-100k"/>
        <s v="100k"/>
      </sharedItems>
    </cacheField>
    <cacheField name="Field21" caption="Field21" numFmtId="0">
      <sharedItems containsNonDate="0" containsString="0" containsBlank="1" count="1">
        <m/>
      </sharedItems>
    </cacheField>
    <cacheField name="Lifespan years" numFmtId="0">
      <sharedItems containsSemiMixedTypes="0" containsString="0" containsNumber="1" containsInteger="1" minValue="12" maxValue="14"/>
    </cacheField>
    <cacheField name="Field23" caption="Field23" numFmtId="0">
      <sharedItems containsNonDate="0" containsString="0" containsBlank="1" count="1">
        <m/>
      </sharedItems>
    </cacheField>
  </cacheFields>
  <extLst>
    <ext xmlns:x14="http://schemas.microsoft.com/office/spreadsheetml/2009/9/main" uri="{725AE2AE-9491-48be-B2B4-4EB974FC3084}">
      <x14:pivotCacheDefinition pivotCacheId="1438816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0"/>
    <n v="5524"/>
    <n v="1957"/>
    <s v="Graduation"/>
    <s v="Single"/>
    <n v="58138"/>
    <n v="0"/>
    <d v="1899-12-30T00:00:00"/>
    <d v="2012-09-04T00:00:00"/>
    <n v="58"/>
    <n v="88"/>
    <n v="88"/>
    <n v="88"/>
    <n v="4"/>
    <n v="69"/>
    <x v="0"/>
    <x v="0"/>
  </r>
  <r>
    <n v="1"/>
    <n v="2174"/>
    <n v="1954"/>
    <s v="Graduation"/>
    <s v="Single"/>
    <n v="46344"/>
    <n v="1"/>
    <d v="1899-12-31T00:00:00"/>
    <d v="2014-03-08T00:00:00"/>
    <n v="38"/>
    <n v="1"/>
    <n v="1"/>
    <n v="1"/>
    <n v="2"/>
    <n v="72"/>
    <x v="0"/>
    <x v="1"/>
  </r>
  <r>
    <n v="2"/>
    <n v="4141"/>
    <n v="1965"/>
    <s v="Graduation"/>
    <s v="Together"/>
    <n v="71613"/>
    <n v="0"/>
    <d v="1899-12-30T00:00:00"/>
    <d v="2013-08-21T00:00:00"/>
    <n v="26"/>
    <n v="49"/>
    <n v="21"/>
    <n v="21"/>
    <n v="10"/>
    <n v="61"/>
    <x v="0"/>
    <x v="2"/>
  </r>
  <r>
    <n v="3"/>
    <n v="6182"/>
    <n v="1984"/>
    <s v="Graduation"/>
    <s v="Together"/>
    <n v="26646"/>
    <n v="1"/>
    <d v="1899-12-30T00:00:00"/>
    <d v="2014-02-10T00:00:00"/>
    <n v="26"/>
    <n v="4"/>
    <n v="3"/>
    <n v="3"/>
    <n v="4"/>
    <n v="42"/>
    <x v="1"/>
    <x v="3"/>
  </r>
  <r>
    <n v="4"/>
    <n v="5324"/>
    <n v="1981"/>
    <s v="PhD"/>
    <s v="Married"/>
    <n v="58293"/>
    <n v="1"/>
    <d v="1899-12-30T00:00:00"/>
    <d v="2014-01-19T00:00:00"/>
    <n v="94"/>
    <n v="43"/>
    <n v="27"/>
    <n v="27"/>
    <n v="6"/>
    <n v="45"/>
    <x v="1"/>
    <x v="4"/>
  </r>
  <r>
    <n v="5"/>
    <n v="7446"/>
    <n v="1967"/>
    <s v="Master"/>
    <s v="Together"/>
    <n v="62513"/>
    <n v="0"/>
    <d v="1899-12-31T00:00:00"/>
    <d v="2013-09-09T00:00:00"/>
    <n v="16"/>
    <n v="42"/>
    <n v="42"/>
    <n v="42"/>
    <n v="10"/>
    <n v="59"/>
    <x v="0"/>
    <x v="5"/>
  </r>
  <r>
    <n v="6"/>
    <n v="965"/>
    <n v="1971"/>
    <s v="Graduation"/>
    <s v="Divorced"/>
    <n v="55635"/>
    <n v="0"/>
    <d v="1899-12-31T00:00:00"/>
    <d v="2012-11-13T00:00:00"/>
    <n v="34"/>
    <n v="65"/>
    <n v="49"/>
    <n v="49"/>
    <n v="7"/>
    <n v="55"/>
    <x v="0"/>
    <x v="6"/>
  </r>
  <r>
    <n v="7"/>
    <n v="6177"/>
    <n v="1985"/>
    <s v="PhD"/>
    <s v="Married"/>
    <n v="33454"/>
    <n v="1"/>
    <d v="1899-12-30T00:00:00"/>
    <d v="2013-05-08T00:00:00"/>
    <n v="32"/>
    <n v="10"/>
    <n v="1"/>
    <n v="1"/>
    <n v="4"/>
    <n v="41"/>
    <x v="1"/>
    <x v="7"/>
  </r>
  <r>
    <n v="8"/>
    <n v="4855"/>
    <n v="1974"/>
    <s v="PhD"/>
    <s v="Together"/>
    <n v="30351"/>
    <n v="1"/>
    <d v="1899-12-30T00:00:00"/>
    <d v="2013-06-06T00:00:00"/>
    <n v="19"/>
    <n v="0"/>
    <n v="3"/>
    <n v="3"/>
    <n v="2"/>
    <n v="52"/>
    <x v="0"/>
    <x v="7"/>
  </r>
  <r>
    <n v="9"/>
    <n v="5899"/>
    <n v="1950"/>
    <s v="PhD"/>
    <s v="Together"/>
    <n v="5648"/>
    <n v="1"/>
    <d v="1899-12-31T00:00:00"/>
    <d v="2014-03-13T00:00:00"/>
    <n v="68"/>
    <n v="0"/>
    <n v="1"/>
    <n v="1"/>
    <n v="0"/>
    <n v="76"/>
    <x v="0"/>
    <x v="8"/>
  </r>
  <r>
    <n v="10"/>
    <n v="1994"/>
    <n v="1983"/>
    <s v="Graduation"/>
    <s v="Married"/>
    <m/>
    <n v="1"/>
    <d v="1899-12-30T00:00:00"/>
    <d v="2013-11-15T00:00:00"/>
    <n v="11"/>
    <n v="5"/>
    <n v="2"/>
    <n v="2"/>
    <n v="2"/>
    <n v="43"/>
    <x v="1"/>
    <x v="9"/>
  </r>
  <r>
    <n v="11"/>
    <n v="387"/>
    <n v="1976"/>
    <s v="Basic"/>
    <s v="Married"/>
    <n v="7500"/>
    <n v="0"/>
    <d v="1899-12-30T00:00:00"/>
    <d v="2012-11-13T00:00:00"/>
    <n v="59"/>
    <n v="16"/>
    <n v="1"/>
    <n v="1"/>
    <n v="3"/>
    <n v="50"/>
    <x v="1"/>
    <x v="9"/>
  </r>
  <r>
    <n v="12"/>
    <n v="2125"/>
    <n v="1959"/>
    <s v="Graduation"/>
    <s v="Divorced"/>
    <n v="63033"/>
    <n v="0"/>
    <d v="1899-12-30T00:00:00"/>
    <d v="2013-11-15T00:00:00"/>
    <n v="82"/>
    <n v="61"/>
    <n v="112"/>
    <n v="112"/>
    <n v="8"/>
    <n v="67"/>
    <x v="0"/>
    <x v="10"/>
  </r>
  <r>
    <n v="13"/>
    <n v="8180"/>
    <n v="1952"/>
    <s v="Master"/>
    <s v="Divorced"/>
    <n v="59354"/>
    <n v="1"/>
    <d v="1899-12-31T00:00:00"/>
    <d v="2013-11-15T00:00:00"/>
    <n v="53"/>
    <n v="2"/>
    <n v="5"/>
    <n v="5"/>
    <n v="5"/>
    <n v="74"/>
    <x v="0"/>
    <x v="11"/>
  </r>
  <r>
    <n v="14"/>
    <n v="2569"/>
    <n v="1987"/>
    <s v="Graduation"/>
    <s v="Married"/>
    <n v="17323"/>
    <n v="0"/>
    <d v="1899-12-30T00:00:00"/>
    <d v="2012-10-10T00:00:00"/>
    <n v="38"/>
    <n v="14"/>
    <n v="1"/>
    <n v="1"/>
    <n v="3"/>
    <n v="39"/>
    <x v="1"/>
    <x v="9"/>
  </r>
  <r>
    <n v="15"/>
    <n v="2114"/>
    <n v="1946"/>
    <s v="PhD"/>
    <s v="Single"/>
    <n v="82800"/>
    <n v="0"/>
    <d v="1899-12-30T00:00:00"/>
    <d v="2012-11-24T00:00:00"/>
    <n v="23"/>
    <n v="22"/>
    <n v="68"/>
    <n v="68"/>
    <n v="12"/>
    <n v="80"/>
    <x v="0"/>
    <x v="12"/>
  </r>
  <r>
    <n v="16"/>
    <n v="9736"/>
    <n v="1980"/>
    <s v="Graduation"/>
    <s v="Married"/>
    <n v="41850"/>
    <n v="1"/>
    <d v="1899-12-31T00:00:00"/>
    <d v="2012-12-24T00:00:00"/>
    <n v="51"/>
    <n v="5"/>
    <n v="13"/>
    <n v="13"/>
    <n v="3"/>
    <n v="46"/>
    <x v="1"/>
    <x v="13"/>
  </r>
  <r>
    <n v="17"/>
    <n v="4939"/>
    <n v="1946"/>
    <s v="Graduation"/>
    <s v="Together"/>
    <n v="37760"/>
    <n v="0"/>
    <d v="1899-12-30T00:00:00"/>
    <d v="2012-08-31T00:00:00"/>
    <n v="20"/>
    <n v="5"/>
    <n v="12"/>
    <n v="12"/>
    <n v="6"/>
    <n v="80"/>
    <x v="0"/>
    <x v="14"/>
  </r>
  <r>
    <n v="18"/>
    <n v="6565"/>
    <n v="1949"/>
    <s v="Master"/>
    <s v="Married"/>
    <n v="76995"/>
    <n v="0"/>
    <d v="1899-12-31T00:00:00"/>
    <d v="2013-03-28T00:00:00"/>
    <n v="91"/>
    <n v="80"/>
    <n v="16"/>
    <n v="16"/>
    <n v="9"/>
    <n v="77"/>
    <x v="0"/>
    <x v="15"/>
  </r>
  <r>
    <n v="19"/>
    <n v="2278"/>
    <n v="1985"/>
    <s v="2n Cycle"/>
    <s v="Single"/>
    <n v="33812"/>
    <n v="1"/>
    <d v="1899-12-30T00:00:00"/>
    <d v="2012-11-03T00:00:00"/>
    <n v="86"/>
    <n v="17"/>
    <n v="24"/>
    <n v="24"/>
    <n v="3"/>
    <n v="41"/>
    <x v="1"/>
    <x v="16"/>
  </r>
  <r>
    <n v="20"/>
    <n v="9360"/>
    <n v="1982"/>
    <s v="Graduation"/>
    <s v="Married"/>
    <n v="37040"/>
    <n v="0"/>
    <d v="1899-12-30T00:00:00"/>
    <d v="2012-08-08T00:00:00"/>
    <n v="41"/>
    <n v="2"/>
    <n v="38"/>
    <n v="38"/>
    <n v="5"/>
    <n v="44"/>
    <x v="1"/>
    <x v="17"/>
  </r>
  <r>
    <n v="21"/>
    <n v="5376"/>
    <n v="1979"/>
    <s v="Graduation"/>
    <s v="Married"/>
    <n v="2447"/>
    <n v="1"/>
    <d v="1899-12-30T00:00:00"/>
    <d v="2013-01-06T00:00:00"/>
    <n v="42"/>
    <n v="1"/>
    <n v="1"/>
    <n v="1"/>
    <n v="0"/>
    <n v="47"/>
    <x v="1"/>
    <x v="8"/>
  </r>
  <r>
    <n v="22"/>
    <n v="1993"/>
    <n v="1949"/>
    <s v="PhD"/>
    <s v="Married"/>
    <n v="58607"/>
    <n v="0"/>
    <d v="1899-12-31T00:00:00"/>
    <d v="2012-12-23T00:00:00"/>
    <n v="63"/>
    <n v="0"/>
    <n v="0"/>
    <n v="0"/>
    <n v="9"/>
    <n v="77"/>
    <x v="0"/>
    <x v="18"/>
  </r>
  <r>
    <n v="23"/>
    <n v="4047"/>
    <n v="1954"/>
    <s v="PhD"/>
    <s v="Married"/>
    <n v="65324"/>
    <n v="0"/>
    <d v="1899-12-31T00:00:00"/>
    <d v="2014-01-11T00:00:00"/>
    <n v="0"/>
    <n v="0"/>
    <n v="32"/>
    <n v="32"/>
    <n v="9"/>
    <n v="72"/>
    <x v="0"/>
    <x v="19"/>
  </r>
  <r>
    <n v="24"/>
    <n v="1409"/>
    <n v="1951"/>
    <s v="Graduation"/>
    <s v="Together"/>
    <n v="40689"/>
    <n v="0"/>
    <d v="1899-12-31T00:00:00"/>
    <d v="2013-03-18T00:00:00"/>
    <n v="69"/>
    <n v="3"/>
    <n v="6"/>
    <n v="6"/>
    <n v="5"/>
    <n v="75"/>
    <x v="0"/>
    <x v="20"/>
  </r>
  <r>
    <n v="25"/>
    <n v="7892"/>
    <n v="1969"/>
    <s v="Graduation"/>
    <s v="Single"/>
    <n v="18589"/>
    <n v="0"/>
    <d v="1899-12-30T00:00:00"/>
    <d v="2013-01-02T00:00:00"/>
    <n v="89"/>
    <n v="4"/>
    <n v="12"/>
    <n v="12"/>
    <n v="3"/>
    <n v="57"/>
    <x v="0"/>
    <x v="21"/>
  </r>
  <r>
    <n v="26"/>
    <n v="2404"/>
    <n v="1976"/>
    <s v="Graduation"/>
    <s v="Married"/>
    <n v="53359"/>
    <n v="1"/>
    <d v="1899-12-31T00:00:00"/>
    <d v="2013-05-27T00:00:00"/>
    <n v="4"/>
    <n v="4"/>
    <n v="6"/>
    <n v="6"/>
    <n v="4"/>
    <n v="50"/>
    <x v="1"/>
    <x v="11"/>
  </r>
  <r>
    <n v="27"/>
    <n v="5255"/>
    <n v="1986"/>
    <s v="Graduation"/>
    <s v="Single"/>
    <m/>
    <n v="1"/>
    <d v="1899-12-30T00:00:00"/>
    <d v="2013-02-20T00:00:00"/>
    <n v="19"/>
    <n v="1"/>
    <n v="263"/>
    <n v="263"/>
    <n v="0"/>
    <n v="40"/>
    <x v="1"/>
    <x v="22"/>
  </r>
  <r>
    <n v="28"/>
    <n v="9422"/>
    <n v="1989"/>
    <s v="Graduation"/>
    <s v="Married"/>
    <n v="38360"/>
    <n v="1"/>
    <d v="1899-12-30T00:00:00"/>
    <d v="2013-05-31T00:00:00"/>
    <n v="26"/>
    <n v="2"/>
    <n v="21"/>
    <n v="21"/>
    <n v="4"/>
    <n v="37"/>
    <x v="1"/>
    <x v="15"/>
  </r>
  <r>
    <n v="29"/>
    <n v="1966"/>
    <n v="1965"/>
    <s v="PhD"/>
    <s v="Married"/>
    <n v="84618"/>
    <n v="0"/>
    <d v="1899-12-30T00:00:00"/>
    <d v="2013-11-22T00:00:00"/>
    <n v="96"/>
    <n v="100"/>
    <n v="66"/>
    <n v="66"/>
    <n v="10"/>
    <n v="61"/>
    <x v="0"/>
    <x v="23"/>
  </r>
  <r>
    <n v="30"/>
    <n v="6864"/>
    <n v="1989"/>
    <s v="Master"/>
    <s v="Divorced"/>
    <n v="10979"/>
    <n v="0"/>
    <d v="1899-12-30T00:00:00"/>
    <d v="2014-05-22T00:00:00"/>
    <n v="34"/>
    <n v="4"/>
    <n v="2"/>
    <n v="2"/>
    <n v="3"/>
    <n v="37"/>
    <x v="1"/>
    <x v="7"/>
  </r>
  <r>
    <n v="31"/>
    <n v="3033"/>
    <n v="1963"/>
    <s v="Master"/>
    <s v="Together"/>
    <n v="38620"/>
    <n v="0"/>
    <d v="1899-12-30T00:00:00"/>
    <d v="2013-05-11T00:00:00"/>
    <n v="56"/>
    <n v="17"/>
    <n v="22"/>
    <n v="22"/>
    <n v="3"/>
    <n v="63"/>
    <x v="0"/>
    <x v="15"/>
  </r>
  <r>
    <n v="32"/>
    <n v="5710"/>
    <n v="1970"/>
    <s v="Graduation"/>
    <s v="Together"/>
    <n v="40548"/>
    <n v="0"/>
    <d v="1899-12-31T00:00:00"/>
    <d v="2012-10-10T00:00:00"/>
    <n v="31"/>
    <n v="0"/>
    <n v="0"/>
    <n v="0"/>
    <n v="4"/>
    <n v="56"/>
    <x v="0"/>
    <x v="9"/>
  </r>
  <r>
    <n v="33"/>
    <n v="7373"/>
    <n v="1952"/>
    <s v="PhD"/>
    <s v="Divorced"/>
    <n v="46610"/>
    <n v="0"/>
    <d v="1900-01-01T00:00:00"/>
    <d v="2012-10-29T00:00:00"/>
    <n v="8"/>
    <n v="12"/>
    <n v="22"/>
    <n v="22"/>
    <n v="6"/>
    <n v="74"/>
    <x v="0"/>
    <x v="24"/>
  </r>
  <r>
    <n v="34"/>
    <n v="8755"/>
    <n v="1946"/>
    <s v="Master"/>
    <s v="Married"/>
    <n v="68657"/>
    <n v="0"/>
    <d v="1899-12-30T00:00:00"/>
    <d v="2013-02-20T00:00:00"/>
    <n v="4"/>
    <n v="34"/>
    <n v="68"/>
    <n v="68"/>
    <n v="9"/>
    <n v="80"/>
    <x v="0"/>
    <x v="25"/>
  </r>
  <r>
    <n v="35"/>
    <n v="10738"/>
    <n v="1951"/>
    <s v="Master"/>
    <s v="Single"/>
    <n v="49389"/>
    <n v="1"/>
    <d v="1899-12-31T00:00:00"/>
    <d v="2013-08-29T00:00:00"/>
    <n v="55"/>
    <n v="0"/>
    <n v="1"/>
    <n v="1"/>
    <n v="3"/>
    <n v="75"/>
    <x v="0"/>
    <x v="9"/>
  </r>
  <r>
    <n v="36"/>
    <n v="4339"/>
    <n v="1970"/>
    <s v="PhD"/>
    <s v="Married"/>
    <n v="67353"/>
    <n v="0"/>
    <d v="1899-12-31T00:00:00"/>
    <d v="2013-12-31T00:00:00"/>
    <n v="37"/>
    <n v="17"/>
    <n v="8"/>
    <n v="8"/>
    <n v="12"/>
    <n v="56"/>
    <x v="0"/>
    <x v="26"/>
  </r>
  <r>
    <n v="37"/>
    <n v="10755"/>
    <n v="1976"/>
    <s v="2n Cycle"/>
    <s v="Married"/>
    <n v="23718"/>
    <n v="1"/>
    <d v="1899-12-30T00:00:00"/>
    <d v="2013-09-02T00:00:00"/>
    <n v="76"/>
    <n v="3"/>
    <n v="7"/>
    <n v="7"/>
    <n v="2"/>
    <n v="50"/>
    <x v="1"/>
    <x v="18"/>
  </r>
  <r>
    <n v="38"/>
    <n v="8595"/>
    <n v="1973"/>
    <s v="Graduation"/>
    <s v="Widow"/>
    <n v="42429"/>
    <n v="0"/>
    <d v="1899-12-31T00:00:00"/>
    <d v="2014-02-11T00:00:00"/>
    <n v="99"/>
    <n v="0"/>
    <n v="0"/>
    <n v="0"/>
    <n v="3"/>
    <n v="53"/>
    <x v="0"/>
    <x v="1"/>
  </r>
  <r>
    <n v="39"/>
    <n v="2968"/>
    <n v="1943"/>
    <s v="PhD"/>
    <s v="Divorced"/>
    <n v="48948"/>
    <n v="0"/>
    <d v="1899-12-30T00:00:00"/>
    <d v="2013-02-01T00:00:00"/>
    <n v="53"/>
    <n v="8"/>
    <n v="49"/>
    <n v="49"/>
    <n v="5"/>
    <n v="83"/>
    <x v="0"/>
    <x v="27"/>
  </r>
  <r>
    <n v="40"/>
    <n v="8601"/>
    <n v="1980"/>
    <s v="Graduation"/>
    <s v="Married"/>
    <n v="80011"/>
    <n v="0"/>
    <d v="1899-12-31T00:00:00"/>
    <d v="2013-04-29T00:00:00"/>
    <n v="3"/>
    <n v="76"/>
    <n v="178"/>
    <n v="178"/>
    <n v="5"/>
    <n v="46"/>
    <x v="1"/>
    <x v="28"/>
  </r>
  <r>
    <n v="41"/>
    <n v="503"/>
    <n v="1985"/>
    <s v="Master"/>
    <s v="Married"/>
    <n v="20559"/>
    <n v="1"/>
    <d v="1899-12-30T00:00:00"/>
    <d v="2013-03-12T00:00:00"/>
    <n v="88"/>
    <n v="1"/>
    <n v="0"/>
    <n v="0"/>
    <n v="3"/>
    <n v="41"/>
    <x v="1"/>
    <x v="1"/>
  </r>
  <r>
    <n v="42"/>
    <n v="8430"/>
    <n v="1957"/>
    <s v="Graduation"/>
    <s v="Together"/>
    <n v="21994"/>
    <n v="0"/>
    <d v="1899-12-31T00:00:00"/>
    <d v="2012-12-24T00:00:00"/>
    <n v="4"/>
    <n v="0"/>
    <n v="1"/>
    <n v="1"/>
    <n v="3"/>
    <n v="69"/>
    <x v="0"/>
    <x v="9"/>
  </r>
  <r>
    <n v="43"/>
    <n v="7281"/>
    <n v="1959"/>
    <s v="PhD"/>
    <s v="Single"/>
    <m/>
    <n v="0"/>
    <d v="1899-12-30T00:00:00"/>
    <d v="2013-11-05T00:00:00"/>
    <n v="80"/>
    <n v="11"/>
    <n v="2"/>
    <n v="2"/>
    <n v="4"/>
    <n v="67"/>
    <x v="0"/>
    <x v="29"/>
  </r>
  <r>
    <n v="44"/>
    <n v="2139"/>
    <n v="1975"/>
    <s v="Master"/>
    <s v="Married"/>
    <n v="7500"/>
    <n v="1"/>
    <d v="1899-12-30T00:00:00"/>
    <d v="2013-10-02T00:00:00"/>
    <n v="19"/>
    <n v="1"/>
    <n v="2"/>
    <n v="2"/>
    <n v="3"/>
    <n v="51"/>
    <x v="0"/>
    <x v="7"/>
  </r>
  <r>
    <n v="45"/>
    <n v="1371"/>
    <n v="1976"/>
    <s v="Graduation"/>
    <s v="Single"/>
    <n v="79941"/>
    <n v="0"/>
    <d v="1899-12-30T00:00:00"/>
    <d v="2014-06-28T00:00:00"/>
    <n v="72"/>
    <n v="164"/>
    <n v="30"/>
    <n v="30"/>
    <n v="9"/>
    <n v="50"/>
    <x v="1"/>
    <x v="30"/>
  </r>
  <r>
    <n v="46"/>
    <n v="9909"/>
    <n v="1996"/>
    <s v="2n Cycle"/>
    <s v="Married"/>
    <n v="7500"/>
    <n v="0"/>
    <d v="1899-12-30T00:00:00"/>
    <d v="2012-11-09T00:00:00"/>
    <n v="24"/>
    <n v="18"/>
    <n v="22"/>
    <n v="22"/>
    <n v="3"/>
    <n v="30"/>
    <x v="1"/>
    <x v="15"/>
  </r>
  <r>
    <n v="47"/>
    <n v="7286"/>
    <n v="1968"/>
    <s v="Graduation"/>
    <s v="Together"/>
    <n v="41728"/>
    <n v="1"/>
    <d v="1899-12-30T00:00:00"/>
    <d v="2013-05-24T00:00:00"/>
    <n v="92"/>
    <n v="6"/>
    <n v="5"/>
    <n v="5"/>
    <n v="2"/>
    <n v="58"/>
    <x v="0"/>
    <x v="3"/>
  </r>
  <r>
    <n v="48"/>
    <n v="7244"/>
    <n v="1951"/>
    <s v="Graduation"/>
    <s v="Single"/>
    <m/>
    <n v="2"/>
    <d v="1899-12-31T00:00:00"/>
    <d v="2014-01-01T00:00:00"/>
    <n v="96"/>
    <n v="5"/>
    <n v="10"/>
    <n v="10"/>
    <n v="4"/>
    <n v="75"/>
    <x v="0"/>
    <x v="31"/>
  </r>
  <r>
    <n v="49"/>
    <n v="6566"/>
    <n v="1954"/>
    <s v="PhD"/>
    <s v="Married"/>
    <n v="72550"/>
    <n v="1"/>
    <d v="1899-12-31T00:00:00"/>
    <d v="2012-11-08T00:00:00"/>
    <n v="39"/>
    <n v="50"/>
    <n v="38"/>
    <n v="38"/>
    <n v="12"/>
    <n v="72"/>
    <x v="0"/>
    <x v="32"/>
  </r>
  <r>
    <n v="50"/>
    <n v="8614"/>
    <n v="1957"/>
    <s v="Graduation"/>
    <s v="Widow"/>
    <n v="65486"/>
    <n v="0"/>
    <d v="1899-12-31T00:00:00"/>
    <d v="2014-05-12T00:00:00"/>
    <n v="29"/>
    <n v="19"/>
    <n v="67"/>
    <n v="67"/>
    <n v="10"/>
    <n v="69"/>
    <x v="0"/>
    <x v="25"/>
  </r>
  <r>
    <n v="51"/>
    <n v="4114"/>
    <n v="1964"/>
    <s v="Master"/>
    <s v="Married"/>
    <n v="79143"/>
    <n v="0"/>
    <d v="1899-12-30T00:00:00"/>
    <d v="2012-08-11T00:00:00"/>
    <n v="2"/>
    <n v="37"/>
    <n v="167"/>
    <n v="167"/>
    <n v="13"/>
    <n v="62"/>
    <x v="0"/>
    <x v="33"/>
  </r>
  <r>
    <n v="52"/>
    <n v="1331"/>
    <n v="1977"/>
    <s v="Graduation"/>
    <s v="Single"/>
    <n v="35790"/>
    <n v="1"/>
    <d v="1899-12-30T00:00:00"/>
    <d v="2013-01-02T00:00:00"/>
    <n v="54"/>
    <n v="6"/>
    <n v="1"/>
    <n v="1"/>
    <n v="3"/>
    <n v="49"/>
    <x v="1"/>
    <x v="9"/>
  </r>
  <r>
    <n v="53"/>
    <n v="2225"/>
    <n v="1977"/>
    <s v="Graduation"/>
    <s v="Divorced"/>
    <n v="82582"/>
    <n v="0"/>
    <d v="1899-12-30T00:00:00"/>
    <d v="2014-06-07T00:00:00"/>
    <n v="54"/>
    <n v="120"/>
    <n v="40"/>
    <n v="40"/>
    <n v="7"/>
    <n v="49"/>
    <x v="1"/>
    <x v="34"/>
  </r>
  <r>
    <n v="54"/>
    <n v="9381"/>
    <n v="1978"/>
    <s v="Graduation"/>
    <s v="Married"/>
    <n v="66373"/>
    <n v="1"/>
    <d v="1899-12-31T00:00:00"/>
    <d v="2013-06-12T00:00:00"/>
    <n v="57"/>
    <n v="9"/>
    <n v="24"/>
    <n v="24"/>
    <n v="10"/>
    <n v="48"/>
    <x v="1"/>
    <x v="35"/>
  </r>
  <r>
    <n v="55"/>
    <n v="6260"/>
    <n v="1955"/>
    <s v="Master"/>
    <s v="Together"/>
    <n v="82384"/>
    <n v="0"/>
    <d v="1899-12-30T00:00:00"/>
    <d v="2012-11-19T00:00:00"/>
    <n v="55"/>
    <n v="51"/>
    <n v="120"/>
    <n v="120"/>
    <n v="13"/>
    <n v="71"/>
    <x v="0"/>
    <x v="36"/>
  </r>
  <r>
    <n v="56"/>
    <n v="10383"/>
    <n v="1966"/>
    <s v="Graduation"/>
    <s v="Divorced"/>
    <n v="70287"/>
    <n v="0"/>
    <d v="1899-12-30T00:00:00"/>
    <d v="2013-04-02T00:00:00"/>
    <n v="30"/>
    <n v="35"/>
    <n v="120"/>
    <n v="120"/>
    <n v="10"/>
    <n v="60"/>
    <x v="0"/>
    <x v="37"/>
  </r>
  <r>
    <n v="57"/>
    <n v="7437"/>
    <n v="1988"/>
    <s v="Graduation"/>
    <s v="Single"/>
    <n v="27938"/>
    <n v="1"/>
    <d v="1899-12-30T00:00:00"/>
    <d v="2014-04-28T00:00:00"/>
    <n v="31"/>
    <n v="0"/>
    <n v="1"/>
    <n v="1"/>
    <n v="4"/>
    <n v="38"/>
    <x v="1"/>
    <x v="7"/>
  </r>
  <r>
    <n v="58"/>
    <n v="8557"/>
    <n v="1982"/>
    <s v="Graduation"/>
    <s v="Single"/>
    <m/>
    <n v="1"/>
    <d v="1899-12-30T00:00:00"/>
    <d v="2013-06-17T00:00:00"/>
    <n v="57"/>
    <n v="3"/>
    <n v="2"/>
    <n v="2"/>
    <n v="3"/>
    <n v="44"/>
    <x v="1"/>
    <x v="7"/>
  </r>
  <r>
    <n v="59"/>
    <n v="8375"/>
    <n v="1968"/>
    <s v="PhD"/>
    <s v="Married"/>
    <n v="55954"/>
    <n v="0"/>
    <d v="1899-12-31T00:00:00"/>
    <d v="2014-03-03T00:00:00"/>
    <n v="63"/>
    <n v="0"/>
    <n v="0"/>
    <n v="0"/>
    <n v="6"/>
    <n v="58"/>
    <x v="0"/>
    <x v="29"/>
  </r>
  <r>
    <n v="60"/>
    <n v="6853"/>
    <n v="1982"/>
    <s v="Master"/>
    <s v="Single"/>
    <n v="75777"/>
    <n v="0"/>
    <d v="1899-12-30T00:00:00"/>
    <d v="2013-07-04T00:00:00"/>
    <n v="12"/>
    <n v="26"/>
    <n v="13"/>
    <n v="13"/>
    <n v="11"/>
    <n v="44"/>
    <x v="1"/>
    <x v="38"/>
  </r>
  <r>
    <n v="61"/>
    <n v="3076"/>
    <n v="1975"/>
    <s v="Graduation"/>
    <s v="Together"/>
    <n v="66653"/>
    <n v="1"/>
    <d v="1899-12-31T00:00:00"/>
    <d v="2012-09-07T00:00:00"/>
    <n v="18"/>
    <n v="18"/>
    <n v="18"/>
    <n v="18"/>
    <n v="12"/>
    <n v="51"/>
    <x v="0"/>
    <x v="39"/>
  </r>
  <r>
    <n v="62"/>
    <n v="1012"/>
    <n v="1952"/>
    <s v="Graduation"/>
    <s v="Single"/>
    <n v="61823"/>
    <n v="0"/>
    <d v="1899-12-31T00:00:00"/>
    <d v="2013-02-18T00:00:00"/>
    <n v="26"/>
    <n v="7"/>
    <n v="14"/>
    <n v="14"/>
    <n v="10"/>
    <n v="74"/>
    <x v="0"/>
    <x v="38"/>
  </r>
  <r>
    <n v="63"/>
    <n v="6518"/>
    <n v="1951"/>
    <s v="PhD"/>
    <s v="Widow"/>
    <n v="67680"/>
    <n v="0"/>
    <d v="1899-12-31T00:00:00"/>
    <d v="2013-06-11T00:00:00"/>
    <n v="8"/>
    <n v="0"/>
    <n v="6"/>
    <n v="6"/>
    <n v="8"/>
    <n v="75"/>
    <x v="0"/>
    <x v="31"/>
  </r>
  <r>
    <n v="64"/>
    <n v="4137"/>
    <n v="1948"/>
    <s v="Graduation"/>
    <s v="Together"/>
    <n v="70666"/>
    <n v="0"/>
    <d v="1899-12-30T00:00:00"/>
    <d v="2013-12-06T00:00:00"/>
    <n v="29"/>
    <n v="40"/>
    <n v="122"/>
    <n v="122"/>
    <n v="4"/>
    <n v="78"/>
    <x v="0"/>
    <x v="40"/>
  </r>
  <r>
    <n v="65"/>
    <n v="8082"/>
    <n v="1971"/>
    <s v="Graduation"/>
    <s v="Married"/>
    <n v="25721"/>
    <n v="1"/>
    <d v="1899-12-30T00:00:00"/>
    <d v="2013-05-21T00:00:00"/>
    <n v="75"/>
    <n v="3"/>
    <n v="6"/>
    <n v="6"/>
    <n v="2"/>
    <n v="55"/>
    <x v="0"/>
    <x v="41"/>
  </r>
  <r>
    <n v="66"/>
    <n v="1386"/>
    <n v="1967"/>
    <s v="Graduation"/>
    <s v="Together"/>
    <n v="32474"/>
    <n v="1"/>
    <d v="1899-12-31T00:00:00"/>
    <d v="2014-05-11T00:00:00"/>
    <n v="0"/>
    <n v="0"/>
    <n v="0"/>
    <n v="0"/>
    <n v="2"/>
    <n v="59"/>
    <x v="0"/>
    <x v="42"/>
  </r>
  <r>
    <n v="67"/>
    <n v="9369"/>
    <n v="1979"/>
    <s v="2n Cycle"/>
    <s v="Single"/>
    <n v="88194"/>
    <n v="0"/>
    <d v="1899-12-31T00:00:00"/>
    <d v="2014-03-19T00:00:00"/>
    <n v="19"/>
    <n v="14"/>
    <n v="24"/>
    <n v="24"/>
    <n v="10"/>
    <n v="47"/>
    <x v="1"/>
    <x v="35"/>
  </r>
  <r>
    <n v="68"/>
    <n v="4477"/>
    <n v="1958"/>
    <s v="Graduation"/>
    <s v="Together"/>
    <n v="69096"/>
    <n v="0"/>
    <d v="1899-12-31T00:00:00"/>
    <d v="2013-09-27T00:00:00"/>
    <n v="4"/>
    <n v="49"/>
    <n v="82"/>
    <n v="82"/>
    <n v="10"/>
    <n v="68"/>
    <x v="0"/>
    <x v="0"/>
  </r>
  <r>
    <n v="69"/>
    <n v="1357"/>
    <n v="1970"/>
    <s v="Graduation"/>
    <s v="Together"/>
    <n v="74854"/>
    <n v="1"/>
    <d v="1900-01-01T00:00:00"/>
    <d v="2013-04-08T00:00:00"/>
    <n v="90"/>
    <n v="59"/>
    <n v="29"/>
    <n v="29"/>
    <n v="5"/>
    <n v="56"/>
    <x v="0"/>
    <x v="35"/>
  </r>
  <r>
    <n v="70"/>
    <n v="1402"/>
    <n v="1954"/>
    <s v="Master"/>
    <s v="Married"/>
    <n v="66991"/>
    <n v="0"/>
    <d v="1899-12-30T00:00:00"/>
    <d v="2012-09-11T00:00:00"/>
    <n v="1"/>
    <n v="36"/>
    <n v="60"/>
    <n v="60"/>
    <n v="6"/>
    <n v="72"/>
    <x v="0"/>
    <x v="43"/>
  </r>
  <r>
    <n v="71"/>
    <n v="10629"/>
    <n v="1973"/>
    <s v="2n Cycle"/>
    <s v="Married"/>
    <m/>
    <n v="1"/>
    <d v="1899-12-30T00:00:00"/>
    <d v="2012-09-14T00:00:00"/>
    <n v="25"/>
    <n v="3"/>
    <n v="4"/>
    <n v="4"/>
    <n v="3"/>
    <n v="53"/>
    <x v="0"/>
    <x v="3"/>
  </r>
  <r>
    <n v="72"/>
    <n v="6312"/>
    <n v="1959"/>
    <s v="Graduation"/>
    <s v="Married"/>
    <n v="65031"/>
    <n v="0"/>
    <d v="1899-12-31T00:00:00"/>
    <d v="2013-03-17T00:00:00"/>
    <n v="29"/>
    <n v="107"/>
    <n v="37"/>
    <n v="37"/>
    <n v="13"/>
    <n v="67"/>
    <x v="0"/>
    <x v="32"/>
  </r>
  <r>
    <n v="73"/>
    <n v="8132"/>
    <n v="1975"/>
    <s v="PhD"/>
    <s v="Married"/>
    <n v="60631"/>
    <n v="1"/>
    <d v="1899-12-31T00:00:00"/>
    <d v="2013-04-05T00:00:00"/>
    <n v="88"/>
    <n v="6"/>
    <n v="6"/>
    <n v="6"/>
    <n v="8"/>
    <n v="51"/>
    <x v="0"/>
    <x v="31"/>
  </r>
  <r>
    <n v="74"/>
    <n v="1050"/>
    <n v="1952"/>
    <s v="Graduation"/>
    <s v="Married"/>
    <n v="28332"/>
    <n v="0"/>
    <d v="1899-12-30T00:00:00"/>
    <d v="2014-04-30T00:00:00"/>
    <n v="58"/>
    <n v="10"/>
    <n v="15"/>
    <n v="15"/>
    <n v="4"/>
    <n v="74"/>
    <x v="0"/>
    <x v="44"/>
  </r>
  <r>
    <n v="75"/>
    <n v="5846"/>
    <n v="1977"/>
    <s v="Graduation"/>
    <s v="Divorced"/>
    <n v="40246"/>
    <n v="1"/>
    <d v="1899-12-30T00:00:00"/>
    <d v="2012-12-19T00:00:00"/>
    <n v="68"/>
    <n v="1"/>
    <n v="1"/>
    <n v="1"/>
    <n v="2"/>
    <n v="49"/>
    <x v="1"/>
    <x v="1"/>
  </r>
  <r>
    <n v="76"/>
    <n v="1859"/>
    <n v="1972"/>
    <s v="Master"/>
    <s v="Married"/>
    <n v="75251"/>
    <n v="0"/>
    <d v="1899-12-30T00:00:00"/>
    <d v="2012-08-27T00:00:00"/>
    <n v="34"/>
    <n v="111"/>
    <n v="18"/>
    <n v="18"/>
    <n v="5"/>
    <n v="54"/>
    <x v="0"/>
    <x v="45"/>
  </r>
  <r>
    <n v="77"/>
    <n v="7503"/>
    <n v="1976"/>
    <s v="Graduation"/>
    <s v="Single"/>
    <n v="75825"/>
    <n v="0"/>
    <d v="1899-12-30T00:00:00"/>
    <d v="2012-10-12T00:00:00"/>
    <n v="40"/>
    <n v="105"/>
    <n v="105"/>
    <n v="105"/>
    <n v="9"/>
    <n v="50"/>
    <x v="1"/>
    <x v="46"/>
  </r>
  <r>
    <n v="78"/>
    <n v="10401"/>
    <n v="1976"/>
    <s v="2n Cycle"/>
    <s v="Together"/>
    <n v="26326"/>
    <n v="0"/>
    <d v="1899-12-30T00:00:00"/>
    <d v="2013-09-04T00:00:00"/>
    <n v="12"/>
    <n v="0"/>
    <n v="3"/>
    <n v="3"/>
    <n v="3"/>
    <n v="50"/>
    <x v="1"/>
    <x v="29"/>
  </r>
  <r>
    <n v="79"/>
    <n v="1618"/>
    <n v="1965"/>
    <s v="Graduation"/>
    <s v="Together"/>
    <n v="56046"/>
    <n v="0"/>
    <d v="1899-12-30T00:00:00"/>
    <d v="2013-01-02T00:00:00"/>
    <n v="9"/>
    <n v="0"/>
    <n v="0"/>
    <n v="0"/>
    <n v="8"/>
    <n v="61"/>
    <x v="0"/>
    <x v="41"/>
  </r>
  <r>
    <n v="80"/>
    <n v="3332"/>
    <n v="1985"/>
    <s v="Graduation"/>
    <s v="Single"/>
    <n v="29760"/>
    <n v="1"/>
    <d v="1899-12-30T00:00:00"/>
    <d v="2012-08-29T00:00:00"/>
    <n v="87"/>
    <n v="4"/>
    <n v="5"/>
    <n v="5"/>
    <n v="4"/>
    <n v="41"/>
    <x v="1"/>
    <x v="18"/>
  </r>
  <r>
    <n v="81"/>
    <n v="2261"/>
    <n v="1969"/>
    <s v="Graduation"/>
    <s v="Married"/>
    <n v="26304"/>
    <n v="1"/>
    <d v="1899-12-30T00:00:00"/>
    <d v="2013-06-23T00:00:00"/>
    <n v="5"/>
    <n v="1"/>
    <n v="0"/>
    <n v="0"/>
    <n v="2"/>
    <n v="57"/>
    <x v="0"/>
    <x v="42"/>
  </r>
  <r>
    <n v="82"/>
    <n v="5346"/>
    <n v="1973"/>
    <s v="2n Cycle"/>
    <s v="Married"/>
    <n v="23559"/>
    <n v="1"/>
    <d v="1899-12-30T00:00:00"/>
    <d v="2013-07-03T00:00:00"/>
    <n v="87"/>
    <n v="5"/>
    <n v="0"/>
    <n v="0"/>
    <n v="3"/>
    <n v="53"/>
    <x v="0"/>
    <x v="1"/>
  </r>
  <r>
    <n v="83"/>
    <n v="4119"/>
    <n v="1963"/>
    <s v="Master"/>
    <s v="Together"/>
    <n v="38620"/>
    <n v="0"/>
    <d v="1899-12-30T00:00:00"/>
    <d v="2013-05-11T00:00:00"/>
    <n v="56"/>
    <n v="17"/>
    <n v="22"/>
    <n v="22"/>
    <n v="3"/>
    <n v="63"/>
    <x v="0"/>
    <x v="15"/>
  </r>
  <r>
    <n v="84"/>
    <n v="535"/>
    <n v="1987"/>
    <s v="Graduation"/>
    <s v="Divorced"/>
    <n v="81361"/>
    <n v="0"/>
    <d v="1899-12-30T00:00:00"/>
    <d v="2014-02-25T00:00:00"/>
    <n v="18"/>
    <n v="23"/>
    <n v="65"/>
    <n v="65"/>
    <n v="13"/>
    <n v="39"/>
    <x v="1"/>
    <x v="47"/>
  </r>
  <r>
    <n v="85"/>
    <n v="5268"/>
    <n v="1960"/>
    <s v="Graduation"/>
    <s v="Married"/>
    <n v="29440"/>
    <n v="1"/>
    <d v="1899-12-31T00:00:00"/>
    <d v="2013-08-11T00:00:00"/>
    <n v="95"/>
    <n v="8"/>
    <n v="4"/>
    <n v="4"/>
    <n v="4"/>
    <n v="66"/>
    <x v="0"/>
    <x v="41"/>
  </r>
  <r>
    <n v="86"/>
    <n v="273"/>
    <n v="1970"/>
    <s v="Master"/>
    <s v="Married"/>
    <n v="36138"/>
    <n v="1"/>
    <d v="1899-12-31T00:00:00"/>
    <d v="2013-07-16T00:00:00"/>
    <n v="48"/>
    <n v="0"/>
    <n v="0"/>
    <n v="0"/>
    <n v="4"/>
    <n v="56"/>
    <x v="0"/>
    <x v="9"/>
  </r>
  <r>
    <n v="87"/>
    <n v="4452"/>
    <n v="1957"/>
    <s v="Graduation"/>
    <s v="Single"/>
    <n v="50388"/>
    <n v="0"/>
    <d v="1899-12-31T00:00:00"/>
    <d v="2014-05-28T00:00:00"/>
    <n v="3"/>
    <n v="6"/>
    <n v="3"/>
    <n v="3"/>
    <n v="6"/>
    <n v="69"/>
    <x v="0"/>
    <x v="18"/>
  </r>
  <r>
    <n v="88"/>
    <n v="8504"/>
    <n v="1973"/>
    <s v="Graduation"/>
    <s v="Married"/>
    <n v="79593"/>
    <n v="0"/>
    <d v="1899-12-30T00:00:00"/>
    <d v="2014-05-12T00:00:00"/>
    <n v="70"/>
    <n v="60"/>
    <n v="133"/>
    <n v="133"/>
    <n v="7"/>
    <n v="53"/>
    <x v="0"/>
    <x v="48"/>
  </r>
  <r>
    <n v="89"/>
    <n v="771"/>
    <n v="1967"/>
    <s v="Graduation"/>
    <s v="Together"/>
    <n v="54178"/>
    <n v="0"/>
    <d v="1899-12-31T00:00:00"/>
    <d v="2014-01-21T00:00:00"/>
    <n v="79"/>
    <n v="9"/>
    <n v="0"/>
    <n v="0"/>
    <n v="5"/>
    <n v="59"/>
    <x v="0"/>
    <x v="7"/>
  </r>
  <r>
    <n v="90"/>
    <n v="8996"/>
    <n v="1957"/>
    <s v="PhD"/>
    <s v="Married"/>
    <m/>
    <n v="2"/>
    <d v="1899-12-31T00:00:00"/>
    <d v="2012-11-19T00:00:00"/>
    <n v="4"/>
    <n v="42"/>
    <n v="37"/>
    <n v="37"/>
    <n v="8"/>
    <n v="69"/>
    <x v="0"/>
    <x v="49"/>
  </r>
  <r>
    <n v="91"/>
    <n v="9235"/>
    <n v="1957"/>
    <s v="Graduation"/>
    <s v="Single"/>
    <m/>
    <n v="1"/>
    <d v="1899-12-31T00:00:00"/>
    <d v="2014-05-27T00:00:00"/>
    <n v="45"/>
    <n v="0"/>
    <n v="0"/>
    <n v="0"/>
    <n v="2"/>
    <n v="69"/>
    <x v="0"/>
    <x v="42"/>
  </r>
  <r>
    <n v="92"/>
    <n v="5798"/>
    <n v="1973"/>
    <s v="Master"/>
    <s v="Together"/>
    <m/>
    <n v="0"/>
    <d v="1899-12-30T00:00:00"/>
    <d v="2013-11-23T00:00:00"/>
    <n v="87"/>
    <n v="37"/>
    <n v="28"/>
    <n v="28"/>
    <n v="8"/>
    <n v="53"/>
    <x v="0"/>
    <x v="50"/>
  </r>
  <r>
    <n v="93"/>
    <n v="11178"/>
    <n v="1972"/>
    <s v="Master"/>
    <s v="Single"/>
    <n v="42394"/>
    <n v="1"/>
    <d v="1899-12-30T00:00:00"/>
    <d v="2014-03-23T00:00:00"/>
    <n v="69"/>
    <n v="2"/>
    <n v="1"/>
    <n v="1"/>
    <n v="3"/>
    <n v="54"/>
    <x v="0"/>
    <x v="9"/>
  </r>
  <r>
    <n v="94"/>
    <n v="2230"/>
    <n v="1970"/>
    <s v="PhD"/>
    <s v="Married"/>
    <n v="23626"/>
    <n v="1"/>
    <d v="1899-12-30T00:00:00"/>
    <d v="2014-05-24T00:00:00"/>
    <n v="84"/>
    <n v="2"/>
    <n v="0"/>
    <n v="0"/>
    <n v="3"/>
    <n v="56"/>
    <x v="0"/>
    <x v="1"/>
  </r>
  <r>
    <n v="95"/>
    <n v="7516"/>
    <n v="1983"/>
    <s v="Graduation"/>
    <s v="Married"/>
    <n v="30096"/>
    <n v="1"/>
    <d v="1899-12-30T00:00:00"/>
    <d v="2014-05-22T00:00:00"/>
    <n v="30"/>
    <n v="3"/>
    <n v="5"/>
    <n v="5"/>
    <n v="3"/>
    <n v="43"/>
    <x v="1"/>
    <x v="41"/>
  </r>
  <r>
    <n v="96"/>
    <n v="7247"/>
    <n v="1960"/>
    <s v="Graduation"/>
    <s v="Widow"/>
    <n v="47916"/>
    <n v="0"/>
    <d v="1899-12-31T00:00:00"/>
    <d v="2012-11-22T00:00:00"/>
    <n v="72"/>
    <n v="0"/>
    <n v="0"/>
    <n v="0"/>
    <n v="6"/>
    <n v="66"/>
    <x v="0"/>
    <x v="29"/>
  </r>
  <r>
    <n v="97"/>
    <n v="11100"/>
    <n v="1972"/>
    <s v="Graduation"/>
    <s v="Divorced"/>
    <n v="51813"/>
    <n v="1"/>
    <d v="1899-12-31T00:00:00"/>
    <d v="2013-04-11T00:00:00"/>
    <n v="37"/>
    <n v="2"/>
    <n v="1"/>
    <n v="1"/>
    <n v="3"/>
    <n v="54"/>
    <x v="0"/>
    <x v="9"/>
  </r>
  <r>
    <n v="98"/>
    <n v="4646"/>
    <n v="1951"/>
    <s v="2n Cycle"/>
    <s v="Married"/>
    <n v="78497"/>
    <n v="0"/>
    <d v="1899-12-30T00:00:00"/>
    <d v="2013-12-01T00:00:00"/>
    <n v="44"/>
    <n v="26"/>
    <n v="0"/>
    <n v="0"/>
    <n v="12"/>
    <n v="75"/>
    <x v="0"/>
    <x v="51"/>
  </r>
  <r>
    <n v="99"/>
    <n v="3037"/>
    <n v="1983"/>
    <s v="PhD"/>
    <s v="Married"/>
    <n v="50150"/>
    <n v="0"/>
    <d v="1899-12-30T00:00:00"/>
    <d v="2013-06-20T00:00:00"/>
    <n v="32"/>
    <n v="46"/>
    <n v="61"/>
    <n v="61"/>
    <n v="7"/>
    <n v="43"/>
    <x v="1"/>
    <x v="52"/>
  </r>
  <r>
    <n v="100"/>
    <n v="1473"/>
    <n v="1960"/>
    <s v="2n Cycle"/>
    <s v="Single"/>
    <n v="47823"/>
    <n v="0"/>
    <d v="1899-12-31T00:00:00"/>
    <d v="2013-07-23T00:00:00"/>
    <n v="0"/>
    <n v="1"/>
    <n v="1"/>
    <n v="1"/>
    <n v="3"/>
    <n v="66"/>
    <x v="0"/>
    <x v="9"/>
  </r>
  <r>
    <n v="101"/>
    <n v="1016"/>
    <n v="1959"/>
    <s v="PhD"/>
    <s v="Single"/>
    <n v="34554"/>
    <n v="0"/>
    <d v="1899-12-31T00:00:00"/>
    <d v="2014-03-30T00:00:00"/>
    <n v="43"/>
    <n v="1"/>
    <n v="0"/>
    <n v="0"/>
    <n v="3"/>
    <n v="67"/>
    <x v="0"/>
    <x v="1"/>
  </r>
  <r>
    <n v="102"/>
    <n v="4518"/>
    <n v="1979"/>
    <s v="Graduation"/>
    <s v="Together"/>
    <n v="85693"/>
    <n v="0"/>
    <d v="1899-12-31T00:00:00"/>
    <d v="2013-04-20T00:00:00"/>
    <n v="59"/>
    <n v="172"/>
    <n v="132"/>
    <n v="132"/>
    <n v="11"/>
    <n v="47"/>
    <x v="1"/>
    <x v="53"/>
  </r>
  <r>
    <n v="103"/>
    <n v="9370"/>
    <n v="1945"/>
    <s v="PhD"/>
    <s v="Married"/>
    <n v="65846"/>
    <n v="0"/>
    <d v="1899-12-30T00:00:00"/>
    <d v="2013-05-17T00:00:00"/>
    <n v="68"/>
    <n v="81"/>
    <n v="40"/>
    <n v="40"/>
    <n v="6"/>
    <n v="81"/>
    <x v="0"/>
    <x v="54"/>
  </r>
  <r>
    <n v="104"/>
    <n v="8908"/>
    <n v="1959"/>
    <s v="Graduation"/>
    <s v="Married"/>
    <n v="87195"/>
    <n v="0"/>
    <d v="1899-12-30T00:00:00"/>
    <d v="2014-05-08T00:00:00"/>
    <n v="35"/>
    <n v="76"/>
    <n v="26"/>
    <n v="26"/>
    <n v="5"/>
    <n v="67"/>
    <x v="0"/>
    <x v="2"/>
  </r>
  <r>
    <n v="105"/>
    <n v="8373"/>
    <n v="1979"/>
    <s v="Basic"/>
    <s v="Together"/>
    <n v="24594"/>
    <n v="1"/>
    <d v="1899-12-30T00:00:00"/>
    <d v="2013-12-10T00:00:00"/>
    <n v="94"/>
    <n v="3"/>
    <n v="0"/>
    <n v="0"/>
    <n v="3"/>
    <n v="47"/>
    <x v="1"/>
    <x v="1"/>
  </r>
  <r>
    <n v="106"/>
    <n v="7533"/>
    <n v="1964"/>
    <s v="Graduation"/>
    <s v="Married"/>
    <n v="49096"/>
    <n v="1"/>
    <d v="1899-12-31T00:00:00"/>
    <d v="2013-09-24T00:00:00"/>
    <n v="15"/>
    <n v="1"/>
    <n v="1"/>
    <n v="1"/>
    <n v="4"/>
    <n v="62"/>
    <x v="0"/>
    <x v="7"/>
  </r>
  <r>
    <n v="107"/>
    <n v="2683"/>
    <n v="1969"/>
    <s v="Graduation"/>
    <s v="Married"/>
    <n v="52413"/>
    <n v="0"/>
    <d v="1900-01-01T00:00:00"/>
    <d v="2013-02-02T00:00:00"/>
    <n v="56"/>
    <n v="106"/>
    <n v="98"/>
    <n v="98"/>
    <n v="12"/>
    <n v="57"/>
    <x v="0"/>
    <x v="55"/>
  </r>
  <r>
    <n v="108"/>
    <n v="3629"/>
    <n v="1978"/>
    <s v="Graduation"/>
    <s v="Single"/>
    <n v="38557"/>
    <n v="1"/>
    <d v="1899-12-30T00:00:00"/>
    <d v="2012-12-19T00:00:00"/>
    <n v="17"/>
    <n v="3"/>
    <n v="4"/>
    <n v="4"/>
    <n v="3"/>
    <n v="48"/>
    <x v="1"/>
    <x v="3"/>
  </r>
  <r>
    <n v="109"/>
    <n v="10991"/>
    <n v="1960"/>
    <s v="Master"/>
    <s v="Married"/>
    <n v="89058"/>
    <n v="0"/>
    <d v="1899-12-30T00:00:00"/>
    <d v="2012-12-07T00:00:00"/>
    <n v="18"/>
    <n v="194"/>
    <n v="22"/>
    <n v="22"/>
    <n v="4"/>
    <n v="66"/>
    <x v="0"/>
    <x v="56"/>
  </r>
  <r>
    <n v="110"/>
    <n v="5077"/>
    <n v="1979"/>
    <s v="Graduation"/>
    <s v="Together"/>
    <n v="77298"/>
    <n v="0"/>
    <d v="1899-12-31T00:00:00"/>
    <d v="2013-11-02T00:00:00"/>
    <n v="46"/>
    <n v="115"/>
    <n v="35"/>
    <n v="35"/>
    <n v="11"/>
    <n v="47"/>
    <x v="1"/>
    <x v="54"/>
  </r>
  <r>
    <n v="111"/>
    <n v="7431"/>
    <n v="1991"/>
    <s v="PhD"/>
    <s v="Single"/>
    <n v="68126"/>
    <n v="0"/>
    <d v="1899-12-30T00:00:00"/>
    <d v="2012-11-10T00:00:00"/>
    <n v="40"/>
    <n v="17"/>
    <n v="51"/>
    <n v="51"/>
    <n v="5"/>
    <n v="35"/>
    <x v="1"/>
    <x v="6"/>
  </r>
  <r>
    <n v="112"/>
    <n v="3267"/>
    <n v="1963"/>
    <s v="Master"/>
    <s v="Together"/>
    <n v="57288"/>
    <n v="0"/>
    <d v="1899-12-31T00:00:00"/>
    <d v="2014-06-25T00:00:00"/>
    <n v="27"/>
    <n v="0"/>
    <n v="0"/>
    <n v="0"/>
    <n v="8"/>
    <n v="63"/>
    <x v="0"/>
    <x v="41"/>
  </r>
  <r>
    <n v="113"/>
    <n v="999"/>
    <n v="1991"/>
    <s v="Graduation"/>
    <s v="Single"/>
    <n v="86037"/>
    <n v="0"/>
    <d v="1899-12-30T00:00:00"/>
    <d v="2013-01-02T00:00:00"/>
    <n v="95"/>
    <n v="44"/>
    <n v="20"/>
    <n v="20"/>
    <n v="11"/>
    <n v="35"/>
    <x v="1"/>
    <x v="2"/>
  </r>
  <r>
    <n v="114"/>
    <n v="9215"/>
    <n v="1980"/>
    <s v="PhD"/>
    <s v="Married"/>
    <n v="43974"/>
    <n v="1"/>
    <d v="1899-12-30T00:00:00"/>
    <d v="2012-12-12T00:00:00"/>
    <n v="19"/>
    <n v="0"/>
    <n v="0"/>
    <n v="0"/>
    <n v="6"/>
    <n v="46"/>
    <x v="1"/>
    <x v="29"/>
  </r>
  <r>
    <n v="115"/>
    <n v="2286"/>
    <n v="1962"/>
    <s v="Graduation"/>
    <s v="Single"/>
    <n v="50785"/>
    <n v="1"/>
    <d v="1899-12-31T00:00:00"/>
    <d v="2013-09-10T00:00:00"/>
    <n v="27"/>
    <n v="1"/>
    <n v="1"/>
    <n v="1"/>
    <n v="3"/>
    <n v="64"/>
    <x v="0"/>
    <x v="9"/>
  </r>
  <r>
    <n v="116"/>
    <n v="1592"/>
    <n v="1970"/>
    <s v="Graduation"/>
    <s v="Married"/>
    <n v="90765"/>
    <n v="0"/>
    <d v="1899-12-30T00:00:00"/>
    <d v="2014-01-24T00:00:00"/>
    <n v="25"/>
    <n v="99"/>
    <n v="82"/>
    <n v="82"/>
    <n v="5"/>
    <n v="56"/>
    <x v="0"/>
    <x v="57"/>
  </r>
  <r>
    <n v="117"/>
    <n v="367"/>
    <n v="1978"/>
    <s v="2n Cycle"/>
    <s v="Married"/>
    <n v="36550"/>
    <n v="1"/>
    <d v="1899-12-30T00:00:00"/>
    <d v="2013-02-19T00:00:00"/>
    <n v="74"/>
    <n v="90"/>
    <n v="103"/>
    <n v="103"/>
    <n v="5"/>
    <n v="48"/>
    <x v="1"/>
    <x v="58"/>
  </r>
  <r>
    <n v="118"/>
    <n v="5234"/>
    <n v="1967"/>
    <s v="2n Cycle"/>
    <s v="Together"/>
    <n v="30753"/>
    <n v="1"/>
    <d v="1899-12-31T00:00:00"/>
    <d v="2013-07-11T00:00:00"/>
    <n v="85"/>
    <n v="5"/>
    <n v="9"/>
    <n v="9"/>
    <n v="3"/>
    <n v="59"/>
    <x v="0"/>
    <x v="51"/>
  </r>
  <r>
    <n v="119"/>
    <n v="9862"/>
    <n v="1969"/>
    <s v="Graduation"/>
    <s v="Together"/>
    <n v="21918"/>
    <n v="1"/>
    <d v="1899-12-30T00:00:00"/>
    <d v="2013-11-14T00:00:00"/>
    <n v="37"/>
    <n v="6"/>
    <n v="5"/>
    <n v="5"/>
    <n v="3"/>
    <n v="57"/>
    <x v="0"/>
    <x v="41"/>
  </r>
  <r>
    <n v="120"/>
    <n v="9805"/>
    <n v="1953"/>
    <s v="Master"/>
    <s v="Together"/>
    <n v="56129"/>
    <n v="0"/>
    <d v="1899-12-31T00:00:00"/>
    <d v="2013-06-20T00:00:00"/>
    <n v="65"/>
    <n v="48"/>
    <n v="72"/>
    <n v="72"/>
    <n v="10"/>
    <n v="73"/>
    <x v="0"/>
    <x v="59"/>
  </r>
  <r>
    <n v="121"/>
    <n v="6205"/>
    <n v="1967"/>
    <s v="Master"/>
    <s v="Single"/>
    <n v="32557"/>
    <n v="1"/>
    <d v="1899-12-30T00:00:00"/>
    <d v="2014-02-24T00:00:00"/>
    <n v="13"/>
    <n v="3"/>
    <n v="4"/>
    <n v="4"/>
    <n v="3"/>
    <n v="59"/>
    <x v="0"/>
    <x v="3"/>
  </r>
  <r>
    <n v="122"/>
    <n v="8442"/>
    <n v="1985"/>
    <s v="Master"/>
    <s v="Married"/>
    <n v="19510"/>
    <n v="2"/>
    <d v="1899-12-30T00:00:00"/>
    <d v="2013-09-04T00:00:00"/>
    <n v="63"/>
    <n v="0"/>
    <n v="4"/>
    <n v="4"/>
    <n v="3"/>
    <n v="41"/>
    <x v="1"/>
    <x v="3"/>
  </r>
  <r>
    <n v="123"/>
    <n v="7386"/>
    <n v="1976"/>
    <s v="Graduation"/>
    <s v="Divorced"/>
    <n v="30992"/>
    <n v="1"/>
    <d v="1899-12-30T00:00:00"/>
    <d v="2013-04-22T00:00:00"/>
    <n v="83"/>
    <n v="0"/>
    <n v="3"/>
    <n v="3"/>
    <n v="3"/>
    <n v="50"/>
    <x v="1"/>
    <x v="29"/>
  </r>
  <r>
    <n v="124"/>
    <n v="7215"/>
    <n v="1983"/>
    <s v="Graduation"/>
    <s v="Single"/>
    <n v="101970"/>
    <n v="0"/>
    <d v="1899-12-30T00:00:00"/>
    <d v="2013-03-12T00:00:00"/>
    <n v="69"/>
    <n v="27"/>
    <n v="72"/>
    <n v="72"/>
    <n v="13"/>
    <n v="43"/>
    <x v="1"/>
    <x v="60"/>
  </r>
  <r>
    <n v="125"/>
    <n v="1491"/>
    <n v="1965"/>
    <s v="2n Cycle"/>
    <s v="Together"/>
    <n v="71488"/>
    <n v="0"/>
    <d v="1899-12-30T00:00:00"/>
    <d v="2013-02-18T00:00:00"/>
    <n v="87"/>
    <n v="33"/>
    <n v="28"/>
    <n v="28"/>
    <n v="7"/>
    <n v="61"/>
    <x v="0"/>
    <x v="61"/>
  </r>
  <r>
    <n v="126"/>
    <n v="11071"/>
    <n v="1984"/>
    <s v="Graduation"/>
    <s v="Single"/>
    <n v="79607"/>
    <n v="0"/>
    <d v="1899-12-30T00:00:00"/>
    <d v="2013-04-21T00:00:00"/>
    <n v="37"/>
    <n v="133"/>
    <n v="0"/>
    <n v="0"/>
    <n v="6"/>
    <n v="42"/>
    <x v="1"/>
    <x v="29"/>
  </r>
  <r>
    <n v="127"/>
    <n v="3381"/>
    <n v="1953"/>
    <s v="Master"/>
    <s v="Married"/>
    <n v="54348"/>
    <n v="1"/>
    <d v="1899-12-31T00:00:00"/>
    <d v="2014-06-08T00:00:00"/>
    <n v="51"/>
    <n v="0"/>
    <n v="0"/>
    <n v="0"/>
    <n v="4"/>
    <n v="73"/>
    <x v="0"/>
    <x v="9"/>
  </r>
  <r>
    <n v="128"/>
    <n v="8268"/>
    <n v="1961"/>
    <s v="PhD"/>
    <s v="Married"/>
    <m/>
    <n v="0"/>
    <d v="1899-12-31T00:00:00"/>
    <d v="2013-07-11T00:00:00"/>
    <n v="23"/>
    <n v="0"/>
    <n v="0"/>
    <n v="0"/>
    <n v="7"/>
    <n v="65"/>
    <x v="0"/>
    <x v="3"/>
  </r>
  <r>
    <n v="129"/>
    <n v="11051"/>
    <n v="1956"/>
    <s v="PhD"/>
    <s v="Together"/>
    <n v="77376"/>
    <n v="1"/>
    <d v="1899-12-31T00:00:00"/>
    <d v="2014-05-10T00:00:00"/>
    <n v="72"/>
    <n v="19"/>
    <n v="12"/>
    <n v="12"/>
    <n v="10"/>
    <n v="70"/>
    <x v="0"/>
    <x v="62"/>
  </r>
  <r>
    <n v="130"/>
    <n v="8026"/>
    <n v="1952"/>
    <s v="Graduation"/>
    <s v="Married"/>
    <n v="62998"/>
    <n v="0"/>
    <d v="1899-12-31T00:00:00"/>
    <d v="2013-09-30T00:00:00"/>
    <n v="10"/>
    <n v="58"/>
    <n v="89"/>
    <n v="89"/>
    <n v="5"/>
    <n v="74"/>
    <x v="0"/>
    <x v="63"/>
  </r>
  <r>
    <n v="131"/>
    <n v="433"/>
    <n v="1958"/>
    <s v="Master"/>
    <s v="Alone"/>
    <n v="61331"/>
    <n v="1"/>
    <d v="1899-12-31T00:00:00"/>
    <d v="2013-03-10T00:00:00"/>
    <n v="42"/>
    <n v="5"/>
    <n v="5"/>
    <n v="5"/>
    <n v="6"/>
    <n v="68"/>
    <x v="0"/>
    <x v="20"/>
  </r>
  <r>
    <n v="132"/>
    <n v="9597"/>
    <n v="1969"/>
    <s v="Graduation"/>
    <s v="Married"/>
    <n v="73448"/>
    <n v="0"/>
    <d v="1899-12-30T00:00:00"/>
    <d v="2014-02-10T00:00:00"/>
    <n v="10"/>
    <n v="106"/>
    <n v="41"/>
    <n v="41"/>
    <n v="9"/>
    <n v="57"/>
    <x v="0"/>
    <x v="32"/>
  </r>
  <r>
    <n v="133"/>
    <n v="1295"/>
    <n v="1963"/>
    <s v="Graduation"/>
    <s v="Married"/>
    <m/>
    <n v="0"/>
    <d v="1899-12-31T00:00:00"/>
    <d v="2013-08-11T00:00:00"/>
    <n v="96"/>
    <n v="65"/>
    <n v="71"/>
    <n v="71"/>
    <n v="7"/>
    <n v="63"/>
    <x v="0"/>
    <x v="47"/>
  </r>
  <r>
    <n v="134"/>
    <n v="5290"/>
    <n v="1964"/>
    <s v="PhD"/>
    <s v="Married"/>
    <n v="41551"/>
    <n v="1"/>
    <d v="1899-12-31T00:00:00"/>
    <d v="2013-08-14T00:00:00"/>
    <n v="51"/>
    <n v="0"/>
    <n v="0"/>
    <n v="0"/>
    <n v="5"/>
    <n v="62"/>
    <x v="0"/>
    <x v="7"/>
  </r>
  <r>
    <n v="135"/>
    <n v="1685"/>
    <n v="1967"/>
    <s v="PhD"/>
    <s v="Together"/>
    <n v="62981"/>
    <n v="0"/>
    <d v="1899-12-30T00:00:00"/>
    <d v="2013-03-17T00:00:00"/>
    <n v="21"/>
    <n v="14"/>
    <n v="44"/>
    <n v="44"/>
    <n v="13"/>
    <n v="59"/>
    <x v="0"/>
    <x v="64"/>
  </r>
  <r>
    <n v="136"/>
    <n v="5342"/>
    <n v="1976"/>
    <s v="Basic"/>
    <s v="Divorced"/>
    <n v="9548"/>
    <n v="1"/>
    <d v="1899-12-30T00:00:00"/>
    <d v="2012-08-08T00:00:00"/>
    <n v="31"/>
    <n v="1"/>
    <n v="6"/>
    <n v="6"/>
    <n v="3"/>
    <n v="50"/>
    <x v="1"/>
    <x v="18"/>
  </r>
  <r>
    <n v="137"/>
    <n v="9579"/>
    <n v="1959"/>
    <s v="PhD"/>
    <s v="Married"/>
    <n v="33762"/>
    <n v="2"/>
    <d v="1899-12-31T00:00:00"/>
    <d v="2013-07-07T00:00:00"/>
    <n v="61"/>
    <n v="1"/>
    <n v="0"/>
    <n v="0"/>
    <n v="2"/>
    <n v="67"/>
    <x v="0"/>
    <x v="42"/>
  </r>
  <r>
    <n v="138"/>
    <n v="7660"/>
    <n v="1973"/>
    <s v="PhD"/>
    <s v="Alone"/>
    <n v="35860"/>
    <n v="1"/>
    <d v="1899-12-31T00:00:00"/>
    <d v="2014-05-19T00:00:00"/>
    <n v="37"/>
    <n v="0"/>
    <n v="2"/>
    <n v="2"/>
    <n v="2"/>
    <n v="53"/>
    <x v="0"/>
    <x v="9"/>
  </r>
  <r>
    <n v="139"/>
    <n v="1461"/>
    <n v="1965"/>
    <s v="PhD"/>
    <s v="Divorced"/>
    <n v="36921"/>
    <n v="1"/>
    <d v="1899-12-31T00:00:00"/>
    <d v="2013-07-28T00:00:00"/>
    <n v="74"/>
    <n v="1"/>
    <n v="1"/>
    <n v="1"/>
    <n v="3"/>
    <n v="61"/>
    <x v="0"/>
    <x v="9"/>
  </r>
  <r>
    <n v="140"/>
    <n v="821"/>
    <n v="1992"/>
    <s v="Master"/>
    <s v="Single"/>
    <n v="92859"/>
    <n v="0"/>
    <d v="1899-12-30T00:00:00"/>
    <d v="2012-10-19T00:00:00"/>
    <n v="46"/>
    <n v="61"/>
    <n v="61"/>
    <n v="61"/>
    <n v="12"/>
    <n v="34"/>
    <x v="1"/>
    <x v="65"/>
  </r>
  <r>
    <n v="141"/>
    <n v="11084"/>
    <n v="1976"/>
    <s v="Master"/>
    <s v="Together"/>
    <n v="65104"/>
    <n v="0"/>
    <d v="1899-12-31T00:00:00"/>
    <d v="2013-11-14T00:00:00"/>
    <n v="4"/>
    <n v="0"/>
    <n v="20"/>
    <n v="20"/>
    <n v="7"/>
    <n v="50"/>
    <x v="1"/>
    <x v="16"/>
  </r>
  <r>
    <n v="142"/>
    <n v="8690"/>
    <n v="1962"/>
    <s v="Graduation"/>
    <s v="Married"/>
    <n v="86111"/>
    <n v="0"/>
    <d v="1899-12-30T00:00:00"/>
    <d v="2013-04-19T00:00:00"/>
    <n v="73"/>
    <n v="28"/>
    <n v="40"/>
    <n v="40"/>
    <n v="10"/>
    <n v="64"/>
    <x v="0"/>
    <x v="32"/>
  </r>
  <r>
    <n v="143"/>
    <n v="2937"/>
    <n v="1974"/>
    <s v="PhD"/>
    <s v="Single"/>
    <n v="68352"/>
    <n v="0"/>
    <d v="1899-12-31T00:00:00"/>
    <d v="2013-08-28T00:00:00"/>
    <n v="47"/>
    <n v="16"/>
    <n v="33"/>
    <n v="33"/>
    <n v="9"/>
    <n v="52"/>
    <x v="0"/>
    <x v="66"/>
  </r>
  <r>
    <n v="144"/>
    <n v="9701"/>
    <n v="1988"/>
    <s v="Graduation"/>
    <s v="Together"/>
    <n v="41883"/>
    <n v="1"/>
    <d v="1899-12-30T00:00:00"/>
    <d v="2013-03-19T00:00:00"/>
    <n v="13"/>
    <n v="34"/>
    <n v="16"/>
    <n v="16"/>
    <n v="3"/>
    <n v="38"/>
    <x v="1"/>
    <x v="44"/>
  </r>
  <r>
    <n v="145"/>
    <n v="9949"/>
    <n v="1976"/>
    <s v="Graduation"/>
    <s v="Married"/>
    <n v="59809"/>
    <n v="0"/>
    <d v="1900-01-01T00:00:00"/>
    <d v="2012-10-18T00:00:00"/>
    <n v="36"/>
    <n v="16"/>
    <n v="41"/>
    <n v="41"/>
    <n v="6"/>
    <n v="50"/>
    <x v="1"/>
    <x v="34"/>
  </r>
  <r>
    <n v="146"/>
    <n v="10837"/>
    <n v="1975"/>
    <s v="Graduation"/>
    <s v="Married"/>
    <n v="23957"/>
    <n v="1"/>
    <d v="1899-12-30T00:00:00"/>
    <d v="2012-10-28T00:00:00"/>
    <n v="47"/>
    <n v="1"/>
    <n v="11"/>
    <n v="11"/>
    <n v="3"/>
    <n v="51"/>
    <x v="0"/>
    <x v="31"/>
  </r>
  <r>
    <n v="147"/>
    <n v="3120"/>
    <n v="1981"/>
    <s v="Graduation"/>
    <s v="Together"/>
    <n v="38547"/>
    <n v="1"/>
    <d v="1899-12-30T00:00:00"/>
    <d v="2013-08-28T00:00:00"/>
    <n v="49"/>
    <n v="1"/>
    <n v="1"/>
    <n v="1"/>
    <n v="2"/>
    <n v="45"/>
    <x v="1"/>
    <x v="1"/>
  </r>
  <r>
    <n v="148"/>
    <n v="5885"/>
    <n v="1973"/>
    <s v="2n Cycle"/>
    <s v="Married"/>
    <n v="35688"/>
    <n v="2"/>
    <d v="1899-12-31T00:00:00"/>
    <d v="2012-08-22T00:00:00"/>
    <n v="94"/>
    <n v="3"/>
    <n v="1"/>
    <n v="1"/>
    <n v="4"/>
    <n v="53"/>
    <x v="0"/>
    <x v="7"/>
  </r>
  <r>
    <n v="149"/>
    <n v="4050"/>
    <n v="1966"/>
    <s v="Master"/>
    <s v="Married"/>
    <n v="49605"/>
    <n v="0"/>
    <d v="1899-12-30T00:00:00"/>
    <d v="2014-06-21T00:00:00"/>
    <n v="65"/>
    <n v="16"/>
    <n v="20"/>
    <n v="20"/>
    <n v="4"/>
    <n v="60"/>
    <x v="0"/>
    <x v="38"/>
  </r>
  <r>
    <n v="150"/>
    <n v="3830"/>
    <n v="1953"/>
    <s v="Master"/>
    <s v="Married"/>
    <n v="59354"/>
    <n v="0"/>
    <d v="1900-01-01T00:00:00"/>
    <d v="2014-04-24T00:00:00"/>
    <n v="59"/>
    <n v="21"/>
    <n v="13"/>
    <n v="13"/>
    <n v="7"/>
    <n v="73"/>
    <x v="0"/>
    <x v="26"/>
  </r>
  <r>
    <n v="151"/>
    <n v="7987"/>
    <n v="1969"/>
    <s v="Graduation"/>
    <s v="Married"/>
    <n v="65747"/>
    <n v="0"/>
    <d v="1899-12-31T00:00:00"/>
    <d v="2014-03-07T00:00:00"/>
    <n v="96"/>
    <n v="17"/>
    <n v="13"/>
    <n v="13"/>
    <n v="6"/>
    <n v="57"/>
    <x v="0"/>
    <x v="44"/>
  </r>
  <r>
    <n v="152"/>
    <n v="7798"/>
    <n v="1972"/>
    <s v="2n Cycle"/>
    <s v="Together"/>
    <n v="46344"/>
    <n v="0"/>
    <d v="1899-12-31T00:00:00"/>
    <d v="2012-12-14T00:00:00"/>
    <n v="28"/>
    <n v="20"/>
    <n v="20"/>
    <n v="20"/>
    <n v="5"/>
    <n v="54"/>
    <x v="0"/>
    <x v="15"/>
  </r>
  <r>
    <n v="153"/>
    <n v="92"/>
    <n v="1988"/>
    <s v="Graduation"/>
    <s v="Alone"/>
    <n v="34176"/>
    <n v="1"/>
    <d v="1899-12-30T00:00:00"/>
    <d v="2014-05-12T00:00:00"/>
    <n v="12"/>
    <n v="7"/>
    <n v="14"/>
    <n v="14"/>
    <n v="4"/>
    <n v="38"/>
    <x v="1"/>
    <x v="14"/>
  </r>
  <r>
    <n v="154"/>
    <n v="7055"/>
    <n v="1952"/>
    <s v="PhD"/>
    <s v="Together"/>
    <n v="61010"/>
    <n v="0"/>
    <d v="1899-12-31T00:00:00"/>
    <d v="2012-10-09T00:00:00"/>
    <n v="57"/>
    <n v="0"/>
    <n v="0"/>
    <n v="0"/>
    <n v="11"/>
    <n v="74"/>
    <x v="0"/>
    <x v="20"/>
  </r>
  <r>
    <n v="155"/>
    <n v="10240"/>
    <n v="1949"/>
    <s v="Graduation"/>
    <s v="Together"/>
    <n v="69372"/>
    <n v="0"/>
    <d v="1899-12-30T00:00:00"/>
    <d v="2013-02-19T00:00:00"/>
    <n v="10"/>
    <n v="26"/>
    <n v="13"/>
    <n v="13"/>
    <n v="6"/>
    <n v="77"/>
    <x v="0"/>
    <x v="44"/>
  </r>
  <r>
    <n v="156"/>
    <n v="3025"/>
    <n v="1958"/>
    <s v="Graduation"/>
    <s v="Single"/>
    <n v="49967"/>
    <n v="0"/>
    <d v="1899-12-31T00:00:00"/>
    <d v="2013-07-08T00:00:00"/>
    <n v="4"/>
    <n v="6"/>
    <n v="12"/>
    <n v="12"/>
    <n v="5"/>
    <n v="68"/>
    <x v="0"/>
    <x v="67"/>
  </r>
  <r>
    <n v="157"/>
    <n v="9283"/>
    <n v="1978"/>
    <s v="Graduation"/>
    <s v="Single"/>
    <n v="60199"/>
    <n v="1"/>
    <d v="1900-01-01T00:00:00"/>
    <d v="2013-09-12T00:00:00"/>
    <n v="49"/>
    <n v="1"/>
    <n v="0"/>
    <n v="0"/>
    <n v="3"/>
    <n v="48"/>
    <x v="1"/>
    <x v="1"/>
  </r>
  <r>
    <n v="158"/>
    <n v="9970"/>
    <n v="1977"/>
    <s v="Graduation"/>
    <s v="Together"/>
    <n v="55375"/>
    <n v="0"/>
    <d v="1899-12-31T00:00:00"/>
    <d v="2013-10-17T00:00:00"/>
    <n v="3"/>
    <n v="11"/>
    <n v="28"/>
    <n v="28"/>
    <n v="6"/>
    <n v="49"/>
    <x v="1"/>
    <x v="35"/>
  </r>
  <r>
    <n v="159"/>
    <n v="2730"/>
    <n v="1955"/>
    <s v="Graduation"/>
    <s v="Single"/>
    <n v="80317"/>
    <n v="0"/>
    <d v="1899-12-30T00:00:00"/>
    <d v="2013-08-20T00:00:00"/>
    <n v="64"/>
    <n v="11"/>
    <n v="91"/>
    <n v="91"/>
    <n v="10"/>
    <n v="71"/>
    <x v="0"/>
    <x v="68"/>
  </r>
  <r>
    <n v="160"/>
    <n v="2795"/>
    <n v="1958"/>
    <s v="Master"/>
    <s v="Single"/>
    <n v="30523"/>
    <n v="2"/>
    <d v="1899-12-31T00:00:00"/>
    <d v="2013-07-01T00:00:00"/>
    <n v="0"/>
    <n v="0"/>
    <n v="0"/>
    <n v="0"/>
    <n v="2"/>
    <n v="68"/>
    <x v="0"/>
    <x v="42"/>
  </r>
  <r>
    <n v="161"/>
    <n v="9260"/>
    <n v="1945"/>
    <s v="PhD"/>
    <s v="Married"/>
    <n v="70356"/>
    <n v="0"/>
    <d v="1899-12-30T00:00:00"/>
    <d v="2012-11-05T00:00:00"/>
    <n v="20"/>
    <n v="16"/>
    <n v="16"/>
    <n v="16"/>
    <n v="9"/>
    <n v="81"/>
    <x v="0"/>
    <x v="15"/>
  </r>
  <r>
    <n v="162"/>
    <n v="8182"/>
    <n v="1984"/>
    <s v="Graduation"/>
    <s v="Married"/>
    <n v="23228"/>
    <n v="1"/>
    <d v="1899-12-30T00:00:00"/>
    <d v="2014-01-05T00:00:00"/>
    <n v="91"/>
    <n v="3"/>
    <n v="4"/>
    <n v="4"/>
    <n v="4"/>
    <n v="42"/>
    <x v="1"/>
    <x v="41"/>
  </r>
  <r>
    <n v="163"/>
    <n v="10095"/>
    <n v="1975"/>
    <s v="PhD"/>
    <s v="Divorced"/>
    <n v="74165"/>
    <n v="0"/>
    <d v="1899-12-30T00:00:00"/>
    <d v="2013-05-01T00:00:00"/>
    <n v="9"/>
    <n v="12"/>
    <n v="12"/>
    <n v="12"/>
    <n v="10"/>
    <n v="51"/>
    <x v="0"/>
    <x v="62"/>
  </r>
  <r>
    <n v="164"/>
    <n v="8475"/>
    <n v="1973"/>
    <s v="PhD"/>
    <s v="Married"/>
    <n v="157243"/>
    <n v="0"/>
    <d v="1899-12-31T00:00:00"/>
    <d v="2014-03-01T00:00:00"/>
    <n v="98"/>
    <n v="2"/>
    <n v="2"/>
    <n v="2"/>
    <n v="0"/>
    <n v="53"/>
    <x v="0"/>
    <x v="42"/>
  </r>
  <r>
    <n v="165"/>
    <n v="4370"/>
    <n v="1966"/>
    <s v="Graduation"/>
    <s v="Together"/>
    <n v="43482"/>
    <n v="2"/>
    <d v="1899-12-31T00:00:00"/>
    <d v="2013-11-13T00:00:00"/>
    <n v="83"/>
    <n v="1"/>
    <n v="3"/>
    <n v="3"/>
    <n v="4"/>
    <n v="60"/>
    <x v="0"/>
    <x v="3"/>
  </r>
  <r>
    <n v="166"/>
    <n v="10573"/>
    <n v="1953"/>
    <s v="Graduation"/>
    <s v="Divorced"/>
    <n v="62551"/>
    <n v="0"/>
    <d v="1899-12-30T00:00:00"/>
    <d v="2013-11-18T00:00:00"/>
    <n v="27"/>
    <n v="16"/>
    <n v="21"/>
    <n v="21"/>
    <n v="4"/>
    <n v="73"/>
    <x v="0"/>
    <x v="15"/>
  </r>
  <r>
    <n v="167"/>
    <n v="3712"/>
    <n v="1959"/>
    <s v="Graduation"/>
    <s v="Divorced"/>
    <n v="52332"/>
    <n v="0"/>
    <d v="1899-12-30T00:00:00"/>
    <d v="2013-08-28T00:00:00"/>
    <n v="63"/>
    <n v="5"/>
    <n v="0"/>
    <n v="0"/>
    <n v="6"/>
    <n v="67"/>
    <x v="0"/>
    <x v="29"/>
  </r>
  <r>
    <n v="168"/>
    <n v="6637"/>
    <n v="1988"/>
    <s v="Graduation"/>
    <s v="Single"/>
    <n v="66951"/>
    <n v="0"/>
    <d v="1899-12-30T00:00:00"/>
    <d v="2013-11-02T00:00:00"/>
    <n v="46"/>
    <n v="162"/>
    <n v="76"/>
    <n v="76"/>
    <n v="7"/>
    <n v="38"/>
    <x v="1"/>
    <x v="69"/>
  </r>
  <r>
    <n v="169"/>
    <n v="3152"/>
    <n v="1957"/>
    <s v="Graduation"/>
    <s v="Together"/>
    <n v="26091"/>
    <n v="1"/>
    <d v="1899-12-31T00:00:00"/>
    <d v="2014-02-25T00:00:00"/>
    <n v="84"/>
    <n v="10"/>
    <n v="17"/>
    <n v="17"/>
    <n v="3"/>
    <n v="69"/>
    <x v="0"/>
    <x v="26"/>
  </r>
  <r>
    <n v="170"/>
    <n v="5610"/>
    <n v="1965"/>
    <s v="Graduation"/>
    <s v="Together"/>
    <n v="33456"/>
    <n v="1"/>
    <d v="1899-12-31T00:00:00"/>
    <d v="2014-04-21T00:00:00"/>
    <n v="58"/>
    <n v="3"/>
    <n v="1"/>
    <n v="1"/>
    <n v="3"/>
    <n v="61"/>
    <x v="0"/>
    <x v="9"/>
  </r>
  <r>
    <n v="171"/>
    <n v="6460"/>
    <n v="1982"/>
    <s v="Graduation"/>
    <s v="Married"/>
    <n v="28718"/>
    <n v="1"/>
    <d v="1899-12-30T00:00:00"/>
    <d v="2013-07-13T00:00:00"/>
    <n v="78"/>
    <n v="4"/>
    <n v="8"/>
    <n v="8"/>
    <n v="3"/>
    <n v="44"/>
    <x v="1"/>
    <x v="20"/>
  </r>
  <r>
    <n v="172"/>
    <n v="1349"/>
    <n v="1970"/>
    <s v="Graduation"/>
    <s v="Married"/>
    <n v="50447"/>
    <n v="2"/>
    <d v="1899-12-30T00:00:00"/>
    <d v="2014-04-21T00:00:00"/>
    <n v="4"/>
    <n v="7"/>
    <n v="3"/>
    <n v="3"/>
    <n v="3"/>
    <n v="56"/>
    <x v="0"/>
    <x v="29"/>
  </r>
  <r>
    <n v="173"/>
    <n v="1880"/>
    <n v="1959"/>
    <s v="PhD"/>
    <s v="Together"/>
    <n v="53537"/>
    <n v="1"/>
    <d v="1899-12-31T00:00:00"/>
    <d v="2014-01-30T00:00:00"/>
    <n v="17"/>
    <n v="0"/>
    <n v="0"/>
    <n v="0"/>
    <n v="3"/>
    <n v="67"/>
    <x v="0"/>
    <x v="1"/>
  </r>
  <r>
    <n v="174"/>
    <n v="641"/>
    <n v="1967"/>
    <s v="Graduation"/>
    <s v="Single"/>
    <n v="52074"/>
    <n v="0"/>
    <d v="1899-12-31T00:00:00"/>
    <d v="2014-04-04T00:00:00"/>
    <n v="77"/>
    <n v="0"/>
    <n v="0"/>
    <n v="0"/>
    <n v="2"/>
    <n v="59"/>
    <x v="0"/>
    <x v="42"/>
  </r>
  <r>
    <n v="175"/>
    <n v="8717"/>
    <n v="1975"/>
    <s v="PhD"/>
    <s v="Married"/>
    <n v="80427"/>
    <n v="0"/>
    <d v="1899-12-31T00:00:00"/>
    <d v="2012-09-12T00:00:00"/>
    <n v="56"/>
    <n v="71"/>
    <n v="71"/>
    <n v="71"/>
    <n v="8"/>
    <n v="51"/>
    <x v="0"/>
    <x v="70"/>
  </r>
  <r>
    <n v="176"/>
    <n v="10314"/>
    <n v="1948"/>
    <s v="PhD"/>
    <s v="Married"/>
    <n v="83837"/>
    <n v="0"/>
    <d v="1899-12-30T00:00:00"/>
    <d v="2012-12-16T00:00:00"/>
    <n v="79"/>
    <n v="66"/>
    <n v="89"/>
    <n v="89"/>
    <n v="5"/>
    <n v="78"/>
    <x v="0"/>
    <x v="63"/>
  </r>
  <r>
    <n v="177"/>
    <n v="10854"/>
    <n v="1970"/>
    <s v="PhD"/>
    <s v="Married"/>
    <n v="38853"/>
    <n v="1"/>
    <d v="1899-12-31T00:00:00"/>
    <d v="2014-05-23T00:00:00"/>
    <n v="90"/>
    <n v="0"/>
    <n v="0"/>
    <n v="0"/>
    <n v="3"/>
    <n v="56"/>
    <x v="0"/>
    <x v="1"/>
  </r>
  <r>
    <n v="178"/>
    <n v="10492"/>
    <n v="1959"/>
    <s v="Graduation"/>
    <s v="Together"/>
    <n v="38285"/>
    <n v="2"/>
    <d v="1899-12-31T00:00:00"/>
    <d v="2014-06-24T00:00:00"/>
    <n v="96"/>
    <n v="0"/>
    <n v="0"/>
    <n v="0"/>
    <n v="3"/>
    <n v="67"/>
    <x v="0"/>
    <x v="1"/>
  </r>
  <r>
    <n v="179"/>
    <n v="6935"/>
    <n v="1951"/>
    <s v="2n Cycle"/>
    <s v="Married"/>
    <n v="78497"/>
    <n v="0"/>
    <d v="1899-12-30T00:00:00"/>
    <d v="2013-12-01T00:00:00"/>
    <n v="44"/>
    <n v="26"/>
    <n v="0"/>
    <n v="0"/>
    <n v="12"/>
    <n v="75"/>
    <x v="0"/>
    <x v="51"/>
  </r>
  <r>
    <n v="180"/>
    <n v="7698"/>
    <n v="1976"/>
    <s v="PhD"/>
    <s v="Married"/>
    <n v="51650"/>
    <n v="0"/>
    <d v="1899-12-31T00:00:00"/>
    <d v="2014-05-11T00:00:00"/>
    <n v="81"/>
    <n v="3"/>
    <n v="5"/>
    <n v="5"/>
    <n v="4"/>
    <n v="50"/>
    <x v="1"/>
    <x v="18"/>
  </r>
  <r>
    <n v="181"/>
    <n v="3559"/>
    <n v="1988"/>
    <s v="2n Cycle"/>
    <s v="Married"/>
    <n v="16248"/>
    <n v="1"/>
    <d v="1899-12-30T00:00:00"/>
    <d v="2014-05-10T00:00:00"/>
    <n v="77"/>
    <n v="11"/>
    <n v="12"/>
    <n v="12"/>
    <n v="3"/>
    <n v="38"/>
    <x v="1"/>
    <x v="21"/>
  </r>
  <r>
    <n v="182"/>
    <n v="10562"/>
    <n v="1946"/>
    <s v="Master"/>
    <s v="Married"/>
    <n v="66835"/>
    <n v="0"/>
    <d v="1899-12-30T00:00:00"/>
    <d v="2013-09-28T00:00:00"/>
    <n v="21"/>
    <n v="26"/>
    <n v="17"/>
    <n v="17"/>
    <n v="13"/>
    <n v="80"/>
    <x v="0"/>
    <x v="39"/>
  </r>
  <r>
    <n v="183"/>
    <n v="10796"/>
    <n v="1984"/>
    <s v="Master"/>
    <s v="Married"/>
    <n v="30477"/>
    <n v="1"/>
    <d v="1899-12-30T00:00:00"/>
    <d v="2014-01-22T00:00:00"/>
    <n v="16"/>
    <n v="1"/>
    <n v="0"/>
    <n v="0"/>
    <n v="3"/>
    <n v="42"/>
    <x v="1"/>
    <x v="1"/>
  </r>
  <r>
    <n v="184"/>
    <n v="2563"/>
    <n v="1961"/>
    <s v="Basic"/>
    <s v="Married"/>
    <n v="28249"/>
    <n v="0"/>
    <d v="1899-12-30T00:00:00"/>
    <d v="2014-06-15T00:00:00"/>
    <n v="80"/>
    <n v="9"/>
    <n v="14"/>
    <n v="14"/>
    <n v="3"/>
    <n v="65"/>
    <x v="0"/>
    <x v="67"/>
  </r>
  <r>
    <n v="185"/>
    <n v="3518"/>
    <n v="1983"/>
    <s v="Graduation"/>
    <s v="Married"/>
    <n v="25271"/>
    <n v="1"/>
    <d v="1899-12-30T00:00:00"/>
    <d v="2012-12-05T00:00:00"/>
    <n v="45"/>
    <n v="1"/>
    <n v="4"/>
    <n v="4"/>
    <n v="2"/>
    <n v="43"/>
    <x v="1"/>
    <x v="29"/>
  </r>
  <r>
    <n v="186"/>
    <n v="5823"/>
    <n v="1970"/>
    <s v="PhD"/>
    <s v="Single"/>
    <n v="32303"/>
    <n v="0"/>
    <d v="1899-12-31T00:00:00"/>
    <d v="2014-03-08T00:00:00"/>
    <n v="63"/>
    <n v="0"/>
    <n v="0"/>
    <n v="0"/>
    <n v="4"/>
    <n v="56"/>
    <x v="0"/>
    <x v="9"/>
  </r>
  <r>
    <n v="187"/>
    <n v="3934"/>
    <n v="1966"/>
    <s v="Graduation"/>
    <s v="Married"/>
    <n v="61286"/>
    <n v="0"/>
    <d v="1899-12-31T00:00:00"/>
    <d v="2013-08-02T00:00:00"/>
    <n v="34"/>
    <n v="0"/>
    <n v="9"/>
    <n v="9"/>
    <n v="8"/>
    <n v="60"/>
    <x v="0"/>
    <x v="67"/>
  </r>
  <r>
    <n v="188"/>
    <n v="6982"/>
    <n v="1976"/>
    <s v="Graduation"/>
    <s v="Married"/>
    <n v="74068"/>
    <n v="0"/>
    <d v="1899-12-30T00:00:00"/>
    <d v="2013-03-19T00:00:00"/>
    <n v="14"/>
    <n v="30"/>
    <n v="76"/>
    <n v="76"/>
    <n v="9"/>
    <n v="50"/>
    <x v="1"/>
    <x v="60"/>
  </r>
  <r>
    <n v="189"/>
    <n v="6431"/>
    <n v="1964"/>
    <s v="PhD"/>
    <s v="Married"/>
    <n v="45759"/>
    <n v="1"/>
    <d v="1899-12-31T00:00:00"/>
    <d v="2013-02-23T00:00:00"/>
    <n v="13"/>
    <n v="1"/>
    <n v="0"/>
    <n v="0"/>
    <n v="3"/>
    <n v="62"/>
    <x v="0"/>
    <x v="1"/>
  </r>
  <r>
    <n v="190"/>
    <n v="9733"/>
    <n v="1978"/>
    <s v="Basic"/>
    <s v="Together"/>
    <n v="24882"/>
    <n v="1"/>
    <d v="1899-12-30T00:00:00"/>
    <d v="2012-09-09T00:00:00"/>
    <n v="52"/>
    <n v="4"/>
    <n v="0"/>
    <n v="0"/>
    <n v="2"/>
    <n v="48"/>
    <x v="1"/>
    <x v="42"/>
  </r>
  <r>
    <n v="191"/>
    <n v="5602"/>
    <n v="1989"/>
    <s v="PhD"/>
    <s v="Together"/>
    <n v="66973"/>
    <n v="0"/>
    <d v="1899-12-30T00:00:00"/>
    <d v="2013-05-17T00:00:00"/>
    <n v="98"/>
    <n v="22"/>
    <n v="113"/>
    <n v="113"/>
    <n v="12"/>
    <n v="37"/>
    <x v="1"/>
    <x v="71"/>
  </r>
  <r>
    <n v="192"/>
    <n v="7829"/>
    <n v="1900"/>
    <s v="2n Cycle"/>
    <s v="Divorced"/>
    <n v="36640"/>
    <n v="1"/>
    <d v="1899-12-30T00:00:00"/>
    <d v="2013-09-26T00:00:00"/>
    <n v="99"/>
    <n v="6"/>
    <n v="4"/>
    <n v="4"/>
    <n v="2"/>
    <n v="126"/>
    <x v="0"/>
    <x v="29"/>
  </r>
  <r>
    <n v="193"/>
    <n v="1324"/>
    <n v="1988"/>
    <s v="Graduation"/>
    <s v="Married"/>
    <n v="38872"/>
    <n v="1"/>
    <d v="1899-12-30T00:00:00"/>
    <d v="2013-05-30T00:00:00"/>
    <n v="93"/>
    <n v="3"/>
    <n v="19"/>
    <n v="19"/>
    <n v="3"/>
    <n v="38"/>
    <x v="1"/>
    <x v="62"/>
  </r>
  <r>
    <n v="194"/>
    <n v="326"/>
    <n v="1973"/>
    <s v="Graduation"/>
    <s v="Married"/>
    <n v="51148"/>
    <n v="1"/>
    <d v="1899-12-31T00:00:00"/>
    <d v="2013-02-18T00:00:00"/>
    <n v="38"/>
    <n v="6"/>
    <n v="9"/>
    <n v="9"/>
    <n v="6"/>
    <n v="53"/>
    <x v="0"/>
    <x v="21"/>
  </r>
  <r>
    <n v="195"/>
    <n v="7224"/>
    <n v="1977"/>
    <s v="Graduation"/>
    <s v="Married"/>
    <n v="31353"/>
    <n v="1"/>
    <d v="1899-12-31T00:00:00"/>
    <d v="2013-12-29T00:00:00"/>
    <n v="24"/>
    <n v="0"/>
    <n v="1"/>
    <n v="1"/>
    <n v="2"/>
    <n v="49"/>
    <x v="1"/>
    <x v="1"/>
  </r>
  <r>
    <n v="196"/>
    <n v="6999"/>
    <n v="1980"/>
    <s v="Master"/>
    <s v="Married"/>
    <n v="69661"/>
    <n v="0"/>
    <d v="1899-12-30T00:00:00"/>
    <d v="2014-05-13T00:00:00"/>
    <n v="80"/>
    <n v="16"/>
    <n v="16"/>
    <n v="16"/>
    <n v="12"/>
    <n v="46"/>
    <x v="1"/>
    <x v="24"/>
  </r>
  <r>
    <n v="197"/>
    <n v="9938"/>
    <n v="1954"/>
    <s v="Graduation"/>
    <s v="Married"/>
    <n v="80067"/>
    <n v="0"/>
    <d v="1899-12-30T00:00:00"/>
    <d v="2013-09-19T00:00:00"/>
    <n v="82"/>
    <n v="17"/>
    <n v="173"/>
    <n v="173"/>
    <n v="6"/>
    <n v="72"/>
    <x v="0"/>
    <x v="72"/>
  </r>
  <r>
    <n v="198"/>
    <n v="6422"/>
    <n v="1954"/>
    <s v="Graduation"/>
    <s v="Married"/>
    <n v="86718"/>
    <n v="0"/>
    <d v="1899-12-30T00:00:00"/>
    <d v="2013-01-17T00:00:00"/>
    <n v="20"/>
    <n v="189"/>
    <n v="33"/>
    <n v="33"/>
    <n v="5"/>
    <n v="72"/>
    <x v="0"/>
    <x v="73"/>
  </r>
  <r>
    <n v="199"/>
    <n v="3182"/>
    <n v="1973"/>
    <s v="PhD"/>
    <s v="Single"/>
    <n v="46854"/>
    <n v="1"/>
    <d v="1899-12-31T00:00:00"/>
    <d v="2014-03-31T00:00:00"/>
    <n v="81"/>
    <n v="1"/>
    <n v="1"/>
    <n v="1"/>
    <n v="3"/>
    <n v="53"/>
    <x v="0"/>
    <x v="9"/>
  </r>
  <r>
    <n v="200"/>
    <n v="7300"/>
    <n v="1952"/>
    <s v="Graduation"/>
    <s v="Divorced"/>
    <n v="69142"/>
    <n v="0"/>
    <d v="1899-12-31T00:00:00"/>
    <d v="2014-06-29T00:00:00"/>
    <n v="50"/>
    <n v="4"/>
    <n v="4"/>
    <n v="4"/>
    <n v="7"/>
    <n v="74"/>
    <x v="0"/>
    <x v="20"/>
  </r>
  <r>
    <n v="201"/>
    <n v="10424"/>
    <n v="1968"/>
    <s v="Graduation"/>
    <s v="Single"/>
    <n v="75922"/>
    <n v="0"/>
    <d v="1899-12-30T00:00:00"/>
    <d v="2013-12-09T00:00:00"/>
    <n v="60"/>
    <n v="138"/>
    <n v="23"/>
    <n v="23"/>
    <n v="9"/>
    <n v="58"/>
    <x v="0"/>
    <x v="74"/>
  </r>
  <r>
    <n v="202"/>
    <n v="8727"/>
    <n v="1978"/>
    <s v="Graduation"/>
    <s v="Divorced"/>
    <n v="63693"/>
    <n v="0"/>
    <d v="1899-12-31T00:00:00"/>
    <d v="2013-10-14T00:00:00"/>
    <n v="63"/>
    <n v="43"/>
    <n v="87"/>
    <n v="87"/>
    <n v="9"/>
    <n v="48"/>
    <x v="1"/>
    <x v="75"/>
  </r>
  <r>
    <n v="203"/>
    <n v="2798"/>
    <n v="1977"/>
    <s v="PhD"/>
    <s v="Together"/>
    <n v="102160"/>
    <n v="0"/>
    <d v="1899-12-30T00:00:00"/>
    <d v="2012-11-02T00:00:00"/>
    <n v="54"/>
    <n v="29"/>
    <n v="176"/>
    <n v="176"/>
    <n v="10"/>
    <n v="49"/>
    <x v="1"/>
    <x v="76"/>
  </r>
  <r>
    <n v="204"/>
    <n v="1030"/>
    <n v="1965"/>
    <s v="PhD"/>
    <s v="Single"/>
    <n v="40637"/>
    <n v="1"/>
    <d v="1899-12-31T00:00:00"/>
    <d v="2013-07-17T00:00:00"/>
    <n v="72"/>
    <n v="0"/>
    <n v="0"/>
    <n v="0"/>
    <n v="3"/>
    <n v="61"/>
    <x v="0"/>
    <x v="1"/>
  </r>
  <r>
    <n v="205"/>
    <n v="624"/>
    <n v="1984"/>
    <s v="Master"/>
    <s v="Single"/>
    <n v="18890"/>
    <n v="0"/>
    <d v="1899-12-30T00:00:00"/>
    <d v="2012-11-10T00:00:00"/>
    <n v="5"/>
    <n v="4"/>
    <n v="2"/>
    <n v="2"/>
    <n v="2"/>
    <n v="42"/>
    <x v="1"/>
    <x v="9"/>
  </r>
  <r>
    <n v="206"/>
    <n v="5176"/>
    <n v="1988"/>
    <s v="Graduation"/>
    <s v="Together"/>
    <n v="29604"/>
    <n v="1"/>
    <d v="1899-12-30T00:00:00"/>
    <d v="2013-12-08T00:00:00"/>
    <n v="88"/>
    <n v="6"/>
    <n v="6"/>
    <n v="6"/>
    <n v="3"/>
    <n v="38"/>
    <x v="1"/>
    <x v="18"/>
  </r>
  <r>
    <n v="207"/>
    <n v="5552"/>
    <n v="1963"/>
    <s v="Master"/>
    <s v="Divorced"/>
    <n v="48721"/>
    <n v="1"/>
    <d v="1899-12-31T00:00:00"/>
    <d v="2013-05-13T00:00:00"/>
    <n v="50"/>
    <n v="18"/>
    <n v="13"/>
    <n v="13"/>
    <n v="5"/>
    <n v="63"/>
    <x v="0"/>
    <x v="14"/>
  </r>
  <r>
    <n v="208"/>
    <n v="868"/>
    <n v="1966"/>
    <s v="Graduation"/>
    <s v="Married"/>
    <n v="44794"/>
    <n v="0"/>
    <d v="1899-12-31T00:00:00"/>
    <d v="2014-06-08T00:00:00"/>
    <n v="99"/>
    <n v="0"/>
    <n v="0"/>
    <n v="0"/>
    <n v="3"/>
    <n v="60"/>
    <x v="0"/>
    <x v="1"/>
  </r>
  <r>
    <n v="209"/>
    <n v="380"/>
    <n v="1954"/>
    <s v="Graduation"/>
    <s v="Divorced"/>
    <n v="64497"/>
    <n v="0"/>
    <d v="1899-12-31T00:00:00"/>
    <d v="2012-09-10T00:00:00"/>
    <n v="17"/>
    <n v="48"/>
    <n v="32"/>
    <n v="32"/>
    <n v="9"/>
    <n v="72"/>
    <x v="0"/>
    <x v="19"/>
  </r>
  <r>
    <n v="210"/>
    <n v="2677"/>
    <n v="1956"/>
    <s v="Graduation"/>
    <s v="Together"/>
    <n v="46097"/>
    <n v="0"/>
    <d v="1899-12-31T00:00:00"/>
    <d v="2013-03-31T00:00:00"/>
    <n v="11"/>
    <n v="24"/>
    <n v="4"/>
    <n v="4"/>
    <n v="6"/>
    <n v="70"/>
    <x v="0"/>
    <x v="11"/>
  </r>
  <r>
    <n v="211"/>
    <n v="6521"/>
    <n v="1954"/>
    <s v="Graduation"/>
    <s v="Together"/>
    <n v="77972"/>
    <n v="0"/>
    <d v="1899-12-30T00:00:00"/>
    <d v="2014-03-18T00:00:00"/>
    <n v="18"/>
    <n v="22"/>
    <n v="102"/>
    <n v="102"/>
    <n v="9"/>
    <n v="72"/>
    <x v="0"/>
    <x v="77"/>
  </r>
  <r>
    <n v="212"/>
    <n v="6927"/>
    <n v="1968"/>
    <s v="PhD"/>
    <s v="Married"/>
    <n v="44377"/>
    <n v="1"/>
    <d v="1899-12-31T00:00:00"/>
    <d v="2012-10-05T00:00:00"/>
    <n v="70"/>
    <n v="0"/>
    <n v="0"/>
    <n v="0"/>
    <n v="5"/>
    <n v="58"/>
    <x v="0"/>
    <x v="7"/>
  </r>
  <r>
    <n v="213"/>
    <n v="2877"/>
    <n v="1974"/>
    <s v="Master"/>
    <s v="Together"/>
    <n v="46014"/>
    <n v="1"/>
    <d v="1899-12-31T00:00:00"/>
    <d v="2013-01-21T00:00:00"/>
    <n v="21"/>
    <n v="0"/>
    <n v="9"/>
    <n v="9"/>
    <n v="8"/>
    <n v="52"/>
    <x v="0"/>
    <x v="67"/>
  </r>
  <r>
    <n v="214"/>
    <n v="0"/>
    <n v="1985"/>
    <s v="Graduation"/>
    <s v="Married"/>
    <n v="70951"/>
    <n v="0"/>
    <d v="1899-12-30T00:00:00"/>
    <d v="2013-05-04T00:00:00"/>
    <n v="66"/>
    <n v="10"/>
    <n v="87"/>
    <n v="87"/>
    <n v="9"/>
    <n v="41"/>
    <x v="1"/>
    <x v="75"/>
  </r>
  <r>
    <n v="215"/>
    <n v="1584"/>
    <n v="1977"/>
    <s v="Graduation"/>
    <s v="Married"/>
    <n v="41443"/>
    <n v="1"/>
    <d v="1899-12-30T00:00:00"/>
    <d v="2014-04-01T00:00:00"/>
    <n v="79"/>
    <n v="7"/>
    <n v="19"/>
    <n v="19"/>
    <n v="5"/>
    <n v="49"/>
    <x v="1"/>
    <x v="38"/>
  </r>
  <r>
    <n v="216"/>
    <n v="7264"/>
    <n v="1978"/>
    <s v="2n Cycle"/>
    <s v="Single"/>
    <n v="52195"/>
    <n v="2"/>
    <d v="1899-12-31T00:00:00"/>
    <d v="2014-05-12T00:00:00"/>
    <n v="2"/>
    <n v="0"/>
    <n v="0"/>
    <n v="0"/>
    <n v="2"/>
    <n v="48"/>
    <x v="1"/>
    <x v="42"/>
  </r>
  <r>
    <n v="217"/>
    <n v="6274"/>
    <n v="1948"/>
    <s v="Master"/>
    <s v="Married"/>
    <n v="83790"/>
    <n v="0"/>
    <d v="1899-12-30T00:00:00"/>
    <d v="2013-11-15T00:00:00"/>
    <n v="81"/>
    <n v="16"/>
    <n v="48"/>
    <n v="48"/>
    <n v="6"/>
    <n v="78"/>
    <x v="0"/>
    <x v="27"/>
  </r>
  <r>
    <n v="218"/>
    <n v="1377"/>
    <n v="1954"/>
    <s v="Master"/>
    <s v="Widow"/>
    <n v="44551"/>
    <n v="0"/>
    <d v="1899-12-31T00:00:00"/>
    <d v="2013-08-31T00:00:00"/>
    <n v="24"/>
    <n v="4"/>
    <n v="0"/>
    <n v="0"/>
    <n v="5"/>
    <n v="72"/>
    <x v="0"/>
    <x v="7"/>
  </r>
  <r>
    <n v="219"/>
    <n v="454"/>
    <n v="1980"/>
    <s v="Graduation"/>
    <s v="Together"/>
    <n v="69508"/>
    <n v="1"/>
    <d v="1899-12-30T00:00:00"/>
    <d v="2012-11-14T00:00:00"/>
    <n v="48"/>
    <n v="32"/>
    <n v="32"/>
    <n v="32"/>
    <n v="11"/>
    <n v="46"/>
    <x v="1"/>
    <x v="17"/>
  </r>
  <r>
    <n v="220"/>
    <n v="1755"/>
    <n v="1988"/>
    <s v="2n Cycle"/>
    <s v="Together"/>
    <n v="45204"/>
    <n v="1"/>
    <d v="1899-12-30T00:00:00"/>
    <d v="2014-04-11T00:00:00"/>
    <n v="93"/>
    <n v="11"/>
    <n v="1"/>
    <n v="1"/>
    <n v="4"/>
    <n v="38"/>
    <x v="1"/>
    <x v="7"/>
  </r>
  <r>
    <n v="221"/>
    <n v="2075"/>
    <n v="1969"/>
    <s v="Graduation"/>
    <s v="Married"/>
    <n v="72460"/>
    <n v="0"/>
    <d v="1899-12-30T00:00:00"/>
    <d v="2013-11-14T00:00:00"/>
    <n v="56"/>
    <n v="10"/>
    <n v="30"/>
    <n v="30"/>
    <n v="7"/>
    <n v="57"/>
    <x v="0"/>
    <x v="78"/>
  </r>
  <r>
    <n v="222"/>
    <n v="4785"/>
    <n v="1970"/>
    <s v="PhD"/>
    <s v="Together"/>
    <n v="77622"/>
    <n v="0"/>
    <d v="1900-01-01T00:00:00"/>
    <d v="2014-04-14T00:00:00"/>
    <n v="3"/>
    <n v="7"/>
    <n v="0"/>
    <n v="0"/>
    <n v="11"/>
    <n v="56"/>
    <x v="0"/>
    <x v="20"/>
  </r>
  <r>
    <n v="223"/>
    <n v="9076"/>
    <n v="1980"/>
    <s v="PhD"/>
    <s v="Married"/>
    <n v="30732"/>
    <n v="1"/>
    <d v="1899-12-30T00:00:00"/>
    <d v="2013-01-05T00:00:00"/>
    <n v="44"/>
    <n v="1"/>
    <n v="1"/>
    <n v="1"/>
    <n v="4"/>
    <n v="46"/>
    <x v="1"/>
    <x v="7"/>
  </r>
  <r>
    <n v="224"/>
    <n v="7079"/>
    <n v="1962"/>
    <s v="Graduation"/>
    <s v="Divorced"/>
    <n v="63887"/>
    <n v="0"/>
    <d v="1899-12-31T00:00:00"/>
    <d v="2012-09-08T00:00:00"/>
    <n v="38"/>
    <n v="23"/>
    <n v="11"/>
    <n v="11"/>
    <n v="12"/>
    <n v="64"/>
    <x v="0"/>
    <x v="45"/>
  </r>
  <r>
    <n v="225"/>
    <n v="4653"/>
    <n v="1978"/>
    <s v="Graduation"/>
    <s v="Together"/>
    <n v="42011"/>
    <n v="1"/>
    <d v="1899-12-30T00:00:00"/>
    <d v="2013-03-26T00:00:00"/>
    <n v="46"/>
    <n v="0"/>
    <n v="1"/>
    <n v="1"/>
    <n v="4"/>
    <n v="48"/>
    <x v="1"/>
    <x v="7"/>
  </r>
  <r>
    <n v="226"/>
    <n v="7375"/>
    <n v="1976"/>
    <s v="Graduation"/>
    <s v="Together"/>
    <n v="51369"/>
    <n v="0"/>
    <d v="1899-12-31T00:00:00"/>
    <d v="2012-10-25T00:00:00"/>
    <n v="84"/>
    <n v="7"/>
    <n v="11"/>
    <n v="11"/>
    <n v="4"/>
    <n v="50"/>
    <x v="1"/>
    <x v="21"/>
  </r>
  <r>
    <n v="227"/>
    <n v="709"/>
    <n v="1952"/>
    <s v="Graduation"/>
    <s v="Divorced"/>
    <n v="51537"/>
    <n v="0"/>
    <d v="1899-12-31T00:00:00"/>
    <d v="2012-12-09T00:00:00"/>
    <n v="27"/>
    <n v="20"/>
    <n v="0"/>
    <n v="0"/>
    <n v="11"/>
    <n v="74"/>
    <x v="0"/>
    <x v="20"/>
  </r>
  <r>
    <n v="228"/>
    <n v="460"/>
    <n v="1972"/>
    <s v="PhD"/>
    <s v="Married"/>
    <n v="79930"/>
    <n v="0"/>
    <d v="1899-12-30T00:00:00"/>
    <d v="2012-08-08T00:00:00"/>
    <n v="72"/>
    <n v="86"/>
    <n v="51"/>
    <n v="51"/>
    <n v="8"/>
    <n v="54"/>
    <x v="0"/>
    <x v="79"/>
  </r>
  <r>
    <n v="229"/>
    <n v="3726"/>
    <n v="1986"/>
    <s v="PhD"/>
    <s v="Together"/>
    <n v="34320"/>
    <n v="1"/>
    <d v="1899-12-30T00:00:00"/>
    <d v="2014-02-16T00:00:00"/>
    <n v="66"/>
    <n v="1"/>
    <n v="0"/>
    <n v="0"/>
    <n v="2"/>
    <n v="40"/>
    <x v="1"/>
    <x v="42"/>
  </r>
  <r>
    <n v="230"/>
    <n v="6798"/>
    <n v="1966"/>
    <s v="Graduation"/>
    <s v="Single"/>
    <n v="37070"/>
    <n v="1"/>
    <d v="1899-12-31T00:00:00"/>
    <d v="2013-03-20T00:00:00"/>
    <n v="30"/>
    <n v="7"/>
    <n v="15"/>
    <n v="15"/>
    <n v="8"/>
    <n v="60"/>
    <x v="0"/>
    <x v="45"/>
  </r>
  <r>
    <n v="231"/>
    <n v="5341"/>
    <n v="1962"/>
    <s v="2n Cycle"/>
    <s v="Divorced"/>
    <n v="81975"/>
    <n v="0"/>
    <d v="1899-12-31T00:00:00"/>
    <d v="2013-01-05T00:00:00"/>
    <n v="2"/>
    <n v="76"/>
    <n v="138"/>
    <n v="138"/>
    <n v="4"/>
    <n v="64"/>
    <x v="0"/>
    <x v="80"/>
  </r>
  <r>
    <n v="232"/>
    <n v="1606"/>
    <n v="1971"/>
    <s v="Graduation"/>
    <s v="Together"/>
    <n v="38590"/>
    <n v="1"/>
    <d v="1899-12-30T00:00:00"/>
    <d v="2013-05-15T00:00:00"/>
    <n v="65"/>
    <n v="1"/>
    <n v="3"/>
    <n v="3"/>
    <n v="2"/>
    <n v="55"/>
    <x v="0"/>
    <x v="7"/>
  </r>
  <r>
    <n v="233"/>
    <n v="9617"/>
    <n v="1951"/>
    <s v="Graduation"/>
    <s v="Single"/>
    <n v="15033"/>
    <n v="0"/>
    <d v="1899-12-30T00:00:00"/>
    <d v="2014-04-16T00:00:00"/>
    <n v="37"/>
    <n v="4"/>
    <n v="0"/>
    <n v="0"/>
    <n v="3"/>
    <n v="75"/>
    <x v="0"/>
    <x v="1"/>
  </r>
  <r>
    <n v="234"/>
    <n v="3233"/>
    <n v="1965"/>
    <s v="PhD"/>
    <s v="Married"/>
    <n v="62745"/>
    <n v="0"/>
    <d v="1899-12-31T00:00:00"/>
    <d v="2013-03-23T00:00:00"/>
    <n v="89"/>
    <n v="21"/>
    <n v="10"/>
    <n v="10"/>
    <n v="11"/>
    <n v="61"/>
    <x v="0"/>
    <x v="81"/>
  </r>
  <r>
    <n v="235"/>
    <n v="89"/>
    <n v="1975"/>
    <s v="2n Cycle"/>
    <s v="Married"/>
    <n v="22212"/>
    <n v="1"/>
    <d v="1899-12-30T00:00:00"/>
    <d v="2013-12-09T00:00:00"/>
    <n v="49"/>
    <n v="9"/>
    <n v="8"/>
    <n v="8"/>
    <n v="4"/>
    <n v="51"/>
    <x v="0"/>
    <x v="51"/>
  </r>
  <r>
    <n v="236"/>
    <n v="2936"/>
    <n v="1982"/>
    <s v="Master"/>
    <s v="Together"/>
    <n v="23661"/>
    <n v="1"/>
    <d v="1899-12-30T00:00:00"/>
    <d v="2013-12-04T00:00:00"/>
    <n v="46"/>
    <n v="0"/>
    <n v="0"/>
    <n v="0"/>
    <n v="3"/>
    <n v="44"/>
    <x v="1"/>
    <x v="1"/>
  </r>
  <r>
    <n v="237"/>
    <n v="9449"/>
    <n v="1958"/>
    <s v="PhD"/>
    <s v="Single"/>
    <n v="79761"/>
    <n v="0"/>
    <d v="1899-12-31T00:00:00"/>
    <d v="2013-10-04T00:00:00"/>
    <n v="32"/>
    <n v="5"/>
    <n v="35"/>
    <n v="35"/>
    <n v="11"/>
    <n v="68"/>
    <x v="0"/>
    <x v="54"/>
  </r>
  <r>
    <n v="238"/>
    <n v="7297"/>
    <n v="1973"/>
    <s v="Graduation"/>
    <s v="Single"/>
    <n v="7500"/>
    <n v="1"/>
    <d v="1899-12-30T00:00:00"/>
    <d v="2013-12-26T00:00:00"/>
    <n v="54"/>
    <n v="3"/>
    <n v="7"/>
    <n v="7"/>
    <n v="3"/>
    <n v="53"/>
    <x v="0"/>
    <x v="11"/>
  </r>
  <r>
    <n v="239"/>
    <n v="11004"/>
    <n v="1893"/>
    <s v="2n Cycle"/>
    <s v="Single"/>
    <n v="60182"/>
    <n v="0"/>
    <d v="1899-12-31T00:00:00"/>
    <d v="2014-05-17T00:00:00"/>
    <n v="23"/>
    <n v="0"/>
    <n v="0"/>
    <n v="0"/>
    <n v="2"/>
    <n v="133"/>
    <x v="0"/>
    <x v="42"/>
  </r>
  <r>
    <n v="240"/>
    <n v="313"/>
    <n v="1968"/>
    <s v="Graduation"/>
    <s v="Widow"/>
    <n v="73455"/>
    <n v="0"/>
    <d v="1899-12-30T00:00:00"/>
    <d v="2013-10-28T00:00:00"/>
    <n v="98"/>
    <n v="61"/>
    <n v="163"/>
    <n v="163"/>
    <n v="10"/>
    <n v="58"/>
    <x v="0"/>
    <x v="82"/>
  </r>
  <r>
    <n v="241"/>
    <n v="9940"/>
    <n v="1958"/>
    <s v="Graduation"/>
    <s v="Together"/>
    <n v="64961"/>
    <n v="0"/>
    <d v="1899-12-31T00:00:00"/>
    <d v="2012-12-23T00:00:00"/>
    <n v="97"/>
    <n v="114"/>
    <n v="124"/>
    <n v="124"/>
    <n v="4"/>
    <n v="68"/>
    <x v="0"/>
    <x v="83"/>
  </r>
  <r>
    <n v="242"/>
    <n v="10735"/>
    <n v="1971"/>
    <s v="Graduation"/>
    <s v="Single"/>
    <n v="22804"/>
    <n v="1"/>
    <d v="1899-12-30T00:00:00"/>
    <d v="2013-07-31T00:00:00"/>
    <n v="75"/>
    <n v="1"/>
    <n v="1"/>
    <n v="1"/>
    <n v="2"/>
    <n v="55"/>
    <x v="0"/>
    <x v="1"/>
  </r>
  <r>
    <n v="243"/>
    <n v="9529"/>
    <n v="1990"/>
    <s v="Graduation"/>
    <s v="Married"/>
    <n v="73687"/>
    <n v="0"/>
    <d v="1899-12-30T00:00:00"/>
    <d v="2013-11-28T00:00:00"/>
    <n v="8"/>
    <n v="153"/>
    <n v="13"/>
    <n v="13"/>
    <n v="9"/>
    <n v="36"/>
    <x v="1"/>
    <x v="62"/>
  </r>
  <r>
    <n v="244"/>
    <n v="6439"/>
    <n v="1958"/>
    <s v="Graduation"/>
    <s v="Married"/>
    <n v="61074"/>
    <n v="0"/>
    <d v="1899-12-31T00:00:00"/>
    <d v="2012-08-17T00:00:00"/>
    <n v="37"/>
    <n v="0"/>
    <n v="28"/>
    <n v="28"/>
    <n v="8"/>
    <n v="68"/>
    <x v="0"/>
    <x v="50"/>
  </r>
  <r>
    <n v="245"/>
    <n v="7411"/>
    <n v="1964"/>
    <s v="PhD"/>
    <s v="Married"/>
    <n v="31686"/>
    <n v="1"/>
    <d v="1899-12-31T00:00:00"/>
    <d v="2014-06-05T00:00:00"/>
    <n v="31"/>
    <n v="0"/>
    <n v="0"/>
    <n v="0"/>
    <n v="3"/>
    <n v="62"/>
    <x v="0"/>
    <x v="1"/>
  </r>
  <r>
    <n v="246"/>
    <n v="2176"/>
    <n v="1972"/>
    <s v="Graduation"/>
    <s v="Married"/>
    <n v="80134"/>
    <n v="1"/>
    <d v="1899-12-30T00:00:00"/>
    <d v="2013-05-20T00:00:00"/>
    <n v="40"/>
    <n v="16"/>
    <n v="0"/>
    <n v="0"/>
    <n v="6"/>
    <n v="54"/>
    <x v="0"/>
    <x v="29"/>
  </r>
  <r>
    <n v="247"/>
    <n v="9265"/>
    <n v="1953"/>
    <s v="Graduation"/>
    <s v="Married"/>
    <n v="75027"/>
    <n v="0"/>
    <d v="1899-12-31T00:00:00"/>
    <d v="2013-01-09T00:00:00"/>
    <n v="74"/>
    <n v="64"/>
    <n v="12"/>
    <n v="12"/>
    <n v="6"/>
    <n v="73"/>
    <x v="0"/>
    <x v="14"/>
  </r>
  <r>
    <n v="248"/>
    <n v="8867"/>
    <n v="1988"/>
    <s v="PhD"/>
    <s v="Married"/>
    <n v="67546"/>
    <n v="0"/>
    <d v="1899-12-30T00:00:00"/>
    <d v="2012-08-31T00:00:00"/>
    <n v="90"/>
    <n v="134"/>
    <n v="38"/>
    <n v="38"/>
    <n v="5"/>
    <n v="38"/>
    <x v="1"/>
    <x v="17"/>
  </r>
  <r>
    <n v="249"/>
    <n v="8932"/>
    <n v="1969"/>
    <s v="Master"/>
    <s v="Together"/>
    <n v="65176"/>
    <n v="0"/>
    <d v="1899-12-31T00:00:00"/>
    <d v="2012-10-29T00:00:00"/>
    <n v="57"/>
    <n v="28"/>
    <n v="70"/>
    <n v="70"/>
    <n v="6"/>
    <n v="57"/>
    <x v="0"/>
    <x v="23"/>
  </r>
  <r>
    <n v="250"/>
    <n v="10236"/>
    <n v="1975"/>
    <s v="Master"/>
    <s v="Single"/>
    <n v="31160"/>
    <n v="1"/>
    <d v="1899-12-30T00:00:00"/>
    <d v="2013-09-16T00:00:00"/>
    <n v="59"/>
    <n v="3"/>
    <n v="1"/>
    <n v="1"/>
    <n v="3"/>
    <n v="51"/>
    <x v="0"/>
    <x v="9"/>
  </r>
  <r>
    <n v="251"/>
    <n v="6340"/>
    <n v="1985"/>
    <s v="Graduation"/>
    <s v="Single"/>
    <n v="29938"/>
    <n v="1"/>
    <d v="1899-12-30T00:00:00"/>
    <d v="2013-10-27T00:00:00"/>
    <n v="52"/>
    <n v="3"/>
    <n v="2"/>
    <n v="2"/>
    <n v="3"/>
    <n v="41"/>
    <x v="1"/>
    <x v="7"/>
  </r>
  <r>
    <n v="252"/>
    <n v="10089"/>
    <n v="1974"/>
    <s v="Graduation"/>
    <s v="Divorced"/>
    <n v="102692"/>
    <n v="0"/>
    <d v="1899-12-30T00:00:00"/>
    <d v="2013-04-05T00:00:00"/>
    <n v="5"/>
    <n v="148"/>
    <n v="172"/>
    <n v="172"/>
    <n v="13"/>
    <n v="52"/>
    <x v="0"/>
    <x v="84"/>
  </r>
  <r>
    <n v="253"/>
    <n v="2227"/>
    <n v="1958"/>
    <s v="2n Cycle"/>
    <s v="Together"/>
    <n v="26490"/>
    <n v="0"/>
    <d v="1899-12-30T00:00:00"/>
    <d v="2012-09-22T00:00:00"/>
    <n v="92"/>
    <n v="47"/>
    <n v="20"/>
    <n v="20"/>
    <n v="5"/>
    <n v="68"/>
    <x v="0"/>
    <x v="15"/>
  </r>
  <r>
    <n v="254"/>
    <n v="10992"/>
    <n v="1967"/>
    <s v="Graduation"/>
    <s v="Together"/>
    <n v="75702"/>
    <n v="1"/>
    <d v="1899-12-31T00:00:00"/>
    <d v="2012-08-29T00:00:00"/>
    <n v="77"/>
    <n v="28"/>
    <n v="42"/>
    <n v="42"/>
    <n v="11"/>
    <n v="59"/>
    <x v="0"/>
    <x v="85"/>
  </r>
  <r>
    <n v="255"/>
    <n v="5304"/>
    <n v="1974"/>
    <s v="PhD"/>
    <s v="Single"/>
    <n v="30899"/>
    <n v="1"/>
    <d v="1899-12-30T00:00:00"/>
    <d v="2012-10-13T00:00:00"/>
    <n v="35"/>
    <n v="0"/>
    <n v="0"/>
    <n v="0"/>
    <n v="3"/>
    <n v="52"/>
    <x v="0"/>
    <x v="1"/>
  </r>
  <r>
    <n v="256"/>
    <n v="309"/>
    <n v="1961"/>
    <s v="PhD"/>
    <s v="Together"/>
    <n v="63342"/>
    <n v="0"/>
    <d v="1899-12-31T00:00:00"/>
    <d v="2012-10-16T00:00:00"/>
    <n v="48"/>
    <n v="21"/>
    <n v="10"/>
    <n v="10"/>
    <n v="5"/>
    <n v="65"/>
    <x v="0"/>
    <x v="21"/>
  </r>
  <r>
    <n v="257"/>
    <n v="3406"/>
    <n v="1964"/>
    <s v="Graduation"/>
    <s v="Single"/>
    <n v="45989"/>
    <n v="0"/>
    <d v="1899-12-31T00:00:00"/>
    <d v="2012-10-22T00:00:00"/>
    <n v="97"/>
    <n v="33"/>
    <n v="24"/>
    <n v="24"/>
    <n v="7"/>
    <n v="62"/>
    <x v="0"/>
    <x v="2"/>
  </r>
  <r>
    <n v="258"/>
    <n v="2661"/>
    <n v="1964"/>
    <s v="Graduation"/>
    <s v="Single"/>
    <n v="18701"/>
    <n v="1"/>
    <d v="1899-12-31T00:00:00"/>
    <d v="2013-06-04T00:00:00"/>
    <n v="95"/>
    <n v="4"/>
    <n v="6"/>
    <n v="6"/>
    <n v="4"/>
    <n v="62"/>
    <x v="0"/>
    <x v="11"/>
  </r>
  <r>
    <n v="259"/>
    <n v="3153"/>
    <n v="1957"/>
    <s v="PhD"/>
    <s v="Single"/>
    <n v="40737"/>
    <n v="2"/>
    <d v="1899-12-31T00:00:00"/>
    <d v="2013-12-08T00:00:00"/>
    <n v="24"/>
    <n v="0"/>
    <n v="0"/>
    <n v="0"/>
    <n v="2"/>
    <n v="69"/>
    <x v="0"/>
    <x v="42"/>
  </r>
  <r>
    <n v="260"/>
    <n v="10264"/>
    <n v="1979"/>
    <s v="Graduation"/>
    <s v="Divorced"/>
    <n v="15287"/>
    <n v="1"/>
    <d v="1899-12-30T00:00:00"/>
    <d v="2012-10-10T00:00:00"/>
    <n v="60"/>
    <n v="2"/>
    <n v="3"/>
    <n v="3"/>
    <n v="2"/>
    <n v="47"/>
    <x v="1"/>
    <x v="7"/>
  </r>
  <r>
    <n v="261"/>
    <n v="1184"/>
    <n v="1968"/>
    <s v="PhD"/>
    <s v="Divorced"/>
    <n v="69674"/>
    <n v="0"/>
    <d v="1900-01-01T00:00:00"/>
    <d v="2013-05-22T00:00:00"/>
    <n v="46"/>
    <n v="41"/>
    <n v="0"/>
    <n v="0"/>
    <n v="10"/>
    <n v="58"/>
    <x v="0"/>
    <x v="11"/>
  </r>
  <r>
    <n v="262"/>
    <n v="4200"/>
    <n v="1970"/>
    <s v="Master"/>
    <s v="Married"/>
    <n v="44159"/>
    <n v="1"/>
    <d v="1899-12-30T00:00:00"/>
    <d v="2014-06-17T00:00:00"/>
    <n v="85"/>
    <n v="2"/>
    <n v="13"/>
    <n v="13"/>
    <n v="6"/>
    <n v="56"/>
    <x v="0"/>
    <x v="44"/>
  </r>
  <r>
    <n v="263"/>
    <n v="9396"/>
    <n v="1978"/>
    <s v="PhD"/>
    <s v="Married"/>
    <n v="37717"/>
    <n v="1"/>
    <d v="1899-12-30T00:00:00"/>
    <d v="2012-11-23T00:00:00"/>
    <n v="31"/>
    <n v="0"/>
    <n v="1"/>
    <n v="1"/>
    <n v="2"/>
    <n v="48"/>
    <x v="1"/>
    <x v="1"/>
  </r>
  <r>
    <n v="264"/>
    <n v="2387"/>
    <n v="1952"/>
    <s v="Master"/>
    <s v="Together"/>
    <n v="43776"/>
    <n v="1"/>
    <d v="1899-12-31T00:00:00"/>
    <d v="2013-02-03T00:00:00"/>
    <n v="9"/>
    <n v="2"/>
    <n v="2"/>
    <n v="2"/>
    <n v="4"/>
    <n v="74"/>
    <x v="0"/>
    <x v="29"/>
  </r>
  <r>
    <n v="265"/>
    <n v="6690"/>
    <n v="1966"/>
    <s v="Master"/>
    <s v="Married"/>
    <n v="38179"/>
    <n v="1"/>
    <d v="1899-12-31T00:00:00"/>
    <d v="2013-03-14T00:00:00"/>
    <n v="30"/>
    <n v="4"/>
    <n v="2"/>
    <n v="2"/>
    <n v="3"/>
    <n v="60"/>
    <x v="0"/>
    <x v="7"/>
  </r>
  <r>
    <n v="266"/>
    <n v="1225"/>
    <n v="1963"/>
    <s v="Graduation"/>
    <s v="Married"/>
    <n v="80124"/>
    <n v="0"/>
    <d v="1899-12-30T00:00:00"/>
    <d v="2014-06-26T00:00:00"/>
    <n v="47"/>
    <n v="84"/>
    <n v="84"/>
    <n v="84"/>
    <n v="8"/>
    <n v="63"/>
    <x v="0"/>
    <x v="0"/>
  </r>
  <r>
    <n v="267"/>
    <n v="9703"/>
    <n v="1970"/>
    <s v="PhD"/>
    <s v="Married"/>
    <n v="38097"/>
    <n v="1"/>
    <d v="1899-12-31T00:00:00"/>
    <d v="2012-10-15T00:00:00"/>
    <n v="70"/>
    <n v="2"/>
    <n v="1"/>
    <n v="1"/>
    <n v="2"/>
    <n v="56"/>
    <x v="0"/>
    <x v="1"/>
  </r>
  <r>
    <n v="268"/>
    <n v="291"/>
    <n v="1970"/>
    <s v="Graduation"/>
    <s v="Married"/>
    <n v="72940"/>
    <n v="0"/>
    <d v="1899-12-30T00:00:00"/>
    <d v="2013-06-19T00:00:00"/>
    <n v="13"/>
    <n v="74"/>
    <n v="149"/>
    <n v="149"/>
    <n v="6"/>
    <n v="56"/>
    <x v="0"/>
    <x v="86"/>
  </r>
  <r>
    <n v="269"/>
    <n v="4557"/>
    <n v="1970"/>
    <s v="Graduation"/>
    <s v="Together"/>
    <n v="22070"/>
    <n v="1"/>
    <d v="1899-12-30T00:00:00"/>
    <d v="2013-10-04T00:00:00"/>
    <n v="11"/>
    <n v="7"/>
    <n v="2"/>
    <n v="2"/>
    <n v="2"/>
    <n v="56"/>
    <x v="0"/>
    <x v="9"/>
  </r>
  <r>
    <n v="270"/>
    <n v="2379"/>
    <n v="1953"/>
    <s v="Graduation"/>
    <s v="Single"/>
    <n v="69267"/>
    <n v="0"/>
    <d v="1899-12-30T00:00:00"/>
    <d v="2012-09-22T00:00:00"/>
    <n v="31"/>
    <n v="44"/>
    <n v="73"/>
    <n v="73"/>
    <n v="5"/>
    <n v="73"/>
    <x v="0"/>
    <x v="47"/>
  </r>
  <r>
    <n v="271"/>
    <n v="5726"/>
    <n v="1983"/>
    <s v="Master"/>
    <s v="Single"/>
    <n v="31788"/>
    <n v="1"/>
    <d v="1899-12-30T00:00:00"/>
    <d v="2014-03-20T00:00:00"/>
    <n v="15"/>
    <n v="7"/>
    <n v="8"/>
    <n v="8"/>
    <n v="4"/>
    <n v="43"/>
    <x v="1"/>
    <x v="51"/>
  </r>
  <r>
    <n v="272"/>
    <n v="3066"/>
    <n v="1975"/>
    <s v="PhD"/>
    <s v="Together"/>
    <n v="61905"/>
    <n v="0"/>
    <d v="1899-12-31T00:00:00"/>
    <d v="2014-02-04T00:00:00"/>
    <n v="2"/>
    <n v="0"/>
    <n v="2"/>
    <n v="2"/>
    <n v="4"/>
    <n v="51"/>
    <x v="0"/>
    <x v="29"/>
  </r>
  <r>
    <n v="273"/>
    <n v="6336"/>
    <n v="1960"/>
    <s v="Graduation"/>
    <s v="Married"/>
    <n v="29315"/>
    <n v="1"/>
    <d v="1899-12-31T00:00:00"/>
    <d v="2014-04-06T00:00:00"/>
    <n v="55"/>
    <n v="2"/>
    <n v="7"/>
    <n v="7"/>
    <n v="4"/>
    <n v="66"/>
    <x v="0"/>
    <x v="20"/>
  </r>
  <r>
    <n v="274"/>
    <n v="10967"/>
    <n v="1963"/>
    <s v="Graduation"/>
    <s v="Divorced"/>
    <n v="33378"/>
    <n v="1"/>
    <d v="1899-12-31T00:00:00"/>
    <d v="2013-02-06T00:00:00"/>
    <n v="38"/>
    <n v="6"/>
    <n v="7"/>
    <n v="7"/>
    <n v="4"/>
    <n v="63"/>
    <x v="0"/>
    <x v="20"/>
  </r>
  <r>
    <n v="275"/>
    <n v="2304"/>
    <n v="1963"/>
    <s v="PhD"/>
    <s v="Together"/>
    <n v="66313"/>
    <n v="0"/>
    <d v="1899-12-31T00:00:00"/>
    <d v="2013-09-16T00:00:00"/>
    <n v="86"/>
    <n v="7"/>
    <n v="22"/>
    <n v="22"/>
    <n v="12"/>
    <n v="63"/>
    <x v="0"/>
    <x v="35"/>
  </r>
  <r>
    <n v="276"/>
    <n v="3445"/>
    <n v="1956"/>
    <s v="Graduation"/>
    <s v="Single"/>
    <n v="60714"/>
    <n v="0"/>
    <d v="1899-12-30T00:00:00"/>
    <d v="2013-01-17T00:00:00"/>
    <n v="56"/>
    <n v="162"/>
    <n v="92"/>
    <n v="92"/>
    <n v="10"/>
    <n v="70"/>
    <x v="0"/>
    <x v="87"/>
  </r>
  <r>
    <n v="277"/>
    <n v="7828"/>
    <n v="1981"/>
    <s v="Master"/>
    <s v="Together"/>
    <n v="77882"/>
    <n v="0"/>
    <d v="1899-12-30T00:00:00"/>
    <d v="2014-04-30T00:00:00"/>
    <n v="29"/>
    <n v="129"/>
    <n v="22"/>
    <n v="22"/>
    <n v="5"/>
    <n v="45"/>
    <x v="1"/>
    <x v="16"/>
  </r>
  <r>
    <n v="278"/>
    <n v="3762"/>
    <n v="1986"/>
    <s v="PhD"/>
    <s v="Single"/>
    <n v="69867"/>
    <n v="0"/>
    <d v="1899-12-30T00:00:00"/>
    <d v="2013-04-02T00:00:00"/>
    <n v="30"/>
    <n v="0"/>
    <n v="130"/>
    <n v="130"/>
    <n v="8"/>
    <n v="40"/>
    <x v="1"/>
    <x v="88"/>
  </r>
  <r>
    <n v="279"/>
    <n v="4391"/>
    <n v="1968"/>
    <s v="Master"/>
    <s v="Divorced"/>
    <n v="63841"/>
    <n v="0"/>
    <d v="1899-12-31T00:00:00"/>
    <d v="2013-04-21T00:00:00"/>
    <n v="64"/>
    <n v="15"/>
    <n v="7"/>
    <n v="7"/>
    <n v="9"/>
    <n v="58"/>
    <x v="0"/>
    <x v="13"/>
  </r>
  <r>
    <n v="280"/>
    <n v="4669"/>
    <n v="1981"/>
    <s v="Basic"/>
    <s v="Married"/>
    <n v="24480"/>
    <n v="1"/>
    <d v="1899-12-30T00:00:00"/>
    <d v="2013-02-11T00:00:00"/>
    <n v="46"/>
    <n v="19"/>
    <n v="25"/>
    <n v="25"/>
    <n v="4"/>
    <n v="45"/>
    <x v="1"/>
    <x v="89"/>
  </r>
  <r>
    <n v="281"/>
    <n v="10144"/>
    <n v="1976"/>
    <s v="Graduation"/>
    <s v="Together"/>
    <n v="51369"/>
    <n v="0"/>
    <d v="1899-12-31T00:00:00"/>
    <d v="2012-10-25T00:00:00"/>
    <n v="84"/>
    <n v="7"/>
    <n v="11"/>
    <n v="11"/>
    <n v="4"/>
    <n v="50"/>
    <x v="1"/>
    <x v="21"/>
  </r>
  <r>
    <n v="282"/>
    <n v="8652"/>
    <n v="1946"/>
    <s v="Graduation"/>
    <s v="Together"/>
    <n v="37760"/>
    <n v="0"/>
    <d v="1899-12-30T00:00:00"/>
    <d v="2012-08-31T00:00:00"/>
    <n v="20"/>
    <n v="5"/>
    <n v="12"/>
    <n v="12"/>
    <n v="6"/>
    <n v="80"/>
    <x v="0"/>
    <x v="14"/>
  </r>
  <r>
    <n v="283"/>
    <n v="1672"/>
    <n v="1974"/>
    <s v="PhD"/>
    <s v="Together"/>
    <n v="65640"/>
    <n v="0"/>
    <d v="1899-12-31T00:00:00"/>
    <d v="2014-03-01T00:00:00"/>
    <n v="74"/>
    <n v="7"/>
    <n v="15"/>
    <n v="15"/>
    <n v="8"/>
    <n v="52"/>
    <x v="0"/>
    <x v="45"/>
  </r>
  <r>
    <n v="284"/>
    <n v="8962"/>
    <n v="1975"/>
    <s v="Master"/>
    <s v="Married"/>
    <n v="44319"/>
    <n v="1"/>
    <d v="1899-12-31T00:00:00"/>
    <d v="2014-04-17T00:00:00"/>
    <n v="18"/>
    <n v="0"/>
    <n v="0"/>
    <n v="0"/>
    <n v="3"/>
    <n v="51"/>
    <x v="0"/>
    <x v="1"/>
  </r>
  <r>
    <n v="285"/>
    <n v="9974"/>
    <n v="1974"/>
    <s v="Graduation"/>
    <s v="Married"/>
    <n v="30631"/>
    <n v="1"/>
    <d v="1899-12-30T00:00:00"/>
    <d v="2013-07-12T00:00:00"/>
    <n v="75"/>
    <n v="6"/>
    <n v="5"/>
    <n v="5"/>
    <n v="2"/>
    <n v="52"/>
    <x v="0"/>
    <x v="3"/>
  </r>
  <r>
    <n v="286"/>
    <n v="10983"/>
    <n v="1952"/>
    <s v="Graduation"/>
    <s v="Together"/>
    <n v="75278"/>
    <n v="0"/>
    <d v="1899-12-30T00:00:00"/>
    <d v="2013-01-29T00:00:00"/>
    <n v="17"/>
    <n v="98"/>
    <n v="74"/>
    <n v="74"/>
    <n v="13"/>
    <n v="74"/>
    <x v="0"/>
    <x v="57"/>
  </r>
  <r>
    <n v="287"/>
    <n v="8148"/>
    <n v="1956"/>
    <s v="Master"/>
    <s v="Together"/>
    <n v="50898"/>
    <n v="1"/>
    <d v="1899-12-31T00:00:00"/>
    <d v="2013-01-08T00:00:00"/>
    <n v="88"/>
    <n v="28"/>
    <n v="114"/>
    <n v="114"/>
    <n v="12"/>
    <n v="70"/>
    <x v="0"/>
    <x v="40"/>
  </r>
  <r>
    <n v="288"/>
    <n v="10102"/>
    <n v="1966"/>
    <s v="Graduation"/>
    <s v="Widow"/>
    <n v="79946"/>
    <n v="0"/>
    <d v="1899-12-30T00:00:00"/>
    <d v="2014-05-12T00:00:00"/>
    <n v="19"/>
    <n v="183"/>
    <n v="141"/>
    <n v="141"/>
    <n v="5"/>
    <n v="60"/>
    <x v="0"/>
    <x v="90"/>
  </r>
  <r>
    <n v="289"/>
    <n v="4697"/>
    <n v="1949"/>
    <s v="Master"/>
    <s v="Divorced"/>
    <n v="35416"/>
    <n v="0"/>
    <d v="1899-12-30T00:00:00"/>
    <d v="2013-06-13T00:00:00"/>
    <n v="62"/>
    <n v="3"/>
    <n v="3"/>
    <n v="3"/>
    <n v="5"/>
    <n v="77"/>
    <x v="0"/>
    <x v="41"/>
  </r>
  <r>
    <n v="290"/>
    <n v="9262"/>
    <n v="1984"/>
    <s v="2n Cycle"/>
    <s v="Together"/>
    <n v="32414"/>
    <n v="0"/>
    <d v="1899-12-30T00:00:00"/>
    <d v="2013-07-04T00:00:00"/>
    <n v="11"/>
    <n v="6"/>
    <n v="9"/>
    <n v="9"/>
    <n v="3"/>
    <n v="42"/>
    <x v="1"/>
    <x v="51"/>
  </r>
  <r>
    <n v="291"/>
    <n v="7254"/>
    <n v="1969"/>
    <s v="Graduation"/>
    <s v="Together"/>
    <n v="38361"/>
    <n v="1"/>
    <d v="1899-12-30T00:00:00"/>
    <d v="2013-12-27T00:00:00"/>
    <n v="74"/>
    <n v="0"/>
    <n v="8"/>
    <n v="8"/>
    <n v="3"/>
    <n v="57"/>
    <x v="0"/>
    <x v="20"/>
  </r>
  <r>
    <n v="292"/>
    <n v="4543"/>
    <n v="1980"/>
    <s v="Graduation"/>
    <s v="Married"/>
    <n v="82497"/>
    <n v="0"/>
    <d v="1899-12-30T00:00:00"/>
    <d v="2012-10-31T00:00:00"/>
    <n v="32"/>
    <n v="129"/>
    <n v="21"/>
    <n v="21"/>
    <n v="9"/>
    <n v="46"/>
    <x v="1"/>
    <x v="39"/>
  </r>
  <r>
    <n v="293"/>
    <n v="4927"/>
    <n v="1971"/>
    <s v="Graduation"/>
    <s v="Together"/>
    <n v="16626"/>
    <n v="2"/>
    <d v="1899-12-30T00:00:00"/>
    <d v="2014-01-15T00:00:00"/>
    <n v="76"/>
    <n v="3"/>
    <n v="1"/>
    <n v="1"/>
    <n v="3"/>
    <n v="55"/>
    <x v="0"/>
    <x v="9"/>
  </r>
  <r>
    <n v="294"/>
    <n v="10451"/>
    <n v="1965"/>
    <s v="Graduation"/>
    <s v="Together"/>
    <n v="29672"/>
    <n v="1"/>
    <d v="1899-12-31T00:00:00"/>
    <d v="2013-03-12T00:00:00"/>
    <n v="6"/>
    <n v="1"/>
    <n v="4"/>
    <n v="4"/>
    <n v="3"/>
    <n v="61"/>
    <x v="0"/>
    <x v="3"/>
  </r>
  <r>
    <n v="295"/>
    <n v="2926"/>
    <n v="1952"/>
    <s v="Master"/>
    <s v="Together"/>
    <n v="55951"/>
    <n v="0"/>
    <d v="1899-12-31T00:00:00"/>
    <d v="2012-08-23T00:00:00"/>
    <n v="62"/>
    <n v="0"/>
    <n v="13"/>
    <n v="13"/>
    <n v="11"/>
    <n v="74"/>
    <x v="0"/>
    <x v="38"/>
  </r>
  <r>
    <n v="296"/>
    <n v="2874"/>
    <n v="1988"/>
    <s v="2n Cycle"/>
    <s v="Divorced"/>
    <n v="35388"/>
    <n v="1"/>
    <d v="1899-12-30T00:00:00"/>
    <d v="2013-03-07T00:00:00"/>
    <n v="20"/>
    <n v="4"/>
    <n v="3"/>
    <n v="3"/>
    <n v="3"/>
    <n v="38"/>
    <x v="1"/>
    <x v="29"/>
  </r>
  <r>
    <n v="297"/>
    <n v="9738"/>
    <n v="1986"/>
    <s v="Master"/>
    <s v="Together"/>
    <n v="42386"/>
    <n v="1"/>
    <d v="1899-12-30T00:00:00"/>
    <d v="2013-01-13T00:00:00"/>
    <n v="43"/>
    <n v="4"/>
    <n v="4"/>
    <n v="4"/>
    <n v="3"/>
    <n v="40"/>
    <x v="1"/>
    <x v="3"/>
  </r>
  <r>
    <n v="298"/>
    <n v="7119"/>
    <n v="1982"/>
    <s v="Graduation"/>
    <s v="Single"/>
    <n v="68627"/>
    <n v="0"/>
    <d v="1899-12-30T00:00:00"/>
    <d v="2013-01-12T00:00:00"/>
    <n v="45"/>
    <n v="15"/>
    <n v="54"/>
    <n v="54"/>
    <n v="6"/>
    <n v="44"/>
    <x v="1"/>
    <x v="91"/>
  </r>
  <r>
    <n v="299"/>
    <n v="3924"/>
    <n v="1965"/>
    <s v="PhD"/>
    <s v="Divorced"/>
    <n v="57912"/>
    <n v="0"/>
    <d v="1899-12-31T00:00:00"/>
    <d v="2014-03-17T00:00:00"/>
    <n v="34"/>
    <n v="0"/>
    <n v="0"/>
    <n v="0"/>
    <n v="12"/>
    <n v="61"/>
    <x v="0"/>
    <x v="51"/>
  </r>
  <r>
    <n v="300"/>
    <n v="5827"/>
    <n v="1958"/>
    <s v="Graduation"/>
    <s v="Divorced"/>
    <n v="35246"/>
    <n v="1"/>
    <d v="1899-12-31T00:00:00"/>
    <d v="2014-04-16T00:00:00"/>
    <n v="53"/>
    <n v="0"/>
    <n v="2"/>
    <n v="2"/>
    <n v="3"/>
    <n v="68"/>
    <x v="0"/>
    <x v="7"/>
  </r>
  <r>
    <n v="301"/>
    <n v="5596"/>
    <n v="1956"/>
    <s v="2n Cycle"/>
    <s v="Together"/>
    <n v="58821"/>
    <n v="0"/>
    <d v="1899-12-31T00:00:00"/>
    <d v="2013-10-12T00:00:00"/>
    <n v="44"/>
    <n v="14"/>
    <n v="0"/>
    <n v="0"/>
    <n v="9"/>
    <n v="70"/>
    <x v="0"/>
    <x v="18"/>
  </r>
  <r>
    <n v="302"/>
    <n v="10812"/>
    <n v="1978"/>
    <s v="PhD"/>
    <s v="Married"/>
    <n v="46377"/>
    <n v="1"/>
    <d v="1899-12-30T00:00:00"/>
    <d v="2014-03-01T00:00:00"/>
    <n v="89"/>
    <n v="0"/>
    <n v="3"/>
    <n v="3"/>
    <n v="3"/>
    <n v="48"/>
    <x v="1"/>
    <x v="29"/>
  </r>
  <r>
    <n v="303"/>
    <n v="1717"/>
    <n v="1988"/>
    <s v="Graduation"/>
    <s v="Single"/>
    <n v="39747"/>
    <n v="1"/>
    <d v="1899-12-30T00:00:00"/>
    <d v="2014-04-13T00:00:00"/>
    <n v="43"/>
    <n v="15"/>
    <n v="13"/>
    <n v="13"/>
    <n v="4"/>
    <n v="38"/>
    <x v="1"/>
    <x v="67"/>
  </r>
  <r>
    <n v="304"/>
    <n v="9491"/>
    <n v="1984"/>
    <s v="Graduation"/>
    <s v="Together"/>
    <n v="23976"/>
    <n v="1"/>
    <d v="1899-12-30T00:00:00"/>
    <d v="2013-12-27T00:00:00"/>
    <n v="68"/>
    <n v="1"/>
    <n v="3"/>
    <n v="3"/>
    <n v="3"/>
    <n v="42"/>
    <x v="1"/>
    <x v="29"/>
  </r>
  <r>
    <n v="305"/>
    <n v="9274"/>
    <n v="1961"/>
    <s v="Master"/>
    <s v="Married"/>
    <n v="80950"/>
    <n v="0"/>
    <d v="1899-12-30T00:00:00"/>
    <d v="2013-03-28T00:00:00"/>
    <n v="44"/>
    <n v="147"/>
    <n v="147"/>
    <n v="147"/>
    <n v="9"/>
    <n v="65"/>
    <x v="0"/>
    <x v="92"/>
  </r>
  <r>
    <n v="306"/>
    <n v="6609"/>
    <n v="1966"/>
    <s v="Graduation"/>
    <s v="Widow"/>
    <n v="27038"/>
    <n v="0"/>
    <d v="1899-12-30T00:00:00"/>
    <d v="2012-09-18T00:00:00"/>
    <n v="64"/>
    <n v="26"/>
    <n v="23"/>
    <n v="23"/>
    <n v="3"/>
    <n v="60"/>
    <x v="0"/>
    <x v="56"/>
  </r>
  <r>
    <n v="307"/>
    <n v="6963"/>
    <n v="1947"/>
    <s v="Graduation"/>
    <s v="Single"/>
    <n v="77457"/>
    <n v="0"/>
    <d v="1899-12-30T00:00:00"/>
    <d v="2014-03-05T00:00:00"/>
    <n v="85"/>
    <n v="11"/>
    <n v="45"/>
    <n v="45"/>
    <n v="10"/>
    <n v="79"/>
    <x v="0"/>
    <x v="93"/>
  </r>
  <r>
    <n v="308"/>
    <n v="4440"/>
    <n v="1964"/>
    <s v="Master"/>
    <s v="Married"/>
    <n v="64100"/>
    <n v="0"/>
    <d v="1899-12-31T00:00:00"/>
    <d v="2013-09-10T00:00:00"/>
    <n v="93"/>
    <n v="0"/>
    <n v="0"/>
    <n v="0"/>
    <n v="6"/>
    <n v="62"/>
    <x v="0"/>
    <x v="29"/>
  </r>
  <r>
    <n v="309"/>
    <n v="1379"/>
    <n v="1992"/>
    <s v="Master"/>
    <s v="Together"/>
    <n v="42670"/>
    <n v="0"/>
    <d v="1899-12-30T00:00:00"/>
    <d v="2013-04-27T00:00:00"/>
    <n v="12"/>
    <n v="2"/>
    <n v="4"/>
    <n v="4"/>
    <n v="4"/>
    <n v="34"/>
    <x v="1"/>
    <x v="41"/>
  </r>
  <r>
    <n v="310"/>
    <n v="10032"/>
    <n v="1976"/>
    <s v="Graduation"/>
    <s v="Divorced"/>
    <n v="12571"/>
    <n v="1"/>
    <d v="1899-12-30T00:00:00"/>
    <d v="2014-01-18T00:00:00"/>
    <n v="86"/>
    <n v="5"/>
    <n v="12"/>
    <n v="12"/>
    <n v="3"/>
    <n v="50"/>
    <x v="1"/>
    <x v="21"/>
  </r>
  <r>
    <n v="311"/>
    <n v="2826"/>
    <n v="1967"/>
    <s v="Graduation"/>
    <s v="Married"/>
    <n v="22574"/>
    <n v="2"/>
    <d v="1899-12-31T00:00:00"/>
    <d v="2013-10-28T00:00:00"/>
    <n v="28"/>
    <n v="0"/>
    <n v="0"/>
    <n v="0"/>
    <n v="3"/>
    <n v="59"/>
    <x v="0"/>
    <x v="1"/>
  </r>
  <r>
    <n v="312"/>
    <n v="2437"/>
    <n v="1989"/>
    <s v="Graduation"/>
    <s v="Married"/>
    <m/>
    <n v="0"/>
    <d v="1899-12-30T00:00:00"/>
    <d v="2013-06-03T00:00:00"/>
    <n v="69"/>
    <n v="138"/>
    <n v="30"/>
    <n v="30"/>
    <n v="12"/>
    <n v="37"/>
    <x v="1"/>
    <x v="66"/>
  </r>
  <r>
    <n v="313"/>
    <n v="6320"/>
    <n v="1976"/>
    <s v="Master"/>
    <s v="Single"/>
    <n v="70893"/>
    <n v="0"/>
    <d v="1899-12-30T00:00:00"/>
    <d v="2013-02-06T00:00:00"/>
    <n v="42"/>
    <n v="44"/>
    <n v="44"/>
    <n v="44"/>
    <n v="10"/>
    <n v="50"/>
    <x v="1"/>
    <x v="27"/>
  </r>
  <r>
    <n v="314"/>
    <n v="3050"/>
    <n v="1966"/>
    <s v="Graduation"/>
    <s v="Married"/>
    <n v="54198"/>
    <n v="1"/>
    <d v="1899-12-31T00:00:00"/>
    <d v="2013-12-17T00:00:00"/>
    <n v="13"/>
    <n v="0"/>
    <n v="2"/>
    <n v="2"/>
    <n v="6"/>
    <n v="60"/>
    <x v="0"/>
    <x v="41"/>
  </r>
  <r>
    <n v="315"/>
    <n v="231"/>
    <n v="1956"/>
    <s v="Master"/>
    <s v="Together"/>
    <n v="28839"/>
    <n v="1"/>
    <d v="1899-12-31T00:00:00"/>
    <d v="2014-03-11T00:00:00"/>
    <n v="86"/>
    <n v="0"/>
    <n v="0"/>
    <n v="0"/>
    <n v="3"/>
    <n v="70"/>
    <x v="0"/>
    <x v="1"/>
  </r>
  <r>
    <n v="316"/>
    <n v="2392"/>
    <n v="1972"/>
    <s v="Graduation"/>
    <s v="Married"/>
    <n v="40321"/>
    <n v="1"/>
    <d v="1899-12-31T00:00:00"/>
    <d v="2013-07-29T00:00:00"/>
    <n v="59"/>
    <n v="4"/>
    <n v="0"/>
    <n v="0"/>
    <n v="3"/>
    <n v="54"/>
    <x v="0"/>
    <x v="1"/>
  </r>
  <r>
    <n v="317"/>
    <n v="9478"/>
    <n v="1985"/>
    <s v="Graduation"/>
    <s v="Single"/>
    <n v="66503"/>
    <n v="1"/>
    <d v="1899-12-30T00:00:00"/>
    <d v="2012-08-14T00:00:00"/>
    <n v="30"/>
    <n v="64"/>
    <n v="3"/>
    <n v="3"/>
    <n v="6"/>
    <n v="41"/>
    <x v="1"/>
    <x v="18"/>
  </r>
  <r>
    <n v="318"/>
    <n v="113"/>
    <n v="1951"/>
    <s v="Graduation"/>
    <s v="Married"/>
    <n v="30833"/>
    <n v="1"/>
    <d v="1899-12-31T00:00:00"/>
    <d v="2013-07-16T00:00:00"/>
    <n v="33"/>
    <n v="0"/>
    <n v="1"/>
    <n v="1"/>
    <n v="3"/>
    <n v="75"/>
    <x v="0"/>
    <x v="9"/>
  </r>
  <r>
    <n v="319"/>
    <n v="2863"/>
    <n v="1970"/>
    <s v="Graduation"/>
    <s v="Single"/>
    <m/>
    <n v="1"/>
    <d v="1900-01-01T00:00:00"/>
    <d v="2013-08-23T00:00:00"/>
    <n v="67"/>
    <n v="20"/>
    <n v="50"/>
    <n v="50"/>
    <n v="10"/>
    <n v="56"/>
    <x v="0"/>
    <x v="91"/>
  </r>
  <r>
    <n v="320"/>
    <n v="1802"/>
    <n v="1971"/>
    <s v="Graduation"/>
    <s v="Married"/>
    <n v="64795"/>
    <n v="0"/>
    <d v="1899-12-31T00:00:00"/>
    <d v="2013-01-17T00:00:00"/>
    <n v="23"/>
    <n v="5"/>
    <n v="29"/>
    <n v="29"/>
    <n v="12"/>
    <n v="55"/>
    <x v="0"/>
    <x v="19"/>
  </r>
  <r>
    <n v="321"/>
    <n v="520"/>
    <n v="1974"/>
    <s v="Graduation"/>
    <s v="Married"/>
    <n v="34421"/>
    <n v="1"/>
    <d v="1899-12-30T00:00:00"/>
    <d v="2013-07-01T00:00:00"/>
    <n v="81"/>
    <n v="3"/>
    <n v="2"/>
    <n v="2"/>
    <n v="2"/>
    <n v="52"/>
    <x v="0"/>
    <x v="9"/>
  </r>
  <r>
    <n v="322"/>
    <n v="8275"/>
    <n v="1965"/>
    <s v="PhD"/>
    <s v="Divorced"/>
    <n v="47025"/>
    <n v="1"/>
    <d v="1899-12-31T00:00:00"/>
    <d v="2014-02-09T00:00:00"/>
    <n v="6"/>
    <n v="0"/>
    <n v="0"/>
    <n v="0"/>
    <n v="2"/>
    <n v="61"/>
    <x v="0"/>
    <x v="42"/>
  </r>
  <r>
    <n v="323"/>
    <n v="9750"/>
    <n v="1961"/>
    <s v="PhD"/>
    <s v="Divorced"/>
    <n v="64325"/>
    <n v="0"/>
    <d v="1899-12-31T00:00:00"/>
    <d v="2013-02-07T00:00:00"/>
    <n v="41"/>
    <n v="60"/>
    <n v="12"/>
    <n v="12"/>
    <n v="5"/>
    <n v="65"/>
    <x v="0"/>
    <x v="67"/>
  </r>
  <r>
    <n v="324"/>
    <n v="2607"/>
    <n v="1953"/>
    <s v="Graduation"/>
    <s v="Single"/>
    <n v="40464"/>
    <n v="0"/>
    <d v="1899-12-31T00:00:00"/>
    <d v="2013-01-11T00:00:00"/>
    <n v="78"/>
    <n v="17"/>
    <n v="23"/>
    <n v="23"/>
    <n v="8"/>
    <n v="73"/>
    <x v="0"/>
    <x v="2"/>
  </r>
  <r>
    <n v="325"/>
    <n v="7214"/>
    <n v="1957"/>
    <s v="Graduation"/>
    <s v="Married"/>
    <n v="62187"/>
    <n v="0"/>
    <d v="1899-12-30T00:00:00"/>
    <d v="2013-07-05T00:00:00"/>
    <n v="49"/>
    <n v="0"/>
    <n v="45"/>
    <n v="45"/>
    <n v="5"/>
    <n v="69"/>
    <x v="0"/>
    <x v="32"/>
  </r>
  <r>
    <n v="326"/>
    <n v="5835"/>
    <n v="1976"/>
    <s v="PhD"/>
    <s v="Divorced"/>
    <n v="14849"/>
    <n v="1"/>
    <d v="1899-12-30T00:00:00"/>
    <d v="2013-07-02T00:00:00"/>
    <n v="39"/>
    <n v="2"/>
    <n v="2"/>
    <n v="2"/>
    <n v="4"/>
    <n v="50"/>
    <x v="1"/>
    <x v="29"/>
  </r>
  <r>
    <n v="327"/>
    <n v="3896"/>
    <n v="1984"/>
    <s v="Graduation"/>
    <s v="Married"/>
    <n v="27255"/>
    <n v="1"/>
    <d v="1899-12-30T00:00:00"/>
    <d v="2013-11-07T00:00:00"/>
    <n v="3"/>
    <n v="1"/>
    <n v="1"/>
    <n v="1"/>
    <n v="3"/>
    <n v="42"/>
    <x v="1"/>
    <x v="9"/>
  </r>
  <r>
    <n v="328"/>
    <n v="10350"/>
    <n v="1950"/>
    <s v="PhD"/>
    <s v="Married"/>
    <n v="54432"/>
    <n v="2"/>
    <d v="1899-12-31T00:00:00"/>
    <d v="2013-05-09T00:00:00"/>
    <n v="37"/>
    <n v="0"/>
    <n v="0"/>
    <n v="0"/>
    <n v="3"/>
    <n v="76"/>
    <x v="0"/>
    <x v="1"/>
  </r>
  <r>
    <n v="329"/>
    <n v="7786"/>
    <n v="1986"/>
    <s v="PhD"/>
    <s v="Single"/>
    <n v="29999"/>
    <n v="1"/>
    <d v="1899-12-30T00:00:00"/>
    <d v="2013-02-13T00:00:00"/>
    <n v="22"/>
    <n v="7"/>
    <n v="5"/>
    <n v="5"/>
    <n v="4"/>
    <n v="40"/>
    <x v="1"/>
    <x v="18"/>
  </r>
  <r>
    <n v="330"/>
    <n v="2861"/>
    <n v="1983"/>
    <s v="Graduation"/>
    <s v="Single"/>
    <n v="24072"/>
    <n v="1"/>
    <d v="1899-12-30T00:00:00"/>
    <d v="2013-04-16T00:00:00"/>
    <n v="79"/>
    <n v="1"/>
    <n v="0"/>
    <n v="0"/>
    <n v="2"/>
    <n v="43"/>
    <x v="1"/>
    <x v="42"/>
  </r>
  <r>
    <n v="331"/>
    <n v="663"/>
    <n v="1989"/>
    <s v="PhD"/>
    <s v="Single"/>
    <n v="33996"/>
    <n v="0"/>
    <d v="1899-12-30T00:00:00"/>
    <d v="2013-09-11T00:00:00"/>
    <n v="46"/>
    <n v="2"/>
    <n v="0"/>
    <n v="0"/>
    <n v="3"/>
    <n v="37"/>
    <x v="1"/>
    <x v="1"/>
  </r>
  <r>
    <n v="332"/>
    <n v="10675"/>
    <n v="1956"/>
    <s v="PhD"/>
    <s v="Married"/>
    <n v="66334"/>
    <n v="0"/>
    <d v="1899-12-31T00:00:00"/>
    <d v="2013-04-03T00:00:00"/>
    <n v="82"/>
    <n v="11"/>
    <n v="0"/>
    <n v="0"/>
    <n v="5"/>
    <n v="70"/>
    <x v="0"/>
    <x v="7"/>
  </r>
  <r>
    <n v="333"/>
    <n v="2521"/>
    <n v="1971"/>
    <s v="Master"/>
    <s v="Married"/>
    <n v="35178"/>
    <n v="1"/>
    <d v="1899-12-30T00:00:00"/>
    <d v="2013-01-10T00:00:00"/>
    <n v="10"/>
    <n v="1"/>
    <n v="2"/>
    <n v="2"/>
    <n v="2"/>
    <n v="55"/>
    <x v="0"/>
    <x v="9"/>
  </r>
  <r>
    <n v="334"/>
    <n v="9592"/>
    <n v="1983"/>
    <s v="Graduation"/>
    <s v="Together"/>
    <n v="22010"/>
    <n v="1"/>
    <d v="1899-12-30T00:00:00"/>
    <d v="2013-06-30T00:00:00"/>
    <n v="51"/>
    <n v="2"/>
    <n v="0"/>
    <n v="0"/>
    <n v="3"/>
    <n v="43"/>
    <x v="1"/>
    <x v="1"/>
  </r>
  <r>
    <n v="335"/>
    <n v="10151"/>
    <n v="1960"/>
    <s v="Graduation"/>
    <s v="Divorced"/>
    <n v="62204"/>
    <n v="0"/>
    <d v="1900-01-01T00:00:00"/>
    <d v="2012-09-12T00:00:00"/>
    <n v="38"/>
    <n v="46"/>
    <n v="46"/>
    <n v="46"/>
    <n v="12"/>
    <n v="66"/>
    <x v="0"/>
    <x v="94"/>
  </r>
  <r>
    <n v="336"/>
    <n v="7381"/>
    <n v="1968"/>
    <s v="Graduation"/>
    <s v="Divorced"/>
    <n v="75693"/>
    <n v="0"/>
    <d v="1899-12-30T00:00:00"/>
    <d v="2012-12-06T00:00:00"/>
    <n v="10"/>
    <n v="153"/>
    <n v="97"/>
    <n v="97"/>
    <n v="6"/>
    <n v="58"/>
    <x v="0"/>
    <x v="95"/>
  </r>
  <r>
    <n v="337"/>
    <n v="4099"/>
    <n v="1972"/>
    <s v="Graduation"/>
    <s v="Married"/>
    <n v="30675"/>
    <n v="1"/>
    <d v="1899-12-30T00:00:00"/>
    <d v="2012-11-12T00:00:00"/>
    <n v="14"/>
    <n v="2"/>
    <n v="2"/>
    <n v="2"/>
    <n v="3"/>
    <n v="54"/>
    <x v="0"/>
    <x v="7"/>
  </r>
  <r>
    <n v="338"/>
    <n v="9560"/>
    <n v="1965"/>
    <s v="Graduation"/>
    <s v="Together"/>
    <n v="83003"/>
    <n v="0"/>
    <d v="1899-12-30T00:00:00"/>
    <d v="2013-03-03T00:00:00"/>
    <n v="18"/>
    <n v="61"/>
    <n v="25"/>
    <n v="25"/>
    <n v="8"/>
    <n v="61"/>
    <x v="0"/>
    <x v="4"/>
  </r>
  <r>
    <n v="339"/>
    <n v="1150"/>
    <n v="1899"/>
    <s v="PhD"/>
    <s v="Together"/>
    <n v="83532"/>
    <n v="0"/>
    <d v="1899-12-30T00:00:00"/>
    <d v="2013-09-26T00:00:00"/>
    <n v="36"/>
    <n v="144"/>
    <n v="64"/>
    <n v="64"/>
    <n v="4"/>
    <n v="127"/>
    <x v="0"/>
    <x v="52"/>
  </r>
  <r>
    <n v="340"/>
    <n v="10172"/>
    <n v="1988"/>
    <s v="Graduation"/>
    <s v="Single"/>
    <n v="68655"/>
    <n v="0"/>
    <d v="1899-12-30T00:00:00"/>
    <d v="2012-08-10T00:00:00"/>
    <n v="95"/>
    <n v="19"/>
    <n v="118"/>
    <n v="118"/>
    <n v="11"/>
    <n v="38"/>
    <x v="1"/>
    <x v="96"/>
  </r>
  <r>
    <n v="341"/>
    <n v="11191"/>
    <n v="1986"/>
    <s v="Graduation"/>
    <s v="Divorced"/>
    <n v="41411"/>
    <n v="0"/>
    <d v="1899-12-30T00:00:00"/>
    <d v="2013-12-07T00:00:00"/>
    <n v="11"/>
    <n v="32"/>
    <n v="3"/>
    <n v="3"/>
    <n v="4"/>
    <n v="40"/>
    <x v="1"/>
    <x v="3"/>
  </r>
  <r>
    <n v="342"/>
    <n v="9707"/>
    <n v="1969"/>
    <s v="PhD"/>
    <s v="Married"/>
    <n v="55212"/>
    <n v="0"/>
    <d v="1899-12-31T00:00:00"/>
    <d v="2012-11-23T00:00:00"/>
    <n v="65"/>
    <n v="0"/>
    <n v="0"/>
    <n v="0"/>
    <n v="11"/>
    <n v="57"/>
    <x v="0"/>
    <x v="20"/>
  </r>
  <r>
    <n v="343"/>
    <n v="6245"/>
    <n v="1950"/>
    <s v="PhD"/>
    <s v="Together"/>
    <n v="59292"/>
    <n v="0"/>
    <d v="1899-12-31T00:00:00"/>
    <d v="2013-06-13T00:00:00"/>
    <n v="71"/>
    <n v="14"/>
    <n v="14"/>
    <n v="14"/>
    <n v="8"/>
    <n v="76"/>
    <x v="0"/>
    <x v="62"/>
  </r>
  <r>
    <n v="344"/>
    <n v="8234"/>
    <n v="1973"/>
    <s v="Basic"/>
    <s v="Together"/>
    <n v="27190"/>
    <n v="1"/>
    <d v="1899-12-30T00:00:00"/>
    <d v="2013-08-15T00:00:00"/>
    <n v="13"/>
    <n v="6"/>
    <n v="1"/>
    <n v="1"/>
    <n v="2"/>
    <n v="53"/>
    <x v="0"/>
    <x v="1"/>
  </r>
  <r>
    <n v="345"/>
    <n v="1411"/>
    <n v="1952"/>
    <s v="Graduation"/>
    <s v="Divorced"/>
    <n v="82623"/>
    <n v="0"/>
    <d v="1899-12-30T00:00:00"/>
    <d v="2013-11-10T00:00:00"/>
    <n v="58"/>
    <n v="34"/>
    <n v="153"/>
    <n v="153"/>
    <n v="4"/>
    <n v="74"/>
    <x v="0"/>
    <x v="97"/>
  </r>
  <r>
    <n v="346"/>
    <n v="8553"/>
    <n v="1965"/>
    <s v="Graduation"/>
    <s v="Married"/>
    <n v="44300"/>
    <n v="1"/>
    <d v="1899-12-31T00:00:00"/>
    <d v="2013-06-23T00:00:00"/>
    <n v="65"/>
    <n v="0"/>
    <n v="0"/>
    <n v="0"/>
    <n v="3"/>
    <n v="61"/>
    <x v="0"/>
    <x v="1"/>
  </r>
  <r>
    <n v="347"/>
    <n v="1826"/>
    <n v="1970"/>
    <s v="Graduation"/>
    <s v="Divorced"/>
    <n v="84835"/>
    <n v="0"/>
    <d v="1899-12-30T00:00:00"/>
    <d v="2014-06-16T00:00:00"/>
    <n v="0"/>
    <n v="104"/>
    <n v="189"/>
    <n v="189"/>
    <n v="6"/>
    <n v="56"/>
    <x v="0"/>
    <x v="98"/>
  </r>
  <r>
    <n v="348"/>
    <n v="8842"/>
    <n v="1971"/>
    <s v="Graduation"/>
    <s v="Widow"/>
    <n v="30372"/>
    <n v="1"/>
    <d v="1899-12-31T00:00:00"/>
    <d v="2012-12-25T00:00:00"/>
    <n v="33"/>
    <n v="0"/>
    <n v="3"/>
    <n v="3"/>
    <n v="3"/>
    <n v="55"/>
    <x v="0"/>
    <x v="29"/>
  </r>
  <r>
    <n v="349"/>
    <n v="11030"/>
    <n v="1976"/>
    <s v="Master"/>
    <s v="Married"/>
    <n v="33181"/>
    <n v="1"/>
    <d v="1899-12-30T00:00:00"/>
    <d v="2014-01-03T00:00:00"/>
    <n v="90"/>
    <n v="0"/>
    <n v="0"/>
    <n v="0"/>
    <n v="2"/>
    <n v="50"/>
    <x v="1"/>
    <x v="42"/>
  </r>
  <r>
    <n v="350"/>
    <n v="2579"/>
    <n v="1957"/>
    <s v="Graduation"/>
    <s v="Married"/>
    <n v="71113"/>
    <n v="0"/>
    <d v="1899-12-31T00:00:00"/>
    <d v="2013-12-17T00:00:00"/>
    <n v="95"/>
    <n v="33"/>
    <n v="33"/>
    <n v="33"/>
    <n v="9"/>
    <n v="69"/>
    <x v="0"/>
    <x v="66"/>
  </r>
  <r>
    <n v="351"/>
    <n v="175"/>
    <n v="1986"/>
    <s v="Graduation"/>
    <s v="Married"/>
    <n v="71952"/>
    <n v="1"/>
    <d v="1899-12-30T00:00:00"/>
    <d v="2013-01-10T00:00:00"/>
    <n v="93"/>
    <n v="80"/>
    <n v="107"/>
    <n v="107"/>
    <n v="8"/>
    <n v="40"/>
    <x v="1"/>
    <x v="99"/>
  </r>
  <r>
    <n v="352"/>
    <n v="9185"/>
    <n v="1966"/>
    <s v="PhD"/>
    <s v="Single"/>
    <n v="69759"/>
    <n v="0"/>
    <d v="1899-12-30T00:00:00"/>
    <d v="2013-10-28T00:00:00"/>
    <n v="38"/>
    <n v="20"/>
    <n v="30"/>
    <n v="30"/>
    <n v="5"/>
    <n v="60"/>
    <x v="0"/>
    <x v="61"/>
  </r>
  <r>
    <n v="353"/>
    <n v="11056"/>
    <n v="1974"/>
    <s v="Graduation"/>
    <s v="Married"/>
    <n v="72099"/>
    <n v="0"/>
    <d v="1899-12-30T00:00:00"/>
    <d v="2012-10-27T00:00:00"/>
    <n v="18"/>
    <n v="91"/>
    <n v="0"/>
    <n v="0"/>
    <n v="10"/>
    <n v="52"/>
    <x v="0"/>
    <x v="11"/>
  </r>
  <r>
    <n v="354"/>
    <n v="9365"/>
    <n v="1976"/>
    <s v="PhD"/>
    <s v="Single"/>
    <n v="60000"/>
    <n v="0"/>
    <d v="1899-12-31T00:00:00"/>
    <d v="2012-12-22T00:00:00"/>
    <n v="57"/>
    <n v="0"/>
    <n v="0"/>
    <n v="0"/>
    <n v="5"/>
    <n v="50"/>
    <x v="1"/>
    <x v="7"/>
  </r>
  <r>
    <n v="355"/>
    <n v="6201"/>
    <n v="1978"/>
    <s v="Graduation"/>
    <s v="Single"/>
    <n v="38643"/>
    <n v="1"/>
    <d v="1899-12-31T00:00:00"/>
    <d v="2013-11-29T00:00:00"/>
    <n v="45"/>
    <n v="2"/>
    <n v="1"/>
    <n v="1"/>
    <n v="3"/>
    <n v="48"/>
    <x v="1"/>
    <x v="9"/>
  </r>
  <r>
    <n v="356"/>
    <n v="2061"/>
    <n v="1955"/>
    <s v="Graduation"/>
    <s v="Married"/>
    <n v="50737"/>
    <n v="0"/>
    <d v="1899-12-31T00:00:00"/>
    <d v="2013-05-11T00:00:00"/>
    <n v="61"/>
    <n v="0"/>
    <n v="0"/>
    <n v="0"/>
    <n v="4"/>
    <n v="71"/>
    <x v="0"/>
    <x v="9"/>
  </r>
  <r>
    <n v="357"/>
    <n v="6184"/>
    <n v="1969"/>
    <s v="PhD"/>
    <s v="Married"/>
    <n v="68462"/>
    <n v="0"/>
    <d v="1899-12-30T00:00:00"/>
    <d v="2012-12-12T00:00:00"/>
    <n v="6"/>
    <n v="64"/>
    <n v="128"/>
    <n v="128"/>
    <n v="8"/>
    <n v="57"/>
    <x v="0"/>
    <x v="100"/>
  </r>
  <r>
    <n v="358"/>
    <n v="6142"/>
    <n v="1943"/>
    <s v="Master"/>
    <s v="Married"/>
    <n v="65073"/>
    <n v="0"/>
    <d v="1899-12-30T00:00:00"/>
    <d v="2013-08-20T00:00:00"/>
    <n v="65"/>
    <n v="17"/>
    <n v="0"/>
    <n v="0"/>
    <n v="5"/>
    <n v="83"/>
    <x v="0"/>
    <x v="7"/>
  </r>
  <r>
    <n v="359"/>
    <n v="4107"/>
    <n v="1948"/>
    <s v="PhD"/>
    <s v="Together"/>
    <n v="46681"/>
    <n v="0"/>
    <d v="1900-01-01T00:00:00"/>
    <d v="2013-10-08T00:00:00"/>
    <n v="52"/>
    <n v="15"/>
    <n v="19"/>
    <n v="19"/>
    <n v="4"/>
    <n v="78"/>
    <x v="0"/>
    <x v="45"/>
  </r>
  <r>
    <n v="360"/>
    <n v="7274"/>
    <n v="1957"/>
    <s v="Graduation"/>
    <s v="Married"/>
    <n v="78618"/>
    <n v="0"/>
    <d v="1899-12-30T00:00:00"/>
    <d v="2012-09-28T00:00:00"/>
    <n v="87"/>
    <n v="163"/>
    <n v="163"/>
    <n v="163"/>
    <n v="10"/>
    <n v="69"/>
    <x v="0"/>
    <x v="82"/>
  </r>
  <r>
    <n v="361"/>
    <n v="9336"/>
    <n v="1969"/>
    <s v="PhD"/>
    <s v="Widow"/>
    <n v="62187"/>
    <n v="0"/>
    <d v="1899-12-31T00:00:00"/>
    <d v="2014-03-22T00:00:00"/>
    <n v="38"/>
    <n v="0"/>
    <n v="0"/>
    <n v="0"/>
    <n v="10"/>
    <n v="57"/>
    <x v="0"/>
    <x v="11"/>
  </r>
  <r>
    <n v="362"/>
    <n v="2958"/>
    <n v="1978"/>
    <s v="Graduation"/>
    <s v="Married"/>
    <n v="28442"/>
    <n v="2"/>
    <d v="1899-12-30T00:00:00"/>
    <d v="2014-02-24T00:00:00"/>
    <n v="53"/>
    <n v="3"/>
    <n v="8"/>
    <n v="8"/>
    <n v="4"/>
    <n v="48"/>
    <x v="1"/>
    <x v="51"/>
  </r>
  <r>
    <n v="363"/>
    <n v="933"/>
    <n v="1978"/>
    <s v="PhD"/>
    <s v="Married"/>
    <n v="37717"/>
    <n v="1"/>
    <d v="1899-12-30T00:00:00"/>
    <d v="2012-11-23T00:00:00"/>
    <n v="31"/>
    <n v="0"/>
    <n v="1"/>
    <n v="1"/>
    <n v="2"/>
    <n v="48"/>
    <x v="1"/>
    <x v="1"/>
  </r>
  <r>
    <n v="364"/>
    <n v="5837"/>
    <n v="1967"/>
    <s v="Graduation"/>
    <s v="Married"/>
    <n v="51479"/>
    <n v="1"/>
    <d v="1899-12-31T00:00:00"/>
    <d v="2012-12-28T00:00:00"/>
    <n v="67"/>
    <n v="8"/>
    <n v="8"/>
    <n v="8"/>
    <n v="6"/>
    <n v="59"/>
    <x v="0"/>
    <x v="31"/>
  </r>
  <r>
    <n v="365"/>
    <n v="10704"/>
    <n v="1969"/>
    <s v="Graduation"/>
    <s v="Single"/>
    <n v="54803"/>
    <n v="0"/>
    <d v="1899-12-31T00:00:00"/>
    <d v="2012-08-21T00:00:00"/>
    <n v="65"/>
    <n v="0"/>
    <n v="27"/>
    <n v="27"/>
    <n v="9"/>
    <n v="57"/>
    <x v="0"/>
    <x v="50"/>
  </r>
  <r>
    <n v="366"/>
    <n v="5125"/>
    <n v="1960"/>
    <s v="Graduation"/>
    <s v="Married"/>
    <n v="79530"/>
    <n v="0"/>
    <d v="1899-12-30T00:00:00"/>
    <d v="2013-05-17T00:00:00"/>
    <n v="64"/>
    <n v="0"/>
    <n v="42"/>
    <n v="42"/>
    <n v="11"/>
    <n v="66"/>
    <x v="0"/>
    <x v="85"/>
  </r>
  <r>
    <n v="367"/>
    <n v="4432"/>
    <n v="1976"/>
    <s v="Graduation"/>
    <s v="Divorced"/>
    <n v="31615"/>
    <n v="1"/>
    <d v="1899-12-30T00:00:00"/>
    <d v="2013-03-16T00:00:00"/>
    <n v="82"/>
    <n v="3"/>
    <n v="11"/>
    <n v="11"/>
    <n v="3"/>
    <n v="50"/>
    <x v="1"/>
    <x v="31"/>
  </r>
  <r>
    <n v="368"/>
    <n v="5955"/>
    <n v="1962"/>
    <s v="Graduation"/>
    <s v="Together"/>
    <n v="72025"/>
    <n v="0"/>
    <d v="1899-12-30T00:00:00"/>
    <d v="2012-11-17T00:00:00"/>
    <n v="27"/>
    <n v="33"/>
    <n v="133"/>
    <n v="133"/>
    <n v="8"/>
    <n v="64"/>
    <x v="0"/>
    <x v="101"/>
  </r>
  <r>
    <n v="369"/>
    <n v="2928"/>
    <n v="1975"/>
    <s v="PhD"/>
    <s v="Single"/>
    <n v="52614"/>
    <n v="0"/>
    <d v="1899-12-31T00:00:00"/>
    <d v="2012-12-01T00:00:00"/>
    <n v="63"/>
    <n v="0"/>
    <n v="9"/>
    <n v="9"/>
    <n v="8"/>
    <n v="51"/>
    <x v="0"/>
    <x v="67"/>
  </r>
  <r>
    <n v="370"/>
    <n v="5680"/>
    <n v="1984"/>
    <s v="2n Cycle"/>
    <s v="Married"/>
    <n v="35684"/>
    <n v="1"/>
    <d v="1899-12-30T00:00:00"/>
    <d v="2014-04-22T00:00:00"/>
    <n v="66"/>
    <n v="4"/>
    <n v="6"/>
    <n v="6"/>
    <n v="3"/>
    <n v="42"/>
    <x v="1"/>
    <x v="18"/>
  </r>
  <r>
    <n v="371"/>
    <n v="10313"/>
    <n v="1975"/>
    <s v="Graduation"/>
    <s v="Married"/>
    <n v="48178"/>
    <n v="1"/>
    <d v="1899-12-31T00:00:00"/>
    <d v="2012-10-28T00:00:00"/>
    <n v="69"/>
    <n v="4"/>
    <n v="2"/>
    <n v="2"/>
    <n v="4"/>
    <n v="51"/>
    <x v="0"/>
    <x v="29"/>
  </r>
  <r>
    <n v="372"/>
    <n v="2557"/>
    <n v="1970"/>
    <s v="Master"/>
    <s v="Single"/>
    <n v="29548"/>
    <n v="1"/>
    <d v="1899-12-30T00:00:00"/>
    <d v="2013-08-29T00:00:00"/>
    <n v="52"/>
    <n v="1"/>
    <n v="1"/>
    <n v="1"/>
    <n v="2"/>
    <n v="56"/>
    <x v="0"/>
    <x v="1"/>
  </r>
  <r>
    <n v="373"/>
    <n v="1245"/>
    <n v="1966"/>
    <s v="Graduation"/>
    <s v="Single"/>
    <n v="63810"/>
    <n v="0"/>
    <d v="1899-12-31T00:00:00"/>
    <d v="2012-11-11T00:00:00"/>
    <n v="45"/>
    <n v="12"/>
    <n v="12"/>
    <n v="12"/>
    <n v="12"/>
    <n v="60"/>
    <x v="0"/>
    <x v="38"/>
  </r>
  <r>
    <n v="374"/>
    <n v="1519"/>
    <n v="1972"/>
    <s v="PhD"/>
    <s v="Single"/>
    <n v="38578"/>
    <n v="1"/>
    <d v="1899-12-31T00:00:00"/>
    <d v="2013-06-22T00:00:00"/>
    <n v="2"/>
    <n v="4"/>
    <n v="3"/>
    <n v="3"/>
    <n v="3"/>
    <n v="54"/>
    <x v="0"/>
    <x v="29"/>
  </r>
  <r>
    <n v="375"/>
    <n v="10703"/>
    <n v="1975"/>
    <s v="Master"/>
    <s v="Single"/>
    <n v="46098"/>
    <n v="1"/>
    <d v="1899-12-31T00:00:00"/>
    <d v="2012-08-18T00:00:00"/>
    <n v="86"/>
    <n v="0"/>
    <n v="0"/>
    <n v="0"/>
    <n v="2"/>
    <n v="51"/>
    <x v="0"/>
    <x v="42"/>
  </r>
  <r>
    <n v="376"/>
    <n v="1726"/>
    <n v="1970"/>
    <s v="Graduation"/>
    <s v="Single"/>
    <n v="22585"/>
    <n v="0"/>
    <d v="1899-12-30T00:00:00"/>
    <d v="2013-03-18T00:00:00"/>
    <n v="23"/>
    <n v="9"/>
    <n v="2"/>
    <n v="2"/>
    <n v="2"/>
    <n v="56"/>
    <x v="0"/>
    <x v="9"/>
  </r>
  <r>
    <n v="377"/>
    <n v="4459"/>
    <n v="1989"/>
    <s v="Graduation"/>
    <s v="Single"/>
    <n v="30279"/>
    <n v="1"/>
    <d v="1899-12-30T00:00:00"/>
    <d v="2012-12-30T00:00:00"/>
    <n v="13"/>
    <n v="4"/>
    <n v="4"/>
    <n v="4"/>
    <n v="3"/>
    <n v="37"/>
    <x v="1"/>
    <x v="3"/>
  </r>
  <r>
    <n v="378"/>
    <n v="1729"/>
    <n v="1961"/>
    <s v="PhD"/>
    <s v="Together"/>
    <n v="66426"/>
    <n v="0"/>
    <d v="1899-12-31T00:00:00"/>
    <d v="2013-10-02T00:00:00"/>
    <n v="14"/>
    <n v="24"/>
    <n v="24"/>
    <n v="24"/>
    <n v="10"/>
    <n v="65"/>
    <x v="0"/>
    <x v="35"/>
  </r>
  <r>
    <n v="379"/>
    <n v="1517"/>
    <n v="1969"/>
    <s v="Graduation"/>
    <s v="Single"/>
    <n v="30822"/>
    <n v="1"/>
    <d v="1899-12-30T00:00:00"/>
    <d v="2013-06-14T00:00:00"/>
    <n v="92"/>
    <n v="9"/>
    <n v="12"/>
    <n v="12"/>
    <n v="3"/>
    <n v="57"/>
    <x v="0"/>
    <x v="21"/>
  </r>
  <r>
    <n v="380"/>
    <n v="2098"/>
    <n v="1969"/>
    <s v="PhD"/>
    <s v="Married"/>
    <n v="33581"/>
    <n v="2"/>
    <d v="1899-12-30T00:00:00"/>
    <d v="2013-01-08T00:00:00"/>
    <n v="38"/>
    <n v="0"/>
    <n v="0"/>
    <n v="0"/>
    <n v="2"/>
    <n v="57"/>
    <x v="0"/>
    <x v="42"/>
  </r>
  <r>
    <n v="381"/>
    <n v="9543"/>
    <n v="1985"/>
    <s v="Graduation"/>
    <s v="Married"/>
    <n v="19986"/>
    <n v="1"/>
    <d v="1899-12-30T00:00:00"/>
    <d v="2013-11-14T00:00:00"/>
    <n v="74"/>
    <n v="6"/>
    <n v="2"/>
    <n v="2"/>
    <n v="3"/>
    <n v="41"/>
    <x v="1"/>
    <x v="7"/>
  </r>
  <r>
    <n v="382"/>
    <n v="6878"/>
    <n v="1954"/>
    <s v="Graduation"/>
    <s v="Widow"/>
    <n v="27421"/>
    <n v="0"/>
    <d v="1899-12-30T00:00:00"/>
    <d v="2012-12-12T00:00:00"/>
    <n v="14"/>
    <n v="12"/>
    <n v="40"/>
    <n v="40"/>
    <n v="6"/>
    <n v="72"/>
    <x v="0"/>
    <x v="54"/>
  </r>
  <r>
    <n v="383"/>
    <n v="3310"/>
    <n v="1973"/>
    <s v="2n Cycle"/>
    <s v="Married"/>
    <n v="35688"/>
    <n v="2"/>
    <d v="1899-12-31T00:00:00"/>
    <d v="2012-08-22T00:00:00"/>
    <n v="94"/>
    <n v="3"/>
    <n v="1"/>
    <n v="1"/>
    <n v="4"/>
    <n v="53"/>
    <x v="0"/>
    <x v="7"/>
  </r>
  <r>
    <n v="384"/>
    <n v="2724"/>
    <n v="1981"/>
    <s v="Master"/>
    <s v="Single"/>
    <n v="36143"/>
    <n v="1"/>
    <d v="1899-12-30T00:00:00"/>
    <d v="2014-03-30T00:00:00"/>
    <n v="33"/>
    <n v="0"/>
    <n v="0"/>
    <n v="0"/>
    <n v="2"/>
    <n v="45"/>
    <x v="1"/>
    <x v="42"/>
  </r>
  <r>
    <n v="385"/>
    <n v="948"/>
    <n v="1971"/>
    <s v="Graduation"/>
    <s v="Single"/>
    <n v="10245"/>
    <n v="1"/>
    <d v="1899-12-30T00:00:00"/>
    <d v="2013-05-15T00:00:00"/>
    <n v="32"/>
    <n v="7"/>
    <n v="4"/>
    <n v="4"/>
    <n v="2"/>
    <n v="55"/>
    <x v="0"/>
    <x v="29"/>
  </r>
  <r>
    <n v="386"/>
    <n v="6720"/>
    <n v="1968"/>
    <s v="Master"/>
    <s v="Together"/>
    <n v="43795"/>
    <n v="0"/>
    <d v="1899-12-31T00:00:00"/>
    <d v="2013-10-16T00:00:00"/>
    <n v="11"/>
    <n v="11"/>
    <n v="3"/>
    <n v="3"/>
    <n v="4"/>
    <n v="58"/>
    <x v="0"/>
    <x v="3"/>
  </r>
  <r>
    <n v="387"/>
    <n v="6202"/>
    <n v="1960"/>
    <s v="Graduation"/>
    <s v="Together"/>
    <n v="63381"/>
    <n v="0"/>
    <d v="1899-12-31T00:00:00"/>
    <d v="2012-10-05T00:00:00"/>
    <n v="78"/>
    <n v="50"/>
    <n v="50"/>
    <n v="50"/>
    <n v="13"/>
    <n v="66"/>
    <x v="0"/>
    <x v="102"/>
  </r>
  <r>
    <n v="388"/>
    <n v="2066"/>
    <n v="1949"/>
    <s v="Graduation"/>
    <s v="Together"/>
    <n v="38823"/>
    <n v="0"/>
    <d v="1899-12-31T00:00:00"/>
    <d v="2012-08-30T00:00:00"/>
    <n v="56"/>
    <n v="0"/>
    <n v="8"/>
    <n v="8"/>
    <n v="3"/>
    <n v="77"/>
    <x v="0"/>
    <x v="20"/>
  </r>
  <r>
    <n v="389"/>
    <n v="9799"/>
    <n v="1968"/>
    <s v="PhD"/>
    <s v="Divorced"/>
    <n v="83664"/>
    <n v="1"/>
    <d v="1899-12-31T00:00:00"/>
    <d v="2013-05-08T00:00:00"/>
    <n v="57"/>
    <n v="21"/>
    <n v="21"/>
    <n v="21"/>
    <n v="12"/>
    <n v="58"/>
    <x v="0"/>
    <x v="4"/>
  </r>
  <r>
    <n v="390"/>
    <n v="8318"/>
    <n v="1979"/>
    <s v="Graduation"/>
    <s v="Together"/>
    <n v="90300"/>
    <n v="0"/>
    <d v="1899-12-30T00:00:00"/>
    <d v="2014-01-03T00:00:00"/>
    <n v="7"/>
    <n v="134"/>
    <n v="134"/>
    <n v="134"/>
    <n v="8"/>
    <n v="47"/>
    <x v="1"/>
    <x v="80"/>
  </r>
  <r>
    <n v="391"/>
    <n v="5642"/>
    <n v="1979"/>
    <s v="Master"/>
    <s v="Together"/>
    <n v="62499"/>
    <n v="1"/>
    <d v="1899-12-30T00:00:00"/>
    <d v="2013-12-09T00:00:00"/>
    <n v="0"/>
    <n v="4"/>
    <n v="13"/>
    <n v="13"/>
    <n v="6"/>
    <n v="47"/>
    <x v="1"/>
    <x v="44"/>
  </r>
  <r>
    <n v="392"/>
    <n v="2669"/>
    <n v="1993"/>
    <s v="Graduation"/>
    <s v="Single"/>
    <n v="74293"/>
    <n v="0"/>
    <d v="1899-12-30T00:00:00"/>
    <d v="2014-05-04T00:00:00"/>
    <n v="66"/>
    <n v="152"/>
    <n v="91"/>
    <n v="91"/>
    <n v="6"/>
    <n v="33"/>
    <x v="1"/>
    <x v="103"/>
  </r>
  <r>
    <n v="393"/>
    <n v="455"/>
    <n v="1946"/>
    <s v="PhD"/>
    <s v="Married"/>
    <n v="51012"/>
    <n v="0"/>
    <d v="1899-12-30T00:00:00"/>
    <d v="2013-04-18T00:00:00"/>
    <n v="86"/>
    <n v="9"/>
    <n v="9"/>
    <n v="9"/>
    <n v="4"/>
    <n v="80"/>
    <x v="0"/>
    <x v="104"/>
  </r>
  <r>
    <n v="394"/>
    <n v="7683"/>
    <n v="1968"/>
    <s v="Master"/>
    <s v="Married"/>
    <n v="70777"/>
    <n v="0"/>
    <d v="1899-12-31T00:00:00"/>
    <d v="2014-02-25T00:00:00"/>
    <n v="80"/>
    <n v="35"/>
    <n v="7"/>
    <n v="7"/>
    <n v="12"/>
    <n v="58"/>
    <x v="0"/>
    <x v="44"/>
  </r>
  <r>
    <n v="395"/>
    <n v="3428"/>
    <n v="1991"/>
    <s v="PhD"/>
    <s v="Together"/>
    <n v="68682"/>
    <n v="0"/>
    <d v="1899-12-30T00:00:00"/>
    <d v="2013-10-06T00:00:00"/>
    <n v="56"/>
    <n v="0"/>
    <n v="30"/>
    <n v="30"/>
    <n v="10"/>
    <n v="35"/>
    <x v="1"/>
    <x v="105"/>
  </r>
  <r>
    <n v="396"/>
    <n v="7414"/>
    <n v="1971"/>
    <s v="Graduation"/>
    <s v="Married"/>
    <n v="43824"/>
    <n v="1"/>
    <d v="1899-12-31T00:00:00"/>
    <d v="2012-09-15T00:00:00"/>
    <n v="18"/>
    <n v="1"/>
    <n v="3"/>
    <n v="3"/>
    <n v="4"/>
    <n v="55"/>
    <x v="0"/>
    <x v="3"/>
  </r>
  <r>
    <n v="397"/>
    <n v="6354"/>
    <n v="1984"/>
    <s v="Graduation"/>
    <s v="Together"/>
    <n v="15345"/>
    <n v="1"/>
    <d v="1899-12-30T00:00:00"/>
    <d v="2012-08-31T00:00:00"/>
    <n v="51"/>
    <n v="2"/>
    <n v="2"/>
    <n v="2"/>
    <n v="2"/>
    <n v="42"/>
    <x v="1"/>
    <x v="9"/>
  </r>
  <r>
    <n v="398"/>
    <n v="798"/>
    <n v="1987"/>
    <s v="Graduation"/>
    <s v="Single"/>
    <n v="23442"/>
    <n v="1"/>
    <d v="1899-12-30T00:00:00"/>
    <d v="2012-12-24T00:00:00"/>
    <n v="71"/>
    <n v="0"/>
    <n v="6"/>
    <n v="6"/>
    <n v="3"/>
    <n v="39"/>
    <x v="1"/>
    <x v="18"/>
  </r>
  <r>
    <n v="399"/>
    <n v="8213"/>
    <n v="1980"/>
    <s v="2n Cycle"/>
    <s v="Together"/>
    <n v="14515"/>
    <n v="1"/>
    <d v="1899-12-30T00:00:00"/>
    <d v="2012-11-09T00:00:00"/>
    <n v="71"/>
    <n v="4"/>
    <n v="36"/>
    <n v="36"/>
    <n v="3"/>
    <n v="46"/>
    <x v="1"/>
    <x v="30"/>
  </r>
  <r>
    <n v="400"/>
    <n v="2488"/>
    <n v="1956"/>
    <s v="2n Cycle"/>
    <s v="Divorced"/>
    <n v="31395"/>
    <n v="1"/>
    <d v="1899-12-31T00:00:00"/>
    <d v="2013-03-23T00:00:00"/>
    <n v="80"/>
    <n v="1"/>
    <n v="8"/>
    <n v="8"/>
    <n v="3"/>
    <n v="70"/>
    <x v="0"/>
    <x v="20"/>
  </r>
  <r>
    <n v="401"/>
    <n v="9999"/>
    <n v="1965"/>
    <s v="Graduation"/>
    <s v="Together"/>
    <n v="75276"/>
    <n v="0"/>
    <d v="1899-12-30T00:00:00"/>
    <d v="2012-09-27T00:00:00"/>
    <n v="2"/>
    <n v="105"/>
    <n v="42"/>
    <n v="42"/>
    <n v="9"/>
    <n v="61"/>
    <x v="0"/>
    <x v="106"/>
  </r>
  <r>
    <n v="402"/>
    <n v="7617"/>
    <n v="1974"/>
    <s v="Graduation"/>
    <s v="Single"/>
    <n v="42373"/>
    <n v="1"/>
    <d v="1899-12-31T00:00:00"/>
    <d v="2013-08-15T00:00:00"/>
    <n v="83"/>
    <n v="5"/>
    <n v="8"/>
    <n v="8"/>
    <n v="5"/>
    <n v="52"/>
    <x v="0"/>
    <x v="104"/>
  </r>
  <r>
    <n v="403"/>
    <n v="615"/>
    <n v="1960"/>
    <s v="Graduation"/>
    <s v="Together"/>
    <n v="30507"/>
    <n v="0"/>
    <d v="1899-12-30T00:00:00"/>
    <d v="2013-03-11T00:00:00"/>
    <n v="29"/>
    <n v="36"/>
    <n v="20"/>
    <n v="20"/>
    <n v="4"/>
    <n v="66"/>
    <x v="0"/>
    <x v="38"/>
  </r>
  <r>
    <n v="404"/>
    <n v="2552"/>
    <n v="1955"/>
    <s v="PhD"/>
    <s v="Single"/>
    <n v="55521"/>
    <n v="1"/>
    <d v="1900-01-01T00:00:00"/>
    <d v="2013-10-22T00:00:00"/>
    <n v="11"/>
    <n v="0"/>
    <n v="0"/>
    <n v="0"/>
    <n v="6"/>
    <n v="71"/>
    <x v="0"/>
    <x v="29"/>
  </r>
  <r>
    <n v="405"/>
    <n v="194"/>
    <n v="1965"/>
    <s v="Graduation"/>
    <s v="Married"/>
    <n v="48006"/>
    <n v="1"/>
    <d v="1899-12-31T00:00:00"/>
    <d v="2014-06-09T00:00:00"/>
    <n v="55"/>
    <n v="0"/>
    <n v="2"/>
    <n v="2"/>
    <n v="3"/>
    <n v="61"/>
    <x v="0"/>
    <x v="7"/>
  </r>
  <r>
    <n v="406"/>
    <n v="3645"/>
    <n v="1972"/>
    <s v="PhD"/>
    <s v="Single"/>
    <n v="27213"/>
    <n v="1"/>
    <d v="1899-12-30T00:00:00"/>
    <d v="2012-08-30T00:00:00"/>
    <n v="19"/>
    <n v="3"/>
    <n v="9"/>
    <n v="9"/>
    <n v="4"/>
    <n v="54"/>
    <x v="0"/>
    <x v="104"/>
  </r>
  <r>
    <n v="407"/>
    <n v="8890"/>
    <n v="1971"/>
    <s v="PhD"/>
    <s v="Divorced"/>
    <n v="65808"/>
    <n v="1"/>
    <d v="1899-12-31T00:00:00"/>
    <d v="2014-05-30T00:00:00"/>
    <n v="1"/>
    <n v="7"/>
    <n v="7"/>
    <n v="7"/>
    <n v="5"/>
    <n v="55"/>
    <x v="0"/>
    <x v="51"/>
  </r>
  <r>
    <n v="408"/>
    <n v="5049"/>
    <n v="1974"/>
    <s v="PhD"/>
    <s v="Together"/>
    <n v="30351"/>
    <n v="1"/>
    <d v="1899-12-30T00:00:00"/>
    <d v="2013-06-06T00:00:00"/>
    <n v="19"/>
    <n v="0"/>
    <n v="3"/>
    <n v="3"/>
    <n v="2"/>
    <n v="52"/>
    <x v="0"/>
    <x v="7"/>
  </r>
  <r>
    <n v="409"/>
    <n v="9973"/>
    <n v="1963"/>
    <s v="Graduation"/>
    <s v="Married"/>
    <n v="50437"/>
    <n v="0"/>
    <d v="1900-01-01T00:00:00"/>
    <d v="2012-10-17T00:00:00"/>
    <n v="28"/>
    <n v="9"/>
    <n v="9"/>
    <n v="9"/>
    <n v="8"/>
    <n v="63"/>
    <x v="0"/>
    <x v="67"/>
  </r>
  <r>
    <n v="410"/>
    <n v="7301"/>
    <n v="1982"/>
    <s v="2n Cycle"/>
    <s v="Single"/>
    <n v="23616"/>
    <n v="1"/>
    <d v="1899-12-30T00:00:00"/>
    <d v="2012-11-17T00:00:00"/>
    <n v="76"/>
    <n v="22"/>
    <n v="7"/>
    <n v="7"/>
    <n v="3"/>
    <n v="44"/>
    <x v="1"/>
    <x v="11"/>
  </r>
  <r>
    <n v="411"/>
    <n v="10882"/>
    <n v="1976"/>
    <s v="Graduation"/>
    <s v="Married"/>
    <n v="53858"/>
    <n v="0"/>
    <d v="1899-12-31T00:00:00"/>
    <d v="2012-11-09T00:00:00"/>
    <n v="50"/>
    <n v="53"/>
    <n v="150"/>
    <n v="150"/>
    <n v="6"/>
    <n v="50"/>
    <x v="1"/>
    <x v="92"/>
  </r>
  <r>
    <n v="412"/>
    <n v="7030"/>
    <n v="1955"/>
    <s v="PhD"/>
    <s v="Married"/>
    <n v="66465"/>
    <n v="0"/>
    <d v="1899-12-31T00:00:00"/>
    <d v="2013-03-30T00:00:00"/>
    <n v="1"/>
    <n v="0"/>
    <n v="29"/>
    <n v="29"/>
    <n v="12"/>
    <n v="71"/>
    <x v="0"/>
    <x v="19"/>
  </r>
  <r>
    <n v="413"/>
    <n v="7422"/>
    <n v="1987"/>
    <s v="Graduation"/>
    <s v="Single"/>
    <n v="46923"/>
    <n v="1"/>
    <d v="1899-12-30T00:00:00"/>
    <d v="2012-08-22T00:00:00"/>
    <n v="90"/>
    <n v="44"/>
    <n v="78"/>
    <n v="78"/>
    <n v="7"/>
    <n v="39"/>
    <x v="1"/>
    <x v="60"/>
  </r>
  <r>
    <n v="414"/>
    <n v="3523"/>
    <n v="1962"/>
    <s v="Graduation"/>
    <s v="Together"/>
    <n v="75072"/>
    <n v="0"/>
    <d v="1899-12-31T00:00:00"/>
    <d v="2013-01-23T00:00:00"/>
    <n v="83"/>
    <n v="34"/>
    <n v="22"/>
    <n v="22"/>
    <n v="8"/>
    <n v="64"/>
    <x v="0"/>
    <x v="39"/>
  </r>
  <r>
    <n v="415"/>
    <n v="7106"/>
    <n v="1943"/>
    <s v="PhD"/>
    <s v="Married"/>
    <n v="75865"/>
    <n v="0"/>
    <d v="1899-12-30T00:00:00"/>
    <d v="2014-03-31T00:00:00"/>
    <n v="73"/>
    <n v="0"/>
    <n v="0"/>
    <n v="0"/>
    <n v="10"/>
    <n v="83"/>
    <x v="0"/>
    <x v="11"/>
  </r>
  <r>
    <n v="416"/>
    <n v="6504"/>
    <n v="1975"/>
    <s v="2n Cycle"/>
    <s v="Together"/>
    <n v="19789"/>
    <n v="1"/>
    <d v="1899-12-30T00:00:00"/>
    <d v="2013-11-20T00:00:00"/>
    <n v="24"/>
    <n v="5"/>
    <n v="6"/>
    <n v="6"/>
    <n v="3"/>
    <n v="51"/>
    <x v="0"/>
    <x v="18"/>
  </r>
  <r>
    <n v="417"/>
    <n v="5067"/>
    <n v="1994"/>
    <s v="Graduation"/>
    <s v="Together"/>
    <n v="80134"/>
    <n v="0"/>
    <d v="1899-12-30T00:00:00"/>
    <d v="2014-02-14T00:00:00"/>
    <n v="11"/>
    <n v="26"/>
    <n v="26"/>
    <n v="26"/>
    <n v="11"/>
    <n v="32"/>
    <x v="1"/>
    <x v="78"/>
  </r>
  <r>
    <n v="418"/>
    <n v="4216"/>
    <n v="1981"/>
    <s v="Graduation"/>
    <s v="Single"/>
    <n v="91065"/>
    <n v="0"/>
    <d v="1899-12-30T00:00:00"/>
    <d v="2013-02-22T00:00:00"/>
    <n v="33"/>
    <n v="114"/>
    <n v="137"/>
    <n v="137"/>
    <n v="9"/>
    <n v="45"/>
    <x v="1"/>
    <x v="90"/>
  </r>
  <r>
    <n v="419"/>
    <n v="8581"/>
    <n v="1971"/>
    <s v="Master"/>
    <s v="Married"/>
    <n v="49505"/>
    <n v="1"/>
    <d v="1899-12-31T00:00:00"/>
    <d v="2013-03-05T00:00:00"/>
    <n v="4"/>
    <n v="0"/>
    <n v="0"/>
    <n v="0"/>
    <n v="8"/>
    <n v="55"/>
    <x v="0"/>
    <x v="41"/>
  </r>
  <r>
    <n v="420"/>
    <n v="5929"/>
    <n v="1973"/>
    <s v="PhD"/>
    <s v="Married"/>
    <n v="37401"/>
    <n v="1"/>
    <d v="1899-12-30T00:00:00"/>
    <d v="2014-05-06T00:00:00"/>
    <n v="14"/>
    <n v="3"/>
    <n v="1"/>
    <n v="1"/>
    <n v="3"/>
    <n v="53"/>
    <x v="0"/>
    <x v="9"/>
  </r>
  <r>
    <n v="421"/>
    <n v="3129"/>
    <n v="1983"/>
    <s v="Graduation"/>
    <s v="Married"/>
    <n v="30096"/>
    <n v="1"/>
    <d v="1899-12-30T00:00:00"/>
    <d v="2014-05-22T00:00:00"/>
    <n v="30"/>
    <n v="3"/>
    <n v="5"/>
    <n v="5"/>
    <n v="3"/>
    <n v="43"/>
    <x v="1"/>
    <x v="41"/>
  </r>
  <r>
    <n v="422"/>
    <n v="6528"/>
    <n v="1982"/>
    <s v="Master"/>
    <s v="Together"/>
    <n v="18492"/>
    <n v="1"/>
    <d v="1899-12-30T00:00:00"/>
    <d v="2014-06-05T00:00:00"/>
    <n v="75"/>
    <n v="2"/>
    <n v="1"/>
    <n v="1"/>
    <n v="2"/>
    <n v="44"/>
    <x v="1"/>
    <x v="1"/>
  </r>
  <r>
    <n v="423"/>
    <n v="1361"/>
    <n v="1974"/>
    <s v="Master"/>
    <s v="Married"/>
    <n v="82584"/>
    <n v="0"/>
    <d v="1899-12-30T00:00:00"/>
    <d v="2013-06-04T00:00:00"/>
    <n v="26"/>
    <n v="68"/>
    <n v="91"/>
    <n v="91"/>
    <n v="8"/>
    <n v="52"/>
    <x v="0"/>
    <x v="107"/>
  </r>
  <r>
    <n v="424"/>
    <n v="6932"/>
    <n v="1941"/>
    <s v="PhD"/>
    <s v="Married"/>
    <n v="93027"/>
    <n v="0"/>
    <d v="1899-12-30T00:00:00"/>
    <d v="2013-04-13T00:00:00"/>
    <n v="77"/>
    <n v="42"/>
    <n v="0"/>
    <n v="0"/>
    <n v="5"/>
    <n v="85"/>
    <x v="0"/>
    <x v="7"/>
  </r>
  <r>
    <n v="425"/>
    <n v="7284"/>
    <n v="1953"/>
    <s v="Graduation"/>
    <s v="Married"/>
    <n v="48686"/>
    <n v="1"/>
    <d v="1900-01-01T00:00:00"/>
    <d v="2013-12-04T00:00:00"/>
    <n v="8"/>
    <n v="0"/>
    <n v="0"/>
    <n v="0"/>
    <n v="2"/>
    <n v="73"/>
    <x v="0"/>
    <x v="42"/>
  </r>
  <r>
    <n v="426"/>
    <n v="1340"/>
    <n v="1986"/>
    <s v="Graduation"/>
    <s v="Married"/>
    <n v="92910"/>
    <n v="0"/>
    <d v="1899-12-30T00:00:00"/>
    <d v="2014-04-24T00:00:00"/>
    <n v="42"/>
    <n v="137"/>
    <n v="103"/>
    <n v="103"/>
    <n v="13"/>
    <n v="40"/>
    <x v="1"/>
    <x v="108"/>
  </r>
  <r>
    <n v="427"/>
    <n v="8746"/>
    <n v="1989"/>
    <s v="Graduation"/>
    <s v="Married"/>
    <n v="75433"/>
    <n v="1"/>
    <d v="1899-12-30T00:00:00"/>
    <d v="2014-04-05T00:00:00"/>
    <n v="28"/>
    <n v="0"/>
    <n v="34"/>
    <n v="34"/>
    <n v="10"/>
    <n v="37"/>
    <x v="1"/>
    <x v="109"/>
  </r>
  <r>
    <n v="428"/>
    <n v="5987"/>
    <n v="1989"/>
    <s v="2n Cycle"/>
    <s v="Together"/>
    <n v="10404"/>
    <n v="1"/>
    <d v="1899-12-30T00:00:00"/>
    <d v="2014-05-04T00:00:00"/>
    <n v="52"/>
    <n v="2"/>
    <n v="6"/>
    <n v="6"/>
    <n v="4"/>
    <n v="37"/>
    <x v="1"/>
    <x v="11"/>
  </r>
  <r>
    <n v="429"/>
    <n v="3767"/>
    <n v="1968"/>
    <s v="Graduation"/>
    <s v="Married"/>
    <n v="61314"/>
    <n v="0"/>
    <d v="1899-12-31T00:00:00"/>
    <d v="2013-04-25T00:00:00"/>
    <n v="1"/>
    <n v="0"/>
    <n v="172"/>
    <n v="172"/>
    <n v="12"/>
    <n v="58"/>
    <x v="0"/>
    <x v="110"/>
  </r>
  <r>
    <n v="430"/>
    <n v="3725"/>
    <n v="1961"/>
    <s v="PhD"/>
    <s v="Single"/>
    <n v="84865"/>
    <n v="0"/>
    <d v="1899-12-30T00:00:00"/>
    <d v="2013-05-09T00:00:00"/>
    <n v="1"/>
    <n v="16"/>
    <n v="16"/>
    <n v="16"/>
    <n v="9"/>
    <n v="65"/>
    <x v="0"/>
    <x v="15"/>
  </r>
  <r>
    <n v="431"/>
    <n v="4324"/>
    <n v="1989"/>
    <s v="Graduation"/>
    <s v="Married"/>
    <n v="42387"/>
    <n v="1"/>
    <d v="1899-12-30T00:00:00"/>
    <d v="2012-10-29T00:00:00"/>
    <n v="42"/>
    <n v="0"/>
    <n v="4"/>
    <n v="4"/>
    <n v="7"/>
    <n v="37"/>
    <x v="1"/>
    <x v="20"/>
  </r>
  <r>
    <n v="432"/>
    <n v="238"/>
    <n v="1967"/>
    <s v="2n Cycle"/>
    <s v="Together"/>
    <n v="67309"/>
    <n v="1"/>
    <d v="1899-12-31T00:00:00"/>
    <d v="2013-01-23T00:00:00"/>
    <n v="76"/>
    <n v="47"/>
    <n v="95"/>
    <n v="95"/>
    <n v="9"/>
    <n v="59"/>
    <x v="0"/>
    <x v="111"/>
  </r>
  <r>
    <n v="433"/>
    <n v="6694"/>
    <n v="1964"/>
    <s v="Graduation"/>
    <s v="Married"/>
    <n v="75236"/>
    <n v="0"/>
    <d v="1899-12-31T00:00:00"/>
    <d v="2013-11-25T00:00:00"/>
    <n v="27"/>
    <n v="66"/>
    <n v="38"/>
    <n v="38"/>
    <n v="13"/>
    <n v="62"/>
    <x v="0"/>
    <x v="106"/>
  </r>
  <r>
    <n v="434"/>
    <n v="498"/>
    <n v="1970"/>
    <s v="Graduation"/>
    <s v="Single"/>
    <n v="30015"/>
    <n v="1"/>
    <d v="1899-12-30T00:00:00"/>
    <d v="2014-02-02T00:00:00"/>
    <n v="28"/>
    <n v="0"/>
    <n v="3"/>
    <n v="3"/>
    <n v="4"/>
    <n v="56"/>
    <x v="0"/>
    <x v="3"/>
  </r>
  <r>
    <n v="435"/>
    <n v="9347"/>
    <n v="1956"/>
    <s v="Master"/>
    <s v="Together"/>
    <n v="50943"/>
    <n v="0"/>
    <d v="1899-12-31T00:00:00"/>
    <d v="2013-06-21T00:00:00"/>
    <n v="49"/>
    <n v="0"/>
    <n v="0"/>
    <n v="0"/>
    <n v="3"/>
    <n v="70"/>
    <x v="0"/>
    <x v="1"/>
  </r>
  <r>
    <n v="436"/>
    <n v="9699"/>
    <n v="1966"/>
    <s v="Graduation"/>
    <s v="Divorced"/>
    <n v="67272"/>
    <n v="0"/>
    <d v="1899-12-31T00:00:00"/>
    <d v="2013-12-21T00:00:00"/>
    <n v="12"/>
    <n v="35"/>
    <n v="28"/>
    <n v="28"/>
    <n v="12"/>
    <n v="60"/>
    <x v="0"/>
    <x v="105"/>
  </r>
  <r>
    <n v="437"/>
    <n v="10664"/>
    <n v="1949"/>
    <s v="Master"/>
    <s v="Widow"/>
    <n v="51529"/>
    <n v="0"/>
    <d v="1899-12-31T00:00:00"/>
    <d v="2013-09-07T00:00:00"/>
    <n v="14"/>
    <n v="4"/>
    <n v="0"/>
    <n v="0"/>
    <n v="5"/>
    <n v="77"/>
    <x v="0"/>
    <x v="7"/>
  </r>
  <r>
    <n v="438"/>
    <n v="5455"/>
    <n v="1971"/>
    <s v="PhD"/>
    <s v="Married"/>
    <n v="32011"/>
    <n v="1"/>
    <d v="1899-12-30T00:00:00"/>
    <d v="2013-08-22T00:00:00"/>
    <n v="89"/>
    <n v="0"/>
    <n v="1"/>
    <n v="1"/>
    <n v="4"/>
    <n v="55"/>
    <x v="0"/>
    <x v="7"/>
  </r>
  <r>
    <n v="439"/>
    <n v="456"/>
    <n v="1986"/>
    <s v="2n Cycle"/>
    <s v="Married"/>
    <n v="7500"/>
    <n v="1"/>
    <d v="1899-12-30T00:00:00"/>
    <d v="2013-02-07T00:00:00"/>
    <n v="96"/>
    <n v="11"/>
    <n v="6"/>
    <n v="6"/>
    <n v="3"/>
    <n v="40"/>
    <x v="1"/>
    <x v="18"/>
  </r>
  <r>
    <n v="440"/>
    <n v="5012"/>
    <n v="1989"/>
    <s v="Graduation"/>
    <s v="Married"/>
    <n v="28691"/>
    <n v="1"/>
    <d v="1899-12-30T00:00:00"/>
    <d v="2013-07-04T00:00:00"/>
    <n v="56"/>
    <n v="4"/>
    <n v="0"/>
    <n v="0"/>
    <n v="3"/>
    <n v="37"/>
    <x v="1"/>
    <x v="1"/>
  </r>
  <r>
    <n v="441"/>
    <n v="7495"/>
    <n v="1948"/>
    <s v="PhD"/>
    <s v="Married"/>
    <n v="56223"/>
    <n v="0"/>
    <d v="1899-12-31T00:00:00"/>
    <d v="2013-12-20T00:00:00"/>
    <n v="72"/>
    <n v="28"/>
    <n v="0"/>
    <n v="0"/>
    <n v="5"/>
    <n v="78"/>
    <x v="0"/>
    <x v="7"/>
  </r>
  <r>
    <n v="442"/>
    <n v="5029"/>
    <n v="1946"/>
    <s v="Graduation"/>
    <s v="Married"/>
    <n v="18100"/>
    <n v="0"/>
    <d v="1899-12-30T00:00:00"/>
    <d v="2013-08-06T00:00:00"/>
    <n v="14"/>
    <n v="1"/>
    <n v="3"/>
    <n v="3"/>
    <n v="3"/>
    <n v="80"/>
    <x v="0"/>
    <x v="29"/>
  </r>
  <r>
    <n v="443"/>
    <n v="10642"/>
    <n v="1989"/>
    <s v="Graduation"/>
    <s v="Single"/>
    <n v="30279"/>
    <n v="1"/>
    <d v="1899-12-30T00:00:00"/>
    <d v="2012-12-30T00:00:00"/>
    <n v="13"/>
    <n v="4"/>
    <n v="4"/>
    <n v="4"/>
    <n v="3"/>
    <n v="37"/>
    <x v="1"/>
    <x v="3"/>
  </r>
  <r>
    <n v="444"/>
    <n v="2106"/>
    <n v="1974"/>
    <s v="2n Cycle"/>
    <s v="Married"/>
    <n v="20130"/>
    <n v="0"/>
    <d v="1899-12-30T00:00:00"/>
    <d v="2014-03-17T00:00:00"/>
    <n v="99"/>
    <n v="6"/>
    <n v="6"/>
    <n v="6"/>
    <n v="3"/>
    <n v="52"/>
    <x v="0"/>
    <x v="18"/>
  </r>
  <r>
    <n v="445"/>
    <n v="10364"/>
    <n v="1959"/>
    <s v="Graduation"/>
    <s v="Divorced"/>
    <n v="23295"/>
    <n v="0"/>
    <d v="1899-12-30T00:00:00"/>
    <d v="2013-07-13T00:00:00"/>
    <n v="72"/>
    <n v="0"/>
    <n v="12"/>
    <n v="12"/>
    <n v="2"/>
    <n v="67"/>
    <x v="0"/>
    <x v="31"/>
  </r>
  <r>
    <n v="446"/>
    <n v="5954"/>
    <n v="1972"/>
    <s v="Master"/>
    <s v="Divorced"/>
    <n v="42618"/>
    <n v="1"/>
    <d v="1899-12-30T00:00:00"/>
    <d v="2013-10-09T00:00:00"/>
    <n v="92"/>
    <n v="14"/>
    <n v="5"/>
    <n v="5"/>
    <n v="4"/>
    <n v="54"/>
    <x v="0"/>
    <x v="18"/>
  </r>
  <r>
    <n v="447"/>
    <n v="1137"/>
    <n v="1964"/>
    <s v="Graduation"/>
    <s v="Single"/>
    <n v="81246"/>
    <n v="0"/>
    <d v="1899-12-30T00:00:00"/>
    <d v="2013-12-29T00:00:00"/>
    <n v="87"/>
    <n v="190"/>
    <n v="156"/>
    <n v="156"/>
    <n v="7"/>
    <n v="62"/>
    <x v="0"/>
    <x v="112"/>
  </r>
  <r>
    <n v="448"/>
    <n v="2541"/>
    <n v="1976"/>
    <s v="Graduation"/>
    <s v="Married"/>
    <n v="24027"/>
    <n v="1"/>
    <d v="1899-12-30T00:00:00"/>
    <d v="2013-06-09T00:00:00"/>
    <n v="7"/>
    <n v="7"/>
    <n v="0"/>
    <n v="0"/>
    <n v="3"/>
    <n v="50"/>
    <x v="1"/>
    <x v="1"/>
  </r>
  <r>
    <n v="449"/>
    <n v="1142"/>
    <n v="1953"/>
    <s v="PhD"/>
    <s v="Married"/>
    <n v="55707"/>
    <n v="0"/>
    <d v="1899-12-31T00:00:00"/>
    <d v="2013-12-22T00:00:00"/>
    <n v="91"/>
    <n v="7"/>
    <n v="66"/>
    <n v="66"/>
    <n v="9"/>
    <n v="73"/>
    <x v="0"/>
    <x v="113"/>
  </r>
  <r>
    <n v="450"/>
    <n v="2276"/>
    <n v="1955"/>
    <s v="Graduation"/>
    <s v="Single"/>
    <n v="57959"/>
    <n v="0"/>
    <d v="1899-12-31T00:00:00"/>
    <d v="2013-05-02T00:00:00"/>
    <n v="71"/>
    <n v="16"/>
    <n v="24"/>
    <n v="24"/>
    <n v="11"/>
    <n v="71"/>
    <x v="0"/>
    <x v="61"/>
  </r>
  <r>
    <n v="451"/>
    <n v="2807"/>
    <n v="1969"/>
    <s v="Graduation"/>
    <s v="Married"/>
    <n v="56796"/>
    <n v="0"/>
    <d v="1899-12-31T00:00:00"/>
    <d v="2013-02-16T00:00:00"/>
    <n v="24"/>
    <n v="38"/>
    <n v="47"/>
    <n v="47"/>
    <n v="7"/>
    <n v="57"/>
    <x v="0"/>
    <x v="27"/>
  </r>
  <r>
    <n v="452"/>
    <n v="6471"/>
    <n v="1971"/>
    <s v="Master"/>
    <s v="Single"/>
    <n v="36230"/>
    <n v="1"/>
    <d v="1899-12-30T00:00:00"/>
    <d v="2013-10-17T00:00:00"/>
    <n v="17"/>
    <n v="2"/>
    <n v="2"/>
    <n v="2"/>
    <n v="4"/>
    <n v="55"/>
    <x v="0"/>
    <x v="29"/>
  </r>
  <r>
    <n v="453"/>
    <n v="6131"/>
    <n v="1980"/>
    <s v="2n Cycle"/>
    <s v="Married"/>
    <n v="70829"/>
    <n v="1"/>
    <d v="1899-12-31T00:00:00"/>
    <d v="2013-12-01T00:00:00"/>
    <n v="87"/>
    <n v="70"/>
    <n v="19"/>
    <n v="19"/>
    <n v="8"/>
    <n v="46"/>
    <x v="1"/>
    <x v="16"/>
  </r>
  <r>
    <n v="454"/>
    <n v="6233"/>
    <n v="1976"/>
    <s v="Graduation"/>
    <s v="Married"/>
    <n v="65991"/>
    <n v="0"/>
    <d v="1899-12-31T00:00:00"/>
    <d v="2012-09-07T00:00:00"/>
    <n v="21"/>
    <n v="19"/>
    <n v="47"/>
    <n v="47"/>
    <n v="10"/>
    <n v="50"/>
    <x v="1"/>
    <x v="64"/>
  </r>
  <r>
    <n v="455"/>
    <n v="4148"/>
    <n v="1972"/>
    <s v="Graduation"/>
    <s v="Married"/>
    <n v="38988"/>
    <n v="1"/>
    <d v="1900-01-01T00:00:00"/>
    <d v="2012-08-20T00:00:00"/>
    <n v="90"/>
    <n v="24"/>
    <n v="3"/>
    <n v="3"/>
    <n v="6"/>
    <n v="54"/>
    <x v="0"/>
    <x v="18"/>
  </r>
  <r>
    <n v="456"/>
    <n v="4947"/>
    <n v="1966"/>
    <s v="2n Cycle"/>
    <s v="Single"/>
    <n v="89572"/>
    <n v="0"/>
    <d v="1899-12-30T00:00:00"/>
    <d v="2012-09-15T00:00:00"/>
    <n v="44"/>
    <n v="24"/>
    <n v="194"/>
    <n v="194"/>
    <n v="9"/>
    <n v="60"/>
    <x v="0"/>
    <x v="114"/>
  </r>
  <r>
    <n v="457"/>
    <n v="3225"/>
    <n v="1984"/>
    <s v="Master"/>
    <s v="Married"/>
    <n v="42207"/>
    <n v="1"/>
    <d v="1899-12-30T00:00:00"/>
    <d v="2013-04-01T00:00:00"/>
    <n v="71"/>
    <n v="11"/>
    <n v="17"/>
    <n v="17"/>
    <n v="5"/>
    <n v="42"/>
    <x v="1"/>
    <x v="62"/>
  </r>
  <r>
    <n v="458"/>
    <n v="7540"/>
    <n v="1952"/>
    <s v="Graduation"/>
    <s v="Married"/>
    <n v="50300"/>
    <n v="0"/>
    <d v="1899-12-31T00:00:00"/>
    <d v="2014-05-25T00:00:00"/>
    <n v="52"/>
    <n v="15"/>
    <n v="23"/>
    <n v="23"/>
    <n v="8"/>
    <n v="74"/>
    <x v="0"/>
    <x v="2"/>
  </r>
  <r>
    <n v="459"/>
    <n v="10648"/>
    <n v="1982"/>
    <s v="2n Cycle"/>
    <s v="Together"/>
    <n v="66664"/>
    <n v="0"/>
    <d v="1899-12-30T00:00:00"/>
    <d v="2012-09-25T00:00:00"/>
    <n v="78"/>
    <n v="96"/>
    <n v="96"/>
    <n v="96"/>
    <n v="6"/>
    <n v="44"/>
    <x v="1"/>
    <x v="87"/>
  </r>
  <r>
    <n v="460"/>
    <n v="1992"/>
    <n v="1964"/>
    <s v="Graduation"/>
    <s v="Married"/>
    <n v="60597"/>
    <n v="0"/>
    <d v="1899-12-31T00:00:00"/>
    <d v="2014-01-01T00:00:00"/>
    <n v="2"/>
    <n v="0"/>
    <n v="16"/>
    <n v="16"/>
    <n v="8"/>
    <n v="62"/>
    <x v="0"/>
    <x v="38"/>
  </r>
  <r>
    <n v="461"/>
    <n v="7851"/>
    <n v="1949"/>
    <s v="Graduation"/>
    <s v="Widow"/>
    <n v="70165"/>
    <n v="0"/>
    <d v="1899-12-30T00:00:00"/>
    <d v="2013-09-22T00:00:00"/>
    <n v="60"/>
    <n v="0"/>
    <n v="191"/>
    <n v="191"/>
    <n v="11"/>
    <n v="77"/>
    <x v="0"/>
    <x v="115"/>
  </r>
  <r>
    <n v="462"/>
    <n v="8594"/>
    <n v="1958"/>
    <s v="PhD"/>
    <s v="Widow"/>
    <n v="50520"/>
    <n v="0"/>
    <d v="1899-12-31T00:00:00"/>
    <d v="2014-01-28T00:00:00"/>
    <n v="25"/>
    <n v="0"/>
    <n v="1"/>
    <n v="1"/>
    <n v="3"/>
    <n v="68"/>
    <x v="0"/>
    <x v="9"/>
  </r>
  <r>
    <n v="463"/>
    <n v="7059"/>
    <n v="1963"/>
    <s v="Graduation"/>
    <s v="Married"/>
    <n v="80124"/>
    <n v="0"/>
    <d v="1899-12-30T00:00:00"/>
    <d v="2014-06-26T00:00:00"/>
    <n v="47"/>
    <n v="84"/>
    <n v="84"/>
    <n v="84"/>
    <n v="8"/>
    <n v="63"/>
    <x v="0"/>
    <x v="0"/>
  </r>
  <r>
    <n v="464"/>
    <n v="2815"/>
    <n v="1975"/>
    <s v="Graduation"/>
    <s v="Married"/>
    <n v="33183"/>
    <n v="1"/>
    <d v="1899-12-30T00:00:00"/>
    <d v="2014-02-24T00:00:00"/>
    <n v="46"/>
    <n v="5"/>
    <n v="15"/>
    <n v="15"/>
    <n v="3"/>
    <n v="51"/>
    <x v="0"/>
    <x v="14"/>
  </r>
  <r>
    <n v="465"/>
    <n v="2416"/>
    <n v="1969"/>
    <s v="PhD"/>
    <s v="Single"/>
    <n v="66582"/>
    <n v="0"/>
    <d v="1899-12-30T00:00:00"/>
    <d v="2014-03-03T00:00:00"/>
    <n v="83"/>
    <n v="25"/>
    <n v="38"/>
    <n v="38"/>
    <n v="9"/>
    <n v="57"/>
    <x v="0"/>
    <x v="34"/>
  </r>
  <r>
    <n v="466"/>
    <n v="7999"/>
    <n v="1955"/>
    <s v="PhD"/>
    <s v="Together"/>
    <n v="75261"/>
    <n v="0"/>
    <d v="1899-12-30T00:00:00"/>
    <d v="2013-04-23T00:00:00"/>
    <n v="17"/>
    <n v="17"/>
    <n v="34"/>
    <n v="34"/>
    <n v="5"/>
    <n v="71"/>
    <x v="0"/>
    <x v="30"/>
  </r>
  <r>
    <n v="467"/>
    <n v="9213"/>
    <n v="1970"/>
    <s v="Graduation"/>
    <s v="Widow"/>
    <n v="31880"/>
    <n v="1"/>
    <d v="1899-12-30T00:00:00"/>
    <d v="2012-10-31T00:00:00"/>
    <n v="13"/>
    <n v="1"/>
    <n v="0"/>
    <n v="0"/>
    <n v="2"/>
    <n v="56"/>
    <x v="0"/>
    <x v="42"/>
  </r>
  <r>
    <n v="468"/>
    <n v="9697"/>
    <n v="1951"/>
    <s v="Graduation"/>
    <s v="Married"/>
    <n v="53790"/>
    <n v="0"/>
    <d v="1900-01-01T00:00:00"/>
    <d v="2014-03-06T00:00:00"/>
    <n v="86"/>
    <n v="42"/>
    <n v="5"/>
    <n v="5"/>
    <n v="8"/>
    <n v="75"/>
    <x v="0"/>
    <x v="104"/>
  </r>
  <r>
    <n v="469"/>
    <n v="3916"/>
    <n v="1971"/>
    <s v="PhD"/>
    <s v="Together"/>
    <n v="49269"/>
    <n v="1"/>
    <d v="1899-12-30T00:00:00"/>
    <d v="2012-08-15T00:00:00"/>
    <n v="92"/>
    <n v="8"/>
    <n v="8"/>
    <n v="8"/>
    <n v="12"/>
    <n v="55"/>
    <x v="0"/>
    <x v="26"/>
  </r>
  <r>
    <n v="470"/>
    <n v="2021"/>
    <n v="1975"/>
    <s v="Graduation"/>
    <s v="Married"/>
    <n v="61456"/>
    <n v="0"/>
    <d v="1899-12-31T00:00:00"/>
    <d v="2013-03-27T00:00:00"/>
    <n v="47"/>
    <n v="76"/>
    <n v="192"/>
    <n v="192"/>
    <n v="13"/>
    <n v="51"/>
    <x v="0"/>
    <x v="116"/>
  </r>
  <r>
    <n v="471"/>
    <n v="1581"/>
    <n v="1980"/>
    <s v="Graduation"/>
    <s v="Married"/>
    <n v="37406"/>
    <n v="1"/>
    <d v="1899-12-30T00:00:00"/>
    <d v="2013-10-10T00:00:00"/>
    <n v="18"/>
    <n v="0"/>
    <n v="2"/>
    <n v="2"/>
    <n v="2"/>
    <n v="46"/>
    <x v="1"/>
    <x v="9"/>
  </r>
  <r>
    <n v="472"/>
    <n v="564"/>
    <n v="1981"/>
    <s v="PhD"/>
    <s v="Together"/>
    <n v="56937"/>
    <n v="1"/>
    <d v="1899-12-30T00:00:00"/>
    <d v="2012-08-04T00:00:00"/>
    <n v="81"/>
    <n v="8"/>
    <n v="8"/>
    <n v="8"/>
    <n v="9"/>
    <n v="45"/>
    <x v="1"/>
    <x v="67"/>
  </r>
  <r>
    <n v="473"/>
    <n v="6619"/>
    <n v="1978"/>
    <s v="Graduation"/>
    <s v="Married"/>
    <n v="38415"/>
    <n v="1"/>
    <d v="1899-12-31T00:00:00"/>
    <d v="2013-01-02T00:00:00"/>
    <n v="91"/>
    <n v="1"/>
    <n v="0"/>
    <n v="0"/>
    <n v="3"/>
    <n v="48"/>
    <x v="1"/>
    <x v="1"/>
  </r>
  <r>
    <n v="474"/>
    <n v="9081"/>
    <n v="1988"/>
    <s v="Graduation"/>
    <s v="Single"/>
    <n v="20518"/>
    <n v="1"/>
    <d v="1899-12-30T00:00:00"/>
    <d v="2014-05-18T00:00:00"/>
    <n v="58"/>
    <n v="1"/>
    <n v="1"/>
    <n v="1"/>
    <n v="2"/>
    <n v="38"/>
    <x v="1"/>
    <x v="1"/>
  </r>
  <r>
    <n v="475"/>
    <n v="178"/>
    <n v="1956"/>
    <s v="Graduation"/>
    <s v="Married"/>
    <n v="62503"/>
    <n v="0"/>
    <d v="1899-12-31T00:00:00"/>
    <d v="2013-02-18T00:00:00"/>
    <n v="40"/>
    <n v="0"/>
    <n v="75"/>
    <n v="75"/>
    <n v="11"/>
    <n v="70"/>
    <x v="0"/>
    <x v="117"/>
  </r>
  <r>
    <n v="476"/>
    <n v="916"/>
    <n v="1972"/>
    <s v="PhD"/>
    <s v="Single"/>
    <n v="41644"/>
    <n v="1"/>
    <d v="1899-12-31T00:00:00"/>
    <d v="2014-05-09T00:00:00"/>
    <n v="67"/>
    <n v="3"/>
    <n v="0"/>
    <n v="0"/>
    <n v="3"/>
    <n v="54"/>
    <x v="0"/>
    <x v="1"/>
  </r>
  <r>
    <n v="477"/>
    <n v="5512"/>
    <n v="1977"/>
    <s v="Master"/>
    <s v="Married"/>
    <n v="55842"/>
    <n v="0"/>
    <d v="1899-12-31T00:00:00"/>
    <d v="2014-05-23T00:00:00"/>
    <n v="19"/>
    <n v="0"/>
    <n v="4"/>
    <n v="4"/>
    <n v="8"/>
    <n v="49"/>
    <x v="1"/>
    <x v="51"/>
  </r>
  <r>
    <n v="478"/>
    <n v="8970"/>
    <n v="1972"/>
    <s v="PhD"/>
    <s v="Married"/>
    <n v="62010"/>
    <n v="0"/>
    <d v="1899-12-31T00:00:00"/>
    <d v="2012-10-23T00:00:00"/>
    <n v="93"/>
    <n v="22"/>
    <n v="0"/>
    <n v="0"/>
    <n v="7"/>
    <n v="54"/>
    <x v="0"/>
    <x v="3"/>
  </r>
  <r>
    <n v="479"/>
    <n v="10581"/>
    <n v="1977"/>
    <s v="Graduation"/>
    <s v="Married"/>
    <n v="41124"/>
    <n v="1"/>
    <d v="1899-12-30T00:00:00"/>
    <d v="2012-10-31T00:00:00"/>
    <n v="41"/>
    <n v="7"/>
    <n v="0"/>
    <n v="0"/>
    <n v="4"/>
    <n v="49"/>
    <x v="1"/>
    <x v="9"/>
  </r>
  <r>
    <n v="480"/>
    <n v="5300"/>
    <n v="1973"/>
    <s v="Master"/>
    <s v="Married"/>
    <n v="38961"/>
    <n v="1"/>
    <d v="1899-12-30T00:00:00"/>
    <d v="2013-12-30T00:00:00"/>
    <n v="60"/>
    <n v="7"/>
    <n v="1"/>
    <n v="1"/>
    <n v="2"/>
    <n v="53"/>
    <x v="0"/>
    <x v="1"/>
  </r>
  <r>
    <n v="481"/>
    <n v="5154"/>
    <n v="1972"/>
    <s v="Master"/>
    <s v="Divorced"/>
    <n v="37760"/>
    <n v="1"/>
    <d v="1899-12-30T00:00:00"/>
    <d v="2013-08-11T00:00:00"/>
    <n v="54"/>
    <n v="3"/>
    <n v="10"/>
    <n v="10"/>
    <n v="3"/>
    <n v="54"/>
    <x v="0"/>
    <x v="104"/>
  </r>
  <r>
    <n v="482"/>
    <n v="8346"/>
    <n v="1974"/>
    <s v="Graduation"/>
    <s v="Single"/>
    <n v="32233"/>
    <n v="1"/>
    <d v="1899-12-30T00:00:00"/>
    <d v="2012-08-19T00:00:00"/>
    <n v="26"/>
    <n v="15"/>
    <n v="11"/>
    <n v="11"/>
    <n v="2"/>
    <n v="52"/>
    <x v="0"/>
    <x v="104"/>
  </r>
  <r>
    <n v="483"/>
    <n v="1676"/>
    <n v="1975"/>
    <s v="Graduation"/>
    <s v="Married"/>
    <n v="43057"/>
    <n v="0"/>
    <d v="1899-12-31T00:00:00"/>
    <d v="2013-10-30T00:00:00"/>
    <n v="30"/>
    <n v="2"/>
    <n v="2"/>
    <n v="2"/>
    <n v="5"/>
    <n v="51"/>
    <x v="0"/>
    <x v="3"/>
  </r>
  <r>
    <n v="484"/>
    <n v="9286"/>
    <n v="1960"/>
    <s v="Master"/>
    <s v="Together"/>
    <n v="83151"/>
    <n v="0"/>
    <d v="1899-12-30T00:00:00"/>
    <d v="2012-10-10T00:00:00"/>
    <n v="93"/>
    <n v="28"/>
    <n v="74"/>
    <n v="74"/>
    <n v="4"/>
    <n v="66"/>
    <x v="0"/>
    <x v="47"/>
  </r>
  <r>
    <n v="485"/>
    <n v="2426"/>
    <n v="1964"/>
    <s v="PhD"/>
    <s v="Divorced"/>
    <n v="78825"/>
    <n v="0"/>
    <d v="1899-12-30T00:00:00"/>
    <d v="2012-09-14T00:00:00"/>
    <n v="35"/>
    <n v="74"/>
    <n v="37"/>
    <n v="37"/>
    <n v="13"/>
    <n v="62"/>
    <x v="0"/>
    <x v="32"/>
  </r>
  <r>
    <n v="486"/>
    <n v="5172"/>
    <n v="1976"/>
    <s v="Master"/>
    <s v="Together"/>
    <n v="65104"/>
    <n v="0"/>
    <d v="1899-12-31T00:00:00"/>
    <d v="2013-11-14T00:00:00"/>
    <n v="4"/>
    <n v="0"/>
    <n v="20"/>
    <n v="20"/>
    <n v="7"/>
    <n v="50"/>
    <x v="1"/>
    <x v="16"/>
  </r>
  <r>
    <n v="487"/>
    <n v="5562"/>
    <n v="1974"/>
    <s v="Graduation"/>
    <s v="Married"/>
    <n v="60093"/>
    <n v="0"/>
    <d v="1899-12-31T00:00:00"/>
    <d v="2013-06-26T00:00:00"/>
    <n v="92"/>
    <n v="12"/>
    <n v="6"/>
    <n v="6"/>
    <n v="10"/>
    <n v="52"/>
    <x v="0"/>
    <x v="13"/>
  </r>
  <r>
    <n v="488"/>
    <n v="3436"/>
    <n v="1969"/>
    <s v="Graduation"/>
    <s v="Married"/>
    <n v="14045"/>
    <n v="1"/>
    <d v="1899-12-30T00:00:00"/>
    <d v="2014-01-26T00:00:00"/>
    <n v="24"/>
    <n v="0"/>
    <n v="1"/>
    <n v="1"/>
    <n v="3"/>
    <n v="57"/>
    <x v="0"/>
    <x v="9"/>
  </r>
  <r>
    <n v="489"/>
    <n v="3921"/>
    <n v="1952"/>
    <s v="2n Cycle"/>
    <s v="Widow"/>
    <n v="28457"/>
    <n v="0"/>
    <d v="1899-12-30T00:00:00"/>
    <d v="2012-10-28T00:00:00"/>
    <n v="96"/>
    <n v="1"/>
    <n v="29"/>
    <n v="29"/>
    <n v="4"/>
    <n v="74"/>
    <x v="0"/>
    <x v="4"/>
  </r>
  <r>
    <n v="490"/>
    <n v="3403"/>
    <n v="1958"/>
    <s v="PhD"/>
    <s v="Together"/>
    <n v="78952"/>
    <n v="0"/>
    <d v="1899-12-31T00:00:00"/>
    <d v="2012-09-24T00:00:00"/>
    <n v="11"/>
    <n v="19"/>
    <n v="76"/>
    <n v="76"/>
    <n v="12"/>
    <n v="68"/>
    <x v="0"/>
    <x v="118"/>
  </r>
  <r>
    <n v="491"/>
    <n v="22"/>
    <n v="1976"/>
    <s v="Graduation"/>
    <s v="Divorced"/>
    <n v="46310"/>
    <n v="1"/>
    <d v="1899-12-30T00:00:00"/>
    <d v="2012-12-03T00:00:00"/>
    <n v="99"/>
    <n v="2"/>
    <n v="5"/>
    <n v="5"/>
    <n v="5"/>
    <n v="50"/>
    <x v="1"/>
    <x v="11"/>
  </r>
  <r>
    <n v="492"/>
    <n v="10965"/>
    <n v="1955"/>
    <s v="Graduation"/>
    <s v="Together"/>
    <n v="76005"/>
    <n v="0"/>
    <d v="1899-12-30T00:00:00"/>
    <d v="2013-02-22T00:00:00"/>
    <n v="72"/>
    <n v="20"/>
    <n v="50"/>
    <n v="50"/>
    <n v="13"/>
    <n v="71"/>
    <x v="0"/>
    <x v="102"/>
  </r>
  <r>
    <n v="493"/>
    <n v="9426"/>
    <n v="1964"/>
    <s v="Master"/>
    <s v="Single"/>
    <n v="58308"/>
    <n v="0"/>
    <d v="1899-12-31T00:00:00"/>
    <d v="2013-01-12T00:00:00"/>
    <n v="77"/>
    <n v="0"/>
    <n v="0"/>
    <n v="0"/>
    <n v="3"/>
    <n v="62"/>
    <x v="0"/>
    <x v="1"/>
  </r>
  <r>
    <n v="494"/>
    <n v="6605"/>
    <n v="1944"/>
    <s v="PhD"/>
    <s v="Divorced"/>
    <n v="55614"/>
    <n v="0"/>
    <d v="1899-12-30T00:00:00"/>
    <d v="2013-11-27T00:00:00"/>
    <n v="85"/>
    <n v="13"/>
    <n v="0"/>
    <n v="0"/>
    <n v="6"/>
    <n v="82"/>
    <x v="0"/>
    <x v="29"/>
  </r>
  <r>
    <n v="495"/>
    <n v="3136"/>
    <n v="1962"/>
    <s v="Master"/>
    <s v="Divorced"/>
    <n v="59432"/>
    <n v="0"/>
    <d v="1899-12-31T00:00:00"/>
    <d v="2013-04-13T00:00:00"/>
    <n v="88"/>
    <n v="25"/>
    <n v="19"/>
    <n v="19"/>
    <n v="11"/>
    <n v="64"/>
    <x v="0"/>
    <x v="39"/>
  </r>
  <r>
    <n v="496"/>
    <n v="8737"/>
    <n v="1978"/>
    <s v="Graduation"/>
    <s v="Divorced"/>
    <n v="55563"/>
    <n v="0"/>
    <d v="1899-12-31T00:00:00"/>
    <d v="2014-04-05T00:00:00"/>
    <n v="22"/>
    <n v="1"/>
    <n v="0"/>
    <n v="0"/>
    <n v="3"/>
    <n v="48"/>
    <x v="1"/>
    <x v="1"/>
  </r>
  <r>
    <n v="497"/>
    <n v="11088"/>
    <n v="1971"/>
    <s v="PhD"/>
    <s v="Together"/>
    <n v="78642"/>
    <n v="0"/>
    <d v="1899-12-31T00:00:00"/>
    <d v="2013-04-21T00:00:00"/>
    <n v="83"/>
    <n v="0"/>
    <n v="35"/>
    <n v="35"/>
    <n v="4"/>
    <n v="55"/>
    <x v="0"/>
    <x v="30"/>
  </r>
  <r>
    <n v="498"/>
    <n v="716"/>
    <n v="1949"/>
    <s v="PhD"/>
    <s v="Together"/>
    <n v="67911"/>
    <n v="0"/>
    <d v="1899-12-31T00:00:00"/>
    <d v="2014-05-22T00:00:00"/>
    <n v="63"/>
    <n v="0"/>
    <n v="28"/>
    <n v="28"/>
    <n v="11"/>
    <n v="77"/>
    <x v="0"/>
    <x v="30"/>
  </r>
  <r>
    <n v="499"/>
    <n v="466"/>
    <n v="1944"/>
    <s v="Graduation"/>
    <s v="Married"/>
    <n v="65275"/>
    <n v="0"/>
    <d v="1899-12-30T00:00:00"/>
    <d v="2013-04-03T00:00:00"/>
    <n v="9"/>
    <n v="14"/>
    <n v="14"/>
    <n v="14"/>
    <n v="13"/>
    <n v="82"/>
    <x v="0"/>
    <x v="16"/>
  </r>
  <r>
    <n v="500"/>
    <n v="9135"/>
    <n v="1950"/>
    <s v="Graduation"/>
    <s v="Together"/>
    <n v="27203"/>
    <n v="1"/>
    <d v="1899-12-31T00:00:00"/>
    <d v="2012-08-06T00:00:00"/>
    <n v="92"/>
    <n v="2"/>
    <n v="0"/>
    <n v="0"/>
    <n v="2"/>
    <n v="76"/>
    <x v="0"/>
    <x v="42"/>
  </r>
  <r>
    <n v="501"/>
    <n v="10623"/>
    <n v="1961"/>
    <s v="Master"/>
    <s v="Together"/>
    <n v="48330"/>
    <n v="0"/>
    <d v="1899-12-31T00:00:00"/>
    <d v="2013-11-15T00:00:00"/>
    <n v="2"/>
    <n v="0"/>
    <n v="0"/>
    <n v="0"/>
    <n v="3"/>
    <n v="65"/>
    <x v="0"/>
    <x v="1"/>
  </r>
  <r>
    <n v="502"/>
    <n v="8151"/>
    <n v="1990"/>
    <s v="Basic"/>
    <s v="Married"/>
    <n v="24279"/>
    <n v="0"/>
    <d v="1899-12-30T00:00:00"/>
    <d v="2012-12-29T00:00:00"/>
    <n v="6"/>
    <n v="36"/>
    <n v="62"/>
    <n v="62"/>
    <n v="3"/>
    <n v="36"/>
    <x v="1"/>
    <x v="119"/>
  </r>
  <r>
    <n v="503"/>
    <n v="5140"/>
    <n v="1985"/>
    <s v="PhD"/>
    <s v="Married"/>
    <n v="64355"/>
    <n v="1"/>
    <d v="1899-12-30T00:00:00"/>
    <d v="2012-08-24T00:00:00"/>
    <n v="66"/>
    <n v="0"/>
    <n v="38"/>
    <n v="38"/>
    <n v="12"/>
    <n v="41"/>
    <x v="1"/>
    <x v="32"/>
  </r>
  <r>
    <n v="504"/>
    <n v="10160"/>
    <n v="1956"/>
    <s v="Master"/>
    <s v="Together"/>
    <n v="50943"/>
    <n v="0"/>
    <d v="1899-12-31T00:00:00"/>
    <d v="2013-06-21T00:00:00"/>
    <n v="49"/>
    <n v="0"/>
    <n v="0"/>
    <n v="0"/>
    <n v="3"/>
    <n v="70"/>
    <x v="0"/>
    <x v="1"/>
  </r>
  <r>
    <n v="505"/>
    <n v="4945"/>
    <n v="1953"/>
    <s v="Graduation"/>
    <s v="Widow"/>
    <n v="53653"/>
    <n v="0"/>
    <d v="1899-12-30T00:00:00"/>
    <d v="2012-11-07T00:00:00"/>
    <n v="29"/>
    <n v="10"/>
    <n v="10"/>
    <n v="10"/>
    <n v="12"/>
    <n v="73"/>
    <x v="0"/>
    <x v="62"/>
  </r>
  <r>
    <n v="506"/>
    <n v="10584"/>
    <n v="1976"/>
    <s v="Graduation"/>
    <s v="Married"/>
    <n v="65665"/>
    <n v="0"/>
    <d v="1899-12-31T00:00:00"/>
    <d v="2013-12-02T00:00:00"/>
    <n v="77"/>
    <n v="162"/>
    <n v="36"/>
    <n v="36"/>
    <n v="8"/>
    <n v="50"/>
    <x v="1"/>
    <x v="109"/>
  </r>
  <r>
    <n v="507"/>
    <n v="6071"/>
    <n v="1989"/>
    <s v="Graduation"/>
    <s v="Single"/>
    <n v="81217"/>
    <n v="0"/>
    <d v="1899-12-30T00:00:00"/>
    <d v="2013-07-19T00:00:00"/>
    <n v="77"/>
    <n v="70"/>
    <n v="40"/>
    <n v="40"/>
    <n v="11"/>
    <n v="37"/>
    <x v="1"/>
    <x v="106"/>
  </r>
  <r>
    <n v="508"/>
    <n v="3386"/>
    <n v="1992"/>
    <s v="Graduation"/>
    <s v="Married"/>
    <n v="34935"/>
    <n v="0"/>
    <d v="1899-12-30T00:00:00"/>
    <d v="2013-06-21T00:00:00"/>
    <n v="71"/>
    <n v="4"/>
    <n v="10"/>
    <n v="10"/>
    <n v="4"/>
    <n v="34"/>
    <x v="1"/>
    <x v="31"/>
  </r>
  <r>
    <n v="509"/>
    <n v="8939"/>
    <n v="1959"/>
    <s v="Graduation"/>
    <s v="Divorced"/>
    <n v="61250"/>
    <n v="0"/>
    <d v="1899-12-31T00:00:00"/>
    <d v="2012-12-16T00:00:00"/>
    <n v="49"/>
    <n v="138"/>
    <n v="26"/>
    <n v="26"/>
    <n v="12"/>
    <n v="67"/>
    <x v="0"/>
    <x v="73"/>
  </r>
  <r>
    <n v="510"/>
    <n v="9925"/>
    <n v="1981"/>
    <s v="PhD"/>
    <s v="Together"/>
    <n v="39665"/>
    <n v="1"/>
    <d v="1899-12-30T00:00:00"/>
    <d v="2013-05-25T00:00:00"/>
    <n v="97"/>
    <n v="1"/>
    <n v="1"/>
    <n v="1"/>
    <n v="3"/>
    <n v="45"/>
    <x v="1"/>
    <x v="9"/>
  </r>
  <r>
    <n v="511"/>
    <n v="4320"/>
    <n v="1979"/>
    <s v="Graduation"/>
    <s v="Single"/>
    <n v="60152"/>
    <n v="0"/>
    <d v="1899-12-31T00:00:00"/>
    <d v="2013-03-28T00:00:00"/>
    <n v="6"/>
    <n v="83"/>
    <n v="58"/>
    <n v="58"/>
    <n v="12"/>
    <n v="47"/>
    <x v="1"/>
    <x v="120"/>
  </r>
  <r>
    <n v="512"/>
    <n v="5389"/>
    <n v="1964"/>
    <s v="Graduation"/>
    <s v="Married"/>
    <n v="48920"/>
    <n v="0"/>
    <d v="1900-01-01T00:00:00"/>
    <d v="2013-10-20T00:00:00"/>
    <n v="93"/>
    <n v="17"/>
    <n v="10"/>
    <n v="10"/>
    <n v="5"/>
    <n v="62"/>
    <x v="0"/>
    <x v="21"/>
  </r>
  <r>
    <n v="513"/>
    <n v="6036"/>
    <n v="1959"/>
    <s v="Master"/>
    <s v="Together"/>
    <n v="89120"/>
    <n v="0"/>
    <d v="1899-12-30T00:00:00"/>
    <d v="2014-03-17T00:00:00"/>
    <n v="78"/>
    <n v="92"/>
    <n v="129"/>
    <n v="129"/>
    <n v="7"/>
    <n v="67"/>
    <x v="0"/>
    <x v="100"/>
  </r>
  <r>
    <n v="514"/>
    <n v="182"/>
    <n v="1946"/>
    <s v="PhD"/>
    <s v="Together"/>
    <n v="44124"/>
    <n v="0"/>
    <d v="1899-12-31T00:00:00"/>
    <d v="2013-05-11T00:00:00"/>
    <n v="62"/>
    <n v="0"/>
    <n v="6"/>
    <n v="6"/>
    <n v="5"/>
    <n v="80"/>
    <x v="0"/>
    <x v="20"/>
  </r>
  <r>
    <n v="515"/>
    <n v="203"/>
    <n v="1975"/>
    <s v="Master"/>
    <s v="Single"/>
    <n v="81169"/>
    <n v="0"/>
    <d v="1899-12-30T00:00:00"/>
    <d v="2013-04-14T00:00:00"/>
    <n v="47"/>
    <n v="20"/>
    <n v="61"/>
    <n v="61"/>
    <n v="9"/>
    <n v="51"/>
    <x v="0"/>
    <x v="120"/>
  </r>
  <r>
    <n v="516"/>
    <n v="11025"/>
    <n v="1961"/>
    <s v="Graduation"/>
    <s v="Married"/>
    <n v="36443"/>
    <n v="1"/>
    <d v="1899-12-31T00:00:00"/>
    <d v="2013-02-03T00:00:00"/>
    <n v="9"/>
    <n v="0"/>
    <n v="3"/>
    <n v="3"/>
    <n v="3"/>
    <n v="65"/>
    <x v="0"/>
    <x v="29"/>
  </r>
  <r>
    <n v="517"/>
    <n v="10203"/>
    <n v="1990"/>
    <s v="Graduation"/>
    <s v="Single"/>
    <n v="26095"/>
    <n v="1"/>
    <d v="1899-12-30T00:00:00"/>
    <d v="2013-06-30T00:00:00"/>
    <n v="77"/>
    <n v="7"/>
    <n v="1"/>
    <n v="1"/>
    <n v="3"/>
    <n v="36"/>
    <x v="1"/>
    <x v="9"/>
  </r>
  <r>
    <n v="518"/>
    <n v="4607"/>
    <n v="1959"/>
    <s v="Graduation"/>
    <s v="Together"/>
    <n v="71367"/>
    <n v="0"/>
    <d v="1899-12-30T00:00:00"/>
    <d v="2013-08-23T00:00:00"/>
    <n v="24"/>
    <n v="23"/>
    <n v="21"/>
    <n v="21"/>
    <n v="7"/>
    <n v="67"/>
    <x v="0"/>
    <x v="24"/>
  </r>
  <r>
    <n v="519"/>
    <n v="3711"/>
    <n v="1944"/>
    <s v="Master"/>
    <s v="Married"/>
    <n v="80184"/>
    <n v="0"/>
    <d v="1899-12-30T00:00:00"/>
    <d v="2014-03-01T00:00:00"/>
    <n v="19"/>
    <n v="134"/>
    <n v="38"/>
    <n v="38"/>
    <n v="10"/>
    <n v="82"/>
    <x v="0"/>
    <x v="121"/>
  </r>
  <r>
    <n v="520"/>
    <n v="3696"/>
    <n v="1965"/>
    <s v="Graduation"/>
    <s v="Divorced"/>
    <n v="30630"/>
    <n v="1"/>
    <d v="1899-12-31T00:00:00"/>
    <d v="2014-01-27T00:00:00"/>
    <n v="67"/>
    <n v="1"/>
    <n v="0"/>
    <n v="0"/>
    <n v="3"/>
    <n v="61"/>
    <x v="0"/>
    <x v="1"/>
  </r>
  <r>
    <n v="521"/>
    <n v="2532"/>
    <n v="1987"/>
    <s v="Master"/>
    <s v="Single"/>
    <n v="73454"/>
    <n v="0"/>
    <d v="1899-12-30T00:00:00"/>
    <d v="2014-03-01T00:00:00"/>
    <n v="95"/>
    <n v="73"/>
    <n v="14"/>
    <n v="14"/>
    <n v="6"/>
    <n v="39"/>
    <x v="1"/>
    <x v="26"/>
  </r>
  <r>
    <n v="522"/>
    <n v="9214"/>
    <n v="1991"/>
    <s v="Graduation"/>
    <s v="Married"/>
    <n v="42691"/>
    <n v="0"/>
    <d v="1899-12-30T00:00:00"/>
    <d v="2013-08-16T00:00:00"/>
    <n v="48"/>
    <n v="2"/>
    <n v="17"/>
    <n v="17"/>
    <n v="6"/>
    <n v="35"/>
    <x v="1"/>
    <x v="45"/>
  </r>
  <r>
    <n v="523"/>
    <n v="4943"/>
    <n v="1953"/>
    <s v="Graduation"/>
    <s v="Married"/>
    <n v="70503"/>
    <n v="0"/>
    <d v="1899-12-30T00:00:00"/>
    <d v="2012-09-30T00:00:00"/>
    <n v="73"/>
    <n v="33"/>
    <n v="33"/>
    <n v="33"/>
    <n v="9"/>
    <n v="73"/>
    <x v="0"/>
    <x v="66"/>
  </r>
  <r>
    <n v="524"/>
    <n v="35"/>
    <n v="1987"/>
    <s v="Graduation"/>
    <s v="Married"/>
    <n v="25545"/>
    <n v="1"/>
    <d v="1899-12-30T00:00:00"/>
    <d v="2012-09-08T00:00:00"/>
    <n v="35"/>
    <n v="1"/>
    <n v="12"/>
    <n v="12"/>
    <n v="3"/>
    <n v="39"/>
    <x v="1"/>
    <x v="21"/>
  </r>
  <r>
    <n v="525"/>
    <n v="2258"/>
    <n v="1986"/>
    <s v="Graduation"/>
    <s v="Married"/>
    <n v="32880"/>
    <n v="1"/>
    <d v="1899-12-30T00:00:00"/>
    <d v="2012-12-04T00:00:00"/>
    <n v="76"/>
    <n v="4"/>
    <n v="6"/>
    <n v="6"/>
    <n v="3"/>
    <n v="40"/>
    <x v="1"/>
    <x v="18"/>
  </r>
  <r>
    <n v="526"/>
    <n v="4322"/>
    <n v="1958"/>
    <s v="PhD"/>
    <s v="Together"/>
    <n v="77863"/>
    <n v="0"/>
    <d v="1899-12-30T00:00:00"/>
    <d v="2013-11-27T00:00:00"/>
    <n v="20"/>
    <n v="38"/>
    <n v="25"/>
    <n v="25"/>
    <n v="10"/>
    <n v="68"/>
    <x v="0"/>
    <x v="61"/>
  </r>
  <r>
    <n v="527"/>
    <n v="713"/>
    <n v="1977"/>
    <s v="Master"/>
    <s v="Married"/>
    <n v="50353"/>
    <n v="0"/>
    <d v="1899-12-30T00:00:00"/>
    <d v="2014-06-08T00:00:00"/>
    <n v="72"/>
    <n v="15"/>
    <n v="31"/>
    <n v="31"/>
    <n v="6"/>
    <n v="49"/>
    <x v="1"/>
    <x v="78"/>
  </r>
  <r>
    <n v="528"/>
    <n v="4702"/>
    <n v="1964"/>
    <s v="Graduation"/>
    <s v="Single"/>
    <n v="61839"/>
    <n v="0"/>
    <d v="1899-12-30T00:00:00"/>
    <d v="2012-08-12T00:00:00"/>
    <n v="20"/>
    <n v="155"/>
    <n v="17"/>
    <n v="17"/>
    <n v="4"/>
    <n v="62"/>
    <x v="0"/>
    <x v="81"/>
  </r>
  <r>
    <n v="529"/>
    <n v="3281"/>
    <n v="1960"/>
    <s v="PhD"/>
    <s v="Married"/>
    <n v="49154"/>
    <n v="1"/>
    <d v="1899-12-31T00:00:00"/>
    <d v="2013-11-03T00:00:00"/>
    <n v="69"/>
    <n v="10"/>
    <n v="27"/>
    <n v="27"/>
    <n v="8"/>
    <n v="66"/>
    <x v="0"/>
    <x v="61"/>
  </r>
  <r>
    <n v="530"/>
    <n v="702"/>
    <n v="1975"/>
    <s v="2n Cycle"/>
    <s v="Widow"/>
    <n v="47682"/>
    <n v="0"/>
    <d v="1899-12-31T00:00:00"/>
    <d v="2013-02-15T00:00:00"/>
    <n v="80"/>
    <n v="61"/>
    <n v="57"/>
    <n v="57"/>
    <n v="8"/>
    <n v="51"/>
    <x v="0"/>
    <x v="119"/>
  </r>
  <r>
    <n v="531"/>
    <n v="2004"/>
    <n v="1969"/>
    <s v="Graduation"/>
    <s v="Single"/>
    <n v="72679"/>
    <n v="0"/>
    <d v="1899-12-31T00:00:00"/>
    <d v="2013-09-18T00:00:00"/>
    <n v="65"/>
    <n v="54"/>
    <n v="54"/>
    <n v="54"/>
    <n v="5"/>
    <n v="57"/>
    <x v="0"/>
    <x v="79"/>
  </r>
  <r>
    <n v="532"/>
    <n v="4769"/>
    <n v="1977"/>
    <s v="Master"/>
    <s v="Together"/>
    <n v="57954"/>
    <n v="1"/>
    <d v="1899-12-31T00:00:00"/>
    <d v="2014-06-18T00:00:00"/>
    <n v="52"/>
    <n v="4"/>
    <n v="0"/>
    <n v="0"/>
    <n v="6"/>
    <n v="49"/>
    <x v="1"/>
    <x v="29"/>
  </r>
  <r>
    <n v="533"/>
    <n v="4437"/>
    <n v="1962"/>
    <s v="Graduation"/>
    <s v="Married"/>
    <n v="65316"/>
    <n v="1"/>
    <d v="1899-12-31T00:00:00"/>
    <d v="2013-04-24T00:00:00"/>
    <n v="65"/>
    <n v="6"/>
    <n v="9"/>
    <n v="9"/>
    <n v="5"/>
    <n v="64"/>
    <x v="0"/>
    <x v="31"/>
  </r>
  <r>
    <n v="534"/>
    <n v="8724"/>
    <n v="1982"/>
    <s v="Graduation"/>
    <s v="Single"/>
    <n v="28567"/>
    <n v="1"/>
    <d v="1899-12-30T00:00:00"/>
    <d v="2013-06-17T00:00:00"/>
    <n v="57"/>
    <n v="3"/>
    <n v="2"/>
    <n v="2"/>
    <n v="3"/>
    <n v="44"/>
    <x v="1"/>
    <x v="7"/>
  </r>
  <r>
    <n v="535"/>
    <n v="10741"/>
    <n v="1951"/>
    <s v="Master"/>
    <s v="Together"/>
    <n v="47352"/>
    <n v="0"/>
    <d v="1899-12-31T00:00:00"/>
    <d v="2013-04-11T00:00:00"/>
    <n v="70"/>
    <n v="12"/>
    <n v="0"/>
    <n v="0"/>
    <n v="5"/>
    <n v="75"/>
    <x v="0"/>
    <x v="7"/>
  </r>
  <r>
    <n v="536"/>
    <n v="1991"/>
    <n v="1967"/>
    <s v="Graduation"/>
    <s v="Together"/>
    <n v="44931"/>
    <n v="0"/>
    <d v="1899-12-31T00:00:00"/>
    <d v="2014-01-18T00:00:00"/>
    <n v="0"/>
    <n v="0"/>
    <n v="0"/>
    <n v="0"/>
    <n v="3"/>
    <n v="59"/>
    <x v="0"/>
    <x v="1"/>
  </r>
  <r>
    <n v="537"/>
    <n v="6931"/>
    <n v="1967"/>
    <s v="Graduation"/>
    <s v="Divorced"/>
    <n v="76982"/>
    <n v="0"/>
    <d v="1899-12-30T00:00:00"/>
    <d v="2014-02-15T00:00:00"/>
    <n v="19"/>
    <n v="151"/>
    <n v="60"/>
    <n v="60"/>
    <n v="4"/>
    <n v="59"/>
    <x v="0"/>
    <x v="122"/>
  </r>
  <r>
    <n v="538"/>
    <n v="11096"/>
    <n v="1952"/>
    <s v="2n Cycle"/>
    <s v="Together"/>
    <n v="57247"/>
    <n v="0"/>
    <d v="1899-12-31T00:00:00"/>
    <d v="2013-08-08T00:00:00"/>
    <n v="50"/>
    <n v="4"/>
    <n v="54"/>
    <n v="54"/>
    <n v="7"/>
    <n v="74"/>
    <x v="0"/>
    <x v="123"/>
  </r>
  <r>
    <n v="539"/>
    <n v="304"/>
    <n v="1981"/>
    <s v="Master"/>
    <s v="Single"/>
    <n v="22944"/>
    <n v="1"/>
    <d v="1899-12-30T00:00:00"/>
    <d v="2013-12-23T00:00:00"/>
    <n v="67"/>
    <n v="3"/>
    <n v="5"/>
    <n v="5"/>
    <n v="3"/>
    <n v="45"/>
    <x v="1"/>
    <x v="41"/>
  </r>
  <r>
    <n v="540"/>
    <n v="3665"/>
    <n v="1977"/>
    <s v="2n Cycle"/>
    <s v="Together"/>
    <n v="25315"/>
    <n v="1"/>
    <d v="1899-12-30T00:00:00"/>
    <d v="2013-11-07T00:00:00"/>
    <n v="46"/>
    <n v="9"/>
    <n v="3"/>
    <n v="3"/>
    <n v="3"/>
    <n v="49"/>
    <x v="1"/>
    <x v="29"/>
  </r>
  <r>
    <n v="541"/>
    <n v="10591"/>
    <n v="1969"/>
    <s v="Graduation"/>
    <s v="Widow"/>
    <n v="43638"/>
    <n v="0"/>
    <d v="1899-12-31T00:00:00"/>
    <d v="2012-08-06T00:00:00"/>
    <n v="37"/>
    <n v="10"/>
    <n v="19"/>
    <n v="19"/>
    <n v="4"/>
    <n v="57"/>
    <x v="0"/>
    <x v="45"/>
  </r>
  <r>
    <n v="542"/>
    <n v="5036"/>
    <n v="1984"/>
    <s v="PhD"/>
    <s v="Single"/>
    <n v="42710"/>
    <n v="1"/>
    <d v="1899-12-30T00:00:00"/>
    <d v="2012-11-28T00:00:00"/>
    <n v="38"/>
    <n v="3"/>
    <n v="3"/>
    <n v="3"/>
    <n v="3"/>
    <n v="42"/>
    <x v="1"/>
    <x v="29"/>
  </r>
  <r>
    <n v="543"/>
    <n v="5547"/>
    <n v="1982"/>
    <s v="PhD"/>
    <s v="Married"/>
    <n v="84169"/>
    <n v="0"/>
    <d v="1899-12-30T00:00:00"/>
    <d v="2013-08-07T00:00:00"/>
    <n v="9"/>
    <n v="19"/>
    <n v="19"/>
    <n v="19"/>
    <n v="6"/>
    <n v="44"/>
    <x v="1"/>
    <x v="15"/>
  </r>
  <r>
    <n v="544"/>
    <n v="7822"/>
    <n v="1976"/>
    <s v="Graduation"/>
    <s v="Together"/>
    <n v="54058"/>
    <n v="0"/>
    <d v="1899-12-31T00:00:00"/>
    <d v="2013-06-04T00:00:00"/>
    <n v="56"/>
    <n v="18"/>
    <n v="108"/>
    <n v="108"/>
    <n v="8"/>
    <n v="50"/>
    <x v="1"/>
    <x v="108"/>
  </r>
  <r>
    <n v="545"/>
    <n v="8541"/>
    <n v="1990"/>
    <s v="2n Cycle"/>
    <s v="Married"/>
    <n v="24683"/>
    <n v="1"/>
    <d v="1899-12-30T00:00:00"/>
    <d v="2014-03-08T00:00:00"/>
    <n v="98"/>
    <n v="4"/>
    <n v="7"/>
    <n v="7"/>
    <n v="4"/>
    <n v="36"/>
    <x v="1"/>
    <x v="20"/>
  </r>
  <r>
    <n v="546"/>
    <n v="10955"/>
    <n v="1964"/>
    <s v="Graduation"/>
    <s v="Widow"/>
    <n v="85620"/>
    <n v="0"/>
    <d v="1899-12-30T00:00:00"/>
    <d v="2014-01-07T00:00:00"/>
    <n v="68"/>
    <n v="46"/>
    <n v="107"/>
    <n v="107"/>
    <n v="4"/>
    <n v="62"/>
    <x v="0"/>
    <x v="77"/>
  </r>
  <r>
    <n v="547"/>
    <n v="4368"/>
    <n v="1980"/>
    <s v="Graduation"/>
    <s v="Married"/>
    <n v="47850"/>
    <n v="1"/>
    <d v="1899-12-30T00:00:00"/>
    <d v="2013-12-03T00:00:00"/>
    <n v="72"/>
    <n v="7"/>
    <n v="12"/>
    <n v="12"/>
    <n v="4"/>
    <n v="46"/>
    <x v="1"/>
    <x v="13"/>
  </r>
  <r>
    <n v="548"/>
    <n v="9671"/>
    <n v="1968"/>
    <s v="Graduation"/>
    <s v="Married"/>
    <n v="19514"/>
    <n v="1"/>
    <d v="1899-12-31T00:00:00"/>
    <d v="2014-01-26T00:00:00"/>
    <n v="47"/>
    <n v="3"/>
    <n v="1"/>
    <n v="1"/>
    <n v="2"/>
    <n v="58"/>
    <x v="0"/>
    <x v="1"/>
  </r>
  <r>
    <n v="549"/>
    <n v="2256"/>
    <n v="1973"/>
    <s v="Master"/>
    <s v="Married"/>
    <n v="27159"/>
    <n v="1"/>
    <d v="1899-12-31T00:00:00"/>
    <d v="2014-03-29T00:00:00"/>
    <n v="33"/>
    <n v="0"/>
    <n v="0"/>
    <n v="0"/>
    <n v="3"/>
    <n v="53"/>
    <x v="0"/>
    <x v="1"/>
  </r>
  <r>
    <n v="550"/>
    <n v="4279"/>
    <n v="1963"/>
    <s v="2n Cycle"/>
    <s v="Single"/>
    <n v="39548"/>
    <n v="1"/>
    <d v="1899-12-31T00:00:00"/>
    <d v="2014-03-31T00:00:00"/>
    <n v="87"/>
    <n v="4"/>
    <n v="4"/>
    <n v="4"/>
    <n v="3"/>
    <n v="63"/>
    <x v="0"/>
    <x v="3"/>
  </r>
  <r>
    <n v="551"/>
    <n v="5371"/>
    <n v="1989"/>
    <s v="Graduation"/>
    <s v="Single"/>
    <n v="21474"/>
    <n v="1"/>
    <d v="1899-12-30T00:00:00"/>
    <d v="2014-04-08T00:00:00"/>
    <n v="0"/>
    <n v="16"/>
    <n v="0"/>
    <n v="0"/>
    <n v="2"/>
    <n v="37"/>
    <x v="1"/>
    <x v="42"/>
  </r>
  <r>
    <n v="552"/>
    <n v="9240"/>
    <n v="1971"/>
    <s v="PhD"/>
    <s v="Single"/>
    <n v="60504"/>
    <n v="0"/>
    <d v="1899-12-31T00:00:00"/>
    <d v="2014-02-07T00:00:00"/>
    <n v="73"/>
    <n v="0"/>
    <n v="4"/>
    <n v="4"/>
    <n v="8"/>
    <n v="55"/>
    <x v="0"/>
    <x v="51"/>
  </r>
  <r>
    <n v="553"/>
    <n v="9460"/>
    <n v="1963"/>
    <s v="Graduation"/>
    <s v="Married"/>
    <n v="22419"/>
    <n v="0"/>
    <d v="1899-12-30T00:00:00"/>
    <d v="2013-04-18T00:00:00"/>
    <n v="74"/>
    <n v="3"/>
    <n v="21"/>
    <n v="21"/>
    <n v="2"/>
    <n v="63"/>
    <x v="0"/>
    <x v="45"/>
  </r>
  <r>
    <n v="554"/>
    <n v="9504"/>
    <n v="1949"/>
    <s v="Master"/>
    <s v="Married"/>
    <n v="81698"/>
    <n v="0"/>
    <d v="1899-12-30T00:00:00"/>
    <d v="2013-11-06T00:00:00"/>
    <n v="4"/>
    <n v="28"/>
    <n v="123"/>
    <n v="123"/>
    <n v="13"/>
    <n v="77"/>
    <x v="0"/>
    <x v="100"/>
  </r>
  <r>
    <n v="555"/>
    <n v="8692"/>
    <n v="1952"/>
    <s v="Graduation"/>
    <s v="Together"/>
    <n v="43462"/>
    <n v="1"/>
    <d v="1899-12-31T00:00:00"/>
    <d v="2012-09-12T00:00:00"/>
    <n v="50"/>
    <n v="17"/>
    <n v="6"/>
    <n v="6"/>
    <n v="5"/>
    <n v="74"/>
    <x v="0"/>
    <x v="20"/>
  </r>
  <r>
    <n v="556"/>
    <n v="448"/>
    <n v="1978"/>
    <s v="PhD"/>
    <s v="Single"/>
    <n v="54880"/>
    <n v="1"/>
    <d v="1899-12-30T00:00:00"/>
    <d v="2013-03-01T00:00:00"/>
    <n v="57"/>
    <n v="85"/>
    <n v="45"/>
    <n v="45"/>
    <n v="11"/>
    <n v="48"/>
    <x v="1"/>
    <x v="6"/>
  </r>
  <r>
    <n v="557"/>
    <n v="8314"/>
    <n v="1982"/>
    <s v="Graduation"/>
    <s v="Married"/>
    <n v="79908"/>
    <n v="0"/>
    <d v="1899-12-30T00:00:00"/>
    <d v="2013-04-05T00:00:00"/>
    <n v="30"/>
    <n v="129"/>
    <n v="185"/>
    <n v="185"/>
    <n v="7"/>
    <n v="44"/>
    <x v="1"/>
    <x v="124"/>
  </r>
  <r>
    <n v="558"/>
    <n v="8420"/>
    <n v="1970"/>
    <s v="2n Cycle"/>
    <s v="Married"/>
    <n v="15315"/>
    <n v="0"/>
    <d v="1899-12-30T00:00:00"/>
    <d v="2013-08-03T00:00:00"/>
    <n v="27"/>
    <n v="4"/>
    <n v="8"/>
    <n v="8"/>
    <n v="4"/>
    <n v="56"/>
    <x v="0"/>
    <x v="51"/>
  </r>
  <r>
    <n v="559"/>
    <n v="3174"/>
    <n v="1959"/>
    <s v="Graduation"/>
    <s v="Together"/>
    <n v="87771"/>
    <n v="0"/>
    <d v="1899-12-31T00:00:00"/>
    <d v="2013-05-22T00:00:00"/>
    <n v="61"/>
    <n v="38"/>
    <n v="57"/>
    <n v="57"/>
    <n v="4"/>
    <n v="67"/>
    <x v="0"/>
    <x v="123"/>
  </r>
  <r>
    <n v="560"/>
    <n v="7685"/>
    <n v="1978"/>
    <s v="Graduation"/>
    <s v="Married"/>
    <n v="33039"/>
    <n v="1"/>
    <d v="1899-12-30T00:00:00"/>
    <d v="2013-09-09T00:00:00"/>
    <n v="4"/>
    <n v="8"/>
    <n v="8"/>
    <n v="8"/>
    <n v="4"/>
    <n v="48"/>
    <x v="1"/>
    <x v="51"/>
  </r>
  <r>
    <n v="561"/>
    <n v="3179"/>
    <n v="1980"/>
    <s v="Graduation"/>
    <s v="Single"/>
    <n v="81741"/>
    <n v="0"/>
    <d v="1899-12-30T00:00:00"/>
    <d v="2013-06-16T00:00:00"/>
    <n v="75"/>
    <n v="153"/>
    <n v="134"/>
    <n v="134"/>
    <n v="7"/>
    <n v="46"/>
    <x v="1"/>
    <x v="101"/>
  </r>
  <r>
    <n v="562"/>
    <n v="9780"/>
    <n v="1971"/>
    <s v="Master"/>
    <s v="Together"/>
    <n v="71499"/>
    <n v="0"/>
    <d v="1899-12-31T00:00:00"/>
    <d v="2013-06-25T00:00:00"/>
    <n v="12"/>
    <n v="25"/>
    <n v="0"/>
    <n v="0"/>
    <n v="13"/>
    <n v="55"/>
    <x v="0"/>
    <x v="104"/>
  </r>
  <r>
    <n v="563"/>
    <n v="10681"/>
    <n v="1970"/>
    <s v="2n Cycle"/>
    <s v="Married"/>
    <n v="62466"/>
    <n v="0"/>
    <d v="1899-12-31T00:00:00"/>
    <d v="2014-01-15T00:00:00"/>
    <n v="13"/>
    <n v="129"/>
    <n v="121"/>
    <n v="121"/>
    <n v="12"/>
    <n v="56"/>
    <x v="0"/>
    <x v="36"/>
  </r>
  <r>
    <n v="564"/>
    <n v="10232"/>
    <n v="1963"/>
    <s v="PhD"/>
    <s v="Divorced"/>
    <n v="48799"/>
    <n v="0"/>
    <d v="1899-12-31T00:00:00"/>
    <d v="2013-11-05T00:00:00"/>
    <n v="9"/>
    <n v="18"/>
    <n v="6"/>
    <n v="6"/>
    <n v="7"/>
    <n v="63"/>
    <x v="0"/>
    <x v="104"/>
  </r>
  <r>
    <n v="565"/>
    <n v="4184"/>
    <n v="1950"/>
    <s v="PhD"/>
    <s v="Together"/>
    <n v="52157"/>
    <n v="0"/>
    <d v="1899-12-31T00:00:00"/>
    <d v="2014-06-07T00:00:00"/>
    <n v="48"/>
    <n v="2"/>
    <n v="2"/>
    <n v="2"/>
    <n v="5"/>
    <n v="76"/>
    <x v="0"/>
    <x v="3"/>
  </r>
  <r>
    <n v="566"/>
    <n v="9120"/>
    <n v="1962"/>
    <s v="Graduation"/>
    <s v="Single"/>
    <n v="66565"/>
    <n v="0"/>
    <d v="1899-12-31T00:00:00"/>
    <d v="2012-12-05T00:00:00"/>
    <n v="80"/>
    <n v="10"/>
    <n v="40"/>
    <n v="40"/>
    <n v="9"/>
    <n v="64"/>
    <x v="0"/>
    <x v="125"/>
  </r>
  <r>
    <n v="567"/>
    <n v="891"/>
    <n v="1951"/>
    <s v="Master"/>
    <s v="Together"/>
    <n v="29298"/>
    <n v="1"/>
    <d v="1899-12-31T00:00:00"/>
    <d v="2013-09-07T00:00:00"/>
    <n v="60"/>
    <n v="0"/>
    <n v="0"/>
    <n v="0"/>
    <n v="2"/>
    <n v="75"/>
    <x v="0"/>
    <x v="42"/>
  </r>
  <r>
    <n v="568"/>
    <n v="10381"/>
    <n v="1979"/>
    <s v="Graduation"/>
    <s v="Single"/>
    <n v="47691"/>
    <n v="0"/>
    <d v="1899-12-31T00:00:00"/>
    <d v="2013-07-05T00:00:00"/>
    <n v="43"/>
    <n v="0"/>
    <n v="0"/>
    <n v="0"/>
    <n v="2"/>
    <n v="47"/>
    <x v="1"/>
    <x v="42"/>
  </r>
  <r>
    <n v="569"/>
    <n v="3525"/>
    <n v="1970"/>
    <s v="Graduation"/>
    <s v="Together"/>
    <n v="38200"/>
    <n v="1"/>
    <d v="1899-12-31T00:00:00"/>
    <d v="2012-12-07T00:00:00"/>
    <n v="19"/>
    <n v="0"/>
    <n v="0"/>
    <n v="0"/>
    <n v="2"/>
    <n v="56"/>
    <x v="0"/>
    <x v="42"/>
  </r>
  <r>
    <n v="570"/>
    <n v="6818"/>
    <n v="1974"/>
    <s v="Graduation"/>
    <s v="Married"/>
    <n v="44989"/>
    <n v="0"/>
    <d v="1899-12-31T00:00:00"/>
    <d v="2012-09-12T00:00:00"/>
    <n v="26"/>
    <n v="0"/>
    <n v="10"/>
    <n v="10"/>
    <n v="5"/>
    <n v="52"/>
    <x v="0"/>
    <x v="21"/>
  </r>
  <r>
    <n v="571"/>
    <n v="3526"/>
    <n v="1968"/>
    <s v="PhD"/>
    <s v="Married"/>
    <n v="38443"/>
    <n v="1"/>
    <d v="1899-12-31T00:00:00"/>
    <d v="2014-01-27T00:00:00"/>
    <n v="58"/>
    <n v="0"/>
    <n v="0"/>
    <n v="0"/>
    <n v="3"/>
    <n v="58"/>
    <x v="0"/>
    <x v="1"/>
  </r>
  <r>
    <n v="572"/>
    <n v="8181"/>
    <n v="1978"/>
    <s v="2n Cycle"/>
    <s v="Single"/>
    <n v="38593"/>
    <n v="1"/>
    <d v="1899-12-30T00:00:00"/>
    <d v="2013-09-13T00:00:00"/>
    <n v="42"/>
    <n v="12"/>
    <n v="24"/>
    <n v="24"/>
    <n v="3"/>
    <n v="48"/>
    <x v="1"/>
    <x v="16"/>
  </r>
  <r>
    <n v="573"/>
    <n v="1029"/>
    <n v="1970"/>
    <s v="PhD"/>
    <s v="Together"/>
    <n v="64413"/>
    <n v="0"/>
    <d v="1899-12-31T00:00:00"/>
    <d v="2013-08-01T00:00:00"/>
    <n v="27"/>
    <n v="5"/>
    <n v="10"/>
    <n v="10"/>
    <n v="5"/>
    <n v="56"/>
    <x v="0"/>
    <x v="21"/>
  </r>
  <r>
    <n v="574"/>
    <n v="7369"/>
    <n v="1981"/>
    <s v="Master"/>
    <s v="Married"/>
    <n v="36959"/>
    <n v="1"/>
    <d v="1899-12-30T00:00:00"/>
    <d v="2013-10-02T00:00:00"/>
    <n v="56"/>
    <n v="6"/>
    <n v="0"/>
    <n v="0"/>
    <n v="3"/>
    <n v="45"/>
    <x v="1"/>
    <x v="1"/>
  </r>
  <r>
    <n v="575"/>
    <n v="2574"/>
    <n v="1977"/>
    <s v="PhD"/>
    <s v="Married"/>
    <n v="61996"/>
    <n v="0"/>
    <d v="1899-12-31T00:00:00"/>
    <d v="2013-01-31T00:00:00"/>
    <n v="27"/>
    <n v="12"/>
    <n v="0"/>
    <n v="0"/>
    <n v="8"/>
    <n v="49"/>
    <x v="1"/>
    <x v="41"/>
  </r>
  <r>
    <n v="576"/>
    <n v="8159"/>
    <n v="1968"/>
    <s v="Graduation"/>
    <s v="Married"/>
    <n v="51287"/>
    <n v="1"/>
    <d v="1899-12-31T00:00:00"/>
    <d v="2014-04-01T00:00:00"/>
    <n v="10"/>
    <n v="0"/>
    <n v="0"/>
    <n v="0"/>
    <n v="3"/>
    <n v="58"/>
    <x v="0"/>
    <x v="1"/>
  </r>
  <r>
    <n v="577"/>
    <n v="1160"/>
    <n v="1970"/>
    <s v="Graduation"/>
    <s v="Married"/>
    <n v="13260"/>
    <n v="1"/>
    <d v="1899-12-31T00:00:00"/>
    <d v="2013-08-23T00:00:00"/>
    <n v="48"/>
    <n v="4"/>
    <n v="2"/>
    <n v="2"/>
    <n v="3"/>
    <n v="56"/>
    <x v="0"/>
    <x v="7"/>
  </r>
  <r>
    <n v="578"/>
    <n v="10242"/>
    <n v="1966"/>
    <s v="PhD"/>
    <s v="Together"/>
    <n v="47472"/>
    <n v="1"/>
    <d v="1899-12-31T00:00:00"/>
    <d v="2013-09-16T00:00:00"/>
    <n v="39"/>
    <n v="0"/>
    <n v="0"/>
    <n v="0"/>
    <n v="4"/>
    <n v="60"/>
    <x v="0"/>
    <x v="9"/>
  </r>
  <r>
    <n v="579"/>
    <n v="5253"/>
    <n v="1956"/>
    <s v="Master"/>
    <s v="Together"/>
    <n v="54603"/>
    <n v="1"/>
    <d v="1899-12-31T00:00:00"/>
    <d v="2013-07-09T00:00:00"/>
    <n v="85"/>
    <n v="13"/>
    <n v="2"/>
    <n v="2"/>
    <n v="4"/>
    <n v="70"/>
    <x v="0"/>
    <x v="29"/>
  </r>
  <r>
    <n v="580"/>
    <n v="5966"/>
    <n v="1974"/>
    <s v="PhD"/>
    <s v="Married"/>
    <n v="45207"/>
    <n v="1"/>
    <d v="1899-12-31T00:00:00"/>
    <d v="2012-11-10T00:00:00"/>
    <n v="64"/>
    <n v="0"/>
    <n v="0"/>
    <n v="0"/>
    <n v="6"/>
    <n v="52"/>
    <x v="0"/>
    <x v="29"/>
  </r>
  <r>
    <n v="581"/>
    <n v="5314"/>
    <n v="1951"/>
    <s v="Graduation"/>
    <s v="Together"/>
    <n v="40689"/>
    <n v="0"/>
    <d v="1899-12-31T00:00:00"/>
    <d v="2013-03-18T00:00:00"/>
    <n v="69"/>
    <n v="3"/>
    <n v="6"/>
    <n v="6"/>
    <n v="5"/>
    <n v="75"/>
    <x v="0"/>
    <x v="20"/>
  </r>
  <r>
    <n v="582"/>
    <n v="5081"/>
    <n v="1967"/>
    <s v="2n Cycle"/>
    <s v="Together"/>
    <n v="47821"/>
    <n v="1"/>
    <d v="1899-12-31T00:00:00"/>
    <d v="2013-10-20T00:00:00"/>
    <n v="54"/>
    <n v="0"/>
    <n v="6"/>
    <n v="6"/>
    <n v="3"/>
    <n v="59"/>
    <x v="0"/>
    <x v="18"/>
  </r>
  <r>
    <n v="583"/>
    <n v="5123"/>
    <n v="1951"/>
    <s v="Master"/>
    <s v="Married"/>
    <n v="27450"/>
    <n v="0"/>
    <d v="1899-12-30T00:00:00"/>
    <d v="2013-04-15T00:00:00"/>
    <n v="57"/>
    <n v="12"/>
    <n v="11"/>
    <n v="11"/>
    <n v="3"/>
    <n v="75"/>
    <x v="0"/>
    <x v="31"/>
  </r>
  <r>
    <n v="584"/>
    <n v="5756"/>
    <n v="1983"/>
    <s v="Graduation"/>
    <s v="Together"/>
    <n v="39453"/>
    <n v="1"/>
    <d v="1899-12-30T00:00:00"/>
    <d v="2014-04-03T00:00:00"/>
    <n v="64"/>
    <n v="0"/>
    <n v="0"/>
    <n v="0"/>
    <n v="3"/>
    <n v="43"/>
    <x v="1"/>
    <x v="1"/>
  </r>
  <r>
    <n v="585"/>
    <n v="8036"/>
    <n v="1971"/>
    <s v="2n Cycle"/>
    <s v="Together"/>
    <n v="26850"/>
    <n v="1"/>
    <d v="1899-12-31T00:00:00"/>
    <d v="2014-04-18T00:00:00"/>
    <n v="10"/>
    <n v="1"/>
    <n v="2"/>
    <n v="2"/>
    <n v="4"/>
    <n v="55"/>
    <x v="0"/>
    <x v="29"/>
  </r>
  <r>
    <n v="586"/>
    <n v="9058"/>
    <n v="1955"/>
    <s v="Graduation"/>
    <s v="Widow"/>
    <n v="79800"/>
    <n v="0"/>
    <d v="1899-12-30T00:00:00"/>
    <d v="2012-09-23T00:00:00"/>
    <n v="65"/>
    <n v="21"/>
    <n v="0"/>
    <n v="0"/>
    <n v="5"/>
    <n v="71"/>
    <x v="0"/>
    <x v="7"/>
  </r>
  <r>
    <n v="587"/>
    <n v="5057"/>
    <n v="1961"/>
    <s v="Master"/>
    <s v="Married"/>
    <n v="61794"/>
    <n v="0"/>
    <d v="1899-12-31T00:00:00"/>
    <d v="2013-09-14T00:00:00"/>
    <n v="74"/>
    <n v="47"/>
    <n v="47"/>
    <n v="47"/>
    <n v="10"/>
    <n v="65"/>
    <x v="0"/>
    <x v="64"/>
  </r>
  <r>
    <n v="588"/>
    <n v="254"/>
    <n v="1955"/>
    <s v="Graduation"/>
    <s v="Together"/>
    <n v="53863"/>
    <n v="0"/>
    <d v="1899-12-31T00:00:00"/>
    <d v="2014-05-17T00:00:00"/>
    <n v="4"/>
    <n v="4"/>
    <n v="4"/>
    <n v="4"/>
    <n v="7"/>
    <n v="71"/>
    <x v="0"/>
    <x v="20"/>
  </r>
  <r>
    <n v="589"/>
    <n v="4179"/>
    <n v="1959"/>
    <s v="Graduation"/>
    <s v="Together"/>
    <n v="24221"/>
    <n v="0"/>
    <d v="1899-12-30T00:00:00"/>
    <d v="2013-08-20T00:00:00"/>
    <n v="94"/>
    <n v="9"/>
    <n v="5"/>
    <n v="5"/>
    <n v="3"/>
    <n v="67"/>
    <x v="0"/>
    <x v="41"/>
  </r>
  <r>
    <n v="590"/>
    <n v="3710"/>
    <n v="1984"/>
    <s v="PhD"/>
    <s v="Single"/>
    <n v="39684"/>
    <n v="1"/>
    <d v="1899-12-30T00:00:00"/>
    <d v="2012-10-12T00:00:00"/>
    <n v="41"/>
    <n v="0"/>
    <n v="4"/>
    <n v="4"/>
    <n v="2"/>
    <n v="42"/>
    <x v="1"/>
    <x v="29"/>
  </r>
  <r>
    <n v="591"/>
    <n v="7627"/>
    <n v="1975"/>
    <s v="Master"/>
    <s v="Married"/>
    <n v="92163"/>
    <n v="0"/>
    <d v="1899-12-30T00:00:00"/>
    <d v="2012-12-12T00:00:00"/>
    <n v="25"/>
    <n v="183"/>
    <n v="163"/>
    <n v="163"/>
    <n v="5"/>
    <n v="51"/>
    <x v="0"/>
    <x v="126"/>
  </r>
  <r>
    <n v="592"/>
    <n v="4501"/>
    <n v="1965"/>
    <s v="Master"/>
    <s v="Single"/>
    <n v="69882"/>
    <n v="0"/>
    <d v="1899-12-30T00:00:00"/>
    <d v="2013-11-10T00:00:00"/>
    <n v="94"/>
    <n v="127"/>
    <n v="127"/>
    <n v="127"/>
    <n v="9"/>
    <n v="61"/>
    <x v="0"/>
    <x v="100"/>
  </r>
  <r>
    <n v="593"/>
    <n v="6424"/>
    <n v="1977"/>
    <s v="Graduation"/>
    <s v="Together"/>
    <n v="33178"/>
    <n v="1"/>
    <d v="1899-12-30T00:00:00"/>
    <d v="2014-01-30T00:00:00"/>
    <n v="9"/>
    <n v="6"/>
    <n v="2"/>
    <n v="2"/>
    <n v="3"/>
    <n v="49"/>
    <x v="1"/>
    <x v="7"/>
  </r>
  <r>
    <n v="594"/>
    <n v="3075"/>
    <n v="1972"/>
    <s v="PhD"/>
    <s v="Married"/>
    <n v="59973"/>
    <n v="0"/>
    <d v="1899-12-30T00:00:00"/>
    <d v="2013-09-11T00:00:00"/>
    <n v="47"/>
    <n v="30"/>
    <n v="34"/>
    <n v="34"/>
    <n v="7"/>
    <n v="54"/>
    <x v="0"/>
    <x v="19"/>
  </r>
  <r>
    <n v="595"/>
    <n v="4992"/>
    <n v="1975"/>
    <s v="Master"/>
    <s v="Together"/>
    <n v="17459"/>
    <n v="1"/>
    <d v="1899-12-30T00:00:00"/>
    <d v="2013-09-19T00:00:00"/>
    <n v="12"/>
    <n v="4"/>
    <n v="10"/>
    <n v="10"/>
    <n v="2"/>
    <n v="51"/>
    <x v="0"/>
    <x v="51"/>
  </r>
  <r>
    <n v="596"/>
    <n v="5252"/>
    <n v="1969"/>
    <s v="Graduation"/>
    <s v="Divorced"/>
    <n v="23910"/>
    <n v="1"/>
    <d v="1899-12-30T00:00:00"/>
    <d v="2012-10-26T00:00:00"/>
    <n v="80"/>
    <n v="12"/>
    <n v="1"/>
    <n v="1"/>
    <n v="3"/>
    <n v="57"/>
    <x v="0"/>
    <x v="9"/>
  </r>
  <r>
    <n v="597"/>
    <n v="7444"/>
    <n v="1969"/>
    <s v="Master"/>
    <s v="Married"/>
    <n v="42169"/>
    <n v="1"/>
    <d v="1899-12-31T00:00:00"/>
    <d v="2013-10-19T00:00:00"/>
    <n v="20"/>
    <n v="0"/>
    <n v="0"/>
    <n v="0"/>
    <n v="3"/>
    <n v="57"/>
    <x v="0"/>
    <x v="1"/>
  </r>
  <r>
    <n v="598"/>
    <n v="6919"/>
    <n v="1978"/>
    <s v="2n Cycle"/>
    <s v="Married"/>
    <n v="26224"/>
    <n v="1"/>
    <d v="1899-12-30T00:00:00"/>
    <d v="2013-06-04T00:00:00"/>
    <n v="39"/>
    <n v="7"/>
    <n v="9"/>
    <n v="9"/>
    <n v="3"/>
    <n v="48"/>
    <x v="1"/>
    <x v="51"/>
  </r>
  <r>
    <n v="599"/>
    <n v="3537"/>
    <n v="1981"/>
    <s v="Graduation"/>
    <s v="Together"/>
    <n v="31089"/>
    <n v="1"/>
    <d v="1899-12-30T00:00:00"/>
    <d v="2012-08-17T00:00:00"/>
    <n v="57"/>
    <n v="3"/>
    <n v="8"/>
    <n v="8"/>
    <n v="4"/>
    <n v="45"/>
    <x v="1"/>
    <x v="51"/>
  </r>
  <r>
    <n v="600"/>
    <n v="10277"/>
    <n v="1961"/>
    <s v="Graduation"/>
    <s v="Single"/>
    <n v="30081"/>
    <n v="0"/>
    <d v="1899-12-31T00:00:00"/>
    <d v="2013-02-21T00:00:00"/>
    <n v="27"/>
    <n v="0"/>
    <n v="0"/>
    <n v="0"/>
    <n v="3"/>
    <n v="65"/>
    <x v="0"/>
    <x v="1"/>
  </r>
  <r>
    <n v="601"/>
    <n v="2453"/>
    <n v="1960"/>
    <s v="Graduation"/>
    <s v="Together"/>
    <n v="62807"/>
    <n v="0"/>
    <d v="1899-12-31T00:00:00"/>
    <d v="2012-08-31T00:00:00"/>
    <n v="83"/>
    <n v="28"/>
    <n v="21"/>
    <n v="21"/>
    <n v="12"/>
    <n v="66"/>
    <x v="0"/>
    <x v="4"/>
  </r>
  <r>
    <n v="602"/>
    <n v="7972"/>
    <n v="1955"/>
    <s v="Graduation"/>
    <s v="Single"/>
    <n v="72906"/>
    <n v="0"/>
    <d v="1899-12-30T00:00:00"/>
    <d v="2013-09-17T00:00:00"/>
    <n v="79"/>
    <n v="32"/>
    <n v="75"/>
    <n v="75"/>
    <n v="9"/>
    <n v="71"/>
    <x v="0"/>
    <x v="127"/>
  </r>
  <r>
    <n v="603"/>
    <n v="895"/>
    <n v="1948"/>
    <s v="PhD"/>
    <s v="Married"/>
    <n v="61467"/>
    <n v="0"/>
    <d v="1900-01-01T00:00:00"/>
    <d v="2012-12-09T00:00:00"/>
    <n v="69"/>
    <n v="16"/>
    <n v="5"/>
    <n v="5"/>
    <n v="10"/>
    <n v="78"/>
    <x v="0"/>
    <x v="21"/>
  </r>
  <r>
    <n v="604"/>
    <n v="1177"/>
    <n v="1966"/>
    <s v="Master"/>
    <s v="Together"/>
    <n v="49618"/>
    <n v="1"/>
    <d v="1899-12-31T00:00:00"/>
    <d v="2013-01-26T00:00:00"/>
    <n v="77"/>
    <n v="3"/>
    <n v="2"/>
    <n v="2"/>
    <n v="3"/>
    <n v="60"/>
    <x v="0"/>
    <x v="7"/>
  </r>
  <r>
    <n v="605"/>
    <n v="7141"/>
    <n v="1986"/>
    <s v="Master"/>
    <s v="Single"/>
    <n v="21888"/>
    <n v="1"/>
    <d v="1899-12-30T00:00:00"/>
    <d v="2012-12-29T00:00:00"/>
    <n v="15"/>
    <n v="10"/>
    <n v="3"/>
    <n v="3"/>
    <n v="2"/>
    <n v="40"/>
    <x v="1"/>
    <x v="7"/>
  </r>
  <r>
    <n v="606"/>
    <n v="7232"/>
    <n v="1973"/>
    <s v="Graduation"/>
    <s v="Widow"/>
    <n v="42429"/>
    <n v="0"/>
    <d v="1899-12-31T00:00:00"/>
    <d v="2014-02-11T00:00:00"/>
    <n v="99"/>
    <n v="0"/>
    <n v="0"/>
    <n v="0"/>
    <n v="3"/>
    <n v="53"/>
    <x v="0"/>
    <x v="1"/>
  </r>
  <r>
    <n v="607"/>
    <n v="8477"/>
    <n v="1956"/>
    <s v="Graduation"/>
    <s v="Divorced"/>
    <n v="26150"/>
    <n v="2"/>
    <d v="1899-12-31T00:00:00"/>
    <d v="2013-03-11T00:00:00"/>
    <n v="61"/>
    <n v="1"/>
    <n v="5"/>
    <n v="5"/>
    <n v="3"/>
    <n v="70"/>
    <x v="0"/>
    <x v="41"/>
  </r>
  <r>
    <n v="608"/>
    <n v="2457"/>
    <n v="1975"/>
    <s v="Basic"/>
    <s v="Married"/>
    <n v="30801"/>
    <n v="0"/>
    <d v="1899-12-31T00:00:00"/>
    <d v="2012-10-26T00:00:00"/>
    <n v="23"/>
    <n v="4"/>
    <n v="2"/>
    <n v="2"/>
    <n v="3"/>
    <n v="51"/>
    <x v="0"/>
    <x v="7"/>
  </r>
  <r>
    <n v="609"/>
    <n v="988"/>
    <n v="1965"/>
    <s v="Graduation"/>
    <s v="Married"/>
    <n v="81168"/>
    <n v="0"/>
    <d v="1899-12-30T00:00:00"/>
    <d v="2014-05-07T00:00:00"/>
    <n v="84"/>
    <n v="0"/>
    <n v="22"/>
    <n v="22"/>
    <n v="7"/>
    <n v="61"/>
    <x v="0"/>
    <x v="89"/>
  </r>
  <r>
    <n v="610"/>
    <n v="7930"/>
    <n v="1969"/>
    <s v="Master"/>
    <s v="Single"/>
    <n v="26877"/>
    <n v="0"/>
    <d v="1899-12-30T00:00:00"/>
    <d v="2013-08-19T00:00:00"/>
    <n v="74"/>
    <n v="13"/>
    <n v="18"/>
    <n v="18"/>
    <n v="6"/>
    <n v="57"/>
    <x v="0"/>
    <x v="38"/>
  </r>
  <r>
    <n v="611"/>
    <n v="4587"/>
    <n v="1944"/>
    <s v="Master"/>
    <s v="Widow"/>
    <n v="45006"/>
    <n v="0"/>
    <d v="1899-12-30T00:00:00"/>
    <d v="2013-07-18T00:00:00"/>
    <n v="90"/>
    <n v="25"/>
    <n v="0"/>
    <n v="0"/>
    <n v="7"/>
    <n v="82"/>
    <x v="0"/>
    <x v="3"/>
  </r>
  <r>
    <n v="612"/>
    <n v="6682"/>
    <n v="1973"/>
    <s v="Basic"/>
    <s v="Married"/>
    <n v="18978"/>
    <n v="1"/>
    <d v="1899-12-30T00:00:00"/>
    <d v="2012-12-11T00:00:00"/>
    <n v="41"/>
    <n v="8"/>
    <n v="7"/>
    <n v="7"/>
    <n v="3"/>
    <n v="53"/>
    <x v="0"/>
    <x v="11"/>
  </r>
  <r>
    <n v="613"/>
    <n v="6222"/>
    <n v="1967"/>
    <s v="Graduation"/>
    <s v="Married"/>
    <n v="22574"/>
    <n v="2"/>
    <d v="1899-12-31T00:00:00"/>
    <d v="2013-10-28T00:00:00"/>
    <n v="28"/>
    <n v="0"/>
    <n v="0"/>
    <n v="0"/>
    <n v="3"/>
    <n v="59"/>
    <x v="0"/>
    <x v="1"/>
  </r>
  <r>
    <n v="614"/>
    <n v="10299"/>
    <n v="1969"/>
    <s v="PhD"/>
    <s v="Single"/>
    <n v="48240"/>
    <n v="0"/>
    <d v="1899-12-30T00:00:00"/>
    <d v="2012-11-09T00:00:00"/>
    <n v="73"/>
    <n v="91"/>
    <n v="49"/>
    <n v="49"/>
    <n v="13"/>
    <n v="57"/>
    <x v="0"/>
    <x v="128"/>
  </r>
  <r>
    <n v="615"/>
    <n v="3083"/>
    <n v="1974"/>
    <s v="Graduation"/>
    <s v="Married"/>
    <n v="45837"/>
    <n v="1"/>
    <d v="1899-12-31T00:00:00"/>
    <d v="2013-07-26T00:00:00"/>
    <n v="88"/>
    <n v="13"/>
    <n v="17"/>
    <n v="17"/>
    <n v="5"/>
    <n v="52"/>
    <x v="0"/>
    <x v="62"/>
  </r>
  <r>
    <n v="616"/>
    <n v="8953"/>
    <n v="1965"/>
    <s v="Master"/>
    <s v="Single"/>
    <n v="35791"/>
    <n v="2"/>
    <d v="1899-12-31T00:00:00"/>
    <d v="2013-05-06T00:00:00"/>
    <n v="94"/>
    <n v="0"/>
    <n v="0"/>
    <n v="0"/>
    <n v="3"/>
    <n v="61"/>
    <x v="0"/>
    <x v="1"/>
  </r>
  <r>
    <n v="617"/>
    <n v="1503"/>
    <n v="1976"/>
    <s v="PhD"/>
    <s v="Together"/>
    <n v="162397"/>
    <n v="1"/>
    <d v="1899-12-31T00:00:00"/>
    <d v="2013-06-03T00:00:00"/>
    <n v="31"/>
    <n v="1"/>
    <n v="1"/>
    <n v="1"/>
    <n v="1"/>
    <n v="50"/>
    <x v="1"/>
    <x v="42"/>
  </r>
  <r>
    <n v="618"/>
    <n v="8650"/>
    <n v="1978"/>
    <s v="Graduation"/>
    <s v="Widow"/>
    <n v="54162"/>
    <n v="1"/>
    <d v="1899-12-31T00:00:00"/>
    <d v="2013-03-18T00:00:00"/>
    <n v="31"/>
    <n v="6"/>
    <n v="5"/>
    <n v="5"/>
    <n v="3"/>
    <n v="48"/>
    <x v="1"/>
    <x v="41"/>
  </r>
  <r>
    <n v="619"/>
    <n v="10862"/>
    <n v="1960"/>
    <s v="Master"/>
    <s v="Married"/>
    <n v="30522"/>
    <n v="0"/>
    <d v="1899-12-31T00:00:00"/>
    <d v="2012-08-17T00:00:00"/>
    <n v="6"/>
    <n v="8"/>
    <n v="11"/>
    <n v="11"/>
    <n v="9"/>
    <n v="66"/>
    <x v="0"/>
    <x v="26"/>
  </r>
  <r>
    <n v="620"/>
    <n v="2782"/>
    <n v="1961"/>
    <s v="PhD"/>
    <s v="Married"/>
    <n v="54456"/>
    <n v="0"/>
    <d v="1899-12-31T00:00:00"/>
    <d v="2013-07-11T00:00:00"/>
    <n v="23"/>
    <n v="0"/>
    <n v="0"/>
    <n v="0"/>
    <n v="7"/>
    <n v="65"/>
    <x v="0"/>
    <x v="3"/>
  </r>
  <r>
    <n v="621"/>
    <n v="6941"/>
    <n v="1971"/>
    <s v="Graduation"/>
    <s v="Single"/>
    <n v="31632"/>
    <n v="0"/>
    <d v="1899-12-30T00:00:00"/>
    <d v="2013-07-14T00:00:00"/>
    <n v="92"/>
    <n v="8"/>
    <n v="15"/>
    <n v="15"/>
    <n v="2"/>
    <n v="55"/>
    <x v="0"/>
    <x v="67"/>
  </r>
  <r>
    <n v="622"/>
    <n v="10972"/>
    <n v="1949"/>
    <s v="Graduation"/>
    <s v="Widow"/>
    <n v="72298"/>
    <n v="0"/>
    <d v="1899-12-30T00:00:00"/>
    <d v="2014-03-10T00:00:00"/>
    <n v="52"/>
    <n v="35"/>
    <n v="17"/>
    <n v="17"/>
    <n v="6"/>
    <n v="77"/>
    <x v="0"/>
    <x v="45"/>
  </r>
  <r>
    <n v="623"/>
    <n v="10708"/>
    <n v="1978"/>
    <s v="2n Cycle"/>
    <s v="Single"/>
    <n v="36975"/>
    <n v="1"/>
    <d v="1899-12-30T00:00:00"/>
    <d v="2013-12-28T00:00:00"/>
    <n v="50"/>
    <n v="6"/>
    <n v="4"/>
    <n v="4"/>
    <n v="3"/>
    <n v="48"/>
    <x v="1"/>
    <x v="3"/>
  </r>
  <r>
    <n v="624"/>
    <n v="6583"/>
    <n v="1955"/>
    <s v="2n Cycle"/>
    <s v="Married"/>
    <n v="72635"/>
    <n v="0"/>
    <d v="1899-12-30T00:00:00"/>
    <d v="2013-06-03T00:00:00"/>
    <n v="54"/>
    <n v="22"/>
    <n v="35"/>
    <n v="35"/>
    <n v="6"/>
    <n v="71"/>
    <x v="0"/>
    <x v="19"/>
  </r>
  <r>
    <n v="625"/>
    <n v="3641"/>
    <n v="1976"/>
    <s v="Graduation"/>
    <s v="Married"/>
    <n v="13624"/>
    <n v="1"/>
    <d v="1899-12-30T00:00:00"/>
    <d v="2013-01-20T00:00:00"/>
    <n v="93"/>
    <n v="2"/>
    <n v="1"/>
    <n v="1"/>
    <n v="3"/>
    <n v="50"/>
    <x v="1"/>
    <x v="9"/>
  </r>
  <r>
    <n v="626"/>
    <n v="10156"/>
    <n v="1975"/>
    <s v="Graduation"/>
    <s v="Single"/>
    <n v="84196"/>
    <n v="0"/>
    <d v="1899-12-31T00:00:00"/>
    <d v="2013-06-03T00:00:00"/>
    <n v="56"/>
    <n v="63"/>
    <n v="31"/>
    <n v="31"/>
    <n v="7"/>
    <n v="51"/>
    <x v="0"/>
    <x v="73"/>
  </r>
  <r>
    <n v="627"/>
    <n v="4299"/>
    <n v="1960"/>
    <s v="Graduation"/>
    <s v="Together"/>
    <n v="70971"/>
    <n v="0"/>
    <d v="1899-12-31T00:00:00"/>
    <d v="2012-09-21T00:00:00"/>
    <n v="28"/>
    <n v="17"/>
    <n v="125"/>
    <n v="125"/>
    <n v="5"/>
    <n v="66"/>
    <x v="0"/>
    <x v="37"/>
  </r>
  <r>
    <n v="628"/>
    <n v="3469"/>
    <n v="1977"/>
    <s v="PhD"/>
    <s v="Divorced"/>
    <n v="34487"/>
    <n v="1"/>
    <d v="1899-12-31T00:00:00"/>
    <d v="2012-09-06T00:00:00"/>
    <n v="94"/>
    <n v="18"/>
    <n v="1"/>
    <n v="1"/>
    <n v="3"/>
    <n v="49"/>
    <x v="1"/>
    <x v="9"/>
  </r>
  <r>
    <n v="629"/>
    <n v="5063"/>
    <n v="1977"/>
    <s v="Graduation"/>
    <s v="Single"/>
    <n v="28769"/>
    <n v="1"/>
    <d v="1899-12-30T00:00:00"/>
    <d v="2012-12-18T00:00:00"/>
    <n v="76"/>
    <n v="5"/>
    <n v="3"/>
    <n v="3"/>
    <n v="4"/>
    <n v="49"/>
    <x v="1"/>
    <x v="3"/>
  </r>
  <r>
    <n v="630"/>
    <n v="10727"/>
    <n v="1970"/>
    <s v="PhD"/>
    <s v="Married"/>
    <n v="69084"/>
    <n v="1"/>
    <d v="1899-12-30T00:00:00"/>
    <d v="2013-11-19T00:00:00"/>
    <n v="43"/>
    <n v="107"/>
    <n v="30"/>
    <n v="30"/>
    <n v="13"/>
    <n v="56"/>
    <x v="0"/>
    <x v="17"/>
  </r>
  <r>
    <n v="631"/>
    <n v="9624"/>
    <n v="1958"/>
    <s v="PhD"/>
    <s v="Together"/>
    <n v="65488"/>
    <n v="0"/>
    <d v="1899-12-30T00:00:00"/>
    <d v="2014-06-13T00:00:00"/>
    <n v="46"/>
    <n v="45"/>
    <n v="18"/>
    <n v="18"/>
    <n v="6"/>
    <n v="68"/>
    <x v="0"/>
    <x v="38"/>
  </r>
  <r>
    <n v="632"/>
    <n v="5156"/>
    <n v="1970"/>
    <s v="2n Cycle"/>
    <s v="Married"/>
    <n v="62466"/>
    <n v="0"/>
    <d v="1899-12-31T00:00:00"/>
    <d v="2014-01-15T00:00:00"/>
    <n v="13"/>
    <n v="129"/>
    <n v="121"/>
    <n v="121"/>
    <n v="12"/>
    <n v="56"/>
    <x v="0"/>
    <x v="36"/>
  </r>
  <r>
    <n v="633"/>
    <n v="4376"/>
    <n v="1960"/>
    <s v="2n Cycle"/>
    <s v="Single"/>
    <n v="32218"/>
    <n v="0"/>
    <d v="1899-12-30T00:00:00"/>
    <d v="2014-02-15T00:00:00"/>
    <n v="27"/>
    <n v="24"/>
    <n v="1"/>
    <n v="1"/>
    <n v="3"/>
    <n v="66"/>
    <x v="0"/>
    <x v="9"/>
  </r>
  <r>
    <n v="634"/>
    <n v="8923"/>
    <n v="1973"/>
    <s v="Graduation"/>
    <s v="Single"/>
    <n v="83917"/>
    <n v="0"/>
    <d v="1899-12-30T00:00:00"/>
    <d v="2013-04-18T00:00:00"/>
    <n v="12"/>
    <n v="22"/>
    <n v="198"/>
    <n v="198"/>
    <n v="7"/>
    <n v="53"/>
    <x v="0"/>
    <x v="116"/>
  </r>
  <r>
    <n v="635"/>
    <n v="8461"/>
    <n v="1962"/>
    <s v="Graduation"/>
    <s v="Divorced"/>
    <n v="46102"/>
    <n v="2"/>
    <d v="1899-12-31T00:00:00"/>
    <d v="2014-03-10T00:00:00"/>
    <n v="3"/>
    <n v="0"/>
    <n v="0"/>
    <n v="0"/>
    <n v="2"/>
    <n v="64"/>
    <x v="0"/>
    <x v="42"/>
  </r>
  <r>
    <n v="636"/>
    <n v="6945"/>
    <n v="1952"/>
    <s v="Graduation"/>
    <s v="Single"/>
    <n v="84574"/>
    <n v="0"/>
    <d v="1899-12-30T00:00:00"/>
    <d v="2013-06-04T00:00:00"/>
    <n v="72"/>
    <n v="20"/>
    <n v="54"/>
    <n v="54"/>
    <n v="11"/>
    <n v="74"/>
    <x v="0"/>
    <x v="119"/>
  </r>
  <r>
    <n v="637"/>
    <n v="944"/>
    <n v="1962"/>
    <s v="Graduation"/>
    <s v="Married"/>
    <n v="56181"/>
    <n v="0"/>
    <d v="1899-12-31T00:00:00"/>
    <d v="2013-01-08T00:00:00"/>
    <n v="6"/>
    <n v="103"/>
    <n v="44"/>
    <n v="44"/>
    <n v="7"/>
    <n v="64"/>
    <x v="0"/>
    <x v="106"/>
  </r>
  <r>
    <n v="638"/>
    <n v="1907"/>
    <n v="1950"/>
    <s v="Master"/>
    <s v="Divorced"/>
    <n v="63120"/>
    <n v="0"/>
    <d v="1899-12-31T00:00:00"/>
    <d v="2012-09-28T00:00:00"/>
    <n v="53"/>
    <n v="69"/>
    <n v="41"/>
    <n v="41"/>
    <n v="9"/>
    <n v="76"/>
    <x v="0"/>
    <x v="32"/>
  </r>
  <r>
    <n v="639"/>
    <n v="701"/>
    <n v="1971"/>
    <s v="Graduation"/>
    <s v="Married"/>
    <n v="73691"/>
    <n v="0"/>
    <d v="1899-12-31T00:00:00"/>
    <d v="2013-11-06T00:00:00"/>
    <n v="58"/>
    <n v="21"/>
    <n v="43"/>
    <n v="43"/>
    <n v="8"/>
    <n v="55"/>
    <x v="0"/>
    <x v="106"/>
  </r>
  <r>
    <n v="640"/>
    <n v="3856"/>
    <n v="1960"/>
    <s v="Graduation"/>
    <s v="Together"/>
    <n v="63381"/>
    <n v="0"/>
    <d v="1899-12-31T00:00:00"/>
    <d v="2012-10-05T00:00:00"/>
    <n v="78"/>
    <n v="50"/>
    <n v="50"/>
    <n v="50"/>
    <n v="13"/>
    <n v="66"/>
    <x v="0"/>
    <x v="102"/>
  </r>
  <r>
    <n v="641"/>
    <n v="4149"/>
    <n v="1948"/>
    <s v="PhD"/>
    <s v="Together"/>
    <n v="76140"/>
    <n v="0"/>
    <d v="1899-12-30T00:00:00"/>
    <d v="2014-05-13T00:00:00"/>
    <n v="57"/>
    <n v="66"/>
    <n v="0"/>
    <n v="0"/>
    <n v="6"/>
    <n v="78"/>
    <x v="0"/>
    <x v="29"/>
  </r>
  <r>
    <n v="642"/>
    <n v="2131"/>
    <n v="1959"/>
    <s v="PhD"/>
    <s v="Divorced"/>
    <n v="62859"/>
    <n v="0"/>
    <d v="1899-12-31T00:00:00"/>
    <d v="2012-12-30T00:00:00"/>
    <n v="37"/>
    <n v="89"/>
    <n v="12"/>
    <n v="12"/>
    <n v="6"/>
    <n v="67"/>
    <x v="0"/>
    <x v="14"/>
  </r>
  <r>
    <n v="643"/>
    <n v="2942"/>
    <n v="1964"/>
    <s v="Graduation"/>
    <s v="Single"/>
    <n v="45906"/>
    <n v="0"/>
    <d v="1899-12-31T00:00:00"/>
    <d v="2013-05-07T00:00:00"/>
    <n v="20"/>
    <n v="3"/>
    <n v="3"/>
    <n v="3"/>
    <n v="4"/>
    <n v="62"/>
    <x v="0"/>
    <x v="3"/>
  </r>
  <r>
    <n v="644"/>
    <n v="1173"/>
    <n v="1947"/>
    <s v="Master"/>
    <s v="Together"/>
    <n v="77632"/>
    <n v="0"/>
    <d v="1899-12-30T00:00:00"/>
    <d v="2013-03-10T00:00:00"/>
    <n v="73"/>
    <n v="105"/>
    <n v="42"/>
    <n v="42"/>
    <n v="6"/>
    <n v="79"/>
    <x v="0"/>
    <x v="121"/>
  </r>
  <r>
    <n v="645"/>
    <n v="4381"/>
    <n v="1971"/>
    <s v="PhD"/>
    <s v="Married"/>
    <n v="46463"/>
    <n v="1"/>
    <d v="1899-12-31T00:00:00"/>
    <d v="2013-08-18T00:00:00"/>
    <n v="56"/>
    <n v="2"/>
    <n v="11"/>
    <n v="11"/>
    <n v="6"/>
    <n v="55"/>
    <x v="0"/>
    <x v="67"/>
  </r>
  <r>
    <n v="646"/>
    <n v="4611"/>
    <n v="1970"/>
    <s v="Graduation"/>
    <s v="Together"/>
    <n v="105471"/>
    <n v="0"/>
    <d v="1899-12-30T00:00:00"/>
    <d v="2013-01-21T00:00:00"/>
    <n v="36"/>
    <n v="181"/>
    <n v="21"/>
    <n v="21"/>
    <n v="13"/>
    <n v="56"/>
    <x v="0"/>
    <x v="35"/>
  </r>
  <r>
    <n v="647"/>
    <n v="3376"/>
    <n v="1970"/>
    <s v="Master"/>
    <s v="Divorced"/>
    <n v="55282"/>
    <n v="1"/>
    <d v="1899-12-30T00:00:00"/>
    <d v="2013-12-13T00:00:00"/>
    <n v="9"/>
    <n v="6"/>
    <n v="4"/>
    <n v="4"/>
    <n v="6"/>
    <n v="56"/>
    <x v="0"/>
    <x v="11"/>
  </r>
  <r>
    <n v="648"/>
    <n v="4679"/>
    <n v="1977"/>
    <s v="Master"/>
    <s v="Married"/>
    <n v="78710"/>
    <n v="0"/>
    <d v="1899-12-31T00:00:00"/>
    <d v="2014-05-23T00:00:00"/>
    <n v="42"/>
    <n v="0"/>
    <n v="50"/>
    <n v="50"/>
    <n v="12"/>
    <n v="49"/>
    <x v="1"/>
    <x v="128"/>
  </r>
  <r>
    <n v="649"/>
    <n v="10928"/>
    <n v="1958"/>
    <s v="Graduation"/>
    <s v="Together"/>
    <n v="66886"/>
    <n v="0"/>
    <d v="1899-12-31T00:00:00"/>
    <d v="2013-09-16T00:00:00"/>
    <n v="28"/>
    <n v="4"/>
    <n v="31"/>
    <n v="31"/>
    <n v="7"/>
    <n v="68"/>
    <x v="0"/>
    <x v="73"/>
  </r>
  <r>
    <n v="650"/>
    <n v="4248"/>
    <n v="1960"/>
    <s v="Master"/>
    <s v="Single"/>
    <n v="98777"/>
    <n v="0"/>
    <d v="1899-12-30T00:00:00"/>
    <d v="2014-02-17T00:00:00"/>
    <n v="23"/>
    <n v="19"/>
    <n v="115"/>
    <n v="115"/>
    <n v="9"/>
    <n v="66"/>
    <x v="0"/>
    <x v="129"/>
  </r>
  <r>
    <n v="651"/>
    <n v="6728"/>
    <n v="1985"/>
    <s v="Graduation"/>
    <s v="Together"/>
    <n v="29103"/>
    <n v="1"/>
    <d v="1899-12-30T00:00:00"/>
    <d v="2012-08-27T00:00:00"/>
    <n v="38"/>
    <n v="0"/>
    <n v="3"/>
    <n v="3"/>
    <n v="3"/>
    <n v="41"/>
    <x v="1"/>
    <x v="29"/>
  </r>
  <r>
    <n v="652"/>
    <n v="6661"/>
    <n v="1974"/>
    <s v="Graduation"/>
    <s v="Married"/>
    <n v="67445"/>
    <n v="0"/>
    <d v="1899-12-31T00:00:00"/>
    <d v="2012-08-12T00:00:00"/>
    <n v="63"/>
    <n v="80"/>
    <n v="80"/>
    <n v="80"/>
    <n v="12"/>
    <n v="52"/>
    <x v="0"/>
    <x v="0"/>
  </r>
  <r>
    <n v="653"/>
    <n v="4725"/>
    <n v="1950"/>
    <s v="PhD"/>
    <s v="Together"/>
    <n v="50616"/>
    <n v="0"/>
    <d v="1899-12-31T00:00:00"/>
    <d v="2014-04-13T00:00:00"/>
    <n v="71"/>
    <n v="2"/>
    <n v="1"/>
    <n v="1"/>
    <n v="4"/>
    <n v="76"/>
    <x v="0"/>
    <x v="7"/>
  </r>
  <r>
    <n v="654"/>
    <n v="3277"/>
    <n v="1955"/>
    <s v="Graduation"/>
    <s v="Divorced"/>
    <n v="49431"/>
    <n v="0"/>
    <d v="1899-12-31T00:00:00"/>
    <d v="2012-08-03T00:00:00"/>
    <n v="9"/>
    <n v="3"/>
    <n v="0"/>
    <n v="0"/>
    <n v="5"/>
    <n v="71"/>
    <x v="0"/>
    <x v="7"/>
  </r>
  <r>
    <n v="655"/>
    <n v="5555"/>
    <n v="1975"/>
    <s v="Graduation"/>
    <s v="Divorced"/>
    <n v="153924"/>
    <n v="0"/>
    <d v="1899-12-30T00:00:00"/>
    <d v="2014-02-07T00:00:00"/>
    <n v="81"/>
    <n v="1"/>
    <n v="1"/>
    <n v="1"/>
    <n v="0"/>
    <n v="51"/>
    <x v="0"/>
    <x v="8"/>
  </r>
  <r>
    <n v="656"/>
    <n v="2564"/>
    <n v="1953"/>
    <s v="Graduation"/>
    <s v="Together"/>
    <n v="61278"/>
    <n v="0"/>
    <d v="1899-12-31T00:00:00"/>
    <d v="2014-01-04T00:00:00"/>
    <n v="87"/>
    <n v="3"/>
    <n v="6"/>
    <n v="6"/>
    <n v="4"/>
    <n v="73"/>
    <x v="0"/>
    <x v="11"/>
  </r>
  <r>
    <n v="657"/>
    <n v="946"/>
    <n v="1958"/>
    <s v="2n Cycle"/>
    <s v="Together"/>
    <n v="26490"/>
    <n v="0"/>
    <d v="1899-12-30T00:00:00"/>
    <d v="2012-09-22T00:00:00"/>
    <n v="92"/>
    <n v="47"/>
    <n v="20"/>
    <n v="20"/>
    <n v="5"/>
    <n v="68"/>
    <x v="0"/>
    <x v="15"/>
  </r>
  <r>
    <n v="658"/>
    <n v="3867"/>
    <n v="1947"/>
    <s v="PhD"/>
    <s v="Together"/>
    <n v="73059"/>
    <n v="0"/>
    <d v="1899-12-31T00:00:00"/>
    <d v="2013-08-31T00:00:00"/>
    <n v="36"/>
    <n v="112"/>
    <n v="82"/>
    <n v="82"/>
    <n v="13"/>
    <n v="79"/>
    <x v="0"/>
    <x v="130"/>
  </r>
  <r>
    <n v="659"/>
    <n v="6940"/>
    <n v="1966"/>
    <s v="PhD"/>
    <s v="Single"/>
    <n v="46734"/>
    <n v="1"/>
    <d v="1900-01-01T00:00:00"/>
    <d v="2013-10-21T00:00:00"/>
    <n v="86"/>
    <n v="1"/>
    <n v="1"/>
    <n v="1"/>
    <n v="3"/>
    <n v="60"/>
    <x v="0"/>
    <x v="9"/>
  </r>
  <r>
    <n v="660"/>
    <n v="55"/>
    <n v="1963"/>
    <s v="Graduation"/>
    <s v="Together"/>
    <n v="56253"/>
    <n v="0"/>
    <d v="1899-12-31T00:00:00"/>
    <d v="2012-12-07T00:00:00"/>
    <n v="83"/>
    <n v="0"/>
    <n v="11"/>
    <n v="11"/>
    <n v="9"/>
    <n v="63"/>
    <x v="0"/>
    <x v="26"/>
  </r>
  <r>
    <n v="661"/>
    <n v="7093"/>
    <n v="1985"/>
    <s v="Graduation"/>
    <s v="Married"/>
    <n v="19986"/>
    <n v="1"/>
    <d v="1899-12-30T00:00:00"/>
    <d v="2013-11-14T00:00:00"/>
    <n v="74"/>
    <n v="6"/>
    <n v="2"/>
    <n v="2"/>
    <n v="3"/>
    <n v="41"/>
    <x v="1"/>
    <x v="7"/>
  </r>
  <r>
    <n v="662"/>
    <n v="5084"/>
    <n v="1975"/>
    <s v="Graduation"/>
    <s v="Widow"/>
    <n v="58330"/>
    <n v="0"/>
    <d v="1899-12-31T00:00:00"/>
    <d v="2013-12-25T00:00:00"/>
    <n v="87"/>
    <n v="53"/>
    <n v="98"/>
    <n v="98"/>
    <n v="13"/>
    <n v="51"/>
    <x v="0"/>
    <x v="77"/>
  </r>
  <r>
    <n v="663"/>
    <n v="1777"/>
    <n v="1980"/>
    <s v="Basic"/>
    <s v="Married"/>
    <n v="25965"/>
    <n v="0"/>
    <d v="1899-12-30T00:00:00"/>
    <d v="2012-09-07T00:00:00"/>
    <n v="29"/>
    <n v="2"/>
    <n v="7"/>
    <n v="7"/>
    <n v="3"/>
    <n v="46"/>
    <x v="1"/>
    <x v="11"/>
  </r>
  <r>
    <n v="664"/>
    <n v="8162"/>
    <n v="1956"/>
    <s v="Master"/>
    <s v="Together"/>
    <n v="14661"/>
    <n v="0"/>
    <d v="1899-12-30T00:00:00"/>
    <d v="2013-01-01T00:00:00"/>
    <n v="88"/>
    <n v="1"/>
    <n v="2"/>
    <n v="2"/>
    <n v="3"/>
    <n v="70"/>
    <x v="0"/>
    <x v="7"/>
  </r>
  <r>
    <n v="665"/>
    <n v="10826"/>
    <n v="1959"/>
    <s v="Graduation"/>
    <s v="Married"/>
    <n v="18690"/>
    <n v="0"/>
    <d v="1899-12-30T00:00:00"/>
    <d v="2012-12-28T00:00:00"/>
    <n v="77"/>
    <n v="1"/>
    <n v="4"/>
    <n v="4"/>
    <n v="2"/>
    <n v="67"/>
    <x v="0"/>
    <x v="29"/>
  </r>
  <r>
    <n v="666"/>
    <n v="8754"/>
    <n v="1974"/>
    <s v="PhD"/>
    <s v="Together"/>
    <n v="45068"/>
    <n v="0"/>
    <d v="1899-12-31T00:00:00"/>
    <d v="2013-05-16T00:00:00"/>
    <n v="25"/>
    <n v="0"/>
    <n v="0"/>
    <n v="0"/>
    <n v="2"/>
    <n v="52"/>
    <x v="0"/>
    <x v="42"/>
  </r>
  <r>
    <n v="667"/>
    <n v="1987"/>
    <n v="1987"/>
    <s v="Basic"/>
    <s v="Single"/>
    <n v="21063"/>
    <n v="1"/>
    <d v="1899-12-30T00:00:00"/>
    <d v="2013-09-25T00:00:00"/>
    <n v="34"/>
    <n v="10"/>
    <n v="3"/>
    <n v="3"/>
    <n v="3"/>
    <n v="39"/>
    <x v="1"/>
    <x v="29"/>
  </r>
  <r>
    <n v="668"/>
    <n v="11007"/>
    <n v="1968"/>
    <s v="PhD"/>
    <s v="Married"/>
    <n v="29187"/>
    <n v="1"/>
    <d v="1899-12-30T00:00:00"/>
    <d v="2013-05-09T00:00:00"/>
    <n v="43"/>
    <n v="0"/>
    <n v="0"/>
    <n v="0"/>
    <n v="3"/>
    <n v="58"/>
    <x v="0"/>
    <x v="1"/>
  </r>
  <r>
    <n v="669"/>
    <n v="7426"/>
    <n v="1971"/>
    <s v="2n Cycle"/>
    <s v="Married"/>
    <n v="54690"/>
    <n v="1"/>
    <d v="1899-12-31T00:00:00"/>
    <d v="2013-11-07T00:00:00"/>
    <n v="76"/>
    <n v="16"/>
    <n v="9"/>
    <n v="9"/>
    <n v="5"/>
    <n v="55"/>
    <x v="0"/>
    <x v="31"/>
  </r>
  <r>
    <n v="670"/>
    <n v="9153"/>
    <n v="1964"/>
    <s v="PhD"/>
    <s v="Married"/>
    <n v="59304"/>
    <n v="0"/>
    <d v="1899-12-31T00:00:00"/>
    <d v="2013-07-29T00:00:00"/>
    <n v="81"/>
    <n v="61"/>
    <n v="51"/>
    <n v="51"/>
    <n v="10"/>
    <n v="62"/>
    <x v="0"/>
    <x v="123"/>
  </r>
  <r>
    <n v="671"/>
    <n v="10379"/>
    <n v="1962"/>
    <s v="Master"/>
    <s v="Single"/>
    <n v="59247"/>
    <n v="0"/>
    <d v="1900-01-01T00:00:00"/>
    <d v="2013-11-08T00:00:00"/>
    <n v="87"/>
    <n v="9"/>
    <n v="14"/>
    <n v="14"/>
    <n v="9"/>
    <n v="64"/>
    <x v="0"/>
    <x v="45"/>
  </r>
  <r>
    <n v="672"/>
    <n v="9204"/>
    <n v="1970"/>
    <s v="Graduation"/>
    <s v="Widow"/>
    <n v="66731"/>
    <n v="0"/>
    <d v="1899-12-31T00:00:00"/>
    <d v="2012-09-12T00:00:00"/>
    <n v="33"/>
    <n v="159"/>
    <n v="106"/>
    <n v="106"/>
    <n v="6"/>
    <n v="56"/>
    <x v="0"/>
    <x v="131"/>
  </r>
  <r>
    <n v="673"/>
    <n v="3197"/>
    <n v="1980"/>
    <s v="Graduation"/>
    <s v="Married"/>
    <n v="77353"/>
    <n v="0"/>
    <d v="1899-12-31T00:00:00"/>
    <d v="2013-12-16T00:00:00"/>
    <n v="38"/>
    <n v="59"/>
    <n v="101"/>
    <n v="101"/>
    <n v="8"/>
    <n v="46"/>
    <x v="1"/>
    <x v="132"/>
  </r>
  <r>
    <n v="674"/>
    <n v="2920"/>
    <n v="1975"/>
    <s v="PhD"/>
    <s v="Single"/>
    <n v="52614"/>
    <n v="0"/>
    <d v="1899-12-31T00:00:00"/>
    <d v="2012-12-01T00:00:00"/>
    <n v="63"/>
    <n v="0"/>
    <n v="9"/>
    <n v="9"/>
    <n v="8"/>
    <n v="51"/>
    <x v="0"/>
    <x v="67"/>
  </r>
  <r>
    <n v="675"/>
    <n v="6961"/>
    <n v="1974"/>
    <s v="Graduation"/>
    <s v="Married"/>
    <n v="26751"/>
    <n v="2"/>
    <d v="1899-12-30T00:00:00"/>
    <d v="2014-05-22T00:00:00"/>
    <n v="26"/>
    <n v="1"/>
    <n v="3"/>
    <n v="3"/>
    <n v="2"/>
    <n v="52"/>
    <x v="0"/>
    <x v="7"/>
  </r>
  <r>
    <n v="676"/>
    <n v="4673"/>
    <n v="1963"/>
    <s v="PhD"/>
    <s v="Married"/>
    <n v="81300"/>
    <n v="0"/>
    <d v="1899-12-31T00:00:00"/>
    <d v="2012-10-30T00:00:00"/>
    <n v="17"/>
    <n v="12"/>
    <n v="12"/>
    <n v="12"/>
    <n v="5"/>
    <n v="63"/>
    <x v="0"/>
    <x v="67"/>
  </r>
  <r>
    <n v="677"/>
    <n v="9937"/>
    <n v="1979"/>
    <s v="Graduation"/>
    <s v="Single"/>
    <n v="70337"/>
    <n v="0"/>
    <d v="1899-12-30T00:00:00"/>
    <d v="2014-01-02T00:00:00"/>
    <n v="75"/>
    <n v="81"/>
    <n v="43"/>
    <n v="43"/>
    <n v="12"/>
    <n v="47"/>
    <x v="1"/>
    <x v="93"/>
  </r>
  <r>
    <n v="678"/>
    <n v="8779"/>
    <n v="1985"/>
    <s v="2n Cycle"/>
    <s v="Married"/>
    <n v="36145"/>
    <n v="1"/>
    <d v="1899-12-30T00:00:00"/>
    <d v="2013-06-16T00:00:00"/>
    <n v="13"/>
    <n v="4"/>
    <n v="1"/>
    <n v="1"/>
    <n v="3"/>
    <n v="41"/>
    <x v="1"/>
    <x v="9"/>
  </r>
  <r>
    <n v="679"/>
    <n v="9596"/>
    <n v="1980"/>
    <s v="PhD"/>
    <s v="Single"/>
    <n v="65295"/>
    <n v="0"/>
    <d v="1899-12-30T00:00:00"/>
    <d v="2013-12-23T00:00:00"/>
    <n v="19"/>
    <n v="32"/>
    <n v="110"/>
    <n v="110"/>
    <n v="13"/>
    <n v="46"/>
    <x v="1"/>
    <x v="133"/>
  </r>
  <r>
    <n v="680"/>
    <n v="2891"/>
    <n v="1963"/>
    <s v="Graduation"/>
    <s v="Divorced"/>
    <n v="68118"/>
    <n v="0"/>
    <d v="1899-12-31T00:00:00"/>
    <d v="2013-10-18T00:00:00"/>
    <n v="51"/>
    <n v="23"/>
    <n v="23"/>
    <n v="23"/>
    <n v="4"/>
    <n v="63"/>
    <x v="0"/>
    <x v="16"/>
  </r>
  <r>
    <n v="681"/>
    <n v="4910"/>
    <n v="1967"/>
    <s v="Graduation"/>
    <s v="Divorced"/>
    <n v="68743"/>
    <n v="0"/>
    <d v="1899-12-30T00:00:00"/>
    <d v="2012-08-30T00:00:00"/>
    <n v="81"/>
    <n v="134"/>
    <n v="134"/>
    <n v="134"/>
    <n v="13"/>
    <n v="59"/>
    <x v="0"/>
    <x v="134"/>
  </r>
  <r>
    <n v="682"/>
    <n v="75"/>
    <n v="1982"/>
    <s v="2n Cycle"/>
    <s v="Together"/>
    <n v="41039"/>
    <n v="0"/>
    <d v="1899-12-30T00:00:00"/>
    <d v="2013-07-25T00:00:00"/>
    <n v="32"/>
    <n v="11"/>
    <n v="61"/>
    <n v="61"/>
    <n v="5"/>
    <n v="44"/>
    <x v="1"/>
    <x v="43"/>
  </r>
  <r>
    <n v="683"/>
    <n v="10120"/>
    <n v="1955"/>
    <s v="Graduation"/>
    <s v="Together"/>
    <n v="38946"/>
    <n v="0"/>
    <d v="1899-12-31T00:00:00"/>
    <d v="2013-10-24T00:00:00"/>
    <n v="84"/>
    <n v="6"/>
    <n v="6"/>
    <n v="6"/>
    <n v="6"/>
    <n v="71"/>
    <x v="0"/>
    <x v="51"/>
  </r>
  <r>
    <n v="684"/>
    <n v="6327"/>
    <n v="1967"/>
    <s v="Graduation"/>
    <s v="Together"/>
    <n v="65777"/>
    <n v="0"/>
    <d v="1899-12-30T00:00:00"/>
    <d v="2013-12-19T00:00:00"/>
    <n v="87"/>
    <n v="32"/>
    <n v="32"/>
    <n v="32"/>
    <n v="6"/>
    <n v="59"/>
    <x v="0"/>
    <x v="73"/>
  </r>
  <r>
    <n v="685"/>
    <n v="10142"/>
    <n v="1976"/>
    <s v="PhD"/>
    <s v="Divorced"/>
    <n v="66476"/>
    <n v="0"/>
    <d v="1899-12-31T00:00:00"/>
    <d v="2013-03-07T00:00:00"/>
    <n v="99"/>
    <n v="18"/>
    <n v="48"/>
    <n v="48"/>
    <n v="11"/>
    <n v="50"/>
    <x v="1"/>
    <x v="79"/>
  </r>
  <r>
    <n v="686"/>
    <n v="9826"/>
    <n v="1972"/>
    <s v="PhD"/>
    <s v="Single"/>
    <n v="86857"/>
    <n v="0"/>
    <d v="1899-12-30T00:00:00"/>
    <d v="2012-09-12T00:00:00"/>
    <n v="96"/>
    <n v="102"/>
    <n v="102"/>
    <n v="102"/>
    <n v="10"/>
    <n v="54"/>
    <x v="0"/>
    <x v="131"/>
  </r>
  <r>
    <n v="687"/>
    <n v="1501"/>
    <n v="1982"/>
    <s v="PhD"/>
    <s v="Married"/>
    <n v="160803"/>
    <n v="0"/>
    <d v="1899-12-30T00:00:00"/>
    <d v="2012-08-04T00:00:00"/>
    <n v="21"/>
    <n v="16"/>
    <n v="3"/>
    <n v="3"/>
    <n v="1"/>
    <n v="44"/>
    <x v="1"/>
    <x v="9"/>
  </r>
  <r>
    <n v="688"/>
    <n v="10767"/>
    <n v="1989"/>
    <s v="PhD"/>
    <s v="Together"/>
    <n v="77845"/>
    <n v="0"/>
    <d v="1899-12-30T00:00:00"/>
    <d v="2014-05-16T00:00:00"/>
    <n v="40"/>
    <n v="40"/>
    <n v="40"/>
    <n v="40"/>
    <n v="12"/>
    <n v="37"/>
    <x v="1"/>
    <x v="5"/>
  </r>
  <r>
    <n v="689"/>
    <n v="7279"/>
    <n v="1969"/>
    <s v="PhD"/>
    <s v="Together"/>
    <n v="69476"/>
    <n v="0"/>
    <d v="1899-12-30T00:00:00"/>
    <d v="2013-09-30T00:00:00"/>
    <n v="3"/>
    <n v="86"/>
    <n v="9"/>
    <n v="9"/>
    <n v="4"/>
    <n v="57"/>
    <x v="0"/>
    <x v="104"/>
  </r>
  <r>
    <n v="690"/>
    <n v="7230"/>
    <n v="1960"/>
    <s v="PhD"/>
    <s v="Divorced"/>
    <n v="50611"/>
    <n v="0"/>
    <d v="1899-12-31T00:00:00"/>
    <d v="2012-10-04T00:00:00"/>
    <n v="98"/>
    <n v="0"/>
    <n v="0"/>
    <n v="0"/>
    <n v="7"/>
    <n v="66"/>
    <x v="0"/>
    <x v="3"/>
  </r>
  <r>
    <n v="691"/>
    <n v="143"/>
    <n v="1970"/>
    <s v="Graduation"/>
    <s v="Single"/>
    <n v="61209"/>
    <n v="0"/>
    <d v="1899-12-30T00:00:00"/>
    <d v="2013-08-25T00:00:00"/>
    <n v="73"/>
    <n v="0"/>
    <n v="49"/>
    <n v="49"/>
    <n v="4"/>
    <n v="56"/>
    <x v="0"/>
    <x v="85"/>
  </r>
  <r>
    <n v="692"/>
    <n v="450"/>
    <n v="1958"/>
    <s v="Master"/>
    <s v="Together"/>
    <n v="42315"/>
    <n v="0"/>
    <d v="1899-12-31T00:00:00"/>
    <d v="2013-07-12T00:00:00"/>
    <n v="90"/>
    <n v="15"/>
    <n v="11"/>
    <n v="11"/>
    <n v="4"/>
    <n v="68"/>
    <x v="0"/>
    <x v="21"/>
  </r>
  <r>
    <n v="693"/>
    <n v="9316"/>
    <n v="1952"/>
    <s v="Basic"/>
    <s v="Together"/>
    <n v="13084"/>
    <n v="0"/>
    <d v="1899-12-30T00:00:00"/>
    <d v="2013-11-02T00:00:00"/>
    <n v="29"/>
    <n v="0"/>
    <n v="7"/>
    <n v="7"/>
    <n v="3"/>
    <n v="74"/>
    <x v="0"/>
    <x v="11"/>
  </r>
  <r>
    <n v="694"/>
    <n v="6379"/>
    <n v="1949"/>
    <s v="Master"/>
    <s v="Widow"/>
    <n v="47570"/>
    <n v="1"/>
    <d v="1899-12-31T00:00:00"/>
    <d v="2013-05-29T00:00:00"/>
    <n v="3"/>
    <n v="1"/>
    <n v="2"/>
    <n v="2"/>
    <n v="2"/>
    <n v="77"/>
    <x v="0"/>
    <x v="9"/>
  </r>
  <r>
    <n v="695"/>
    <n v="9239"/>
    <n v="1961"/>
    <s v="Master"/>
    <s v="Married"/>
    <n v="61923"/>
    <n v="0"/>
    <d v="1900-01-01T00:00:00"/>
    <d v="2013-07-26T00:00:00"/>
    <n v="94"/>
    <n v="4"/>
    <n v="3"/>
    <n v="3"/>
    <n v="4"/>
    <n v="65"/>
    <x v="0"/>
    <x v="3"/>
  </r>
  <r>
    <n v="696"/>
    <n v="8315"/>
    <n v="1995"/>
    <s v="Graduation"/>
    <s v="Single"/>
    <n v="34824"/>
    <n v="0"/>
    <d v="1899-12-30T00:00:00"/>
    <d v="2014-03-26T00:00:00"/>
    <n v="65"/>
    <n v="2"/>
    <n v="0"/>
    <n v="0"/>
    <n v="2"/>
    <n v="31"/>
    <x v="1"/>
    <x v="42"/>
  </r>
  <r>
    <n v="697"/>
    <n v="2868"/>
    <n v="1949"/>
    <s v="PhD"/>
    <s v="Single"/>
    <n v="26518"/>
    <n v="1"/>
    <d v="1899-12-31T00:00:00"/>
    <d v="2013-04-08T00:00:00"/>
    <n v="33"/>
    <n v="1"/>
    <n v="3"/>
    <n v="3"/>
    <n v="3"/>
    <n v="77"/>
    <x v="0"/>
    <x v="29"/>
  </r>
  <r>
    <n v="698"/>
    <n v="10888"/>
    <n v="1961"/>
    <s v="Graduation"/>
    <s v="Single"/>
    <n v="45938"/>
    <n v="0"/>
    <d v="1899-12-30T00:00:00"/>
    <d v="2013-11-03T00:00:00"/>
    <n v="46"/>
    <n v="11"/>
    <n v="83"/>
    <n v="83"/>
    <n v="6"/>
    <n v="65"/>
    <x v="0"/>
    <x v="135"/>
  </r>
  <r>
    <n v="699"/>
    <n v="1277"/>
    <n v="1960"/>
    <s v="Graduation"/>
    <s v="Together"/>
    <n v="78468"/>
    <n v="0"/>
    <d v="1899-12-30T00:00:00"/>
    <d v="2014-04-09T00:00:00"/>
    <n v="29"/>
    <n v="22"/>
    <n v="22"/>
    <n v="22"/>
    <n v="10"/>
    <n v="66"/>
    <x v="0"/>
    <x v="74"/>
  </r>
  <r>
    <n v="700"/>
    <n v="9977"/>
    <n v="1973"/>
    <s v="Graduation"/>
    <s v="Divorced"/>
    <n v="78901"/>
    <n v="0"/>
    <d v="1899-12-31T00:00:00"/>
    <d v="2013-09-17T00:00:00"/>
    <n v="99"/>
    <n v="11"/>
    <n v="26"/>
    <n v="26"/>
    <n v="5"/>
    <n v="53"/>
    <x v="0"/>
    <x v="2"/>
  </r>
  <r>
    <n v="701"/>
    <n v="10196"/>
    <n v="1978"/>
    <s v="Graduation"/>
    <s v="Married"/>
    <n v="71427"/>
    <n v="2"/>
    <d v="1899-12-30T00:00:00"/>
    <d v="2014-03-12T00:00:00"/>
    <n v="26"/>
    <n v="123"/>
    <n v="64"/>
    <n v="64"/>
    <n v="8"/>
    <n v="48"/>
    <x v="1"/>
    <x v="136"/>
  </r>
  <r>
    <n v="702"/>
    <n v="6384"/>
    <n v="1978"/>
    <s v="Graduation"/>
    <s v="Divorced"/>
    <n v="71022"/>
    <n v="0"/>
    <d v="1899-12-31T00:00:00"/>
    <d v="2014-02-11T00:00:00"/>
    <n v="30"/>
    <n v="12"/>
    <n v="12"/>
    <n v="12"/>
    <n v="11"/>
    <n v="48"/>
    <x v="1"/>
    <x v="45"/>
  </r>
  <r>
    <n v="703"/>
    <n v="8029"/>
    <n v="1988"/>
    <s v="Master"/>
    <s v="Single"/>
    <n v="90247"/>
    <n v="0"/>
    <d v="1899-12-30T00:00:00"/>
    <d v="2014-04-29T00:00:00"/>
    <n v="27"/>
    <n v="32"/>
    <n v="16"/>
    <n v="16"/>
    <n v="7"/>
    <n v="38"/>
    <x v="1"/>
    <x v="45"/>
  </r>
  <r>
    <n v="704"/>
    <n v="968"/>
    <n v="1968"/>
    <s v="Master"/>
    <s v="Divorced"/>
    <n v="41335"/>
    <n v="1"/>
    <d v="1899-12-30T00:00:00"/>
    <d v="2013-12-26T00:00:00"/>
    <n v="24"/>
    <n v="19"/>
    <n v="14"/>
    <n v="14"/>
    <n v="4"/>
    <n v="58"/>
    <x v="0"/>
    <x v="14"/>
  </r>
  <r>
    <n v="705"/>
    <n v="6988"/>
    <n v="1986"/>
    <s v="Graduation"/>
    <s v="Married"/>
    <n v="71952"/>
    <n v="1"/>
    <d v="1899-12-30T00:00:00"/>
    <d v="2013-01-10T00:00:00"/>
    <n v="93"/>
    <n v="80"/>
    <n v="107"/>
    <n v="107"/>
    <n v="8"/>
    <n v="40"/>
    <x v="1"/>
    <x v="99"/>
  </r>
  <r>
    <n v="706"/>
    <n v="4472"/>
    <n v="1970"/>
    <s v="PhD"/>
    <s v="Divorced"/>
    <n v="35682"/>
    <n v="1"/>
    <d v="1899-12-30T00:00:00"/>
    <d v="2014-06-27T00:00:00"/>
    <n v="34"/>
    <n v="0"/>
    <n v="2"/>
    <n v="2"/>
    <n v="3"/>
    <n v="56"/>
    <x v="0"/>
    <x v="7"/>
  </r>
  <r>
    <n v="707"/>
    <n v="6991"/>
    <n v="1951"/>
    <s v="Graduation"/>
    <s v="Divorced"/>
    <n v="43185"/>
    <n v="0"/>
    <d v="1899-12-31T00:00:00"/>
    <d v="2013-04-10T00:00:00"/>
    <n v="88"/>
    <n v="6"/>
    <n v="6"/>
    <n v="6"/>
    <n v="6"/>
    <n v="75"/>
    <x v="0"/>
    <x v="51"/>
  </r>
  <r>
    <n v="708"/>
    <n v="3336"/>
    <n v="1948"/>
    <s v="PhD"/>
    <s v="Together"/>
    <n v="66375"/>
    <n v="0"/>
    <d v="1899-12-31T00:00:00"/>
    <d v="2013-11-21T00:00:00"/>
    <n v="96"/>
    <n v="0"/>
    <n v="0"/>
    <n v="0"/>
    <n v="5"/>
    <n v="78"/>
    <x v="0"/>
    <x v="7"/>
  </r>
  <r>
    <n v="709"/>
    <n v="4301"/>
    <n v="1971"/>
    <s v="Master"/>
    <s v="Married"/>
    <n v="35178"/>
    <n v="1"/>
    <d v="1899-12-30T00:00:00"/>
    <d v="2013-01-10T00:00:00"/>
    <n v="10"/>
    <n v="1"/>
    <n v="2"/>
    <n v="2"/>
    <n v="2"/>
    <n v="55"/>
    <x v="0"/>
    <x v="9"/>
  </r>
  <r>
    <n v="710"/>
    <n v="1940"/>
    <n v="1986"/>
    <s v="Graduation"/>
    <s v="Married"/>
    <n v="25252"/>
    <n v="1"/>
    <d v="1899-12-30T00:00:00"/>
    <d v="2013-07-12T00:00:00"/>
    <n v="26"/>
    <n v="3"/>
    <n v="2"/>
    <n v="2"/>
    <n v="2"/>
    <n v="40"/>
    <x v="1"/>
    <x v="9"/>
  </r>
  <r>
    <n v="711"/>
    <n v="1272"/>
    <n v="1965"/>
    <s v="Master"/>
    <s v="Single"/>
    <n v="55250"/>
    <n v="0"/>
    <d v="1899-12-31T00:00:00"/>
    <d v="2012-10-21T00:00:00"/>
    <n v="49"/>
    <n v="58"/>
    <n v="0"/>
    <n v="0"/>
    <n v="10"/>
    <n v="61"/>
    <x v="0"/>
    <x v="11"/>
  </r>
  <r>
    <n v="712"/>
    <n v="1388"/>
    <n v="1975"/>
    <s v="Graduation"/>
    <s v="Single"/>
    <n v="33249"/>
    <n v="1"/>
    <d v="1899-12-30T00:00:00"/>
    <d v="2013-02-20T00:00:00"/>
    <n v="11"/>
    <n v="10"/>
    <n v="14"/>
    <n v="14"/>
    <n v="3"/>
    <n v="51"/>
    <x v="0"/>
    <x v="67"/>
  </r>
  <r>
    <n v="713"/>
    <n v="1044"/>
    <n v="1953"/>
    <s v="Graduation"/>
    <s v="Together"/>
    <n v="58398"/>
    <n v="0"/>
    <d v="1899-12-30T00:00:00"/>
    <d v="2013-05-14T00:00:00"/>
    <n v="44"/>
    <n v="5"/>
    <n v="21"/>
    <n v="21"/>
    <n v="8"/>
    <n v="73"/>
    <x v="0"/>
    <x v="89"/>
  </r>
  <r>
    <n v="714"/>
    <n v="6969"/>
    <n v="1982"/>
    <s v="Graduation"/>
    <s v="Together"/>
    <n v="50272"/>
    <n v="1"/>
    <d v="1899-12-30T00:00:00"/>
    <d v="2013-08-07T00:00:00"/>
    <n v="75"/>
    <n v="13"/>
    <n v="8"/>
    <n v="8"/>
    <n v="5"/>
    <n v="44"/>
    <x v="1"/>
    <x v="104"/>
  </r>
  <r>
    <n v="715"/>
    <n v="10479"/>
    <n v="1975"/>
    <s v="PhD"/>
    <s v="Married"/>
    <n v="76618"/>
    <n v="0"/>
    <d v="1899-12-30T00:00:00"/>
    <d v="2012-12-07T00:00:00"/>
    <n v="64"/>
    <n v="40"/>
    <n v="160"/>
    <n v="160"/>
    <n v="5"/>
    <n v="51"/>
    <x v="0"/>
    <x v="137"/>
  </r>
  <r>
    <n v="716"/>
    <n v="3619"/>
    <n v="1960"/>
    <s v="2n Cycle"/>
    <s v="Divorced"/>
    <n v="87305"/>
    <n v="0"/>
    <d v="1899-12-30T00:00:00"/>
    <d v="2012-09-23T00:00:00"/>
    <n v="19"/>
    <n v="25"/>
    <n v="138"/>
    <n v="138"/>
    <n v="8"/>
    <n v="66"/>
    <x v="0"/>
    <x v="90"/>
  </r>
  <r>
    <n v="717"/>
    <n v="1715"/>
    <n v="1978"/>
    <s v="Graduation"/>
    <s v="Together"/>
    <n v="25851"/>
    <n v="1"/>
    <d v="1899-12-30T00:00:00"/>
    <d v="2013-02-11T00:00:00"/>
    <n v="45"/>
    <n v="4"/>
    <n v="5"/>
    <n v="5"/>
    <n v="3"/>
    <n v="48"/>
    <x v="1"/>
    <x v="41"/>
  </r>
  <r>
    <n v="718"/>
    <n v="10159"/>
    <n v="1970"/>
    <s v="Graduation"/>
    <s v="Divorced"/>
    <n v="58710"/>
    <n v="0"/>
    <d v="1899-12-31T00:00:00"/>
    <d v="2013-03-31T00:00:00"/>
    <n v="77"/>
    <n v="81"/>
    <n v="122"/>
    <n v="122"/>
    <n v="9"/>
    <n v="56"/>
    <x v="0"/>
    <x v="138"/>
  </r>
  <r>
    <n v="719"/>
    <n v="1463"/>
    <n v="1958"/>
    <s v="Graduation"/>
    <s v="Single"/>
    <n v="45160"/>
    <n v="1"/>
    <d v="1899-12-31T00:00:00"/>
    <d v="2014-03-29T00:00:00"/>
    <n v="9"/>
    <n v="2"/>
    <n v="0"/>
    <n v="0"/>
    <n v="2"/>
    <n v="68"/>
    <x v="0"/>
    <x v="42"/>
  </r>
  <r>
    <n v="720"/>
    <n v="5114"/>
    <n v="1965"/>
    <s v="Master"/>
    <s v="Married"/>
    <n v="74806"/>
    <n v="0"/>
    <d v="1899-12-31T00:00:00"/>
    <d v="2012-12-19T00:00:00"/>
    <n v="1"/>
    <n v="9"/>
    <n v="28"/>
    <n v="28"/>
    <n v="5"/>
    <n v="61"/>
    <x v="0"/>
    <x v="4"/>
  </r>
  <r>
    <n v="721"/>
    <n v="4990"/>
    <n v="1954"/>
    <s v="Graduation"/>
    <s v="Married"/>
    <n v="59111"/>
    <n v="0"/>
    <d v="1899-12-30T00:00:00"/>
    <d v="2013-05-02T00:00:00"/>
    <n v="90"/>
    <n v="0"/>
    <n v="28"/>
    <n v="28"/>
    <n v="8"/>
    <n v="72"/>
    <x v="0"/>
    <x v="50"/>
  </r>
  <r>
    <n v="722"/>
    <n v="4329"/>
    <n v="1984"/>
    <s v="PhD"/>
    <s v="Married"/>
    <n v="18988"/>
    <n v="1"/>
    <d v="1899-12-30T00:00:00"/>
    <d v="2014-05-23T00:00:00"/>
    <n v="43"/>
    <n v="0"/>
    <n v="1"/>
    <n v="1"/>
    <n v="3"/>
    <n v="42"/>
    <x v="1"/>
    <x v="9"/>
  </r>
  <r>
    <n v="723"/>
    <n v="10936"/>
    <n v="1965"/>
    <s v="Graduation"/>
    <s v="Married"/>
    <n v="72190"/>
    <n v="0"/>
    <d v="1899-12-30T00:00:00"/>
    <d v="2013-02-13T00:00:00"/>
    <n v="79"/>
    <n v="166"/>
    <n v="166"/>
    <n v="166"/>
    <n v="4"/>
    <n v="61"/>
    <x v="0"/>
    <x v="139"/>
  </r>
  <r>
    <n v="724"/>
    <n v="4692"/>
    <n v="1976"/>
    <s v="Graduation"/>
    <s v="Married"/>
    <n v="7500"/>
    <n v="1"/>
    <d v="1899-12-30T00:00:00"/>
    <d v="2012-08-01T00:00:00"/>
    <n v="19"/>
    <n v="0"/>
    <n v="7"/>
    <n v="7"/>
    <n v="2"/>
    <n v="50"/>
    <x v="1"/>
    <x v="18"/>
  </r>
  <r>
    <n v="725"/>
    <n v="7212"/>
    <n v="1966"/>
    <s v="Graduation"/>
    <s v="Married"/>
    <n v="44794"/>
    <n v="0"/>
    <d v="1899-12-31T00:00:00"/>
    <d v="2014-06-08T00:00:00"/>
    <n v="99"/>
    <n v="0"/>
    <n v="0"/>
    <n v="0"/>
    <n v="3"/>
    <n v="60"/>
    <x v="0"/>
    <x v="1"/>
  </r>
  <r>
    <n v="726"/>
    <n v="6086"/>
    <n v="1955"/>
    <s v="Graduation"/>
    <s v="Married"/>
    <n v="80395"/>
    <n v="0"/>
    <d v="1899-12-30T00:00:00"/>
    <d v="2013-11-23T00:00:00"/>
    <n v="62"/>
    <n v="25"/>
    <n v="76"/>
    <n v="76"/>
    <n v="12"/>
    <n v="71"/>
    <x v="0"/>
    <x v="118"/>
  </r>
  <r>
    <n v="727"/>
    <n v="437"/>
    <n v="1976"/>
    <s v="Master"/>
    <s v="Divorced"/>
    <n v="75012"/>
    <n v="0"/>
    <d v="1899-12-30T00:00:00"/>
    <d v="2014-01-25T00:00:00"/>
    <n v="41"/>
    <n v="142"/>
    <n v="58"/>
    <n v="58"/>
    <n v="11"/>
    <n v="50"/>
    <x v="1"/>
    <x v="140"/>
  </r>
  <r>
    <n v="728"/>
    <n v="11171"/>
    <n v="1965"/>
    <s v="Master"/>
    <s v="Married"/>
    <n v="56962"/>
    <n v="2"/>
    <d v="1899-12-31T00:00:00"/>
    <d v="2013-10-11T00:00:00"/>
    <n v="60"/>
    <n v="3"/>
    <n v="3"/>
    <n v="3"/>
    <n v="5"/>
    <n v="61"/>
    <x v="0"/>
    <x v="41"/>
  </r>
  <r>
    <n v="729"/>
    <n v="11101"/>
    <n v="1991"/>
    <s v="Graduation"/>
    <s v="Together"/>
    <n v="89891"/>
    <n v="0"/>
    <d v="1899-12-30T00:00:00"/>
    <d v="2013-04-15T00:00:00"/>
    <n v="17"/>
    <n v="22"/>
    <n v="28"/>
    <n v="28"/>
    <n v="8"/>
    <n v="35"/>
    <x v="1"/>
    <x v="50"/>
  </r>
  <r>
    <n v="730"/>
    <n v="5329"/>
    <n v="1949"/>
    <s v="PhD"/>
    <s v="Divorced"/>
    <n v="35946"/>
    <n v="1"/>
    <d v="1899-12-31T00:00:00"/>
    <d v="2013-09-27T00:00:00"/>
    <n v="24"/>
    <n v="0"/>
    <n v="0"/>
    <n v="0"/>
    <n v="3"/>
    <n v="77"/>
    <x v="0"/>
    <x v="1"/>
  </r>
  <r>
    <n v="731"/>
    <n v="610"/>
    <n v="1953"/>
    <s v="PhD"/>
    <s v="Together"/>
    <n v="53593"/>
    <n v="1"/>
    <d v="1899-12-31T00:00:00"/>
    <d v="2012-08-07T00:00:00"/>
    <n v="60"/>
    <n v="4"/>
    <n v="0"/>
    <n v="0"/>
    <n v="6"/>
    <n v="73"/>
    <x v="0"/>
    <x v="29"/>
  </r>
  <r>
    <n v="732"/>
    <n v="9384"/>
    <n v="1978"/>
    <s v="Graduation"/>
    <s v="Married"/>
    <n v="66373"/>
    <n v="1"/>
    <d v="1899-12-31T00:00:00"/>
    <d v="2013-06-12T00:00:00"/>
    <n v="57"/>
    <n v="9"/>
    <n v="24"/>
    <n v="24"/>
    <n v="10"/>
    <n v="48"/>
    <x v="1"/>
    <x v="35"/>
  </r>
  <r>
    <n v="733"/>
    <n v="5956"/>
    <n v="1948"/>
    <s v="PhD"/>
    <s v="Divorced"/>
    <n v="45072"/>
    <n v="1"/>
    <d v="1900-01-01T00:00:00"/>
    <d v="2013-10-16T00:00:00"/>
    <n v="74"/>
    <n v="2"/>
    <n v="2"/>
    <n v="2"/>
    <n v="4"/>
    <n v="78"/>
    <x v="0"/>
    <x v="29"/>
  </r>
  <r>
    <n v="734"/>
    <n v="10430"/>
    <n v="1973"/>
    <s v="Graduation"/>
    <s v="Divorced"/>
    <n v="89694"/>
    <n v="1"/>
    <d v="1899-12-31T00:00:00"/>
    <d v="2013-10-09T00:00:00"/>
    <n v="22"/>
    <n v="28"/>
    <n v="28"/>
    <n v="28"/>
    <n v="4"/>
    <n v="53"/>
    <x v="0"/>
    <x v="74"/>
  </r>
  <r>
    <n v="735"/>
    <n v="7875"/>
    <n v="1949"/>
    <s v="Graduation"/>
    <s v="Married"/>
    <n v="72025"/>
    <n v="0"/>
    <d v="1899-12-30T00:00:00"/>
    <d v="2014-04-29T00:00:00"/>
    <n v="46"/>
    <n v="0"/>
    <n v="50"/>
    <n v="50"/>
    <n v="13"/>
    <n v="77"/>
    <x v="0"/>
    <x v="102"/>
  </r>
  <r>
    <n v="736"/>
    <n v="7072"/>
    <n v="1973"/>
    <s v="Graduation"/>
    <s v="Married"/>
    <n v="67432"/>
    <n v="0"/>
    <d v="1899-12-31T00:00:00"/>
    <d v="2013-03-29T00:00:00"/>
    <n v="69"/>
    <n v="79"/>
    <n v="136"/>
    <n v="136"/>
    <n v="4"/>
    <n v="53"/>
    <x v="0"/>
    <x v="48"/>
  </r>
  <r>
    <n v="737"/>
    <n v="6255"/>
    <n v="1952"/>
    <s v="Master"/>
    <s v="Together"/>
    <n v="70545"/>
    <n v="0"/>
    <d v="1899-12-31T00:00:00"/>
    <d v="2014-06-03T00:00:00"/>
    <n v="29"/>
    <n v="39"/>
    <n v="18"/>
    <n v="18"/>
    <n v="7"/>
    <n v="74"/>
    <x v="0"/>
    <x v="15"/>
  </r>
  <r>
    <n v="738"/>
    <n v="6516"/>
    <n v="1989"/>
    <s v="Basic"/>
    <s v="Married"/>
    <n v="17487"/>
    <n v="1"/>
    <d v="1899-12-30T00:00:00"/>
    <d v="2013-03-18T00:00:00"/>
    <n v="37"/>
    <n v="0"/>
    <n v="4"/>
    <n v="4"/>
    <n v="2"/>
    <n v="37"/>
    <x v="1"/>
    <x v="29"/>
  </r>
  <r>
    <n v="739"/>
    <n v="5564"/>
    <n v="1969"/>
    <s v="Graduation"/>
    <s v="Together"/>
    <n v="62882"/>
    <n v="0"/>
    <d v="1899-12-31T00:00:00"/>
    <d v="2012-08-09T00:00:00"/>
    <n v="26"/>
    <n v="133"/>
    <n v="24"/>
    <n v="24"/>
    <n v="6"/>
    <n v="57"/>
    <x v="0"/>
    <x v="39"/>
  </r>
  <r>
    <n v="740"/>
    <n v="5682"/>
    <n v="1953"/>
    <s v="PhD"/>
    <s v="Single"/>
    <n v="64108"/>
    <n v="0"/>
    <d v="1899-12-31T00:00:00"/>
    <d v="2013-03-23T00:00:00"/>
    <n v="8"/>
    <n v="10"/>
    <n v="21"/>
    <n v="21"/>
    <n v="11"/>
    <n v="73"/>
    <x v="0"/>
    <x v="74"/>
  </r>
  <r>
    <n v="741"/>
    <n v="7458"/>
    <n v="1956"/>
    <s v="Master"/>
    <s v="Together"/>
    <n v="34941"/>
    <n v="1"/>
    <d v="1899-12-31T00:00:00"/>
    <d v="2013-03-06T00:00:00"/>
    <n v="26"/>
    <n v="2"/>
    <n v="3"/>
    <n v="3"/>
    <n v="3"/>
    <n v="70"/>
    <x v="0"/>
    <x v="29"/>
  </r>
  <r>
    <n v="742"/>
    <n v="5237"/>
    <n v="1950"/>
    <s v="PhD"/>
    <s v="Single"/>
    <n v="48767"/>
    <n v="1"/>
    <d v="1900-01-01T00:00:00"/>
    <d v="2014-01-01T00:00:00"/>
    <n v="79"/>
    <n v="1"/>
    <n v="0"/>
    <n v="0"/>
    <n v="3"/>
    <n v="76"/>
    <x v="0"/>
    <x v="1"/>
  </r>
  <r>
    <n v="743"/>
    <n v="7761"/>
    <n v="1978"/>
    <s v="2n Cycle"/>
    <s v="Together"/>
    <n v="38702"/>
    <n v="1"/>
    <d v="1899-12-30T00:00:00"/>
    <d v="2013-08-01T00:00:00"/>
    <n v="71"/>
    <n v="11"/>
    <n v="8"/>
    <n v="8"/>
    <n v="4"/>
    <n v="48"/>
    <x v="1"/>
    <x v="51"/>
  </r>
  <r>
    <n v="744"/>
    <n v="5278"/>
    <n v="1964"/>
    <s v="Graduation"/>
    <s v="Married"/>
    <n v="82224"/>
    <n v="0"/>
    <d v="1899-12-30T00:00:00"/>
    <d v="2014-01-25T00:00:00"/>
    <n v="83"/>
    <n v="26"/>
    <n v="31"/>
    <n v="31"/>
    <n v="5"/>
    <n v="62"/>
    <x v="0"/>
    <x v="50"/>
  </r>
  <r>
    <n v="745"/>
    <n v="3560"/>
    <n v="1952"/>
    <s v="Graduation"/>
    <s v="Together"/>
    <n v="83844"/>
    <n v="0"/>
    <d v="1899-12-30T00:00:00"/>
    <d v="2013-05-12T00:00:00"/>
    <n v="57"/>
    <n v="31"/>
    <n v="31"/>
    <n v="31"/>
    <n v="11"/>
    <n v="74"/>
    <x v="0"/>
    <x v="66"/>
  </r>
  <r>
    <n v="746"/>
    <n v="7235"/>
    <n v="1975"/>
    <s v="2n Cycle"/>
    <s v="Married"/>
    <n v="17003"/>
    <n v="1"/>
    <d v="1899-12-30T00:00:00"/>
    <d v="2013-12-09T00:00:00"/>
    <n v="37"/>
    <n v="5"/>
    <n v="8"/>
    <n v="8"/>
    <n v="4"/>
    <n v="51"/>
    <x v="0"/>
    <x v="51"/>
  </r>
  <r>
    <n v="747"/>
    <n v="10548"/>
    <n v="1995"/>
    <s v="Graduation"/>
    <s v="Single"/>
    <n v="71163"/>
    <n v="0"/>
    <d v="1899-12-30T00:00:00"/>
    <d v="2014-03-09T00:00:00"/>
    <n v="30"/>
    <n v="17"/>
    <n v="106"/>
    <n v="106"/>
    <n v="12"/>
    <n v="31"/>
    <x v="1"/>
    <x v="141"/>
  </r>
  <r>
    <n v="748"/>
    <n v="2281"/>
    <n v="1970"/>
    <s v="Graduation"/>
    <s v="Single"/>
    <n v="33697"/>
    <n v="1"/>
    <d v="1899-12-30T00:00:00"/>
    <d v="2013-09-15T00:00:00"/>
    <n v="34"/>
    <n v="3"/>
    <n v="3"/>
    <n v="3"/>
    <n v="2"/>
    <n v="56"/>
    <x v="0"/>
    <x v="7"/>
  </r>
  <r>
    <n v="749"/>
    <n v="4073"/>
    <n v="1954"/>
    <s v="2n Cycle"/>
    <s v="Married"/>
    <n v="63564"/>
    <n v="0"/>
    <d v="1899-12-30T00:00:00"/>
    <d v="2014-01-29T00:00:00"/>
    <n v="0"/>
    <n v="80"/>
    <n v="34"/>
    <n v="34"/>
    <n v="7"/>
    <n v="72"/>
    <x v="0"/>
    <x v="19"/>
  </r>
  <r>
    <n v="750"/>
    <n v="6974"/>
    <n v="1972"/>
    <s v="PhD"/>
    <s v="Together"/>
    <n v="83443"/>
    <n v="0"/>
    <d v="1899-12-30T00:00:00"/>
    <d v="2013-12-31T00:00:00"/>
    <n v="89"/>
    <n v="42"/>
    <n v="56"/>
    <n v="56"/>
    <n v="5"/>
    <n v="54"/>
    <x v="0"/>
    <x v="123"/>
  </r>
  <r>
    <n v="751"/>
    <n v="7938"/>
    <n v="1958"/>
    <s v="PhD"/>
    <s v="Together"/>
    <n v="51518"/>
    <n v="0"/>
    <d v="1899-12-31T00:00:00"/>
    <d v="2013-10-03T00:00:00"/>
    <n v="92"/>
    <n v="8"/>
    <n v="4"/>
    <n v="4"/>
    <n v="10"/>
    <n v="68"/>
    <x v="0"/>
    <x v="31"/>
  </r>
  <r>
    <n v="752"/>
    <n v="7094"/>
    <n v="1975"/>
    <s v="Graduation"/>
    <s v="Widow"/>
    <n v="58330"/>
    <n v="0"/>
    <d v="1899-12-31T00:00:00"/>
    <d v="2013-12-25T00:00:00"/>
    <n v="87"/>
    <n v="53"/>
    <n v="98"/>
    <n v="98"/>
    <n v="13"/>
    <n v="51"/>
    <x v="0"/>
    <x v="77"/>
  </r>
  <r>
    <n v="753"/>
    <n v="3667"/>
    <n v="1969"/>
    <s v="Graduation"/>
    <s v="Married"/>
    <n v="80952"/>
    <n v="0"/>
    <d v="1899-12-30T00:00:00"/>
    <d v="2013-02-28T00:00:00"/>
    <n v="20"/>
    <n v="178"/>
    <n v="27"/>
    <n v="27"/>
    <n v="11"/>
    <n v="57"/>
    <x v="0"/>
    <x v="73"/>
  </r>
  <r>
    <n v="754"/>
    <n v="7723"/>
    <n v="1979"/>
    <s v="Graduation"/>
    <s v="Together"/>
    <n v="75507"/>
    <n v="0"/>
    <d v="1899-12-30T00:00:00"/>
    <d v="2014-05-02T00:00:00"/>
    <n v="56"/>
    <n v="93"/>
    <n v="80"/>
    <n v="80"/>
    <n v="6"/>
    <n v="47"/>
    <x v="1"/>
    <x v="117"/>
  </r>
  <r>
    <n v="755"/>
    <n v="3870"/>
    <n v="1978"/>
    <s v="2n Cycle"/>
    <s v="Together"/>
    <n v="63855"/>
    <n v="0"/>
    <d v="1899-12-30T00:00:00"/>
    <d v="2013-02-09T00:00:00"/>
    <n v="28"/>
    <n v="35"/>
    <n v="116"/>
    <n v="116"/>
    <n v="13"/>
    <n v="48"/>
    <x v="1"/>
    <x v="96"/>
  </r>
  <r>
    <n v="756"/>
    <n v="4012"/>
    <n v="1972"/>
    <s v="PhD"/>
    <s v="Together"/>
    <n v="62220"/>
    <n v="0"/>
    <d v="1899-12-31T00:00:00"/>
    <d v="2012-08-11T00:00:00"/>
    <n v="55"/>
    <n v="12"/>
    <n v="12"/>
    <n v="12"/>
    <n v="5"/>
    <n v="54"/>
    <x v="0"/>
    <x v="67"/>
  </r>
  <r>
    <n v="757"/>
    <n v="5909"/>
    <n v="1964"/>
    <s v="Graduation"/>
    <s v="Married"/>
    <n v="58512"/>
    <n v="0"/>
    <d v="1899-12-31T00:00:00"/>
    <d v="2013-09-19T00:00:00"/>
    <n v="25"/>
    <n v="10"/>
    <n v="0"/>
    <n v="0"/>
    <n v="8"/>
    <n v="62"/>
    <x v="0"/>
    <x v="41"/>
  </r>
  <r>
    <n v="758"/>
    <n v="10470"/>
    <n v="1979"/>
    <s v="Master"/>
    <s v="Married"/>
    <n v="40662"/>
    <n v="1"/>
    <d v="1899-12-30T00:00:00"/>
    <d v="2013-03-15T00:00:00"/>
    <n v="0"/>
    <n v="2"/>
    <n v="4"/>
    <n v="4"/>
    <n v="3"/>
    <n v="47"/>
    <x v="1"/>
    <x v="3"/>
  </r>
  <r>
    <n v="759"/>
    <n v="6488"/>
    <n v="1959"/>
    <s v="PhD"/>
    <s v="Married"/>
    <n v="38829"/>
    <n v="0"/>
    <d v="1899-12-31T00:00:00"/>
    <d v="2014-04-06T00:00:00"/>
    <n v="86"/>
    <n v="0"/>
    <n v="0"/>
    <n v="0"/>
    <n v="2"/>
    <n v="67"/>
    <x v="0"/>
    <x v="42"/>
  </r>
  <r>
    <n v="760"/>
    <n v="10270"/>
    <n v="1981"/>
    <s v="2n Cycle"/>
    <s v="Married"/>
    <n v="35523"/>
    <n v="1"/>
    <d v="1899-12-30T00:00:00"/>
    <d v="2013-10-03T00:00:00"/>
    <n v="8"/>
    <n v="5"/>
    <n v="5"/>
    <n v="5"/>
    <n v="3"/>
    <n v="45"/>
    <x v="1"/>
    <x v="41"/>
  </r>
  <r>
    <n v="761"/>
    <n v="6887"/>
    <n v="1967"/>
    <s v="Graduation"/>
    <s v="Single"/>
    <n v="79146"/>
    <n v="1"/>
    <d v="1899-12-31T00:00:00"/>
    <d v="2014-04-24T00:00:00"/>
    <n v="33"/>
    <n v="16"/>
    <n v="43"/>
    <n v="43"/>
    <n v="8"/>
    <n v="59"/>
    <x v="0"/>
    <x v="106"/>
  </r>
  <r>
    <n v="762"/>
    <n v="6406"/>
    <n v="1988"/>
    <s v="Master"/>
    <s v="Married"/>
    <n v="78285"/>
    <n v="0"/>
    <d v="1899-12-30T00:00:00"/>
    <d v="2013-10-28T00:00:00"/>
    <n v="13"/>
    <n v="107"/>
    <n v="67"/>
    <n v="67"/>
    <n v="10"/>
    <n v="38"/>
    <x v="1"/>
    <x v="25"/>
  </r>
  <r>
    <n v="763"/>
    <n v="7573"/>
    <n v="1978"/>
    <s v="PhD"/>
    <s v="Single"/>
    <n v="31626"/>
    <n v="1"/>
    <d v="1899-12-30T00:00:00"/>
    <d v="2013-05-10T00:00:00"/>
    <n v="12"/>
    <n v="1"/>
    <n v="1"/>
    <n v="1"/>
    <n v="2"/>
    <n v="48"/>
    <x v="1"/>
    <x v="1"/>
  </r>
  <r>
    <n v="764"/>
    <n v="4508"/>
    <n v="1952"/>
    <s v="Graduation"/>
    <s v="Single"/>
    <n v="75127"/>
    <n v="0"/>
    <d v="1899-12-30T00:00:00"/>
    <d v="2014-05-22T00:00:00"/>
    <n v="92"/>
    <n v="35"/>
    <n v="17"/>
    <n v="17"/>
    <n v="5"/>
    <n v="74"/>
    <x v="0"/>
    <x v="62"/>
  </r>
  <r>
    <n v="765"/>
    <n v="221"/>
    <n v="1955"/>
    <s v="Graduation"/>
    <s v="Married"/>
    <n v="48726"/>
    <n v="0"/>
    <d v="1899-12-31T00:00:00"/>
    <d v="2013-04-27T00:00:00"/>
    <n v="90"/>
    <n v="3"/>
    <n v="0"/>
    <n v="0"/>
    <n v="4"/>
    <n v="71"/>
    <x v="0"/>
    <x v="9"/>
  </r>
  <r>
    <n v="766"/>
    <n v="5331"/>
    <n v="1977"/>
    <s v="Graduation"/>
    <s v="Married"/>
    <n v="74985"/>
    <n v="0"/>
    <d v="1899-12-30T00:00:00"/>
    <d v="2012-09-11T00:00:00"/>
    <n v="8"/>
    <n v="51"/>
    <n v="0"/>
    <n v="0"/>
    <n v="7"/>
    <n v="49"/>
    <x v="1"/>
    <x v="3"/>
  </r>
  <r>
    <n v="767"/>
    <n v="1911"/>
    <n v="1987"/>
    <s v="Graduation"/>
    <s v="Together"/>
    <n v="67430"/>
    <n v="0"/>
    <d v="1899-12-30T00:00:00"/>
    <d v="2012-09-05T00:00:00"/>
    <n v="6"/>
    <n v="97"/>
    <n v="133"/>
    <n v="133"/>
    <n v="12"/>
    <n v="39"/>
    <x v="1"/>
    <x v="142"/>
  </r>
  <r>
    <n v="768"/>
    <n v="20"/>
    <n v="1965"/>
    <s v="2n Cycle"/>
    <s v="Married"/>
    <n v="46891"/>
    <n v="0"/>
    <d v="1899-12-31T00:00:00"/>
    <d v="2013-09-01T00:00:00"/>
    <n v="91"/>
    <n v="12"/>
    <n v="15"/>
    <n v="15"/>
    <n v="4"/>
    <n v="61"/>
    <x v="0"/>
    <x v="44"/>
  </r>
  <r>
    <n v="769"/>
    <n v="8786"/>
    <n v="1956"/>
    <s v="Master"/>
    <s v="Married"/>
    <n v="62058"/>
    <n v="0"/>
    <d v="1899-12-31T00:00:00"/>
    <d v="2013-05-26T00:00:00"/>
    <n v="52"/>
    <n v="7"/>
    <n v="0"/>
    <n v="0"/>
    <n v="7"/>
    <n v="70"/>
    <x v="0"/>
    <x v="3"/>
  </r>
  <r>
    <n v="770"/>
    <n v="10582"/>
    <n v="1979"/>
    <s v="Graduation"/>
    <s v="Married"/>
    <n v="72063"/>
    <n v="0"/>
    <d v="1899-12-31T00:00:00"/>
    <d v="2013-07-03T00:00:00"/>
    <n v="3"/>
    <n v="32"/>
    <n v="32"/>
    <n v="32"/>
    <n v="12"/>
    <n v="47"/>
    <x v="1"/>
    <x v="109"/>
  </r>
  <r>
    <n v="771"/>
    <n v="1915"/>
    <n v="1951"/>
    <s v="PhD"/>
    <s v="Married"/>
    <n v="78939"/>
    <n v="0"/>
    <d v="1899-12-30T00:00:00"/>
    <d v="2013-12-12T00:00:00"/>
    <n v="57"/>
    <n v="115"/>
    <n v="0"/>
    <n v="0"/>
    <n v="6"/>
    <n v="75"/>
    <x v="0"/>
    <x v="29"/>
  </r>
  <r>
    <n v="772"/>
    <n v="8897"/>
    <n v="1965"/>
    <s v="Graduation"/>
    <s v="Single"/>
    <n v="42720"/>
    <n v="1"/>
    <d v="1899-12-31T00:00:00"/>
    <d v="2013-04-24T00:00:00"/>
    <n v="9"/>
    <n v="5"/>
    <n v="26"/>
    <n v="26"/>
    <n v="7"/>
    <n v="61"/>
    <x v="0"/>
    <x v="4"/>
  </r>
  <r>
    <n v="773"/>
    <n v="2371"/>
    <n v="1972"/>
    <s v="Graduation"/>
    <s v="Married"/>
    <n v="33622"/>
    <n v="1"/>
    <d v="1899-12-31T00:00:00"/>
    <d v="2013-04-13T00:00:00"/>
    <n v="22"/>
    <n v="1"/>
    <n v="4"/>
    <n v="4"/>
    <n v="4"/>
    <n v="54"/>
    <x v="0"/>
    <x v="41"/>
  </r>
  <r>
    <n v="774"/>
    <n v="4303"/>
    <n v="1957"/>
    <s v="PhD"/>
    <s v="Together"/>
    <n v="6835"/>
    <n v="0"/>
    <d v="1899-12-31T00:00:00"/>
    <d v="2012-12-08T00:00:00"/>
    <n v="76"/>
    <n v="2"/>
    <n v="2"/>
    <n v="2"/>
    <n v="1"/>
    <n v="69"/>
    <x v="0"/>
    <x v="1"/>
  </r>
  <r>
    <n v="775"/>
    <n v="6825"/>
    <n v="1953"/>
    <s v="Graduation"/>
    <s v="Together"/>
    <n v="41452"/>
    <n v="1"/>
    <d v="1899-12-31T00:00:00"/>
    <d v="2013-03-06T00:00:00"/>
    <n v="86"/>
    <n v="0"/>
    <n v="0"/>
    <n v="0"/>
    <n v="2"/>
    <n v="73"/>
    <x v="0"/>
    <x v="42"/>
  </r>
  <r>
    <n v="776"/>
    <n v="1072"/>
    <n v="1965"/>
    <s v="PhD"/>
    <s v="Single"/>
    <n v="40760"/>
    <n v="0"/>
    <d v="1899-12-31T00:00:00"/>
    <d v="2013-08-30T00:00:00"/>
    <n v="64"/>
    <n v="0"/>
    <n v="0"/>
    <n v="0"/>
    <n v="3"/>
    <n v="61"/>
    <x v="0"/>
    <x v="1"/>
  </r>
  <r>
    <n v="777"/>
    <n v="4964"/>
    <n v="1958"/>
    <s v="PhD"/>
    <s v="Together"/>
    <n v="74250"/>
    <n v="0"/>
    <d v="1899-12-30T00:00:00"/>
    <d v="2014-01-26T00:00:00"/>
    <n v="90"/>
    <n v="11"/>
    <n v="0"/>
    <n v="0"/>
    <n v="4"/>
    <n v="68"/>
    <x v="0"/>
    <x v="9"/>
  </r>
  <r>
    <n v="778"/>
    <n v="2461"/>
    <n v="1955"/>
    <s v="Master"/>
    <s v="Single"/>
    <n v="51124"/>
    <n v="1"/>
    <d v="1899-12-31T00:00:00"/>
    <d v="2013-12-18T00:00:00"/>
    <n v="79"/>
    <n v="1"/>
    <n v="1"/>
    <n v="1"/>
    <n v="3"/>
    <n v="71"/>
    <x v="0"/>
    <x v="9"/>
  </r>
  <r>
    <n v="779"/>
    <n v="10736"/>
    <n v="1971"/>
    <s v="Graduation"/>
    <s v="Single"/>
    <n v="72258"/>
    <n v="0"/>
    <d v="1899-12-31T00:00:00"/>
    <d v="2013-09-12T00:00:00"/>
    <n v="28"/>
    <n v="0"/>
    <n v="120"/>
    <n v="120"/>
    <n v="5"/>
    <n v="55"/>
    <x v="0"/>
    <x v="71"/>
  </r>
  <r>
    <n v="780"/>
    <n v="3194"/>
    <n v="1974"/>
    <s v="PhD"/>
    <s v="Single"/>
    <n v="71466"/>
    <n v="0"/>
    <d v="1899-12-30T00:00:00"/>
    <d v="2014-04-05T00:00:00"/>
    <n v="86"/>
    <n v="12"/>
    <n v="182"/>
    <n v="182"/>
    <n v="10"/>
    <n v="52"/>
    <x v="0"/>
    <x v="124"/>
  </r>
  <r>
    <n v="781"/>
    <n v="10839"/>
    <n v="1976"/>
    <s v="Graduation"/>
    <s v="Together"/>
    <n v="36283"/>
    <n v="1"/>
    <d v="1899-12-31T00:00:00"/>
    <d v="2014-04-14T00:00:00"/>
    <n v="42"/>
    <n v="5"/>
    <n v="0"/>
    <n v="0"/>
    <n v="3"/>
    <n v="50"/>
    <x v="1"/>
    <x v="1"/>
  </r>
  <r>
    <n v="782"/>
    <n v="49"/>
    <n v="1970"/>
    <s v="Graduation"/>
    <s v="Single"/>
    <n v="20587"/>
    <n v="1"/>
    <d v="1899-12-30T00:00:00"/>
    <d v="2014-05-11T00:00:00"/>
    <n v="39"/>
    <n v="3"/>
    <n v="1"/>
    <n v="1"/>
    <n v="2"/>
    <n v="56"/>
    <x v="0"/>
    <x v="1"/>
  </r>
  <r>
    <n v="783"/>
    <n v="4290"/>
    <n v="1972"/>
    <s v="Graduation"/>
    <s v="Married"/>
    <n v="30467"/>
    <n v="1"/>
    <d v="1899-12-30T00:00:00"/>
    <d v="2014-03-19T00:00:00"/>
    <n v="8"/>
    <n v="3"/>
    <n v="5"/>
    <n v="5"/>
    <n v="2"/>
    <n v="54"/>
    <x v="0"/>
    <x v="3"/>
  </r>
  <r>
    <n v="784"/>
    <n v="10219"/>
    <n v="1972"/>
    <s v="Graduation"/>
    <s v="Together"/>
    <n v="31590"/>
    <n v="1"/>
    <d v="1899-12-30T00:00:00"/>
    <d v="2013-06-18T00:00:00"/>
    <n v="40"/>
    <n v="2"/>
    <n v="6"/>
    <n v="6"/>
    <n v="3"/>
    <n v="54"/>
    <x v="0"/>
    <x v="18"/>
  </r>
  <r>
    <n v="785"/>
    <n v="4211"/>
    <n v="1986"/>
    <s v="Basic"/>
    <s v="Married"/>
    <n v="20425"/>
    <n v="1"/>
    <d v="1899-12-30T00:00:00"/>
    <d v="2012-10-29T00:00:00"/>
    <n v="5"/>
    <n v="12"/>
    <n v="16"/>
    <n v="16"/>
    <n v="3"/>
    <n v="40"/>
    <x v="1"/>
    <x v="44"/>
  </r>
  <r>
    <n v="786"/>
    <n v="1135"/>
    <n v="1960"/>
    <s v="Master"/>
    <s v="Together"/>
    <n v="17144"/>
    <n v="1"/>
    <d v="1899-12-31T00:00:00"/>
    <d v="2014-02-15T00:00:00"/>
    <n v="96"/>
    <n v="2"/>
    <n v="2"/>
    <n v="2"/>
    <n v="4"/>
    <n v="66"/>
    <x v="0"/>
    <x v="29"/>
  </r>
  <r>
    <n v="787"/>
    <n v="6299"/>
    <n v="1968"/>
    <s v="PhD"/>
    <s v="Divorced"/>
    <n v="42564"/>
    <n v="0"/>
    <d v="1899-12-31T00:00:00"/>
    <d v="2013-01-02T00:00:00"/>
    <n v="28"/>
    <n v="48"/>
    <n v="18"/>
    <n v="18"/>
    <n v="4"/>
    <n v="58"/>
    <x v="0"/>
    <x v="62"/>
  </r>
  <r>
    <n v="788"/>
    <n v="10846"/>
    <n v="1978"/>
    <s v="Master"/>
    <s v="Married"/>
    <n v="43783"/>
    <n v="1"/>
    <d v="1899-12-30T00:00:00"/>
    <d v="2014-05-29T00:00:00"/>
    <n v="22"/>
    <n v="9"/>
    <n v="4"/>
    <n v="4"/>
    <n v="8"/>
    <n v="48"/>
    <x v="1"/>
    <x v="51"/>
  </r>
  <r>
    <n v="789"/>
    <n v="347"/>
    <n v="1976"/>
    <s v="Graduation"/>
    <s v="Divorced"/>
    <n v="40780"/>
    <n v="0"/>
    <d v="1899-12-31T00:00:00"/>
    <d v="2012-09-08T00:00:00"/>
    <n v="30"/>
    <n v="27"/>
    <n v="3"/>
    <n v="3"/>
    <n v="5"/>
    <n v="50"/>
    <x v="1"/>
    <x v="41"/>
  </r>
  <r>
    <n v="790"/>
    <n v="6543"/>
    <n v="1945"/>
    <s v="Master"/>
    <s v="Together"/>
    <n v="62847"/>
    <n v="0"/>
    <d v="1899-12-30T00:00:00"/>
    <d v="2013-01-15T00:00:00"/>
    <n v="45"/>
    <n v="168"/>
    <n v="76"/>
    <n v="76"/>
    <n v="4"/>
    <n v="81"/>
    <x v="0"/>
    <x v="12"/>
  </r>
  <r>
    <n v="791"/>
    <n v="10446"/>
    <n v="1957"/>
    <s v="PhD"/>
    <s v="Married"/>
    <n v="82017"/>
    <n v="0"/>
    <d v="1899-12-30T00:00:00"/>
    <d v="2012-11-07T00:00:00"/>
    <n v="58"/>
    <n v="23"/>
    <n v="23"/>
    <n v="23"/>
    <n v="7"/>
    <n v="69"/>
    <x v="0"/>
    <x v="39"/>
  </r>
  <r>
    <n v="792"/>
    <n v="3479"/>
    <n v="1950"/>
    <s v="Graduation"/>
    <s v="Single"/>
    <n v="16813"/>
    <n v="0"/>
    <d v="1899-12-30T00:00:00"/>
    <d v="2013-07-19T00:00:00"/>
    <n v="49"/>
    <n v="8"/>
    <n v="2"/>
    <n v="2"/>
    <n v="3"/>
    <n v="76"/>
    <x v="0"/>
    <x v="7"/>
  </r>
  <r>
    <n v="793"/>
    <n v="11075"/>
    <n v="1978"/>
    <s v="Graduation"/>
    <s v="Married"/>
    <n v="51267"/>
    <n v="1"/>
    <d v="1899-12-31T00:00:00"/>
    <d v="2013-10-29T00:00:00"/>
    <n v="37"/>
    <n v="2"/>
    <n v="2"/>
    <n v="2"/>
    <n v="5"/>
    <n v="48"/>
    <x v="1"/>
    <x v="3"/>
  </r>
  <r>
    <n v="794"/>
    <n v="4442"/>
    <n v="1961"/>
    <s v="Graduation"/>
    <s v="Single"/>
    <n v="46524"/>
    <n v="0"/>
    <d v="1899-12-31T00:00:00"/>
    <d v="2013-04-05T00:00:00"/>
    <n v="70"/>
    <n v="19"/>
    <n v="14"/>
    <n v="14"/>
    <n v="5"/>
    <n v="65"/>
    <x v="0"/>
    <x v="44"/>
  </r>
  <r>
    <n v="795"/>
    <n v="199"/>
    <n v="1962"/>
    <s v="Master"/>
    <s v="Single"/>
    <n v="45183"/>
    <n v="0"/>
    <d v="1899-12-30T00:00:00"/>
    <d v="2013-01-20T00:00:00"/>
    <n v="33"/>
    <n v="3"/>
    <n v="9"/>
    <n v="9"/>
    <n v="7"/>
    <n v="64"/>
    <x v="0"/>
    <x v="13"/>
  </r>
  <r>
    <n v="796"/>
    <n v="6722"/>
    <n v="1954"/>
    <s v="PhD"/>
    <s v="Married"/>
    <n v="70421"/>
    <n v="0"/>
    <d v="1899-12-31T00:00:00"/>
    <d v="2014-06-28T00:00:00"/>
    <n v="98"/>
    <n v="28"/>
    <n v="14"/>
    <n v="14"/>
    <n v="7"/>
    <n v="72"/>
    <x v="0"/>
    <x v="81"/>
  </r>
  <r>
    <n v="797"/>
    <n v="796"/>
    <n v="1965"/>
    <s v="2n Cycle"/>
    <s v="Divorced"/>
    <n v="60161"/>
    <n v="0"/>
    <d v="1899-12-31T00:00:00"/>
    <d v="2012-10-23T00:00:00"/>
    <n v="17"/>
    <n v="44"/>
    <n v="8"/>
    <n v="8"/>
    <n v="8"/>
    <n v="61"/>
    <x v="0"/>
    <x v="13"/>
  </r>
  <r>
    <n v="798"/>
    <n v="3749"/>
    <n v="1973"/>
    <s v="Graduation"/>
    <s v="Together"/>
    <n v="73926"/>
    <n v="0"/>
    <d v="1899-12-30T00:00:00"/>
    <d v="2013-03-02T00:00:00"/>
    <n v="54"/>
    <n v="91"/>
    <n v="91"/>
    <n v="91"/>
    <n v="12"/>
    <n v="53"/>
    <x v="0"/>
    <x v="95"/>
  </r>
  <r>
    <n v="799"/>
    <n v="8523"/>
    <n v="1968"/>
    <s v="Graduation"/>
    <s v="Married"/>
    <n v="19329"/>
    <n v="1"/>
    <d v="1899-12-30T00:00:00"/>
    <d v="2013-12-14T00:00:00"/>
    <n v="39"/>
    <n v="1"/>
    <n v="2"/>
    <n v="2"/>
    <n v="3"/>
    <n v="58"/>
    <x v="0"/>
    <x v="7"/>
  </r>
  <r>
    <n v="800"/>
    <n v="310"/>
    <n v="1970"/>
    <s v="Master"/>
    <s v="Married"/>
    <n v="61872"/>
    <n v="0"/>
    <d v="1899-12-31T00:00:00"/>
    <d v="2013-12-13T00:00:00"/>
    <n v="81"/>
    <n v="5"/>
    <n v="27"/>
    <n v="27"/>
    <n v="9"/>
    <n v="56"/>
    <x v="0"/>
    <x v="50"/>
  </r>
  <r>
    <n v="801"/>
    <n v="8629"/>
    <n v="1956"/>
    <s v="Graduation"/>
    <s v="Widow"/>
    <n v="46984"/>
    <n v="1"/>
    <d v="1899-12-31T00:00:00"/>
    <d v="2013-03-26T00:00:00"/>
    <n v="71"/>
    <n v="1"/>
    <n v="1"/>
    <n v="1"/>
    <n v="3"/>
    <n v="70"/>
    <x v="0"/>
    <x v="9"/>
  </r>
  <r>
    <n v="802"/>
    <n v="236"/>
    <n v="1951"/>
    <s v="Graduation"/>
    <s v="Married"/>
    <n v="34838"/>
    <n v="1"/>
    <d v="1899-12-31T00:00:00"/>
    <d v="2013-01-19T00:00:00"/>
    <n v="62"/>
    <n v="23"/>
    <n v="14"/>
    <n v="14"/>
    <n v="4"/>
    <n v="75"/>
    <x v="0"/>
    <x v="14"/>
  </r>
  <r>
    <n v="803"/>
    <n v="9930"/>
    <n v="1944"/>
    <s v="PhD"/>
    <s v="Single"/>
    <n v="82716"/>
    <n v="0"/>
    <d v="1899-12-30T00:00:00"/>
    <d v="2013-11-05T00:00:00"/>
    <n v="8"/>
    <n v="148"/>
    <n v="148"/>
    <n v="148"/>
    <n v="13"/>
    <n v="82"/>
    <x v="0"/>
    <x v="143"/>
  </r>
  <r>
    <n v="804"/>
    <n v="3483"/>
    <n v="1958"/>
    <s v="Graduation"/>
    <s v="Married"/>
    <n v="48192"/>
    <n v="0"/>
    <d v="1899-12-30T00:00:00"/>
    <d v="2013-04-06T00:00:00"/>
    <n v="76"/>
    <n v="43"/>
    <n v="58"/>
    <n v="58"/>
    <n v="12"/>
    <n v="68"/>
    <x v="0"/>
    <x v="120"/>
  </r>
  <r>
    <n v="805"/>
    <n v="4599"/>
    <n v="1976"/>
    <s v="Master"/>
    <s v="Married"/>
    <n v="49681"/>
    <n v="0"/>
    <d v="1900-01-01T00:00:00"/>
    <d v="2013-11-04T00:00:00"/>
    <n v="66"/>
    <n v="0"/>
    <n v="0"/>
    <n v="0"/>
    <n v="7"/>
    <n v="50"/>
    <x v="1"/>
    <x v="3"/>
  </r>
  <r>
    <n v="806"/>
    <n v="7326"/>
    <n v="1971"/>
    <s v="Master"/>
    <s v="Married"/>
    <n v="56850"/>
    <n v="0"/>
    <d v="1899-12-31T00:00:00"/>
    <d v="2014-03-23T00:00:00"/>
    <n v="83"/>
    <n v="1"/>
    <n v="7"/>
    <n v="7"/>
    <n v="3"/>
    <n v="55"/>
    <x v="0"/>
    <x v="11"/>
  </r>
  <r>
    <n v="807"/>
    <n v="7352"/>
    <n v="1957"/>
    <s v="Graduation"/>
    <s v="Married"/>
    <n v="55267"/>
    <n v="0"/>
    <d v="1899-12-31T00:00:00"/>
    <d v="2013-10-21T00:00:00"/>
    <n v="28"/>
    <n v="28"/>
    <n v="3"/>
    <n v="3"/>
    <n v="6"/>
    <n v="69"/>
    <x v="0"/>
    <x v="18"/>
  </r>
  <r>
    <n v="808"/>
    <n v="2350"/>
    <n v="1972"/>
    <s v="Graduation"/>
    <s v="Married"/>
    <n v="59666"/>
    <n v="1"/>
    <d v="1899-12-31T00:00:00"/>
    <d v="2013-03-22T00:00:00"/>
    <n v="87"/>
    <n v="53"/>
    <n v="17"/>
    <n v="17"/>
    <n v="8"/>
    <n v="54"/>
    <x v="0"/>
    <x v="15"/>
  </r>
  <r>
    <n v="809"/>
    <n v="9145"/>
    <n v="1972"/>
    <s v="Graduation"/>
    <s v="Single"/>
    <n v="72504"/>
    <n v="0"/>
    <d v="1899-12-31T00:00:00"/>
    <d v="2013-04-06T00:00:00"/>
    <n v="43"/>
    <n v="26"/>
    <n v="161"/>
    <n v="161"/>
    <n v="6"/>
    <n v="54"/>
    <x v="0"/>
    <x v="144"/>
  </r>
  <r>
    <n v="810"/>
    <n v="2964"/>
    <n v="1981"/>
    <s v="Graduation"/>
    <s v="Married"/>
    <n v="26872"/>
    <n v="0"/>
    <d v="1899-12-30T00:00:00"/>
    <d v="2013-10-16T00:00:00"/>
    <n v="0"/>
    <n v="10"/>
    <n v="16"/>
    <n v="16"/>
    <n v="2"/>
    <n v="45"/>
    <x v="1"/>
    <x v="14"/>
  </r>
  <r>
    <n v="811"/>
    <n v="5585"/>
    <n v="1972"/>
    <s v="Graduation"/>
    <s v="Single"/>
    <n v="21359"/>
    <n v="1"/>
    <d v="1899-12-30T00:00:00"/>
    <d v="2013-04-20T00:00:00"/>
    <n v="1"/>
    <n v="2"/>
    <n v="1"/>
    <n v="1"/>
    <n v="3"/>
    <n v="54"/>
    <x v="0"/>
    <x v="9"/>
  </r>
  <r>
    <n v="812"/>
    <n v="9687"/>
    <n v="1975"/>
    <s v="Graduation"/>
    <s v="Single"/>
    <n v="73170"/>
    <n v="0"/>
    <d v="1899-12-30T00:00:00"/>
    <d v="2014-05-31T00:00:00"/>
    <n v="1"/>
    <n v="174"/>
    <n v="30"/>
    <n v="30"/>
    <n v="6"/>
    <n v="51"/>
    <x v="0"/>
    <x v="50"/>
  </r>
  <r>
    <n v="813"/>
    <n v="3732"/>
    <n v="1955"/>
    <s v="Master"/>
    <s v="Married"/>
    <n v="52750"/>
    <n v="0"/>
    <d v="1899-12-31T00:00:00"/>
    <d v="2013-02-04T00:00:00"/>
    <n v="72"/>
    <n v="0"/>
    <n v="69"/>
    <n v="69"/>
    <n v="9"/>
    <n v="71"/>
    <x v="0"/>
    <x v="47"/>
  </r>
  <r>
    <n v="814"/>
    <n v="6303"/>
    <n v="1986"/>
    <s v="PhD"/>
    <s v="Together"/>
    <n v="91820"/>
    <n v="0"/>
    <d v="1899-12-30T00:00:00"/>
    <d v="2013-11-23T00:00:00"/>
    <n v="72"/>
    <n v="73"/>
    <n v="161"/>
    <n v="161"/>
    <n v="12"/>
    <n v="40"/>
    <x v="1"/>
    <x v="82"/>
  </r>
  <r>
    <n v="815"/>
    <n v="11176"/>
    <n v="1970"/>
    <s v="PhD"/>
    <s v="Together"/>
    <n v="65968"/>
    <n v="0"/>
    <d v="1899-12-31T00:00:00"/>
    <d v="2014-05-12T00:00:00"/>
    <n v="12"/>
    <n v="9"/>
    <n v="4"/>
    <n v="4"/>
    <n v="7"/>
    <n v="56"/>
    <x v="0"/>
    <x v="20"/>
  </r>
  <r>
    <n v="816"/>
    <n v="2986"/>
    <n v="1976"/>
    <s v="Graduation"/>
    <s v="Married"/>
    <n v="30772"/>
    <n v="1"/>
    <d v="1899-12-31T00:00:00"/>
    <d v="2014-03-12T00:00:00"/>
    <n v="89"/>
    <n v="2"/>
    <n v="1"/>
    <n v="1"/>
    <n v="2"/>
    <n v="50"/>
    <x v="1"/>
    <x v="1"/>
  </r>
  <r>
    <n v="817"/>
    <n v="7462"/>
    <n v="1954"/>
    <s v="Graduation"/>
    <s v="Single"/>
    <n v="22507"/>
    <n v="0"/>
    <d v="1899-12-30T00:00:00"/>
    <d v="2012-11-24T00:00:00"/>
    <n v="67"/>
    <n v="0"/>
    <n v="157"/>
    <n v="157"/>
    <n v="4"/>
    <n v="72"/>
    <x v="0"/>
    <x v="143"/>
  </r>
  <r>
    <n v="818"/>
    <n v="3900"/>
    <n v="1972"/>
    <s v="Graduation"/>
    <s v="Married"/>
    <n v="65685"/>
    <n v="0"/>
    <d v="1899-12-31T00:00:00"/>
    <d v="2014-03-29T00:00:00"/>
    <n v="54"/>
    <n v="14"/>
    <n v="7"/>
    <n v="7"/>
    <n v="9"/>
    <n v="54"/>
    <x v="0"/>
    <x v="13"/>
  </r>
  <r>
    <n v="819"/>
    <n v="7034"/>
    <n v="1978"/>
    <s v="2n Cycle"/>
    <s v="Married"/>
    <n v="25804"/>
    <n v="1"/>
    <d v="1899-12-30T00:00:00"/>
    <d v="2013-09-01T00:00:00"/>
    <n v="34"/>
    <n v="7"/>
    <n v="6"/>
    <n v="6"/>
    <n v="3"/>
    <n v="48"/>
    <x v="1"/>
    <x v="18"/>
  </r>
  <r>
    <n v="820"/>
    <n v="9493"/>
    <n v="1980"/>
    <s v="PhD"/>
    <s v="Single"/>
    <n v="76412"/>
    <n v="0"/>
    <d v="1899-12-30T00:00:00"/>
    <d v="2013-05-05T00:00:00"/>
    <n v="15"/>
    <n v="53"/>
    <n v="71"/>
    <n v="71"/>
    <n v="8"/>
    <n v="46"/>
    <x v="1"/>
    <x v="70"/>
  </r>
  <r>
    <n v="821"/>
    <n v="1143"/>
    <n v="1972"/>
    <s v="Graduation"/>
    <s v="Married"/>
    <n v="22063"/>
    <n v="1"/>
    <d v="1899-12-30T00:00:00"/>
    <d v="2013-08-08T00:00:00"/>
    <n v="43"/>
    <n v="10"/>
    <n v="11"/>
    <n v="11"/>
    <n v="3"/>
    <n v="54"/>
    <x v="0"/>
    <x v="31"/>
  </r>
  <r>
    <n v="822"/>
    <n v="1"/>
    <n v="1961"/>
    <s v="Graduation"/>
    <s v="Single"/>
    <n v="57091"/>
    <n v="0"/>
    <d v="1899-12-30T00:00:00"/>
    <d v="2014-06-15T00:00:00"/>
    <n v="0"/>
    <n v="5"/>
    <n v="0"/>
    <n v="0"/>
    <n v="7"/>
    <n v="65"/>
    <x v="0"/>
    <x v="3"/>
  </r>
  <r>
    <n v="823"/>
    <n v="3855"/>
    <n v="1963"/>
    <s v="Graduation"/>
    <s v="Married"/>
    <n v="22419"/>
    <n v="0"/>
    <d v="1899-12-30T00:00:00"/>
    <d v="2013-04-18T00:00:00"/>
    <n v="74"/>
    <n v="3"/>
    <n v="21"/>
    <n v="21"/>
    <n v="2"/>
    <n v="63"/>
    <x v="0"/>
    <x v="45"/>
  </r>
  <r>
    <n v="824"/>
    <n v="5536"/>
    <n v="1959"/>
    <s v="Graduation"/>
    <s v="Together"/>
    <n v="87771"/>
    <n v="0"/>
    <d v="1899-12-31T00:00:00"/>
    <d v="2013-05-22T00:00:00"/>
    <n v="61"/>
    <n v="38"/>
    <n v="57"/>
    <n v="57"/>
    <n v="4"/>
    <n v="67"/>
    <x v="0"/>
    <x v="123"/>
  </r>
  <r>
    <n v="825"/>
    <n v="5989"/>
    <n v="1959"/>
    <s v="2n Cycle"/>
    <s v="Divorced"/>
    <n v="78353"/>
    <n v="0"/>
    <d v="1899-12-31T00:00:00"/>
    <d v="2013-04-16T00:00:00"/>
    <n v="51"/>
    <n v="122"/>
    <n v="153"/>
    <n v="153"/>
    <n v="11"/>
    <n v="67"/>
    <x v="0"/>
    <x v="145"/>
  </r>
  <r>
    <n v="826"/>
    <n v="9499"/>
    <n v="1954"/>
    <s v="Graduation"/>
    <s v="Married"/>
    <n v="93404"/>
    <n v="1"/>
    <d v="1900-01-01T00:00:00"/>
    <d v="2013-05-07T00:00:00"/>
    <n v="97"/>
    <n v="15"/>
    <n v="0"/>
    <n v="0"/>
    <n v="7"/>
    <n v="72"/>
    <x v="0"/>
    <x v="3"/>
  </r>
  <r>
    <n v="827"/>
    <n v="6768"/>
    <n v="1962"/>
    <s v="Graduation"/>
    <s v="Divorced"/>
    <n v="37859"/>
    <n v="1"/>
    <d v="1900-01-01T00:00:00"/>
    <d v="2013-01-12T00:00:00"/>
    <n v="75"/>
    <n v="1"/>
    <n v="1"/>
    <n v="1"/>
    <n v="3"/>
    <n v="64"/>
    <x v="0"/>
    <x v="9"/>
  </r>
  <r>
    <n v="828"/>
    <n v="2150"/>
    <n v="1958"/>
    <s v="PhD"/>
    <s v="Widow"/>
    <n v="80995"/>
    <n v="0"/>
    <d v="1899-12-31T00:00:00"/>
    <d v="2013-05-11T00:00:00"/>
    <n v="83"/>
    <n v="28"/>
    <n v="56"/>
    <n v="56"/>
    <n v="4"/>
    <n v="68"/>
    <x v="0"/>
    <x v="91"/>
  </r>
  <r>
    <n v="829"/>
    <n v="6646"/>
    <n v="1984"/>
    <s v="Graduation"/>
    <s v="Together"/>
    <n v="16529"/>
    <n v="1"/>
    <d v="1899-12-30T00:00:00"/>
    <d v="2014-03-01T00:00:00"/>
    <n v="23"/>
    <n v="0"/>
    <n v="0"/>
    <n v="0"/>
    <n v="3"/>
    <n v="42"/>
    <x v="1"/>
    <x v="1"/>
  </r>
  <r>
    <n v="830"/>
    <n v="4887"/>
    <n v="1976"/>
    <s v="PhD"/>
    <s v="Divorced"/>
    <n v="55412"/>
    <n v="1"/>
    <d v="1899-12-31T00:00:00"/>
    <d v="2013-11-22T00:00:00"/>
    <n v="65"/>
    <n v="5"/>
    <n v="1"/>
    <n v="1"/>
    <n v="3"/>
    <n v="50"/>
    <x v="1"/>
    <x v="9"/>
  </r>
  <r>
    <n v="831"/>
    <n v="8560"/>
    <n v="1992"/>
    <s v="Graduation"/>
    <s v="Single"/>
    <n v="48789"/>
    <n v="0"/>
    <d v="1899-12-30T00:00:00"/>
    <d v="2012-09-10T00:00:00"/>
    <n v="94"/>
    <n v="16"/>
    <n v="5"/>
    <n v="5"/>
    <n v="7"/>
    <n v="34"/>
    <x v="1"/>
    <x v="51"/>
  </r>
  <r>
    <n v="832"/>
    <n v="3321"/>
    <n v="1967"/>
    <s v="PhD"/>
    <s v="Together"/>
    <n v="56575"/>
    <n v="0"/>
    <d v="1900-01-01T00:00:00"/>
    <d v="2013-05-05T00:00:00"/>
    <n v="42"/>
    <n v="5"/>
    <n v="16"/>
    <n v="16"/>
    <n v="7"/>
    <n v="59"/>
    <x v="0"/>
    <x v="45"/>
  </r>
  <r>
    <n v="833"/>
    <n v="11003"/>
    <n v="1980"/>
    <s v="2n Cycle"/>
    <s v="Together"/>
    <n v="25130"/>
    <n v="1"/>
    <d v="1899-12-30T00:00:00"/>
    <d v="2013-10-02T00:00:00"/>
    <n v="10"/>
    <n v="5"/>
    <n v="18"/>
    <n v="18"/>
    <n v="3"/>
    <n v="46"/>
    <x v="1"/>
    <x v="81"/>
  </r>
  <r>
    <n v="834"/>
    <n v="10402"/>
    <n v="1967"/>
    <s v="Graduation"/>
    <s v="Married"/>
    <n v="35441"/>
    <n v="1"/>
    <d v="1899-12-31T00:00:00"/>
    <d v="2013-02-14T00:00:00"/>
    <n v="94"/>
    <n v="1"/>
    <n v="1"/>
    <n v="1"/>
    <n v="3"/>
    <n v="59"/>
    <x v="0"/>
    <x v="9"/>
  </r>
  <r>
    <n v="835"/>
    <n v="9904"/>
    <n v="1956"/>
    <s v="Graduation"/>
    <s v="Married"/>
    <n v="71391"/>
    <n v="0"/>
    <d v="1899-12-31T00:00:00"/>
    <d v="2013-03-29T00:00:00"/>
    <n v="50"/>
    <n v="123"/>
    <n v="123"/>
    <n v="123"/>
    <n v="12"/>
    <n v="70"/>
    <x v="0"/>
    <x v="146"/>
  </r>
  <r>
    <n v="836"/>
    <n v="6141"/>
    <n v="1972"/>
    <s v="Master"/>
    <s v="Single"/>
    <n v="49494"/>
    <n v="1"/>
    <d v="1899-12-30T00:00:00"/>
    <d v="2013-04-25T00:00:00"/>
    <n v="46"/>
    <n v="9"/>
    <n v="6"/>
    <n v="6"/>
    <n v="5"/>
    <n v="54"/>
    <x v="0"/>
    <x v="20"/>
  </r>
  <r>
    <n v="837"/>
    <n v="5687"/>
    <n v="1980"/>
    <s v="Graduation"/>
    <s v="Divorced"/>
    <n v="81702"/>
    <n v="0"/>
    <d v="1899-12-30T00:00:00"/>
    <d v="2012-09-23T00:00:00"/>
    <n v="98"/>
    <n v="50"/>
    <n v="31"/>
    <n v="31"/>
    <n v="12"/>
    <n v="46"/>
    <x v="1"/>
    <x v="17"/>
  </r>
  <r>
    <n v="838"/>
    <n v="10856"/>
    <n v="1980"/>
    <s v="2n Cycle"/>
    <s v="Single"/>
    <n v="45889"/>
    <n v="0"/>
    <d v="1899-12-31T00:00:00"/>
    <d v="2013-07-02T00:00:00"/>
    <n v="42"/>
    <n v="0"/>
    <n v="1"/>
    <n v="1"/>
    <n v="3"/>
    <n v="46"/>
    <x v="1"/>
    <x v="9"/>
  </r>
  <r>
    <n v="839"/>
    <n v="5121"/>
    <n v="1977"/>
    <s v="Graduation"/>
    <s v="Single"/>
    <n v="56628"/>
    <n v="0"/>
    <d v="1899-12-31T00:00:00"/>
    <d v="2014-03-21T00:00:00"/>
    <n v="30"/>
    <n v="5"/>
    <n v="17"/>
    <n v="17"/>
    <n v="5"/>
    <n v="49"/>
    <x v="1"/>
    <x v="62"/>
  </r>
  <r>
    <n v="840"/>
    <n v="4186"/>
    <n v="1950"/>
    <s v="Graduation"/>
    <s v="Together"/>
    <n v="34026"/>
    <n v="1"/>
    <d v="1899-12-31T00:00:00"/>
    <d v="2013-08-05T00:00:00"/>
    <n v="11"/>
    <n v="6"/>
    <n v="8"/>
    <n v="8"/>
    <n v="3"/>
    <n v="76"/>
    <x v="0"/>
    <x v="20"/>
  </r>
  <r>
    <n v="841"/>
    <n v="368"/>
    <n v="1974"/>
    <s v="Graduation"/>
    <s v="Married"/>
    <n v="40049"/>
    <n v="0"/>
    <d v="1899-12-31T00:00:00"/>
    <d v="2012-11-29T00:00:00"/>
    <n v="61"/>
    <n v="65"/>
    <n v="44"/>
    <n v="44"/>
    <n v="6"/>
    <n v="52"/>
    <x v="0"/>
    <x v="32"/>
  </r>
  <r>
    <n v="842"/>
    <n v="3312"/>
    <n v="1988"/>
    <s v="Graduation"/>
    <s v="Single"/>
    <n v="34176"/>
    <n v="1"/>
    <d v="1899-12-30T00:00:00"/>
    <d v="2014-05-12T00:00:00"/>
    <n v="12"/>
    <n v="7"/>
    <n v="14"/>
    <n v="14"/>
    <n v="4"/>
    <n v="38"/>
    <x v="1"/>
    <x v="14"/>
  </r>
  <r>
    <n v="843"/>
    <n v="11121"/>
    <n v="1981"/>
    <s v="Graduation"/>
    <s v="Married"/>
    <n v="19419"/>
    <n v="1"/>
    <d v="1899-12-30T00:00:00"/>
    <d v="2012-11-10T00:00:00"/>
    <n v="76"/>
    <n v="14"/>
    <n v="3"/>
    <n v="3"/>
    <n v="3"/>
    <n v="45"/>
    <x v="1"/>
    <x v="29"/>
  </r>
  <r>
    <n v="844"/>
    <n v="5332"/>
    <n v="1960"/>
    <s v="2n Cycle"/>
    <s v="Married"/>
    <n v="82504"/>
    <n v="0"/>
    <d v="1899-12-30T00:00:00"/>
    <d v="2013-07-27T00:00:00"/>
    <n v="2"/>
    <n v="50"/>
    <n v="35"/>
    <n v="35"/>
    <n v="7"/>
    <n v="66"/>
    <x v="0"/>
    <x v="66"/>
  </r>
  <r>
    <n v="845"/>
    <n v="5848"/>
    <n v="1970"/>
    <s v="Graduation"/>
    <s v="Together"/>
    <n v="81205"/>
    <n v="0"/>
    <d v="1899-12-30T00:00:00"/>
    <d v="2014-01-13T00:00:00"/>
    <n v="43"/>
    <n v="74"/>
    <n v="55"/>
    <n v="55"/>
    <n v="7"/>
    <n v="56"/>
    <x v="0"/>
    <x v="128"/>
  </r>
  <r>
    <n v="846"/>
    <n v="10343"/>
    <n v="1991"/>
    <s v="2n Cycle"/>
    <s v="Single"/>
    <n v="61618"/>
    <n v="0"/>
    <d v="1899-12-30T00:00:00"/>
    <d v="2012-09-29T00:00:00"/>
    <n v="27"/>
    <n v="91"/>
    <n v="45"/>
    <n v="45"/>
    <n v="8"/>
    <n v="35"/>
    <x v="1"/>
    <x v="85"/>
  </r>
  <r>
    <n v="847"/>
    <n v="5935"/>
    <n v="1956"/>
    <s v="Master"/>
    <s v="Single"/>
    <n v="55284"/>
    <n v="0"/>
    <d v="1899-12-31T00:00:00"/>
    <d v="2012-12-24T00:00:00"/>
    <n v="60"/>
    <n v="7"/>
    <n v="7"/>
    <n v="7"/>
    <n v="8"/>
    <n v="70"/>
    <x v="0"/>
    <x v="21"/>
  </r>
  <r>
    <n v="848"/>
    <n v="2895"/>
    <n v="1963"/>
    <s v="Graduation"/>
    <s v="Single"/>
    <n v="49980"/>
    <n v="0"/>
    <d v="1899-12-31T00:00:00"/>
    <d v="2013-10-23T00:00:00"/>
    <n v="79"/>
    <n v="1"/>
    <n v="9"/>
    <n v="9"/>
    <n v="5"/>
    <n v="63"/>
    <x v="0"/>
    <x v="31"/>
  </r>
  <r>
    <n v="849"/>
    <n v="10262"/>
    <n v="1980"/>
    <s v="Graduation"/>
    <s v="Married"/>
    <n v="15072"/>
    <n v="2"/>
    <d v="1899-12-30T00:00:00"/>
    <d v="2013-05-10T00:00:00"/>
    <n v="96"/>
    <n v="2"/>
    <n v="10"/>
    <n v="10"/>
    <n v="3"/>
    <n v="46"/>
    <x v="1"/>
    <x v="104"/>
  </r>
  <r>
    <n v="850"/>
    <n v="7848"/>
    <n v="1974"/>
    <s v="Graduation"/>
    <s v="Single"/>
    <n v="49166"/>
    <n v="0"/>
    <d v="1899-12-31T00:00:00"/>
    <d v="2013-06-13T00:00:00"/>
    <n v="17"/>
    <n v="2"/>
    <n v="0"/>
    <n v="0"/>
    <n v="3"/>
    <n v="52"/>
    <x v="0"/>
    <x v="1"/>
  </r>
  <r>
    <n v="851"/>
    <n v="9477"/>
    <n v="1954"/>
    <s v="PhD"/>
    <s v="Married"/>
    <n v="65324"/>
    <n v="0"/>
    <d v="1899-12-31T00:00:00"/>
    <d v="2014-01-11T00:00:00"/>
    <n v="0"/>
    <n v="0"/>
    <n v="32"/>
    <n v="32"/>
    <n v="9"/>
    <n v="72"/>
    <x v="0"/>
    <x v="19"/>
  </r>
  <r>
    <n v="852"/>
    <n v="4856"/>
    <n v="1957"/>
    <s v="2n Cycle"/>
    <s v="Married"/>
    <n v="82347"/>
    <n v="0"/>
    <d v="1899-12-30T00:00:00"/>
    <d v="2012-11-06T00:00:00"/>
    <n v="38"/>
    <n v="54"/>
    <n v="133"/>
    <n v="133"/>
    <n v="10"/>
    <n v="69"/>
    <x v="0"/>
    <x v="53"/>
  </r>
  <r>
    <n v="853"/>
    <n v="7186"/>
    <n v="1966"/>
    <s v="PhD"/>
    <s v="Together"/>
    <n v="30843"/>
    <n v="1"/>
    <d v="1899-12-31T00:00:00"/>
    <d v="2014-05-26T00:00:00"/>
    <n v="43"/>
    <n v="0"/>
    <n v="0"/>
    <n v="0"/>
    <n v="2"/>
    <n v="60"/>
    <x v="0"/>
    <x v="42"/>
  </r>
  <r>
    <n v="854"/>
    <n v="5794"/>
    <n v="1974"/>
    <s v="PhD"/>
    <s v="Married"/>
    <n v="46374"/>
    <n v="0"/>
    <d v="1899-12-31T00:00:00"/>
    <d v="2014-03-17T00:00:00"/>
    <n v="1"/>
    <n v="0"/>
    <n v="0"/>
    <n v="0"/>
    <n v="7"/>
    <n v="52"/>
    <x v="0"/>
    <x v="3"/>
  </r>
  <r>
    <n v="855"/>
    <n v="1456"/>
    <n v="1979"/>
    <s v="Graduation"/>
    <s v="Single"/>
    <n v="60474"/>
    <n v="0"/>
    <d v="1899-12-31T00:00:00"/>
    <d v="2013-04-01T00:00:00"/>
    <n v="25"/>
    <n v="199"/>
    <n v="9"/>
    <n v="9"/>
    <n v="12"/>
    <n v="47"/>
    <x v="1"/>
    <x v="81"/>
  </r>
  <r>
    <n v="856"/>
    <n v="4877"/>
    <n v="1973"/>
    <s v="Master"/>
    <s v="Married"/>
    <n v="38576"/>
    <n v="0"/>
    <d v="1899-12-31T00:00:00"/>
    <d v="2014-03-04T00:00:00"/>
    <n v="2"/>
    <n v="0"/>
    <n v="0"/>
    <n v="0"/>
    <n v="3"/>
    <n v="53"/>
    <x v="0"/>
    <x v="1"/>
  </r>
  <r>
    <n v="857"/>
    <n v="425"/>
    <n v="1985"/>
    <s v="Graduation"/>
    <s v="Married"/>
    <n v="55357"/>
    <n v="2"/>
    <d v="1899-12-30T00:00:00"/>
    <d v="2013-02-19T00:00:00"/>
    <n v="66"/>
    <n v="64"/>
    <n v="25"/>
    <n v="25"/>
    <n v="11"/>
    <n v="41"/>
    <x v="1"/>
    <x v="50"/>
  </r>
  <r>
    <n v="858"/>
    <n v="3007"/>
    <n v="1966"/>
    <s v="Graduation"/>
    <s v="Together"/>
    <n v="37758"/>
    <n v="1"/>
    <d v="1899-12-31T00:00:00"/>
    <d v="2012-10-04T00:00:00"/>
    <n v="49"/>
    <n v="2"/>
    <n v="0"/>
    <n v="0"/>
    <n v="3"/>
    <n v="60"/>
    <x v="0"/>
    <x v="1"/>
  </r>
  <r>
    <n v="859"/>
    <n v="1031"/>
    <n v="1989"/>
    <s v="2n Cycle"/>
    <s v="Married"/>
    <n v="85710"/>
    <n v="0"/>
    <d v="1899-12-30T00:00:00"/>
    <d v="2013-05-05T00:00:00"/>
    <n v="5"/>
    <n v="20"/>
    <n v="30"/>
    <n v="30"/>
    <n v="10"/>
    <n v="37"/>
    <x v="1"/>
    <x v="105"/>
  </r>
  <r>
    <n v="860"/>
    <n v="4297"/>
    <n v="1969"/>
    <s v="Graduation"/>
    <s v="Together"/>
    <n v="23228"/>
    <n v="1"/>
    <d v="1899-12-30T00:00:00"/>
    <d v="2014-01-26T00:00:00"/>
    <n v="71"/>
    <n v="2"/>
    <n v="1"/>
    <n v="1"/>
    <n v="3"/>
    <n v="57"/>
    <x v="0"/>
    <x v="9"/>
  </r>
  <r>
    <n v="861"/>
    <n v="807"/>
    <n v="1969"/>
    <s v="Master"/>
    <s v="Together"/>
    <n v="44602"/>
    <n v="1"/>
    <d v="1899-12-31T00:00:00"/>
    <d v="2014-02-15T00:00:00"/>
    <n v="35"/>
    <n v="2"/>
    <n v="0"/>
    <n v="0"/>
    <n v="4"/>
    <n v="57"/>
    <x v="0"/>
    <x v="9"/>
  </r>
  <r>
    <n v="862"/>
    <n v="9553"/>
    <n v="1987"/>
    <s v="Graduation"/>
    <s v="Married"/>
    <n v="7500"/>
    <n v="0"/>
    <d v="1899-12-30T00:00:00"/>
    <d v="2013-01-09T00:00:00"/>
    <n v="94"/>
    <n v="2"/>
    <n v="1"/>
    <n v="1"/>
    <n v="3"/>
    <n v="39"/>
    <x v="1"/>
    <x v="9"/>
  </r>
  <r>
    <n v="863"/>
    <n v="4271"/>
    <n v="1989"/>
    <s v="2n Cycle"/>
    <s v="Together"/>
    <n v="38683"/>
    <n v="1"/>
    <d v="1899-12-30T00:00:00"/>
    <d v="2012-10-04T00:00:00"/>
    <n v="80"/>
    <n v="35"/>
    <n v="41"/>
    <n v="41"/>
    <n v="6"/>
    <n v="37"/>
    <x v="1"/>
    <x v="34"/>
  </r>
  <r>
    <n v="864"/>
    <n v="4120"/>
    <n v="1975"/>
    <s v="2n Cycle"/>
    <s v="Single"/>
    <n v="49514"/>
    <n v="1"/>
    <d v="1899-12-30T00:00:00"/>
    <d v="2013-12-17T00:00:00"/>
    <n v="61"/>
    <n v="39"/>
    <n v="13"/>
    <n v="13"/>
    <n v="4"/>
    <n v="51"/>
    <x v="0"/>
    <x v="67"/>
  </r>
  <r>
    <n v="865"/>
    <n v="2036"/>
    <n v="1973"/>
    <s v="PhD"/>
    <s v="Together"/>
    <n v="57906"/>
    <n v="0"/>
    <d v="1899-12-31T00:00:00"/>
    <d v="2013-06-11T00:00:00"/>
    <n v="29"/>
    <n v="11"/>
    <n v="3"/>
    <n v="3"/>
    <n v="8"/>
    <n v="53"/>
    <x v="0"/>
    <x v="20"/>
  </r>
  <r>
    <n v="866"/>
    <n v="115"/>
    <n v="1966"/>
    <s v="Master"/>
    <s v="Single"/>
    <n v="43456"/>
    <n v="0"/>
    <d v="1899-12-31T00:00:00"/>
    <d v="2013-03-26T00:00:00"/>
    <n v="0"/>
    <n v="11"/>
    <n v="7"/>
    <n v="7"/>
    <n v="8"/>
    <n v="60"/>
    <x v="0"/>
    <x v="21"/>
  </r>
  <r>
    <n v="867"/>
    <n v="4259"/>
    <n v="1986"/>
    <s v="Master"/>
    <s v="Single"/>
    <n v="19485"/>
    <n v="2"/>
    <d v="1899-12-30T00:00:00"/>
    <d v="2013-09-24T00:00:00"/>
    <n v="80"/>
    <n v="0"/>
    <n v="0"/>
    <n v="0"/>
    <n v="2"/>
    <n v="40"/>
    <x v="1"/>
    <x v="42"/>
  </r>
  <r>
    <n v="868"/>
    <n v="8687"/>
    <n v="1978"/>
    <s v="Graduation"/>
    <s v="Together"/>
    <n v="53172"/>
    <n v="0"/>
    <d v="1899-12-31T00:00:00"/>
    <d v="2013-05-06T00:00:00"/>
    <n v="54"/>
    <n v="62"/>
    <n v="20"/>
    <n v="20"/>
    <n v="8"/>
    <n v="48"/>
    <x v="1"/>
    <x v="24"/>
  </r>
  <r>
    <n v="869"/>
    <n v="2447"/>
    <n v="1979"/>
    <s v="Graduation"/>
    <s v="Together"/>
    <n v="30545"/>
    <n v="1"/>
    <d v="1899-12-30T00:00:00"/>
    <d v="2012-10-17T00:00:00"/>
    <n v="71"/>
    <n v="12"/>
    <n v="7"/>
    <n v="7"/>
    <n v="3"/>
    <n v="47"/>
    <x v="1"/>
    <x v="11"/>
  </r>
  <r>
    <n v="870"/>
    <n v="10140"/>
    <n v="1983"/>
    <s v="PhD"/>
    <s v="Together"/>
    <n v="70123"/>
    <n v="0"/>
    <d v="1899-12-30T00:00:00"/>
    <d v="2013-09-28T00:00:00"/>
    <n v="27"/>
    <n v="0"/>
    <n v="0"/>
    <n v="0"/>
    <n v="4"/>
    <n v="43"/>
    <x v="1"/>
    <x v="9"/>
  </r>
  <r>
    <n v="871"/>
    <n v="9353"/>
    <n v="1959"/>
    <s v="Graduation"/>
    <s v="Single"/>
    <n v="62450"/>
    <n v="0"/>
    <d v="1899-12-31T00:00:00"/>
    <d v="2014-01-06T00:00:00"/>
    <n v="61"/>
    <n v="47"/>
    <n v="66"/>
    <n v="66"/>
    <n v="4"/>
    <n v="67"/>
    <x v="0"/>
    <x v="120"/>
  </r>
  <r>
    <n v="872"/>
    <n v="3623"/>
    <n v="1976"/>
    <s v="Graduation"/>
    <s v="Together"/>
    <n v="21675"/>
    <n v="1"/>
    <d v="1899-12-30T00:00:00"/>
    <d v="2014-06-11T00:00:00"/>
    <n v="55"/>
    <n v="0"/>
    <n v="4"/>
    <n v="4"/>
    <n v="3"/>
    <n v="50"/>
    <x v="1"/>
    <x v="3"/>
  </r>
  <r>
    <n v="873"/>
    <n v="738"/>
    <n v="1981"/>
    <s v="2n Cycle"/>
    <s v="Single"/>
    <n v="42395"/>
    <n v="1"/>
    <d v="1899-12-31T00:00:00"/>
    <d v="2014-04-04T00:00:00"/>
    <n v="35"/>
    <n v="13"/>
    <n v="15"/>
    <n v="15"/>
    <n v="4"/>
    <n v="45"/>
    <x v="1"/>
    <x v="44"/>
  </r>
  <r>
    <n v="874"/>
    <n v="7631"/>
    <n v="1978"/>
    <s v="Master"/>
    <s v="Together"/>
    <n v="61346"/>
    <n v="1"/>
    <d v="1899-12-30T00:00:00"/>
    <d v="2013-10-06T00:00:00"/>
    <n v="34"/>
    <n v="58"/>
    <n v="16"/>
    <n v="16"/>
    <n v="10"/>
    <n v="48"/>
    <x v="1"/>
    <x v="56"/>
  </r>
  <r>
    <n v="875"/>
    <n v="4789"/>
    <n v="1953"/>
    <s v="Graduation"/>
    <s v="Together"/>
    <n v="80812"/>
    <n v="0"/>
    <d v="1899-12-30T00:00:00"/>
    <d v="2013-09-17T00:00:00"/>
    <n v="95"/>
    <n v="22"/>
    <n v="143"/>
    <n v="143"/>
    <n v="5"/>
    <n v="73"/>
    <x v="0"/>
    <x v="147"/>
  </r>
  <r>
    <n v="876"/>
    <n v="773"/>
    <n v="1971"/>
    <s v="Master"/>
    <s v="Divorced"/>
    <n v="42835"/>
    <n v="1"/>
    <d v="1899-12-31T00:00:00"/>
    <d v="2013-06-30T00:00:00"/>
    <n v="64"/>
    <n v="4"/>
    <n v="9"/>
    <n v="9"/>
    <n v="4"/>
    <n v="55"/>
    <x v="0"/>
    <x v="104"/>
  </r>
  <r>
    <n v="877"/>
    <n v="10602"/>
    <n v="1983"/>
    <s v="Graduation"/>
    <s v="Married"/>
    <n v="39922"/>
    <n v="1"/>
    <d v="1899-12-30T00:00:00"/>
    <d v="2013-02-14T00:00:00"/>
    <n v="30"/>
    <n v="12"/>
    <n v="1"/>
    <n v="1"/>
    <n v="4"/>
    <n v="43"/>
    <x v="1"/>
    <x v="7"/>
  </r>
  <r>
    <n v="878"/>
    <n v="1446"/>
    <n v="1956"/>
    <s v="Master"/>
    <s v="Single"/>
    <n v="86424"/>
    <n v="0"/>
    <d v="1899-12-30T00:00:00"/>
    <d v="2014-04-05T00:00:00"/>
    <n v="12"/>
    <n v="68"/>
    <n v="45"/>
    <n v="45"/>
    <n v="12"/>
    <n v="70"/>
    <x v="0"/>
    <x v="64"/>
  </r>
  <r>
    <n v="879"/>
    <n v="3270"/>
    <n v="1978"/>
    <s v="2n Cycle"/>
    <s v="Together"/>
    <n v="17117"/>
    <n v="1"/>
    <d v="1899-12-30T00:00:00"/>
    <d v="2013-01-17T00:00:00"/>
    <n v="96"/>
    <n v="23"/>
    <n v="18"/>
    <n v="18"/>
    <n v="3"/>
    <n v="48"/>
    <x v="1"/>
    <x v="81"/>
  </r>
  <r>
    <n v="880"/>
    <n v="8443"/>
    <n v="1972"/>
    <s v="Graduation"/>
    <s v="Single"/>
    <n v="24762"/>
    <n v="1"/>
    <d v="1899-12-30T00:00:00"/>
    <d v="2014-02-10T00:00:00"/>
    <n v="16"/>
    <n v="10"/>
    <n v="15"/>
    <n v="15"/>
    <n v="2"/>
    <n v="54"/>
    <x v="0"/>
    <x v="67"/>
  </r>
  <r>
    <n v="881"/>
    <n v="9653"/>
    <n v="1975"/>
    <s v="Graduation"/>
    <s v="Married"/>
    <n v="35797"/>
    <n v="0"/>
    <d v="1899-12-31T00:00:00"/>
    <d v="2012-10-16T00:00:00"/>
    <n v="16"/>
    <n v="1"/>
    <n v="1"/>
    <n v="1"/>
    <n v="3"/>
    <n v="51"/>
    <x v="0"/>
    <x v="9"/>
  </r>
  <r>
    <n v="882"/>
    <n v="8916"/>
    <n v="1975"/>
    <s v="Graduation"/>
    <s v="Divorced"/>
    <n v="36627"/>
    <n v="2"/>
    <d v="1899-12-30T00:00:00"/>
    <d v="2013-07-23T00:00:00"/>
    <n v="78"/>
    <n v="1"/>
    <n v="0"/>
    <n v="0"/>
    <n v="3"/>
    <n v="51"/>
    <x v="0"/>
    <x v="1"/>
  </r>
  <r>
    <n v="883"/>
    <n v="8017"/>
    <n v="1981"/>
    <s v="2n Cycle"/>
    <s v="Married"/>
    <n v="51111"/>
    <n v="1"/>
    <d v="1899-12-31T00:00:00"/>
    <d v="2014-06-19T00:00:00"/>
    <n v="83"/>
    <n v="0"/>
    <n v="5"/>
    <n v="5"/>
    <n v="3"/>
    <n v="45"/>
    <x v="1"/>
    <x v="41"/>
  </r>
  <r>
    <n v="884"/>
    <n v="5830"/>
    <n v="1972"/>
    <s v="PhD"/>
    <s v="Single"/>
    <n v="86857"/>
    <n v="0"/>
    <d v="1899-12-30T00:00:00"/>
    <d v="2012-09-12T00:00:00"/>
    <n v="96"/>
    <n v="102"/>
    <n v="102"/>
    <n v="102"/>
    <n v="10"/>
    <n v="54"/>
    <x v="0"/>
    <x v="131"/>
  </r>
  <r>
    <n v="885"/>
    <n v="4597"/>
    <n v="1970"/>
    <s v="PhD"/>
    <s v="Together"/>
    <n v="82072"/>
    <n v="0"/>
    <d v="1899-12-30T00:00:00"/>
    <d v="2013-07-02T00:00:00"/>
    <n v="67"/>
    <n v="55"/>
    <n v="92"/>
    <n v="92"/>
    <n v="13"/>
    <n v="56"/>
    <x v="0"/>
    <x v="148"/>
  </r>
  <r>
    <n v="886"/>
    <n v="7023"/>
    <n v="1953"/>
    <s v="PhD"/>
    <s v="Single"/>
    <n v="46231"/>
    <n v="2"/>
    <d v="1899-12-31T00:00:00"/>
    <d v="2012-11-26T00:00:00"/>
    <n v="87"/>
    <n v="2"/>
    <n v="5"/>
    <n v="5"/>
    <n v="4"/>
    <n v="73"/>
    <x v="0"/>
    <x v="18"/>
  </r>
  <r>
    <n v="887"/>
    <n v="8086"/>
    <n v="1959"/>
    <s v="Graduation"/>
    <s v="Married"/>
    <n v="42243"/>
    <n v="1"/>
    <d v="1899-12-31T00:00:00"/>
    <d v="2013-12-11T00:00:00"/>
    <n v="34"/>
    <n v="0"/>
    <n v="0"/>
    <n v="0"/>
    <n v="3"/>
    <n v="67"/>
    <x v="0"/>
    <x v="1"/>
  </r>
  <r>
    <n v="888"/>
    <n v="8825"/>
    <n v="1962"/>
    <s v="Graduation"/>
    <s v="Together"/>
    <n v="51195"/>
    <n v="1"/>
    <d v="1899-12-31T00:00:00"/>
    <d v="2013-04-01T00:00:00"/>
    <n v="46"/>
    <n v="14"/>
    <n v="24"/>
    <n v="24"/>
    <n v="5"/>
    <n v="64"/>
    <x v="0"/>
    <x v="89"/>
  </r>
  <r>
    <n v="889"/>
    <n v="2930"/>
    <n v="1978"/>
    <s v="Master"/>
    <s v="Single"/>
    <n v="68092"/>
    <n v="0"/>
    <d v="1899-12-30T00:00:00"/>
    <d v="2013-12-16T00:00:00"/>
    <n v="7"/>
    <n v="60"/>
    <n v="36"/>
    <n v="36"/>
    <n v="10"/>
    <n v="48"/>
    <x v="1"/>
    <x v="54"/>
  </r>
  <r>
    <n v="890"/>
    <n v="1928"/>
    <n v="1973"/>
    <s v="Graduation"/>
    <s v="Married"/>
    <n v="31814"/>
    <n v="1"/>
    <d v="1899-12-30T00:00:00"/>
    <d v="2013-02-09T00:00:00"/>
    <n v="73"/>
    <n v="3"/>
    <n v="1"/>
    <n v="1"/>
    <n v="3"/>
    <n v="53"/>
    <x v="0"/>
    <x v="9"/>
  </r>
  <r>
    <n v="891"/>
    <n v="7108"/>
    <n v="1965"/>
    <s v="Master"/>
    <s v="Widow"/>
    <n v="51390"/>
    <n v="1"/>
    <d v="1899-12-31T00:00:00"/>
    <d v="2012-09-08T00:00:00"/>
    <n v="54"/>
    <n v="20"/>
    <n v="2"/>
    <n v="2"/>
    <n v="5"/>
    <n v="61"/>
    <x v="0"/>
    <x v="3"/>
  </r>
  <r>
    <n v="892"/>
    <n v="10925"/>
    <n v="1983"/>
    <s v="Graduation"/>
    <s v="Married"/>
    <n v="76630"/>
    <n v="0"/>
    <d v="1899-12-30T00:00:00"/>
    <d v="2014-01-14T00:00:00"/>
    <n v="93"/>
    <n v="31"/>
    <n v="56"/>
    <n v="56"/>
    <n v="11"/>
    <n v="43"/>
    <x v="1"/>
    <x v="149"/>
  </r>
  <r>
    <n v="893"/>
    <n v="9960"/>
    <n v="1991"/>
    <s v="Basic"/>
    <s v="Single"/>
    <n v="26868"/>
    <n v="1"/>
    <d v="1899-12-30T00:00:00"/>
    <d v="2014-04-30T00:00:00"/>
    <n v="52"/>
    <n v="0"/>
    <n v="3"/>
    <n v="3"/>
    <n v="2"/>
    <n v="35"/>
    <x v="1"/>
    <x v="7"/>
  </r>
  <r>
    <n v="894"/>
    <n v="8800"/>
    <n v="1943"/>
    <s v="PhD"/>
    <s v="Divorced"/>
    <n v="48948"/>
    <n v="0"/>
    <d v="1899-12-30T00:00:00"/>
    <d v="2013-02-01T00:00:00"/>
    <n v="53"/>
    <n v="8"/>
    <n v="49"/>
    <n v="49"/>
    <n v="5"/>
    <n v="83"/>
    <x v="0"/>
    <x v="27"/>
  </r>
  <r>
    <n v="895"/>
    <n v="9224"/>
    <n v="1972"/>
    <s v="PhD"/>
    <s v="Single"/>
    <n v="55260"/>
    <n v="0"/>
    <d v="1899-12-31T00:00:00"/>
    <d v="2012-12-12T00:00:00"/>
    <n v="81"/>
    <n v="8"/>
    <n v="0"/>
    <n v="0"/>
    <n v="5"/>
    <n v="54"/>
    <x v="0"/>
    <x v="7"/>
  </r>
  <r>
    <n v="896"/>
    <n v="5519"/>
    <n v="1956"/>
    <s v="Graduation"/>
    <s v="Together"/>
    <n v="64090"/>
    <n v="0"/>
    <d v="1899-12-31T00:00:00"/>
    <d v="2013-08-07T00:00:00"/>
    <n v="8"/>
    <n v="58"/>
    <n v="51"/>
    <n v="51"/>
    <n v="4"/>
    <n v="70"/>
    <x v="0"/>
    <x v="93"/>
  </r>
  <r>
    <n v="897"/>
    <n v="5046"/>
    <n v="1958"/>
    <s v="Graduation"/>
    <s v="Divorced"/>
    <n v="78331"/>
    <n v="0"/>
    <d v="1899-12-31T00:00:00"/>
    <d v="2014-01-23T00:00:00"/>
    <n v="97"/>
    <n v="138"/>
    <n v="169"/>
    <n v="169"/>
    <n v="7"/>
    <n v="68"/>
    <x v="0"/>
    <x v="150"/>
  </r>
  <r>
    <n v="898"/>
    <n v="7037"/>
    <n v="1974"/>
    <s v="PhD"/>
    <s v="Married"/>
    <n v="37087"/>
    <n v="1"/>
    <d v="1899-12-30T00:00:00"/>
    <d v="2013-08-11T00:00:00"/>
    <n v="50"/>
    <n v="55"/>
    <n v="0"/>
    <n v="0"/>
    <n v="8"/>
    <n v="52"/>
    <x v="0"/>
    <x v="41"/>
  </r>
  <r>
    <n v="899"/>
    <n v="905"/>
    <n v="1986"/>
    <s v="Graduation"/>
    <s v="Divorced"/>
    <n v="21846"/>
    <n v="1"/>
    <d v="1899-12-30T00:00:00"/>
    <d v="2013-10-22T00:00:00"/>
    <n v="38"/>
    <n v="17"/>
    <n v="10"/>
    <n v="10"/>
    <n v="3"/>
    <n v="40"/>
    <x v="1"/>
    <x v="104"/>
  </r>
  <r>
    <n v="900"/>
    <n v="8624"/>
    <n v="1958"/>
    <s v="Graduation"/>
    <s v="Married"/>
    <n v="81320"/>
    <n v="0"/>
    <d v="1899-12-30T00:00:00"/>
    <d v="2013-02-06T00:00:00"/>
    <n v="61"/>
    <n v="33"/>
    <n v="103"/>
    <n v="103"/>
    <n v="10"/>
    <n v="68"/>
    <x v="0"/>
    <x v="151"/>
  </r>
  <r>
    <n v="901"/>
    <n v="8945"/>
    <n v="1970"/>
    <s v="Graduation"/>
    <s v="Divorced"/>
    <n v="54137"/>
    <n v="0"/>
    <d v="1899-12-31T00:00:00"/>
    <d v="2013-08-16T00:00:00"/>
    <n v="46"/>
    <n v="0"/>
    <n v="1"/>
    <n v="1"/>
    <n v="4"/>
    <n v="56"/>
    <x v="0"/>
    <x v="7"/>
  </r>
  <r>
    <n v="902"/>
    <n v="6445"/>
    <n v="1967"/>
    <s v="Graduation"/>
    <s v="Together"/>
    <n v="66825"/>
    <n v="0"/>
    <d v="1899-12-30T00:00:00"/>
    <d v="2013-07-14T00:00:00"/>
    <n v="73"/>
    <n v="101"/>
    <n v="40"/>
    <n v="40"/>
    <n v="6"/>
    <n v="59"/>
    <x v="0"/>
    <x v="54"/>
  </r>
  <r>
    <n v="903"/>
    <n v="2727"/>
    <n v="1973"/>
    <s v="Graduation"/>
    <s v="Together"/>
    <n v="57100"/>
    <n v="0"/>
    <d v="1899-12-30T00:00:00"/>
    <d v="2013-12-04T00:00:00"/>
    <n v="19"/>
    <n v="21"/>
    <n v="3"/>
    <n v="3"/>
    <n v="6"/>
    <n v="53"/>
    <x v="0"/>
    <x v="18"/>
  </r>
  <r>
    <n v="904"/>
    <n v="6404"/>
    <n v="1969"/>
    <s v="Graduation"/>
    <s v="Together"/>
    <n v="58917"/>
    <n v="1"/>
    <d v="1900-01-01T00:00:00"/>
    <d v="2013-03-24T00:00:00"/>
    <n v="10"/>
    <n v="7"/>
    <n v="7"/>
    <n v="7"/>
    <n v="6"/>
    <n v="57"/>
    <x v="0"/>
    <x v="104"/>
  </r>
  <r>
    <n v="905"/>
    <n v="11074"/>
    <n v="1977"/>
    <s v="Graduation"/>
    <s v="Single"/>
    <n v="85072"/>
    <n v="0"/>
    <d v="1899-12-30T00:00:00"/>
    <d v="2014-04-09T00:00:00"/>
    <n v="94"/>
    <n v="92"/>
    <n v="11"/>
    <n v="11"/>
    <n v="10"/>
    <n v="49"/>
    <x v="1"/>
    <x v="81"/>
  </r>
  <r>
    <n v="906"/>
    <n v="10150"/>
    <n v="1961"/>
    <s v="Graduation"/>
    <s v="Single"/>
    <n v="86429"/>
    <n v="0"/>
    <d v="1899-12-30T00:00:00"/>
    <d v="2013-11-21T00:00:00"/>
    <n v="10"/>
    <n v="28"/>
    <n v="18"/>
    <n v="18"/>
    <n v="7"/>
    <n v="65"/>
    <x v="0"/>
    <x v="15"/>
  </r>
  <r>
    <n v="907"/>
    <n v="1968"/>
    <n v="1971"/>
    <s v="Graduation"/>
    <s v="Widow"/>
    <n v="45684"/>
    <n v="1"/>
    <d v="1899-12-30T00:00:00"/>
    <d v="2013-12-02T00:00:00"/>
    <n v="37"/>
    <n v="1"/>
    <n v="0"/>
    <n v="0"/>
    <n v="2"/>
    <n v="55"/>
    <x v="0"/>
    <x v="42"/>
  </r>
  <r>
    <n v="908"/>
    <n v="6534"/>
    <n v="1974"/>
    <s v="Graduation"/>
    <s v="Together"/>
    <n v="47889"/>
    <n v="1"/>
    <d v="1899-12-30T00:00:00"/>
    <d v="2014-01-04T00:00:00"/>
    <n v="94"/>
    <n v="0"/>
    <n v="5"/>
    <n v="5"/>
    <n v="3"/>
    <n v="52"/>
    <x v="0"/>
    <x v="41"/>
  </r>
  <r>
    <n v="909"/>
    <n v="9485"/>
    <n v="1986"/>
    <s v="PhD"/>
    <s v="Married"/>
    <n v="45921"/>
    <n v="0"/>
    <d v="1899-12-30T00:00:00"/>
    <d v="2014-03-10T00:00:00"/>
    <n v="23"/>
    <n v="9"/>
    <n v="3"/>
    <n v="3"/>
    <n v="6"/>
    <n v="40"/>
    <x v="1"/>
    <x v="18"/>
  </r>
  <r>
    <n v="910"/>
    <n v="7053"/>
    <n v="1966"/>
    <s v="PhD"/>
    <s v="Single"/>
    <n v="78420"/>
    <n v="0"/>
    <d v="1899-12-30T00:00:00"/>
    <d v="2013-06-29T00:00:00"/>
    <n v="75"/>
    <n v="28"/>
    <n v="28"/>
    <n v="28"/>
    <n v="8"/>
    <n v="60"/>
    <x v="0"/>
    <x v="50"/>
  </r>
  <r>
    <n v="911"/>
    <n v="4654"/>
    <n v="1992"/>
    <s v="Graduation"/>
    <s v="Together"/>
    <n v="75114"/>
    <n v="0"/>
    <d v="1899-12-30T00:00:00"/>
    <d v="2013-11-07T00:00:00"/>
    <n v="40"/>
    <n v="12"/>
    <n v="60"/>
    <n v="60"/>
    <n v="5"/>
    <n v="34"/>
    <x v="1"/>
    <x v="119"/>
  </r>
  <r>
    <n v="912"/>
    <n v="9760"/>
    <n v="1963"/>
    <s v="PhD"/>
    <s v="Widow"/>
    <n v="52278"/>
    <n v="0"/>
    <d v="1899-12-31T00:00:00"/>
    <d v="2013-01-25T00:00:00"/>
    <n v="24"/>
    <n v="0"/>
    <n v="0"/>
    <n v="0"/>
    <n v="10"/>
    <n v="63"/>
    <x v="0"/>
    <x v="11"/>
  </r>
  <r>
    <n v="913"/>
    <n v="1048"/>
    <n v="1972"/>
    <s v="Master"/>
    <s v="Married"/>
    <n v="35641"/>
    <n v="1"/>
    <d v="1899-12-30T00:00:00"/>
    <d v="2013-07-14T00:00:00"/>
    <n v="11"/>
    <n v="3"/>
    <n v="9"/>
    <n v="9"/>
    <n v="4"/>
    <n v="54"/>
    <x v="0"/>
    <x v="104"/>
  </r>
  <r>
    <n v="914"/>
    <n v="10619"/>
    <n v="1994"/>
    <s v="Graduation"/>
    <s v="Single"/>
    <n v="95529"/>
    <n v="0"/>
    <d v="1899-12-30T00:00:00"/>
    <d v="2012-12-03T00:00:00"/>
    <n v="29"/>
    <n v="29"/>
    <n v="27"/>
    <n v="27"/>
    <n v="7"/>
    <n v="32"/>
    <x v="1"/>
    <x v="35"/>
  </r>
  <r>
    <n v="915"/>
    <n v="9308"/>
    <n v="1954"/>
    <s v="Graduation"/>
    <s v="Married"/>
    <n v="62820"/>
    <n v="0"/>
    <d v="1899-12-30T00:00:00"/>
    <d v="2013-05-11T00:00:00"/>
    <n v="51"/>
    <n v="61"/>
    <n v="61"/>
    <n v="61"/>
    <n v="6"/>
    <n v="72"/>
    <x v="0"/>
    <x v="149"/>
  </r>
  <r>
    <n v="916"/>
    <n v="10505"/>
    <n v="1960"/>
    <s v="Master"/>
    <s v="Together"/>
    <n v="73113"/>
    <n v="0"/>
    <d v="1899-12-30T00:00:00"/>
    <d v="2013-12-26T00:00:00"/>
    <n v="86"/>
    <n v="19"/>
    <n v="9"/>
    <n v="9"/>
    <n v="7"/>
    <n v="66"/>
    <x v="0"/>
    <x v="13"/>
  </r>
  <r>
    <n v="917"/>
    <n v="8362"/>
    <n v="1982"/>
    <s v="PhD"/>
    <s v="Married"/>
    <n v="84169"/>
    <n v="0"/>
    <d v="1899-12-30T00:00:00"/>
    <d v="2013-08-07T00:00:00"/>
    <n v="9"/>
    <n v="19"/>
    <n v="19"/>
    <n v="19"/>
    <n v="6"/>
    <n v="44"/>
    <x v="1"/>
    <x v="15"/>
  </r>
  <r>
    <n v="918"/>
    <n v="2625"/>
    <n v="1954"/>
    <s v="2n Cycle"/>
    <s v="Single"/>
    <n v="42607"/>
    <n v="0"/>
    <d v="1899-12-31T00:00:00"/>
    <d v="2013-11-17T00:00:00"/>
    <n v="30"/>
    <n v="29"/>
    <n v="32"/>
    <n v="32"/>
    <n v="7"/>
    <n v="72"/>
    <x v="0"/>
    <x v="30"/>
  </r>
  <r>
    <n v="919"/>
    <n v="4637"/>
    <n v="1954"/>
    <s v="PhD"/>
    <s v="Single"/>
    <n v="74637"/>
    <n v="0"/>
    <d v="1899-12-30T00:00:00"/>
    <d v="2013-05-18T00:00:00"/>
    <n v="73"/>
    <n v="64"/>
    <n v="0"/>
    <n v="0"/>
    <n v="9"/>
    <n v="72"/>
    <x v="0"/>
    <x v="18"/>
  </r>
  <r>
    <n v="920"/>
    <n v="9972"/>
    <n v="1955"/>
    <s v="PhD"/>
    <s v="Together"/>
    <n v="46015"/>
    <n v="1"/>
    <d v="1899-12-31T00:00:00"/>
    <d v="2014-04-13T00:00:00"/>
    <n v="25"/>
    <n v="0"/>
    <n v="0"/>
    <n v="0"/>
    <n v="3"/>
    <n v="71"/>
    <x v="0"/>
    <x v="1"/>
  </r>
  <r>
    <n v="921"/>
    <n v="4483"/>
    <n v="1993"/>
    <s v="Graduation"/>
    <s v="Single"/>
    <n v="72354"/>
    <n v="0"/>
    <d v="1899-12-30T00:00:00"/>
    <d v="2013-04-17T00:00:00"/>
    <n v="67"/>
    <n v="26"/>
    <n v="12"/>
    <n v="12"/>
    <n v="6"/>
    <n v="33"/>
    <x v="1"/>
    <x v="14"/>
  </r>
  <r>
    <n v="922"/>
    <n v="4487"/>
    <n v="1969"/>
    <s v="Master"/>
    <s v="Single"/>
    <n v="39858"/>
    <n v="1"/>
    <d v="1899-12-30T00:00:00"/>
    <d v="2013-01-24T00:00:00"/>
    <n v="67"/>
    <n v="20"/>
    <n v="7"/>
    <n v="7"/>
    <n v="4"/>
    <n v="57"/>
    <x v="0"/>
    <x v="20"/>
  </r>
  <r>
    <n v="923"/>
    <n v="4988"/>
    <n v="1948"/>
    <s v="PhD"/>
    <s v="Married"/>
    <n v="34469"/>
    <n v="1"/>
    <d v="1899-12-31T00:00:00"/>
    <d v="2014-05-04T00:00:00"/>
    <n v="58"/>
    <n v="6"/>
    <n v="5"/>
    <n v="5"/>
    <n v="4"/>
    <n v="78"/>
    <x v="0"/>
    <x v="18"/>
  </r>
  <r>
    <n v="924"/>
    <n v="8931"/>
    <n v="1986"/>
    <s v="Graduation"/>
    <s v="Together"/>
    <n v="83033"/>
    <n v="1"/>
    <d v="1899-12-30T00:00:00"/>
    <d v="2014-05-18T00:00:00"/>
    <n v="82"/>
    <n v="99"/>
    <n v="149"/>
    <n v="149"/>
    <n v="10"/>
    <n v="40"/>
    <x v="1"/>
    <x v="152"/>
  </r>
  <r>
    <n v="925"/>
    <n v="5871"/>
    <n v="1979"/>
    <s v="Master"/>
    <s v="Together"/>
    <n v="24401"/>
    <n v="0"/>
    <d v="1899-12-30T00:00:00"/>
    <d v="2012-08-31T00:00:00"/>
    <n v="98"/>
    <n v="28"/>
    <n v="24"/>
    <n v="24"/>
    <n v="6"/>
    <n v="47"/>
    <x v="1"/>
    <x v="39"/>
  </r>
  <r>
    <n v="926"/>
    <n v="2008"/>
    <n v="1978"/>
    <s v="Graduation"/>
    <s v="Married"/>
    <n v="77583"/>
    <n v="0"/>
    <d v="1899-12-30T00:00:00"/>
    <d v="2014-02-10T00:00:00"/>
    <n v="93"/>
    <n v="23"/>
    <n v="12"/>
    <n v="12"/>
    <n v="9"/>
    <n v="48"/>
    <x v="1"/>
    <x v="81"/>
  </r>
  <r>
    <n v="927"/>
    <n v="3139"/>
    <n v="1982"/>
    <s v="2n Cycle"/>
    <s v="Single"/>
    <n v="74116"/>
    <n v="0"/>
    <d v="1899-12-30T00:00:00"/>
    <d v="2013-12-30T00:00:00"/>
    <n v="53"/>
    <n v="111"/>
    <n v="55"/>
    <n v="55"/>
    <n v="10"/>
    <n v="44"/>
    <x v="1"/>
    <x v="119"/>
  </r>
  <r>
    <n v="928"/>
    <n v="10037"/>
    <n v="1993"/>
    <s v="Graduation"/>
    <s v="Single"/>
    <n v="74293"/>
    <n v="0"/>
    <d v="1899-12-30T00:00:00"/>
    <d v="2014-05-04T00:00:00"/>
    <n v="66"/>
    <n v="152"/>
    <n v="91"/>
    <n v="91"/>
    <n v="6"/>
    <n v="33"/>
    <x v="1"/>
    <x v="103"/>
  </r>
  <r>
    <n v="929"/>
    <n v="10673"/>
    <n v="1976"/>
    <s v="PhD"/>
    <s v="Married"/>
    <n v="68397"/>
    <n v="0"/>
    <d v="1899-12-31T00:00:00"/>
    <d v="2013-11-17T00:00:00"/>
    <n v="6"/>
    <n v="80"/>
    <n v="13"/>
    <n v="13"/>
    <n v="5"/>
    <n v="50"/>
    <x v="1"/>
    <x v="14"/>
  </r>
  <r>
    <n v="930"/>
    <n v="5303"/>
    <n v="1974"/>
    <s v="PhD"/>
    <s v="Together"/>
    <n v="79632"/>
    <n v="0"/>
    <d v="1899-12-30T00:00:00"/>
    <d v="2014-04-08T00:00:00"/>
    <n v="42"/>
    <n v="0"/>
    <n v="21"/>
    <n v="21"/>
    <n v="9"/>
    <n v="52"/>
    <x v="0"/>
    <x v="39"/>
  </r>
  <r>
    <n v="931"/>
    <n v="538"/>
    <n v="1989"/>
    <s v="Graduation"/>
    <s v="Single"/>
    <n v="46107"/>
    <n v="1"/>
    <d v="1899-12-30T00:00:00"/>
    <d v="2014-02-10T00:00:00"/>
    <n v="78"/>
    <n v="9"/>
    <n v="9"/>
    <n v="9"/>
    <n v="4"/>
    <n v="37"/>
    <x v="1"/>
    <x v="104"/>
  </r>
  <r>
    <n v="932"/>
    <n v="7922"/>
    <n v="1951"/>
    <s v="PhD"/>
    <s v="Single"/>
    <n v="64950"/>
    <n v="0"/>
    <d v="1899-12-31T00:00:00"/>
    <d v="2012-08-12T00:00:00"/>
    <n v="29"/>
    <n v="0"/>
    <n v="0"/>
    <n v="0"/>
    <n v="10"/>
    <n v="75"/>
    <x v="0"/>
    <x v="11"/>
  </r>
  <r>
    <n v="933"/>
    <n v="5692"/>
    <n v="1989"/>
    <s v="Basic"/>
    <s v="Married"/>
    <n v="25443"/>
    <n v="1"/>
    <d v="1899-12-30T00:00:00"/>
    <d v="2012-12-22T00:00:00"/>
    <n v="82"/>
    <n v="4"/>
    <n v="9"/>
    <n v="9"/>
    <n v="3"/>
    <n v="37"/>
    <x v="1"/>
    <x v="51"/>
  </r>
  <r>
    <n v="934"/>
    <n v="4843"/>
    <n v="1952"/>
    <s v="Graduation"/>
    <s v="Single"/>
    <n v="75127"/>
    <n v="0"/>
    <d v="1899-12-30T00:00:00"/>
    <d v="2014-05-22T00:00:00"/>
    <n v="92"/>
    <n v="35"/>
    <n v="17"/>
    <n v="17"/>
    <n v="5"/>
    <n v="74"/>
    <x v="0"/>
    <x v="62"/>
  </r>
  <r>
    <n v="935"/>
    <n v="6383"/>
    <n v="1971"/>
    <s v="PhD"/>
    <s v="Together"/>
    <n v="32892"/>
    <n v="1"/>
    <d v="1899-12-30T00:00:00"/>
    <d v="2014-05-25T00:00:00"/>
    <n v="78"/>
    <n v="0"/>
    <n v="1"/>
    <n v="1"/>
    <n v="3"/>
    <n v="55"/>
    <x v="0"/>
    <x v="9"/>
  </r>
  <r>
    <n v="936"/>
    <n v="1628"/>
    <n v="1971"/>
    <s v="Graduation"/>
    <s v="Together"/>
    <n v="71796"/>
    <n v="0"/>
    <d v="1899-12-30T00:00:00"/>
    <d v="2013-10-24T00:00:00"/>
    <n v="54"/>
    <n v="21"/>
    <n v="75"/>
    <n v="75"/>
    <n v="4"/>
    <n v="55"/>
    <x v="0"/>
    <x v="70"/>
  </r>
  <r>
    <n v="937"/>
    <n v="1204"/>
    <n v="1970"/>
    <s v="PhD"/>
    <s v="Married"/>
    <n v="67536"/>
    <n v="0"/>
    <d v="1899-12-31T00:00:00"/>
    <d v="2013-05-22T00:00:00"/>
    <n v="45"/>
    <n v="0"/>
    <n v="71"/>
    <n v="71"/>
    <n v="11"/>
    <n v="56"/>
    <x v="0"/>
    <x v="59"/>
  </r>
  <r>
    <n v="938"/>
    <n v="3673"/>
    <n v="1971"/>
    <s v="Graduation"/>
    <s v="Single"/>
    <n v="55239"/>
    <n v="0"/>
    <d v="1899-12-31T00:00:00"/>
    <d v="2013-07-14T00:00:00"/>
    <n v="59"/>
    <n v="17"/>
    <n v="24"/>
    <n v="24"/>
    <n v="11"/>
    <n v="55"/>
    <x v="0"/>
    <x v="61"/>
  </r>
  <r>
    <n v="939"/>
    <n v="760"/>
    <n v="1975"/>
    <s v="PhD"/>
    <s v="Divorced"/>
    <n v="60554"/>
    <n v="1"/>
    <d v="1899-12-30T00:00:00"/>
    <d v="2013-08-09T00:00:00"/>
    <n v="8"/>
    <n v="7"/>
    <n v="15"/>
    <n v="15"/>
    <n v="9"/>
    <n v="51"/>
    <x v="0"/>
    <x v="38"/>
  </r>
  <r>
    <n v="940"/>
    <n v="8957"/>
    <n v="1952"/>
    <s v="2n Cycle"/>
    <s v="Single"/>
    <n v="64831"/>
    <n v="1"/>
    <d v="1899-12-31T00:00:00"/>
    <d v="2013-06-10T00:00:00"/>
    <n v="51"/>
    <n v="86"/>
    <n v="86"/>
    <n v="86"/>
    <n v="5"/>
    <n v="74"/>
    <x v="0"/>
    <x v="153"/>
  </r>
  <r>
    <n v="941"/>
    <n v="4128"/>
    <n v="1962"/>
    <s v="PhD"/>
    <s v="Together"/>
    <n v="56067"/>
    <n v="0"/>
    <d v="1899-12-31T00:00:00"/>
    <d v="2013-07-20T00:00:00"/>
    <n v="51"/>
    <n v="12"/>
    <n v="6"/>
    <n v="6"/>
    <n v="7"/>
    <n v="64"/>
    <x v="0"/>
    <x v="104"/>
  </r>
  <r>
    <n v="942"/>
    <n v="6810"/>
    <n v="1983"/>
    <s v="Graduation"/>
    <s v="Divorced"/>
    <n v="82025"/>
    <n v="0"/>
    <d v="1899-12-30T00:00:00"/>
    <d v="2013-05-28T00:00:00"/>
    <n v="76"/>
    <n v="98"/>
    <n v="70"/>
    <n v="70"/>
    <n v="6"/>
    <n v="43"/>
    <x v="1"/>
    <x v="23"/>
  </r>
  <r>
    <n v="943"/>
    <n v="5386"/>
    <n v="1953"/>
    <s v="Graduation"/>
    <s v="Together"/>
    <n v="94384"/>
    <n v="0"/>
    <d v="1899-12-30T00:00:00"/>
    <d v="2013-03-04T00:00:00"/>
    <n v="62"/>
    <n v="24"/>
    <n v="45"/>
    <n v="45"/>
    <n v="5"/>
    <n v="73"/>
    <x v="0"/>
    <x v="32"/>
  </r>
  <r>
    <n v="944"/>
    <n v="8700"/>
    <n v="1986"/>
    <s v="Basic"/>
    <s v="Single"/>
    <n v="14906"/>
    <n v="0"/>
    <d v="1899-12-30T00:00:00"/>
    <d v="2012-12-22T00:00:00"/>
    <n v="86"/>
    <n v="7"/>
    <n v="16"/>
    <n v="16"/>
    <n v="3"/>
    <n v="40"/>
    <x v="1"/>
    <x v="44"/>
  </r>
  <r>
    <n v="945"/>
    <n v="3202"/>
    <n v="1987"/>
    <s v="PhD"/>
    <s v="Married"/>
    <n v="51563"/>
    <n v="0"/>
    <d v="1899-12-30T00:00:00"/>
    <d v="2012-10-01T00:00:00"/>
    <n v="60"/>
    <n v="0"/>
    <n v="0"/>
    <n v="0"/>
    <n v="10"/>
    <n v="39"/>
    <x v="1"/>
    <x v="11"/>
  </r>
  <r>
    <n v="946"/>
    <n v="1328"/>
    <n v="1982"/>
    <s v="2n Cycle"/>
    <s v="Married"/>
    <n v="57937"/>
    <n v="0"/>
    <d v="1899-12-31T00:00:00"/>
    <d v="2014-02-16T00:00:00"/>
    <n v="56"/>
    <n v="42"/>
    <n v="48"/>
    <n v="48"/>
    <n v="9"/>
    <n v="44"/>
    <x v="1"/>
    <x v="64"/>
  </r>
  <r>
    <n v="947"/>
    <n v="8405"/>
    <n v="1979"/>
    <s v="Graduation"/>
    <s v="Divorced"/>
    <n v="68274"/>
    <n v="1"/>
    <d v="1899-12-31T00:00:00"/>
    <d v="2013-09-30T00:00:00"/>
    <n v="83"/>
    <n v="25"/>
    <n v="25"/>
    <n v="25"/>
    <n v="5"/>
    <n v="47"/>
    <x v="1"/>
    <x v="39"/>
  </r>
  <r>
    <n v="948"/>
    <n v="6515"/>
    <n v="1977"/>
    <s v="Graduation"/>
    <s v="Together"/>
    <n v="39771"/>
    <n v="1"/>
    <d v="1899-12-30T00:00:00"/>
    <d v="2013-12-06T00:00:00"/>
    <n v="92"/>
    <n v="2"/>
    <n v="8"/>
    <n v="8"/>
    <n v="3"/>
    <n v="49"/>
    <x v="1"/>
    <x v="20"/>
  </r>
  <r>
    <n v="949"/>
    <n v="2882"/>
    <n v="1975"/>
    <s v="2n Cycle"/>
    <s v="Divorced"/>
    <n v="67893"/>
    <n v="0"/>
    <d v="1899-12-31T00:00:00"/>
    <d v="2012-10-01T00:00:00"/>
    <n v="31"/>
    <n v="28"/>
    <n v="18"/>
    <n v="18"/>
    <n v="9"/>
    <n v="51"/>
    <x v="0"/>
    <x v="16"/>
  </r>
  <r>
    <n v="950"/>
    <n v="7574"/>
    <n v="1979"/>
    <s v="PhD"/>
    <s v="Together"/>
    <n v="27922"/>
    <n v="1"/>
    <d v="1899-12-30T00:00:00"/>
    <d v="2014-05-10T00:00:00"/>
    <n v="80"/>
    <n v="0"/>
    <n v="4"/>
    <n v="4"/>
    <n v="3"/>
    <n v="47"/>
    <x v="1"/>
    <x v="3"/>
  </r>
  <r>
    <n v="951"/>
    <n v="6387"/>
    <n v="1976"/>
    <s v="PhD"/>
    <s v="Together"/>
    <n v="52190"/>
    <n v="1"/>
    <d v="1899-12-31T00:00:00"/>
    <d v="2014-05-08T00:00:00"/>
    <n v="39"/>
    <n v="0"/>
    <n v="0"/>
    <n v="0"/>
    <n v="3"/>
    <n v="50"/>
    <x v="1"/>
    <x v="1"/>
  </r>
  <r>
    <n v="952"/>
    <n v="5320"/>
    <n v="1973"/>
    <s v="Master"/>
    <s v="Divorced"/>
    <n v="44051"/>
    <n v="1"/>
    <d v="1899-12-31T00:00:00"/>
    <d v="2013-01-29T00:00:00"/>
    <n v="20"/>
    <n v="7"/>
    <n v="3"/>
    <n v="3"/>
    <n v="4"/>
    <n v="53"/>
    <x v="0"/>
    <x v="3"/>
  </r>
  <r>
    <n v="953"/>
    <n v="5048"/>
    <n v="1971"/>
    <s v="PhD"/>
    <s v="Single"/>
    <n v="42767"/>
    <n v="2"/>
    <d v="1899-12-30T00:00:00"/>
    <d v="2013-05-11T00:00:00"/>
    <n v="53"/>
    <n v="6"/>
    <n v="5"/>
    <n v="5"/>
    <n v="2"/>
    <n v="55"/>
    <x v="0"/>
    <x v="3"/>
  </r>
  <r>
    <n v="954"/>
    <n v="8146"/>
    <n v="1976"/>
    <s v="Master"/>
    <s v="Together"/>
    <n v="46106"/>
    <n v="1"/>
    <d v="1899-12-31T00:00:00"/>
    <d v="2014-05-11T00:00:00"/>
    <n v="84"/>
    <n v="0"/>
    <n v="0"/>
    <n v="0"/>
    <n v="2"/>
    <n v="50"/>
    <x v="1"/>
    <x v="42"/>
  </r>
  <r>
    <n v="955"/>
    <n v="10031"/>
    <n v="1976"/>
    <s v="PhD"/>
    <s v="Married"/>
    <n v="16927"/>
    <n v="1"/>
    <d v="1899-12-31T00:00:00"/>
    <d v="2013-02-10T00:00:00"/>
    <n v="50"/>
    <n v="2"/>
    <n v="1"/>
    <n v="1"/>
    <n v="4"/>
    <n v="50"/>
    <x v="1"/>
    <x v="7"/>
  </r>
  <r>
    <n v="956"/>
    <n v="5748"/>
    <n v="1965"/>
    <s v="Graduation"/>
    <s v="Married"/>
    <n v="59754"/>
    <n v="0"/>
    <d v="1899-12-31T00:00:00"/>
    <d v="2012-12-01T00:00:00"/>
    <n v="96"/>
    <n v="27"/>
    <n v="146"/>
    <n v="146"/>
    <n v="6"/>
    <n v="61"/>
    <x v="0"/>
    <x v="154"/>
  </r>
  <r>
    <n v="957"/>
    <n v="2134"/>
    <n v="1952"/>
    <s v="Graduation"/>
    <s v="Single"/>
    <n v="53700"/>
    <n v="0"/>
    <d v="1899-12-31T00:00:00"/>
    <d v="2012-08-17T00:00:00"/>
    <n v="94"/>
    <n v="5"/>
    <n v="41"/>
    <n v="41"/>
    <n v="8"/>
    <n v="74"/>
    <x v="0"/>
    <x v="125"/>
  </r>
  <r>
    <n v="958"/>
    <n v="1523"/>
    <n v="1973"/>
    <s v="Graduation"/>
    <s v="Married"/>
    <n v="59041"/>
    <n v="1"/>
    <d v="1899-12-31T00:00:00"/>
    <d v="2014-05-07T00:00:00"/>
    <n v="25"/>
    <n v="2"/>
    <n v="2"/>
    <n v="2"/>
    <n v="4"/>
    <n v="53"/>
    <x v="0"/>
    <x v="29"/>
  </r>
  <r>
    <n v="959"/>
    <n v="9665"/>
    <n v="1957"/>
    <s v="PhD"/>
    <s v="Divorced"/>
    <n v="54237"/>
    <n v="0"/>
    <d v="1899-12-31T00:00:00"/>
    <d v="2013-04-27T00:00:00"/>
    <n v="48"/>
    <n v="3"/>
    <n v="0"/>
    <n v="0"/>
    <n v="5"/>
    <n v="69"/>
    <x v="0"/>
    <x v="7"/>
  </r>
  <r>
    <n v="960"/>
    <n v="4640"/>
    <n v="1967"/>
    <s v="Graduation"/>
    <s v="Divorced"/>
    <n v="70647"/>
    <n v="0"/>
    <d v="1899-12-31T00:00:00"/>
    <d v="2012-09-21T00:00:00"/>
    <n v="65"/>
    <n v="85"/>
    <n v="123"/>
    <n v="123"/>
    <n v="13"/>
    <n v="59"/>
    <x v="0"/>
    <x v="100"/>
  </r>
  <r>
    <n v="961"/>
    <n v="3635"/>
    <n v="1962"/>
    <s v="PhD"/>
    <s v="Single"/>
    <n v="52597"/>
    <n v="0"/>
    <d v="1899-12-31T00:00:00"/>
    <d v="2014-05-07T00:00:00"/>
    <n v="69"/>
    <n v="0"/>
    <n v="0"/>
    <n v="0"/>
    <n v="8"/>
    <n v="64"/>
    <x v="0"/>
    <x v="41"/>
  </r>
  <r>
    <n v="962"/>
    <n v="3547"/>
    <n v="1969"/>
    <s v="Master"/>
    <s v="Together"/>
    <n v="41021"/>
    <n v="1"/>
    <d v="1899-12-30T00:00:00"/>
    <d v="2012-12-30T00:00:00"/>
    <n v="12"/>
    <n v="7"/>
    <n v="16"/>
    <n v="16"/>
    <n v="3"/>
    <n v="57"/>
    <x v="0"/>
    <x v="44"/>
  </r>
  <r>
    <n v="963"/>
    <n v="2456"/>
    <n v="1975"/>
    <s v="PhD"/>
    <s v="Married"/>
    <n v="40233"/>
    <n v="0"/>
    <d v="1899-12-31T00:00:00"/>
    <d v="2013-10-14T00:00:00"/>
    <n v="84"/>
    <n v="4"/>
    <n v="17"/>
    <n v="17"/>
    <n v="5"/>
    <n v="51"/>
    <x v="0"/>
    <x v="62"/>
  </r>
  <r>
    <n v="964"/>
    <n v="5633"/>
    <n v="1980"/>
    <s v="Graduation"/>
    <s v="Married"/>
    <n v="50183"/>
    <n v="1"/>
    <d v="1899-12-31T00:00:00"/>
    <d v="2014-06-25T00:00:00"/>
    <n v="47"/>
    <n v="12"/>
    <n v="10"/>
    <n v="10"/>
    <n v="6"/>
    <n v="46"/>
    <x v="1"/>
    <x v="13"/>
  </r>
  <r>
    <n v="965"/>
    <n v="7801"/>
    <n v="1959"/>
    <s v="Graduation"/>
    <s v="Together"/>
    <n v="54753"/>
    <n v="0"/>
    <d v="1899-12-31T00:00:00"/>
    <d v="2013-09-12T00:00:00"/>
    <n v="87"/>
    <n v="107"/>
    <n v="59"/>
    <n v="59"/>
    <n v="11"/>
    <n v="67"/>
    <x v="0"/>
    <x v="120"/>
  </r>
  <r>
    <n v="966"/>
    <n v="10489"/>
    <n v="1973"/>
    <s v="Graduation"/>
    <s v="Married"/>
    <n v="92955"/>
    <n v="0"/>
    <d v="1899-12-30T00:00:00"/>
    <d v="2013-08-19T00:00:00"/>
    <n v="35"/>
    <n v="21"/>
    <n v="24"/>
    <n v="24"/>
    <n v="9"/>
    <n v="53"/>
    <x v="0"/>
    <x v="4"/>
  </r>
  <r>
    <n v="967"/>
    <n v="7011"/>
    <n v="1973"/>
    <s v="Graduation"/>
    <s v="Married"/>
    <n v="33471"/>
    <n v="1"/>
    <d v="1899-12-30T00:00:00"/>
    <d v="2012-10-12T00:00:00"/>
    <n v="47"/>
    <n v="2"/>
    <n v="9"/>
    <n v="9"/>
    <n v="4"/>
    <n v="53"/>
    <x v="0"/>
    <x v="104"/>
  </r>
  <r>
    <n v="968"/>
    <n v="2620"/>
    <n v="1974"/>
    <s v="PhD"/>
    <s v="Married"/>
    <n v="34596"/>
    <n v="1"/>
    <d v="1899-12-30T00:00:00"/>
    <d v="2013-04-13T00:00:00"/>
    <n v="48"/>
    <n v="0"/>
    <n v="0"/>
    <n v="0"/>
    <n v="2"/>
    <n v="52"/>
    <x v="0"/>
    <x v="42"/>
  </r>
  <r>
    <n v="969"/>
    <n v="3933"/>
    <n v="1980"/>
    <s v="Graduation"/>
    <s v="Together"/>
    <n v="44010"/>
    <n v="1"/>
    <d v="1899-12-30T00:00:00"/>
    <d v="2012-10-13T00:00:00"/>
    <n v="46"/>
    <n v="36"/>
    <n v="72"/>
    <n v="72"/>
    <n v="6"/>
    <n v="46"/>
    <x v="1"/>
    <x v="47"/>
  </r>
  <r>
    <n v="970"/>
    <n v="10981"/>
    <n v="1988"/>
    <s v="Graduation"/>
    <s v="Married"/>
    <n v="84219"/>
    <n v="0"/>
    <d v="1899-12-30T00:00:00"/>
    <d v="2014-02-02T00:00:00"/>
    <n v="27"/>
    <n v="137"/>
    <n v="137"/>
    <n v="137"/>
    <n v="10"/>
    <n v="38"/>
    <x v="1"/>
    <x v="134"/>
  </r>
  <r>
    <n v="971"/>
    <n v="1734"/>
    <n v="1968"/>
    <s v="PhD"/>
    <s v="Together"/>
    <n v="40706"/>
    <n v="2"/>
    <d v="1899-12-31T00:00:00"/>
    <d v="2013-01-17T00:00:00"/>
    <n v="37"/>
    <n v="0"/>
    <n v="2"/>
    <n v="2"/>
    <n v="4"/>
    <n v="58"/>
    <x v="0"/>
    <x v="29"/>
  </r>
  <r>
    <n v="972"/>
    <n v="10995"/>
    <n v="1988"/>
    <s v="2n Cycle"/>
    <s v="Married"/>
    <n v="15716"/>
    <n v="1"/>
    <d v="1899-12-30T00:00:00"/>
    <d v="2012-11-12T00:00:00"/>
    <n v="8"/>
    <n v="5"/>
    <n v="7"/>
    <n v="7"/>
    <n v="4"/>
    <n v="38"/>
    <x v="1"/>
    <x v="20"/>
  </r>
  <r>
    <n v="973"/>
    <n v="6357"/>
    <n v="1959"/>
    <s v="2n Cycle"/>
    <s v="Divorced"/>
    <n v="59052"/>
    <n v="0"/>
    <d v="1899-12-31T00:00:00"/>
    <d v="2013-11-17T00:00:00"/>
    <n v="29"/>
    <n v="35"/>
    <n v="57"/>
    <n v="57"/>
    <n v="7"/>
    <n v="67"/>
    <x v="0"/>
    <x v="122"/>
  </r>
  <r>
    <n v="974"/>
    <n v="9209"/>
    <n v="1971"/>
    <s v="Master"/>
    <s v="Together"/>
    <n v="80573"/>
    <n v="0"/>
    <d v="1899-12-30T00:00:00"/>
    <d v="2012-10-14T00:00:00"/>
    <n v="85"/>
    <n v="138"/>
    <n v="92"/>
    <n v="92"/>
    <n v="13"/>
    <n v="55"/>
    <x v="0"/>
    <x v="148"/>
  </r>
  <r>
    <n v="975"/>
    <n v="10286"/>
    <n v="1962"/>
    <s v="Graduation"/>
    <s v="Married"/>
    <n v="83715"/>
    <n v="0"/>
    <d v="1899-12-30T00:00:00"/>
    <d v="2014-02-03T00:00:00"/>
    <n v="2"/>
    <n v="8"/>
    <n v="35"/>
    <n v="35"/>
    <n v="13"/>
    <n v="64"/>
    <x v="0"/>
    <x v="121"/>
  </r>
  <r>
    <n v="976"/>
    <n v="2611"/>
    <n v="1959"/>
    <s v="Master"/>
    <s v="Together"/>
    <n v="82576"/>
    <n v="0"/>
    <d v="1899-12-30T00:00:00"/>
    <d v="2012-08-01T00:00:00"/>
    <n v="66"/>
    <n v="55"/>
    <n v="18"/>
    <n v="18"/>
    <n v="12"/>
    <n v="67"/>
    <x v="0"/>
    <x v="39"/>
  </r>
  <r>
    <n v="977"/>
    <n v="1600"/>
    <n v="1965"/>
    <s v="Master"/>
    <s v="Married"/>
    <n v="56962"/>
    <n v="2"/>
    <d v="1899-12-31T00:00:00"/>
    <d v="2013-10-11T00:00:00"/>
    <n v="60"/>
    <n v="3"/>
    <n v="3"/>
    <n v="3"/>
    <n v="5"/>
    <n v="61"/>
    <x v="0"/>
    <x v="41"/>
  </r>
  <r>
    <n v="978"/>
    <n v="3308"/>
    <n v="1952"/>
    <s v="Graduation"/>
    <s v="Married"/>
    <n v="35704"/>
    <n v="1"/>
    <d v="1899-12-31T00:00:00"/>
    <d v="2014-01-03T00:00:00"/>
    <n v="54"/>
    <n v="9"/>
    <n v="11"/>
    <n v="11"/>
    <n v="4"/>
    <n v="74"/>
    <x v="0"/>
    <x v="21"/>
  </r>
  <r>
    <n v="979"/>
    <n v="5407"/>
    <n v="1954"/>
    <s v="Graduation"/>
    <s v="Together"/>
    <n v="53103"/>
    <n v="0"/>
    <d v="1899-12-31T00:00:00"/>
    <d v="2013-09-12T00:00:00"/>
    <n v="70"/>
    <n v="17"/>
    <n v="0"/>
    <n v="0"/>
    <n v="7"/>
    <n v="72"/>
    <x v="0"/>
    <x v="3"/>
  </r>
  <r>
    <n v="980"/>
    <n v="2166"/>
    <n v="1960"/>
    <s v="2n Cycle"/>
    <s v="Widow"/>
    <n v="46779"/>
    <n v="1"/>
    <d v="1899-12-31T00:00:00"/>
    <d v="2013-07-12T00:00:00"/>
    <n v="55"/>
    <n v="1"/>
    <n v="0"/>
    <n v="0"/>
    <n v="2"/>
    <n v="66"/>
    <x v="0"/>
    <x v="42"/>
  </r>
  <r>
    <n v="981"/>
    <n v="3955"/>
    <n v="1965"/>
    <s v="Graduation"/>
    <s v="Divorced"/>
    <n v="4861"/>
    <n v="0"/>
    <d v="1899-12-30T00:00:00"/>
    <d v="2014-06-22T00:00:00"/>
    <n v="20"/>
    <n v="1"/>
    <n v="0"/>
    <n v="0"/>
    <n v="0"/>
    <n v="61"/>
    <x v="0"/>
    <x v="155"/>
  </r>
  <r>
    <n v="982"/>
    <n v="6634"/>
    <n v="1979"/>
    <s v="Master"/>
    <s v="Divorced"/>
    <n v="33462"/>
    <n v="1"/>
    <d v="1899-12-30T00:00:00"/>
    <d v="2013-08-07T00:00:00"/>
    <n v="78"/>
    <n v="3"/>
    <n v="0"/>
    <n v="0"/>
    <n v="3"/>
    <n v="47"/>
    <x v="1"/>
    <x v="1"/>
  </r>
  <r>
    <n v="983"/>
    <n v="3056"/>
    <n v="1978"/>
    <s v="Graduation"/>
    <s v="Divorced"/>
    <n v="63693"/>
    <n v="0"/>
    <d v="1899-12-31T00:00:00"/>
    <d v="2013-10-14T00:00:00"/>
    <n v="63"/>
    <n v="43"/>
    <n v="87"/>
    <n v="87"/>
    <n v="9"/>
    <n v="48"/>
    <x v="1"/>
    <x v="75"/>
  </r>
  <r>
    <n v="984"/>
    <n v="5718"/>
    <n v="1950"/>
    <s v="Graduation"/>
    <s v="Married"/>
    <n v="80763"/>
    <n v="0"/>
    <d v="1899-12-30T00:00:00"/>
    <d v="2013-08-15T00:00:00"/>
    <n v="17"/>
    <n v="168"/>
    <n v="42"/>
    <n v="42"/>
    <n v="6"/>
    <n v="76"/>
    <x v="0"/>
    <x v="121"/>
  </r>
  <r>
    <n v="985"/>
    <n v="6872"/>
    <n v="1974"/>
    <s v="PhD"/>
    <s v="Married"/>
    <n v="65352"/>
    <n v="0"/>
    <d v="1899-12-31T00:00:00"/>
    <d v="2013-08-21T00:00:00"/>
    <n v="43"/>
    <n v="3"/>
    <n v="7"/>
    <n v="7"/>
    <n v="8"/>
    <n v="52"/>
    <x v="0"/>
    <x v="21"/>
  </r>
  <r>
    <n v="986"/>
    <n v="8164"/>
    <n v="1978"/>
    <s v="PhD"/>
    <s v="Married"/>
    <n v="82170"/>
    <n v="0"/>
    <d v="1899-12-30T00:00:00"/>
    <d v="2013-11-25T00:00:00"/>
    <n v="13"/>
    <n v="93"/>
    <n v="55"/>
    <n v="55"/>
    <n v="7"/>
    <n v="48"/>
    <x v="1"/>
    <x v="128"/>
  </r>
  <r>
    <n v="987"/>
    <n v="4580"/>
    <n v="1969"/>
    <s v="Graduation"/>
    <s v="Married"/>
    <n v="75759"/>
    <n v="0"/>
    <d v="1899-12-30T00:00:00"/>
    <d v="2013-10-25T00:00:00"/>
    <n v="46"/>
    <n v="22"/>
    <n v="91"/>
    <n v="91"/>
    <n v="9"/>
    <n v="57"/>
    <x v="0"/>
    <x v="156"/>
  </r>
  <r>
    <n v="988"/>
    <n v="9305"/>
    <n v="1976"/>
    <s v="2n Cycle"/>
    <s v="Single"/>
    <n v="79689"/>
    <n v="0"/>
    <d v="1899-12-30T00:00:00"/>
    <d v="2013-05-12T00:00:00"/>
    <n v="65"/>
    <n v="26"/>
    <n v="37"/>
    <n v="37"/>
    <n v="13"/>
    <n v="50"/>
    <x v="1"/>
    <x v="32"/>
  </r>
  <r>
    <n v="989"/>
    <n v="453"/>
    <n v="1956"/>
    <s v="PhD"/>
    <s v="Widow"/>
    <n v="35340"/>
    <n v="1"/>
    <d v="1899-12-31T00:00:00"/>
    <d v="2014-06-29T00:00:00"/>
    <n v="1"/>
    <n v="0"/>
    <n v="1"/>
    <n v="1"/>
    <n v="3"/>
    <n v="70"/>
    <x v="0"/>
    <x v="9"/>
  </r>
  <r>
    <n v="990"/>
    <n v="8545"/>
    <n v="1954"/>
    <s v="Graduation"/>
    <s v="Divorced"/>
    <n v="85683"/>
    <n v="0"/>
    <d v="1899-12-30T00:00:00"/>
    <d v="2014-03-21T00:00:00"/>
    <n v="6"/>
    <n v="17"/>
    <n v="69"/>
    <n v="69"/>
    <n v="10"/>
    <n v="72"/>
    <x v="0"/>
    <x v="70"/>
  </r>
  <r>
    <n v="991"/>
    <n v="9850"/>
    <n v="1972"/>
    <s v="2n Cycle"/>
    <s v="Married"/>
    <n v="24884"/>
    <n v="1"/>
    <d v="1899-12-30T00:00:00"/>
    <d v="2012-11-29T00:00:00"/>
    <n v="32"/>
    <n v="6"/>
    <n v="0"/>
    <n v="0"/>
    <n v="3"/>
    <n v="54"/>
    <x v="0"/>
    <x v="1"/>
  </r>
  <r>
    <n v="992"/>
    <n v="7378"/>
    <n v="1981"/>
    <s v="Master"/>
    <s v="Together"/>
    <n v="42021"/>
    <n v="1"/>
    <d v="1899-12-30T00:00:00"/>
    <d v="2012-08-31T00:00:00"/>
    <n v="34"/>
    <n v="5"/>
    <n v="5"/>
    <n v="5"/>
    <n v="6"/>
    <n v="45"/>
    <x v="1"/>
    <x v="20"/>
  </r>
  <r>
    <n v="993"/>
    <n v="7646"/>
    <n v="1989"/>
    <s v="Graduation"/>
    <s v="Single"/>
    <n v="64449"/>
    <n v="1"/>
    <d v="1899-12-30T00:00:00"/>
    <d v="2014-02-18T00:00:00"/>
    <n v="70"/>
    <n v="63"/>
    <n v="35"/>
    <n v="35"/>
    <n v="12"/>
    <n v="37"/>
    <x v="1"/>
    <x v="34"/>
  </r>
  <r>
    <n v="994"/>
    <n v="1640"/>
    <n v="1954"/>
    <s v="Graduation"/>
    <s v="Divorced"/>
    <n v="64587"/>
    <n v="1"/>
    <d v="1899-12-31T00:00:00"/>
    <d v="2014-06-22T00:00:00"/>
    <n v="49"/>
    <n v="0"/>
    <n v="6"/>
    <n v="6"/>
    <n v="4"/>
    <n v="72"/>
    <x v="0"/>
    <x v="11"/>
  </r>
  <r>
    <n v="995"/>
    <n v="5184"/>
    <n v="1995"/>
    <s v="Graduation"/>
    <s v="Single"/>
    <n v="34824"/>
    <n v="0"/>
    <d v="1899-12-30T00:00:00"/>
    <d v="2014-03-26T00:00:00"/>
    <n v="65"/>
    <n v="2"/>
    <n v="0"/>
    <n v="0"/>
    <n v="2"/>
    <n v="31"/>
    <x v="1"/>
    <x v="42"/>
  </r>
  <r>
    <n v="996"/>
    <n v="8492"/>
    <n v="1978"/>
    <s v="Graduation"/>
    <s v="Together"/>
    <n v="75437"/>
    <n v="0"/>
    <d v="1899-12-30T00:00:00"/>
    <d v="2013-11-09T00:00:00"/>
    <n v="25"/>
    <n v="0"/>
    <n v="58"/>
    <n v="58"/>
    <n v="10"/>
    <n v="48"/>
    <x v="1"/>
    <x v="52"/>
  </r>
  <r>
    <n v="997"/>
    <n v="11188"/>
    <n v="1957"/>
    <s v="Graduation"/>
    <s v="Together"/>
    <n v="26091"/>
    <n v="1"/>
    <d v="1899-12-31T00:00:00"/>
    <d v="2014-02-25T00:00:00"/>
    <n v="84"/>
    <n v="10"/>
    <n v="17"/>
    <n v="17"/>
    <n v="3"/>
    <n v="69"/>
    <x v="0"/>
    <x v="26"/>
  </r>
  <r>
    <n v="998"/>
    <n v="1212"/>
    <n v="1973"/>
    <s v="Graduation"/>
    <s v="Married"/>
    <n v="52845"/>
    <n v="1"/>
    <d v="1899-12-30T00:00:00"/>
    <d v="2013-08-13T00:00:00"/>
    <n v="7"/>
    <n v="25"/>
    <n v="41"/>
    <n v="41"/>
    <n v="6"/>
    <n v="53"/>
    <x v="0"/>
    <x v="34"/>
  </r>
  <r>
    <n v="999"/>
    <n v="9097"/>
    <n v="1956"/>
    <s v="Graduation"/>
    <s v="Divorced"/>
    <n v="46086"/>
    <n v="0"/>
    <d v="1899-12-31T00:00:00"/>
    <d v="2013-11-03T00:00:00"/>
    <n v="34"/>
    <n v="8"/>
    <n v="2"/>
    <n v="2"/>
    <n v="8"/>
    <n v="70"/>
    <x v="0"/>
    <x v="11"/>
  </r>
  <r>
    <n v="1000"/>
    <n v="10473"/>
    <n v="1956"/>
    <s v="PhD"/>
    <s v="Widow"/>
    <n v="78028"/>
    <n v="0"/>
    <d v="1899-12-31T00:00:00"/>
    <d v="2012-09-10T00:00:00"/>
    <n v="38"/>
    <n v="19"/>
    <n v="0"/>
    <n v="0"/>
    <n v="9"/>
    <n v="70"/>
    <x v="0"/>
    <x v="18"/>
  </r>
  <r>
    <n v="1001"/>
    <n v="7962"/>
    <n v="1987"/>
    <s v="PhD"/>
    <s v="Single"/>
    <n v="95169"/>
    <n v="0"/>
    <d v="1899-12-30T00:00:00"/>
    <d v="2013-10-09T00:00:00"/>
    <n v="1"/>
    <n v="21"/>
    <n v="20"/>
    <n v="20"/>
    <n v="4"/>
    <n v="39"/>
    <x v="1"/>
    <x v="38"/>
  </r>
  <r>
    <n v="1002"/>
    <n v="9984"/>
    <n v="1981"/>
    <s v="2n Cycle"/>
    <s v="Married"/>
    <n v="56337"/>
    <n v="1"/>
    <d v="1899-12-31T00:00:00"/>
    <d v="2013-03-27T00:00:00"/>
    <n v="25"/>
    <n v="16"/>
    <n v="5"/>
    <n v="5"/>
    <n v="4"/>
    <n v="45"/>
    <x v="1"/>
    <x v="18"/>
  </r>
  <r>
    <n v="1003"/>
    <n v="5527"/>
    <n v="1987"/>
    <s v="Graduation"/>
    <s v="Together"/>
    <n v="22434"/>
    <n v="1"/>
    <d v="1899-12-30T00:00:00"/>
    <d v="2013-02-13T00:00:00"/>
    <n v="25"/>
    <n v="12"/>
    <n v="13"/>
    <n v="13"/>
    <n v="3"/>
    <n v="39"/>
    <x v="1"/>
    <x v="13"/>
  </r>
  <r>
    <n v="1004"/>
    <n v="6374"/>
    <n v="1954"/>
    <s v="PhD"/>
    <s v="Married"/>
    <n v="36930"/>
    <n v="0"/>
    <d v="1899-12-31T00:00:00"/>
    <d v="2013-05-17T00:00:00"/>
    <n v="50"/>
    <n v="2"/>
    <n v="2"/>
    <n v="2"/>
    <n v="4"/>
    <n v="72"/>
    <x v="0"/>
    <x v="29"/>
  </r>
  <r>
    <n v="1005"/>
    <n v="7453"/>
    <n v="1954"/>
    <s v="Graduation"/>
    <s v="Single"/>
    <n v="36130"/>
    <n v="0"/>
    <d v="1899-12-31T00:00:00"/>
    <d v="2013-02-02T00:00:00"/>
    <n v="46"/>
    <n v="43"/>
    <n v="56"/>
    <n v="56"/>
    <n v="4"/>
    <n v="72"/>
    <x v="0"/>
    <x v="91"/>
  </r>
  <r>
    <n v="1006"/>
    <n v="8952"/>
    <n v="1953"/>
    <s v="Master"/>
    <s v="Married"/>
    <n v="65569"/>
    <n v="0"/>
    <d v="1899-12-31T00:00:00"/>
    <d v="2012-11-05T00:00:00"/>
    <n v="96"/>
    <n v="46"/>
    <n v="38"/>
    <n v="38"/>
    <n v="10"/>
    <n v="73"/>
    <x v="0"/>
    <x v="121"/>
  </r>
  <r>
    <n v="1007"/>
    <n v="241"/>
    <n v="1952"/>
    <s v="Graduation"/>
    <s v="Together"/>
    <n v="83844"/>
    <n v="0"/>
    <d v="1899-12-30T00:00:00"/>
    <d v="2013-05-12T00:00:00"/>
    <n v="57"/>
    <n v="31"/>
    <n v="31"/>
    <n v="31"/>
    <n v="11"/>
    <n v="74"/>
    <x v="0"/>
    <x v="66"/>
  </r>
  <r>
    <n v="1008"/>
    <n v="8975"/>
    <n v="1968"/>
    <s v="Graduation"/>
    <s v="Married"/>
    <n v="19514"/>
    <n v="1"/>
    <d v="1899-12-31T00:00:00"/>
    <d v="2014-01-26T00:00:00"/>
    <n v="47"/>
    <n v="3"/>
    <n v="1"/>
    <n v="1"/>
    <n v="2"/>
    <n v="58"/>
    <x v="0"/>
    <x v="1"/>
  </r>
  <r>
    <n v="1009"/>
    <n v="6119"/>
    <n v="1963"/>
    <s v="PhD"/>
    <s v="Single"/>
    <n v="36736"/>
    <n v="1"/>
    <d v="1899-12-31T00:00:00"/>
    <d v="2013-05-10T00:00:00"/>
    <n v="52"/>
    <n v="0"/>
    <n v="0"/>
    <n v="0"/>
    <n v="2"/>
    <n v="63"/>
    <x v="0"/>
    <x v="42"/>
  </r>
  <r>
    <n v="1010"/>
    <n v="5236"/>
    <n v="1979"/>
    <s v="Graduation"/>
    <s v="Together"/>
    <n v="77568"/>
    <n v="0"/>
    <d v="1899-12-31T00:00:00"/>
    <d v="2012-08-25T00:00:00"/>
    <n v="30"/>
    <n v="0"/>
    <n v="178"/>
    <n v="178"/>
    <n v="8"/>
    <n v="47"/>
    <x v="1"/>
    <x v="76"/>
  </r>
  <r>
    <n v="1011"/>
    <n v="5723"/>
    <n v="1976"/>
    <s v="PhD"/>
    <s v="Together"/>
    <n v="49187"/>
    <n v="0"/>
    <d v="1899-12-31T00:00:00"/>
    <d v="2014-01-11T00:00:00"/>
    <n v="63"/>
    <n v="1"/>
    <n v="1"/>
    <n v="1"/>
    <n v="5"/>
    <n v="50"/>
    <x v="1"/>
    <x v="29"/>
  </r>
  <r>
    <n v="1012"/>
    <n v="1710"/>
    <n v="1978"/>
    <s v="Graduation"/>
    <s v="Single"/>
    <n v="30168"/>
    <n v="1"/>
    <d v="1899-12-30T00:00:00"/>
    <d v="2013-03-07T00:00:00"/>
    <n v="51"/>
    <n v="20"/>
    <n v="12"/>
    <n v="12"/>
    <n v="4"/>
    <n v="48"/>
    <x v="1"/>
    <x v="13"/>
  </r>
  <r>
    <n v="1013"/>
    <n v="1970"/>
    <n v="1968"/>
    <s v="Master"/>
    <s v="Together"/>
    <n v="34053"/>
    <n v="0"/>
    <d v="1899-12-31T00:00:00"/>
    <d v="2012-09-10T00:00:00"/>
    <n v="14"/>
    <n v="0"/>
    <n v="0"/>
    <n v="0"/>
    <n v="3"/>
    <n v="58"/>
    <x v="0"/>
    <x v="1"/>
  </r>
  <r>
    <n v="1014"/>
    <n v="5313"/>
    <n v="1971"/>
    <s v="Master"/>
    <s v="Married"/>
    <n v="38196"/>
    <n v="1"/>
    <d v="1899-12-31T00:00:00"/>
    <d v="2014-04-18T00:00:00"/>
    <n v="20"/>
    <n v="0"/>
    <n v="0"/>
    <n v="0"/>
    <n v="4"/>
    <n v="55"/>
    <x v="0"/>
    <x v="9"/>
  </r>
  <r>
    <n v="1015"/>
    <n v="10634"/>
    <n v="1951"/>
    <s v="Master"/>
    <s v="Married"/>
    <n v="59412"/>
    <n v="0"/>
    <d v="1899-12-30T00:00:00"/>
    <d v="2014-04-19T00:00:00"/>
    <n v="56"/>
    <n v="67"/>
    <n v="43"/>
    <n v="43"/>
    <n v="8"/>
    <n v="75"/>
    <x v="0"/>
    <x v="106"/>
  </r>
  <r>
    <n v="1016"/>
    <n v="7010"/>
    <n v="1965"/>
    <s v="2n Cycle"/>
    <s v="Married"/>
    <n v="70924"/>
    <n v="0"/>
    <d v="1899-12-30T00:00:00"/>
    <d v="2014-04-07T00:00:00"/>
    <n v="41"/>
    <n v="114"/>
    <n v="152"/>
    <n v="152"/>
    <n v="7"/>
    <n v="61"/>
    <x v="0"/>
    <x v="152"/>
  </r>
  <r>
    <n v="1017"/>
    <n v="8562"/>
    <n v="1969"/>
    <s v="Graduation"/>
    <s v="Together"/>
    <n v="54165"/>
    <n v="0"/>
    <d v="1899-12-30T00:00:00"/>
    <d v="2013-05-28T00:00:00"/>
    <n v="72"/>
    <n v="4"/>
    <n v="6"/>
    <n v="6"/>
    <n v="7"/>
    <n v="57"/>
    <x v="0"/>
    <x v="104"/>
  </r>
  <r>
    <n v="1018"/>
    <n v="3158"/>
    <n v="1973"/>
    <s v="Graduation"/>
    <s v="Married"/>
    <n v="32300"/>
    <n v="1"/>
    <d v="1899-12-30T00:00:00"/>
    <d v="2013-01-03T00:00:00"/>
    <n v="1"/>
    <n v="3"/>
    <n v="5"/>
    <n v="5"/>
    <n v="3"/>
    <n v="53"/>
    <x v="0"/>
    <x v="41"/>
  </r>
  <r>
    <n v="1019"/>
    <n v="4436"/>
    <n v="1976"/>
    <s v="Graduation"/>
    <s v="Single"/>
    <n v="20180"/>
    <n v="0"/>
    <d v="1899-12-30T00:00:00"/>
    <d v="2013-02-20T00:00:00"/>
    <n v="27"/>
    <n v="42"/>
    <n v="20"/>
    <n v="20"/>
    <n v="4"/>
    <n v="50"/>
    <x v="1"/>
    <x v="38"/>
  </r>
  <r>
    <n v="1020"/>
    <n v="5287"/>
    <n v="1973"/>
    <s v="Graduation"/>
    <s v="Married"/>
    <n v="34961"/>
    <n v="1"/>
    <d v="1899-12-30T00:00:00"/>
    <d v="2014-06-19T00:00:00"/>
    <n v="77"/>
    <n v="2"/>
    <n v="1"/>
    <n v="1"/>
    <n v="3"/>
    <n v="53"/>
    <x v="0"/>
    <x v="9"/>
  </r>
  <r>
    <n v="1021"/>
    <n v="2445"/>
    <n v="1974"/>
    <s v="PhD"/>
    <s v="Together"/>
    <n v="28440"/>
    <n v="1"/>
    <d v="1899-12-30T00:00:00"/>
    <d v="2013-07-07T00:00:00"/>
    <n v="87"/>
    <n v="1"/>
    <n v="0"/>
    <n v="0"/>
    <n v="3"/>
    <n v="52"/>
    <x v="0"/>
    <x v="1"/>
  </r>
  <r>
    <n v="1022"/>
    <n v="6059"/>
    <n v="1953"/>
    <s v="PhD"/>
    <s v="Together"/>
    <n v="64504"/>
    <n v="1"/>
    <d v="1900-01-01T00:00:00"/>
    <d v="2013-03-04T00:00:00"/>
    <n v="81"/>
    <n v="36"/>
    <n v="0"/>
    <n v="0"/>
    <n v="4"/>
    <n v="73"/>
    <x v="0"/>
    <x v="9"/>
  </r>
  <r>
    <n v="1023"/>
    <n v="4550"/>
    <n v="1966"/>
    <s v="Master"/>
    <s v="Together"/>
    <n v="33564"/>
    <n v="0"/>
    <d v="1899-12-31T00:00:00"/>
    <d v="2014-06-24T00:00:00"/>
    <n v="51"/>
    <n v="0"/>
    <n v="0"/>
    <n v="0"/>
    <n v="3"/>
    <n v="60"/>
    <x v="0"/>
    <x v="1"/>
  </r>
  <r>
    <n v="1024"/>
    <n v="4240"/>
    <n v="1978"/>
    <s v="Graduation"/>
    <s v="Married"/>
    <n v="17345"/>
    <n v="1"/>
    <d v="1899-12-30T00:00:00"/>
    <d v="2012-11-03T00:00:00"/>
    <n v="79"/>
    <n v="9"/>
    <n v="0"/>
    <n v="0"/>
    <n v="2"/>
    <n v="48"/>
    <x v="1"/>
    <x v="42"/>
  </r>
  <r>
    <n v="1025"/>
    <n v="8911"/>
    <n v="1967"/>
    <s v="PhD"/>
    <s v="Married"/>
    <n v="56320"/>
    <n v="0"/>
    <d v="1899-12-31T00:00:00"/>
    <d v="2013-04-08T00:00:00"/>
    <n v="11"/>
    <n v="53"/>
    <n v="77"/>
    <n v="77"/>
    <n v="9"/>
    <n v="59"/>
    <x v="0"/>
    <x v="117"/>
  </r>
  <r>
    <n v="1026"/>
    <n v="3706"/>
    <n v="1978"/>
    <s v="Graduation"/>
    <s v="Single"/>
    <n v="28647"/>
    <n v="1"/>
    <d v="1899-12-30T00:00:00"/>
    <d v="2013-08-21T00:00:00"/>
    <n v="54"/>
    <n v="8"/>
    <n v="12"/>
    <n v="12"/>
    <n v="2"/>
    <n v="48"/>
    <x v="1"/>
    <x v="31"/>
  </r>
  <r>
    <n v="1027"/>
    <n v="3628"/>
    <n v="1987"/>
    <s v="Basic"/>
    <s v="Single"/>
    <n v="15038"/>
    <n v="1"/>
    <d v="1899-12-30T00:00:00"/>
    <d v="2013-01-29T00:00:00"/>
    <n v="93"/>
    <n v="8"/>
    <n v="12"/>
    <n v="12"/>
    <n v="2"/>
    <n v="39"/>
    <x v="1"/>
    <x v="31"/>
  </r>
  <r>
    <n v="1028"/>
    <n v="10175"/>
    <n v="1958"/>
    <s v="PhD"/>
    <s v="Divorced"/>
    <n v="32173"/>
    <n v="0"/>
    <d v="1899-12-31T00:00:00"/>
    <d v="2013-08-01T00:00:00"/>
    <n v="0"/>
    <n v="0"/>
    <n v="0"/>
    <n v="0"/>
    <n v="3"/>
    <n v="68"/>
    <x v="0"/>
    <x v="1"/>
  </r>
  <r>
    <n v="1029"/>
    <n v="8985"/>
    <n v="1964"/>
    <s v="2n Cycle"/>
    <s v="Together"/>
    <n v="68316"/>
    <n v="0"/>
    <d v="1899-12-31T00:00:00"/>
    <d v="2012-11-04T00:00:00"/>
    <n v="54"/>
    <n v="80"/>
    <n v="11"/>
    <n v="11"/>
    <n v="10"/>
    <n v="62"/>
    <x v="0"/>
    <x v="81"/>
  </r>
  <r>
    <n v="1030"/>
    <n v="5204"/>
    <n v="1971"/>
    <s v="Graduation"/>
    <s v="Together"/>
    <n v="74538"/>
    <n v="0"/>
    <d v="1899-12-30T00:00:00"/>
    <d v="2013-06-29T00:00:00"/>
    <n v="21"/>
    <n v="98"/>
    <n v="112"/>
    <n v="112"/>
    <n v="5"/>
    <n v="55"/>
    <x v="0"/>
    <x v="157"/>
  </r>
  <r>
    <n v="1031"/>
    <n v="9220"/>
    <n v="1971"/>
    <s v="Graduation"/>
    <s v="Single"/>
    <n v="91700"/>
    <n v="0"/>
    <d v="1899-12-30T00:00:00"/>
    <d v="2013-01-17T00:00:00"/>
    <n v="58"/>
    <n v="172"/>
    <n v="115"/>
    <n v="115"/>
    <n v="5"/>
    <n v="55"/>
    <x v="0"/>
    <x v="10"/>
  </r>
  <r>
    <n v="1032"/>
    <n v="9888"/>
    <n v="1969"/>
    <s v="Graduation"/>
    <s v="Together"/>
    <n v="68695"/>
    <n v="0"/>
    <d v="1899-12-30T00:00:00"/>
    <d v="2014-06-25T00:00:00"/>
    <n v="3"/>
    <n v="81"/>
    <n v="50"/>
    <n v="50"/>
    <n v="7"/>
    <n v="57"/>
    <x v="0"/>
    <x v="64"/>
  </r>
  <r>
    <n v="1033"/>
    <n v="5263"/>
    <n v="1977"/>
    <s v="2n Cycle"/>
    <s v="Married"/>
    <n v="31056"/>
    <n v="1"/>
    <d v="1899-12-30T00:00:00"/>
    <d v="2013-01-22T00:00:00"/>
    <n v="99"/>
    <n v="10"/>
    <n v="8"/>
    <n v="8"/>
    <n v="3"/>
    <n v="49"/>
    <x v="1"/>
    <x v="20"/>
  </r>
  <r>
    <n v="1034"/>
    <n v="1020"/>
    <n v="1973"/>
    <s v="Graduation"/>
    <s v="Married"/>
    <n v="79593"/>
    <n v="0"/>
    <d v="1899-12-30T00:00:00"/>
    <d v="2014-05-12T00:00:00"/>
    <n v="70"/>
    <n v="60"/>
    <n v="133"/>
    <n v="133"/>
    <n v="7"/>
    <n v="53"/>
    <x v="0"/>
    <x v="48"/>
  </r>
  <r>
    <n v="1035"/>
    <n v="9503"/>
    <n v="1980"/>
    <s v="Graduation"/>
    <s v="Single"/>
    <n v="28071"/>
    <n v="0"/>
    <d v="1899-12-30T00:00:00"/>
    <d v="2012-08-29T00:00:00"/>
    <n v="65"/>
    <n v="33"/>
    <n v="26"/>
    <n v="26"/>
    <n v="5"/>
    <n v="46"/>
    <x v="1"/>
    <x v="2"/>
  </r>
  <r>
    <n v="1036"/>
    <n v="10613"/>
    <n v="1958"/>
    <s v="PhD"/>
    <s v="Together"/>
    <n v="37334"/>
    <n v="1"/>
    <d v="1899-12-31T00:00:00"/>
    <d v="2014-02-26T00:00:00"/>
    <n v="44"/>
    <n v="1"/>
    <n v="2"/>
    <n v="2"/>
    <n v="4"/>
    <n v="68"/>
    <x v="0"/>
    <x v="29"/>
  </r>
  <r>
    <n v="1037"/>
    <n v="67"/>
    <n v="1972"/>
    <s v="Master"/>
    <s v="Single"/>
    <n v="46423"/>
    <n v="1"/>
    <d v="1899-12-31T00:00:00"/>
    <d v="2013-09-18T00:00:00"/>
    <n v="6"/>
    <n v="0"/>
    <n v="0"/>
    <n v="0"/>
    <n v="4"/>
    <n v="54"/>
    <x v="0"/>
    <x v="9"/>
  </r>
  <r>
    <n v="1038"/>
    <n v="6019"/>
    <n v="1971"/>
    <s v="PhD"/>
    <s v="Married"/>
    <n v="37126"/>
    <n v="1"/>
    <d v="1899-12-30T00:00:00"/>
    <d v="2014-03-30T00:00:00"/>
    <n v="9"/>
    <n v="3"/>
    <n v="4"/>
    <n v="4"/>
    <n v="2"/>
    <n v="55"/>
    <x v="0"/>
    <x v="29"/>
  </r>
  <r>
    <n v="1039"/>
    <n v="5863"/>
    <n v="1953"/>
    <s v="Graduation"/>
    <s v="Married"/>
    <n v="47703"/>
    <n v="0"/>
    <d v="1899-12-31T00:00:00"/>
    <d v="2013-05-29T00:00:00"/>
    <n v="95"/>
    <n v="0"/>
    <n v="26"/>
    <n v="26"/>
    <n v="8"/>
    <n v="73"/>
    <x v="0"/>
    <x v="35"/>
  </r>
  <r>
    <n v="1040"/>
    <n v="3717"/>
    <n v="1959"/>
    <s v="Graduation"/>
    <s v="Married"/>
    <n v="61180"/>
    <n v="0"/>
    <d v="1899-12-31T00:00:00"/>
    <d v="2014-04-23T00:00:00"/>
    <n v="70"/>
    <n v="24"/>
    <n v="24"/>
    <n v="24"/>
    <n v="6"/>
    <n v="67"/>
    <x v="0"/>
    <x v="39"/>
  </r>
  <r>
    <n v="1041"/>
    <n v="6730"/>
    <n v="1954"/>
    <s v="Graduation"/>
    <s v="Married"/>
    <n v="38998"/>
    <n v="1"/>
    <d v="1899-12-31T00:00:00"/>
    <d v="2012-11-03T00:00:00"/>
    <n v="92"/>
    <n v="1"/>
    <n v="0"/>
    <n v="0"/>
    <n v="3"/>
    <n v="72"/>
    <x v="0"/>
    <x v="1"/>
  </r>
  <r>
    <n v="1042"/>
    <n v="10749"/>
    <n v="1991"/>
    <s v="Graduation"/>
    <s v="Single"/>
    <n v="8028"/>
    <n v="0"/>
    <d v="1899-12-30T00:00:00"/>
    <d v="2012-09-18T00:00:00"/>
    <n v="62"/>
    <n v="18"/>
    <n v="12"/>
    <n v="12"/>
    <n v="0"/>
    <n v="35"/>
    <x v="1"/>
    <x v="51"/>
  </r>
  <r>
    <n v="1043"/>
    <n v="4998"/>
    <n v="1962"/>
    <s v="Graduation"/>
    <s v="Together"/>
    <n v="76081"/>
    <n v="0"/>
    <d v="1899-12-30T00:00:00"/>
    <d v="2014-05-23T00:00:00"/>
    <n v="85"/>
    <n v="30"/>
    <n v="33"/>
    <n v="33"/>
    <n v="4"/>
    <n v="64"/>
    <x v="0"/>
    <x v="78"/>
  </r>
  <r>
    <n v="1044"/>
    <n v="6287"/>
    <n v="1986"/>
    <s v="Graduation"/>
    <s v="Together"/>
    <n v="34728"/>
    <n v="1"/>
    <d v="1899-12-30T00:00:00"/>
    <d v="2013-07-30T00:00:00"/>
    <n v="2"/>
    <n v="0"/>
    <n v="0"/>
    <n v="0"/>
    <n v="2"/>
    <n v="40"/>
    <x v="1"/>
    <x v="42"/>
  </r>
  <r>
    <n v="1045"/>
    <n v="5985"/>
    <n v="1965"/>
    <s v="Master"/>
    <s v="Single"/>
    <n v="33168"/>
    <n v="0"/>
    <d v="1899-12-31T00:00:00"/>
    <d v="2012-10-13T00:00:00"/>
    <n v="0"/>
    <n v="1"/>
    <n v="1"/>
    <n v="1"/>
    <n v="4"/>
    <n v="61"/>
    <x v="0"/>
    <x v="7"/>
  </r>
  <r>
    <n v="1046"/>
    <n v="4754"/>
    <n v="1966"/>
    <s v="Master"/>
    <s v="Married"/>
    <n v="33585"/>
    <n v="0"/>
    <d v="1899-12-31T00:00:00"/>
    <d v="2013-09-25T00:00:00"/>
    <n v="91"/>
    <n v="11"/>
    <n v="6"/>
    <n v="6"/>
    <n v="4"/>
    <n v="60"/>
    <x v="0"/>
    <x v="11"/>
  </r>
  <r>
    <n v="1047"/>
    <n v="4002"/>
    <n v="1960"/>
    <s v="PhD"/>
    <s v="Married"/>
    <n v="77037"/>
    <n v="0"/>
    <d v="1899-12-31T00:00:00"/>
    <d v="2013-10-13T00:00:00"/>
    <n v="3"/>
    <n v="96"/>
    <n v="53"/>
    <n v="53"/>
    <n v="12"/>
    <n v="66"/>
    <x v="0"/>
    <x v="119"/>
  </r>
  <r>
    <n v="1048"/>
    <n v="8870"/>
    <n v="1984"/>
    <s v="Graduation"/>
    <s v="Together"/>
    <n v="35196"/>
    <n v="1"/>
    <d v="1899-12-30T00:00:00"/>
    <d v="2012-11-13T00:00:00"/>
    <n v="68"/>
    <n v="12"/>
    <n v="39"/>
    <n v="39"/>
    <n v="5"/>
    <n v="42"/>
    <x v="1"/>
    <x v="109"/>
  </r>
  <r>
    <n v="1049"/>
    <n v="966"/>
    <n v="1966"/>
    <s v="Graduation"/>
    <s v="Married"/>
    <n v="44529"/>
    <n v="0"/>
    <d v="1899-12-31T00:00:00"/>
    <d v="2013-07-05T00:00:00"/>
    <n v="98"/>
    <n v="13"/>
    <n v="6"/>
    <n v="6"/>
    <n v="11"/>
    <n v="60"/>
    <x v="0"/>
    <x v="67"/>
  </r>
  <r>
    <n v="1050"/>
    <n v="4767"/>
    <n v="1965"/>
    <s v="2n Cycle"/>
    <s v="Married"/>
    <n v="70924"/>
    <n v="0"/>
    <d v="1899-12-30T00:00:00"/>
    <d v="2014-04-07T00:00:00"/>
    <n v="41"/>
    <n v="114"/>
    <n v="152"/>
    <n v="152"/>
    <n v="7"/>
    <n v="61"/>
    <x v="0"/>
    <x v="152"/>
  </r>
  <r>
    <n v="1051"/>
    <n v="9725"/>
    <n v="1966"/>
    <s v="PhD"/>
    <s v="Together"/>
    <n v="28764"/>
    <n v="1"/>
    <d v="1899-12-31T00:00:00"/>
    <d v="2014-06-05T00:00:00"/>
    <n v="16"/>
    <n v="0"/>
    <n v="0"/>
    <n v="0"/>
    <n v="2"/>
    <n v="60"/>
    <x v="0"/>
    <x v="42"/>
  </r>
  <r>
    <n v="1052"/>
    <n v="4475"/>
    <n v="1949"/>
    <s v="PhD"/>
    <s v="Married"/>
    <n v="69098"/>
    <n v="0"/>
    <d v="1899-12-30T00:00:00"/>
    <d v="2013-02-16T00:00:00"/>
    <n v="82"/>
    <n v="22"/>
    <n v="0"/>
    <n v="0"/>
    <n v="9"/>
    <n v="77"/>
    <x v="0"/>
    <x v="18"/>
  </r>
  <r>
    <n v="1053"/>
    <n v="5740"/>
    <n v="1970"/>
    <s v="2n Cycle"/>
    <s v="Divorced"/>
    <n v="25959"/>
    <n v="1"/>
    <d v="1899-12-31T00:00:00"/>
    <d v="2013-02-14T00:00:00"/>
    <n v="1"/>
    <n v="2"/>
    <n v="5"/>
    <n v="5"/>
    <n v="2"/>
    <n v="56"/>
    <x v="0"/>
    <x v="3"/>
  </r>
  <r>
    <n v="1054"/>
    <n v="5731"/>
    <n v="1983"/>
    <s v="Master"/>
    <s v="Married"/>
    <n v="27100"/>
    <n v="1"/>
    <d v="1899-12-30T00:00:00"/>
    <d v="2013-04-05T00:00:00"/>
    <n v="64"/>
    <n v="0"/>
    <n v="0"/>
    <n v="0"/>
    <n v="3"/>
    <n v="43"/>
    <x v="1"/>
    <x v="1"/>
  </r>
  <r>
    <n v="1055"/>
    <n v="7290"/>
    <n v="1985"/>
    <s v="Graduation"/>
    <s v="Single"/>
    <n v="70596"/>
    <n v="0"/>
    <d v="1899-12-30T00:00:00"/>
    <d v="2012-10-05T00:00:00"/>
    <n v="68"/>
    <n v="44"/>
    <n v="0"/>
    <n v="0"/>
    <n v="12"/>
    <n v="41"/>
    <x v="1"/>
    <x v="51"/>
  </r>
  <r>
    <n v="1056"/>
    <n v="3846"/>
    <n v="1974"/>
    <s v="Graduation"/>
    <s v="Married"/>
    <n v="42557"/>
    <n v="0"/>
    <d v="1899-12-31T00:00:00"/>
    <d v="2012-08-29T00:00:00"/>
    <n v="98"/>
    <n v="5"/>
    <n v="5"/>
    <n v="5"/>
    <n v="4"/>
    <n v="52"/>
    <x v="0"/>
    <x v="18"/>
  </r>
  <r>
    <n v="1057"/>
    <n v="8104"/>
    <n v="1951"/>
    <s v="PhD"/>
    <s v="Married"/>
    <n v="53312"/>
    <n v="0"/>
    <d v="1899-12-30T00:00:00"/>
    <d v="2013-08-09T00:00:00"/>
    <n v="32"/>
    <n v="0"/>
    <n v="0"/>
    <n v="0"/>
    <n v="5"/>
    <n v="75"/>
    <x v="0"/>
    <x v="7"/>
  </r>
  <r>
    <n v="1058"/>
    <n v="4507"/>
    <n v="1952"/>
    <s v="Graduation"/>
    <s v="Single"/>
    <n v="72228"/>
    <n v="0"/>
    <d v="1899-12-30T00:00:00"/>
    <d v="2012-11-27T00:00:00"/>
    <n v="87"/>
    <n v="28"/>
    <n v="14"/>
    <n v="14"/>
    <n v="8"/>
    <n v="74"/>
    <x v="0"/>
    <x v="62"/>
  </r>
  <r>
    <n v="1059"/>
    <n v="11013"/>
    <n v="1987"/>
    <s v="Graduation"/>
    <s v="Together"/>
    <n v="67605"/>
    <n v="0"/>
    <d v="1899-12-30T00:00:00"/>
    <d v="2013-03-31T00:00:00"/>
    <n v="84"/>
    <n v="28"/>
    <n v="54"/>
    <n v="54"/>
    <n v="6"/>
    <n v="39"/>
    <x v="1"/>
    <x v="91"/>
  </r>
  <r>
    <n v="1060"/>
    <n v="4491"/>
    <n v="1949"/>
    <s v="Master"/>
    <s v="Married"/>
    <n v="62845"/>
    <n v="1"/>
    <d v="1899-12-31T00:00:00"/>
    <d v="2012-10-01T00:00:00"/>
    <n v="3"/>
    <n v="0"/>
    <n v="0"/>
    <n v="0"/>
    <n v="10"/>
    <n v="77"/>
    <x v="0"/>
    <x v="11"/>
  </r>
  <r>
    <n v="1061"/>
    <n v="3759"/>
    <n v="1958"/>
    <s v="Graduation"/>
    <s v="Together"/>
    <n v="65196"/>
    <n v="0"/>
    <d v="1900-01-01T00:00:00"/>
    <d v="2013-07-25T00:00:00"/>
    <n v="34"/>
    <n v="19"/>
    <n v="0"/>
    <n v="0"/>
    <n v="11"/>
    <n v="68"/>
    <x v="0"/>
    <x v="20"/>
  </r>
  <r>
    <n v="1062"/>
    <n v="1162"/>
    <n v="1987"/>
    <s v="PhD"/>
    <s v="Single"/>
    <n v="42000"/>
    <n v="0"/>
    <d v="1899-12-30T00:00:00"/>
    <d v="2013-01-10T00:00:00"/>
    <n v="23"/>
    <n v="83"/>
    <n v="59"/>
    <n v="59"/>
    <n v="11"/>
    <n v="39"/>
    <x v="1"/>
    <x v="120"/>
  </r>
  <r>
    <n v="1063"/>
    <n v="2055"/>
    <n v="1973"/>
    <s v="PhD"/>
    <s v="Divorced"/>
    <n v="35860"/>
    <n v="1"/>
    <d v="1899-12-31T00:00:00"/>
    <d v="2014-05-19T00:00:00"/>
    <n v="37"/>
    <n v="0"/>
    <n v="2"/>
    <n v="2"/>
    <n v="2"/>
    <n v="53"/>
    <x v="0"/>
    <x v="9"/>
  </r>
  <r>
    <n v="1064"/>
    <n v="10766"/>
    <n v="1964"/>
    <s v="PhD"/>
    <s v="Married"/>
    <n v="65526"/>
    <n v="0"/>
    <d v="1899-12-31T00:00:00"/>
    <d v="2014-04-11T00:00:00"/>
    <n v="22"/>
    <n v="19"/>
    <n v="0"/>
    <n v="0"/>
    <n v="8"/>
    <n v="62"/>
    <x v="0"/>
    <x v="41"/>
  </r>
  <r>
    <n v="1065"/>
    <n v="4415"/>
    <n v="1961"/>
    <s v="Graduation"/>
    <s v="Married"/>
    <n v="16860"/>
    <n v="1"/>
    <d v="1899-12-31T00:00:00"/>
    <d v="2012-09-12T00:00:00"/>
    <n v="19"/>
    <n v="4"/>
    <n v="3"/>
    <n v="3"/>
    <n v="3"/>
    <n v="65"/>
    <x v="0"/>
    <x v="29"/>
  </r>
  <r>
    <n v="1066"/>
    <n v="3005"/>
    <n v="1992"/>
    <s v="Graduation"/>
    <s v="Single"/>
    <n v="83528"/>
    <n v="0"/>
    <d v="1899-12-30T00:00:00"/>
    <d v="2014-05-01T00:00:00"/>
    <n v="7"/>
    <n v="117"/>
    <n v="44"/>
    <n v="44"/>
    <n v="8"/>
    <n v="34"/>
    <x v="1"/>
    <x v="5"/>
  </r>
  <r>
    <n v="1067"/>
    <n v="2223"/>
    <n v="1965"/>
    <s v="2n Cycle"/>
    <s v="Divorced"/>
    <n v="64176"/>
    <n v="0"/>
    <d v="1899-12-31T00:00:00"/>
    <d v="2012-08-03T00:00:00"/>
    <n v="52"/>
    <n v="33"/>
    <n v="116"/>
    <n v="116"/>
    <n v="8"/>
    <n v="61"/>
    <x v="0"/>
    <x v="129"/>
  </r>
  <r>
    <n v="1068"/>
    <n v="4817"/>
    <n v="1956"/>
    <s v="Graduation"/>
    <s v="Divorced"/>
    <n v="22304"/>
    <n v="0"/>
    <d v="1899-12-30T00:00:00"/>
    <d v="2012-08-04T00:00:00"/>
    <n v="91"/>
    <n v="2"/>
    <n v="4"/>
    <n v="4"/>
    <n v="2"/>
    <n v="70"/>
    <x v="0"/>
    <x v="29"/>
  </r>
  <r>
    <n v="1069"/>
    <n v="2875"/>
    <n v="1978"/>
    <s v="Graduation"/>
    <s v="Married"/>
    <n v="67023"/>
    <n v="0"/>
    <d v="1899-12-30T00:00:00"/>
    <d v="2014-03-04T00:00:00"/>
    <n v="93"/>
    <n v="44"/>
    <n v="8"/>
    <n v="8"/>
    <n v="13"/>
    <n v="48"/>
    <x v="1"/>
    <x v="81"/>
  </r>
  <r>
    <n v="1070"/>
    <n v="10536"/>
    <n v="1971"/>
    <s v="PhD"/>
    <s v="Together"/>
    <n v="32892"/>
    <n v="1"/>
    <d v="1899-12-30T00:00:00"/>
    <d v="2014-05-25T00:00:00"/>
    <n v="78"/>
    <n v="0"/>
    <n v="1"/>
    <n v="1"/>
    <n v="3"/>
    <n v="55"/>
    <x v="0"/>
    <x v="9"/>
  </r>
  <r>
    <n v="1071"/>
    <n v="11112"/>
    <n v="1966"/>
    <s v="Graduation"/>
    <s v="Together"/>
    <n v="70713"/>
    <n v="0"/>
    <d v="1899-12-31T00:00:00"/>
    <d v="2012-12-03T00:00:00"/>
    <n v="23"/>
    <n v="114"/>
    <n v="76"/>
    <n v="76"/>
    <n v="8"/>
    <n v="60"/>
    <x v="0"/>
    <x v="127"/>
  </r>
  <r>
    <n v="1072"/>
    <n v="3807"/>
    <n v="1955"/>
    <s v="Graduation"/>
    <s v="Together"/>
    <n v="59925"/>
    <n v="0"/>
    <d v="1899-12-31T00:00:00"/>
    <d v="2012-11-30T00:00:00"/>
    <n v="83"/>
    <n v="21"/>
    <n v="21"/>
    <n v="21"/>
    <n v="9"/>
    <n v="71"/>
    <x v="0"/>
    <x v="39"/>
  </r>
  <r>
    <n v="1073"/>
    <n v="9197"/>
    <n v="1953"/>
    <s v="Graduation"/>
    <s v="Married"/>
    <n v="39722"/>
    <n v="0"/>
    <d v="1899-12-31T00:00:00"/>
    <d v="2014-02-24T00:00:00"/>
    <n v="92"/>
    <n v="0"/>
    <n v="0"/>
    <n v="0"/>
    <n v="3"/>
    <n v="73"/>
    <x v="0"/>
    <x v="1"/>
  </r>
  <r>
    <n v="1074"/>
    <n v="10832"/>
    <n v="1958"/>
    <s v="Graduation"/>
    <s v="Together"/>
    <n v="46610"/>
    <n v="0"/>
    <d v="1899-12-30T00:00:00"/>
    <d v="2013-07-18T00:00:00"/>
    <n v="4"/>
    <n v="10"/>
    <n v="10"/>
    <n v="10"/>
    <n v="6"/>
    <n v="68"/>
    <x v="0"/>
    <x v="13"/>
  </r>
  <r>
    <n v="1075"/>
    <n v="6421"/>
    <n v="1961"/>
    <s v="Graduation"/>
    <s v="Together"/>
    <n v="88347"/>
    <n v="0"/>
    <d v="1899-12-30T00:00:00"/>
    <d v="2013-07-03T00:00:00"/>
    <n v="32"/>
    <n v="178"/>
    <n v="138"/>
    <n v="138"/>
    <n v="9"/>
    <n v="65"/>
    <x v="0"/>
    <x v="134"/>
  </r>
  <r>
    <n v="1076"/>
    <n v="4207"/>
    <n v="1981"/>
    <s v="PhD"/>
    <s v="Married"/>
    <n v="87171"/>
    <n v="0"/>
    <d v="1899-12-30T00:00:00"/>
    <d v="2013-05-01T00:00:00"/>
    <n v="27"/>
    <n v="44"/>
    <n v="44"/>
    <n v="44"/>
    <n v="11"/>
    <n v="45"/>
    <x v="1"/>
    <x v="93"/>
  </r>
  <r>
    <n v="1077"/>
    <n v="577"/>
    <n v="1976"/>
    <s v="2n Cycle"/>
    <s v="Together"/>
    <n v="26907"/>
    <n v="1"/>
    <d v="1899-12-31T00:00:00"/>
    <d v="2013-08-20T00:00:00"/>
    <n v="10"/>
    <n v="1"/>
    <n v="3"/>
    <n v="3"/>
    <n v="3"/>
    <n v="50"/>
    <x v="1"/>
    <x v="29"/>
  </r>
  <r>
    <n v="1078"/>
    <n v="10855"/>
    <n v="1968"/>
    <s v="Master"/>
    <s v="Single"/>
    <n v="50014"/>
    <n v="1"/>
    <d v="1899-12-30T00:00:00"/>
    <d v="2014-01-22T00:00:00"/>
    <n v="9"/>
    <n v="14"/>
    <n v="10"/>
    <n v="10"/>
    <n v="8"/>
    <n v="58"/>
    <x v="0"/>
    <x v="14"/>
  </r>
  <r>
    <n v="1079"/>
    <n v="3081"/>
    <n v="1978"/>
    <s v="PhD"/>
    <s v="Married"/>
    <n v="41014"/>
    <n v="1"/>
    <d v="1899-12-30T00:00:00"/>
    <d v="2013-04-22T00:00:00"/>
    <n v="65"/>
    <n v="2"/>
    <n v="0"/>
    <n v="0"/>
    <n v="2"/>
    <n v="48"/>
    <x v="1"/>
    <x v="42"/>
  </r>
  <r>
    <n v="1080"/>
    <n v="3535"/>
    <n v="1965"/>
    <s v="Graduation"/>
    <s v="Single"/>
    <n v="66294"/>
    <n v="0"/>
    <d v="1899-12-30T00:00:00"/>
    <d v="2014-03-17T00:00:00"/>
    <n v="68"/>
    <n v="108"/>
    <n v="92"/>
    <n v="92"/>
    <n v="5"/>
    <n v="61"/>
    <x v="0"/>
    <x v="103"/>
  </r>
  <r>
    <n v="1081"/>
    <n v="247"/>
    <n v="1971"/>
    <s v="Graduation"/>
    <s v="Married"/>
    <n v="36715"/>
    <n v="1"/>
    <d v="1899-12-30T00:00:00"/>
    <d v="2012-11-17T00:00:00"/>
    <n v="16"/>
    <n v="10"/>
    <n v="13"/>
    <n v="13"/>
    <n v="4"/>
    <n v="55"/>
    <x v="0"/>
    <x v="67"/>
  </r>
  <r>
    <n v="1082"/>
    <n v="8707"/>
    <n v="1956"/>
    <s v="Graduation"/>
    <s v="Married"/>
    <n v="79456"/>
    <n v="0"/>
    <d v="1899-12-30T00:00:00"/>
    <d v="2012-08-22T00:00:00"/>
    <n v="12"/>
    <n v="42"/>
    <n v="83"/>
    <n v="83"/>
    <n v="4"/>
    <n v="70"/>
    <x v="0"/>
    <x v="57"/>
  </r>
  <r>
    <n v="1083"/>
    <n v="9523"/>
    <n v="1982"/>
    <s v="Graduation"/>
    <s v="Together"/>
    <n v="40479"/>
    <n v="1"/>
    <d v="1899-12-30T00:00:00"/>
    <d v="2013-08-17T00:00:00"/>
    <n v="95"/>
    <n v="0"/>
    <n v="0"/>
    <n v="0"/>
    <n v="3"/>
    <n v="44"/>
    <x v="1"/>
    <x v="1"/>
  </r>
  <r>
    <n v="1084"/>
    <n v="6072"/>
    <n v="1970"/>
    <s v="Master"/>
    <s v="Single"/>
    <n v="75345"/>
    <n v="0"/>
    <d v="1899-12-30T00:00:00"/>
    <d v="2013-02-02T00:00:00"/>
    <n v="16"/>
    <n v="57"/>
    <n v="38"/>
    <n v="38"/>
    <n v="6"/>
    <n v="56"/>
    <x v="0"/>
    <x v="109"/>
  </r>
  <r>
    <n v="1085"/>
    <n v="6295"/>
    <n v="1977"/>
    <s v="Graduation"/>
    <s v="Married"/>
    <n v="54233"/>
    <n v="0"/>
    <d v="1899-12-31T00:00:00"/>
    <d v="2013-02-04T00:00:00"/>
    <n v="46"/>
    <n v="8"/>
    <n v="0"/>
    <n v="0"/>
    <n v="5"/>
    <n v="49"/>
    <x v="1"/>
    <x v="7"/>
  </r>
  <r>
    <n v="1086"/>
    <n v="10914"/>
    <n v="1970"/>
    <s v="Graduation"/>
    <s v="Single"/>
    <n v="24163"/>
    <n v="1"/>
    <d v="1899-12-31T00:00:00"/>
    <d v="2013-10-12T00:00:00"/>
    <n v="3"/>
    <n v="1"/>
    <n v="1"/>
    <n v="1"/>
    <n v="3"/>
    <n v="56"/>
    <x v="0"/>
    <x v="9"/>
  </r>
  <r>
    <n v="1087"/>
    <n v="1509"/>
    <n v="1958"/>
    <s v="PhD"/>
    <s v="Together"/>
    <n v="84460"/>
    <n v="0"/>
    <d v="1899-12-30T00:00:00"/>
    <d v="2013-01-04T00:00:00"/>
    <n v="80"/>
    <n v="27"/>
    <n v="54"/>
    <n v="54"/>
    <n v="4"/>
    <n v="68"/>
    <x v="0"/>
    <x v="94"/>
  </r>
  <r>
    <n v="1088"/>
    <n v="5577"/>
    <n v="1983"/>
    <s v="Graduation"/>
    <s v="Together"/>
    <n v="43776"/>
    <n v="1"/>
    <d v="1899-12-30T00:00:00"/>
    <d v="2014-05-03T00:00:00"/>
    <n v="77"/>
    <n v="0"/>
    <n v="1"/>
    <n v="1"/>
    <n v="2"/>
    <n v="43"/>
    <x v="1"/>
    <x v="1"/>
  </r>
  <r>
    <n v="1089"/>
    <n v="7348"/>
    <n v="1958"/>
    <s v="PhD"/>
    <s v="Single"/>
    <n v="71691"/>
    <n v="0"/>
    <d v="1899-12-30T00:00:00"/>
    <d v="2014-03-17T00:00:00"/>
    <n v="0"/>
    <n v="130"/>
    <n v="32"/>
    <n v="32"/>
    <n v="5"/>
    <n v="68"/>
    <x v="0"/>
    <x v="78"/>
  </r>
  <r>
    <n v="1090"/>
    <n v="1127"/>
    <n v="1973"/>
    <s v="PhD"/>
    <s v="Married"/>
    <n v="85844"/>
    <n v="0"/>
    <d v="1899-12-30T00:00:00"/>
    <d v="2014-05-29T00:00:00"/>
    <n v="62"/>
    <n v="19"/>
    <n v="95"/>
    <n v="95"/>
    <n v="7"/>
    <n v="53"/>
    <x v="0"/>
    <x v="87"/>
  </r>
  <r>
    <n v="1091"/>
    <n v="1833"/>
    <n v="1974"/>
    <s v="PhD"/>
    <s v="Single"/>
    <n v="39190"/>
    <n v="1"/>
    <d v="1899-12-30T00:00:00"/>
    <d v="2014-04-26T00:00:00"/>
    <n v="91"/>
    <n v="8"/>
    <n v="8"/>
    <n v="8"/>
    <n v="4"/>
    <n v="52"/>
    <x v="0"/>
    <x v="51"/>
  </r>
  <r>
    <n v="1092"/>
    <n v="4944"/>
    <n v="1959"/>
    <s v="Graduation"/>
    <s v="Together"/>
    <n v="71367"/>
    <n v="0"/>
    <d v="1899-12-30T00:00:00"/>
    <d v="2013-08-23T00:00:00"/>
    <n v="24"/>
    <n v="23"/>
    <n v="21"/>
    <n v="21"/>
    <n v="7"/>
    <n v="67"/>
    <x v="0"/>
    <x v="24"/>
  </r>
  <r>
    <n v="1093"/>
    <n v="9080"/>
    <n v="1972"/>
    <s v="PhD"/>
    <s v="Single"/>
    <n v="38578"/>
    <n v="1"/>
    <d v="1899-12-31T00:00:00"/>
    <d v="2013-06-22T00:00:00"/>
    <n v="2"/>
    <n v="4"/>
    <n v="3"/>
    <n v="3"/>
    <n v="3"/>
    <n v="54"/>
    <x v="0"/>
    <x v="29"/>
  </r>
  <r>
    <n v="1094"/>
    <n v="6466"/>
    <n v="1965"/>
    <s v="PhD"/>
    <s v="Married"/>
    <n v="57236"/>
    <n v="1"/>
    <d v="1899-12-31T00:00:00"/>
    <d v="2014-03-12T00:00:00"/>
    <n v="22"/>
    <n v="0"/>
    <n v="1"/>
    <n v="1"/>
    <n v="4"/>
    <n v="61"/>
    <x v="0"/>
    <x v="7"/>
  </r>
  <r>
    <n v="1095"/>
    <n v="9964"/>
    <n v="1979"/>
    <s v="Graduation"/>
    <s v="Single"/>
    <n v="61825"/>
    <n v="0"/>
    <d v="1899-12-31T00:00:00"/>
    <d v="2013-08-07T00:00:00"/>
    <n v="56"/>
    <n v="50"/>
    <n v="30"/>
    <n v="30"/>
    <n v="8"/>
    <n v="47"/>
    <x v="1"/>
    <x v="73"/>
  </r>
  <r>
    <n v="1096"/>
    <n v="4790"/>
    <n v="1958"/>
    <s v="Graduation"/>
    <s v="Divorced"/>
    <n v="79803"/>
    <n v="0"/>
    <d v="1899-12-31T00:00:00"/>
    <d v="2014-06-02T00:00:00"/>
    <n v="54"/>
    <n v="8"/>
    <n v="16"/>
    <n v="16"/>
    <n v="5"/>
    <n v="68"/>
    <x v="0"/>
    <x v="81"/>
  </r>
  <r>
    <n v="1097"/>
    <n v="10245"/>
    <n v="1986"/>
    <s v="2n Cycle"/>
    <s v="Single"/>
    <n v="80910"/>
    <n v="0"/>
    <d v="1899-12-30T00:00:00"/>
    <d v="2012-10-31T00:00:00"/>
    <n v="71"/>
    <n v="80"/>
    <n v="39"/>
    <n v="39"/>
    <n v="8"/>
    <n v="40"/>
    <x v="1"/>
    <x v="34"/>
  </r>
  <r>
    <n v="1098"/>
    <n v="1109"/>
    <n v="1982"/>
    <s v="Master"/>
    <s v="Together"/>
    <n v="27590"/>
    <n v="1"/>
    <d v="1899-12-30T00:00:00"/>
    <d v="2013-04-23T00:00:00"/>
    <n v="38"/>
    <n v="0"/>
    <n v="0"/>
    <n v="0"/>
    <n v="2"/>
    <n v="44"/>
    <x v="1"/>
    <x v="42"/>
  </r>
  <r>
    <n v="1099"/>
    <n v="6001"/>
    <n v="1979"/>
    <s v="Graduation"/>
    <s v="Married"/>
    <n v="56775"/>
    <n v="0"/>
    <d v="1899-12-31T00:00:00"/>
    <d v="2013-01-02T00:00:00"/>
    <n v="62"/>
    <n v="35"/>
    <n v="35"/>
    <n v="35"/>
    <n v="10"/>
    <n v="47"/>
    <x v="1"/>
    <x v="49"/>
  </r>
  <r>
    <n v="1100"/>
    <n v="5538"/>
    <n v="1975"/>
    <s v="Graduation"/>
    <s v="Divorced"/>
    <n v="83829"/>
    <n v="0"/>
    <d v="1899-12-30T00:00:00"/>
    <d v="2013-10-08T00:00:00"/>
    <n v="78"/>
    <n v="161"/>
    <n v="161"/>
    <n v="161"/>
    <n v="6"/>
    <n v="51"/>
    <x v="0"/>
    <x v="144"/>
  </r>
  <r>
    <n v="1101"/>
    <n v="10552"/>
    <n v="1979"/>
    <s v="2n Cycle"/>
    <s v="Married"/>
    <n v="54210"/>
    <n v="0"/>
    <d v="1899-12-31T00:00:00"/>
    <d v="2013-05-20T00:00:00"/>
    <n v="18"/>
    <n v="54"/>
    <n v="9"/>
    <n v="9"/>
    <n v="7"/>
    <n v="47"/>
    <x v="1"/>
    <x v="13"/>
  </r>
  <r>
    <n v="1102"/>
    <n v="1545"/>
    <n v="1986"/>
    <s v="Graduation"/>
    <s v="Married"/>
    <n v="38508"/>
    <n v="1"/>
    <d v="1899-12-30T00:00:00"/>
    <d v="2013-08-02T00:00:00"/>
    <n v="95"/>
    <n v="19"/>
    <n v="19"/>
    <n v="19"/>
    <n v="5"/>
    <n v="40"/>
    <x v="1"/>
    <x v="38"/>
  </r>
  <r>
    <n v="1103"/>
    <n v="7409"/>
    <n v="1970"/>
    <s v="Graduation"/>
    <s v="Together"/>
    <n v="53187"/>
    <n v="1"/>
    <d v="1899-12-30T00:00:00"/>
    <d v="2013-10-26T00:00:00"/>
    <n v="66"/>
    <n v="2"/>
    <n v="7"/>
    <n v="7"/>
    <n v="6"/>
    <n v="56"/>
    <x v="0"/>
    <x v="104"/>
  </r>
  <r>
    <n v="1104"/>
    <n v="4444"/>
    <n v="1972"/>
    <s v="Graduation"/>
    <s v="Married"/>
    <n v="30023"/>
    <n v="1"/>
    <d v="1899-12-30T00:00:00"/>
    <d v="2014-03-24T00:00:00"/>
    <n v="28"/>
    <n v="0"/>
    <n v="6"/>
    <n v="6"/>
    <n v="3"/>
    <n v="54"/>
    <x v="0"/>
    <x v="18"/>
  </r>
  <r>
    <n v="1105"/>
    <n v="146"/>
    <n v="1960"/>
    <s v="PhD"/>
    <s v="Single"/>
    <n v="76045"/>
    <n v="0"/>
    <d v="1899-12-30T00:00:00"/>
    <d v="2013-11-15T00:00:00"/>
    <n v="78"/>
    <n v="53"/>
    <n v="93"/>
    <n v="93"/>
    <n v="11"/>
    <n v="66"/>
    <x v="0"/>
    <x v="111"/>
  </r>
  <r>
    <n v="1106"/>
    <n v="6271"/>
    <n v="1952"/>
    <s v="PhD"/>
    <s v="Married"/>
    <n v="50870"/>
    <n v="0"/>
    <d v="1899-12-31T00:00:00"/>
    <d v="2014-06-19T00:00:00"/>
    <n v="13"/>
    <n v="0"/>
    <n v="0"/>
    <n v="0"/>
    <n v="3"/>
    <n v="74"/>
    <x v="0"/>
    <x v="1"/>
  </r>
  <r>
    <n v="1107"/>
    <n v="10065"/>
    <n v="1970"/>
    <s v="2n Cycle"/>
    <s v="Married"/>
    <n v="15315"/>
    <n v="0"/>
    <d v="1899-12-30T00:00:00"/>
    <d v="2013-08-03T00:00:00"/>
    <n v="27"/>
    <n v="4"/>
    <n v="8"/>
    <n v="8"/>
    <n v="4"/>
    <n v="56"/>
    <x v="0"/>
    <x v="51"/>
  </r>
  <r>
    <n v="1108"/>
    <n v="4741"/>
    <n v="1974"/>
    <s v="2n Cycle"/>
    <s v="Married"/>
    <n v="65463"/>
    <n v="1"/>
    <d v="1899-12-30T00:00:00"/>
    <d v="2014-01-30T00:00:00"/>
    <n v="17"/>
    <n v="32"/>
    <n v="32"/>
    <n v="32"/>
    <n v="9"/>
    <n v="52"/>
    <x v="0"/>
    <x v="19"/>
  </r>
  <r>
    <n v="1109"/>
    <n v="246"/>
    <n v="1965"/>
    <s v="Graduation"/>
    <s v="Married"/>
    <n v="66480"/>
    <n v="1"/>
    <d v="1899-12-31T00:00:00"/>
    <d v="2014-05-31T00:00:00"/>
    <n v="71"/>
    <n v="9"/>
    <n v="21"/>
    <n v="21"/>
    <n v="7"/>
    <n v="61"/>
    <x v="0"/>
    <x v="24"/>
  </r>
  <r>
    <n v="1110"/>
    <n v="375"/>
    <n v="1954"/>
    <s v="Graduation"/>
    <s v="Divorced"/>
    <n v="76773"/>
    <n v="0"/>
    <d v="1899-12-30T00:00:00"/>
    <d v="2013-02-25T00:00:00"/>
    <n v="79"/>
    <n v="56"/>
    <n v="33"/>
    <n v="33"/>
    <n v="11"/>
    <n v="72"/>
    <x v="0"/>
    <x v="109"/>
  </r>
  <r>
    <n v="1111"/>
    <n v="1524"/>
    <n v="1983"/>
    <s v="2n Cycle"/>
    <s v="Single"/>
    <n v="81698"/>
    <n v="0"/>
    <d v="1899-12-30T00:00:00"/>
    <d v="2013-03-01T00:00:00"/>
    <n v="1"/>
    <n v="45"/>
    <n v="160"/>
    <n v="160"/>
    <n v="5"/>
    <n v="43"/>
    <x v="1"/>
    <x v="137"/>
  </r>
  <r>
    <n v="1112"/>
    <n v="10022"/>
    <n v="1973"/>
    <s v="PhD"/>
    <s v="Single"/>
    <n v="54466"/>
    <n v="1"/>
    <d v="1899-12-31T00:00:00"/>
    <d v="2014-02-09T00:00:00"/>
    <n v="78"/>
    <n v="0"/>
    <n v="0"/>
    <n v="0"/>
    <n v="2"/>
    <n v="53"/>
    <x v="0"/>
    <x v="42"/>
  </r>
  <r>
    <n v="1113"/>
    <n v="7451"/>
    <n v="1960"/>
    <s v="Master"/>
    <s v="Single"/>
    <n v="98777"/>
    <n v="0"/>
    <d v="1899-12-30T00:00:00"/>
    <d v="2014-02-17T00:00:00"/>
    <n v="23"/>
    <n v="19"/>
    <n v="115"/>
    <n v="115"/>
    <n v="9"/>
    <n v="66"/>
    <x v="0"/>
    <x v="129"/>
  </r>
  <r>
    <n v="1114"/>
    <n v="11010"/>
    <n v="1984"/>
    <s v="PhD"/>
    <s v="Single"/>
    <n v="16269"/>
    <n v="1"/>
    <d v="1899-12-30T00:00:00"/>
    <d v="2013-08-30T00:00:00"/>
    <n v="75"/>
    <n v="3"/>
    <n v="1"/>
    <n v="1"/>
    <n v="3"/>
    <n v="42"/>
    <x v="1"/>
    <x v="9"/>
  </r>
  <r>
    <n v="1115"/>
    <n v="4356"/>
    <n v="1971"/>
    <s v="Graduation"/>
    <s v="Together"/>
    <n v="71819"/>
    <n v="0"/>
    <d v="1899-12-31T00:00:00"/>
    <d v="2013-08-28T00:00:00"/>
    <n v="70"/>
    <n v="28"/>
    <n v="14"/>
    <n v="14"/>
    <n v="5"/>
    <n v="55"/>
    <x v="0"/>
    <x v="44"/>
  </r>
  <r>
    <n v="1116"/>
    <n v="3885"/>
    <n v="1983"/>
    <s v="PhD"/>
    <s v="Married"/>
    <n v="33569"/>
    <n v="1"/>
    <d v="1899-12-30T00:00:00"/>
    <d v="2013-10-16T00:00:00"/>
    <n v="10"/>
    <n v="2"/>
    <n v="0"/>
    <n v="0"/>
    <n v="2"/>
    <n v="43"/>
    <x v="1"/>
    <x v="42"/>
  </r>
  <r>
    <n v="1117"/>
    <n v="1175"/>
    <n v="1983"/>
    <s v="Master"/>
    <s v="Married"/>
    <n v="36262"/>
    <n v="0"/>
    <d v="1899-12-30T00:00:00"/>
    <d v="2013-09-20T00:00:00"/>
    <n v="24"/>
    <n v="39"/>
    <n v="28"/>
    <n v="28"/>
    <n v="3"/>
    <n v="43"/>
    <x v="1"/>
    <x v="2"/>
  </r>
  <r>
    <n v="1118"/>
    <n v="880"/>
    <n v="1966"/>
    <s v="Basic"/>
    <s v="Together"/>
    <n v="22634"/>
    <n v="0"/>
    <d v="1899-12-30T00:00:00"/>
    <d v="2013-01-16T00:00:00"/>
    <n v="47"/>
    <n v="23"/>
    <n v="6"/>
    <n v="6"/>
    <n v="2"/>
    <n v="60"/>
    <x v="0"/>
    <x v="41"/>
  </r>
  <r>
    <n v="1119"/>
    <n v="2320"/>
    <n v="1978"/>
    <s v="2n Cycle"/>
    <s v="Married"/>
    <n v="47025"/>
    <n v="0"/>
    <d v="1899-12-31T00:00:00"/>
    <d v="2013-09-12T00:00:00"/>
    <n v="98"/>
    <n v="11"/>
    <n v="5"/>
    <n v="5"/>
    <n v="6"/>
    <n v="48"/>
    <x v="1"/>
    <x v="20"/>
  </r>
  <r>
    <n v="1120"/>
    <n v="850"/>
    <n v="1968"/>
    <s v="Graduation"/>
    <s v="Single"/>
    <n v="70566"/>
    <n v="0"/>
    <d v="1899-12-31T00:00:00"/>
    <d v="2013-10-06T00:00:00"/>
    <n v="4"/>
    <n v="28"/>
    <n v="28"/>
    <n v="28"/>
    <n v="9"/>
    <n v="58"/>
    <x v="0"/>
    <x v="78"/>
  </r>
  <r>
    <n v="1121"/>
    <n v="4713"/>
    <n v="1979"/>
    <s v="PhD"/>
    <s v="Married"/>
    <n v="31605"/>
    <n v="1"/>
    <d v="1899-12-30T00:00:00"/>
    <d v="2012-11-22T00:00:00"/>
    <n v="15"/>
    <n v="0"/>
    <n v="1"/>
    <n v="1"/>
    <n v="4"/>
    <n v="47"/>
    <x v="1"/>
    <x v="7"/>
  </r>
  <r>
    <n v="1122"/>
    <n v="675"/>
    <n v="1973"/>
    <s v="Master"/>
    <s v="Divorced"/>
    <n v="52034"/>
    <n v="1"/>
    <d v="1899-12-31T00:00:00"/>
    <d v="2013-05-17T00:00:00"/>
    <n v="67"/>
    <n v="0"/>
    <n v="13"/>
    <n v="13"/>
    <n v="5"/>
    <n v="53"/>
    <x v="0"/>
    <x v="14"/>
  </r>
  <r>
    <n v="1123"/>
    <n v="5025"/>
    <n v="1979"/>
    <s v="Graduation"/>
    <s v="Single"/>
    <n v="48526"/>
    <n v="1"/>
    <d v="1899-12-30T00:00:00"/>
    <d v="2013-12-24T00:00:00"/>
    <n v="32"/>
    <n v="17"/>
    <n v="20"/>
    <n v="20"/>
    <n v="4"/>
    <n v="47"/>
    <x v="1"/>
    <x v="38"/>
  </r>
  <r>
    <n v="1124"/>
    <n v="2308"/>
    <n v="1954"/>
    <s v="Graduation"/>
    <s v="Married"/>
    <n v="46734"/>
    <n v="0"/>
    <d v="1899-12-31T00:00:00"/>
    <d v="2012-11-18T00:00:00"/>
    <n v="40"/>
    <n v="5"/>
    <n v="23"/>
    <n v="23"/>
    <n v="5"/>
    <n v="72"/>
    <x v="0"/>
    <x v="24"/>
  </r>
  <r>
    <n v="1125"/>
    <n v="5995"/>
    <n v="1962"/>
    <s v="Graduation"/>
    <s v="Divorced"/>
    <n v="39552"/>
    <n v="1"/>
    <d v="1899-12-31T00:00:00"/>
    <d v="2012-12-18T00:00:00"/>
    <n v="54"/>
    <n v="3"/>
    <n v="24"/>
    <n v="24"/>
    <n v="5"/>
    <n v="64"/>
    <x v="0"/>
    <x v="89"/>
  </r>
  <r>
    <n v="1126"/>
    <n v="6749"/>
    <n v="1966"/>
    <s v="Graduation"/>
    <s v="Single"/>
    <n v="86358"/>
    <n v="1"/>
    <d v="1899-12-31T00:00:00"/>
    <d v="2012-08-08T00:00:00"/>
    <n v="78"/>
    <n v="47"/>
    <n v="47"/>
    <n v="47"/>
    <n v="6"/>
    <n v="60"/>
    <x v="0"/>
    <x v="85"/>
  </r>
  <r>
    <n v="1127"/>
    <n v="1010"/>
    <n v="1977"/>
    <s v="Graduation"/>
    <s v="Together"/>
    <n v="46931"/>
    <n v="2"/>
    <d v="1899-12-31T00:00:00"/>
    <d v="2014-04-24T00:00:00"/>
    <n v="94"/>
    <n v="0"/>
    <n v="1"/>
    <n v="1"/>
    <n v="3"/>
    <n v="49"/>
    <x v="1"/>
    <x v="9"/>
  </r>
  <r>
    <n v="1128"/>
    <n v="8977"/>
    <n v="1985"/>
    <s v="Basic"/>
    <s v="Single"/>
    <n v="16581"/>
    <n v="0"/>
    <d v="1899-12-30T00:00:00"/>
    <d v="2013-01-12T00:00:00"/>
    <n v="51"/>
    <n v="3"/>
    <n v="3"/>
    <n v="3"/>
    <n v="3"/>
    <n v="41"/>
    <x v="1"/>
    <x v="29"/>
  </r>
  <r>
    <n v="1129"/>
    <n v="4756"/>
    <n v="1952"/>
    <s v="2n Cycle"/>
    <s v="Divorced"/>
    <n v="63998"/>
    <n v="0"/>
    <d v="1899-12-30T00:00:00"/>
    <d v="2013-12-20T00:00:00"/>
    <n v="42"/>
    <n v="29"/>
    <n v="33"/>
    <n v="33"/>
    <n v="11"/>
    <n v="74"/>
    <x v="0"/>
    <x v="109"/>
  </r>
  <r>
    <n v="1130"/>
    <n v="3412"/>
    <n v="1951"/>
    <s v="Master"/>
    <s v="Married"/>
    <n v="67381"/>
    <n v="0"/>
    <d v="1899-12-31T00:00:00"/>
    <d v="2013-01-15T00:00:00"/>
    <n v="67"/>
    <n v="8"/>
    <n v="0"/>
    <n v="0"/>
    <n v="9"/>
    <n v="75"/>
    <x v="0"/>
    <x v="18"/>
  </r>
  <r>
    <n v="1131"/>
    <n v="606"/>
    <n v="1967"/>
    <s v="Graduation"/>
    <s v="Single"/>
    <n v="25930"/>
    <n v="1"/>
    <d v="1899-12-31T00:00:00"/>
    <d v="2013-10-10T00:00:00"/>
    <n v="87"/>
    <n v="1"/>
    <n v="0"/>
    <n v="0"/>
    <n v="2"/>
    <n v="59"/>
    <x v="0"/>
    <x v="42"/>
  </r>
  <r>
    <n v="1132"/>
    <n v="5961"/>
    <n v="1978"/>
    <s v="Graduation"/>
    <s v="Married"/>
    <n v="42693"/>
    <n v="1"/>
    <d v="1899-12-30T00:00:00"/>
    <d v="2014-06-07T00:00:00"/>
    <n v="29"/>
    <n v="4"/>
    <n v="3"/>
    <n v="3"/>
    <n v="3"/>
    <n v="48"/>
    <x v="1"/>
    <x v="29"/>
  </r>
  <r>
    <n v="1133"/>
    <n v="2975"/>
    <n v="1976"/>
    <s v="Graduation"/>
    <s v="Together"/>
    <n v="85606"/>
    <n v="0"/>
    <d v="1899-12-31T00:00:00"/>
    <d v="2012-11-12T00:00:00"/>
    <n v="89"/>
    <n v="42"/>
    <n v="30"/>
    <n v="30"/>
    <n v="9"/>
    <n v="50"/>
    <x v="1"/>
    <x v="30"/>
  </r>
  <r>
    <n v="1134"/>
    <n v="2894"/>
    <n v="1985"/>
    <s v="Graduation"/>
    <s v="Single"/>
    <n v="72903"/>
    <n v="0"/>
    <d v="1899-12-30T00:00:00"/>
    <d v="2013-10-29T00:00:00"/>
    <n v="74"/>
    <n v="138"/>
    <n v="19"/>
    <n v="19"/>
    <n v="8"/>
    <n v="41"/>
    <x v="1"/>
    <x v="16"/>
  </r>
  <r>
    <n v="1135"/>
    <n v="7613"/>
    <n v="1974"/>
    <s v="2n Cycle"/>
    <s v="Together"/>
    <n v="49669"/>
    <n v="1"/>
    <d v="1899-12-30T00:00:00"/>
    <d v="2014-05-24T00:00:00"/>
    <n v="97"/>
    <n v="5"/>
    <n v="8"/>
    <n v="8"/>
    <n v="6"/>
    <n v="52"/>
    <x v="0"/>
    <x v="31"/>
  </r>
  <r>
    <n v="1136"/>
    <n v="10542"/>
    <n v="1968"/>
    <s v="PhD"/>
    <s v="Married"/>
    <n v="36778"/>
    <n v="1"/>
    <d v="1899-12-31T00:00:00"/>
    <d v="2012-08-05T00:00:00"/>
    <n v="63"/>
    <n v="4"/>
    <n v="4"/>
    <n v="4"/>
    <n v="3"/>
    <n v="58"/>
    <x v="0"/>
    <x v="3"/>
  </r>
  <r>
    <n v="1137"/>
    <n v="8015"/>
    <n v="1962"/>
    <s v="PhD"/>
    <s v="Divorced"/>
    <n v="85696"/>
    <n v="0"/>
    <d v="1899-12-30T00:00:00"/>
    <d v="2013-05-03T00:00:00"/>
    <n v="88"/>
    <n v="76"/>
    <n v="0"/>
    <n v="0"/>
    <n v="9"/>
    <n v="64"/>
    <x v="0"/>
    <x v="18"/>
  </r>
  <r>
    <n v="1138"/>
    <n v="10617"/>
    <n v="1989"/>
    <s v="Master"/>
    <s v="Divorced"/>
    <n v="10979"/>
    <n v="0"/>
    <d v="1899-12-30T00:00:00"/>
    <d v="2014-05-22T00:00:00"/>
    <n v="34"/>
    <n v="4"/>
    <n v="2"/>
    <n v="2"/>
    <n v="3"/>
    <n v="37"/>
    <x v="1"/>
    <x v="7"/>
  </r>
  <r>
    <n v="1139"/>
    <n v="11166"/>
    <n v="1961"/>
    <s v="Graduation"/>
    <s v="Married"/>
    <n v="49678"/>
    <n v="0"/>
    <d v="1899-12-31T00:00:00"/>
    <d v="2013-02-02T00:00:00"/>
    <n v="81"/>
    <n v="5"/>
    <n v="2"/>
    <n v="2"/>
    <n v="4"/>
    <n v="65"/>
    <x v="0"/>
    <x v="29"/>
  </r>
  <r>
    <n v="1140"/>
    <n v="849"/>
    <n v="1953"/>
    <s v="Master"/>
    <s v="Together"/>
    <n v="56129"/>
    <n v="0"/>
    <d v="1899-12-31T00:00:00"/>
    <d v="2013-06-20T00:00:00"/>
    <n v="65"/>
    <n v="48"/>
    <n v="72"/>
    <n v="72"/>
    <n v="10"/>
    <n v="73"/>
    <x v="0"/>
    <x v="59"/>
  </r>
  <r>
    <n v="1141"/>
    <n v="523"/>
    <n v="1989"/>
    <s v="Graduation"/>
    <s v="Married"/>
    <n v="37155"/>
    <n v="1"/>
    <d v="1899-12-30T00:00:00"/>
    <d v="2013-01-31T00:00:00"/>
    <n v="51"/>
    <n v="0"/>
    <n v="15"/>
    <n v="15"/>
    <n v="4"/>
    <n v="37"/>
    <x v="1"/>
    <x v="44"/>
  </r>
  <r>
    <n v="1142"/>
    <n v="4066"/>
    <n v="1978"/>
    <s v="2n Cycle"/>
    <s v="Divorced"/>
    <n v="21282"/>
    <n v="1"/>
    <d v="1899-12-30T00:00:00"/>
    <d v="2014-05-11T00:00:00"/>
    <n v="76"/>
    <n v="5"/>
    <n v="8"/>
    <n v="8"/>
    <n v="2"/>
    <n v="48"/>
    <x v="1"/>
    <x v="11"/>
  </r>
  <r>
    <n v="1143"/>
    <n v="8414"/>
    <n v="1962"/>
    <s v="PhD"/>
    <s v="Single"/>
    <n v="33419"/>
    <n v="0"/>
    <d v="1899-12-31T00:00:00"/>
    <d v="2013-08-17T00:00:00"/>
    <n v="76"/>
    <n v="0"/>
    <n v="0"/>
    <n v="0"/>
    <n v="4"/>
    <n v="64"/>
    <x v="0"/>
    <x v="9"/>
  </r>
  <r>
    <n v="1144"/>
    <n v="819"/>
    <n v="1945"/>
    <s v="Graduation"/>
    <s v="Widow"/>
    <n v="63285"/>
    <n v="0"/>
    <d v="1899-12-30T00:00:00"/>
    <d v="2013-11-05T00:00:00"/>
    <n v="84"/>
    <n v="124"/>
    <n v="38"/>
    <n v="38"/>
    <n v="13"/>
    <n v="81"/>
    <x v="0"/>
    <x v="106"/>
  </r>
  <r>
    <n v="1145"/>
    <n v="4961"/>
    <n v="1974"/>
    <s v="Master"/>
    <s v="Together"/>
    <n v="21255"/>
    <n v="1"/>
    <d v="1899-12-30T00:00:00"/>
    <d v="2014-01-21T00:00:00"/>
    <n v="56"/>
    <n v="0"/>
    <n v="2"/>
    <n v="2"/>
    <n v="4"/>
    <n v="52"/>
    <x v="0"/>
    <x v="29"/>
  </r>
  <r>
    <n v="1146"/>
    <n v="749"/>
    <n v="1981"/>
    <s v="Graduation"/>
    <s v="Together"/>
    <n v="42162"/>
    <n v="1"/>
    <d v="1899-12-30T00:00:00"/>
    <d v="2013-11-19T00:00:00"/>
    <n v="31"/>
    <n v="7"/>
    <n v="4"/>
    <n v="4"/>
    <n v="3"/>
    <n v="45"/>
    <x v="1"/>
    <x v="3"/>
  </r>
  <r>
    <n v="1147"/>
    <n v="5430"/>
    <n v="1956"/>
    <s v="Graduation"/>
    <s v="Together"/>
    <n v="54450"/>
    <n v="1"/>
    <d v="1899-12-31T00:00:00"/>
    <d v="2012-09-14T00:00:00"/>
    <n v="0"/>
    <n v="0"/>
    <n v="19"/>
    <n v="19"/>
    <n v="8"/>
    <n v="70"/>
    <x v="0"/>
    <x v="16"/>
  </r>
  <r>
    <n v="1148"/>
    <n v="7755"/>
    <n v="1954"/>
    <s v="PhD"/>
    <s v="Married"/>
    <n v="57744"/>
    <n v="0"/>
    <d v="1899-12-31T00:00:00"/>
    <d v="2013-11-12T00:00:00"/>
    <n v="91"/>
    <n v="3"/>
    <n v="0"/>
    <n v="0"/>
    <n v="4"/>
    <n v="72"/>
    <x v="0"/>
    <x v="9"/>
  </r>
  <r>
    <n v="1149"/>
    <n v="10525"/>
    <n v="1986"/>
    <s v="Graduation"/>
    <s v="Single"/>
    <n v="26576"/>
    <n v="1"/>
    <d v="1899-12-30T00:00:00"/>
    <d v="2012-10-13T00:00:00"/>
    <n v="40"/>
    <n v="0"/>
    <n v="0"/>
    <n v="0"/>
    <n v="2"/>
    <n v="40"/>
    <x v="1"/>
    <x v="42"/>
  </r>
  <r>
    <n v="1150"/>
    <n v="1453"/>
    <n v="1943"/>
    <s v="PhD"/>
    <s v="Widow"/>
    <n v="57513"/>
    <n v="0"/>
    <d v="1899-12-30T00:00:00"/>
    <d v="2013-07-06T00:00:00"/>
    <n v="59"/>
    <n v="40"/>
    <n v="20"/>
    <n v="20"/>
    <n v="13"/>
    <n v="83"/>
    <x v="0"/>
    <x v="4"/>
  </r>
  <r>
    <n v="1151"/>
    <n v="8310"/>
    <n v="1964"/>
    <s v="Graduation"/>
    <s v="Together"/>
    <n v="68142"/>
    <n v="0"/>
    <d v="1899-12-31T00:00:00"/>
    <d v="2012-08-29T00:00:00"/>
    <n v="96"/>
    <n v="126"/>
    <n v="112"/>
    <n v="112"/>
    <n v="7"/>
    <n v="62"/>
    <x v="0"/>
    <x v="158"/>
  </r>
  <r>
    <n v="1152"/>
    <n v="10710"/>
    <n v="1979"/>
    <s v="Graduation"/>
    <s v="Married"/>
    <n v="7500"/>
    <n v="0"/>
    <d v="1899-12-31T00:00:00"/>
    <d v="2012-08-29T00:00:00"/>
    <n v="61"/>
    <n v="2"/>
    <n v="0"/>
    <n v="0"/>
    <n v="2"/>
    <n v="47"/>
    <x v="1"/>
    <x v="42"/>
  </r>
  <r>
    <n v="1153"/>
    <n v="5031"/>
    <n v="1974"/>
    <s v="Graduation"/>
    <s v="Together"/>
    <n v="83145"/>
    <n v="0"/>
    <d v="1899-12-30T00:00:00"/>
    <d v="2012-09-22T00:00:00"/>
    <n v="14"/>
    <n v="35"/>
    <n v="137"/>
    <n v="137"/>
    <n v="11"/>
    <n v="52"/>
    <x v="0"/>
    <x v="147"/>
  </r>
  <r>
    <n v="1154"/>
    <n v="2613"/>
    <n v="1960"/>
    <s v="Master"/>
    <s v="Married"/>
    <n v="54197"/>
    <n v="0"/>
    <d v="1899-12-31T00:00:00"/>
    <d v="2014-04-03T00:00:00"/>
    <n v="16"/>
    <n v="6"/>
    <n v="13"/>
    <n v="13"/>
    <n v="6"/>
    <n v="66"/>
    <x v="0"/>
    <x v="44"/>
  </r>
  <r>
    <n v="1155"/>
    <n v="213"/>
    <n v="1963"/>
    <s v="PhD"/>
    <s v="Single"/>
    <n v="23091"/>
    <n v="1"/>
    <d v="1899-12-31T00:00:00"/>
    <d v="2014-05-28T00:00:00"/>
    <n v="98"/>
    <n v="0"/>
    <n v="0"/>
    <n v="0"/>
    <n v="3"/>
    <n v="63"/>
    <x v="0"/>
    <x v="1"/>
  </r>
  <r>
    <n v="1156"/>
    <n v="967"/>
    <n v="1976"/>
    <s v="Graduation"/>
    <s v="Married"/>
    <n v="46049"/>
    <n v="1"/>
    <d v="1899-12-31T00:00:00"/>
    <d v="2013-07-21T00:00:00"/>
    <n v="11"/>
    <n v="9"/>
    <n v="14"/>
    <n v="14"/>
    <n v="9"/>
    <n v="50"/>
    <x v="1"/>
    <x v="45"/>
  </r>
  <r>
    <n v="1157"/>
    <n v="1077"/>
    <n v="1974"/>
    <s v="Graduation"/>
    <s v="Together"/>
    <n v="56715"/>
    <n v="0"/>
    <d v="1899-12-30T00:00:00"/>
    <d v="2012-12-05T00:00:00"/>
    <n v="52"/>
    <n v="105"/>
    <n v="172"/>
    <n v="172"/>
    <n v="4"/>
    <n v="52"/>
    <x v="0"/>
    <x v="150"/>
  </r>
  <r>
    <n v="1158"/>
    <n v="7959"/>
    <n v="1961"/>
    <s v="Graduation"/>
    <s v="Married"/>
    <n v="79410"/>
    <n v="0"/>
    <d v="1899-12-30T00:00:00"/>
    <d v="2014-05-29T00:00:00"/>
    <n v="19"/>
    <n v="80"/>
    <n v="13"/>
    <n v="13"/>
    <n v="5"/>
    <n v="65"/>
    <x v="0"/>
    <x v="14"/>
  </r>
  <r>
    <n v="1159"/>
    <n v="640"/>
    <n v="1951"/>
    <s v="Graduation"/>
    <s v="Married"/>
    <n v="57304"/>
    <n v="0"/>
    <d v="1899-12-31T00:00:00"/>
    <d v="2013-03-11T00:00:00"/>
    <n v="61"/>
    <n v="80"/>
    <n v="17"/>
    <n v="17"/>
    <n v="10"/>
    <n v="75"/>
    <x v="0"/>
    <x v="16"/>
  </r>
  <r>
    <n v="1160"/>
    <n v="4252"/>
    <n v="1965"/>
    <s v="Graduation"/>
    <s v="Married"/>
    <n v="44375"/>
    <n v="0"/>
    <d v="1899-12-31T00:00:00"/>
    <d v="2014-03-23T00:00:00"/>
    <n v="73"/>
    <n v="5"/>
    <n v="7"/>
    <n v="7"/>
    <n v="6"/>
    <n v="61"/>
    <x v="0"/>
    <x v="104"/>
  </r>
  <r>
    <n v="1161"/>
    <n v="8432"/>
    <n v="1956"/>
    <s v="Graduation"/>
    <s v="Together"/>
    <n v="54450"/>
    <n v="1"/>
    <d v="1899-12-31T00:00:00"/>
    <d v="2012-09-14T00:00:00"/>
    <n v="0"/>
    <n v="0"/>
    <n v="19"/>
    <n v="19"/>
    <n v="8"/>
    <n v="70"/>
    <x v="0"/>
    <x v="16"/>
  </r>
  <r>
    <n v="1162"/>
    <n v="6218"/>
    <n v="1965"/>
    <s v="Graduation"/>
    <s v="Married"/>
    <n v="59594"/>
    <n v="0"/>
    <d v="1899-12-31T00:00:00"/>
    <d v="2012-10-20T00:00:00"/>
    <n v="74"/>
    <n v="4"/>
    <n v="0"/>
    <n v="0"/>
    <n v="7"/>
    <n v="61"/>
    <x v="0"/>
    <x v="3"/>
  </r>
  <r>
    <n v="1163"/>
    <n v="6905"/>
    <n v="1994"/>
    <s v="Graduation"/>
    <s v="Together"/>
    <n v="80685"/>
    <n v="0"/>
    <d v="1899-12-30T00:00:00"/>
    <d v="2012-08-22T00:00:00"/>
    <n v="55"/>
    <n v="45"/>
    <n v="26"/>
    <n v="26"/>
    <n v="10"/>
    <n v="32"/>
    <x v="1"/>
    <x v="50"/>
  </r>
  <r>
    <n v="1164"/>
    <n v="5922"/>
    <n v="1974"/>
    <s v="PhD"/>
    <s v="Married"/>
    <n v="40344"/>
    <n v="0"/>
    <d v="1899-12-31T00:00:00"/>
    <d v="2013-10-13T00:00:00"/>
    <n v="48"/>
    <n v="0"/>
    <n v="0"/>
    <n v="0"/>
    <n v="5"/>
    <n v="52"/>
    <x v="0"/>
    <x v="7"/>
  </r>
  <r>
    <n v="1165"/>
    <n v="3598"/>
    <n v="1972"/>
    <s v="Graduation"/>
    <s v="Married"/>
    <n v="62710"/>
    <n v="0"/>
    <d v="1899-12-31T00:00:00"/>
    <d v="2013-05-23T00:00:00"/>
    <n v="53"/>
    <n v="35"/>
    <n v="29"/>
    <n v="29"/>
    <n v="12"/>
    <n v="54"/>
    <x v="0"/>
    <x v="19"/>
  </r>
  <r>
    <n v="1166"/>
    <n v="6116"/>
    <n v="1968"/>
    <s v="2n Cycle"/>
    <s v="Married"/>
    <n v="48985"/>
    <n v="0"/>
    <d v="1899-12-31T00:00:00"/>
    <d v="2013-07-05T00:00:00"/>
    <n v="13"/>
    <n v="13"/>
    <n v="7"/>
    <n v="7"/>
    <n v="3"/>
    <n v="58"/>
    <x v="0"/>
    <x v="11"/>
  </r>
  <r>
    <n v="1167"/>
    <n v="6263"/>
    <n v="1968"/>
    <s v="Graduation"/>
    <s v="Together"/>
    <n v="35322"/>
    <n v="1"/>
    <d v="1900-01-01T00:00:00"/>
    <d v="2012-08-22T00:00:00"/>
    <n v="34"/>
    <n v="9"/>
    <n v="7"/>
    <n v="7"/>
    <n v="4"/>
    <n v="58"/>
    <x v="0"/>
    <x v="20"/>
  </r>
  <r>
    <n v="1168"/>
    <n v="10486"/>
    <n v="1948"/>
    <s v="Graduation"/>
    <s v="Married"/>
    <n v="77142"/>
    <n v="0"/>
    <d v="1899-12-30T00:00:00"/>
    <d v="2013-05-29T00:00:00"/>
    <n v="54"/>
    <n v="75"/>
    <n v="151"/>
    <n v="151"/>
    <n v="8"/>
    <n v="78"/>
    <x v="0"/>
    <x v="152"/>
  </r>
  <r>
    <n v="1169"/>
    <n v="2410"/>
    <n v="1969"/>
    <s v="Graduation"/>
    <s v="Single"/>
    <n v="81657"/>
    <n v="0"/>
    <d v="1899-12-30T00:00:00"/>
    <d v="2014-01-22T00:00:00"/>
    <n v="69"/>
    <n v="40"/>
    <n v="60"/>
    <n v="60"/>
    <n v="8"/>
    <n v="57"/>
    <x v="0"/>
    <x v="52"/>
  </r>
  <r>
    <n v="1170"/>
    <n v="193"/>
    <n v="1996"/>
    <s v="Basic"/>
    <s v="Married"/>
    <n v="14421"/>
    <n v="0"/>
    <d v="1899-12-30T00:00:00"/>
    <d v="2014-02-17T00:00:00"/>
    <n v="81"/>
    <n v="0"/>
    <n v="3"/>
    <n v="3"/>
    <n v="2"/>
    <n v="30"/>
    <x v="1"/>
    <x v="7"/>
  </r>
  <r>
    <n v="1171"/>
    <n v="3363"/>
    <n v="1974"/>
    <s v="2n Cycle"/>
    <s v="Married"/>
    <n v="20130"/>
    <n v="0"/>
    <d v="1899-12-30T00:00:00"/>
    <d v="2014-03-17T00:00:00"/>
    <n v="99"/>
    <n v="6"/>
    <n v="6"/>
    <n v="6"/>
    <n v="3"/>
    <n v="52"/>
    <x v="0"/>
    <x v="18"/>
  </r>
  <r>
    <n v="1172"/>
    <n v="8278"/>
    <n v="1990"/>
    <s v="PhD"/>
    <s v="Married"/>
    <n v="74214"/>
    <n v="0"/>
    <d v="1899-12-30T00:00:00"/>
    <d v="2012-08-26T00:00:00"/>
    <n v="3"/>
    <n v="83"/>
    <n v="99"/>
    <n v="99"/>
    <n v="5"/>
    <n v="36"/>
    <x v="1"/>
    <x v="111"/>
  </r>
  <r>
    <n v="1173"/>
    <n v="10660"/>
    <n v="1957"/>
    <s v="Master"/>
    <s v="Married"/>
    <n v="66726"/>
    <n v="1"/>
    <d v="1899-12-31T00:00:00"/>
    <d v="2014-01-12T00:00:00"/>
    <n v="61"/>
    <n v="7"/>
    <n v="0"/>
    <n v="0"/>
    <n v="4"/>
    <n v="69"/>
    <x v="0"/>
    <x v="9"/>
  </r>
  <r>
    <n v="1174"/>
    <n v="8686"/>
    <n v="1979"/>
    <s v="Basic"/>
    <s v="Together"/>
    <n v="23724"/>
    <n v="1"/>
    <d v="1899-12-30T00:00:00"/>
    <d v="2013-01-08T00:00:00"/>
    <n v="65"/>
    <n v="23"/>
    <n v="18"/>
    <n v="18"/>
    <n v="3"/>
    <n v="47"/>
    <x v="1"/>
    <x v="81"/>
  </r>
  <r>
    <n v="1175"/>
    <n v="1604"/>
    <n v="1960"/>
    <s v="Master"/>
    <s v="Married"/>
    <n v="47353"/>
    <n v="0"/>
    <d v="1899-12-31T00:00:00"/>
    <d v="2013-11-13T00:00:00"/>
    <n v="93"/>
    <n v="2"/>
    <n v="8"/>
    <n v="8"/>
    <n v="6"/>
    <n v="66"/>
    <x v="0"/>
    <x v="31"/>
  </r>
  <r>
    <n v="1176"/>
    <n v="5907"/>
    <n v="1952"/>
    <s v="Master"/>
    <s v="Married"/>
    <n v="33444"/>
    <n v="1"/>
    <d v="1899-12-31T00:00:00"/>
    <d v="2012-11-03T00:00:00"/>
    <n v="24"/>
    <n v="0"/>
    <n v="0"/>
    <n v="0"/>
    <n v="2"/>
    <n v="74"/>
    <x v="0"/>
    <x v="42"/>
  </r>
  <r>
    <n v="1177"/>
    <n v="10669"/>
    <n v="1981"/>
    <s v="Graduation"/>
    <s v="Married"/>
    <n v="54386"/>
    <n v="0"/>
    <d v="1899-12-31T00:00:00"/>
    <d v="2013-05-17T00:00:00"/>
    <n v="8"/>
    <n v="21"/>
    <n v="21"/>
    <n v="21"/>
    <n v="10"/>
    <n v="45"/>
    <x v="1"/>
    <x v="2"/>
  </r>
  <r>
    <n v="1178"/>
    <n v="2918"/>
    <n v="1981"/>
    <s v="Graduation"/>
    <s v="Divorced"/>
    <n v="28510"/>
    <n v="1"/>
    <d v="1899-12-31T00:00:00"/>
    <d v="2013-04-13T00:00:00"/>
    <n v="72"/>
    <n v="5"/>
    <n v="4"/>
    <n v="4"/>
    <n v="4"/>
    <n v="45"/>
    <x v="1"/>
    <x v="41"/>
  </r>
  <r>
    <n v="1179"/>
    <n v="5735"/>
    <n v="1991"/>
    <s v="Master"/>
    <s v="Single"/>
    <n v="90638"/>
    <n v="0"/>
    <d v="1899-12-30T00:00:00"/>
    <d v="2014-02-13T00:00:00"/>
    <n v="29"/>
    <n v="120"/>
    <n v="144"/>
    <n v="144"/>
    <n v="10"/>
    <n v="35"/>
    <x v="1"/>
    <x v="159"/>
  </r>
  <r>
    <n v="1180"/>
    <n v="359"/>
    <n v="1950"/>
    <s v="Graduation"/>
    <s v="Together"/>
    <n v="48070"/>
    <n v="0"/>
    <d v="1899-12-31T00:00:00"/>
    <d v="2013-01-13T00:00:00"/>
    <n v="33"/>
    <n v="14"/>
    <n v="9"/>
    <n v="9"/>
    <n v="6"/>
    <n v="76"/>
    <x v="0"/>
    <x v="21"/>
  </r>
  <r>
    <n v="1181"/>
    <n v="8387"/>
    <n v="1957"/>
    <s v="Graduation"/>
    <s v="Married"/>
    <n v="43140"/>
    <n v="0"/>
    <d v="1899-12-31T00:00:00"/>
    <d v="2013-01-05T00:00:00"/>
    <n v="68"/>
    <n v="8"/>
    <n v="0"/>
    <n v="0"/>
    <n v="5"/>
    <n v="69"/>
    <x v="0"/>
    <x v="7"/>
  </r>
  <r>
    <n v="1182"/>
    <n v="1829"/>
    <n v="1961"/>
    <s v="PhD"/>
    <s v="Divorced"/>
    <n v="54959"/>
    <n v="0"/>
    <d v="1899-12-31T00:00:00"/>
    <d v="2013-01-19T00:00:00"/>
    <n v="55"/>
    <n v="0"/>
    <n v="0"/>
    <n v="0"/>
    <n v="4"/>
    <n v="65"/>
    <x v="0"/>
    <x v="9"/>
  </r>
  <r>
    <n v="1183"/>
    <n v="3839"/>
    <n v="1958"/>
    <s v="Basic"/>
    <s v="Single"/>
    <n v="15056"/>
    <n v="1"/>
    <d v="1899-12-31T00:00:00"/>
    <d v="2013-05-03T00:00:00"/>
    <n v="76"/>
    <n v="12"/>
    <n v="6"/>
    <n v="6"/>
    <n v="3"/>
    <n v="68"/>
    <x v="0"/>
    <x v="18"/>
  </r>
  <r>
    <n v="1184"/>
    <n v="9392"/>
    <n v="1971"/>
    <s v="Graduation"/>
    <s v="Single"/>
    <n v="26954"/>
    <n v="1"/>
    <d v="1899-12-30T00:00:00"/>
    <d v="2014-05-08T00:00:00"/>
    <n v="17"/>
    <n v="1"/>
    <n v="0"/>
    <n v="0"/>
    <n v="2"/>
    <n v="55"/>
    <x v="0"/>
    <x v="42"/>
  </r>
  <r>
    <n v="1185"/>
    <n v="2292"/>
    <n v="1985"/>
    <s v="Graduation"/>
    <s v="Single"/>
    <n v="22327"/>
    <n v="1"/>
    <d v="1899-12-30T00:00:00"/>
    <d v="2013-08-02T00:00:00"/>
    <n v="94"/>
    <n v="4"/>
    <n v="0"/>
    <n v="0"/>
    <n v="3"/>
    <n v="41"/>
    <x v="1"/>
    <x v="1"/>
  </r>
  <r>
    <n v="1186"/>
    <n v="10466"/>
    <n v="1965"/>
    <s v="Graduation"/>
    <s v="Married"/>
    <n v="44393"/>
    <n v="1"/>
    <d v="1899-12-31T00:00:00"/>
    <d v="2013-08-22T00:00:00"/>
    <n v="86"/>
    <n v="2"/>
    <n v="2"/>
    <n v="2"/>
    <n v="4"/>
    <n v="61"/>
    <x v="0"/>
    <x v="29"/>
  </r>
  <r>
    <n v="1187"/>
    <n v="9855"/>
    <n v="1952"/>
    <s v="PhD"/>
    <s v="Single"/>
    <n v="62000"/>
    <n v="0"/>
    <d v="1899-12-31T00:00:00"/>
    <d v="2013-08-25T00:00:00"/>
    <n v="25"/>
    <n v="0"/>
    <n v="0"/>
    <n v="0"/>
    <n v="13"/>
    <n v="74"/>
    <x v="0"/>
    <x v="104"/>
  </r>
  <r>
    <n v="1188"/>
    <n v="4088"/>
    <n v="1962"/>
    <s v="PhD"/>
    <s v="Together"/>
    <n v="31497"/>
    <n v="0"/>
    <d v="1899-12-31T00:00:00"/>
    <d v="2012-12-06T00:00:00"/>
    <n v="22"/>
    <n v="1"/>
    <n v="1"/>
    <n v="1"/>
    <n v="4"/>
    <n v="64"/>
    <x v="0"/>
    <x v="7"/>
  </r>
  <r>
    <n v="1189"/>
    <n v="5231"/>
    <n v="1974"/>
    <s v="2n Cycle"/>
    <s v="Married"/>
    <n v="45894"/>
    <n v="0"/>
    <d v="1900-01-01T00:00:00"/>
    <d v="2014-02-27T00:00:00"/>
    <n v="15"/>
    <n v="2"/>
    <n v="2"/>
    <n v="2"/>
    <n v="3"/>
    <n v="52"/>
    <x v="0"/>
    <x v="7"/>
  </r>
  <r>
    <n v="1190"/>
    <n v="590"/>
    <n v="1970"/>
    <s v="Master"/>
    <s v="Divorced"/>
    <n v="78579"/>
    <n v="0"/>
    <d v="1899-12-30T00:00:00"/>
    <d v="2012-12-22T00:00:00"/>
    <n v="35"/>
    <n v="66"/>
    <n v="66"/>
    <n v="66"/>
    <n v="4"/>
    <n v="56"/>
    <x v="0"/>
    <x v="120"/>
  </r>
  <r>
    <n v="1191"/>
    <n v="8732"/>
    <n v="1969"/>
    <s v="Master"/>
    <s v="Widow"/>
    <n v="67369"/>
    <n v="0"/>
    <d v="1899-12-31T00:00:00"/>
    <d v="2012-11-17T00:00:00"/>
    <n v="81"/>
    <n v="0"/>
    <n v="14"/>
    <n v="14"/>
    <n v="10"/>
    <n v="57"/>
    <x v="0"/>
    <x v="38"/>
  </r>
  <r>
    <n v="1192"/>
    <n v="2315"/>
    <n v="1960"/>
    <s v="Graduation"/>
    <s v="Divorced"/>
    <n v="58401"/>
    <n v="0"/>
    <d v="1899-12-31T00:00:00"/>
    <d v="2014-04-20T00:00:00"/>
    <n v="55"/>
    <n v="0"/>
    <n v="29"/>
    <n v="29"/>
    <n v="2"/>
    <n v="66"/>
    <x v="0"/>
    <x v="2"/>
  </r>
  <r>
    <n v="1193"/>
    <n v="3515"/>
    <n v="1952"/>
    <s v="Graduation"/>
    <s v="Single"/>
    <n v="62307"/>
    <n v="0"/>
    <d v="1899-12-31T00:00:00"/>
    <d v="2014-02-17T00:00:00"/>
    <n v="94"/>
    <n v="13"/>
    <n v="6"/>
    <n v="6"/>
    <n v="4"/>
    <n v="74"/>
    <x v="0"/>
    <x v="11"/>
  </r>
  <r>
    <n v="1194"/>
    <n v="2245"/>
    <n v="1969"/>
    <s v="Master"/>
    <s v="Married"/>
    <n v="43641"/>
    <n v="1"/>
    <d v="1899-12-31T00:00:00"/>
    <d v="2013-04-22T00:00:00"/>
    <n v="50"/>
    <n v="2"/>
    <n v="2"/>
    <n v="2"/>
    <n v="4"/>
    <n v="57"/>
    <x v="0"/>
    <x v="29"/>
  </r>
  <r>
    <n v="1195"/>
    <n v="6283"/>
    <n v="1968"/>
    <s v="Master"/>
    <s v="Divorced"/>
    <n v="63841"/>
    <n v="0"/>
    <d v="1899-12-31T00:00:00"/>
    <d v="2013-04-21T00:00:00"/>
    <n v="64"/>
    <n v="15"/>
    <n v="7"/>
    <n v="7"/>
    <n v="9"/>
    <n v="58"/>
    <x v="0"/>
    <x v="13"/>
  </r>
  <r>
    <n v="1196"/>
    <n v="2246"/>
    <n v="1965"/>
    <s v="2n Cycle"/>
    <s v="Married"/>
    <n v="46891"/>
    <n v="0"/>
    <d v="1899-12-31T00:00:00"/>
    <d v="2013-09-01T00:00:00"/>
    <n v="91"/>
    <n v="12"/>
    <n v="15"/>
    <n v="15"/>
    <n v="4"/>
    <n v="61"/>
    <x v="0"/>
    <x v="44"/>
  </r>
  <r>
    <n v="1197"/>
    <n v="6606"/>
    <n v="1969"/>
    <s v="Master"/>
    <s v="Married"/>
    <n v="70091"/>
    <n v="1"/>
    <d v="1899-12-30T00:00:00"/>
    <d v="2013-03-31T00:00:00"/>
    <n v="11"/>
    <n v="34"/>
    <n v="0"/>
    <n v="0"/>
    <n v="10"/>
    <n v="57"/>
    <x v="0"/>
    <x v="11"/>
  </r>
  <r>
    <n v="1198"/>
    <n v="5545"/>
    <n v="1972"/>
    <s v="PhD"/>
    <s v="Married"/>
    <n v="78075"/>
    <n v="0"/>
    <d v="1899-12-30T00:00:00"/>
    <d v="2014-04-05T00:00:00"/>
    <n v="72"/>
    <n v="8"/>
    <n v="35"/>
    <n v="35"/>
    <n v="5"/>
    <n v="54"/>
    <x v="0"/>
    <x v="105"/>
  </r>
  <r>
    <n v="1199"/>
    <n v="7342"/>
    <n v="1961"/>
    <s v="2n Cycle"/>
    <s v="Widow"/>
    <n v="59184"/>
    <n v="0"/>
    <d v="1899-12-31T00:00:00"/>
    <d v="2012-09-09T00:00:00"/>
    <n v="6"/>
    <n v="142"/>
    <n v="151"/>
    <n v="151"/>
    <n v="12"/>
    <n v="65"/>
    <x v="0"/>
    <x v="112"/>
  </r>
  <r>
    <n v="1200"/>
    <n v="837"/>
    <n v="1977"/>
    <s v="Graduation"/>
    <s v="Married"/>
    <n v="54809"/>
    <n v="1"/>
    <d v="1899-12-31T00:00:00"/>
    <d v="2013-09-11T00:00:00"/>
    <n v="0"/>
    <n v="6"/>
    <n v="13"/>
    <n v="13"/>
    <n v="5"/>
    <n v="49"/>
    <x v="1"/>
    <x v="14"/>
  </r>
  <r>
    <n v="1201"/>
    <n v="9500"/>
    <n v="1959"/>
    <s v="Graduation"/>
    <s v="Married"/>
    <n v="58113"/>
    <n v="0"/>
    <d v="1899-12-31T00:00:00"/>
    <d v="2013-01-25T00:00:00"/>
    <n v="66"/>
    <n v="104"/>
    <n v="78"/>
    <n v="78"/>
    <n v="8"/>
    <n v="67"/>
    <x v="0"/>
    <x v="117"/>
  </r>
  <r>
    <n v="1202"/>
    <n v="3602"/>
    <n v="1958"/>
    <s v="Master"/>
    <s v="Married"/>
    <n v="51412"/>
    <n v="0"/>
    <d v="1899-12-31T00:00:00"/>
    <d v="2013-12-31T00:00:00"/>
    <n v="42"/>
    <n v="3"/>
    <n v="5"/>
    <n v="5"/>
    <n v="4"/>
    <n v="68"/>
    <x v="0"/>
    <x v="18"/>
  </r>
  <r>
    <n v="1203"/>
    <n v="234"/>
    <n v="1979"/>
    <s v="Graduation"/>
    <s v="Divorced"/>
    <n v="15287"/>
    <n v="1"/>
    <d v="1899-12-30T00:00:00"/>
    <d v="2012-10-10T00:00:00"/>
    <n v="60"/>
    <n v="2"/>
    <n v="3"/>
    <n v="3"/>
    <n v="2"/>
    <n v="47"/>
    <x v="1"/>
    <x v="7"/>
  </r>
  <r>
    <n v="1204"/>
    <n v="2995"/>
    <n v="1957"/>
    <s v="Master"/>
    <s v="Together"/>
    <n v="66636"/>
    <n v="0"/>
    <d v="1899-12-30T00:00:00"/>
    <d v="2013-08-17T00:00:00"/>
    <n v="64"/>
    <n v="10"/>
    <n v="10"/>
    <n v="10"/>
    <n v="9"/>
    <n v="69"/>
    <x v="0"/>
    <x v="44"/>
  </r>
  <r>
    <n v="1205"/>
    <n v="1118"/>
    <n v="1956"/>
    <s v="Master"/>
    <s v="Married"/>
    <n v="50965"/>
    <n v="0"/>
    <d v="1899-12-31T00:00:00"/>
    <d v="2013-02-20T00:00:00"/>
    <n v="87"/>
    <n v="13"/>
    <n v="6"/>
    <n v="6"/>
    <n v="5"/>
    <n v="70"/>
    <x v="0"/>
    <x v="20"/>
  </r>
  <r>
    <n v="1206"/>
    <n v="7789"/>
    <n v="1965"/>
    <s v="PhD"/>
    <s v="Married"/>
    <n v="84618"/>
    <n v="0"/>
    <d v="1899-12-30T00:00:00"/>
    <d v="2013-11-22T00:00:00"/>
    <n v="96"/>
    <n v="100"/>
    <n v="66"/>
    <n v="66"/>
    <n v="10"/>
    <n v="61"/>
    <x v="0"/>
    <x v="23"/>
  </r>
  <r>
    <n v="1207"/>
    <n v="3068"/>
    <n v="1990"/>
    <s v="Graduation"/>
    <s v="Married"/>
    <n v="18351"/>
    <n v="0"/>
    <d v="1899-12-30T00:00:00"/>
    <d v="2013-10-29T00:00:00"/>
    <n v="1"/>
    <n v="12"/>
    <n v="14"/>
    <n v="14"/>
    <n v="3"/>
    <n v="36"/>
    <x v="1"/>
    <x v="67"/>
  </r>
  <r>
    <n v="1208"/>
    <n v="8955"/>
    <n v="1957"/>
    <s v="PhD"/>
    <s v="Together"/>
    <n v="40451"/>
    <n v="0"/>
    <d v="1900-01-01T00:00:00"/>
    <d v="2014-02-16T00:00:00"/>
    <n v="54"/>
    <n v="0"/>
    <n v="0"/>
    <n v="0"/>
    <n v="2"/>
    <n v="69"/>
    <x v="0"/>
    <x v="42"/>
  </r>
  <r>
    <n v="1209"/>
    <n v="945"/>
    <n v="1965"/>
    <s v="Graduation"/>
    <s v="Together"/>
    <n v="36317"/>
    <n v="0"/>
    <d v="1899-12-31T00:00:00"/>
    <d v="2013-05-22T00:00:00"/>
    <n v="53"/>
    <n v="3"/>
    <n v="2"/>
    <n v="2"/>
    <n v="4"/>
    <n v="61"/>
    <x v="0"/>
    <x v="29"/>
  </r>
  <r>
    <n v="1210"/>
    <n v="5644"/>
    <n v="1957"/>
    <s v="Graduation"/>
    <s v="Together"/>
    <n v="42213"/>
    <n v="0"/>
    <d v="1899-12-31T00:00:00"/>
    <d v="2013-10-12T00:00:00"/>
    <n v="96"/>
    <n v="3"/>
    <n v="3"/>
    <n v="3"/>
    <n v="7"/>
    <n v="69"/>
    <x v="0"/>
    <x v="11"/>
  </r>
  <r>
    <n v="1211"/>
    <n v="7192"/>
    <n v="1955"/>
    <s v="Graduation"/>
    <s v="Together"/>
    <n v="65748"/>
    <n v="0"/>
    <d v="1899-12-31T00:00:00"/>
    <d v="2013-04-15T00:00:00"/>
    <n v="58"/>
    <n v="73"/>
    <n v="78"/>
    <n v="78"/>
    <n v="10"/>
    <n v="71"/>
    <x v="0"/>
    <x v="118"/>
  </r>
  <r>
    <n v="1212"/>
    <n v="2324"/>
    <n v="1972"/>
    <s v="Graduation"/>
    <s v="Together"/>
    <n v="77044"/>
    <n v="0"/>
    <d v="1899-12-31T00:00:00"/>
    <d v="2013-10-27T00:00:00"/>
    <n v="12"/>
    <n v="38"/>
    <n v="34"/>
    <n v="34"/>
    <n v="11"/>
    <n v="54"/>
    <x v="0"/>
    <x v="49"/>
  </r>
  <r>
    <n v="1213"/>
    <n v="697"/>
    <n v="1969"/>
    <s v="Graduation"/>
    <s v="Together"/>
    <n v="74918"/>
    <n v="0"/>
    <d v="1899-12-30T00:00:00"/>
    <d v="2013-03-12T00:00:00"/>
    <n v="78"/>
    <n v="59"/>
    <n v="19"/>
    <n v="19"/>
    <n v="6"/>
    <n v="57"/>
    <x v="0"/>
    <x v="15"/>
  </r>
  <r>
    <n v="1214"/>
    <n v="3439"/>
    <n v="1972"/>
    <s v="Graduation"/>
    <s v="Married"/>
    <n v="56721"/>
    <n v="1"/>
    <d v="1899-12-31T00:00:00"/>
    <d v="2012-10-31T00:00:00"/>
    <n v="64"/>
    <n v="6"/>
    <n v="13"/>
    <n v="13"/>
    <n v="5"/>
    <n v="54"/>
    <x v="0"/>
    <x v="14"/>
  </r>
  <r>
    <n v="1215"/>
    <n v="1506"/>
    <n v="1975"/>
    <s v="Graduation"/>
    <s v="Single"/>
    <n v="42160"/>
    <n v="1"/>
    <d v="1899-12-31T00:00:00"/>
    <d v="2013-06-28T00:00:00"/>
    <n v="26"/>
    <n v="9"/>
    <n v="15"/>
    <n v="15"/>
    <n v="4"/>
    <n v="51"/>
    <x v="0"/>
    <x v="44"/>
  </r>
  <r>
    <n v="1216"/>
    <n v="232"/>
    <n v="1965"/>
    <s v="Graduation"/>
    <s v="Single"/>
    <n v="61559"/>
    <n v="0"/>
    <d v="1899-12-31T00:00:00"/>
    <d v="2013-07-17T00:00:00"/>
    <n v="8"/>
    <n v="83"/>
    <n v="14"/>
    <n v="14"/>
    <n v="10"/>
    <n v="61"/>
    <x v="0"/>
    <x v="38"/>
  </r>
  <r>
    <n v="1217"/>
    <n v="8876"/>
    <n v="1963"/>
    <s v="PhD"/>
    <s v="Together"/>
    <n v="33629"/>
    <n v="1"/>
    <d v="1899-12-31T00:00:00"/>
    <d v="2012-08-08T00:00:00"/>
    <n v="49"/>
    <n v="0"/>
    <n v="0"/>
    <n v="0"/>
    <n v="4"/>
    <n v="63"/>
    <x v="0"/>
    <x v="9"/>
  </r>
  <r>
    <n v="1218"/>
    <n v="4500"/>
    <n v="1991"/>
    <s v="PhD"/>
    <s v="Together"/>
    <n v="68682"/>
    <n v="0"/>
    <d v="1899-12-30T00:00:00"/>
    <d v="2013-10-06T00:00:00"/>
    <n v="56"/>
    <n v="0"/>
    <n v="30"/>
    <n v="30"/>
    <n v="10"/>
    <n v="35"/>
    <x v="1"/>
    <x v="105"/>
  </r>
  <r>
    <n v="1219"/>
    <n v="9739"/>
    <n v="1963"/>
    <s v="Graduation"/>
    <s v="Single"/>
    <n v="34377"/>
    <n v="0"/>
    <d v="1899-12-31T00:00:00"/>
    <d v="2013-01-19T00:00:00"/>
    <n v="55"/>
    <n v="0"/>
    <n v="1"/>
    <n v="1"/>
    <n v="2"/>
    <n v="63"/>
    <x v="0"/>
    <x v="1"/>
  </r>
  <r>
    <n v="1220"/>
    <n v="10395"/>
    <n v="1986"/>
    <s v="Basic"/>
    <s v="Single"/>
    <n v="8940"/>
    <n v="1"/>
    <d v="1899-12-30T00:00:00"/>
    <d v="2012-08-22T00:00:00"/>
    <n v="25"/>
    <n v="45"/>
    <n v="6"/>
    <n v="6"/>
    <n v="3"/>
    <n v="40"/>
    <x v="1"/>
    <x v="18"/>
  </r>
  <r>
    <n v="1221"/>
    <n v="1176"/>
    <n v="1973"/>
    <s v="Graduation"/>
    <s v="Married"/>
    <n v="26228"/>
    <n v="1"/>
    <d v="1899-12-30T00:00:00"/>
    <d v="2013-09-22T00:00:00"/>
    <n v="50"/>
    <n v="6"/>
    <n v="1"/>
    <n v="1"/>
    <n v="2"/>
    <n v="53"/>
    <x v="0"/>
    <x v="1"/>
  </r>
  <r>
    <n v="1222"/>
    <n v="1627"/>
    <n v="1957"/>
    <s v="2n Cycle"/>
    <s v="Divorced"/>
    <n v="77297"/>
    <n v="0"/>
    <d v="1899-12-30T00:00:00"/>
    <d v="2013-01-26T00:00:00"/>
    <n v="84"/>
    <n v="61"/>
    <n v="122"/>
    <n v="122"/>
    <n v="9"/>
    <n v="69"/>
    <x v="0"/>
    <x v="138"/>
  </r>
  <r>
    <n v="1223"/>
    <n v="938"/>
    <n v="1981"/>
    <s v="Graduation"/>
    <s v="Married"/>
    <n v="40211"/>
    <n v="1"/>
    <d v="1899-12-31T00:00:00"/>
    <d v="2013-07-30T00:00:00"/>
    <n v="30"/>
    <n v="1"/>
    <n v="1"/>
    <n v="1"/>
    <n v="2"/>
    <n v="45"/>
    <x v="1"/>
    <x v="1"/>
  </r>
  <r>
    <n v="1224"/>
    <n v="2740"/>
    <n v="1958"/>
    <s v="PhD"/>
    <s v="Widow"/>
    <n v="33438"/>
    <n v="1"/>
    <d v="1899-12-31T00:00:00"/>
    <d v="2013-09-22T00:00:00"/>
    <n v="81"/>
    <n v="1"/>
    <n v="2"/>
    <n v="2"/>
    <n v="4"/>
    <n v="68"/>
    <x v="0"/>
    <x v="29"/>
  </r>
  <r>
    <n v="1225"/>
    <n v="257"/>
    <n v="1959"/>
    <s v="PhD"/>
    <s v="Married"/>
    <n v="75032"/>
    <n v="0"/>
    <d v="1899-12-31T00:00:00"/>
    <d v="2013-04-28T00:00:00"/>
    <n v="74"/>
    <n v="12"/>
    <n v="12"/>
    <n v="12"/>
    <n v="9"/>
    <n v="67"/>
    <x v="0"/>
    <x v="81"/>
  </r>
  <r>
    <n v="1226"/>
    <n v="4058"/>
    <n v="1955"/>
    <s v="PhD"/>
    <s v="Single"/>
    <n v="61284"/>
    <n v="0"/>
    <d v="1899-12-30T00:00:00"/>
    <d v="2013-10-12T00:00:00"/>
    <n v="76"/>
    <n v="15"/>
    <n v="7"/>
    <n v="7"/>
    <n v="8"/>
    <n v="71"/>
    <x v="0"/>
    <x v="21"/>
  </r>
  <r>
    <n v="1227"/>
    <n v="7736"/>
    <n v="1986"/>
    <s v="Graduation"/>
    <s v="Married"/>
    <n v="22518"/>
    <n v="1"/>
    <d v="1899-12-30T00:00:00"/>
    <d v="2012-10-22T00:00:00"/>
    <n v="36"/>
    <n v="7"/>
    <n v="2"/>
    <n v="2"/>
    <n v="2"/>
    <n v="40"/>
    <x v="1"/>
    <x v="9"/>
  </r>
  <r>
    <n v="1228"/>
    <n v="8210"/>
    <n v="1975"/>
    <s v="Master"/>
    <s v="Married"/>
    <n v="54730"/>
    <n v="0"/>
    <d v="1899-12-31T00:00:00"/>
    <d v="2013-08-15T00:00:00"/>
    <n v="64"/>
    <n v="3"/>
    <n v="7"/>
    <n v="7"/>
    <n v="8"/>
    <n v="51"/>
    <x v="0"/>
    <x v="21"/>
  </r>
  <r>
    <n v="1229"/>
    <n v="833"/>
    <n v="1955"/>
    <s v="Master"/>
    <s v="Married"/>
    <n v="38452"/>
    <n v="1"/>
    <d v="1899-12-31T00:00:00"/>
    <d v="2014-03-30T00:00:00"/>
    <n v="62"/>
    <n v="0"/>
    <n v="0"/>
    <n v="0"/>
    <n v="3"/>
    <n v="71"/>
    <x v="0"/>
    <x v="1"/>
  </r>
  <r>
    <n v="1230"/>
    <n v="6230"/>
    <n v="1971"/>
    <s v="Graduation"/>
    <s v="Divorced"/>
    <n v="44421"/>
    <n v="1"/>
    <d v="1899-12-31T00:00:00"/>
    <d v="2013-02-15T00:00:00"/>
    <n v="53"/>
    <n v="5"/>
    <n v="1"/>
    <n v="1"/>
    <n v="4"/>
    <n v="55"/>
    <x v="0"/>
    <x v="7"/>
  </r>
  <r>
    <n v="1231"/>
    <n v="7325"/>
    <n v="1986"/>
    <s v="PhD"/>
    <s v="Together"/>
    <n v="38197"/>
    <n v="1"/>
    <d v="1899-12-30T00:00:00"/>
    <d v="2013-06-29T00:00:00"/>
    <n v="86"/>
    <n v="0"/>
    <n v="1"/>
    <n v="1"/>
    <n v="3"/>
    <n v="40"/>
    <x v="1"/>
    <x v="9"/>
  </r>
  <r>
    <n v="1232"/>
    <n v="1307"/>
    <n v="1978"/>
    <s v="Graduation"/>
    <s v="Divorced"/>
    <n v="41986"/>
    <n v="0"/>
    <d v="1899-12-31T00:00:00"/>
    <d v="2014-02-09T00:00:00"/>
    <n v="15"/>
    <n v="5"/>
    <n v="3"/>
    <n v="3"/>
    <n v="4"/>
    <n v="48"/>
    <x v="1"/>
    <x v="3"/>
  </r>
  <r>
    <n v="1233"/>
    <n v="1502"/>
    <n v="1983"/>
    <s v="Graduation"/>
    <s v="Together"/>
    <n v="28427"/>
    <n v="1"/>
    <d v="1899-12-30T00:00:00"/>
    <d v="2013-03-21T00:00:00"/>
    <n v="67"/>
    <n v="3"/>
    <n v="3"/>
    <n v="3"/>
    <n v="3"/>
    <n v="43"/>
    <x v="1"/>
    <x v="29"/>
  </r>
  <r>
    <n v="1234"/>
    <n v="6211"/>
    <n v="1976"/>
    <s v="PhD"/>
    <s v="Together"/>
    <n v="37395"/>
    <n v="1"/>
    <d v="1899-12-30T00:00:00"/>
    <d v="2014-05-02T00:00:00"/>
    <n v="47"/>
    <n v="0"/>
    <n v="1"/>
    <n v="1"/>
    <n v="3"/>
    <n v="50"/>
    <x v="1"/>
    <x v="9"/>
  </r>
  <r>
    <n v="1235"/>
    <n v="843"/>
    <n v="1971"/>
    <s v="Graduation"/>
    <s v="Married"/>
    <n v="64722"/>
    <n v="1"/>
    <d v="1899-12-30T00:00:00"/>
    <d v="2014-05-26T00:00:00"/>
    <n v="47"/>
    <n v="0"/>
    <n v="147"/>
    <n v="147"/>
    <n v="11"/>
    <n v="55"/>
    <x v="0"/>
    <x v="160"/>
  </r>
  <r>
    <n v="1236"/>
    <n v="4174"/>
    <n v="1956"/>
    <s v="Master"/>
    <s v="Together"/>
    <n v="55249"/>
    <n v="0"/>
    <d v="1899-12-31T00:00:00"/>
    <d v="2014-04-17T00:00:00"/>
    <n v="81"/>
    <n v="1"/>
    <n v="0"/>
    <n v="0"/>
    <n v="4"/>
    <n v="70"/>
    <x v="0"/>
    <x v="9"/>
  </r>
  <r>
    <n v="1237"/>
    <n v="9757"/>
    <n v="1972"/>
    <s v="Graduation"/>
    <s v="Together"/>
    <n v="84906"/>
    <n v="0"/>
    <d v="1899-12-30T00:00:00"/>
    <d v="2013-10-04T00:00:00"/>
    <n v="98"/>
    <n v="15"/>
    <n v="30"/>
    <n v="30"/>
    <n v="12"/>
    <n v="54"/>
    <x v="0"/>
    <x v="66"/>
  </r>
  <r>
    <n v="1238"/>
    <n v="6918"/>
    <n v="1989"/>
    <s v="Graduation"/>
    <s v="Married"/>
    <n v="28691"/>
    <n v="1"/>
    <d v="1899-12-30T00:00:00"/>
    <d v="2013-07-04T00:00:00"/>
    <n v="56"/>
    <n v="4"/>
    <n v="0"/>
    <n v="0"/>
    <n v="3"/>
    <n v="37"/>
    <x v="1"/>
    <x v="1"/>
  </r>
  <r>
    <n v="1239"/>
    <n v="286"/>
    <n v="1952"/>
    <s v="Graduation"/>
    <s v="Single"/>
    <n v="44213"/>
    <n v="1"/>
    <d v="1899-12-31T00:00:00"/>
    <d v="2013-11-29T00:00:00"/>
    <n v="48"/>
    <n v="11"/>
    <n v="4"/>
    <n v="4"/>
    <n v="5"/>
    <n v="74"/>
    <x v="0"/>
    <x v="18"/>
  </r>
  <r>
    <n v="1240"/>
    <n v="11086"/>
    <n v="1984"/>
    <s v="Basic"/>
    <s v="Single"/>
    <n v="25707"/>
    <n v="1"/>
    <d v="1899-12-30T00:00:00"/>
    <d v="2014-01-18T00:00:00"/>
    <n v="18"/>
    <n v="6"/>
    <n v="6"/>
    <n v="6"/>
    <n v="3"/>
    <n v="42"/>
    <x v="1"/>
    <x v="18"/>
  </r>
  <r>
    <n v="1241"/>
    <n v="1921"/>
    <n v="1967"/>
    <s v="PhD"/>
    <s v="Married"/>
    <n v="59062"/>
    <n v="2"/>
    <d v="1899-12-31T00:00:00"/>
    <d v="2013-10-03T00:00:00"/>
    <n v="74"/>
    <n v="1"/>
    <n v="0"/>
    <n v="0"/>
    <n v="3"/>
    <n v="59"/>
    <x v="0"/>
    <x v="1"/>
  </r>
  <r>
    <n v="1242"/>
    <n v="4138"/>
    <n v="1962"/>
    <s v="Graduation"/>
    <s v="Single"/>
    <n v="76624"/>
    <n v="0"/>
    <d v="1899-12-31T00:00:00"/>
    <d v="2014-05-24T00:00:00"/>
    <n v="68"/>
    <n v="106"/>
    <n v="115"/>
    <n v="115"/>
    <n v="7"/>
    <n v="64"/>
    <x v="0"/>
    <x v="161"/>
  </r>
  <r>
    <n v="1243"/>
    <n v="7718"/>
    <n v="1947"/>
    <s v="Master"/>
    <s v="Together"/>
    <n v="66000"/>
    <n v="0"/>
    <d v="1899-12-30T00:00:00"/>
    <d v="2014-04-20T00:00:00"/>
    <n v="36"/>
    <n v="51"/>
    <n v="0"/>
    <n v="0"/>
    <n v="5"/>
    <n v="79"/>
    <x v="0"/>
    <x v="7"/>
  </r>
  <r>
    <n v="1244"/>
    <n v="1291"/>
    <n v="1978"/>
    <s v="PhD"/>
    <s v="Together"/>
    <n v="27683"/>
    <n v="1"/>
    <d v="1899-12-30T00:00:00"/>
    <d v="2012-08-04T00:00:00"/>
    <n v="90"/>
    <n v="9"/>
    <n v="12"/>
    <n v="12"/>
    <n v="4"/>
    <n v="48"/>
    <x v="1"/>
    <x v="13"/>
  </r>
  <r>
    <n v="1245"/>
    <n v="6862"/>
    <n v="1971"/>
    <s v="Graduation"/>
    <s v="Divorced"/>
    <n v="1730"/>
    <n v="0"/>
    <d v="1899-12-30T00:00:00"/>
    <d v="2014-05-18T00:00:00"/>
    <n v="65"/>
    <n v="1"/>
    <n v="1"/>
    <n v="1"/>
    <n v="0"/>
    <n v="55"/>
    <x v="0"/>
    <x v="8"/>
  </r>
  <r>
    <n v="1246"/>
    <n v="4136"/>
    <n v="1992"/>
    <s v="Basic"/>
    <s v="Single"/>
    <n v="7500"/>
    <n v="1"/>
    <d v="1899-12-30T00:00:00"/>
    <d v="2012-12-03T00:00:00"/>
    <n v="63"/>
    <n v="17"/>
    <n v="26"/>
    <n v="26"/>
    <n v="2"/>
    <n v="34"/>
    <x v="1"/>
    <x v="24"/>
  </r>
  <r>
    <n v="1247"/>
    <n v="803"/>
    <n v="1968"/>
    <s v="Graduation"/>
    <s v="Together"/>
    <n v="40521"/>
    <n v="1"/>
    <d v="1899-12-31T00:00:00"/>
    <d v="2013-04-05T00:00:00"/>
    <n v="82"/>
    <n v="0"/>
    <n v="0"/>
    <n v="0"/>
    <n v="2"/>
    <n v="58"/>
    <x v="0"/>
    <x v="42"/>
  </r>
  <r>
    <n v="1248"/>
    <n v="4298"/>
    <n v="1973"/>
    <s v="PhD"/>
    <s v="Together"/>
    <n v="20427"/>
    <n v="1"/>
    <d v="1899-12-30T00:00:00"/>
    <d v="2014-03-24T00:00:00"/>
    <n v="63"/>
    <n v="0"/>
    <n v="0"/>
    <n v="0"/>
    <n v="2"/>
    <n v="53"/>
    <x v="0"/>
    <x v="42"/>
  </r>
  <r>
    <n v="1249"/>
    <n v="10833"/>
    <n v="1975"/>
    <s v="Graduation"/>
    <s v="Married"/>
    <n v="65106"/>
    <n v="0"/>
    <d v="1899-12-31T00:00:00"/>
    <d v="2014-05-24T00:00:00"/>
    <n v="55"/>
    <n v="19"/>
    <n v="0"/>
    <n v="0"/>
    <n v="13"/>
    <n v="51"/>
    <x v="0"/>
    <x v="104"/>
  </r>
  <r>
    <n v="1250"/>
    <n v="9606"/>
    <n v="1965"/>
    <s v="PhD"/>
    <s v="Married"/>
    <n v="69969"/>
    <n v="0"/>
    <d v="1899-12-30T00:00:00"/>
    <d v="2013-08-27T00:00:00"/>
    <n v="64"/>
    <n v="29"/>
    <n v="29"/>
    <n v="29"/>
    <n v="6"/>
    <n v="61"/>
    <x v="0"/>
    <x v="61"/>
  </r>
  <r>
    <n v="1251"/>
    <n v="8534"/>
    <n v="1952"/>
    <s v="Graduation"/>
    <s v="Married"/>
    <n v="67433"/>
    <n v="0"/>
    <d v="1900-01-01T00:00:00"/>
    <d v="2013-07-16T00:00:00"/>
    <n v="51"/>
    <n v="28"/>
    <n v="48"/>
    <n v="48"/>
    <n v="13"/>
    <n v="74"/>
    <x v="0"/>
    <x v="123"/>
  </r>
  <r>
    <n v="1252"/>
    <n v="5153"/>
    <n v="1967"/>
    <s v="PhD"/>
    <s v="Married"/>
    <n v="77766"/>
    <n v="0"/>
    <d v="1899-12-31T00:00:00"/>
    <d v="2013-02-22T00:00:00"/>
    <n v="97"/>
    <n v="59"/>
    <n v="59"/>
    <n v="59"/>
    <n v="11"/>
    <n v="59"/>
    <x v="0"/>
    <x v="120"/>
  </r>
  <r>
    <n v="1253"/>
    <n v="961"/>
    <n v="1972"/>
    <s v="Graduation"/>
    <s v="Married"/>
    <n v="74716"/>
    <n v="0"/>
    <d v="1899-12-31T00:00:00"/>
    <d v="2013-09-12T00:00:00"/>
    <n v="92"/>
    <n v="27"/>
    <n v="195"/>
    <n v="195"/>
    <n v="5"/>
    <n v="54"/>
    <x v="0"/>
    <x v="162"/>
  </r>
  <r>
    <n v="1254"/>
    <n v="5011"/>
    <n v="1963"/>
    <s v="Graduation"/>
    <s v="Divorced"/>
    <n v="68118"/>
    <n v="0"/>
    <d v="1899-12-31T00:00:00"/>
    <d v="2013-10-18T00:00:00"/>
    <n v="51"/>
    <n v="23"/>
    <n v="23"/>
    <n v="23"/>
    <n v="4"/>
    <n v="63"/>
    <x v="0"/>
    <x v="16"/>
  </r>
  <r>
    <n v="1255"/>
    <n v="6653"/>
    <n v="1970"/>
    <s v="PhD"/>
    <s v="Married"/>
    <n v="55158"/>
    <n v="1"/>
    <d v="1899-12-31T00:00:00"/>
    <d v="2012-07-30T00:00:00"/>
    <n v="72"/>
    <n v="0"/>
    <n v="11"/>
    <n v="11"/>
    <n v="5"/>
    <n v="56"/>
    <x v="0"/>
    <x v="13"/>
  </r>
  <r>
    <n v="1256"/>
    <n v="9094"/>
    <n v="1955"/>
    <s v="2n Cycle"/>
    <s v="Married"/>
    <n v="62972"/>
    <n v="0"/>
    <d v="1899-12-31T00:00:00"/>
    <d v="2012-08-03T00:00:00"/>
    <n v="39"/>
    <n v="15"/>
    <n v="0"/>
    <n v="0"/>
    <n v="3"/>
    <n v="71"/>
    <x v="0"/>
    <x v="1"/>
  </r>
  <r>
    <n v="1257"/>
    <n v="810"/>
    <n v="1975"/>
    <s v="Graduation"/>
    <s v="Married"/>
    <n v="74190"/>
    <n v="0"/>
    <d v="1899-12-31T00:00:00"/>
    <d v="2014-05-12T00:00:00"/>
    <n v="49"/>
    <n v="81"/>
    <n v="91"/>
    <n v="91"/>
    <n v="11"/>
    <n v="51"/>
    <x v="0"/>
    <x v="87"/>
  </r>
  <r>
    <n v="1258"/>
    <n v="5493"/>
    <n v="1976"/>
    <s v="Graduation"/>
    <s v="Married"/>
    <n v="39356"/>
    <n v="1"/>
    <d v="1899-12-31T00:00:00"/>
    <d v="2014-03-19T00:00:00"/>
    <n v="21"/>
    <n v="0"/>
    <n v="0"/>
    <n v="0"/>
    <n v="2"/>
    <n v="50"/>
    <x v="1"/>
    <x v="42"/>
  </r>
  <r>
    <n v="1259"/>
    <n v="2147"/>
    <n v="1969"/>
    <s v="Graduation"/>
    <s v="Together"/>
    <n v="76653"/>
    <n v="0"/>
    <d v="1899-12-30T00:00:00"/>
    <d v="2013-08-16T00:00:00"/>
    <n v="91"/>
    <n v="63"/>
    <n v="189"/>
    <n v="189"/>
    <n v="11"/>
    <n v="57"/>
    <x v="0"/>
    <x v="162"/>
  </r>
  <r>
    <n v="1260"/>
    <n v="5107"/>
    <n v="1973"/>
    <s v="PhD"/>
    <s v="Divorced"/>
    <n v="35860"/>
    <n v="1"/>
    <d v="1899-12-31T00:00:00"/>
    <d v="2014-05-19T00:00:00"/>
    <n v="37"/>
    <n v="0"/>
    <n v="2"/>
    <n v="2"/>
    <n v="2"/>
    <n v="53"/>
    <x v="0"/>
    <x v="9"/>
  </r>
  <r>
    <n v="1261"/>
    <n v="3979"/>
    <n v="1983"/>
    <s v="PhD"/>
    <s v="Divorced"/>
    <n v="90687"/>
    <n v="0"/>
    <d v="1899-12-30T00:00:00"/>
    <d v="2013-05-22T00:00:00"/>
    <n v="98"/>
    <n v="17"/>
    <n v="34"/>
    <n v="34"/>
    <n v="8"/>
    <n v="43"/>
    <x v="1"/>
    <x v="66"/>
  </r>
  <r>
    <n v="1262"/>
    <n v="6049"/>
    <n v="1982"/>
    <s v="Master"/>
    <s v="Together"/>
    <n v="73450"/>
    <n v="0"/>
    <d v="1899-12-30T00:00:00"/>
    <d v="2013-12-05T00:00:00"/>
    <n v="85"/>
    <n v="51"/>
    <n v="69"/>
    <n v="69"/>
    <n v="11"/>
    <n v="44"/>
    <x v="1"/>
    <x v="12"/>
  </r>
  <r>
    <n v="1263"/>
    <n v="8147"/>
    <n v="1960"/>
    <s v="Graduation"/>
    <s v="Married"/>
    <n v="31454"/>
    <n v="1"/>
    <d v="1899-12-31T00:00:00"/>
    <d v="2013-07-06T00:00:00"/>
    <n v="40"/>
    <n v="0"/>
    <n v="0"/>
    <n v="0"/>
    <n v="3"/>
    <n v="66"/>
    <x v="0"/>
    <x v="1"/>
  </r>
  <r>
    <n v="1264"/>
    <n v="1857"/>
    <n v="1952"/>
    <s v="Graduation"/>
    <s v="Single"/>
    <n v="47139"/>
    <n v="1"/>
    <d v="1899-12-31T00:00:00"/>
    <d v="2014-03-06T00:00:00"/>
    <n v="2"/>
    <n v="0"/>
    <n v="2"/>
    <n v="2"/>
    <n v="2"/>
    <n v="74"/>
    <x v="0"/>
    <x v="9"/>
  </r>
  <r>
    <n v="1265"/>
    <n v="3910"/>
    <n v="1975"/>
    <s v="Graduation"/>
    <s v="Divorced"/>
    <n v="83829"/>
    <n v="0"/>
    <d v="1899-12-30T00:00:00"/>
    <d v="2013-10-08T00:00:00"/>
    <n v="78"/>
    <n v="161"/>
    <n v="161"/>
    <n v="161"/>
    <n v="6"/>
    <n v="51"/>
    <x v="0"/>
    <x v="144"/>
  </r>
  <r>
    <n v="1266"/>
    <n v="5207"/>
    <n v="1963"/>
    <s v="PhD"/>
    <s v="Married"/>
    <n v="53378"/>
    <n v="1"/>
    <d v="1899-12-31T00:00:00"/>
    <d v="2012-09-24T00:00:00"/>
    <n v="41"/>
    <n v="6"/>
    <n v="6"/>
    <n v="6"/>
    <n v="6"/>
    <n v="63"/>
    <x v="0"/>
    <x v="51"/>
  </r>
  <r>
    <n v="1267"/>
    <n v="11114"/>
    <n v="1970"/>
    <s v="Graduation"/>
    <s v="Together"/>
    <n v="19656"/>
    <n v="1"/>
    <d v="1899-12-30T00:00:00"/>
    <d v="2013-02-08T00:00:00"/>
    <n v="94"/>
    <n v="4"/>
    <n v="8"/>
    <n v="8"/>
    <n v="3"/>
    <n v="56"/>
    <x v="0"/>
    <x v="20"/>
  </r>
  <r>
    <n v="1268"/>
    <n v="5429"/>
    <n v="1948"/>
    <s v="PhD"/>
    <s v="Married"/>
    <n v="45579"/>
    <n v="0"/>
    <d v="1899-12-31T00:00:00"/>
    <d v="2013-08-20T00:00:00"/>
    <n v="10"/>
    <n v="1"/>
    <n v="1"/>
    <n v="1"/>
    <n v="4"/>
    <n v="78"/>
    <x v="0"/>
    <x v="7"/>
  </r>
  <r>
    <n v="1269"/>
    <n v="9400"/>
    <n v="1958"/>
    <s v="2n Cycle"/>
    <s v="Single"/>
    <n v="85485"/>
    <n v="0"/>
    <d v="1899-12-30T00:00:00"/>
    <d v="2014-06-21T00:00:00"/>
    <n v="73"/>
    <n v="26"/>
    <n v="18"/>
    <n v="18"/>
    <n v="6"/>
    <n v="68"/>
    <x v="0"/>
    <x v="38"/>
  </r>
  <r>
    <n v="1270"/>
    <n v="1740"/>
    <n v="1944"/>
    <s v="Graduation"/>
    <s v="Married"/>
    <n v="55956"/>
    <n v="0"/>
    <d v="1899-12-30T00:00:00"/>
    <d v="2014-04-07T00:00:00"/>
    <n v="22"/>
    <n v="38"/>
    <n v="9"/>
    <n v="9"/>
    <n v="4"/>
    <n v="82"/>
    <x v="0"/>
    <x v="104"/>
  </r>
  <r>
    <n v="1271"/>
    <n v="7488"/>
    <n v="1963"/>
    <s v="Master"/>
    <s v="Single"/>
    <n v="64191"/>
    <n v="0"/>
    <d v="1899-12-31T00:00:00"/>
    <d v="2013-01-22T00:00:00"/>
    <n v="30"/>
    <n v="15"/>
    <n v="38"/>
    <n v="38"/>
    <n v="13"/>
    <n v="63"/>
    <x v="0"/>
    <x v="106"/>
  </r>
  <r>
    <n v="1272"/>
    <n v="195"/>
    <n v="1972"/>
    <s v="Graduation"/>
    <s v="Single"/>
    <n v="38808"/>
    <n v="1"/>
    <d v="1899-12-30T00:00:00"/>
    <d v="2012-08-26T00:00:00"/>
    <n v="21"/>
    <n v="17"/>
    <n v="19"/>
    <n v="19"/>
    <n v="4"/>
    <n v="54"/>
    <x v="0"/>
    <x v="45"/>
  </r>
  <r>
    <n v="1273"/>
    <n v="635"/>
    <n v="1966"/>
    <s v="Master"/>
    <s v="Married"/>
    <n v="57183"/>
    <n v="1"/>
    <d v="1899-12-31T00:00:00"/>
    <d v="2013-03-19T00:00:00"/>
    <n v="51"/>
    <n v="5"/>
    <n v="0"/>
    <n v="0"/>
    <n v="7"/>
    <n v="60"/>
    <x v="0"/>
    <x v="3"/>
  </r>
  <r>
    <n v="1274"/>
    <n v="7527"/>
    <n v="1968"/>
    <s v="Master"/>
    <s v="Divorced"/>
    <n v="23748"/>
    <n v="1"/>
    <d v="1899-12-30T00:00:00"/>
    <d v="2012-11-21T00:00:00"/>
    <n v="97"/>
    <n v="6"/>
    <n v="15"/>
    <n v="15"/>
    <n v="3"/>
    <n v="58"/>
    <x v="0"/>
    <x v="14"/>
  </r>
  <r>
    <n v="1275"/>
    <n v="10319"/>
    <n v="1971"/>
    <s v="Graduation"/>
    <s v="Married"/>
    <n v="66303"/>
    <n v="0"/>
    <d v="1899-12-31T00:00:00"/>
    <d v="2013-02-26T00:00:00"/>
    <n v="56"/>
    <n v="12"/>
    <n v="12"/>
    <n v="12"/>
    <n v="11"/>
    <n v="55"/>
    <x v="0"/>
    <x v="45"/>
  </r>
  <r>
    <n v="1276"/>
    <n v="2296"/>
    <n v="1975"/>
    <s v="Master"/>
    <s v="Married"/>
    <n v="37368"/>
    <n v="1"/>
    <d v="1899-12-30T00:00:00"/>
    <d v="2013-12-16T00:00:00"/>
    <n v="4"/>
    <n v="2"/>
    <n v="2"/>
    <n v="2"/>
    <n v="2"/>
    <n v="51"/>
    <x v="0"/>
    <x v="9"/>
  </r>
  <r>
    <n v="1277"/>
    <n v="10637"/>
    <n v="1964"/>
    <s v="Graduation"/>
    <s v="Married"/>
    <n v="40800"/>
    <n v="1"/>
    <d v="1900-01-01T00:00:00"/>
    <d v="2013-01-01T00:00:00"/>
    <n v="77"/>
    <n v="0"/>
    <n v="30"/>
    <n v="30"/>
    <n v="3"/>
    <n v="62"/>
    <x v="0"/>
    <x v="4"/>
  </r>
  <r>
    <n v="1278"/>
    <n v="2931"/>
    <n v="1978"/>
    <s v="Graduation"/>
    <s v="Divorced"/>
    <n v="71847"/>
    <n v="0"/>
    <d v="1899-12-30T00:00:00"/>
    <d v="2012-09-21T00:00:00"/>
    <n v="95"/>
    <n v="21"/>
    <n v="63"/>
    <n v="63"/>
    <n v="9"/>
    <n v="48"/>
    <x v="1"/>
    <x v="136"/>
  </r>
  <r>
    <n v="1279"/>
    <n v="907"/>
    <n v="1975"/>
    <s v="Graduation"/>
    <s v="Married"/>
    <n v="46149"/>
    <n v="0"/>
    <d v="1899-12-31T00:00:00"/>
    <d v="2013-11-29T00:00:00"/>
    <n v="36"/>
    <n v="6"/>
    <n v="0"/>
    <n v="0"/>
    <n v="7"/>
    <n v="51"/>
    <x v="0"/>
    <x v="3"/>
  </r>
  <r>
    <n v="1280"/>
    <n v="3698"/>
    <n v="1983"/>
    <s v="Graduation"/>
    <s v="Together"/>
    <n v="78687"/>
    <n v="0"/>
    <d v="1899-12-30T00:00:00"/>
    <d v="2012-08-09T00:00:00"/>
    <n v="13"/>
    <n v="185"/>
    <n v="55"/>
    <n v="55"/>
    <n v="8"/>
    <n v="43"/>
    <x v="1"/>
    <x v="102"/>
  </r>
  <r>
    <n v="1281"/>
    <n v="9516"/>
    <n v="1971"/>
    <s v="2n Cycle"/>
    <s v="Divorced"/>
    <n v="49118"/>
    <n v="0"/>
    <d v="1899-12-30T00:00:00"/>
    <d v="2012-08-18T00:00:00"/>
    <n v="90"/>
    <n v="54"/>
    <n v="98"/>
    <n v="98"/>
    <n v="10"/>
    <n v="55"/>
    <x v="0"/>
    <x v="58"/>
  </r>
  <r>
    <n v="1282"/>
    <n v="679"/>
    <n v="1957"/>
    <s v="PhD"/>
    <s v="Married"/>
    <n v="37633"/>
    <n v="1"/>
    <d v="1899-12-31T00:00:00"/>
    <d v="2012-09-20T00:00:00"/>
    <n v="49"/>
    <n v="4"/>
    <n v="0"/>
    <n v="0"/>
    <n v="3"/>
    <n v="69"/>
    <x v="0"/>
    <x v="1"/>
  </r>
  <r>
    <n v="1283"/>
    <n v="7384"/>
    <n v="1951"/>
    <s v="Master"/>
    <s v="Together"/>
    <n v="39767"/>
    <n v="0"/>
    <d v="1899-12-30T00:00:00"/>
    <d v="2013-07-21T00:00:00"/>
    <n v="18"/>
    <n v="61"/>
    <n v="26"/>
    <n v="26"/>
    <n v="7"/>
    <n v="75"/>
    <x v="0"/>
    <x v="4"/>
  </r>
  <r>
    <n v="1284"/>
    <n v="5043"/>
    <n v="1951"/>
    <s v="Basic"/>
    <s v="Married"/>
    <n v="26997"/>
    <n v="0"/>
    <d v="1899-12-30T00:00:00"/>
    <d v="2012-11-05T00:00:00"/>
    <n v="89"/>
    <n v="23"/>
    <n v="49"/>
    <n v="49"/>
    <n v="5"/>
    <n v="75"/>
    <x v="0"/>
    <x v="27"/>
  </r>
  <r>
    <n v="1285"/>
    <n v="5267"/>
    <n v="1970"/>
    <s v="Graduation"/>
    <s v="Divorced"/>
    <n v="33986"/>
    <n v="1"/>
    <d v="1899-12-30T00:00:00"/>
    <d v="2013-03-14T00:00:00"/>
    <n v="43"/>
    <n v="2"/>
    <n v="1"/>
    <n v="1"/>
    <n v="3"/>
    <n v="56"/>
    <x v="0"/>
    <x v="9"/>
  </r>
  <r>
    <n v="1286"/>
    <n v="339"/>
    <n v="1972"/>
    <s v="PhD"/>
    <s v="Married"/>
    <n v="57091"/>
    <n v="0"/>
    <d v="1899-12-31T00:00:00"/>
    <d v="2012-11-23T00:00:00"/>
    <n v="82"/>
    <n v="0"/>
    <n v="0"/>
    <n v="0"/>
    <n v="5"/>
    <n v="54"/>
    <x v="0"/>
    <x v="7"/>
  </r>
  <r>
    <n v="1287"/>
    <n v="2516"/>
    <n v="1969"/>
    <s v="2n Cycle"/>
    <s v="Married"/>
    <n v="46831"/>
    <n v="1"/>
    <d v="1899-12-31T00:00:00"/>
    <d v="2013-06-08T00:00:00"/>
    <n v="84"/>
    <n v="2"/>
    <n v="4"/>
    <n v="4"/>
    <n v="2"/>
    <n v="57"/>
    <x v="0"/>
    <x v="29"/>
  </r>
  <r>
    <n v="1288"/>
    <n v="9010"/>
    <n v="1972"/>
    <s v="Master"/>
    <s v="Married"/>
    <n v="83151"/>
    <n v="0"/>
    <d v="1899-12-30T00:00:00"/>
    <d v="2013-02-10T00:00:00"/>
    <n v="80"/>
    <n v="147"/>
    <n v="42"/>
    <n v="42"/>
    <n v="10"/>
    <n v="54"/>
    <x v="0"/>
    <x v="5"/>
  </r>
  <r>
    <n v="1289"/>
    <n v="378"/>
    <n v="1971"/>
    <s v="Graduation"/>
    <s v="Married"/>
    <n v="52531"/>
    <n v="0"/>
    <d v="1899-12-30T00:00:00"/>
    <d v="2012-12-30T00:00:00"/>
    <n v="68"/>
    <n v="112"/>
    <n v="72"/>
    <n v="72"/>
    <n v="10"/>
    <n v="55"/>
    <x v="0"/>
    <x v="59"/>
  </r>
  <r>
    <n v="1290"/>
    <n v="4808"/>
    <n v="1956"/>
    <s v="Graduation"/>
    <s v="Married"/>
    <n v="15759"/>
    <n v="0"/>
    <d v="1899-12-30T00:00:00"/>
    <d v="2013-09-05T00:00:00"/>
    <n v="12"/>
    <n v="2"/>
    <n v="0"/>
    <n v="0"/>
    <n v="2"/>
    <n v="70"/>
    <x v="0"/>
    <x v="42"/>
  </r>
  <r>
    <n v="1291"/>
    <n v="5068"/>
    <n v="1971"/>
    <s v="Graduation"/>
    <s v="Single"/>
    <n v="22804"/>
    <n v="1"/>
    <d v="1899-12-30T00:00:00"/>
    <d v="2013-07-31T00:00:00"/>
    <n v="75"/>
    <n v="1"/>
    <n v="1"/>
    <n v="1"/>
    <n v="2"/>
    <n v="55"/>
    <x v="0"/>
    <x v="1"/>
  </r>
  <r>
    <n v="1292"/>
    <n v="7628"/>
    <n v="1973"/>
    <s v="2n Cycle"/>
    <s v="Married"/>
    <n v="43050"/>
    <n v="1"/>
    <d v="1899-12-30T00:00:00"/>
    <d v="2014-03-18T00:00:00"/>
    <n v="10"/>
    <n v="5"/>
    <n v="3"/>
    <n v="3"/>
    <n v="4"/>
    <n v="53"/>
    <x v="0"/>
    <x v="3"/>
  </r>
  <r>
    <n v="1293"/>
    <n v="7128"/>
    <n v="1977"/>
    <s v="PhD"/>
    <s v="Single"/>
    <n v="42997"/>
    <n v="1"/>
    <d v="1899-12-31T00:00:00"/>
    <d v="2013-12-07T00:00:00"/>
    <n v="91"/>
    <n v="0"/>
    <n v="1"/>
    <n v="1"/>
    <n v="2"/>
    <n v="49"/>
    <x v="1"/>
    <x v="1"/>
  </r>
  <r>
    <n v="1294"/>
    <n v="2811"/>
    <n v="1963"/>
    <s v="PhD"/>
    <s v="Single"/>
    <n v="48918"/>
    <n v="1"/>
    <d v="1899-12-31T00:00:00"/>
    <d v="2014-04-12T00:00:00"/>
    <n v="21"/>
    <n v="0"/>
    <n v="0"/>
    <n v="0"/>
    <n v="4"/>
    <n v="63"/>
    <x v="0"/>
    <x v="9"/>
  </r>
  <r>
    <n v="1295"/>
    <n v="3551"/>
    <n v="1954"/>
    <s v="Master"/>
    <s v="Together"/>
    <n v="60033"/>
    <n v="0"/>
    <d v="1899-12-31T00:00:00"/>
    <d v="2014-03-29T00:00:00"/>
    <n v="28"/>
    <n v="1"/>
    <n v="11"/>
    <n v="11"/>
    <n v="5"/>
    <n v="72"/>
    <x v="0"/>
    <x v="13"/>
  </r>
  <r>
    <n v="1296"/>
    <n v="1663"/>
    <n v="1978"/>
    <s v="PhD"/>
    <s v="Together"/>
    <n v="34043"/>
    <n v="1"/>
    <d v="1899-12-30T00:00:00"/>
    <d v="2013-10-25T00:00:00"/>
    <n v="97"/>
    <n v="2"/>
    <n v="0"/>
    <n v="0"/>
    <n v="2"/>
    <n v="48"/>
    <x v="1"/>
    <x v="42"/>
  </r>
  <r>
    <n v="1297"/>
    <n v="5543"/>
    <n v="1966"/>
    <s v="Graduation"/>
    <s v="Together"/>
    <n v="57811"/>
    <n v="0"/>
    <d v="1899-12-31T00:00:00"/>
    <d v="2013-06-24T00:00:00"/>
    <n v="49"/>
    <n v="7"/>
    <n v="21"/>
    <n v="21"/>
    <n v="11"/>
    <n v="60"/>
    <x v="0"/>
    <x v="74"/>
  </r>
  <r>
    <n v="1298"/>
    <n v="1577"/>
    <n v="1946"/>
    <s v="Graduation"/>
    <s v="Married"/>
    <n v="78569"/>
    <n v="0"/>
    <d v="1899-12-30T00:00:00"/>
    <d v="2014-02-19T00:00:00"/>
    <n v="14"/>
    <n v="79"/>
    <n v="175"/>
    <n v="175"/>
    <n v="4"/>
    <n v="80"/>
    <x v="0"/>
    <x v="72"/>
  </r>
  <r>
    <n v="1299"/>
    <n v="10641"/>
    <n v="1978"/>
    <s v="Graduation"/>
    <s v="Single"/>
    <n v="7500"/>
    <n v="1"/>
    <d v="1899-12-31T00:00:00"/>
    <d v="2012-12-27T00:00:00"/>
    <n v="5"/>
    <n v="5"/>
    <n v="4"/>
    <n v="4"/>
    <n v="3"/>
    <n v="48"/>
    <x v="1"/>
    <x v="3"/>
  </r>
  <r>
    <n v="1300"/>
    <n v="5336"/>
    <n v="1971"/>
    <s v="Master"/>
    <s v="Together"/>
    <n v="157733"/>
    <n v="1"/>
    <d v="1899-12-30T00:00:00"/>
    <d v="2013-06-04T00:00:00"/>
    <n v="37"/>
    <n v="1"/>
    <n v="0"/>
    <n v="0"/>
    <n v="1"/>
    <n v="55"/>
    <x v="0"/>
    <x v="8"/>
  </r>
  <r>
    <n v="1301"/>
    <n v="6024"/>
    <n v="1953"/>
    <s v="Graduation"/>
    <s v="Together"/>
    <n v="94384"/>
    <n v="0"/>
    <d v="1899-12-30T00:00:00"/>
    <d v="2013-03-04T00:00:00"/>
    <n v="62"/>
    <n v="24"/>
    <n v="45"/>
    <n v="45"/>
    <n v="5"/>
    <n v="73"/>
    <x v="0"/>
    <x v="32"/>
  </r>
  <r>
    <n v="1302"/>
    <n v="1878"/>
    <n v="1985"/>
    <s v="2n Cycle"/>
    <s v="Married"/>
    <n v="23148"/>
    <n v="0"/>
    <d v="1899-12-30T00:00:00"/>
    <d v="2014-02-18T00:00:00"/>
    <n v="83"/>
    <n v="6"/>
    <n v="3"/>
    <n v="3"/>
    <n v="3"/>
    <n v="41"/>
    <x v="1"/>
    <x v="29"/>
  </r>
  <r>
    <n v="1303"/>
    <n v="3099"/>
    <n v="1970"/>
    <s v="Graduation"/>
    <s v="Divorced"/>
    <n v="44267"/>
    <n v="1"/>
    <d v="1899-12-31T00:00:00"/>
    <d v="2013-02-25T00:00:00"/>
    <n v="48"/>
    <n v="5"/>
    <n v="5"/>
    <n v="5"/>
    <n v="4"/>
    <n v="56"/>
    <x v="0"/>
    <x v="18"/>
  </r>
  <r>
    <n v="1304"/>
    <n v="6055"/>
    <n v="1979"/>
    <s v="Graduation"/>
    <s v="Married"/>
    <n v="71626"/>
    <n v="0"/>
    <d v="1899-12-30T00:00:00"/>
    <d v="2012-11-01T00:00:00"/>
    <n v="94"/>
    <n v="72"/>
    <n v="145"/>
    <n v="145"/>
    <n v="8"/>
    <n v="47"/>
    <x v="1"/>
    <x v="163"/>
  </r>
  <r>
    <n v="1305"/>
    <n v="5841"/>
    <n v="1966"/>
    <s v="Graduation"/>
    <s v="Together"/>
    <n v="60894"/>
    <n v="0"/>
    <d v="1899-12-31T00:00:00"/>
    <d v="2013-06-28T00:00:00"/>
    <n v="61"/>
    <n v="7"/>
    <n v="0"/>
    <n v="0"/>
    <n v="8"/>
    <n v="60"/>
    <x v="0"/>
    <x v="41"/>
  </r>
  <r>
    <n v="1306"/>
    <n v="3972"/>
    <n v="1976"/>
    <s v="Graduation"/>
    <s v="Together"/>
    <n v="50200"/>
    <n v="1"/>
    <d v="1899-12-31T00:00:00"/>
    <d v="2013-04-03T00:00:00"/>
    <n v="70"/>
    <n v="6"/>
    <n v="6"/>
    <n v="6"/>
    <n v="5"/>
    <n v="50"/>
    <x v="1"/>
    <x v="20"/>
  </r>
  <r>
    <n v="1307"/>
    <n v="4394"/>
    <n v="1965"/>
    <s v="PhD"/>
    <s v="Married"/>
    <n v="81051"/>
    <n v="0"/>
    <d v="1899-12-30T00:00:00"/>
    <d v="2014-05-23T00:00:00"/>
    <n v="43"/>
    <n v="29"/>
    <n v="29"/>
    <n v="29"/>
    <n v="12"/>
    <n v="61"/>
    <x v="0"/>
    <x v="19"/>
  </r>
  <r>
    <n v="1308"/>
    <n v="5758"/>
    <n v="1982"/>
    <s v="Graduation"/>
    <s v="Married"/>
    <n v="65169"/>
    <n v="0"/>
    <d v="1899-12-30T00:00:00"/>
    <d v="2014-01-14T00:00:00"/>
    <n v="23"/>
    <n v="0"/>
    <n v="0"/>
    <n v="0"/>
    <n v="13"/>
    <n v="44"/>
    <x v="1"/>
    <x v="104"/>
  </r>
  <r>
    <n v="1309"/>
    <n v="6658"/>
    <n v="1972"/>
    <s v="Graduation"/>
    <s v="Together"/>
    <n v="59868"/>
    <n v="0"/>
    <d v="1899-12-31T00:00:00"/>
    <d v="2013-07-22T00:00:00"/>
    <n v="37"/>
    <n v="51"/>
    <n v="10"/>
    <n v="10"/>
    <n v="12"/>
    <n v="54"/>
    <x v="0"/>
    <x v="62"/>
  </r>
  <r>
    <n v="1310"/>
    <n v="4603"/>
    <n v="1960"/>
    <s v="PhD"/>
    <s v="Married"/>
    <n v="65695"/>
    <n v="0"/>
    <d v="1899-12-31T00:00:00"/>
    <d v="2014-01-31T00:00:00"/>
    <n v="50"/>
    <n v="32"/>
    <n v="58"/>
    <n v="58"/>
    <n v="10"/>
    <n v="66"/>
    <x v="0"/>
    <x v="52"/>
  </r>
  <r>
    <n v="1311"/>
    <n v="8427"/>
    <n v="1956"/>
    <s v="Master"/>
    <s v="Single"/>
    <n v="64857"/>
    <n v="0"/>
    <d v="1899-12-30T00:00:00"/>
    <d v="2012-11-23T00:00:00"/>
    <n v="78"/>
    <n v="14"/>
    <n v="0"/>
    <n v="0"/>
    <n v="10"/>
    <n v="70"/>
    <x v="0"/>
    <x v="11"/>
  </r>
  <r>
    <n v="1312"/>
    <n v="10260"/>
    <n v="1965"/>
    <s v="Master"/>
    <s v="Together"/>
    <n v="45143"/>
    <n v="0"/>
    <d v="1899-12-31T00:00:00"/>
    <d v="2013-08-26T00:00:00"/>
    <n v="74"/>
    <n v="5"/>
    <n v="5"/>
    <n v="5"/>
    <n v="5"/>
    <n v="61"/>
    <x v="0"/>
    <x v="11"/>
  </r>
  <r>
    <n v="1313"/>
    <n v="7143"/>
    <n v="1955"/>
    <s v="2n Cycle"/>
    <s v="Together"/>
    <n v="74805"/>
    <n v="0"/>
    <d v="1899-12-31T00:00:00"/>
    <d v="2013-11-06T00:00:00"/>
    <n v="14"/>
    <n v="162"/>
    <n v="162"/>
    <n v="162"/>
    <n v="10"/>
    <n v="71"/>
    <x v="0"/>
    <x v="164"/>
  </r>
  <r>
    <n v="1314"/>
    <n v="8789"/>
    <n v="1989"/>
    <s v="2n Cycle"/>
    <s v="Married"/>
    <n v="59060"/>
    <n v="1"/>
    <d v="1899-12-30T00:00:00"/>
    <d v="2014-01-11T00:00:00"/>
    <n v="77"/>
    <n v="40"/>
    <n v="40"/>
    <n v="40"/>
    <n v="7"/>
    <n v="37"/>
    <x v="1"/>
    <x v="34"/>
  </r>
  <r>
    <n v="1315"/>
    <n v="6197"/>
    <n v="1962"/>
    <s v="PhD"/>
    <s v="Single"/>
    <n v="27238"/>
    <n v="1"/>
    <d v="1899-12-31T00:00:00"/>
    <d v="2013-04-20T00:00:00"/>
    <n v="39"/>
    <n v="0"/>
    <n v="0"/>
    <n v="0"/>
    <n v="3"/>
    <n v="64"/>
    <x v="0"/>
    <x v="1"/>
  </r>
  <r>
    <n v="1316"/>
    <n v="4554"/>
    <n v="1965"/>
    <s v="Graduation"/>
    <s v="Together"/>
    <n v="47009"/>
    <n v="0"/>
    <d v="1899-12-31T00:00:00"/>
    <d v="2013-10-01T00:00:00"/>
    <n v="89"/>
    <n v="45"/>
    <n v="10"/>
    <n v="10"/>
    <n v="8"/>
    <n v="61"/>
    <x v="0"/>
    <x v="14"/>
  </r>
  <r>
    <n v="1317"/>
    <n v="4937"/>
    <n v="1973"/>
    <s v="2n Cycle"/>
    <s v="Married"/>
    <n v="46094"/>
    <n v="1"/>
    <d v="1899-12-31T00:00:00"/>
    <d v="2014-06-10T00:00:00"/>
    <n v="62"/>
    <n v="2"/>
    <n v="2"/>
    <n v="2"/>
    <n v="3"/>
    <n v="53"/>
    <x v="0"/>
    <x v="7"/>
  </r>
  <r>
    <n v="1318"/>
    <n v="1920"/>
    <n v="1972"/>
    <s v="Graduation"/>
    <s v="Married"/>
    <n v="40321"/>
    <n v="1"/>
    <d v="1899-12-31T00:00:00"/>
    <d v="2013-07-29T00:00:00"/>
    <n v="59"/>
    <n v="4"/>
    <n v="0"/>
    <n v="0"/>
    <n v="3"/>
    <n v="54"/>
    <x v="0"/>
    <x v="1"/>
  </r>
  <r>
    <n v="1319"/>
    <n v="8749"/>
    <n v="1984"/>
    <s v="Graduation"/>
    <s v="Together"/>
    <n v="37235"/>
    <n v="1"/>
    <d v="1899-12-30T00:00:00"/>
    <d v="2014-02-01T00:00:00"/>
    <n v="68"/>
    <n v="2"/>
    <n v="6"/>
    <n v="6"/>
    <n v="2"/>
    <n v="42"/>
    <x v="1"/>
    <x v="41"/>
  </r>
  <r>
    <n v="1320"/>
    <n v="1650"/>
    <n v="1960"/>
    <s v="Master"/>
    <s v="Married"/>
    <n v="81843"/>
    <n v="0"/>
    <d v="1899-12-30T00:00:00"/>
    <d v="2013-04-22T00:00:00"/>
    <n v="13"/>
    <n v="86"/>
    <n v="69"/>
    <n v="69"/>
    <n v="12"/>
    <n v="66"/>
    <x v="0"/>
    <x v="165"/>
  </r>
  <r>
    <n v="1321"/>
    <n v="10377"/>
    <n v="1958"/>
    <s v="Master"/>
    <s v="Together"/>
    <n v="46692"/>
    <n v="0"/>
    <d v="1899-12-31T00:00:00"/>
    <d v="2013-06-06T00:00:00"/>
    <n v="37"/>
    <n v="6"/>
    <n v="12"/>
    <n v="12"/>
    <n v="5"/>
    <n v="68"/>
    <x v="0"/>
    <x v="67"/>
  </r>
  <r>
    <n v="1322"/>
    <n v="9206"/>
    <n v="1968"/>
    <s v="Graduation"/>
    <s v="Together"/>
    <n v="77382"/>
    <n v="0"/>
    <d v="1899-12-31T00:00:00"/>
    <d v="2014-01-07T00:00:00"/>
    <n v="36"/>
    <n v="48"/>
    <n v="105"/>
    <n v="105"/>
    <n v="12"/>
    <n v="58"/>
    <x v="0"/>
    <x v="157"/>
  </r>
  <r>
    <n v="1323"/>
    <n v="10971"/>
    <n v="1977"/>
    <s v="Graduation"/>
    <s v="Single"/>
    <n v="37774"/>
    <n v="2"/>
    <d v="1899-12-30T00:00:00"/>
    <d v="2012-09-03T00:00:00"/>
    <n v="28"/>
    <n v="8"/>
    <n v="2"/>
    <n v="2"/>
    <n v="3"/>
    <n v="49"/>
    <x v="1"/>
    <x v="7"/>
  </r>
  <r>
    <n v="1324"/>
    <n v="6398"/>
    <n v="1974"/>
    <s v="Basic"/>
    <s v="Married"/>
    <n v="18393"/>
    <n v="1"/>
    <d v="1899-12-30T00:00:00"/>
    <d v="2014-03-29T00:00:00"/>
    <n v="2"/>
    <n v="10"/>
    <n v="0"/>
    <n v="0"/>
    <n v="3"/>
    <n v="52"/>
    <x v="0"/>
    <x v="1"/>
  </r>
  <r>
    <n v="1325"/>
    <n v="9212"/>
    <n v="1962"/>
    <s v="Master"/>
    <s v="Married"/>
    <n v="72828"/>
    <n v="0"/>
    <d v="1899-12-31T00:00:00"/>
    <d v="2013-02-14T00:00:00"/>
    <n v="17"/>
    <n v="0"/>
    <n v="14"/>
    <n v="14"/>
    <n v="13"/>
    <n v="64"/>
    <x v="0"/>
    <x v="16"/>
  </r>
  <r>
    <n v="1326"/>
    <n v="7937"/>
    <n v="1982"/>
    <s v="Graduation"/>
    <s v="Married"/>
    <n v="24711"/>
    <n v="0"/>
    <d v="1899-12-30T00:00:00"/>
    <d v="2014-04-18T00:00:00"/>
    <n v="86"/>
    <n v="7"/>
    <n v="3"/>
    <n v="3"/>
    <n v="3"/>
    <n v="44"/>
    <x v="1"/>
    <x v="29"/>
  </r>
  <r>
    <n v="1327"/>
    <n v="839"/>
    <n v="1975"/>
    <s v="PhD"/>
    <s v="Married"/>
    <n v="45503"/>
    <n v="1"/>
    <d v="1899-12-30T00:00:00"/>
    <d v="2013-09-25T00:00:00"/>
    <n v="54"/>
    <n v="4"/>
    <n v="1"/>
    <n v="1"/>
    <n v="4"/>
    <n v="51"/>
    <x v="0"/>
    <x v="7"/>
  </r>
  <r>
    <n v="1328"/>
    <n v="4246"/>
    <n v="1982"/>
    <s v="Master"/>
    <s v="Single"/>
    <n v="6560"/>
    <n v="0"/>
    <d v="1899-12-30T00:00:00"/>
    <d v="2013-12-12T00:00:00"/>
    <n v="2"/>
    <n v="11"/>
    <n v="3"/>
    <n v="3"/>
    <n v="1"/>
    <n v="44"/>
    <x v="1"/>
    <x v="9"/>
  </r>
  <r>
    <n v="1329"/>
    <n v="158"/>
    <n v="1945"/>
    <s v="PhD"/>
    <s v="Together"/>
    <n v="71604"/>
    <n v="0"/>
    <d v="1899-12-30T00:00:00"/>
    <d v="2013-11-17T00:00:00"/>
    <n v="3"/>
    <n v="53"/>
    <n v="75"/>
    <n v="75"/>
    <n v="5"/>
    <n v="81"/>
    <x v="0"/>
    <x v="12"/>
  </r>
  <r>
    <n v="1330"/>
    <n v="4832"/>
    <n v="1979"/>
    <s v="Graduation"/>
    <s v="Married"/>
    <n v="27244"/>
    <n v="1"/>
    <d v="1899-12-30T00:00:00"/>
    <d v="2014-03-07T00:00:00"/>
    <n v="84"/>
    <n v="5"/>
    <n v="24"/>
    <n v="24"/>
    <n v="2"/>
    <n v="47"/>
    <x v="1"/>
    <x v="56"/>
  </r>
  <r>
    <n v="1331"/>
    <n v="5621"/>
    <n v="1969"/>
    <s v="Graduation"/>
    <s v="Married"/>
    <n v="48752"/>
    <n v="1"/>
    <d v="1899-12-31T00:00:00"/>
    <d v="2012-12-12T00:00:00"/>
    <n v="8"/>
    <n v="57"/>
    <n v="15"/>
    <n v="15"/>
    <n v="5"/>
    <n v="57"/>
    <x v="0"/>
    <x v="26"/>
  </r>
  <r>
    <n v="1332"/>
    <n v="1945"/>
    <n v="1962"/>
    <s v="Graduation"/>
    <s v="Married"/>
    <n v="71434"/>
    <n v="0"/>
    <d v="1899-12-31T00:00:00"/>
    <d v="2013-09-18T00:00:00"/>
    <n v="4"/>
    <n v="36"/>
    <n v="96"/>
    <n v="96"/>
    <n v="7"/>
    <n v="64"/>
    <x v="0"/>
    <x v="95"/>
  </r>
  <r>
    <n v="1333"/>
    <n v="5147"/>
    <n v="1948"/>
    <s v="Graduation"/>
    <s v="Single"/>
    <n v="90842"/>
    <n v="0"/>
    <d v="1899-12-30T00:00:00"/>
    <d v="2013-07-29T00:00:00"/>
    <n v="57"/>
    <n v="70"/>
    <n v="187"/>
    <n v="187"/>
    <n v="13"/>
    <n v="78"/>
    <x v="0"/>
    <x v="162"/>
  </r>
  <r>
    <n v="1334"/>
    <n v="2535"/>
    <n v="1978"/>
    <s v="Master"/>
    <s v="Married"/>
    <n v="88097"/>
    <n v="1"/>
    <d v="1899-12-30T00:00:00"/>
    <d v="2012-08-18T00:00:00"/>
    <n v="24"/>
    <n v="0"/>
    <n v="126"/>
    <n v="126"/>
    <n v="8"/>
    <n v="48"/>
    <x v="1"/>
    <x v="166"/>
  </r>
  <r>
    <n v="1335"/>
    <n v="11039"/>
    <n v="1975"/>
    <s v="Graduation"/>
    <s v="Married"/>
    <n v="51948"/>
    <n v="0"/>
    <d v="1899-12-31T00:00:00"/>
    <d v="2013-09-17T00:00:00"/>
    <n v="51"/>
    <n v="33"/>
    <n v="30"/>
    <n v="30"/>
    <n v="4"/>
    <n v="51"/>
    <x v="0"/>
    <x v="35"/>
  </r>
  <r>
    <n v="1336"/>
    <n v="9495"/>
    <n v="1982"/>
    <s v="Graduation"/>
    <s v="Together"/>
    <n v="71853"/>
    <n v="0"/>
    <d v="1899-12-30T00:00:00"/>
    <d v="2013-05-08T00:00:00"/>
    <n v="29"/>
    <n v="108"/>
    <n v="97"/>
    <n v="97"/>
    <n v="6"/>
    <n v="44"/>
    <x v="1"/>
    <x v="95"/>
  </r>
  <r>
    <n v="1337"/>
    <n v="9635"/>
    <n v="1983"/>
    <s v="Master"/>
    <s v="Married"/>
    <n v="35876"/>
    <n v="0"/>
    <d v="1899-12-30T00:00:00"/>
    <d v="2014-04-20T00:00:00"/>
    <n v="13"/>
    <n v="2"/>
    <n v="3"/>
    <n v="3"/>
    <n v="3"/>
    <n v="43"/>
    <x v="1"/>
    <x v="29"/>
  </r>
  <r>
    <n v="1338"/>
    <n v="2173"/>
    <n v="1952"/>
    <s v="Graduation"/>
    <s v="Widow"/>
    <n v="40049"/>
    <n v="0"/>
    <d v="1899-12-31T00:00:00"/>
    <d v="2013-10-16T00:00:00"/>
    <n v="23"/>
    <n v="6"/>
    <n v="3"/>
    <n v="3"/>
    <n v="3"/>
    <n v="74"/>
    <x v="0"/>
    <x v="29"/>
  </r>
  <r>
    <n v="1339"/>
    <n v="942"/>
    <n v="1982"/>
    <s v="Graduation"/>
    <s v="Single"/>
    <n v="39660"/>
    <n v="1"/>
    <d v="1899-12-30T00:00:00"/>
    <d v="2012-08-08T00:00:00"/>
    <n v="36"/>
    <n v="13"/>
    <n v="13"/>
    <n v="13"/>
    <n v="3"/>
    <n v="44"/>
    <x v="1"/>
    <x v="13"/>
  </r>
  <r>
    <n v="1340"/>
    <n v="9386"/>
    <n v="1962"/>
    <s v="Graduation"/>
    <s v="Together"/>
    <n v="50127"/>
    <n v="0"/>
    <d v="1899-12-31T00:00:00"/>
    <d v="2014-05-29T00:00:00"/>
    <n v="88"/>
    <n v="0"/>
    <n v="6"/>
    <n v="6"/>
    <n v="6"/>
    <n v="64"/>
    <x v="0"/>
    <x v="51"/>
  </r>
  <r>
    <n v="1341"/>
    <n v="5510"/>
    <n v="1977"/>
    <s v="Master"/>
    <s v="Married"/>
    <n v="43263"/>
    <n v="0"/>
    <d v="1899-12-31T00:00:00"/>
    <d v="2012-11-21T00:00:00"/>
    <n v="2"/>
    <n v="6"/>
    <n v="10"/>
    <n v="10"/>
    <n v="6"/>
    <n v="49"/>
    <x v="1"/>
    <x v="13"/>
  </r>
  <r>
    <n v="1342"/>
    <n v="873"/>
    <n v="1949"/>
    <s v="Master"/>
    <s v="Married"/>
    <n v="62845"/>
    <n v="1"/>
    <d v="1899-12-31T00:00:00"/>
    <d v="2012-10-01T00:00:00"/>
    <n v="3"/>
    <n v="0"/>
    <n v="0"/>
    <n v="0"/>
    <n v="10"/>
    <n v="77"/>
    <x v="0"/>
    <x v="11"/>
  </r>
  <r>
    <n v="1343"/>
    <n v="2253"/>
    <n v="1990"/>
    <s v="Graduation"/>
    <s v="Married"/>
    <n v="18929"/>
    <n v="0"/>
    <d v="1899-12-30T00:00:00"/>
    <d v="2013-02-16T00:00:00"/>
    <n v="15"/>
    <n v="0"/>
    <n v="4"/>
    <n v="4"/>
    <n v="4"/>
    <n v="36"/>
    <x v="1"/>
    <x v="41"/>
  </r>
  <r>
    <n v="1344"/>
    <n v="5181"/>
    <n v="1982"/>
    <s v="Basic"/>
    <s v="Single"/>
    <n v="24367"/>
    <n v="1"/>
    <d v="1899-12-30T00:00:00"/>
    <d v="2013-03-20T00:00:00"/>
    <n v="58"/>
    <n v="4"/>
    <n v="11"/>
    <n v="11"/>
    <n v="2"/>
    <n v="44"/>
    <x v="1"/>
    <x v="104"/>
  </r>
  <r>
    <n v="1345"/>
    <n v="979"/>
    <n v="1975"/>
    <s v="Graduation"/>
    <s v="Single"/>
    <n v="33249"/>
    <n v="1"/>
    <d v="1899-12-30T00:00:00"/>
    <d v="2013-02-20T00:00:00"/>
    <n v="11"/>
    <n v="10"/>
    <n v="14"/>
    <n v="14"/>
    <n v="3"/>
    <n v="51"/>
    <x v="0"/>
    <x v="67"/>
  </r>
  <r>
    <n v="1346"/>
    <n v="10390"/>
    <n v="1959"/>
    <s v="2n Cycle"/>
    <s v="Married"/>
    <n v="26887"/>
    <n v="0"/>
    <d v="1899-12-31T00:00:00"/>
    <d v="2013-02-10T00:00:00"/>
    <n v="27"/>
    <n v="7"/>
    <n v="4"/>
    <n v="4"/>
    <n v="3"/>
    <n v="67"/>
    <x v="0"/>
    <x v="3"/>
  </r>
  <r>
    <n v="1347"/>
    <n v="4698"/>
    <n v="1983"/>
    <s v="PhD"/>
    <s v="Married"/>
    <n v="50150"/>
    <n v="0"/>
    <d v="1899-12-30T00:00:00"/>
    <d v="2013-06-20T00:00:00"/>
    <n v="32"/>
    <n v="46"/>
    <n v="61"/>
    <n v="61"/>
    <n v="7"/>
    <n v="43"/>
    <x v="1"/>
    <x v="52"/>
  </r>
  <r>
    <n v="1348"/>
    <n v="7793"/>
    <n v="1976"/>
    <s v="Graduation"/>
    <s v="Together"/>
    <n v="62061"/>
    <n v="0"/>
    <d v="1899-12-31T00:00:00"/>
    <d v="2013-08-31T00:00:00"/>
    <n v="12"/>
    <n v="7"/>
    <n v="30"/>
    <n v="30"/>
    <n v="7"/>
    <n v="50"/>
    <x v="1"/>
    <x v="78"/>
  </r>
  <r>
    <n v="1349"/>
    <n v="1745"/>
    <n v="1962"/>
    <s v="PhD"/>
    <s v="Divorced"/>
    <n v="85696"/>
    <n v="0"/>
    <d v="1899-12-30T00:00:00"/>
    <d v="2013-05-03T00:00:00"/>
    <n v="88"/>
    <n v="76"/>
    <n v="0"/>
    <n v="0"/>
    <n v="9"/>
    <n v="64"/>
    <x v="0"/>
    <x v="18"/>
  </r>
  <r>
    <n v="1350"/>
    <n v="10590"/>
    <n v="1956"/>
    <s v="PhD"/>
    <s v="Together"/>
    <n v="76542"/>
    <n v="0"/>
    <d v="1899-12-30T00:00:00"/>
    <d v="2013-03-30T00:00:00"/>
    <n v="91"/>
    <n v="73"/>
    <n v="29"/>
    <n v="29"/>
    <n v="10"/>
    <n v="70"/>
    <x v="0"/>
    <x v="30"/>
  </r>
  <r>
    <n v="1351"/>
    <n v="5080"/>
    <n v="1993"/>
    <s v="Graduation"/>
    <s v="Single"/>
    <n v="70515"/>
    <n v="0"/>
    <d v="1899-12-30T00:00:00"/>
    <d v="2013-10-21T00:00:00"/>
    <n v="12"/>
    <n v="0"/>
    <n v="64"/>
    <n v="64"/>
    <n v="4"/>
    <n v="33"/>
    <x v="1"/>
    <x v="52"/>
  </r>
  <r>
    <n v="1352"/>
    <n v="8369"/>
    <n v="1987"/>
    <s v="Graduation"/>
    <s v="Together"/>
    <n v="18227"/>
    <n v="1"/>
    <d v="1899-12-30T00:00:00"/>
    <d v="2012-11-08T00:00:00"/>
    <n v="21"/>
    <n v="2"/>
    <n v="3"/>
    <n v="3"/>
    <n v="2"/>
    <n v="39"/>
    <x v="1"/>
    <x v="7"/>
  </r>
  <r>
    <n v="1353"/>
    <n v="5232"/>
    <n v="1965"/>
    <s v="Graduation"/>
    <s v="Married"/>
    <n v="69139"/>
    <n v="0"/>
    <d v="1899-12-31T00:00:00"/>
    <d v="2014-01-27T00:00:00"/>
    <n v="23"/>
    <n v="12"/>
    <n v="15"/>
    <n v="15"/>
    <n v="5"/>
    <n v="61"/>
    <x v="0"/>
    <x v="26"/>
  </r>
  <r>
    <n v="1354"/>
    <n v="2407"/>
    <n v="1982"/>
    <s v="Graduation"/>
    <s v="Married"/>
    <n v="69109"/>
    <n v="0"/>
    <d v="1899-12-30T00:00:00"/>
    <d v="2012-11-09T00:00:00"/>
    <n v="10"/>
    <n v="25"/>
    <n v="29"/>
    <n v="29"/>
    <n v="7"/>
    <n v="44"/>
    <x v="1"/>
    <x v="50"/>
  </r>
  <r>
    <n v="1355"/>
    <n v="3834"/>
    <n v="1962"/>
    <s v="Graduation"/>
    <s v="Single"/>
    <n v="69627"/>
    <n v="0"/>
    <d v="1899-12-31T00:00:00"/>
    <d v="2013-03-17T00:00:00"/>
    <n v="35"/>
    <n v="161"/>
    <n v="30"/>
    <n v="30"/>
    <n v="11"/>
    <n v="64"/>
    <x v="0"/>
    <x v="19"/>
  </r>
  <r>
    <n v="1356"/>
    <n v="7912"/>
    <n v="1978"/>
    <s v="Graduation"/>
    <s v="Married"/>
    <n v="38136"/>
    <n v="1"/>
    <d v="1899-12-30T00:00:00"/>
    <d v="2013-04-22T00:00:00"/>
    <n v="69"/>
    <n v="15"/>
    <n v="20"/>
    <n v="20"/>
    <n v="2"/>
    <n v="48"/>
    <x v="1"/>
    <x v="62"/>
  </r>
  <r>
    <n v="1357"/>
    <n v="7712"/>
    <n v="1946"/>
    <s v="PhD"/>
    <s v="Single"/>
    <n v="62159"/>
    <n v="0"/>
    <d v="1899-12-30T00:00:00"/>
    <d v="2014-04-28T00:00:00"/>
    <n v="68"/>
    <n v="17"/>
    <n v="70"/>
    <n v="70"/>
    <n v="10"/>
    <n v="80"/>
    <x v="0"/>
    <x v="12"/>
  </r>
  <r>
    <n v="1358"/>
    <n v="1065"/>
    <n v="1963"/>
    <s v="Graduation"/>
    <s v="Single"/>
    <n v="80695"/>
    <n v="0"/>
    <d v="1899-12-30T00:00:00"/>
    <d v="2013-12-29T00:00:00"/>
    <n v="85"/>
    <n v="129"/>
    <n v="37"/>
    <n v="37"/>
    <n v="5"/>
    <n v="63"/>
    <x v="0"/>
    <x v="66"/>
  </r>
  <r>
    <n v="1359"/>
    <n v="7275"/>
    <n v="1971"/>
    <s v="Master"/>
    <s v="Single"/>
    <n v="33316"/>
    <n v="1"/>
    <d v="1899-12-31T00:00:00"/>
    <d v="2013-10-04T00:00:00"/>
    <n v="34"/>
    <n v="1"/>
    <n v="4"/>
    <n v="4"/>
    <n v="4"/>
    <n v="55"/>
    <x v="0"/>
    <x v="41"/>
  </r>
  <r>
    <n v="1360"/>
    <n v="1343"/>
    <n v="1968"/>
    <s v="Graduation"/>
    <s v="Together"/>
    <n v="58554"/>
    <n v="1"/>
    <d v="1899-12-31T00:00:00"/>
    <d v="2012-09-26T00:00:00"/>
    <n v="55"/>
    <n v="24"/>
    <n v="0"/>
    <n v="0"/>
    <n v="6"/>
    <n v="58"/>
    <x v="0"/>
    <x v="29"/>
  </r>
  <r>
    <n v="1361"/>
    <n v="1384"/>
    <n v="1992"/>
    <s v="Basic"/>
    <s v="Married"/>
    <n v="17256"/>
    <n v="1"/>
    <d v="1899-12-30T00:00:00"/>
    <d v="2013-11-23T00:00:00"/>
    <n v="10"/>
    <n v="4"/>
    <n v="8"/>
    <n v="8"/>
    <n v="2"/>
    <n v="34"/>
    <x v="1"/>
    <x v="11"/>
  </r>
  <r>
    <n v="1362"/>
    <n v="9967"/>
    <n v="1974"/>
    <s v="Graduation"/>
    <s v="Divorced"/>
    <n v="53034"/>
    <n v="1"/>
    <d v="1899-12-31T00:00:00"/>
    <d v="2013-05-30T00:00:00"/>
    <n v="30"/>
    <n v="15"/>
    <n v="11"/>
    <n v="11"/>
    <n v="7"/>
    <n v="52"/>
    <x v="0"/>
    <x v="14"/>
  </r>
  <r>
    <n v="1363"/>
    <n v="6181"/>
    <n v="1950"/>
    <s v="2n Cycle"/>
    <s v="Together"/>
    <n v="52203"/>
    <n v="0"/>
    <d v="1899-12-30T00:00:00"/>
    <d v="2012-07-31T00:00:00"/>
    <n v="36"/>
    <n v="21"/>
    <n v="108"/>
    <n v="108"/>
    <n v="11"/>
    <n v="76"/>
    <x v="0"/>
    <x v="158"/>
  </r>
  <r>
    <n v="1364"/>
    <n v="10507"/>
    <n v="1977"/>
    <s v="2n Cycle"/>
    <s v="Divorced"/>
    <n v="59601"/>
    <n v="0"/>
    <d v="1899-12-31T00:00:00"/>
    <d v="2013-07-25T00:00:00"/>
    <n v="14"/>
    <n v="7"/>
    <n v="7"/>
    <n v="7"/>
    <n v="7"/>
    <n v="49"/>
    <x v="1"/>
    <x v="31"/>
  </r>
  <r>
    <n v="1365"/>
    <n v="2674"/>
    <n v="1958"/>
    <s v="Master"/>
    <s v="Single"/>
    <n v="75154"/>
    <n v="0"/>
    <d v="1899-12-31T00:00:00"/>
    <d v="2012-09-04T00:00:00"/>
    <n v="79"/>
    <n v="10"/>
    <n v="143"/>
    <n v="143"/>
    <n v="6"/>
    <n v="68"/>
    <x v="0"/>
    <x v="167"/>
  </r>
  <r>
    <n v="1366"/>
    <n v="2698"/>
    <n v="1976"/>
    <s v="Graduation"/>
    <s v="Single"/>
    <n v="47025"/>
    <n v="0"/>
    <d v="1899-12-31T00:00:00"/>
    <d v="2013-11-07T00:00:00"/>
    <n v="52"/>
    <n v="7"/>
    <n v="0"/>
    <n v="0"/>
    <n v="5"/>
    <n v="50"/>
    <x v="1"/>
    <x v="7"/>
  </r>
  <r>
    <n v="1367"/>
    <n v="3231"/>
    <n v="1973"/>
    <s v="Graduation"/>
    <s v="Married"/>
    <n v="37971"/>
    <n v="1"/>
    <d v="1899-12-30T00:00:00"/>
    <d v="2013-11-25T00:00:00"/>
    <n v="97"/>
    <n v="4"/>
    <n v="2"/>
    <n v="2"/>
    <n v="3"/>
    <n v="53"/>
    <x v="0"/>
    <x v="7"/>
  </r>
  <r>
    <n v="1368"/>
    <n v="4096"/>
    <n v="1968"/>
    <s v="Master"/>
    <s v="Divorced"/>
    <n v="41335"/>
    <n v="1"/>
    <d v="1899-12-30T00:00:00"/>
    <d v="2013-12-26T00:00:00"/>
    <n v="24"/>
    <n v="19"/>
    <n v="14"/>
    <n v="14"/>
    <n v="4"/>
    <n v="58"/>
    <x v="0"/>
    <x v="14"/>
  </r>
  <r>
    <n v="1369"/>
    <n v="10476"/>
    <n v="1958"/>
    <s v="Graduation"/>
    <s v="Married"/>
    <n v="67267"/>
    <n v="0"/>
    <d v="1899-12-31T00:00:00"/>
    <d v="2014-05-13T00:00:00"/>
    <n v="0"/>
    <n v="11"/>
    <n v="2"/>
    <n v="2"/>
    <n v="5"/>
    <n v="68"/>
    <x v="0"/>
    <x v="3"/>
  </r>
  <r>
    <n v="1370"/>
    <n v="5948"/>
    <n v="1975"/>
    <s v="Graduation"/>
    <s v="Single"/>
    <n v="57338"/>
    <n v="0"/>
    <d v="1899-12-31T00:00:00"/>
    <d v="2014-04-29T00:00:00"/>
    <n v="96"/>
    <n v="6"/>
    <n v="8"/>
    <n v="8"/>
    <n v="5"/>
    <n v="51"/>
    <x v="0"/>
    <x v="104"/>
  </r>
  <r>
    <n v="1371"/>
    <n v="9140"/>
    <n v="1960"/>
    <s v="2n Cycle"/>
    <s v="Together"/>
    <n v="50523"/>
    <n v="1"/>
    <d v="1899-12-31T00:00:00"/>
    <d v="2013-12-25T00:00:00"/>
    <n v="89"/>
    <n v="4"/>
    <n v="7"/>
    <n v="7"/>
    <n v="4"/>
    <n v="66"/>
    <x v="0"/>
    <x v="20"/>
  </r>
  <r>
    <n v="1372"/>
    <n v="10258"/>
    <n v="1965"/>
    <s v="Master"/>
    <s v="Single"/>
    <n v="35791"/>
    <n v="2"/>
    <d v="1899-12-31T00:00:00"/>
    <d v="2013-05-06T00:00:00"/>
    <n v="94"/>
    <n v="0"/>
    <n v="0"/>
    <n v="0"/>
    <n v="3"/>
    <n v="61"/>
    <x v="0"/>
    <x v="1"/>
  </r>
  <r>
    <n v="1373"/>
    <n v="5675"/>
    <n v="1960"/>
    <s v="PhD"/>
    <s v="Divorced"/>
    <n v="50611"/>
    <n v="0"/>
    <d v="1899-12-31T00:00:00"/>
    <d v="2012-10-04T00:00:00"/>
    <n v="98"/>
    <n v="0"/>
    <n v="0"/>
    <n v="0"/>
    <n v="7"/>
    <n v="66"/>
    <x v="0"/>
    <x v="3"/>
  </r>
  <r>
    <n v="1374"/>
    <n v="4743"/>
    <n v="1969"/>
    <s v="PhD"/>
    <s v="Married"/>
    <n v="56242"/>
    <n v="0"/>
    <d v="1899-12-31T00:00:00"/>
    <d v="2013-03-03T00:00:00"/>
    <n v="72"/>
    <n v="8"/>
    <n v="8"/>
    <n v="8"/>
    <n v="11"/>
    <n v="57"/>
    <x v="0"/>
    <x v="44"/>
  </r>
  <r>
    <n v="1375"/>
    <n v="8805"/>
    <n v="1960"/>
    <s v="Graduation"/>
    <s v="Single"/>
    <n v="48904"/>
    <n v="0"/>
    <d v="1899-12-31T00:00:00"/>
    <d v="2012-12-02T00:00:00"/>
    <n v="1"/>
    <n v="10"/>
    <n v="13"/>
    <n v="13"/>
    <n v="4"/>
    <n v="66"/>
    <x v="0"/>
    <x v="67"/>
  </r>
  <r>
    <n v="1376"/>
    <n v="1542"/>
    <n v="1975"/>
    <s v="Graduation"/>
    <s v="Single"/>
    <n v="56243"/>
    <n v="1"/>
    <d v="1900-01-01T00:00:00"/>
    <d v="2013-12-30T00:00:00"/>
    <n v="26"/>
    <n v="0"/>
    <n v="3"/>
    <n v="3"/>
    <n v="8"/>
    <n v="51"/>
    <x v="0"/>
    <x v="20"/>
  </r>
  <r>
    <n v="1377"/>
    <n v="6770"/>
    <n v="1985"/>
    <s v="Graduation"/>
    <s v="Married"/>
    <n v="21355"/>
    <n v="1"/>
    <d v="1899-12-30T00:00:00"/>
    <d v="2013-08-20T00:00:00"/>
    <n v="5"/>
    <n v="13"/>
    <n v="5"/>
    <n v="5"/>
    <n v="2"/>
    <n v="41"/>
    <x v="1"/>
    <x v="3"/>
  </r>
  <r>
    <n v="1378"/>
    <n v="8773"/>
    <n v="1971"/>
    <s v="Master"/>
    <s v="Together"/>
    <n v="57420"/>
    <n v="0"/>
    <d v="1899-12-31T00:00:00"/>
    <d v="2013-06-25T00:00:00"/>
    <n v="22"/>
    <n v="0"/>
    <n v="0"/>
    <n v="0"/>
    <n v="6"/>
    <n v="55"/>
    <x v="0"/>
    <x v="29"/>
  </r>
  <r>
    <n v="1379"/>
    <n v="10475"/>
    <n v="1970"/>
    <s v="Master"/>
    <s v="Together"/>
    <m/>
    <n v="0"/>
    <d v="1899-12-31T00:00:00"/>
    <d v="2013-04-01T00:00:00"/>
    <n v="39"/>
    <n v="5"/>
    <n v="20"/>
    <n v="20"/>
    <n v="6"/>
    <n v="56"/>
    <x v="0"/>
    <x v="56"/>
  </r>
  <r>
    <n v="1380"/>
    <n v="10420"/>
    <n v="1955"/>
    <s v="Master"/>
    <s v="Divorced"/>
    <n v="46390"/>
    <n v="0"/>
    <d v="1899-12-31T00:00:00"/>
    <d v="2014-05-05T00:00:00"/>
    <n v="56"/>
    <n v="14"/>
    <n v="9"/>
    <n v="9"/>
    <n v="3"/>
    <n v="71"/>
    <x v="0"/>
    <x v="51"/>
  </r>
  <r>
    <n v="1381"/>
    <n v="7514"/>
    <n v="1956"/>
    <s v="2n Cycle"/>
    <s v="Together"/>
    <n v="54342"/>
    <n v="1"/>
    <d v="1899-12-31T00:00:00"/>
    <d v="2013-07-03T00:00:00"/>
    <n v="74"/>
    <n v="10"/>
    <n v="10"/>
    <n v="10"/>
    <n v="4"/>
    <n v="70"/>
    <x v="0"/>
    <x v="31"/>
  </r>
  <r>
    <n v="1382"/>
    <n v="2902"/>
    <n v="1958"/>
    <s v="Graduation"/>
    <s v="Together"/>
    <m/>
    <n v="1"/>
    <d v="1899-12-31T00:00:00"/>
    <d v="2012-09-03T00:00:00"/>
    <n v="87"/>
    <n v="4"/>
    <n v="2"/>
    <n v="2"/>
    <n v="3"/>
    <n v="68"/>
    <x v="0"/>
    <x v="7"/>
  </r>
  <r>
    <n v="1383"/>
    <n v="4345"/>
    <n v="1964"/>
    <s v="2n Cycle"/>
    <s v="Single"/>
    <m/>
    <n v="1"/>
    <d v="1899-12-31T00:00:00"/>
    <d v="2014-01-12T00:00:00"/>
    <n v="49"/>
    <n v="1"/>
    <n v="0"/>
    <n v="0"/>
    <n v="2"/>
    <n v="62"/>
    <x v="0"/>
    <x v="42"/>
  </r>
  <r>
    <n v="1384"/>
    <n v="793"/>
    <n v="1973"/>
    <s v="Graduation"/>
    <s v="Married"/>
    <n v="20895"/>
    <n v="1"/>
    <d v="1899-12-30T00:00:00"/>
    <d v="2012-10-06T00:00:00"/>
    <n v="24"/>
    <n v="3"/>
    <n v="0"/>
    <n v="0"/>
    <n v="3"/>
    <n v="53"/>
    <x v="0"/>
    <x v="1"/>
  </r>
  <r>
    <n v="1385"/>
    <n v="10909"/>
    <n v="1948"/>
    <s v="Graduation"/>
    <s v="Married"/>
    <n v="92344"/>
    <n v="0"/>
    <d v="1899-12-30T00:00:00"/>
    <d v="2014-01-15T00:00:00"/>
    <n v="9"/>
    <n v="24"/>
    <n v="19"/>
    <n v="19"/>
    <n v="5"/>
    <n v="78"/>
    <x v="0"/>
    <x v="38"/>
  </r>
  <r>
    <n v="1386"/>
    <n v="3769"/>
    <n v="1972"/>
    <s v="PhD"/>
    <s v="Together"/>
    <m/>
    <n v="1"/>
    <d v="1899-12-30T00:00:00"/>
    <d v="2014-03-02T00:00:00"/>
    <n v="17"/>
    <n v="1"/>
    <n v="0"/>
    <n v="0"/>
    <n v="3"/>
    <n v="54"/>
    <x v="0"/>
    <x v="1"/>
  </r>
  <r>
    <n v="1387"/>
    <n v="8702"/>
    <n v="1976"/>
    <s v="2n Cycle"/>
    <s v="Together"/>
    <n v="26907"/>
    <n v="1"/>
    <d v="1899-12-31T00:00:00"/>
    <d v="2013-08-20T00:00:00"/>
    <n v="10"/>
    <n v="1"/>
    <n v="3"/>
    <n v="3"/>
    <n v="3"/>
    <n v="50"/>
    <x v="1"/>
    <x v="29"/>
  </r>
  <r>
    <n v="1388"/>
    <n v="4791"/>
    <n v="1980"/>
    <s v="Graduation"/>
    <s v="Together"/>
    <n v="44964"/>
    <n v="1"/>
    <d v="1899-12-31T00:00:00"/>
    <d v="2012-12-16T00:00:00"/>
    <n v="35"/>
    <n v="1"/>
    <n v="0"/>
    <n v="0"/>
    <n v="3"/>
    <n v="46"/>
    <x v="1"/>
    <x v="1"/>
  </r>
  <r>
    <n v="1389"/>
    <n v="2963"/>
    <n v="1979"/>
    <s v="Graduation"/>
    <s v="Together"/>
    <n v="75507"/>
    <n v="0"/>
    <d v="1899-12-30T00:00:00"/>
    <d v="2014-05-02T00:00:00"/>
    <n v="56"/>
    <n v="93"/>
    <n v="80"/>
    <n v="80"/>
    <n v="6"/>
    <n v="47"/>
    <x v="1"/>
    <x v="117"/>
  </r>
  <r>
    <n v="1390"/>
    <n v="8216"/>
    <n v="1972"/>
    <s v="Master"/>
    <s v="Married"/>
    <n v="53761"/>
    <n v="1"/>
    <d v="1899-12-31T00:00:00"/>
    <d v="2013-10-11T00:00:00"/>
    <n v="7"/>
    <n v="0"/>
    <n v="7"/>
    <n v="7"/>
    <n v="3"/>
    <n v="54"/>
    <x v="0"/>
    <x v="11"/>
  </r>
  <r>
    <n v="1391"/>
    <n v="8140"/>
    <n v="1973"/>
    <s v="Graduation"/>
    <s v="Together"/>
    <n v="22682"/>
    <n v="1"/>
    <d v="1899-12-30T00:00:00"/>
    <d v="2013-10-03T00:00:00"/>
    <n v="51"/>
    <n v="14"/>
    <n v="2"/>
    <n v="2"/>
    <n v="4"/>
    <n v="53"/>
    <x v="0"/>
    <x v="29"/>
  </r>
  <r>
    <n v="1392"/>
    <n v="10146"/>
    <n v="1972"/>
    <s v="PhD"/>
    <s v="Together"/>
    <n v="38887"/>
    <n v="1"/>
    <d v="1899-12-30T00:00:00"/>
    <d v="2014-03-02T00:00:00"/>
    <n v="17"/>
    <n v="1"/>
    <n v="0"/>
    <n v="0"/>
    <n v="3"/>
    <n v="54"/>
    <x v="0"/>
    <x v="1"/>
  </r>
  <r>
    <n v="1393"/>
    <n v="5289"/>
    <n v="1975"/>
    <s v="2n Cycle"/>
    <s v="Single"/>
    <n v="41658"/>
    <n v="1"/>
    <d v="1899-12-31T00:00:00"/>
    <d v="2012-11-09T00:00:00"/>
    <n v="30"/>
    <n v="4"/>
    <n v="4"/>
    <n v="4"/>
    <n v="2"/>
    <n v="51"/>
    <x v="0"/>
    <x v="29"/>
  </r>
  <r>
    <n v="1394"/>
    <n v="2587"/>
    <n v="1972"/>
    <s v="PhD"/>
    <s v="Married"/>
    <n v="29791"/>
    <n v="1"/>
    <d v="1899-12-30T00:00:00"/>
    <d v="2014-05-15T00:00:00"/>
    <n v="21"/>
    <n v="0"/>
    <n v="0"/>
    <n v="0"/>
    <n v="3"/>
    <n v="54"/>
    <x v="0"/>
    <x v="1"/>
  </r>
  <r>
    <n v="1395"/>
    <n v="4405"/>
    <n v="1956"/>
    <s v="Master"/>
    <s v="Married"/>
    <n v="63915"/>
    <n v="0"/>
    <d v="1900-01-01T00:00:00"/>
    <d v="2013-07-30T00:00:00"/>
    <n v="2"/>
    <n v="7"/>
    <n v="0"/>
    <n v="0"/>
    <n v="12"/>
    <n v="70"/>
    <x v="0"/>
    <x v="51"/>
  </r>
  <r>
    <n v="1396"/>
    <n v="8663"/>
    <n v="1974"/>
    <s v="Graduation"/>
    <s v="Divorced"/>
    <n v="39996"/>
    <n v="1"/>
    <d v="1899-12-31T00:00:00"/>
    <d v="2014-05-22T00:00:00"/>
    <n v="85"/>
    <n v="0"/>
    <n v="0"/>
    <n v="0"/>
    <n v="2"/>
    <n v="52"/>
    <x v="0"/>
    <x v="42"/>
  </r>
  <r>
    <n v="1397"/>
    <n v="2589"/>
    <n v="1972"/>
    <s v="Graduation"/>
    <s v="Divorced"/>
    <n v="26759"/>
    <n v="1"/>
    <d v="1899-12-30T00:00:00"/>
    <d v="2014-02-07T00:00:00"/>
    <n v="65"/>
    <n v="3"/>
    <n v="5"/>
    <n v="5"/>
    <n v="3"/>
    <n v="54"/>
    <x v="0"/>
    <x v="41"/>
  </r>
  <r>
    <n v="1398"/>
    <n v="3421"/>
    <n v="1968"/>
    <s v="Master"/>
    <s v="Divorced"/>
    <n v="63841"/>
    <n v="0"/>
    <d v="1899-12-31T00:00:00"/>
    <d v="2013-04-21T00:00:00"/>
    <n v="64"/>
    <n v="15"/>
    <n v="7"/>
    <n v="7"/>
    <n v="9"/>
    <n v="58"/>
    <x v="0"/>
    <x v="13"/>
  </r>
  <r>
    <n v="1399"/>
    <n v="10490"/>
    <n v="1969"/>
    <s v="PhD"/>
    <s v="Married"/>
    <n v="51039"/>
    <n v="1"/>
    <d v="1899-12-31T00:00:00"/>
    <d v="2012-12-10T00:00:00"/>
    <n v="11"/>
    <n v="64"/>
    <n v="0"/>
    <n v="0"/>
    <n v="4"/>
    <n v="57"/>
    <x v="0"/>
    <x v="9"/>
  </r>
  <r>
    <n v="1400"/>
    <n v="4094"/>
    <n v="1961"/>
    <s v="Graduation"/>
    <s v="Married"/>
    <n v="60544"/>
    <n v="1"/>
    <d v="1899-12-31T00:00:00"/>
    <d v="2012-08-25T00:00:00"/>
    <n v="92"/>
    <n v="2"/>
    <n v="5"/>
    <n v="5"/>
    <n v="5"/>
    <n v="65"/>
    <x v="0"/>
    <x v="11"/>
  </r>
  <r>
    <n v="1401"/>
    <n v="9958"/>
    <n v="1972"/>
    <s v="Graduation"/>
    <s v="Married"/>
    <n v="65685"/>
    <n v="0"/>
    <d v="1899-12-31T00:00:00"/>
    <d v="2014-03-29T00:00:00"/>
    <n v="54"/>
    <n v="14"/>
    <n v="7"/>
    <n v="7"/>
    <n v="9"/>
    <n v="54"/>
    <x v="0"/>
    <x v="13"/>
  </r>
  <r>
    <n v="1402"/>
    <n v="2534"/>
    <n v="1953"/>
    <s v="Graduation"/>
    <s v="Married"/>
    <n v="37716"/>
    <n v="0"/>
    <d v="1899-12-31T00:00:00"/>
    <d v="2014-04-21T00:00:00"/>
    <n v="4"/>
    <n v="1"/>
    <n v="2"/>
    <n v="2"/>
    <n v="3"/>
    <n v="73"/>
    <x v="0"/>
    <x v="7"/>
  </r>
  <r>
    <n v="1403"/>
    <n v="4188"/>
    <n v="1957"/>
    <s v="Graduation"/>
    <s v="Single"/>
    <n v="36864"/>
    <n v="0"/>
    <d v="1899-12-31T00:00:00"/>
    <d v="2012-08-13T00:00:00"/>
    <n v="53"/>
    <n v="5"/>
    <n v="0"/>
    <n v="0"/>
    <n v="4"/>
    <n v="69"/>
    <x v="0"/>
    <x v="9"/>
  </r>
  <r>
    <n v="1404"/>
    <n v="6613"/>
    <n v="1970"/>
    <s v="Master"/>
    <s v="Married"/>
    <n v="44511"/>
    <n v="1"/>
    <d v="1899-12-30T00:00:00"/>
    <d v="2012-10-12T00:00:00"/>
    <n v="39"/>
    <n v="7"/>
    <n v="14"/>
    <n v="14"/>
    <n v="8"/>
    <n v="56"/>
    <x v="0"/>
    <x v="62"/>
  </r>
  <r>
    <n v="1405"/>
    <n v="10827"/>
    <n v="1967"/>
    <s v="PhD"/>
    <s v="Married"/>
    <n v="36947"/>
    <n v="1"/>
    <d v="1899-12-31T00:00:00"/>
    <d v="2012-08-07T00:00:00"/>
    <n v="49"/>
    <n v="3"/>
    <n v="1"/>
    <n v="1"/>
    <n v="4"/>
    <n v="59"/>
    <x v="0"/>
    <x v="7"/>
  </r>
  <r>
    <n v="1406"/>
    <n v="5491"/>
    <n v="1951"/>
    <s v="Master"/>
    <s v="Together"/>
    <n v="47352"/>
    <n v="0"/>
    <d v="1899-12-31T00:00:00"/>
    <d v="2013-04-11T00:00:00"/>
    <n v="70"/>
    <n v="12"/>
    <n v="0"/>
    <n v="0"/>
    <n v="5"/>
    <n v="75"/>
    <x v="0"/>
    <x v="7"/>
  </r>
  <r>
    <n v="1407"/>
    <n v="8402"/>
    <n v="1953"/>
    <s v="Master"/>
    <s v="Married"/>
    <n v="67087"/>
    <n v="0"/>
    <d v="1899-12-31T00:00:00"/>
    <d v="2013-12-17T00:00:00"/>
    <n v="40"/>
    <n v="35"/>
    <n v="35"/>
    <n v="35"/>
    <n v="8"/>
    <n v="73"/>
    <x v="0"/>
    <x v="17"/>
  </r>
  <r>
    <n v="1408"/>
    <n v="8783"/>
    <n v="1950"/>
    <s v="Graduation"/>
    <s v="Married"/>
    <n v="57045"/>
    <n v="0"/>
    <d v="1899-12-31T00:00:00"/>
    <d v="2012-09-08T00:00:00"/>
    <n v="40"/>
    <n v="13"/>
    <n v="13"/>
    <n v="13"/>
    <n v="9"/>
    <n v="76"/>
    <x v="0"/>
    <x v="62"/>
  </r>
  <r>
    <n v="1409"/>
    <n v="10010"/>
    <n v="1953"/>
    <s v="PhD"/>
    <s v="Divorced"/>
    <n v="36957"/>
    <n v="1"/>
    <d v="1899-12-31T00:00:00"/>
    <d v="2012-09-06T00:00:00"/>
    <n v="43"/>
    <n v="2"/>
    <n v="1"/>
    <n v="1"/>
    <n v="2"/>
    <n v="73"/>
    <x v="0"/>
    <x v="1"/>
  </r>
  <r>
    <n v="1410"/>
    <n v="618"/>
    <n v="1977"/>
    <s v="PhD"/>
    <s v="Married"/>
    <n v="69389"/>
    <n v="0"/>
    <d v="1899-12-31T00:00:00"/>
    <d v="2012-09-28T00:00:00"/>
    <n v="17"/>
    <n v="7"/>
    <n v="46"/>
    <n v="46"/>
    <n v="12"/>
    <n v="49"/>
    <x v="1"/>
    <x v="94"/>
  </r>
  <r>
    <n v="1411"/>
    <n v="9121"/>
    <n v="1972"/>
    <s v="Graduation"/>
    <s v="Married"/>
    <n v="80134"/>
    <n v="1"/>
    <d v="1899-12-30T00:00:00"/>
    <d v="2013-05-20T00:00:00"/>
    <n v="40"/>
    <n v="16"/>
    <n v="0"/>
    <n v="0"/>
    <n v="6"/>
    <n v="54"/>
    <x v="0"/>
    <x v="29"/>
  </r>
  <r>
    <n v="1412"/>
    <n v="361"/>
    <n v="1969"/>
    <s v="Master"/>
    <s v="Married"/>
    <n v="43142"/>
    <n v="1"/>
    <d v="1899-12-31T00:00:00"/>
    <d v="2014-02-18T00:00:00"/>
    <n v="84"/>
    <n v="1"/>
    <n v="1"/>
    <n v="1"/>
    <n v="2"/>
    <n v="57"/>
    <x v="0"/>
    <x v="1"/>
  </r>
  <r>
    <n v="1413"/>
    <n v="4310"/>
    <n v="1944"/>
    <s v="Graduation"/>
    <s v="Married"/>
    <n v="80589"/>
    <n v="0"/>
    <d v="1899-12-30T00:00:00"/>
    <d v="2014-01-22T00:00:00"/>
    <n v="25"/>
    <n v="93"/>
    <n v="40"/>
    <n v="40"/>
    <n v="5"/>
    <n v="82"/>
    <x v="0"/>
    <x v="49"/>
  </r>
  <r>
    <n v="1414"/>
    <n v="2678"/>
    <n v="1990"/>
    <s v="Graduation"/>
    <s v="Single"/>
    <n v="34412"/>
    <n v="1"/>
    <d v="1899-12-30T00:00:00"/>
    <d v="2013-02-13T00:00:00"/>
    <n v="62"/>
    <n v="12"/>
    <n v="36"/>
    <n v="36"/>
    <n v="3"/>
    <n v="36"/>
    <x v="1"/>
    <x v="30"/>
  </r>
  <r>
    <n v="1415"/>
    <n v="6376"/>
    <n v="1979"/>
    <s v="Graduation"/>
    <s v="Single"/>
    <n v="57537"/>
    <n v="1"/>
    <d v="1899-12-30T00:00:00"/>
    <d v="2013-06-10T00:00:00"/>
    <n v="83"/>
    <n v="56"/>
    <n v="8"/>
    <n v="8"/>
    <n v="8"/>
    <n v="47"/>
    <x v="1"/>
    <x v="13"/>
  </r>
  <r>
    <n v="1416"/>
    <n v="524"/>
    <n v="1966"/>
    <s v="Basic"/>
    <s v="Together"/>
    <n v="22634"/>
    <n v="0"/>
    <d v="1899-12-30T00:00:00"/>
    <d v="2013-01-16T00:00:00"/>
    <n v="47"/>
    <n v="23"/>
    <n v="6"/>
    <n v="6"/>
    <n v="2"/>
    <n v="60"/>
    <x v="0"/>
    <x v="41"/>
  </r>
  <r>
    <n v="1417"/>
    <n v="10341"/>
    <n v="1948"/>
    <s v="Graduation"/>
    <s v="Together"/>
    <n v="51315"/>
    <n v="0"/>
    <d v="1899-12-30T00:00:00"/>
    <d v="2014-02-23T00:00:00"/>
    <n v="45"/>
    <n v="28"/>
    <n v="30"/>
    <n v="30"/>
    <n v="5"/>
    <n v="78"/>
    <x v="0"/>
    <x v="61"/>
  </r>
  <r>
    <n v="1418"/>
    <n v="5654"/>
    <n v="1972"/>
    <s v="Graduation"/>
    <s v="Married"/>
    <n v="36026"/>
    <n v="2"/>
    <d v="1899-12-31T00:00:00"/>
    <d v="2014-03-16T00:00:00"/>
    <n v="34"/>
    <n v="4"/>
    <n v="4"/>
    <n v="4"/>
    <n v="3"/>
    <n v="54"/>
    <x v="0"/>
    <x v="3"/>
  </r>
  <r>
    <n v="1419"/>
    <n v="4098"/>
    <n v="1973"/>
    <s v="Graduation"/>
    <s v="Married"/>
    <n v="24639"/>
    <n v="1"/>
    <d v="1899-12-31T00:00:00"/>
    <d v="2014-01-28T00:00:00"/>
    <n v="3"/>
    <n v="3"/>
    <n v="4"/>
    <n v="4"/>
    <n v="4"/>
    <n v="53"/>
    <x v="0"/>
    <x v="41"/>
  </r>
  <r>
    <n v="1420"/>
    <n v="5824"/>
    <n v="1972"/>
    <s v="PhD"/>
    <s v="Together"/>
    <n v="34578"/>
    <n v="2"/>
    <d v="1899-12-31T00:00:00"/>
    <d v="2014-04-11T00:00:00"/>
    <n v="1"/>
    <n v="0"/>
    <n v="0"/>
    <n v="0"/>
    <n v="2"/>
    <n v="54"/>
    <x v="0"/>
    <x v="42"/>
  </r>
  <r>
    <n v="1421"/>
    <n v="7000"/>
    <n v="1972"/>
    <s v="2n Cycle"/>
    <s v="Single"/>
    <n v="65704"/>
    <n v="0"/>
    <d v="1899-12-30T00:00:00"/>
    <d v="2013-10-13T00:00:00"/>
    <n v="18"/>
    <n v="172"/>
    <n v="8"/>
    <n v="8"/>
    <n v="10"/>
    <n v="54"/>
    <x v="0"/>
    <x v="14"/>
  </r>
  <r>
    <n v="1422"/>
    <n v="2561"/>
    <n v="1966"/>
    <s v="Graduation"/>
    <s v="Single"/>
    <n v="63810"/>
    <n v="0"/>
    <d v="1899-12-31T00:00:00"/>
    <d v="2012-11-11T00:00:00"/>
    <n v="45"/>
    <n v="12"/>
    <n v="12"/>
    <n v="12"/>
    <n v="12"/>
    <n v="60"/>
    <x v="0"/>
    <x v="38"/>
  </r>
  <r>
    <n v="1423"/>
    <n v="5229"/>
    <n v="1969"/>
    <s v="PhD"/>
    <s v="Together"/>
    <n v="54132"/>
    <n v="0"/>
    <d v="1899-12-31T00:00:00"/>
    <d v="2014-02-16T00:00:00"/>
    <n v="81"/>
    <n v="1"/>
    <n v="0"/>
    <n v="0"/>
    <n v="3"/>
    <n v="57"/>
    <x v="0"/>
    <x v="1"/>
  </r>
  <r>
    <n v="1424"/>
    <n v="4086"/>
    <n v="1959"/>
    <s v="Graduation"/>
    <s v="Married"/>
    <n v="18690"/>
    <n v="0"/>
    <d v="1899-12-30T00:00:00"/>
    <d v="2012-12-28T00:00:00"/>
    <n v="77"/>
    <n v="1"/>
    <n v="4"/>
    <n v="4"/>
    <n v="2"/>
    <n v="67"/>
    <x v="0"/>
    <x v="29"/>
  </r>
  <r>
    <n v="1425"/>
    <n v="2428"/>
    <n v="1970"/>
    <s v="Graduation"/>
    <s v="Married"/>
    <n v="28164"/>
    <n v="1"/>
    <d v="1899-12-30T00:00:00"/>
    <d v="2013-05-04T00:00:00"/>
    <n v="23"/>
    <n v="18"/>
    <n v="8"/>
    <n v="8"/>
    <n v="4"/>
    <n v="56"/>
    <x v="0"/>
    <x v="51"/>
  </r>
  <r>
    <n v="1426"/>
    <n v="8254"/>
    <n v="1974"/>
    <s v="PhD"/>
    <s v="Married"/>
    <n v="34596"/>
    <n v="1"/>
    <d v="1899-12-30T00:00:00"/>
    <d v="2013-04-13T00:00:00"/>
    <n v="48"/>
    <n v="0"/>
    <n v="0"/>
    <n v="0"/>
    <n v="2"/>
    <n v="52"/>
    <x v="0"/>
    <x v="42"/>
  </r>
  <r>
    <n v="1427"/>
    <n v="2836"/>
    <n v="1972"/>
    <s v="PhD"/>
    <s v="Married"/>
    <n v="43269"/>
    <n v="1"/>
    <d v="1899-12-30T00:00:00"/>
    <d v="2013-09-16T00:00:00"/>
    <n v="61"/>
    <n v="1"/>
    <n v="0"/>
    <n v="0"/>
    <n v="2"/>
    <n v="54"/>
    <x v="0"/>
    <x v="42"/>
  </r>
  <r>
    <n v="1428"/>
    <n v="8418"/>
    <n v="1958"/>
    <s v="2n Cycle"/>
    <s v="Single"/>
    <n v="38741"/>
    <n v="1"/>
    <d v="1899-12-31T00:00:00"/>
    <d v="2014-03-30T00:00:00"/>
    <n v="60"/>
    <n v="10"/>
    <n v="6"/>
    <n v="6"/>
    <n v="3"/>
    <n v="68"/>
    <x v="0"/>
    <x v="18"/>
  </r>
  <r>
    <n v="1429"/>
    <n v="1362"/>
    <n v="1972"/>
    <s v="Graduation"/>
    <s v="Single"/>
    <n v="31907"/>
    <n v="0"/>
    <d v="1899-12-30T00:00:00"/>
    <d v="2013-03-04T00:00:00"/>
    <n v="75"/>
    <n v="87"/>
    <n v="16"/>
    <n v="16"/>
    <n v="6"/>
    <n v="54"/>
    <x v="0"/>
    <x v="62"/>
  </r>
  <r>
    <n v="1430"/>
    <n v="7152"/>
    <n v="1983"/>
    <s v="Master"/>
    <s v="Married"/>
    <n v="27100"/>
    <n v="1"/>
    <d v="1899-12-30T00:00:00"/>
    <d v="2013-04-05T00:00:00"/>
    <n v="64"/>
    <n v="0"/>
    <n v="0"/>
    <n v="0"/>
    <n v="3"/>
    <n v="43"/>
    <x v="1"/>
    <x v="1"/>
  </r>
  <r>
    <n v="1431"/>
    <n v="10033"/>
    <n v="1973"/>
    <s v="2n Cycle"/>
    <s v="Divorced"/>
    <n v="31163"/>
    <n v="1"/>
    <d v="1899-12-30T00:00:00"/>
    <d v="2014-02-13T00:00:00"/>
    <n v="54"/>
    <n v="3"/>
    <n v="2"/>
    <n v="2"/>
    <n v="3"/>
    <n v="53"/>
    <x v="0"/>
    <x v="7"/>
  </r>
  <r>
    <n v="1432"/>
    <n v="9349"/>
    <n v="1985"/>
    <s v="Graduation"/>
    <s v="Married"/>
    <n v="92533"/>
    <n v="0"/>
    <d v="1899-12-30T00:00:00"/>
    <d v="2013-12-19T00:00:00"/>
    <n v="84"/>
    <n v="21"/>
    <n v="147"/>
    <n v="147"/>
    <n v="11"/>
    <n v="41"/>
    <x v="1"/>
    <x v="160"/>
  </r>
  <r>
    <n v="1433"/>
    <n v="274"/>
    <n v="1973"/>
    <s v="Graduation"/>
    <s v="Single"/>
    <n v="34853"/>
    <n v="1"/>
    <d v="1899-12-31T00:00:00"/>
    <d v="2013-12-23T00:00:00"/>
    <n v="75"/>
    <n v="3"/>
    <n v="3"/>
    <n v="3"/>
    <n v="3"/>
    <n v="53"/>
    <x v="0"/>
    <x v="29"/>
  </r>
  <r>
    <n v="1434"/>
    <n v="3388"/>
    <n v="1967"/>
    <s v="Graduation"/>
    <s v="Divorced"/>
    <n v="70844"/>
    <n v="1"/>
    <d v="1899-12-31T00:00:00"/>
    <d v="2013-10-30T00:00:00"/>
    <n v="16"/>
    <n v="26"/>
    <n v="67"/>
    <n v="67"/>
    <n v="5"/>
    <n v="59"/>
    <x v="0"/>
    <x v="136"/>
  </r>
  <r>
    <n v="1435"/>
    <n v="922"/>
    <n v="1979"/>
    <s v="2n Cycle"/>
    <s v="Married"/>
    <n v="31086"/>
    <n v="1"/>
    <d v="1899-12-31T00:00:00"/>
    <d v="2013-05-04T00:00:00"/>
    <n v="79"/>
    <n v="2"/>
    <n v="0"/>
    <n v="0"/>
    <n v="2"/>
    <n v="47"/>
    <x v="1"/>
    <x v="42"/>
  </r>
  <r>
    <n v="1436"/>
    <n v="8588"/>
    <n v="1961"/>
    <s v="Graduation"/>
    <s v="Married"/>
    <n v="60544"/>
    <n v="1"/>
    <d v="1899-12-31T00:00:00"/>
    <d v="2012-08-25T00:00:00"/>
    <n v="92"/>
    <n v="2"/>
    <n v="5"/>
    <n v="5"/>
    <n v="5"/>
    <n v="65"/>
    <x v="0"/>
    <x v="11"/>
  </r>
  <r>
    <n v="1437"/>
    <n v="2518"/>
    <n v="1986"/>
    <s v="2n Cycle"/>
    <s v="Together"/>
    <n v="20491"/>
    <n v="0"/>
    <d v="1899-12-30T00:00:00"/>
    <d v="2013-01-25T00:00:00"/>
    <n v="16"/>
    <n v="4"/>
    <n v="2"/>
    <n v="2"/>
    <n v="2"/>
    <n v="40"/>
    <x v="1"/>
    <x v="9"/>
  </r>
  <r>
    <n v="1438"/>
    <n v="574"/>
    <n v="1964"/>
    <s v="Graduation"/>
    <s v="Married"/>
    <n v="42523"/>
    <n v="0"/>
    <d v="1899-12-30T00:00:00"/>
    <d v="2014-04-23T00:00:00"/>
    <n v="96"/>
    <n v="36"/>
    <n v="26"/>
    <n v="26"/>
    <n v="4"/>
    <n v="62"/>
    <x v="0"/>
    <x v="39"/>
  </r>
  <r>
    <n v="1439"/>
    <n v="3220"/>
    <n v="1983"/>
    <s v="Graduation"/>
    <s v="Married"/>
    <n v="39922"/>
    <n v="1"/>
    <d v="1899-12-30T00:00:00"/>
    <d v="2013-02-14T00:00:00"/>
    <n v="30"/>
    <n v="12"/>
    <n v="1"/>
    <n v="1"/>
    <n v="4"/>
    <n v="43"/>
    <x v="1"/>
    <x v="7"/>
  </r>
  <r>
    <n v="1440"/>
    <n v="5967"/>
    <n v="1952"/>
    <s v="Graduation"/>
    <s v="Together"/>
    <n v="33402"/>
    <n v="1"/>
    <d v="1899-12-31T00:00:00"/>
    <d v="2013-07-18T00:00:00"/>
    <n v="60"/>
    <n v="2"/>
    <n v="5"/>
    <n v="5"/>
    <n v="3"/>
    <n v="74"/>
    <x v="0"/>
    <x v="41"/>
  </r>
  <r>
    <n v="1441"/>
    <n v="1183"/>
    <n v="1949"/>
    <s v="Master"/>
    <s v="Married"/>
    <n v="36408"/>
    <n v="1"/>
    <d v="1899-12-31T00:00:00"/>
    <d v="2013-09-21T00:00:00"/>
    <n v="11"/>
    <n v="1"/>
    <n v="2"/>
    <n v="2"/>
    <n v="2"/>
    <n v="77"/>
    <x v="0"/>
    <x v="9"/>
  </r>
  <r>
    <n v="1442"/>
    <n v="6856"/>
    <n v="1979"/>
    <s v="Graduation"/>
    <s v="Together"/>
    <n v="21645"/>
    <n v="1"/>
    <d v="1899-12-30T00:00:00"/>
    <d v="2012-09-03T00:00:00"/>
    <n v="75"/>
    <n v="0"/>
    <n v="5"/>
    <n v="5"/>
    <n v="3"/>
    <n v="47"/>
    <x v="1"/>
    <x v="41"/>
  </r>
  <r>
    <n v="1443"/>
    <n v="4530"/>
    <n v="1948"/>
    <s v="Master"/>
    <s v="Widow"/>
    <n v="78427"/>
    <n v="0"/>
    <d v="1899-12-30T00:00:00"/>
    <d v="2012-10-24T00:00:00"/>
    <n v="36"/>
    <n v="19"/>
    <n v="26"/>
    <n v="26"/>
    <n v="10"/>
    <n v="78"/>
    <x v="0"/>
    <x v="50"/>
  </r>
  <r>
    <n v="1444"/>
    <n v="1553"/>
    <n v="1946"/>
    <s v="Graduation"/>
    <s v="Together"/>
    <n v="82657"/>
    <n v="0"/>
    <d v="1899-12-30T00:00:00"/>
    <d v="2013-09-27T00:00:00"/>
    <n v="71"/>
    <n v="168"/>
    <n v="105"/>
    <n v="105"/>
    <n v="10"/>
    <n v="80"/>
    <x v="0"/>
    <x v="99"/>
  </r>
  <r>
    <n v="1445"/>
    <n v="4682"/>
    <n v="1958"/>
    <s v="Graduation"/>
    <s v="Married"/>
    <n v="51876"/>
    <n v="0"/>
    <d v="1899-12-30T00:00:00"/>
    <d v="2013-10-15T00:00:00"/>
    <n v="88"/>
    <n v="27"/>
    <n v="48"/>
    <n v="48"/>
    <n v="8"/>
    <n v="68"/>
    <x v="0"/>
    <x v="6"/>
  </r>
  <r>
    <n v="1446"/>
    <n v="8204"/>
    <n v="1971"/>
    <s v="2n Cycle"/>
    <s v="Married"/>
    <n v="78041"/>
    <n v="0"/>
    <d v="1899-12-30T00:00:00"/>
    <d v="2012-12-16T00:00:00"/>
    <n v="93"/>
    <n v="35"/>
    <n v="160"/>
    <n v="160"/>
    <n v="9"/>
    <n v="55"/>
    <x v="0"/>
    <x v="168"/>
  </r>
  <r>
    <n v="1447"/>
    <n v="5221"/>
    <n v="1957"/>
    <s v="Graduation"/>
    <s v="Married"/>
    <n v="52852"/>
    <n v="0"/>
    <d v="1899-12-31T00:00:00"/>
    <d v="2012-12-01T00:00:00"/>
    <n v="93"/>
    <n v="8"/>
    <n v="0"/>
    <n v="0"/>
    <n v="5"/>
    <n v="69"/>
    <x v="0"/>
    <x v="7"/>
  </r>
  <r>
    <n v="1448"/>
    <n v="1232"/>
    <n v="1982"/>
    <s v="PhD"/>
    <s v="Together"/>
    <n v="70038"/>
    <n v="0"/>
    <d v="1899-12-30T00:00:00"/>
    <d v="2013-10-25T00:00:00"/>
    <n v="54"/>
    <n v="54"/>
    <n v="54"/>
    <n v="54"/>
    <n v="8"/>
    <n v="44"/>
    <x v="1"/>
    <x v="128"/>
  </r>
  <r>
    <n v="1449"/>
    <n v="1927"/>
    <n v="1973"/>
    <s v="2n Cycle"/>
    <s v="Together"/>
    <n v="69401"/>
    <n v="0"/>
    <d v="1899-12-31T00:00:00"/>
    <d v="2014-03-23T00:00:00"/>
    <n v="41"/>
    <n v="27"/>
    <n v="8"/>
    <n v="8"/>
    <n v="5"/>
    <n v="53"/>
    <x v="0"/>
    <x v="104"/>
  </r>
  <r>
    <n v="1450"/>
    <n v="5788"/>
    <n v="1972"/>
    <s v="Graduation"/>
    <s v="Together"/>
    <n v="46053"/>
    <n v="1"/>
    <d v="1899-12-30T00:00:00"/>
    <d v="2013-02-17T00:00:00"/>
    <n v="46"/>
    <n v="10"/>
    <n v="7"/>
    <n v="7"/>
    <n v="4"/>
    <n v="54"/>
    <x v="0"/>
    <x v="20"/>
  </r>
  <r>
    <n v="1451"/>
    <n v="6652"/>
    <n v="1965"/>
    <s v="Graduation"/>
    <s v="Married"/>
    <n v="77343"/>
    <n v="0"/>
    <d v="1899-12-30T00:00:00"/>
    <d v="2014-06-09T00:00:00"/>
    <n v="28"/>
    <n v="151"/>
    <n v="54"/>
    <n v="54"/>
    <n v="9"/>
    <n v="61"/>
    <x v="0"/>
    <x v="102"/>
  </r>
  <r>
    <n v="1452"/>
    <n v="6246"/>
    <n v="1953"/>
    <s v="Graduation"/>
    <s v="Single"/>
    <n v="73892"/>
    <n v="0"/>
    <d v="1899-12-30T00:00:00"/>
    <d v="2013-11-13T00:00:00"/>
    <n v="40"/>
    <n v="102"/>
    <n v="58"/>
    <n v="58"/>
    <n v="8"/>
    <n v="73"/>
    <x v="0"/>
    <x v="43"/>
  </r>
  <r>
    <n v="1453"/>
    <n v="5975"/>
    <n v="1967"/>
    <s v="PhD"/>
    <s v="Single"/>
    <n v="40304"/>
    <n v="1"/>
    <d v="1899-12-30T00:00:00"/>
    <d v="2013-09-30T00:00:00"/>
    <n v="82"/>
    <n v="0"/>
    <n v="0"/>
    <n v="0"/>
    <n v="3"/>
    <n v="59"/>
    <x v="0"/>
    <x v="1"/>
  </r>
  <r>
    <n v="1454"/>
    <n v="6875"/>
    <n v="1965"/>
    <s v="PhD"/>
    <s v="Together"/>
    <n v="32727"/>
    <n v="0"/>
    <d v="1899-12-30T00:00:00"/>
    <d v="2012-08-28T00:00:00"/>
    <n v="38"/>
    <n v="13"/>
    <n v="13"/>
    <n v="13"/>
    <n v="5"/>
    <n v="61"/>
    <x v="0"/>
    <x v="14"/>
  </r>
  <r>
    <n v="1455"/>
    <n v="4399"/>
    <n v="1969"/>
    <s v="Graduation"/>
    <s v="Together"/>
    <n v="68695"/>
    <n v="0"/>
    <d v="1899-12-30T00:00:00"/>
    <d v="2014-06-25T00:00:00"/>
    <n v="3"/>
    <n v="81"/>
    <n v="50"/>
    <n v="50"/>
    <n v="7"/>
    <n v="57"/>
    <x v="0"/>
    <x v="64"/>
  </r>
  <r>
    <n v="1456"/>
    <n v="4042"/>
    <n v="1971"/>
    <s v="Graduation"/>
    <s v="Divorced"/>
    <n v="43300"/>
    <n v="0"/>
    <d v="1899-12-31T00:00:00"/>
    <d v="2012-10-13T00:00:00"/>
    <n v="87"/>
    <n v="3"/>
    <n v="1"/>
    <n v="1"/>
    <n v="4"/>
    <n v="55"/>
    <x v="0"/>
    <x v="7"/>
  </r>
  <r>
    <n v="1457"/>
    <n v="2157"/>
    <n v="1972"/>
    <s v="Graduation"/>
    <s v="Together"/>
    <n v="26290"/>
    <n v="1"/>
    <d v="1899-12-31T00:00:00"/>
    <d v="2013-01-12T00:00:00"/>
    <n v="49"/>
    <n v="8"/>
    <n v="5"/>
    <n v="5"/>
    <n v="4"/>
    <n v="54"/>
    <x v="0"/>
    <x v="18"/>
  </r>
  <r>
    <n v="1458"/>
    <n v="10133"/>
    <n v="1970"/>
    <s v="Graduation"/>
    <s v="Single"/>
    <n v="93790"/>
    <n v="0"/>
    <d v="1899-12-30T00:00:00"/>
    <d v="2014-02-12T00:00:00"/>
    <n v="16"/>
    <n v="68"/>
    <n v="114"/>
    <n v="114"/>
    <n v="12"/>
    <n v="56"/>
    <x v="0"/>
    <x v="40"/>
  </r>
  <r>
    <n v="1459"/>
    <n v="2525"/>
    <n v="1974"/>
    <s v="PhD"/>
    <s v="Married"/>
    <n v="38410"/>
    <n v="0"/>
    <d v="1899-12-30T00:00:00"/>
    <d v="2012-09-14T00:00:00"/>
    <n v="65"/>
    <n v="64"/>
    <n v="64"/>
    <n v="64"/>
    <n v="9"/>
    <n v="52"/>
    <x v="0"/>
    <x v="65"/>
  </r>
  <r>
    <n v="1460"/>
    <n v="8233"/>
    <n v="1950"/>
    <s v="Master"/>
    <s v="Widow"/>
    <n v="64866"/>
    <n v="0"/>
    <d v="1899-12-31T00:00:00"/>
    <d v="2014-01-26T00:00:00"/>
    <n v="9"/>
    <n v="5"/>
    <n v="5"/>
    <n v="5"/>
    <n v="7"/>
    <n v="76"/>
    <x v="0"/>
    <x v="51"/>
  </r>
  <r>
    <n v="1461"/>
    <n v="9483"/>
    <n v="1959"/>
    <s v="Graduation"/>
    <s v="Together"/>
    <n v="57957"/>
    <n v="0"/>
    <d v="1899-12-31T00:00:00"/>
    <d v="2013-08-19T00:00:00"/>
    <n v="24"/>
    <n v="59"/>
    <n v="5"/>
    <n v="5"/>
    <n v="8"/>
    <n v="67"/>
    <x v="0"/>
    <x v="104"/>
  </r>
  <r>
    <n v="1462"/>
    <n v="2945"/>
    <n v="1955"/>
    <s v="PhD"/>
    <s v="Together"/>
    <n v="46015"/>
    <n v="1"/>
    <d v="1899-12-31T00:00:00"/>
    <d v="2014-04-13T00:00:00"/>
    <n v="25"/>
    <n v="0"/>
    <n v="0"/>
    <n v="0"/>
    <n v="3"/>
    <n v="71"/>
    <x v="0"/>
    <x v="1"/>
  </r>
  <r>
    <n v="1463"/>
    <n v="10403"/>
    <n v="1978"/>
    <s v="Graduation"/>
    <s v="Together"/>
    <n v="16531"/>
    <n v="1"/>
    <d v="1899-12-30T00:00:00"/>
    <d v="2014-06-18T00:00:00"/>
    <n v="43"/>
    <n v="13"/>
    <n v="5"/>
    <n v="5"/>
    <n v="3"/>
    <n v="48"/>
    <x v="1"/>
    <x v="41"/>
  </r>
  <r>
    <n v="1464"/>
    <n v="5074"/>
    <n v="1986"/>
    <s v="Master"/>
    <s v="Married"/>
    <n v="28072"/>
    <n v="1"/>
    <d v="1899-12-30T00:00:00"/>
    <d v="2013-07-08T00:00:00"/>
    <n v="10"/>
    <n v="0"/>
    <n v="0"/>
    <n v="0"/>
    <n v="3"/>
    <n v="40"/>
    <x v="1"/>
    <x v="1"/>
  </r>
  <r>
    <n v="1465"/>
    <n v="10524"/>
    <n v="1963"/>
    <s v="Master"/>
    <s v="Divorced"/>
    <n v="49476"/>
    <n v="0"/>
    <d v="1899-12-31T00:00:00"/>
    <d v="2013-06-20T00:00:00"/>
    <n v="29"/>
    <n v="23"/>
    <n v="41"/>
    <n v="41"/>
    <n v="5"/>
    <n v="63"/>
    <x v="0"/>
    <x v="54"/>
  </r>
  <r>
    <n v="1466"/>
    <n v="4690"/>
    <n v="1953"/>
    <s v="Graduation"/>
    <s v="Married"/>
    <n v="50725"/>
    <n v="0"/>
    <d v="1899-12-31T00:00:00"/>
    <d v="2013-02-13T00:00:00"/>
    <n v="45"/>
    <n v="10"/>
    <n v="10"/>
    <n v="10"/>
    <n v="8"/>
    <n v="73"/>
    <x v="0"/>
    <x v="14"/>
  </r>
  <r>
    <n v="1467"/>
    <n v="7521"/>
    <n v="1952"/>
    <s v="Graduation"/>
    <s v="Together"/>
    <n v="83844"/>
    <n v="0"/>
    <d v="1899-12-30T00:00:00"/>
    <d v="2013-05-12T00:00:00"/>
    <n v="57"/>
    <n v="31"/>
    <n v="31"/>
    <n v="31"/>
    <n v="11"/>
    <n v="74"/>
    <x v="0"/>
    <x v="66"/>
  </r>
  <r>
    <n v="1468"/>
    <n v="7196"/>
    <n v="1950"/>
    <s v="PhD"/>
    <s v="Married"/>
    <n v="41145"/>
    <n v="1"/>
    <d v="1899-12-31T00:00:00"/>
    <d v="2014-02-08T00:00:00"/>
    <n v="20"/>
    <n v="0"/>
    <n v="0"/>
    <n v="0"/>
    <n v="3"/>
    <n v="76"/>
    <x v="0"/>
    <x v="1"/>
  </r>
  <r>
    <n v="1469"/>
    <n v="4406"/>
    <n v="1970"/>
    <s v="Graduation"/>
    <s v="Together"/>
    <n v="67419"/>
    <n v="0"/>
    <d v="1899-12-31T00:00:00"/>
    <d v="2013-01-16T00:00:00"/>
    <n v="29"/>
    <n v="84"/>
    <n v="56"/>
    <n v="56"/>
    <n v="8"/>
    <n v="56"/>
    <x v="0"/>
    <x v="122"/>
  </r>
  <r>
    <n v="1470"/>
    <n v="9672"/>
    <n v="1970"/>
    <s v="2n Cycle"/>
    <s v="Married"/>
    <n v="23162"/>
    <n v="1"/>
    <d v="1899-12-31T00:00:00"/>
    <d v="2013-12-21T00:00:00"/>
    <n v="82"/>
    <n v="3"/>
    <n v="4"/>
    <n v="4"/>
    <n v="3"/>
    <n v="56"/>
    <x v="0"/>
    <x v="3"/>
  </r>
  <r>
    <n v="1471"/>
    <n v="4864"/>
    <n v="1977"/>
    <s v="Graduation"/>
    <s v="Married"/>
    <n v="34380"/>
    <n v="1"/>
    <d v="1899-12-30T00:00:00"/>
    <d v="2013-05-02T00:00:00"/>
    <n v="68"/>
    <n v="7"/>
    <n v="1"/>
    <n v="1"/>
    <n v="3"/>
    <n v="49"/>
    <x v="1"/>
    <x v="9"/>
  </r>
  <r>
    <n v="1472"/>
    <n v="4706"/>
    <n v="1966"/>
    <s v="Graduation"/>
    <s v="Single"/>
    <n v="34704"/>
    <n v="0"/>
    <d v="1899-12-31T00:00:00"/>
    <d v="2013-04-27T00:00:00"/>
    <n v="65"/>
    <n v="0"/>
    <n v="1"/>
    <n v="1"/>
    <n v="3"/>
    <n v="60"/>
    <x v="0"/>
    <x v="9"/>
  </r>
  <r>
    <n v="1473"/>
    <n v="4070"/>
    <n v="1969"/>
    <s v="PhD"/>
    <s v="Married"/>
    <n v="94871"/>
    <n v="0"/>
    <d v="1900-01-01T00:00:00"/>
    <d v="2012-09-01T00:00:00"/>
    <n v="99"/>
    <n v="24"/>
    <n v="0"/>
    <n v="0"/>
    <n v="4"/>
    <n v="57"/>
    <x v="0"/>
    <x v="9"/>
  </r>
  <r>
    <n v="1474"/>
    <n v="25"/>
    <n v="1958"/>
    <s v="Graduation"/>
    <s v="Married"/>
    <n v="65148"/>
    <n v="0"/>
    <d v="1899-12-31T00:00:00"/>
    <d v="2012-11-16T00:00:00"/>
    <n v="9"/>
    <n v="35"/>
    <n v="12"/>
    <n v="12"/>
    <n v="7"/>
    <n v="68"/>
    <x v="0"/>
    <x v="44"/>
  </r>
  <r>
    <n v="1475"/>
    <n v="3697"/>
    <n v="1954"/>
    <s v="Graduation"/>
    <s v="Together"/>
    <n v="39898"/>
    <n v="0"/>
    <d v="1899-12-31T00:00:00"/>
    <d v="2013-02-12T00:00:00"/>
    <n v="20"/>
    <n v="8"/>
    <n v="7"/>
    <n v="7"/>
    <n v="4"/>
    <n v="72"/>
    <x v="0"/>
    <x v="20"/>
  </r>
  <r>
    <n v="1476"/>
    <n v="217"/>
    <n v="1956"/>
    <s v="Master"/>
    <s v="Single"/>
    <n v="64857"/>
    <n v="0"/>
    <d v="1899-12-30T00:00:00"/>
    <d v="2012-11-23T00:00:00"/>
    <n v="78"/>
    <n v="14"/>
    <n v="0"/>
    <n v="0"/>
    <n v="10"/>
    <n v="70"/>
    <x v="0"/>
    <x v="11"/>
  </r>
  <r>
    <n v="1477"/>
    <n v="4220"/>
    <n v="1970"/>
    <s v="PhD"/>
    <s v="Married"/>
    <n v="59892"/>
    <n v="0"/>
    <d v="1899-12-31T00:00:00"/>
    <d v="2013-11-02T00:00:00"/>
    <n v="26"/>
    <n v="0"/>
    <n v="1"/>
    <n v="1"/>
    <n v="3"/>
    <n v="56"/>
    <x v="0"/>
    <x v="9"/>
  </r>
  <r>
    <n v="1478"/>
    <n v="5286"/>
    <n v="1987"/>
    <s v="Master"/>
    <s v="Single"/>
    <n v="41020"/>
    <n v="0"/>
    <d v="1899-12-30T00:00:00"/>
    <d v="2013-10-28T00:00:00"/>
    <n v="68"/>
    <n v="1"/>
    <n v="7"/>
    <n v="7"/>
    <n v="4"/>
    <n v="39"/>
    <x v="1"/>
    <x v="20"/>
  </r>
  <r>
    <n v="1479"/>
    <n v="9559"/>
    <n v="1961"/>
    <s v="PhD"/>
    <s v="Married"/>
    <n v="57072"/>
    <n v="0"/>
    <d v="1899-12-31T00:00:00"/>
    <d v="2014-01-24T00:00:00"/>
    <n v="79"/>
    <n v="0"/>
    <n v="0"/>
    <n v="0"/>
    <n v="13"/>
    <n v="65"/>
    <x v="0"/>
    <x v="104"/>
  </r>
  <r>
    <n v="1480"/>
    <n v="2849"/>
    <n v="1979"/>
    <s v="Graduation"/>
    <s v="Single"/>
    <n v="60474"/>
    <n v="0"/>
    <d v="1899-12-31T00:00:00"/>
    <d v="2013-04-01T00:00:00"/>
    <n v="25"/>
    <n v="199"/>
    <n v="9"/>
    <n v="9"/>
    <n v="12"/>
    <n v="47"/>
    <x v="1"/>
    <x v="81"/>
  </r>
  <r>
    <n v="1481"/>
    <n v="7787"/>
    <n v="1960"/>
    <s v="Graduation"/>
    <s v="Together"/>
    <n v="62807"/>
    <n v="0"/>
    <d v="1899-12-31T00:00:00"/>
    <d v="2012-08-31T00:00:00"/>
    <n v="83"/>
    <n v="28"/>
    <n v="21"/>
    <n v="21"/>
    <n v="12"/>
    <n v="66"/>
    <x v="0"/>
    <x v="4"/>
  </r>
  <r>
    <n v="1482"/>
    <n v="3102"/>
    <n v="1981"/>
    <s v="2n Cycle"/>
    <s v="Together"/>
    <n v="19414"/>
    <n v="1"/>
    <d v="1899-12-30T00:00:00"/>
    <d v="2013-10-16T00:00:00"/>
    <n v="32"/>
    <n v="3"/>
    <n v="5"/>
    <n v="5"/>
    <n v="3"/>
    <n v="45"/>
    <x v="1"/>
    <x v="41"/>
  </r>
  <r>
    <n v="1483"/>
    <n v="5868"/>
    <n v="1980"/>
    <s v="Graduation"/>
    <s v="Married"/>
    <n v="19107"/>
    <n v="1"/>
    <d v="1899-12-30T00:00:00"/>
    <d v="2013-08-22T00:00:00"/>
    <n v="49"/>
    <n v="4"/>
    <n v="5"/>
    <n v="5"/>
    <n v="3"/>
    <n v="46"/>
    <x v="1"/>
    <x v="41"/>
  </r>
  <r>
    <n v="1484"/>
    <n v="8370"/>
    <n v="1976"/>
    <s v="2n Cycle"/>
    <s v="Together"/>
    <n v="75484"/>
    <n v="0"/>
    <d v="1899-12-31T00:00:00"/>
    <d v="2012-08-02T00:00:00"/>
    <n v="50"/>
    <n v="97"/>
    <n v="194"/>
    <n v="194"/>
    <n v="6"/>
    <n v="50"/>
    <x v="1"/>
    <x v="162"/>
  </r>
  <r>
    <n v="1485"/>
    <n v="9988"/>
    <n v="1976"/>
    <s v="Master"/>
    <s v="Single"/>
    <n v="70379"/>
    <n v="0"/>
    <d v="1899-12-31T00:00:00"/>
    <d v="2013-03-03T00:00:00"/>
    <n v="84"/>
    <n v="25"/>
    <n v="67"/>
    <n v="67"/>
    <n v="13"/>
    <n v="50"/>
    <x v="1"/>
    <x v="12"/>
  </r>
  <r>
    <n v="1486"/>
    <n v="2939"/>
    <n v="1970"/>
    <s v="Master"/>
    <s v="Together"/>
    <n v="79419"/>
    <n v="0"/>
    <d v="1899-12-30T00:00:00"/>
    <d v="2014-06-22T00:00:00"/>
    <n v="96"/>
    <n v="127"/>
    <n v="15"/>
    <n v="15"/>
    <n v="4"/>
    <n v="56"/>
    <x v="0"/>
    <x v="44"/>
  </r>
  <r>
    <n v="1487"/>
    <n v="5529"/>
    <n v="1946"/>
    <s v="PhD"/>
    <s v="Together"/>
    <n v="64014"/>
    <n v="2"/>
    <d v="1899-12-31T00:00:00"/>
    <d v="2014-06-10T00:00:00"/>
    <n v="56"/>
    <n v="0"/>
    <n v="0"/>
    <n v="0"/>
    <n v="5"/>
    <n v="80"/>
    <x v="0"/>
    <x v="7"/>
  </r>
  <r>
    <n v="1488"/>
    <n v="9743"/>
    <n v="1955"/>
    <s v="Graduation"/>
    <s v="Married"/>
    <n v="76998"/>
    <n v="0"/>
    <d v="1899-12-31T00:00:00"/>
    <d v="2013-01-11T00:00:00"/>
    <n v="85"/>
    <n v="89"/>
    <n v="35"/>
    <n v="35"/>
    <n v="8"/>
    <n v="71"/>
    <x v="0"/>
    <x v="17"/>
  </r>
  <r>
    <n v="1489"/>
    <n v="5763"/>
    <n v="1972"/>
    <s v="Master"/>
    <s v="Together"/>
    <n v="49854"/>
    <n v="1"/>
    <d v="1899-12-30T00:00:00"/>
    <d v="2013-11-10T00:00:00"/>
    <n v="63"/>
    <n v="17"/>
    <n v="0"/>
    <n v="0"/>
    <n v="5"/>
    <n v="54"/>
    <x v="0"/>
    <x v="7"/>
  </r>
  <r>
    <n v="1490"/>
    <n v="3478"/>
    <n v="1971"/>
    <s v="PhD"/>
    <s v="Married"/>
    <n v="60585"/>
    <n v="1"/>
    <d v="1899-12-31T00:00:00"/>
    <d v="2013-06-24T00:00:00"/>
    <n v="17"/>
    <n v="42"/>
    <n v="42"/>
    <n v="42"/>
    <n v="9"/>
    <n v="55"/>
    <x v="0"/>
    <x v="106"/>
  </r>
  <r>
    <n v="1491"/>
    <n v="7494"/>
    <n v="1950"/>
    <s v="PhD"/>
    <s v="Divorced"/>
    <n v="42873"/>
    <n v="1"/>
    <d v="1899-12-31T00:00:00"/>
    <d v="2013-01-21T00:00:00"/>
    <n v="11"/>
    <n v="0"/>
    <n v="2"/>
    <n v="2"/>
    <n v="4"/>
    <n v="76"/>
    <x v="0"/>
    <x v="29"/>
  </r>
  <r>
    <n v="1492"/>
    <n v="1763"/>
    <n v="1988"/>
    <s v="Graduation"/>
    <s v="Together"/>
    <n v="87679"/>
    <n v="0"/>
    <d v="1899-12-30T00:00:00"/>
    <d v="2013-07-27T00:00:00"/>
    <n v="62"/>
    <n v="172"/>
    <n v="148"/>
    <n v="148"/>
    <n v="10"/>
    <n v="38"/>
    <x v="1"/>
    <x v="160"/>
  </r>
  <r>
    <n v="1493"/>
    <n v="7250"/>
    <n v="1978"/>
    <s v="Graduation"/>
    <s v="Together"/>
    <n v="57867"/>
    <n v="1"/>
    <d v="1899-12-30T00:00:00"/>
    <d v="2013-10-01T00:00:00"/>
    <n v="48"/>
    <n v="35"/>
    <n v="23"/>
    <n v="23"/>
    <n v="9"/>
    <n v="48"/>
    <x v="1"/>
    <x v="74"/>
  </r>
  <r>
    <n v="1494"/>
    <n v="2005"/>
    <n v="1990"/>
    <s v="Graduation"/>
    <s v="Married"/>
    <n v="35765"/>
    <n v="1"/>
    <d v="1899-12-30T00:00:00"/>
    <d v="2013-12-11T00:00:00"/>
    <n v="86"/>
    <n v="3"/>
    <n v="5"/>
    <n v="5"/>
    <n v="4"/>
    <n v="36"/>
    <x v="1"/>
    <x v="18"/>
  </r>
  <r>
    <n v="1495"/>
    <n v="10770"/>
    <n v="1959"/>
    <s v="Graduation"/>
    <s v="Married"/>
    <n v="65492"/>
    <n v="0"/>
    <d v="1899-12-30T00:00:00"/>
    <d v="2014-01-26T00:00:00"/>
    <n v="73"/>
    <n v="161"/>
    <n v="85"/>
    <n v="85"/>
    <n v="13"/>
    <n v="67"/>
    <x v="0"/>
    <x v="169"/>
  </r>
  <r>
    <n v="1496"/>
    <n v="6885"/>
    <n v="1977"/>
    <s v="Graduation"/>
    <s v="Divorced"/>
    <n v="32952"/>
    <n v="1"/>
    <d v="1899-12-30T00:00:00"/>
    <d v="2013-12-01T00:00:00"/>
    <n v="36"/>
    <n v="0"/>
    <n v="1"/>
    <n v="1"/>
    <n v="3"/>
    <n v="49"/>
    <x v="1"/>
    <x v="9"/>
  </r>
  <r>
    <n v="1497"/>
    <n v="2072"/>
    <n v="1969"/>
    <s v="PhD"/>
    <s v="Together"/>
    <n v="53374"/>
    <n v="0"/>
    <d v="1899-12-31T00:00:00"/>
    <d v="2012-08-16T00:00:00"/>
    <n v="34"/>
    <n v="10"/>
    <n v="10"/>
    <n v="10"/>
    <n v="9"/>
    <n v="57"/>
    <x v="0"/>
    <x v="44"/>
  </r>
  <r>
    <n v="1498"/>
    <n v="9463"/>
    <n v="1959"/>
    <s v="Graduation"/>
    <s v="Together"/>
    <n v="71706"/>
    <n v="0"/>
    <d v="1899-12-31T00:00:00"/>
    <d v="2012-11-13T00:00:00"/>
    <n v="16"/>
    <n v="56"/>
    <n v="98"/>
    <n v="98"/>
    <n v="7"/>
    <n v="67"/>
    <x v="0"/>
    <x v="148"/>
  </r>
  <r>
    <n v="1499"/>
    <n v="6318"/>
    <n v="1988"/>
    <s v="Graduation"/>
    <s v="Married"/>
    <n v="68487"/>
    <n v="0"/>
    <d v="1899-12-30T00:00:00"/>
    <d v="2013-01-13T00:00:00"/>
    <n v="48"/>
    <n v="12"/>
    <n v="89"/>
    <n v="89"/>
    <n v="13"/>
    <n v="38"/>
    <x v="1"/>
    <x v="87"/>
  </r>
  <r>
    <n v="1500"/>
    <n v="4093"/>
    <n v="1975"/>
    <s v="Master"/>
    <s v="Together"/>
    <n v="53253"/>
    <n v="1"/>
    <d v="1899-12-31T00:00:00"/>
    <d v="2013-02-11T00:00:00"/>
    <n v="61"/>
    <n v="9"/>
    <n v="9"/>
    <n v="9"/>
    <n v="5"/>
    <n v="51"/>
    <x v="0"/>
    <x v="31"/>
  </r>
  <r>
    <n v="1501"/>
    <n v="5751"/>
    <n v="1973"/>
    <s v="2n Cycle"/>
    <s v="Divorced"/>
    <n v="31163"/>
    <n v="1"/>
    <d v="1899-12-30T00:00:00"/>
    <d v="2014-02-13T00:00:00"/>
    <n v="54"/>
    <n v="3"/>
    <n v="2"/>
    <n v="2"/>
    <n v="3"/>
    <n v="53"/>
    <x v="0"/>
    <x v="7"/>
  </r>
  <r>
    <n v="1502"/>
    <n v="3340"/>
    <n v="1977"/>
    <s v="Graduation"/>
    <s v="Married"/>
    <n v="42014"/>
    <n v="1"/>
    <d v="1899-12-30T00:00:00"/>
    <d v="2012-08-17T00:00:00"/>
    <n v="56"/>
    <n v="15"/>
    <n v="15"/>
    <n v="15"/>
    <n v="6"/>
    <n v="49"/>
    <x v="1"/>
    <x v="81"/>
  </r>
  <r>
    <n v="1503"/>
    <n v="3594"/>
    <n v="1973"/>
    <s v="Master"/>
    <s v="Married"/>
    <n v="54108"/>
    <n v="1"/>
    <d v="1899-12-31T00:00:00"/>
    <d v="2012-11-05T00:00:00"/>
    <n v="74"/>
    <n v="6"/>
    <n v="6"/>
    <n v="6"/>
    <n v="9"/>
    <n v="53"/>
    <x v="0"/>
    <x v="21"/>
  </r>
  <r>
    <n v="1504"/>
    <n v="3584"/>
    <n v="1955"/>
    <s v="PhD"/>
    <s v="Single"/>
    <n v="49667"/>
    <n v="0"/>
    <d v="1899-12-30T00:00:00"/>
    <d v="2012-08-20T00:00:00"/>
    <n v="35"/>
    <n v="26"/>
    <n v="13"/>
    <n v="13"/>
    <n v="5"/>
    <n v="71"/>
    <x v="0"/>
    <x v="14"/>
  </r>
  <r>
    <n v="1505"/>
    <n v="3643"/>
    <n v="1974"/>
    <s v="Master"/>
    <s v="Married"/>
    <n v="63206"/>
    <n v="0"/>
    <d v="1899-12-30T00:00:00"/>
    <d v="2014-03-20T00:00:00"/>
    <n v="65"/>
    <n v="8"/>
    <n v="8"/>
    <n v="8"/>
    <n v="6"/>
    <n v="52"/>
    <x v="0"/>
    <x v="31"/>
  </r>
  <r>
    <n v="1506"/>
    <n v="851"/>
    <n v="1972"/>
    <s v="Master"/>
    <s v="Married"/>
    <n v="57136"/>
    <n v="1"/>
    <d v="1899-12-31T00:00:00"/>
    <d v="2013-07-09T00:00:00"/>
    <n v="48"/>
    <n v="5"/>
    <n v="109"/>
    <n v="109"/>
    <n v="10"/>
    <n v="54"/>
    <x v="0"/>
    <x v="158"/>
  </r>
  <r>
    <n v="1507"/>
    <n v="7706"/>
    <n v="1975"/>
    <s v="2n Cycle"/>
    <s v="Together"/>
    <n v="46772"/>
    <n v="0"/>
    <d v="1899-12-31T00:00:00"/>
    <d v="2012-11-07T00:00:00"/>
    <n v="88"/>
    <n v="104"/>
    <n v="151"/>
    <n v="151"/>
    <n v="5"/>
    <n v="51"/>
    <x v="0"/>
    <x v="92"/>
  </r>
  <r>
    <n v="1508"/>
    <n v="3967"/>
    <n v="1971"/>
    <s v="PhD"/>
    <s v="Married"/>
    <n v="78931"/>
    <n v="0"/>
    <d v="1899-12-30T00:00:00"/>
    <d v="2013-10-25T00:00:00"/>
    <n v="19"/>
    <n v="197"/>
    <n v="152"/>
    <n v="152"/>
    <n v="13"/>
    <n v="55"/>
    <x v="0"/>
    <x v="137"/>
  </r>
  <r>
    <n v="1509"/>
    <n v="10128"/>
    <n v="1958"/>
    <s v="Graduation"/>
    <s v="Together"/>
    <n v="53977"/>
    <n v="0"/>
    <d v="1899-12-31T00:00:00"/>
    <d v="2013-06-08T00:00:00"/>
    <n v="21"/>
    <n v="16"/>
    <n v="24"/>
    <n v="24"/>
    <n v="12"/>
    <n v="68"/>
    <x v="0"/>
    <x v="50"/>
  </r>
  <r>
    <n v="1510"/>
    <n v="486"/>
    <n v="1988"/>
    <s v="Graduation"/>
    <s v="Married"/>
    <n v="84219"/>
    <n v="0"/>
    <d v="1899-12-30T00:00:00"/>
    <d v="2014-02-02T00:00:00"/>
    <n v="27"/>
    <n v="137"/>
    <n v="137"/>
    <n v="137"/>
    <n v="10"/>
    <n v="38"/>
    <x v="1"/>
    <x v="134"/>
  </r>
  <r>
    <n v="1511"/>
    <n v="9"/>
    <n v="1975"/>
    <s v="Master"/>
    <s v="Single"/>
    <n v="46098"/>
    <n v="1"/>
    <d v="1899-12-31T00:00:00"/>
    <d v="2012-08-18T00:00:00"/>
    <n v="86"/>
    <n v="0"/>
    <n v="0"/>
    <n v="0"/>
    <n v="2"/>
    <n v="51"/>
    <x v="0"/>
    <x v="42"/>
  </r>
  <r>
    <n v="1512"/>
    <n v="9451"/>
    <n v="1965"/>
    <s v="Graduation"/>
    <s v="Married"/>
    <n v="73538"/>
    <n v="0"/>
    <d v="1899-12-31T00:00:00"/>
    <d v="2012-11-25T00:00:00"/>
    <n v="92"/>
    <n v="76"/>
    <n v="137"/>
    <n v="137"/>
    <n v="9"/>
    <n v="61"/>
    <x v="0"/>
    <x v="90"/>
  </r>
  <r>
    <n v="1513"/>
    <n v="9264"/>
    <n v="1986"/>
    <s v="Graduation"/>
    <s v="Married"/>
    <n v="79529"/>
    <n v="0"/>
    <d v="1899-12-30T00:00:00"/>
    <d v="2014-04-27T00:00:00"/>
    <n v="1"/>
    <n v="42"/>
    <n v="197"/>
    <n v="197"/>
    <n v="9"/>
    <n v="40"/>
    <x v="1"/>
    <x v="170"/>
  </r>
  <r>
    <n v="1514"/>
    <n v="3865"/>
    <n v="1977"/>
    <s v="2n Cycle"/>
    <s v="Together"/>
    <n v="20981"/>
    <n v="0"/>
    <d v="1899-12-30T00:00:00"/>
    <d v="2013-04-30T00:00:00"/>
    <n v="14"/>
    <n v="12"/>
    <n v="13"/>
    <n v="13"/>
    <n v="2"/>
    <n v="49"/>
    <x v="1"/>
    <x v="21"/>
  </r>
  <r>
    <n v="1515"/>
    <n v="2853"/>
    <n v="1980"/>
    <s v="Graduation"/>
    <s v="Single"/>
    <n v="51766"/>
    <n v="1"/>
    <d v="1899-12-30T00:00:00"/>
    <d v="2014-03-11T00:00:00"/>
    <n v="74"/>
    <n v="51"/>
    <n v="20"/>
    <n v="20"/>
    <n v="4"/>
    <n v="46"/>
    <x v="1"/>
    <x v="38"/>
  </r>
  <r>
    <n v="1516"/>
    <n v="1490"/>
    <n v="1962"/>
    <s v="Graduation"/>
    <s v="Married"/>
    <n v="55759"/>
    <n v="0"/>
    <d v="1899-12-31T00:00:00"/>
    <d v="2012-11-28T00:00:00"/>
    <n v="84"/>
    <n v="0"/>
    <n v="7"/>
    <n v="7"/>
    <n v="8"/>
    <n v="64"/>
    <x v="0"/>
    <x v="21"/>
  </r>
  <r>
    <n v="1517"/>
    <n v="6310"/>
    <n v="1978"/>
    <s v="Graduation"/>
    <s v="Married"/>
    <n v="33039"/>
    <n v="1"/>
    <d v="1899-12-30T00:00:00"/>
    <d v="2013-09-09T00:00:00"/>
    <n v="4"/>
    <n v="8"/>
    <n v="8"/>
    <n v="8"/>
    <n v="4"/>
    <n v="48"/>
    <x v="1"/>
    <x v="51"/>
  </r>
  <r>
    <n v="1518"/>
    <n v="10380"/>
    <n v="1972"/>
    <s v="Master"/>
    <s v="Married"/>
    <n v="37787"/>
    <n v="1"/>
    <d v="1899-12-30T00:00:00"/>
    <d v="2013-09-20T00:00:00"/>
    <n v="50"/>
    <n v="1"/>
    <n v="3"/>
    <n v="3"/>
    <n v="3"/>
    <n v="54"/>
    <x v="0"/>
    <x v="29"/>
  </r>
  <r>
    <n v="1519"/>
    <n v="3887"/>
    <n v="1970"/>
    <s v="Graduation"/>
    <s v="Single"/>
    <n v="27242"/>
    <n v="1"/>
    <d v="1899-12-30T00:00:00"/>
    <d v="2012-11-11T00:00:00"/>
    <n v="2"/>
    <n v="17"/>
    <n v="1"/>
    <n v="1"/>
    <n v="3"/>
    <n v="56"/>
    <x v="0"/>
    <x v="9"/>
  </r>
  <r>
    <n v="1520"/>
    <n v="4278"/>
    <n v="1983"/>
    <s v="PhD"/>
    <s v="Single"/>
    <n v="87188"/>
    <n v="0"/>
    <d v="1899-12-30T00:00:00"/>
    <d v="2013-06-03T00:00:00"/>
    <n v="73"/>
    <n v="111"/>
    <n v="74"/>
    <n v="74"/>
    <n v="6"/>
    <n v="43"/>
    <x v="1"/>
    <x v="12"/>
  </r>
  <r>
    <n v="1521"/>
    <n v="8643"/>
    <n v="1971"/>
    <s v="Graduation"/>
    <s v="Together"/>
    <n v="69930"/>
    <n v="0"/>
    <d v="1899-12-30T00:00:00"/>
    <d v="2013-05-26T00:00:00"/>
    <n v="21"/>
    <n v="98"/>
    <n v="70"/>
    <n v="70"/>
    <n v="12"/>
    <n v="55"/>
    <x v="0"/>
    <x v="59"/>
  </r>
  <r>
    <n v="1522"/>
    <n v="1998"/>
    <n v="1976"/>
    <s v="Graduation"/>
    <s v="Single"/>
    <n v="37697"/>
    <n v="1"/>
    <d v="1899-12-30T00:00:00"/>
    <d v="2014-02-07T00:00:00"/>
    <n v="82"/>
    <n v="6"/>
    <n v="4"/>
    <n v="4"/>
    <n v="3"/>
    <n v="50"/>
    <x v="1"/>
    <x v="3"/>
  </r>
  <r>
    <n v="1523"/>
    <n v="10795"/>
    <n v="1973"/>
    <s v="PhD"/>
    <s v="Married"/>
    <n v="37401"/>
    <n v="1"/>
    <d v="1899-12-30T00:00:00"/>
    <d v="2014-05-06T00:00:00"/>
    <n v="14"/>
    <n v="3"/>
    <n v="1"/>
    <n v="1"/>
    <n v="3"/>
    <n v="53"/>
    <x v="0"/>
    <x v="9"/>
  </r>
  <r>
    <n v="1524"/>
    <n v="11110"/>
    <n v="1973"/>
    <s v="Graduation"/>
    <s v="Single"/>
    <n v="3502"/>
    <n v="1"/>
    <d v="1899-12-30T00:00:00"/>
    <d v="2013-04-13T00:00:00"/>
    <n v="56"/>
    <n v="1"/>
    <n v="0"/>
    <n v="0"/>
    <n v="0"/>
    <n v="53"/>
    <x v="0"/>
    <x v="155"/>
  </r>
  <r>
    <n v="1525"/>
    <n v="2408"/>
    <n v="1976"/>
    <s v="Graduation"/>
    <s v="Married"/>
    <n v="58597"/>
    <n v="1"/>
    <d v="1899-12-31T00:00:00"/>
    <d v="2012-11-20T00:00:00"/>
    <n v="20"/>
    <n v="0"/>
    <n v="28"/>
    <n v="28"/>
    <n v="9"/>
    <n v="50"/>
    <x v="1"/>
    <x v="78"/>
  </r>
  <r>
    <n v="1526"/>
    <n v="202"/>
    <n v="1948"/>
    <s v="PhD"/>
    <s v="Widow"/>
    <n v="82032"/>
    <n v="0"/>
    <d v="1899-12-30T00:00:00"/>
    <d v="2014-04-05T00:00:00"/>
    <n v="54"/>
    <n v="194"/>
    <n v="125"/>
    <n v="125"/>
    <n v="7"/>
    <n v="78"/>
    <x v="0"/>
    <x v="171"/>
  </r>
  <r>
    <n v="1527"/>
    <n v="7998"/>
    <n v="1958"/>
    <s v="Graduation"/>
    <s v="Together"/>
    <n v="28087"/>
    <n v="1"/>
    <d v="1899-12-31T00:00:00"/>
    <d v="2012-12-11T00:00:00"/>
    <n v="77"/>
    <n v="8"/>
    <n v="0"/>
    <n v="0"/>
    <n v="2"/>
    <n v="68"/>
    <x v="0"/>
    <x v="42"/>
  </r>
  <r>
    <n v="1528"/>
    <n v="830"/>
    <n v="1987"/>
    <s v="PhD"/>
    <s v="Single"/>
    <n v="74004"/>
    <n v="0"/>
    <d v="1899-12-30T00:00:00"/>
    <d v="2014-02-24T00:00:00"/>
    <n v="5"/>
    <n v="48"/>
    <n v="176"/>
    <n v="176"/>
    <n v="4"/>
    <n v="39"/>
    <x v="1"/>
    <x v="33"/>
  </r>
  <r>
    <n v="1529"/>
    <n v="3536"/>
    <n v="1960"/>
    <s v="Graduation"/>
    <s v="Together"/>
    <n v="19740"/>
    <n v="0"/>
    <d v="1899-12-31T00:00:00"/>
    <d v="2013-03-24T00:00:00"/>
    <n v="65"/>
    <n v="11"/>
    <n v="4"/>
    <n v="4"/>
    <n v="3"/>
    <n v="66"/>
    <x v="0"/>
    <x v="3"/>
  </r>
  <r>
    <n v="1530"/>
    <n v="6050"/>
    <n v="1975"/>
    <s v="2n Cycle"/>
    <s v="Married"/>
    <n v="57036"/>
    <n v="0"/>
    <d v="1899-12-31T00:00:00"/>
    <d v="2012-12-11T00:00:00"/>
    <n v="33"/>
    <n v="43"/>
    <n v="14"/>
    <n v="14"/>
    <n v="13"/>
    <n v="51"/>
    <x v="0"/>
    <x v="16"/>
  </r>
  <r>
    <n v="1531"/>
    <n v="125"/>
    <n v="1958"/>
    <s v="2n Cycle"/>
    <s v="Together"/>
    <n v="53083"/>
    <n v="1"/>
    <d v="1899-12-31T00:00:00"/>
    <d v="2013-05-15T00:00:00"/>
    <n v="65"/>
    <n v="7"/>
    <n v="0"/>
    <n v="0"/>
    <n v="5"/>
    <n v="68"/>
    <x v="0"/>
    <x v="7"/>
  </r>
  <r>
    <n v="1532"/>
    <n v="3463"/>
    <n v="1975"/>
    <s v="PhD"/>
    <s v="Married"/>
    <n v="69283"/>
    <n v="0"/>
    <d v="1899-12-31T00:00:00"/>
    <d v="2014-06-14T00:00:00"/>
    <n v="41"/>
    <n v="62"/>
    <n v="26"/>
    <n v="26"/>
    <n v="13"/>
    <n v="51"/>
    <x v="0"/>
    <x v="30"/>
  </r>
  <r>
    <n v="1533"/>
    <n v="2804"/>
    <n v="1975"/>
    <s v="Master"/>
    <s v="Single"/>
    <n v="46098"/>
    <n v="1"/>
    <d v="1899-12-31T00:00:00"/>
    <d v="2012-08-18T00:00:00"/>
    <n v="86"/>
    <n v="0"/>
    <n v="0"/>
    <n v="0"/>
    <n v="2"/>
    <n v="51"/>
    <x v="0"/>
    <x v="42"/>
  </r>
  <r>
    <n v="1534"/>
    <n v="3745"/>
    <n v="1988"/>
    <s v="2n Cycle"/>
    <s v="Married"/>
    <n v="23331"/>
    <n v="1"/>
    <d v="1899-12-30T00:00:00"/>
    <d v="2012-09-04T00:00:00"/>
    <n v="92"/>
    <n v="36"/>
    <n v="10"/>
    <n v="10"/>
    <n v="3"/>
    <n v="38"/>
    <x v="1"/>
    <x v="104"/>
  </r>
  <r>
    <n v="1535"/>
    <n v="9771"/>
    <n v="1988"/>
    <s v="2n Cycle"/>
    <s v="Single"/>
    <n v="23331"/>
    <n v="1"/>
    <d v="1899-12-30T00:00:00"/>
    <d v="2012-10-05T00:00:00"/>
    <n v="97"/>
    <n v="20"/>
    <n v="15"/>
    <n v="15"/>
    <n v="5"/>
    <n v="38"/>
    <x v="1"/>
    <x v="26"/>
  </r>
  <r>
    <n v="1536"/>
    <n v="451"/>
    <n v="1989"/>
    <s v="Graduation"/>
    <s v="Single"/>
    <n v="9255"/>
    <n v="1"/>
    <d v="1899-12-30T00:00:00"/>
    <d v="2013-12-20T00:00:00"/>
    <n v="91"/>
    <n v="0"/>
    <n v="0"/>
    <n v="0"/>
    <n v="2"/>
    <n v="37"/>
    <x v="1"/>
    <x v="42"/>
  </r>
  <r>
    <n v="1537"/>
    <n v="10530"/>
    <n v="1959"/>
    <s v="PhD"/>
    <s v="Widow"/>
    <n v="67786"/>
    <n v="0"/>
    <d v="1899-12-30T00:00:00"/>
    <d v="2013-12-07T00:00:00"/>
    <n v="0"/>
    <n v="82"/>
    <n v="20"/>
    <n v="20"/>
    <n v="6"/>
    <n v="67"/>
    <x v="0"/>
    <x v="56"/>
  </r>
  <r>
    <n v="1538"/>
    <n v="1079"/>
    <n v="1971"/>
    <s v="PhD"/>
    <s v="Married"/>
    <n v="71969"/>
    <n v="0"/>
    <d v="1899-12-31T00:00:00"/>
    <d v="2012-10-16T00:00:00"/>
    <n v="59"/>
    <n v="0"/>
    <n v="0"/>
    <n v="0"/>
    <n v="9"/>
    <n v="55"/>
    <x v="0"/>
    <x v="18"/>
  </r>
  <r>
    <n v="1539"/>
    <n v="8920"/>
    <n v="1967"/>
    <s v="Master"/>
    <s v="Single"/>
    <n v="59235"/>
    <n v="1"/>
    <d v="1899-12-30T00:00:00"/>
    <d v="2013-01-12T00:00:00"/>
    <n v="4"/>
    <n v="40"/>
    <n v="0"/>
    <n v="0"/>
    <n v="12"/>
    <n v="59"/>
    <x v="0"/>
    <x v="51"/>
  </r>
  <r>
    <n v="1540"/>
    <n v="6678"/>
    <n v="1989"/>
    <s v="Graduation"/>
    <s v="Together"/>
    <n v="31928"/>
    <n v="1"/>
    <d v="1899-12-30T00:00:00"/>
    <d v="2014-03-28T00:00:00"/>
    <n v="5"/>
    <n v="4"/>
    <n v="2"/>
    <n v="2"/>
    <n v="4"/>
    <n v="37"/>
    <x v="1"/>
    <x v="29"/>
  </r>
  <r>
    <n v="1541"/>
    <n v="3852"/>
    <n v="1961"/>
    <s v="Master"/>
    <s v="Together"/>
    <n v="74881"/>
    <n v="1"/>
    <d v="1899-12-31T00:00:00"/>
    <d v="2013-03-08T00:00:00"/>
    <n v="48"/>
    <n v="72"/>
    <n v="27"/>
    <n v="27"/>
    <n v="12"/>
    <n v="65"/>
    <x v="0"/>
    <x v="30"/>
  </r>
  <r>
    <n v="1542"/>
    <n v="528"/>
    <n v="1978"/>
    <s v="Graduation"/>
    <s v="Married"/>
    <n v="65819"/>
    <n v="0"/>
    <d v="1899-12-30T00:00:00"/>
    <d v="2012-11-29T00:00:00"/>
    <n v="99"/>
    <n v="38"/>
    <n v="165"/>
    <n v="165"/>
    <n v="10"/>
    <n v="48"/>
    <x v="1"/>
    <x v="172"/>
  </r>
  <r>
    <n v="1543"/>
    <n v="73"/>
    <n v="1953"/>
    <s v="PhD"/>
    <s v="Single"/>
    <n v="51411"/>
    <n v="1"/>
    <d v="1900-01-01T00:00:00"/>
    <d v="2013-05-26T00:00:00"/>
    <n v="81"/>
    <n v="0"/>
    <n v="0"/>
    <n v="0"/>
    <n v="3"/>
    <n v="73"/>
    <x v="0"/>
    <x v="1"/>
  </r>
  <r>
    <n v="1544"/>
    <n v="5589"/>
    <n v="1964"/>
    <s v="Graduation"/>
    <s v="Divorced"/>
    <n v="51983"/>
    <n v="0"/>
    <d v="1899-12-31T00:00:00"/>
    <d v="2012-08-31T00:00:00"/>
    <n v="95"/>
    <n v="0"/>
    <n v="7"/>
    <n v="7"/>
    <n v="10"/>
    <n v="62"/>
    <x v="0"/>
    <x v="67"/>
  </r>
  <r>
    <n v="1545"/>
    <n v="10212"/>
    <n v="1986"/>
    <s v="Master"/>
    <s v="Together"/>
    <n v="42386"/>
    <n v="1"/>
    <d v="1899-12-30T00:00:00"/>
    <d v="2013-01-13T00:00:00"/>
    <n v="43"/>
    <n v="4"/>
    <n v="4"/>
    <n v="4"/>
    <n v="3"/>
    <n v="40"/>
    <x v="1"/>
    <x v="3"/>
  </r>
  <r>
    <n v="1546"/>
    <n v="6365"/>
    <n v="1987"/>
    <s v="2n Cycle"/>
    <s v="Married"/>
    <n v="30390"/>
    <n v="0"/>
    <d v="1899-12-30T00:00:00"/>
    <d v="2013-09-02T00:00:00"/>
    <n v="5"/>
    <n v="12"/>
    <n v="1"/>
    <n v="1"/>
    <n v="3"/>
    <n v="39"/>
    <x v="1"/>
    <x v="9"/>
  </r>
  <r>
    <n v="1547"/>
    <n v="5636"/>
    <n v="1963"/>
    <s v="Graduation"/>
    <s v="Single"/>
    <n v="30983"/>
    <n v="0"/>
    <d v="1899-12-30T00:00:00"/>
    <d v="2012-11-09T00:00:00"/>
    <n v="50"/>
    <n v="4"/>
    <n v="1"/>
    <n v="1"/>
    <n v="3"/>
    <n v="63"/>
    <x v="0"/>
    <x v="9"/>
  </r>
  <r>
    <n v="1548"/>
    <n v="591"/>
    <n v="1957"/>
    <s v="Graduation"/>
    <s v="Widow"/>
    <n v="66033"/>
    <n v="0"/>
    <d v="1899-12-31T00:00:00"/>
    <d v="2013-01-20T00:00:00"/>
    <n v="76"/>
    <n v="35"/>
    <n v="59"/>
    <n v="59"/>
    <n v="7"/>
    <n v="69"/>
    <x v="0"/>
    <x v="43"/>
  </r>
  <r>
    <n v="1549"/>
    <n v="2217"/>
    <n v="1975"/>
    <s v="2n Cycle"/>
    <s v="Married"/>
    <n v="37284"/>
    <n v="1"/>
    <d v="1899-12-31T00:00:00"/>
    <d v="2013-03-29T00:00:00"/>
    <n v="46"/>
    <n v="1"/>
    <n v="1"/>
    <n v="1"/>
    <n v="3"/>
    <n v="51"/>
    <x v="0"/>
    <x v="9"/>
  </r>
  <r>
    <n v="1550"/>
    <n v="2544"/>
    <n v="1951"/>
    <s v="Master"/>
    <s v="Divorced"/>
    <n v="57530"/>
    <n v="0"/>
    <d v="1899-12-31T00:00:00"/>
    <d v="2013-10-12T00:00:00"/>
    <n v="68"/>
    <n v="1"/>
    <n v="7"/>
    <n v="7"/>
    <n v="4"/>
    <n v="75"/>
    <x v="0"/>
    <x v="20"/>
  </r>
  <r>
    <n v="1551"/>
    <n v="7725"/>
    <n v="1965"/>
    <s v="2n Cycle"/>
    <s v="Married"/>
    <n v="76800"/>
    <n v="0"/>
    <d v="1899-12-30T00:00:00"/>
    <d v="2014-03-08T00:00:00"/>
    <n v="33"/>
    <n v="26"/>
    <n v="71"/>
    <n v="71"/>
    <n v="7"/>
    <n v="61"/>
    <x v="0"/>
    <x v="47"/>
  </r>
  <r>
    <n v="1552"/>
    <n v="8091"/>
    <n v="1956"/>
    <s v="Graduation"/>
    <s v="Married"/>
    <n v="63943"/>
    <n v="0"/>
    <d v="1899-12-31T00:00:00"/>
    <d v="2012-09-02T00:00:00"/>
    <n v="50"/>
    <n v="184"/>
    <n v="97"/>
    <n v="97"/>
    <n v="6"/>
    <n v="70"/>
    <x v="0"/>
    <x v="95"/>
  </r>
  <r>
    <n v="1553"/>
    <n v="7321"/>
    <n v="1962"/>
    <s v="Graduation"/>
    <s v="Together"/>
    <n v="76081"/>
    <n v="0"/>
    <d v="1899-12-30T00:00:00"/>
    <d v="2014-05-23T00:00:00"/>
    <n v="85"/>
    <n v="30"/>
    <n v="33"/>
    <n v="33"/>
    <n v="4"/>
    <n v="64"/>
    <x v="0"/>
    <x v="78"/>
  </r>
  <r>
    <n v="1554"/>
    <n v="5462"/>
    <n v="1974"/>
    <s v="Graduation"/>
    <s v="Married"/>
    <n v="67445"/>
    <n v="0"/>
    <d v="1899-12-31T00:00:00"/>
    <d v="2012-08-12T00:00:00"/>
    <n v="63"/>
    <n v="80"/>
    <n v="80"/>
    <n v="80"/>
    <n v="12"/>
    <n v="52"/>
    <x v="0"/>
    <x v="0"/>
  </r>
  <r>
    <n v="1555"/>
    <n v="7791"/>
    <n v="1967"/>
    <s v="Master"/>
    <s v="Married"/>
    <n v="37054"/>
    <n v="1"/>
    <d v="1899-12-31T00:00:00"/>
    <d v="2013-09-15T00:00:00"/>
    <n v="89"/>
    <n v="1"/>
    <n v="1"/>
    <n v="1"/>
    <n v="3"/>
    <n v="59"/>
    <x v="0"/>
    <x v="9"/>
  </r>
  <r>
    <n v="1556"/>
    <n v="955"/>
    <n v="1962"/>
    <s v="Master"/>
    <s v="Together"/>
    <n v="47175"/>
    <n v="1"/>
    <d v="1899-12-31T00:00:00"/>
    <d v="2012-10-28T00:00:00"/>
    <n v="81"/>
    <n v="2"/>
    <n v="2"/>
    <n v="2"/>
    <n v="4"/>
    <n v="64"/>
    <x v="0"/>
    <x v="29"/>
  </r>
  <r>
    <n v="1557"/>
    <n v="4037"/>
    <n v="1976"/>
    <s v="Graduation"/>
    <s v="Divorced"/>
    <n v="31859"/>
    <n v="1"/>
    <d v="1899-12-30T00:00:00"/>
    <d v="2013-06-14T00:00:00"/>
    <n v="77"/>
    <n v="1"/>
    <n v="0"/>
    <n v="0"/>
    <n v="2"/>
    <n v="50"/>
    <x v="1"/>
    <x v="42"/>
  </r>
  <r>
    <n v="1558"/>
    <n v="6642"/>
    <n v="1961"/>
    <s v="Graduation"/>
    <s v="Divorced"/>
    <n v="27215"/>
    <n v="2"/>
    <d v="1899-12-31T00:00:00"/>
    <d v="2013-01-23T00:00:00"/>
    <n v="50"/>
    <n v="5"/>
    <n v="9"/>
    <n v="9"/>
    <n v="4"/>
    <n v="65"/>
    <x v="0"/>
    <x v="104"/>
  </r>
  <r>
    <n v="1559"/>
    <n v="2793"/>
    <n v="1976"/>
    <s v="PhD"/>
    <s v="Divorced"/>
    <n v="70179"/>
    <n v="0"/>
    <d v="1899-12-31T00:00:00"/>
    <d v="2013-07-21T00:00:00"/>
    <n v="10"/>
    <n v="88"/>
    <n v="44"/>
    <n v="44"/>
    <n v="13"/>
    <n v="50"/>
    <x v="1"/>
    <x v="64"/>
  </r>
  <r>
    <n v="1560"/>
    <n v="5424"/>
    <n v="1983"/>
    <s v="Graduation"/>
    <s v="Married"/>
    <n v="39922"/>
    <n v="1"/>
    <d v="1899-12-30T00:00:00"/>
    <d v="2013-02-14T00:00:00"/>
    <n v="30"/>
    <n v="12"/>
    <n v="1"/>
    <n v="1"/>
    <n v="4"/>
    <n v="43"/>
    <x v="1"/>
    <x v="7"/>
  </r>
  <r>
    <n v="1561"/>
    <n v="879"/>
    <n v="1976"/>
    <s v="Master"/>
    <s v="Married"/>
    <n v="49681"/>
    <n v="0"/>
    <d v="1900-01-01T00:00:00"/>
    <d v="2013-11-04T00:00:00"/>
    <n v="66"/>
    <n v="0"/>
    <n v="0"/>
    <n v="0"/>
    <n v="7"/>
    <n v="50"/>
    <x v="1"/>
    <x v="3"/>
  </r>
  <r>
    <n v="1562"/>
    <n v="9530"/>
    <n v="1988"/>
    <s v="Graduation"/>
    <s v="Married"/>
    <n v="24645"/>
    <n v="1"/>
    <d v="1899-12-30T00:00:00"/>
    <d v="2012-11-01T00:00:00"/>
    <n v="16"/>
    <n v="3"/>
    <n v="1"/>
    <n v="1"/>
    <n v="2"/>
    <n v="38"/>
    <x v="1"/>
    <x v="1"/>
  </r>
  <r>
    <n v="1563"/>
    <n v="4828"/>
    <n v="1954"/>
    <s v="Graduation"/>
    <s v="Divorced"/>
    <n v="79865"/>
    <n v="0"/>
    <d v="1899-12-31T00:00:00"/>
    <d v="2014-06-18T00:00:00"/>
    <n v="12"/>
    <n v="99"/>
    <n v="121"/>
    <n v="121"/>
    <n v="5"/>
    <n v="72"/>
    <x v="0"/>
    <x v="40"/>
  </r>
  <r>
    <n v="1564"/>
    <n v="10699"/>
    <n v="1985"/>
    <s v="Graduation"/>
    <s v="Married"/>
    <n v="44322"/>
    <n v="1"/>
    <d v="1899-12-30T00:00:00"/>
    <d v="2014-06-16T00:00:00"/>
    <n v="30"/>
    <n v="0"/>
    <n v="0"/>
    <n v="0"/>
    <n v="3"/>
    <n v="41"/>
    <x v="1"/>
    <x v="1"/>
  </r>
  <r>
    <n v="1565"/>
    <n v="1497"/>
    <n v="1952"/>
    <s v="Graduation"/>
    <s v="Single"/>
    <n v="47958"/>
    <n v="0"/>
    <d v="1899-12-31T00:00:00"/>
    <d v="2013-01-19T00:00:00"/>
    <n v="8"/>
    <n v="11"/>
    <n v="3"/>
    <n v="3"/>
    <n v="5"/>
    <n v="74"/>
    <x v="0"/>
    <x v="41"/>
  </r>
  <r>
    <n v="1566"/>
    <n v="7476"/>
    <n v="1964"/>
    <s v="Master"/>
    <s v="Single"/>
    <n v="63972"/>
    <n v="0"/>
    <d v="1899-12-31T00:00:00"/>
    <d v="2012-12-02T00:00:00"/>
    <n v="93"/>
    <n v="63"/>
    <n v="12"/>
    <n v="12"/>
    <n v="10"/>
    <n v="62"/>
    <x v="0"/>
    <x v="62"/>
  </r>
  <r>
    <n v="1567"/>
    <n v="4390"/>
    <n v="1954"/>
    <s v="Graduation"/>
    <s v="Together"/>
    <n v="75315"/>
    <n v="0"/>
    <d v="1899-12-31T00:00:00"/>
    <d v="2014-04-15T00:00:00"/>
    <n v="14"/>
    <n v="15"/>
    <n v="23"/>
    <n v="23"/>
    <n v="12"/>
    <n v="72"/>
    <x v="0"/>
    <x v="61"/>
  </r>
  <r>
    <n v="1568"/>
    <n v="10478"/>
    <n v="1950"/>
    <s v="PhD"/>
    <s v="Married"/>
    <n v="55517"/>
    <n v="1"/>
    <d v="1899-12-31T00:00:00"/>
    <d v="2012-09-27T00:00:00"/>
    <n v="53"/>
    <n v="0"/>
    <n v="6"/>
    <n v="6"/>
    <n v="6"/>
    <n v="76"/>
    <x v="0"/>
    <x v="51"/>
  </r>
  <r>
    <n v="1569"/>
    <n v="1081"/>
    <n v="1957"/>
    <s v="PhD"/>
    <s v="Married"/>
    <n v="75283"/>
    <n v="1"/>
    <d v="1900-01-01T00:00:00"/>
    <d v="2013-03-27T00:00:00"/>
    <n v="26"/>
    <n v="9"/>
    <n v="19"/>
    <n v="19"/>
    <n v="5"/>
    <n v="69"/>
    <x v="0"/>
    <x v="38"/>
  </r>
  <r>
    <n v="1570"/>
    <n v="4261"/>
    <n v="1946"/>
    <s v="PhD"/>
    <s v="Single"/>
    <n v="82800"/>
    <n v="0"/>
    <d v="1899-12-30T00:00:00"/>
    <d v="2012-11-24T00:00:00"/>
    <n v="23"/>
    <n v="22"/>
    <n v="68"/>
    <n v="68"/>
    <n v="12"/>
    <n v="80"/>
    <x v="0"/>
    <x v="12"/>
  </r>
  <r>
    <n v="1571"/>
    <n v="9916"/>
    <n v="1954"/>
    <s v="Graduation"/>
    <s v="Married"/>
    <n v="38998"/>
    <n v="1"/>
    <d v="1899-12-31T00:00:00"/>
    <d v="2012-11-03T00:00:00"/>
    <n v="92"/>
    <n v="1"/>
    <n v="0"/>
    <n v="0"/>
    <n v="3"/>
    <n v="72"/>
    <x v="0"/>
    <x v="1"/>
  </r>
  <r>
    <n v="1572"/>
    <n v="5350"/>
    <n v="1991"/>
    <s v="Master"/>
    <s v="Single"/>
    <n v="90638"/>
    <n v="0"/>
    <d v="1899-12-30T00:00:00"/>
    <d v="2014-02-13T00:00:00"/>
    <n v="29"/>
    <n v="120"/>
    <n v="144"/>
    <n v="144"/>
    <n v="10"/>
    <n v="35"/>
    <x v="1"/>
    <x v="159"/>
  </r>
  <r>
    <n v="1573"/>
    <n v="8135"/>
    <n v="1986"/>
    <s v="Master"/>
    <s v="Married"/>
    <n v="27161"/>
    <n v="1"/>
    <d v="1899-12-30T00:00:00"/>
    <d v="2013-10-28T00:00:00"/>
    <n v="41"/>
    <n v="4"/>
    <n v="0"/>
    <n v="0"/>
    <n v="3"/>
    <n v="40"/>
    <x v="1"/>
    <x v="1"/>
  </r>
  <r>
    <n v="1574"/>
    <n v="8685"/>
    <n v="1977"/>
    <s v="Graduation"/>
    <s v="Married"/>
    <n v="42014"/>
    <n v="1"/>
    <d v="1899-12-30T00:00:00"/>
    <d v="2012-08-17T00:00:00"/>
    <n v="56"/>
    <n v="15"/>
    <n v="15"/>
    <n v="15"/>
    <n v="6"/>
    <n v="49"/>
    <x v="1"/>
    <x v="81"/>
  </r>
  <r>
    <n v="1575"/>
    <n v="4967"/>
    <n v="1960"/>
    <s v="PhD"/>
    <s v="Together"/>
    <n v="38201"/>
    <n v="0"/>
    <d v="1899-12-31T00:00:00"/>
    <d v="2013-03-29T00:00:00"/>
    <n v="19"/>
    <n v="0"/>
    <n v="0"/>
    <n v="0"/>
    <n v="5"/>
    <n v="66"/>
    <x v="0"/>
    <x v="7"/>
  </r>
  <r>
    <n v="1576"/>
    <n v="2130"/>
    <n v="1982"/>
    <s v="Graduation"/>
    <s v="Together"/>
    <n v="45203"/>
    <n v="2"/>
    <d v="1899-12-30T00:00:00"/>
    <d v="2014-03-23T00:00:00"/>
    <n v="4"/>
    <n v="3"/>
    <n v="8"/>
    <n v="8"/>
    <n v="3"/>
    <n v="44"/>
    <x v="1"/>
    <x v="20"/>
  </r>
  <r>
    <n v="1577"/>
    <n v="9298"/>
    <n v="1947"/>
    <s v="PhD"/>
    <s v="Together"/>
    <n v="81574"/>
    <n v="0"/>
    <d v="1899-12-30T00:00:00"/>
    <d v="2014-04-28T00:00:00"/>
    <n v="89"/>
    <n v="0"/>
    <n v="35"/>
    <n v="35"/>
    <n v="8"/>
    <n v="79"/>
    <x v="0"/>
    <x v="17"/>
  </r>
  <r>
    <n v="1578"/>
    <n v="8175"/>
    <n v="1992"/>
    <s v="Graduation"/>
    <s v="Married"/>
    <n v="34935"/>
    <n v="0"/>
    <d v="1899-12-30T00:00:00"/>
    <d v="2013-06-21T00:00:00"/>
    <n v="71"/>
    <n v="4"/>
    <n v="10"/>
    <n v="10"/>
    <n v="4"/>
    <n v="34"/>
    <x v="1"/>
    <x v="31"/>
  </r>
  <r>
    <n v="1579"/>
    <n v="6257"/>
    <n v="1976"/>
    <s v="Master"/>
    <s v="Single"/>
    <n v="60482"/>
    <n v="0"/>
    <d v="1899-12-31T00:00:00"/>
    <d v="2013-01-23T00:00:00"/>
    <n v="81"/>
    <n v="43"/>
    <n v="14"/>
    <n v="14"/>
    <n v="7"/>
    <n v="50"/>
    <x v="1"/>
    <x v="81"/>
  </r>
  <r>
    <n v="1580"/>
    <n v="3790"/>
    <n v="1956"/>
    <s v="Graduation"/>
    <s v="Together"/>
    <n v="34633"/>
    <n v="2"/>
    <d v="1899-12-31T00:00:00"/>
    <d v="2014-01-23T00:00:00"/>
    <n v="31"/>
    <n v="1"/>
    <n v="0"/>
    <n v="0"/>
    <n v="2"/>
    <n v="70"/>
    <x v="0"/>
    <x v="42"/>
  </r>
  <r>
    <n v="1581"/>
    <n v="9952"/>
    <n v="1947"/>
    <s v="Master"/>
    <s v="Together"/>
    <n v="78093"/>
    <n v="0"/>
    <d v="1899-12-30T00:00:00"/>
    <d v="2013-12-11T00:00:00"/>
    <n v="53"/>
    <n v="32"/>
    <n v="43"/>
    <n v="43"/>
    <n v="5"/>
    <n v="79"/>
    <x v="0"/>
    <x v="121"/>
  </r>
  <r>
    <n v="1582"/>
    <n v="3503"/>
    <n v="1950"/>
    <s v="Graduation"/>
    <s v="Divorced"/>
    <n v="82460"/>
    <n v="0"/>
    <d v="1899-12-30T00:00:00"/>
    <d v="2013-12-02T00:00:00"/>
    <n v="78"/>
    <n v="47"/>
    <n v="32"/>
    <n v="32"/>
    <n v="6"/>
    <n v="76"/>
    <x v="0"/>
    <x v="73"/>
  </r>
  <r>
    <n v="1583"/>
    <n v="5223"/>
    <n v="1966"/>
    <s v="Master"/>
    <s v="Together"/>
    <n v="45903"/>
    <n v="0"/>
    <d v="1899-12-31T00:00:00"/>
    <d v="2014-04-23T00:00:00"/>
    <n v="80"/>
    <n v="8"/>
    <n v="10"/>
    <n v="10"/>
    <n v="3"/>
    <n v="60"/>
    <x v="0"/>
    <x v="104"/>
  </r>
  <r>
    <n v="1584"/>
    <n v="4608"/>
    <n v="1987"/>
    <s v="Graduation"/>
    <s v="Divorced"/>
    <n v="81361"/>
    <n v="0"/>
    <d v="1899-12-30T00:00:00"/>
    <d v="2014-02-25T00:00:00"/>
    <n v="18"/>
    <n v="23"/>
    <n v="65"/>
    <n v="65"/>
    <n v="13"/>
    <n v="39"/>
    <x v="1"/>
    <x v="47"/>
  </r>
  <r>
    <n v="1585"/>
    <n v="1626"/>
    <n v="1973"/>
    <s v="PhD"/>
    <s v="Divorced"/>
    <n v="35860"/>
    <n v="1"/>
    <d v="1899-12-31T00:00:00"/>
    <d v="2014-05-19T00:00:00"/>
    <n v="37"/>
    <n v="0"/>
    <n v="2"/>
    <n v="2"/>
    <n v="2"/>
    <n v="53"/>
    <x v="0"/>
    <x v="9"/>
  </r>
  <r>
    <n v="1586"/>
    <n v="4764"/>
    <n v="1952"/>
    <s v="Master"/>
    <s v="Together"/>
    <n v="40442"/>
    <n v="1"/>
    <d v="1899-12-31T00:00:00"/>
    <d v="2012-08-19T00:00:00"/>
    <n v="52"/>
    <n v="12"/>
    <n v="22"/>
    <n v="22"/>
    <n v="4"/>
    <n v="74"/>
    <x v="0"/>
    <x v="56"/>
  </r>
  <r>
    <n v="1587"/>
    <n v="2471"/>
    <n v="1965"/>
    <s v="Graduation"/>
    <s v="Married"/>
    <n v="61482"/>
    <n v="0"/>
    <d v="1899-12-30T00:00:00"/>
    <d v="2014-06-27T00:00:00"/>
    <n v="39"/>
    <n v="58"/>
    <n v="66"/>
    <n v="66"/>
    <n v="6"/>
    <n v="61"/>
    <x v="0"/>
    <x v="136"/>
  </r>
  <r>
    <n v="1588"/>
    <n v="5892"/>
    <n v="1980"/>
    <s v="Graduation"/>
    <s v="Married"/>
    <n v="34968"/>
    <n v="1"/>
    <d v="1899-12-30T00:00:00"/>
    <d v="2013-04-10T00:00:00"/>
    <n v="11"/>
    <n v="6"/>
    <n v="2"/>
    <n v="2"/>
    <n v="5"/>
    <n v="46"/>
    <x v="1"/>
    <x v="3"/>
  </r>
  <r>
    <n v="1589"/>
    <n v="2612"/>
    <n v="1987"/>
    <s v="Graduation"/>
    <s v="Married"/>
    <n v="75794"/>
    <n v="0"/>
    <d v="1899-12-30T00:00:00"/>
    <d v="2013-12-24T00:00:00"/>
    <n v="33"/>
    <n v="160"/>
    <n v="32"/>
    <n v="32"/>
    <n v="12"/>
    <n v="39"/>
    <x v="1"/>
    <x v="109"/>
  </r>
  <r>
    <n v="1590"/>
    <n v="4971"/>
    <n v="1962"/>
    <s v="PhD"/>
    <s v="Together"/>
    <n v="31497"/>
    <n v="0"/>
    <d v="1899-12-31T00:00:00"/>
    <d v="2012-12-06T00:00:00"/>
    <n v="22"/>
    <n v="1"/>
    <n v="1"/>
    <n v="1"/>
    <n v="4"/>
    <n v="64"/>
    <x v="0"/>
    <x v="7"/>
  </r>
  <r>
    <n v="1591"/>
    <n v="5185"/>
    <n v="1955"/>
    <s v="Graduation"/>
    <s v="Married"/>
    <n v="74268"/>
    <n v="0"/>
    <d v="1899-12-30T00:00:00"/>
    <d v="2013-02-14T00:00:00"/>
    <n v="83"/>
    <n v="66"/>
    <n v="174"/>
    <n v="174"/>
    <n v="5"/>
    <n v="71"/>
    <x v="0"/>
    <x v="72"/>
  </r>
  <r>
    <n v="1592"/>
    <n v="10069"/>
    <n v="1988"/>
    <s v="Basic"/>
    <s v="Together"/>
    <n v="13724"/>
    <n v="1"/>
    <d v="1899-12-30T00:00:00"/>
    <d v="2012-08-31T00:00:00"/>
    <n v="43"/>
    <n v="7"/>
    <n v="15"/>
    <n v="15"/>
    <n v="2"/>
    <n v="38"/>
    <x v="1"/>
    <x v="67"/>
  </r>
  <r>
    <n v="1593"/>
    <n v="2262"/>
    <n v="1965"/>
    <s v="Master"/>
    <s v="Together"/>
    <n v="45143"/>
    <n v="0"/>
    <d v="1899-12-31T00:00:00"/>
    <d v="2013-08-26T00:00:00"/>
    <n v="74"/>
    <n v="5"/>
    <n v="5"/>
    <n v="5"/>
    <n v="5"/>
    <n v="61"/>
    <x v="0"/>
    <x v="11"/>
  </r>
  <r>
    <n v="1594"/>
    <n v="1131"/>
    <n v="1967"/>
    <s v="PhD"/>
    <s v="Single"/>
    <n v="52569"/>
    <n v="0"/>
    <d v="1899-12-31T00:00:00"/>
    <d v="2014-04-05T00:00:00"/>
    <n v="54"/>
    <n v="0"/>
    <n v="0"/>
    <n v="0"/>
    <n v="4"/>
    <n v="59"/>
    <x v="0"/>
    <x v="9"/>
  </r>
  <r>
    <n v="1595"/>
    <n v="1041"/>
    <n v="1973"/>
    <s v="PhD"/>
    <s v="Single"/>
    <n v="48432"/>
    <n v="0"/>
    <d v="1899-12-31T00:00:00"/>
    <d v="2012-10-18T00:00:00"/>
    <n v="3"/>
    <n v="3"/>
    <n v="3"/>
    <n v="3"/>
    <n v="6"/>
    <n v="53"/>
    <x v="0"/>
    <x v="18"/>
  </r>
  <r>
    <n v="1596"/>
    <n v="24"/>
    <n v="1960"/>
    <s v="Master"/>
    <s v="Together"/>
    <n v="17144"/>
    <n v="1"/>
    <d v="1899-12-31T00:00:00"/>
    <d v="2014-02-15T00:00:00"/>
    <n v="96"/>
    <n v="2"/>
    <n v="2"/>
    <n v="2"/>
    <n v="4"/>
    <n v="66"/>
    <x v="0"/>
    <x v="29"/>
  </r>
  <r>
    <n v="1597"/>
    <n v="3409"/>
    <n v="1984"/>
    <s v="Graduation"/>
    <s v="Single"/>
    <n v="36108"/>
    <n v="1"/>
    <d v="1899-12-30T00:00:00"/>
    <d v="2013-10-15T00:00:00"/>
    <n v="68"/>
    <n v="8"/>
    <n v="11"/>
    <n v="11"/>
    <n v="4"/>
    <n v="42"/>
    <x v="1"/>
    <x v="21"/>
  </r>
  <r>
    <n v="1598"/>
    <n v="7022"/>
    <n v="1971"/>
    <s v="Graduation"/>
    <s v="Married"/>
    <n v="76445"/>
    <n v="1"/>
    <d v="1899-12-30T00:00:00"/>
    <d v="2012-09-28T00:00:00"/>
    <n v="2"/>
    <n v="107"/>
    <n v="80"/>
    <n v="80"/>
    <n v="13"/>
    <n v="55"/>
    <x v="0"/>
    <x v="173"/>
  </r>
  <r>
    <n v="1599"/>
    <n v="7943"/>
    <n v="1975"/>
    <s v="PhD"/>
    <s v="Married"/>
    <n v="36663"/>
    <n v="1"/>
    <d v="1899-12-30T00:00:00"/>
    <d v="2014-04-25T00:00:00"/>
    <n v="40"/>
    <n v="0"/>
    <n v="3"/>
    <n v="3"/>
    <n v="3"/>
    <n v="51"/>
    <x v="0"/>
    <x v="29"/>
  </r>
  <r>
    <n v="1600"/>
    <n v="5272"/>
    <n v="1965"/>
    <s v="Master"/>
    <s v="Married"/>
    <n v="53843"/>
    <n v="0"/>
    <d v="1899-12-31T00:00:00"/>
    <d v="2013-06-27T00:00:00"/>
    <n v="64"/>
    <n v="0"/>
    <n v="4"/>
    <n v="4"/>
    <n v="3"/>
    <n v="61"/>
    <x v="0"/>
    <x v="3"/>
  </r>
  <r>
    <n v="1601"/>
    <n v="5453"/>
    <n v="1956"/>
    <s v="Master"/>
    <s v="Married"/>
    <n v="90226"/>
    <n v="0"/>
    <d v="1899-12-30T00:00:00"/>
    <d v="2012-09-26T00:00:00"/>
    <n v="26"/>
    <n v="108"/>
    <n v="151"/>
    <n v="151"/>
    <n v="12"/>
    <n v="70"/>
    <x v="0"/>
    <x v="112"/>
  </r>
  <r>
    <n v="1602"/>
    <n v="2565"/>
    <n v="1955"/>
    <s v="Master"/>
    <s v="Divorced"/>
    <n v="70638"/>
    <n v="0"/>
    <d v="1899-12-30T00:00:00"/>
    <d v="2013-06-01T00:00:00"/>
    <n v="69"/>
    <n v="12"/>
    <n v="12"/>
    <n v="12"/>
    <n v="10"/>
    <n v="71"/>
    <x v="0"/>
    <x v="62"/>
  </r>
  <r>
    <n v="1603"/>
    <n v="800"/>
    <n v="1960"/>
    <s v="Graduation"/>
    <s v="Together"/>
    <n v="44512"/>
    <n v="1"/>
    <d v="1899-12-31T00:00:00"/>
    <d v="2013-08-30T00:00:00"/>
    <n v="57"/>
    <n v="1"/>
    <n v="0"/>
    <n v="0"/>
    <n v="3"/>
    <n v="66"/>
    <x v="0"/>
    <x v="1"/>
  </r>
  <r>
    <n v="1604"/>
    <n v="11092"/>
    <n v="1961"/>
    <s v="Graduation"/>
    <s v="Married"/>
    <n v="27116"/>
    <n v="1"/>
    <d v="1899-12-31T00:00:00"/>
    <d v="2014-03-02T00:00:00"/>
    <n v="78"/>
    <n v="1"/>
    <n v="2"/>
    <n v="2"/>
    <n v="3"/>
    <n v="65"/>
    <x v="0"/>
    <x v="7"/>
  </r>
  <r>
    <n v="1605"/>
    <n v="5062"/>
    <n v="1963"/>
    <s v="PhD"/>
    <s v="Married"/>
    <n v="54072"/>
    <n v="1"/>
    <d v="1899-12-31T00:00:00"/>
    <d v="2013-07-27T00:00:00"/>
    <n v="71"/>
    <n v="0"/>
    <n v="0"/>
    <n v="0"/>
    <n v="2"/>
    <n v="63"/>
    <x v="0"/>
    <x v="42"/>
  </r>
  <r>
    <n v="1606"/>
    <n v="8969"/>
    <n v="1977"/>
    <s v="Graduation"/>
    <s v="Married"/>
    <n v="71855"/>
    <n v="0"/>
    <d v="1899-12-31T00:00:00"/>
    <d v="2013-01-16T00:00:00"/>
    <n v="59"/>
    <n v="31"/>
    <n v="112"/>
    <n v="112"/>
    <n v="11"/>
    <n v="49"/>
    <x v="1"/>
    <x v="133"/>
  </r>
  <r>
    <n v="1607"/>
    <n v="4656"/>
    <n v="1990"/>
    <s v="2n Cycle"/>
    <s v="Single"/>
    <n v="51250"/>
    <n v="1"/>
    <d v="1899-12-30T00:00:00"/>
    <d v="2013-03-30T00:00:00"/>
    <n v="28"/>
    <n v="32"/>
    <n v="32"/>
    <n v="32"/>
    <n v="4"/>
    <n v="36"/>
    <x v="1"/>
    <x v="50"/>
  </r>
  <r>
    <n v="1608"/>
    <n v="4480"/>
    <n v="1973"/>
    <s v="Master"/>
    <s v="Married"/>
    <n v="60432"/>
    <n v="0"/>
    <d v="1899-12-31T00:00:00"/>
    <d v="2014-03-09T00:00:00"/>
    <n v="61"/>
    <n v="3"/>
    <n v="3"/>
    <n v="3"/>
    <n v="5"/>
    <n v="53"/>
    <x v="0"/>
    <x v="41"/>
  </r>
  <r>
    <n v="1609"/>
    <n v="9971"/>
    <n v="1964"/>
    <s v="PhD"/>
    <s v="Married"/>
    <n v="65526"/>
    <n v="0"/>
    <d v="1899-12-31T00:00:00"/>
    <d v="2014-04-11T00:00:00"/>
    <n v="22"/>
    <n v="19"/>
    <n v="0"/>
    <n v="0"/>
    <n v="8"/>
    <n v="62"/>
    <x v="0"/>
    <x v="41"/>
  </r>
  <r>
    <n v="1610"/>
    <n v="6729"/>
    <n v="1988"/>
    <s v="Graduation"/>
    <s v="Single"/>
    <n v="68655"/>
    <n v="0"/>
    <d v="1899-12-30T00:00:00"/>
    <d v="2012-08-10T00:00:00"/>
    <n v="95"/>
    <n v="19"/>
    <n v="118"/>
    <n v="118"/>
    <n v="11"/>
    <n v="38"/>
    <x v="1"/>
    <x v="96"/>
  </r>
  <r>
    <n v="1611"/>
    <n v="1773"/>
    <n v="1978"/>
    <s v="2n Cycle"/>
    <s v="Married"/>
    <n v="12393"/>
    <n v="0"/>
    <d v="1899-12-30T00:00:00"/>
    <d v="2012-12-04T00:00:00"/>
    <n v="38"/>
    <n v="6"/>
    <n v="7"/>
    <n v="7"/>
    <n v="3"/>
    <n v="48"/>
    <x v="1"/>
    <x v="11"/>
  </r>
  <r>
    <n v="1612"/>
    <n v="9242"/>
    <n v="1990"/>
    <s v="Graduation"/>
    <s v="Single"/>
    <n v="64509"/>
    <n v="0"/>
    <d v="1899-12-30T00:00:00"/>
    <d v="2013-08-17T00:00:00"/>
    <n v="19"/>
    <n v="185"/>
    <n v="25"/>
    <n v="25"/>
    <n v="9"/>
    <n v="36"/>
    <x v="1"/>
    <x v="35"/>
  </r>
  <r>
    <n v="1613"/>
    <n v="1764"/>
    <n v="1975"/>
    <s v="Graduation"/>
    <s v="Single"/>
    <n v="33955"/>
    <n v="1"/>
    <d v="1899-12-30T00:00:00"/>
    <d v="2013-08-09T00:00:00"/>
    <n v="92"/>
    <n v="2"/>
    <n v="7"/>
    <n v="7"/>
    <n v="5"/>
    <n v="51"/>
    <x v="0"/>
    <x v="51"/>
  </r>
  <r>
    <n v="1614"/>
    <n v="6215"/>
    <n v="1977"/>
    <s v="Graduation"/>
    <s v="Married"/>
    <n v="31353"/>
    <n v="1"/>
    <d v="1899-12-31T00:00:00"/>
    <d v="2013-12-29T00:00:00"/>
    <n v="24"/>
    <n v="0"/>
    <n v="1"/>
    <n v="1"/>
    <n v="2"/>
    <n v="49"/>
    <x v="1"/>
    <x v="1"/>
  </r>
  <r>
    <n v="1615"/>
    <n v="10099"/>
    <n v="1984"/>
    <s v="Graduation"/>
    <s v="Married"/>
    <n v="55434"/>
    <n v="1"/>
    <d v="1899-12-30T00:00:00"/>
    <d v="2013-10-05T00:00:00"/>
    <n v="21"/>
    <n v="115"/>
    <n v="69"/>
    <n v="69"/>
    <n v="13"/>
    <n v="42"/>
    <x v="1"/>
    <x v="59"/>
  </r>
  <r>
    <n v="1616"/>
    <n v="5423"/>
    <n v="1983"/>
    <s v="Graduation"/>
    <s v="Together"/>
    <n v="28359"/>
    <n v="1"/>
    <d v="1899-12-30T00:00:00"/>
    <d v="2013-10-27T00:00:00"/>
    <n v="35"/>
    <n v="0"/>
    <n v="1"/>
    <n v="1"/>
    <n v="2"/>
    <n v="43"/>
    <x v="1"/>
    <x v="1"/>
  </r>
  <r>
    <n v="1617"/>
    <n v="940"/>
    <n v="1987"/>
    <s v="Graduation"/>
    <s v="Single"/>
    <n v="57100"/>
    <n v="1"/>
    <d v="1899-12-30T00:00:00"/>
    <d v="2014-05-18T00:00:00"/>
    <n v="9"/>
    <n v="11"/>
    <n v="11"/>
    <n v="11"/>
    <n v="7"/>
    <n v="39"/>
    <x v="1"/>
    <x v="14"/>
  </r>
  <r>
    <n v="1618"/>
    <n v="3011"/>
    <n v="1965"/>
    <s v="Graduation"/>
    <s v="Married"/>
    <n v="69139"/>
    <n v="0"/>
    <d v="1899-12-31T00:00:00"/>
    <d v="2014-01-27T00:00:00"/>
    <n v="23"/>
    <n v="12"/>
    <n v="15"/>
    <n v="15"/>
    <n v="5"/>
    <n v="61"/>
    <x v="0"/>
    <x v="26"/>
  </r>
  <r>
    <n v="1619"/>
    <n v="3298"/>
    <n v="1956"/>
    <s v="Master"/>
    <s v="Married"/>
    <n v="52973"/>
    <n v="0"/>
    <d v="1899-12-31T00:00:00"/>
    <d v="2012-11-08T00:00:00"/>
    <n v="92"/>
    <n v="0"/>
    <n v="9"/>
    <n v="9"/>
    <n v="9"/>
    <n v="70"/>
    <x v="0"/>
    <x v="14"/>
  </r>
  <r>
    <n v="1620"/>
    <n v="8286"/>
    <n v="1965"/>
    <s v="PhD"/>
    <s v="Together"/>
    <n v="51717"/>
    <n v="0"/>
    <d v="1899-12-31T00:00:00"/>
    <d v="2013-08-20T00:00:00"/>
    <n v="55"/>
    <n v="1"/>
    <n v="1"/>
    <n v="1"/>
    <n v="4"/>
    <n v="61"/>
    <x v="0"/>
    <x v="7"/>
  </r>
  <r>
    <n v="1621"/>
    <n v="9668"/>
    <n v="1971"/>
    <s v="Graduation"/>
    <s v="Married"/>
    <n v="18793"/>
    <n v="1"/>
    <d v="1899-12-30T00:00:00"/>
    <d v="2013-01-12T00:00:00"/>
    <n v="14"/>
    <n v="16"/>
    <n v="17"/>
    <n v="17"/>
    <n v="4"/>
    <n v="55"/>
    <x v="0"/>
    <x v="81"/>
  </r>
  <r>
    <n v="1622"/>
    <n v="5120"/>
    <n v="1982"/>
    <s v="2n Cycle"/>
    <s v="Together"/>
    <n v="66664"/>
    <n v="0"/>
    <d v="1899-12-30T00:00:00"/>
    <d v="2012-09-25T00:00:00"/>
    <n v="78"/>
    <n v="96"/>
    <n v="96"/>
    <n v="96"/>
    <n v="6"/>
    <n v="44"/>
    <x v="1"/>
    <x v="87"/>
  </r>
  <r>
    <n v="1623"/>
    <n v="6097"/>
    <n v="1959"/>
    <s v="Graduation"/>
    <s v="Single"/>
    <n v="50664"/>
    <n v="1"/>
    <d v="1899-12-31T00:00:00"/>
    <d v="2013-01-16T00:00:00"/>
    <n v="64"/>
    <n v="8"/>
    <n v="4"/>
    <n v="4"/>
    <n v="6"/>
    <n v="67"/>
    <x v="0"/>
    <x v="11"/>
  </r>
  <r>
    <n v="1624"/>
    <n v="7019"/>
    <n v="1963"/>
    <s v="Graduation"/>
    <s v="Together"/>
    <n v="54414"/>
    <n v="1"/>
    <d v="1899-12-31T00:00:00"/>
    <d v="2013-01-23T00:00:00"/>
    <n v="49"/>
    <n v="18"/>
    <n v="26"/>
    <n v="26"/>
    <n v="5"/>
    <n v="63"/>
    <x v="0"/>
    <x v="2"/>
  </r>
  <r>
    <n v="1625"/>
    <n v="7408"/>
    <n v="1952"/>
    <s v="PhD"/>
    <s v="Married"/>
    <n v="54549"/>
    <n v="0"/>
    <d v="1899-12-31T00:00:00"/>
    <d v="2014-03-03T00:00:00"/>
    <n v="8"/>
    <n v="2"/>
    <n v="0"/>
    <n v="0"/>
    <n v="4"/>
    <n v="74"/>
    <x v="0"/>
    <x v="9"/>
  </r>
  <r>
    <n v="1626"/>
    <n v="8041"/>
    <n v="1971"/>
    <s v="PhD"/>
    <s v="Widow"/>
    <n v="47111"/>
    <n v="0"/>
    <d v="1899-12-31T00:00:00"/>
    <d v="2012-09-08T00:00:00"/>
    <n v="35"/>
    <n v="71"/>
    <n v="112"/>
    <n v="112"/>
    <n v="10"/>
    <n v="55"/>
    <x v="0"/>
    <x v="161"/>
  </r>
  <r>
    <n v="1627"/>
    <n v="252"/>
    <n v="1963"/>
    <s v="PhD"/>
    <s v="Divorced"/>
    <n v="41003"/>
    <n v="0"/>
    <d v="1899-12-30T00:00:00"/>
    <d v="2013-03-17T00:00:00"/>
    <n v="11"/>
    <n v="133"/>
    <n v="44"/>
    <n v="44"/>
    <n v="8"/>
    <n v="63"/>
    <x v="0"/>
    <x v="5"/>
  </r>
  <r>
    <n v="1628"/>
    <n v="9986"/>
    <n v="1982"/>
    <s v="Graduation"/>
    <s v="Together"/>
    <n v="19444"/>
    <n v="1"/>
    <d v="1899-12-30T00:00:00"/>
    <d v="2014-02-22T00:00:00"/>
    <n v="8"/>
    <n v="0"/>
    <n v="2"/>
    <n v="2"/>
    <n v="2"/>
    <n v="44"/>
    <x v="1"/>
    <x v="9"/>
  </r>
  <r>
    <n v="1629"/>
    <n v="3276"/>
    <n v="1976"/>
    <s v="2n Cycle"/>
    <s v="Together"/>
    <n v="36301"/>
    <n v="1"/>
    <d v="1899-12-30T00:00:00"/>
    <d v="2013-10-25T00:00:00"/>
    <n v="53"/>
    <n v="12"/>
    <n v="5"/>
    <n v="5"/>
    <n v="3"/>
    <n v="50"/>
    <x v="1"/>
    <x v="41"/>
  </r>
  <r>
    <n v="1630"/>
    <n v="3859"/>
    <n v="1947"/>
    <s v="PhD"/>
    <s v="Together"/>
    <n v="73059"/>
    <n v="0"/>
    <d v="1899-12-31T00:00:00"/>
    <d v="2013-08-31T00:00:00"/>
    <n v="36"/>
    <n v="112"/>
    <n v="82"/>
    <n v="82"/>
    <n v="13"/>
    <n v="79"/>
    <x v="0"/>
    <x v="130"/>
  </r>
  <r>
    <n v="1631"/>
    <n v="3570"/>
    <n v="1969"/>
    <s v="PhD"/>
    <s v="Together"/>
    <n v="42731"/>
    <n v="1"/>
    <d v="1899-12-30T00:00:00"/>
    <d v="2013-10-21T00:00:00"/>
    <n v="64"/>
    <n v="2"/>
    <n v="2"/>
    <n v="2"/>
    <n v="5"/>
    <n v="57"/>
    <x v="0"/>
    <x v="3"/>
  </r>
  <r>
    <n v="1632"/>
    <n v="3783"/>
    <n v="1959"/>
    <s v="PhD"/>
    <s v="Married"/>
    <n v="52854"/>
    <n v="1"/>
    <d v="1899-12-31T00:00:00"/>
    <d v="2014-03-24T00:00:00"/>
    <n v="43"/>
    <n v="0"/>
    <n v="1"/>
    <n v="1"/>
    <n v="4"/>
    <n v="67"/>
    <x v="0"/>
    <x v="7"/>
  </r>
  <r>
    <n v="1633"/>
    <n v="10207"/>
    <n v="1978"/>
    <s v="Graduation"/>
    <s v="Together"/>
    <n v="22775"/>
    <n v="1"/>
    <d v="1899-12-30T00:00:00"/>
    <d v="2013-06-19T00:00:00"/>
    <n v="40"/>
    <n v="1"/>
    <n v="0"/>
    <n v="0"/>
    <n v="2"/>
    <n v="48"/>
    <x v="1"/>
    <x v="42"/>
  </r>
  <r>
    <n v="1634"/>
    <n v="10906"/>
    <n v="1948"/>
    <s v="PhD"/>
    <s v="Together"/>
    <n v="46681"/>
    <n v="0"/>
    <d v="1900-01-01T00:00:00"/>
    <d v="2013-10-08T00:00:00"/>
    <n v="52"/>
    <n v="15"/>
    <n v="19"/>
    <n v="19"/>
    <n v="4"/>
    <n v="78"/>
    <x v="0"/>
    <x v="45"/>
  </r>
  <r>
    <n v="1635"/>
    <n v="3427"/>
    <n v="1955"/>
    <s v="PhD"/>
    <s v="Married"/>
    <n v="59821"/>
    <n v="0"/>
    <d v="1899-12-31T00:00:00"/>
    <d v="2013-04-12T00:00:00"/>
    <n v="11"/>
    <n v="0"/>
    <n v="0"/>
    <n v="0"/>
    <n v="7"/>
    <n v="71"/>
    <x v="0"/>
    <x v="3"/>
  </r>
  <r>
    <n v="1636"/>
    <n v="5209"/>
    <n v="1954"/>
    <s v="Graduation"/>
    <s v="Divorced"/>
    <n v="50002"/>
    <n v="0"/>
    <d v="1899-12-31T00:00:00"/>
    <d v="2013-06-17T00:00:00"/>
    <n v="21"/>
    <n v="5"/>
    <n v="16"/>
    <n v="16"/>
    <n v="7"/>
    <n v="72"/>
    <x v="0"/>
    <x v="45"/>
  </r>
  <r>
    <n v="1637"/>
    <n v="10711"/>
    <n v="1945"/>
    <s v="Graduation"/>
    <s v="Married"/>
    <n v="69755"/>
    <n v="0"/>
    <d v="1899-12-30T00:00:00"/>
    <d v="2013-10-02T00:00:00"/>
    <n v="23"/>
    <n v="77"/>
    <n v="23"/>
    <n v="23"/>
    <n v="12"/>
    <n v="81"/>
    <x v="0"/>
    <x v="61"/>
  </r>
  <r>
    <n v="1638"/>
    <n v="10785"/>
    <n v="1969"/>
    <s v="Graduation"/>
    <s v="Married"/>
    <n v="44078"/>
    <n v="1"/>
    <d v="1899-12-31T00:00:00"/>
    <d v="2014-06-19T00:00:00"/>
    <n v="17"/>
    <n v="1"/>
    <n v="0"/>
    <n v="0"/>
    <n v="3"/>
    <n v="57"/>
    <x v="0"/>
    <x v="1"/>
  </r>
  <r>
    <n v="1639"/>
    <n v="2814"/>
    <n v="1976"/>
    <s v="Master"/>
    <s v="Together"/>
    <n v="30560"/>
    <n v="1"/>
    <d v="1899-12-30T00:00:00"/>
    <d v="2013-06-27T00:00:00"/>
    <n v="6"/>
    <n v="1"/>
    <n v="5"/>
    <n v="5"/>
    <n v="3"/>
    <n v="50"/>
    <x v="1"/>
    <x v="41"/>
  </r>
  <r>
    <n v="1640"/>
    <n v="6866"/>
    <n v="1969"/>
    <s v="Master"/>
    <s v="Together"/>
    <n v="35924"/>
    <n v="1"/>
    <d v="1899-12-31T00:00:00"/>
    <d v="2014-03-23T00:00:00"/>
    <n v="56"/>
    <n v="0"/>
    <n v="3"/>
    <n v="3"/>
    <n v="3"/>
    <n v="57"/>
    <x v="0"/>
    <x v="29"/>
  </r>
  <r>
    <n v="1641"/>
    <n v="1665"/>
    <n v="1964"/>
    <s v="PhD"/>
    <s v="Divorced"/>
    <n v="64140"/>
    <n v="0"/>
    <d v="1900-01-01T00:00:00"/>
    <d v="2013-09-23T00:00:00"/>
    <n v="71"/>
    <n v="0"/>
    <n v="15"/>
    <n v="15"/>
    <n v="6"/>
    <n v="62"/>
    <x v="0"/>
    <x v="81"/>
  </r>
  <r>
    <n v="1642"/>
    <n v="6575"/>
    <n v="1981"/>
    <s v="Graduation"/>
    <s v="Together"/>
    <n v="56386"/>
    <n v="1"/>
    <d v="1899-12-31T00:00:00"/>
    <d v="2012-10-27T00:00:00"/>
    <n v="51"/>
    <n v="48"/>
    <n v="32"/>
    <n v="32"/>
    <n v="7"/>
    <n v="45"/>
    <x v="1"/>
    <x v="30"/>
  </r>
  <r>
    <n v="1643"/>
    <n v="3829"/>
    <n v="1979"/>
    <s v="Basic"/>
    <s v="Together"/>
    <n v="24594"/>
    <n v="1"/>
    <d v="1899-12-30T00:00:00"/>
    <d v="2013-12-10T00:00:00"/>
    <n v="94"/>
    <n v="3"/>
    <n v="0"/>
    <n v="0"/>
    <n v="3"/>
    <n v="47"/>
    <x v="1"/>
    <x v="1"/>
  </r>
  <r>
    <n v="1644"/>
    <n v="3091"/>
    <n v="1981"/>
    <s v="2n Cycle"/>
    <s v="Together"/>
    <n v="75774"/>
    <n v="1"/>
    <d v="1899-12-30T00:00:00"/>
    <d v="2014-05-02T00:00:00"/>
    <n v="27"/>
    <n v="21"/>
    <n v="14"/>
    <n v="14"/>
    <n v="8"/>
    <n v="45"/>
    <x v="1"/>
    <x v="62"/>
  </r>
  <r>
    <n v="1645"/>
    <n v="10141"/>
    <n v="1960"/>
    <s v="Master"/>
    <s v="Divorced"/>
    <n v="39228"/>
    <n v="0"/>
    <d v="1899-12-30T00:00:00"/>
    <d v="2013-05-10T00:00:00"/>
    <n v="1"/>
    <n v="1"/>
    <n v="3"/>
    <n v="3"/>
    <n v="3"/>
    <n v="66"/>
    <x v="0"/>
    <x v="29"/>
  </r>
  <r>
    <n v="1646"/>
    <n v="5177"/>
    <n v="1974"/>
    <s v="Master"/>
    <s v="Married"/>
    <n v="58494"/>
    <n v="0"/>
    <d v="1899-12-31T00:00:00"/>
    <d v="2013-12-12T00:00:00"/>
    <n v="56"/>
    <n v="7"/>
    <n v="0"/>
    <n v="0"/>
    <n v="6"/>
    <n v="52"/>
    <x v="0"/>
    <x v="29"/>
  </r>
  <r>
    <n v="1647"/>
    <n v="7005"/>
    <n v="1981"/>
    <s v="Graduation"/>
    <s v="Single"/>
    <n v="58684"/>
    <n v="0"/>
    <d v="1899-12-30T00:00:00"/>
    <d v="2014-06-16T00:00:00"/>
    <n v="71"/>
    <n v="35"/>
    <n v="7"/>
    <n v="7"/>
    <n v="12"/>
    <n v="45"/>
    <x v="1"/>
    <x v="44"/>
  </r>
  <r>
    <n v="1648"/>
    <n v="6409"/>
    <n v="1967"/>
    <s v="Graduation"/>
    <s v="Divorced"/>
    <n v="57136"/>
    <n v="0"/>
    <d v="1899-12-30T00:00:00"/>
    <d v="2013-05-18T00:00:00"/>
    <n v="18"/>
    <n v="140"/>
    <n v="12"/>
    <n v="12"/>
    <n v="7"/>
    <n v="59"/>
    <x v="0"/>
    <x v="44"/>
  </r>
  <r>
    <n v="1649"/>
    <n v="7485"/>
    <n v="1950"/>
    <s v="PhD"/>
    <s v="Widow"/>
    <n v="56551"/>
    <n v="1"/>
    <d v="1899-12-31T00:00:00"/>
    <d v="2014-05-07T00:00:00"/>
    <n v="48"/>
    <n v="4"/>
    <n v="2"/>
    <n v="2"/>
    <n v="4"/>
    <n v="76"/>
    <x v="0"/>
    <x v="29"/>
  </r>
  <r>
    <n v="1650"/>
    <n v="8079"/>
    <n v="1982"/>
    <s v="Graduation"/>
    <s v="Married"/>
    <n v="22448"/>
    <n v="1"/>
    <d v="1899-12-30T00:00:00"/>
    <d v="2014-02-26T00:00:00"/>
    <n v="86"/>
    <n v="1"/>
    <n v="2"/>
    <n v="2"/>
    <n v="3"/>
    <n v="44"/>
    <x v="1"/>
    <x v="7"/>
  </r>
  <r>
    <n v="1651"/>
    <n v="8395"/>
    <n v="1961"/>
    <s v="Graduation"/>
    <s v="Single"/>
    <n v="82014"/>
    <n v="0"/>
    <d v="1899-12-30T00:00:00"/>
    <d v="2012-08-20T00:00:00"/>
    <n v="48"/>
    <n v="37"/>
    <n v="163"/>
    <n v="163"/>
    <n v="12"/>
    <n v="65"/>
    <x v="0"/>
    <x v="172"/>
  </r>
  <r>
    <n v="1652"/>
    <n v="10352"/>
    <n v="1963"/>
    <s v="Graduation"/>
    <s v="Widow"/>
    <n v="34213"/>
    <n v="1"/>
    <d v="1899-12-31T00:00:00"/>
    <d v="2012-09-07T00:00:00"/>
    <n v="2"/>
    <n v="4"/>
    <n v="3"/>
    <n v="3"/>
    <n v="2"/>
    <n v="63"/>
    <x v="0"/>
    <x v="7"/>
  </r>
  <r>
    <n v="1653"/>
    <n v="4931"/>
    <n v="1977"/>
    <s v="Graduation"/>
    <s v="Together"/>
    <n v="157146"/>
    <n v="0"/>
    <d v="1899-12-30T00:00:00"/>
    <d v="2013-04-29T00:00:00"/>
    <n v="13"/>
    <n v="0"/>
    <n v="1"/>
    <n v="1"/>
    <n v="0"/>
    <n v="49"/>
    <x v="1"/>
    <x v="8"/>
  </r>
  <r>
    <n v="1654"/>
    <n v="13"/>
    <n v="1947"/>
    <s v="PhD"/>
    <s v="Widow"/>
    <n v="25358"/>
    <n v="0"/>
    <d v="1899-12-31T00:00:00"/>
    <d v="2013-07-22T00:00:00"/>
    <n v="57"/>
    <n v="0"/>
    <n v="0"/>
    <n v="0"/>
    <n v="3"/>
    <n v="79"/>
    <x v="0"/>
    <x v="1"/>
  </r>
  <r>
    <n v="1655"/>
    <n v="1834"/>
    <n v="1978"/>
    <s v="Master"/>
    <s v="Single"/>
    <n v="35544"/>
    <n v="1"/>
    <d v="1899-12-30T00:00:00"/>
    <d v="2014-03-08T00:00:00"/>
    <n v="77"/>
    <n v="5"/>
    <n v="1"/>
    <n v="1"/>
    <n v="3"/>
    <n v="48"/>
    <x v="1"/>
    <x v="9"/>
  </r>
  <r>
    <n v="1656"/>
    <n v="2285"/>
    <n v="1954"/>
    <s v="Master"/>
    <s v="Together"/>
    <n v="36634"/>
    <n v="0"/>
    <d v="1899-12-31T00:00:00"/>
    <d v="2013-05-28T00:00:00"/>
    <n v="0"/>
    <n v="9"/>
    <n v="3"/>
    <n v="3"/>
    <n v="5"/>
    <n v="72"/>
    <x v="0"/>
    <x v="41"/>
  </r>
  <r>
    <n v="1657"/>
    <n v="2295"/>
    <n v="1954"/>
    <s v="PhD"/>
    <s v="Married"/>
    <n v="62670"/>
    <n v="0"/>
    <d v="1899-12-31T00:00:00"/>
    <d v="2014-02-02T00:00:00"/>
    <n v="57"/>
    <n v="30"/>
    <n v="46"/>
    <n v="46"/>
    <n v="13"/>
    <n v="72"/>
    <x v="0"/>
    <x v="79"/>
  </r>
  <r>
    <n v="1658"/>
    <n v="1378"/>
    <n v="1972"/>
    <s v="2n Cycle"/>
    <s v="Together"/>
    <n v="50334"/>
    <n v="0"/>
    <d v="1899-12-31T00:00:00"/>
    <d v="2013-07-24T00:00:00"/>
    <n v="24"/>
    <n v="16"/>
    <n v="16"/>
    <n v="16"/>
    <n v="6"/>
    <n v="54"/>
    <x v="0"/>
    <x v="62"/>
  </r>
  <r>
    <n v="1659"/>
    <n v="2781"/>
    <n v="1981"/>
    <s v="Graduation"/>
    <s v="Single"/>
    <n v="72066"/>
    <n v="0"/>
    <d v="1899-12-30T00:00:00"/>
    <d v="2014-06-23T00:00:00"/>
    <n v="55"/>
    <n v="34"/>
    <n v="51"/>
    <n v="51"/>
    <n v="6"/>
    <n v="45"/>
    <x v="1"/>
    <x v="64"/>
  </r>
  <r>
    <n v="1660"/>
    <n v="1165"/>
    <n v="1958"/>
    <s v="PhD"/>
    <s v="Single"/>
    <n v="50729"/>
    <n v="1"/>
    <d v="1899-12-31T00:00:00"/>
    <d v="2013-05-02T00:00:00"/>
    <n v="62"/>
    <n v="13"/>
    <n v="4"/>
    <n v="4"/>
    <n v="7"/>
    <n v="68"/>
    <x v="0"/>
    <x v="20"/>
  </r>
  <r>
    <n v="1661"/>
    <n v="1404"/>
    <n v="1968"/>
    <s v="Graduation"/>
    <s v="Together"/>
    <n v="34916"/>
    <n v="2"/>
    <d v="1899-12-30T00:00:00"/>
    <d v="2013-05-15T00:00:00"/>
    <n v="89"/>
    <n v="23"/>
    <n v="0"/>
    <n v="0"/>
    <n v="3"/>
    <n v="58"/>
    <x v="0"/>
    <x v="1"/>
  </r>
  <r>
    <n v="1662"/>
    <n v="6457"/>
    <n v="1976"/>
    <s v="Graduation"/>
    <s v="Divorced"/>
    <n v="64892"/>
    <n v="0"/>
    <d v="1899-12-31T00:00:00"/>
    <d v="2014-05-29T00:00:00"/>
    <n v="77"/>
    <n v="24"/>
    <n v="24"/>
    <n v="24"/>
    <n v="12"/>
    <n v="50"/>
    <x v="1"/>
    <x v="50"/>
  </r>
  <r>
    <n v="1663"/>
    <n v="2639"/>
    <n v="1966"/>
    <s v="Graduation"/>
    <s v="Single"/>
    <n v="43602"/>
    <n v="1"/>
    <d v="1899-12-31T00:00:00"/>
    <d v="2014-01-10T00:00:00"/>
    <n v="45"/>
    <n v="5"/>
    <n v="3"/>
    <n v="3"/>
    <n v="2"/>
    <n v="60"/>
    <x v="0"/>
    <x v="7"/>
  </r>
  <r>
    <n v="1664"/>
    <n v="8299"/>
    <n v="1989"/>
    <s v="PhD"/>
    <s v="Single"/>
    <n v="33996"/>
    <n v="0"/>
    <d v="1899-12-30T00:00:00"/>
    <d v="2013-09-11T00:00:00"/>
    <n v="46"/>
    <n v="2"/>
    <n v="0"/>
    <n v="0"/>
    <n v="3"/>
    <n v="37"/>
    <x v="1"/>
    <x v="1"/>
  </r>
  <r>
    <n v="1665"/>
    <n v="6437"/>
    <n v="1985"/>
    <s v="2n Cycle"/>
    <s v="Single"/>
    <n v="41473"/>
    <n v="1"/>
    <d v="1899-12-30T00:00:00"/>
    <d v="2013-06-19T00:00:00"/>
    <n v="80"/>
    <n v="8"/>
    <n v="3"/>
    <n v="3"/>
    <n v="3"/>
    <n v="41"/>
    <x v="1"/>
    <x v="29"/>
  </r>
  <r>
    <n v="1666"/>
    <n v="6912"/>
    <n v="1967"/>
    <s v="PhD"/>
    <s v="Married"/>
    <n v="63246"/>
    <n v="0"/>
    <d v="1900-01-01T00:00:00"/>
    <d v="2013-08-20T00:00:00"/>
    <n v="60"/>
    <n v="30"/>
    <n v="22"/>
    <n v="22"/>
    <n v="12"/>
    <n v="59"/>
    <x v="0"/>
    <x v="35"/>
  </r>
  <r>
    <n v="1667"/>
    <n v="7327"/>
    <n v="1959"/>
    <s v="PhD"/>
    <s v="Married"/>
    <n v="36732"/>
    <n v="1"/>
    <d v="1899-12-31T00:00:00"/>
    <d v="2013-12-29T00:00:00"/>
    <n v="71"/>
    <n v="5"/>
    <n v="1"/>
    <n v="1"/>
    <n v="4"/>
    <n v="67"/>
    <x v="0"/>
    <x v="7"/>
  </r>
  <r>
    <n v="1668"/>
    <n v="5299"/>
    <n v="1970"/>
    <s v="PhD"/>
    <s v="Married"/>
    <n v="69084"/>
    <n v="1"/>
    <d v="1899-12-30T00:00:00"/>
    <d v="2013-11-19T00:00:00"/>
    <n v="43"/>
    <n v="107"/>
    <n v="30"/>
    <n v="30"/>
    <n v="13"/>
    <n v="56"/>
    <x v="0"/>
    <x v="17"/>
  </r>
  <r>
    <n v="1669"/>
    <n v="4127"/>
    <n v="1967"/>
    <s v="PhD"/>
    <s v="Married"/>
    <n v="77766"/>
    <n v="0"/>
    <d v="1899-12-31T00:00:00"/>
    <d v="2013-02-22T00:00:00"/>
    <n v="97"/>
    <n v="59"/>
    <n v="59"/>
    <n v="59"/>
    <n v="11"/>
    <n v="59"/>
    <x v="0"/>
    <x v="120"/>
  </r>
  <r>
    <n v="1670"/>
    <n v="8143"/>
    <n v="1985"/>
    <s v="PhD"/>
    <s v="Single"/>
    <n v="37929"/>
    <n v="0"/>
    <d v="1899-12-30T00:00:00"/>
    <d v="2013-07-30T00:00:00"/>
    <n v="49"/>
    <n v="2"/>
    <n v="2"/>
    <n v="2"/>
    <n v="5"/>
    <n v="41"/>
    <x v="1"/>
    <x v="3"/>
  </r>
  <r>
    <n v="1671"/>
    <n v="1964"/>
    <n v="1951"/>
    <s v="Graduation"/>
    <s v="Together"/>
    <n v="86610"/>
    <n v="0"/>
    <d v="1899-12-30T00:00:00"/>
    <d v="2013-09-05T00:00:00"/>
    <n v="66"/>
    <n v="107"/>
    <n v="196"/>
    <n v="196"/>
    <n v="6"/>
    <n v="75"/>
    <x v="0"/>
    <x v="115"/>
  </r>
  <r>
    <n v="1672"/>
    <n v="3690"/>
    <n v="1986"/>
    <s v="Master"/>
    <s v="Married"/>
    <n v="80141"/>
    <n v="0"/>
    <d v="1899-12-30T00:00:00"/>
    <d v="2013-01-11T00:00:00"/>
    <n v="20"/>
    <n v="102"/>
    <n v="40"/>
    <n v="40"/>
    <n v="10"/>
    <n v="40"/>
    <x v="1"/>
    <x v="32"/>
  </r>
  <r>
    <n v="1673"/>
    <n v="3433"/>
    <n v="1955"/>
    <s v="2n Cycle"/>
    <s v="Married"/>
    <n v="72635"/>
    <n v="0"/>
    <d v="1899-12-30T00:00:00"/>
    <d v="2013-06-03T00:00:00"/>
    <n v="54"/>
    <n v="22"/>
    <n v="35"/>
    <n v="35"/>
    <n v="6"/>
    <n v="71"/>
    <x v="0"/>
    <x v="19"/>
  </r>
  <r>
    <n v="1674"/>
    <n v="3389"/>
    <n v="1970"/>
    <s v="Graduation"/>
    <s v="Married"/>
    <n v="69016"/>
    <n v="0"/>
    <d v="1899-12-31T00:00:00"/>
    <d v="2012-11-22T00:00:00"/>
    <n v="61"/>
    <n v="53"/>
    <n v="107"/>
    <n v="107"/>
    <n v="13"/>
    <n v="56"/>
    <x v="0"/>
    <x v="10"/>
  </r>
  <r>
    <n v="1675"/>
    <n v="4712"/>
    <n v="1991"/>
    <s v="2n Cycle"/>
    <s v="Together"/>
    <n v="20193"/>
    <n v="0"/>
    <d v="1899-12-30T00:00:00"/>
    <d v="2012-11-28T00:00:00"/>
    <n v="18"/>
    <n v="8"/>
    <n v="11"/>
    <n v="11"/>
    <n v="4"/>
    <n v="35"/>
    <x v="1"/>
    <x v="21"/>
  </r>
  <r>
    <n v="1676"/>
    <n v="1170"/>
    <n v="1975"/>
    <s v="Graduation"/>
    <s v="Married"/>
    <n v="27573"/>
    <n v="1"/>
    <d v="1899-12-30T00:00:00"/>
    <d v="2013-03-25T00:00:00"/>
    <n v="45"/>
    <n v="15"/>
    <n v="15"/>
    <n v="15"/>
    <n v="4"/>
    <n v="51"/>
    <x v="0"/>
    <x v="44"/>
  </r>
  <r>
    <n v="1677"/>
    <n v="6347"/>
    <n v="1979"/>
    <s v="Basic"/>
    <s v="Single"/>
    <n v="15862"/>
    <n v="1"/>
    <d v="1899-12-30T00:00:00"/>
    <d v="2013-06-27T00:00:00"/>
    <n v="26"/>
    <n v="1"/>
    <n v="9"/>
    <n v="9"/>
    <n v="3"/>
    <n v="47"/>
    <x v="1"/>
    <x v="51"/>
  </r>
  <r>
    <n v="1678"/>
    <n v="4065"/>
    <n v="1976"/>
    <s v="PhD"/>
    <s v="Married"/>
    <n v="49544"/>
    <n v="1"/>
    <d v="1899-12-30T00:00:00"/>
    <d v="2013-02-12T00:00:00"/>
    <n v="0"/>
    <n v="0"/>
    <n v="0"/>
    <n v="0"/>
    <n v="8"/>
    <n v="50"/>
    <x v="1"/>
    <x v="41"/>
  </r>
  <r>
    <n v="1679"/>
    <n v="8230"/>
    <n v="1980"/>
    <s v="Graduation"/>
    <s v="Married"/>
    <n v="33228"/>
    <n v="1"/>
    <d v="1899-12-30T00:00:00"/>
    <d v="2014-01-23T00:00:00"/>
    <n v="28"/>
    <n v="2"/>
    <n v="4"/>
    <n v="4"/>
    <n v="3"/>
    <n v="46"/>
    <x v="1"/>
    <x v="3"/>
  </r>
  <r>
    <n v="1680"/>
    <n v="1215"/>
    <n v="1978"/>
    <s v="Graduation"/>
    <s v="Together"/>
    <n v="70440"/>
    <n v="0"/>
    <d v="1899-12-30T00:00:00"/>
    <d v="2013-10-08T00:00:00"/>
    <n v="49"/>
    <n v="117"/>
    <n v="102"/>
    <n v="102"/>
    <n v="7"/>
    <n v="48"/>
    <x v="1"/>
    <x v="132"/>
  </r>
  <r>
    <n v="1681"/>
    <n v="5939"/>
    <n v="1971"/>
    <s v="Graduation"/>
    <s v="Together"/>
    <n v="38232"/>
    <n v="1"/>
    <d v="1899-12-31T00:00:00"/>
    <d v="2014-01-17T00:00:00"/>
    <n v="84"/>
    <n v="5"/>
    <n v="6"/>
    <n v="6"/>
    <n v="3"/>
    <n v="55"/>
    <x v="0"/>
    <x v="18"/>
  </r>
  <r>
    <n v="1682"/>
    <n v="2156"/>
    <n v="1955"/>
    <s v="PhD"/>
    <s v="Married"/>
    <n v="22554"/>
    <n v="1"/>
    <d v="1899-12-31T00:00:00"/>
    <d v="2012-11-03T00:00:00"/>
    <n v="38"/>
    <n v="0"/>
    <n v="0"/>
    <n v="0"/>
    <n v="4"/>
    <n v="71"/>
    <x v="0"/>
    <x v="9"/>
  </r>
  <r>
    <n v="1683"/>
    <n v="7788"/>
    <n v="1983"/>
    <s v="PhD"/>
    <s v="Married"/>
    <n v="23536"/>
    <n v="1"/>
    <d v="1899-12-30T00:00:00"/>
    <d v="2014-06-04T00:00:00"/>
    <n v="53"/>
    <n v="0"/>
    <n v="0"/>
    <n v="0"/>
    <n v="3"/>
    <n v="43"/>
    <x v="1"/>
    <x v="1"/>
  </r>
  <r>
    <n v="1684"/>
    <n v="10323"/>
    <n v="1952"/>
    <s v="Graduation"/>
    <s v="Married"/>
    <n v="49413"/>
    <n v="0"/>
    <d v="1899-12-31T00:00:00"/>
    <d v="2013-10-25T00:00:00"/>
    <n v="88"/>
    <n v="7"/>
    <n v="2"/>
    <n v="2"/>
    <n v="5"/>
    <n v="74"/>
    <x v="0"/>
    <x v="3"/>
  </r>
  <r>
    <n v="1685"/>
    <n v="7947"/>
    <n v="1969"/>
    <s v="Graduation"/>
    <s v="Married"/>
    <n v="42231"/>
    <n v="1"/>
    <d v="1899-12-31T00:00:00"/>
    <d v="2014-03-25T00:00:00"/>
    <n v="99"/>
    <n v="0"/>
    <n v="1"/>
    <n v="1"/>
    <n v="3"/>
    <n v="57"/>
    <x v="0"/>
    <x v="9"/>
  </r>
  <r>
    <n v="1686"/>
    <n v="1891"/>
    <n v="1980"/>
    <s v="Master"/>
    <s v="Divorced"/>
    <n v="78789"/>
    <n v="0"/>
    <d v="1899-12-30T00:00:00"/>
    <d v="2012-08-08T00:00:00"/>
    <n v="12"/>
    <n v="50"/>
    <n v="83"/>
    <n v="83"/>
    <n v="5"/>
    <n v="46"/>
    <x v="1"/>
    <x v="118"/>
  </r>
  <r>
    <n v="1687"/>
    <n v="2570"/>
    <n v="1968"/>
    <s v="Graduation"/>
    <s v="Together"/>
    <n v="56534"/>
    <n v="0"/>
    <d v="1899-12-31T00:00:00"/>
    <d v="2013-07-23T00:00:00"/>
    <n v="35"/>
    <n v="7"/>
    <n v="0"/>
    <n v="0"/>
    <n v="7"/>
    <n v="58"/>
    <x v="0"/>
    <x v="3"/>
  </r>
  <r>
    <n v="1688"/>
    <n v="9256"/>
    <n v="1971"/>
    <s v="Graduation"/>
    <s v="Single"/>
    <n v="58350"/>
    <n v="0"/>
    <d v="1899-12-31T00:00:00"/>
    <d v="2013-01-04T00:00:00"/>
    <n v="5"/>
    <n v="26"/>
    <n v="80"/>
    <n v="80"/>
    <n v="12"/>
    <n v="55"/>
    <x v="0"/>
    <x v="0"/>
  </r>
  <r>
    <n v="1689"/>
    <n v="295"/>
    <n v="1989"/>
    <s v="Graduation"/>
    <s v="Single"/>
    <n v="81217"/>
    <n v="0"/>
    <d v="1899-12-30T00:00:00"/>
    <d v="2013-07-19T00:00:00"/>
    <n v="77"/>
    <n v="70"/>
    <n v="40"/>
    <n v="40"/>
    <n v="11"/>
    <n v="37"/>
    <x v="1"/>
    <x v="106"/>
  </r>
  <r>
    <n v="1690"/>
    <n v="7397"/>
    <n v="1951"/>
    <s v="Graduation"/>
    <s v="Single"/>
    <n v="49090"/>
    <n v="0"/>
    <d v="1899-12-31T00:00:00"/>
    <d v="2013-07-19T00:00:00"/>
    <n v="45"/>
    <n v="5"/>
    <n v="0"/>
    <n v="0"/>
    <n v="9"/>
    <n v="75"/>
    <x v="0"/>
    <x v="18"/>
  </r>
  <r>
    <n v="1691"/>
    <n v="6349"/>
    <n v="1987"/>
    <s v="Master"/>
    <s v="Divorced"/>
    <n v="61787"/>
    <n v="0"/>
    <d v="1899-12-30T00:00:00"/>
    <d v="2013-07-06T00:00:00"/>
    <n v="71"/>
    <n v="73"/>
    <n v="48"/>
    <n v="48"/>
    <n v="6"/>
    <n v="39"/>
    <x v="1"/>
    <x v="27"/>
  </r>
  <r>
    <n v="1692"/>
    <n v="10790"/>
    <n v="1985"/>
    <s v="PhD"/>
    <s v="Married"/>
    <n v="18169"/>
    <n v="1"/>
    <d v="1899-12-30T00:00:00"/>
    <d v="2013-02-19T00:00:00"/>
    <n v="40"/>
    <n v="0"/>
    <n v="0"/>
    <n v="0"/>
    <n v="2"/>
    <n v="41"/>
    <x v="1"/>
    <x v="42"/>
  </r>
  <r>
    <n v="1693"/>
    <n v="10398"/>
    <n v="1981"/>
    <s v="2n Cycle"/>
    <s v="Single"/>
    <n v="24336"/>
    <n v="1"/>
    <d v="1899-12-30T00:00:00"/>
    <d v="2012-08-27T00:00:00"/>
    <n v="82"/>
    <n v="6"/>
    <n v="2"/>
    <n v="2"/>
    <n v="2"/>
    <n v="45"/>
    <x v="1"/>
    <x v="9"/>
  </r>
  <r>
    <n v="1694"/>
    <n v="2431"/>
    <n v="1990"/>
    <s v="Graduation"/>
    <s v="Married"/>
    <n v="18222"/>
    <n v="0"/>
    <d v="1899-12-30T00:00:00"/>
    <d v="2012-12-31T00:00:00"/>
    <n v="70"/>
    <n v="4"/>
    <n v="6"/>
    <n v="6"/>
    <n v="3"/>
    <n v="36"/>
    <x v="1"/>
    <x v="18"/>
  </r>
  <r>
    <n v="1695"/>
    <n v="550"/>
    <n v="1952"/>
    <s v="Graduation"/>
    <s v="Divorced"/>
    <n v="62335"/>
    <n v="0"/>
    <d v="1899-12-31T00:00:00"/>
    <d v="2013-05-23T00:00:00"/>
    <n v="87"/>
    <n v="131"/>
    <n v="6"/>
    <n v="6"/>
    <n v="13"/>
    <n v="74"/>
    <x v="0"/>
    <x v="44"/>
  </r>
  <r>
    <n v="1696"/>
    <n v="1890"/>
    <n v="1971"/>
    <s v="2n Cycle"/>
    <s v="Together"/>
    <n v="42033"/>
    <n v="1"/>
    <d v="1899-12-31T00:00:00"/>
    <d v="2012-09-19T00:00:00"/>
    <n v="95"/>
    <n v="1"/>
    <n v="0"/>
    <n v="0"/>
    <n v="2"/>
    <n v="55"/>
    <x v="0"/>
    <x v="42"/>
  </r>
  <r>
    <n v="1697"/>
    <n v="10742"/>
    <n v="1983"/>
    <s v="PhD"/>
    <s v="Married"/>
    <n v="86580"/>
    <n v="0"/>
    <d v="1899-12-30T00:00:00"/>
    <d v="2013-02-27T00:00:00"/>
    <n v="72"/>
    <n v="21"/>
    <n v="20"/>
    <n v="20"/>
    <n v="5"/>
    <n v="43"/>
    <x v="1"/>
    <x v="15"/>
  </r>
  <r>
    <n v="1698"/>
    <n v="10356"/>
    <n v="1957"/>
    <s v="PhD"/>
    <s v="Divorced"/>
    <n v="41437"/>
    <n v="1"/>
    <d v="1899-12-31T00:00:00"/>
    <d v="2012-09-22T00:00:00"/>
    <n v="5"/>
    <n v="0"/>
    <n v="0"/>
    <n v="0"/>
    <n v="3"/>
    <n v="69"/>
    <x v="0"/>
    <x v="1"/>
  </r>
  <r>
    <n v="1699"/>
    <n v="4676"/>
    <n v="1951"/>
    <s v="Master"/>
    <s v="Widow"/>
    <n v="73705"/>
    <n v="0"/>
    <d v="1900-01-01T00:00:00"/>
    <d v="2014-03-05T00:00:00"/>
    <n v="86"/>
    <n v="91"/>
    <n v="107"/>
    <n v="107"/>
    <n v="8"/>
    <n v="75"/>
    <x v="0"/>
    <x v="99"/>
  </r>
  <r>
    <n v="1700"/>
    <n v="8852"/>
    <n v="1976"/>
    <s v="Graduation"/>
    <s v="Married"/>
    <n v="61064"/>
    <n v="0"/>
    <d v="1899-12-31T00:00:00"/>
    <d v="2012-08-31T00:00:00"/>
    <n v="80"/>
    <n v="126"/>
    <n v="45"/>
    <n v="45"/>
    <n v="11"/>
    <n v="50"/>
    <x v="1"/>
    <x v="6"/>
  </r>
  <r>
    <n v="1701"/>
    <n v="3565"/>
    <n v="1955"/>
    <s v="Master"/>
    <s v="Married"/>
    <n v="38452"/>
    <n v="1"/>
    <d v="1899-12-31T00:00:00"/>
    <d v="2014-03-30T00:00:00"/>
    <n v="62"/>
    <n v="0"/>
    <n v="0"/>
    <n v="0"/>
    <n v="3"/>
    <n v="71"/>
    <x v="0"/>
    <x v="1"/>
  </r>
  <r>
    <n v="1702"/>
    <n v="5294"/>
    <n v="1989"/>
    <s v="Graduation"/>
    <s v="Single"/>
    <n v="18358"/>
    <n v="1"/>
    <d v="1899-12-30T00:00:00"/>
    <d v="2013-11-20T00:00:00"/>
    <n v="49"/>
    <n v="8"/>
    <n v="4"/>
    <n v="4"/>
    <n v="4"/>
    <n v="37"/>
    <x v="1"/>
    <x v="41"/>
  </r>
  <r>
    <n v="1703"/>
    <n v="1958"/>
    <n v="1973"/>
    <s v="PhD"/>
    <s v="Together"/>
    <n v="55012"/>
    <n v="0"/>
    <d v="1899-12-31T00:00:00"/>
    <d v="2014-03-21T00:00:00"/>
    <n v="85"/>
    <n v="0"/>
    <n v="0"/>
    <n v="0"/>
    <n v="9"/>
    <n v="53"/>
    <x v="0"/>
    <x v="18"/>
  </r>
  <r>
    <n v="1704"/>
    <n v="7349"/>
    <n v="1973"/>
    <s v="Basic"/>
    <s v="Together"/>
    <n v="9722"/>
    <n v="1"/>
    <d v="1899-12-30T00:00:00"/>
    <d v="2012-10-02T00:00:00"/>
    <n v="7"/>
    <n v="17"/>
    <n v="16"/>
    <n v="16"/>
    <n v="3"/>
    <n v="53"/>
    <x v="0"/>
    <x v="44"/>
  </r>
  <r>
    <n v="1705"/>
    <n v="8799"/>
    <n v="1984"/>
    <s v="PhD"/>
    <s v="Married"/>
    <n v="38175"/>
    <n v="1"/>
    <d v="1899-12-30T00:00:00"/>
    <d v="2013-09-23T00:00:00"/>
    <n v="6"/>
    <n v="6"/>
    <n v="3"/>
    <n v="3"/>
    <n v="4"/>
    <n v="42"/>
    <x v="1"/>
    <x v="3"/>
  </r>
  <r>
    <n v="1706"/>
    <n v="1351"/>
    <n v="1956"/>
    <s v="Master"/>
    <s v="Together"/>
    <n v="58656"/>
    <n v="0"/>
    <d v="1899-12-31T00:00:00"/>
    <d v="2012-09-20T00:00:00"/>
    <n v="25"/>
    <n v="12"/>
    <n v="24"/>
    <n v="24"/>
    <n v="13"/>
    <n v="70"/>
    <x v="0"/>
    <x v="78"/>
  </r>
  <r>
    <n v="1707"/>
    <n v="1045"/>
    <n v="1965"/>
    <s v="Graduation"/>
    <s v="Together"/>
    <n v="52117"/>
    <n v="0"/>
    <d v="1899-12-31T00:00:00"/>
    <d v="2012-08-16T00:00:00"/>
    <n v="55"/>
    <n v="10"/>
    <n v="0"/>
    <n v="0"/>
    <n v="4"/>
    <n v="61"/>
    <x v="0"/>
    <x v="9"/>
  </r>
  <r>
    <n v="1708"/>
    <n v="7732"/>
    <n v="1978"/>
    <s v="Graduation"/>
    <s v="Married"/>
    <n v="64813"/>
    <n v="1"/>
    <d v="1899-12-30T00:00:00"/>
    <d v="2014-01-02T00:00:00"/>
    <n v="81"/>
    <n v="0"/>
    <n v="97"/>
    <n v="97"/>
    <n v="10"/>
    <n v="48"/>
    <x v="1"/>
    <x v="174"/>
  </r>
  <r>
    <n v="1709"/>
    <n v="8070"/>
    <n v="1973"/>
    <s v="PhD"/>
    <s v="Married"/>
    <n v="54222"/>
    <n v="0"/>
    <d v="1899-12-31T00:00:00"/>
    <d v="2014-03-01T00:00:00"/>
    <n v="98"/>
    <n v="12"/>
    <n v="12"/>
    <n v="12"/>
    <n v="5"/>
    <n v="53"/>
    <x v="0"/>
    <x v="67"/>
  </r>
  <r>
    <n v="1710"/>
    <n v="477"/>
    <n v="1986"/>
    <s v="Graduation"/>
    <s v="Married"/>
    <n v="83512"/>
    <n v="0"/>
    <d v="1899-12-30T00:00:00"/>
    <d v="2014-06-17T00:00:00"/>
    <n v="31"/>
    <n v="61"/>
    <n v="20"/>
    <n v="20"/>
    <n v="10"/>
    <n v="40"/>
    <x v="1"/>
    <x v="39"/>
  </r>
  <r>
    <n v="1711"/>
    <n v="7832"/>
    <n v="1959"/>
    <s v="Master"/>
    <s v="Married"/>
    <n v="77520"/>
    <n v="0"/>
    <d v="1899-12-31T00:00:00"/>
    <d v="2013-08-28T00:00:00"/>
    <n v="30"/>
    <n v="44"/>
    <n v="88"/>
    <n v="88"/>
    <n v="7"/>
    <n v="67"/>
    <x v="0"/>
    <x v="130"/>
  </r>
  <r>
    <n v="1712"/>
    <n v="2202"/>
    <n v="1978"/>
    <s v="Graduation"/>
    <s v="Together"/>
    <n v="41154"/>
    <n v="0"/>
    <d v="1899-12-31T00:00:00"/>
    <d v="2013-04-09T00:00:00"/>
    <n v="98"/>
    <n v="2"/>
    <n v="3"/>
    <n v="3"/>
    <n v="4"/>
    <n v="48"/>
    <x v="1"/>
    <x v="3"/>
  </r>
  <r>
    <n v="1713"/>
    <n v="7396"/>
    <n v="1966"/>
    <s v="Graduation"/>
    <s v="Married"/>
    <n v="80398"/>
    <n v="0"/>
    <d v="1899-12-30T00:00:00"/>
    <d v="2012-11-10T00:00:00"/>
    <n v="92"/>
    <n v="51"/>
    <n v="35"/>
    <n v="35"/>
    <n v="12"/>
    <n v="60"/>
    <x v="0"/>
    <x v="34"/>
  </r>
  <r>
    <n v="1714"/>
    <n v="4055"/>
    <n v="1992"/>
    <s v="Basic"/>
    <s v="Single"/>
    <n v="18746"/>
    <n v="1"/>
    <d v="1899-12-30T00:00:00"/>
    <d v="2014-05-29T00:00:00"/>
    <n v="41"/>
    <n v="10"/>
    <n v="9"/>
    <n v="9"/>
    <n v="3"/>
    <n v="34"/>
    <x v="1"/>
    <x v="51"/>
  </r>
  <r>
    <n v="1715"/>
    <n v="10340"/>
    <n v="1984"/>
    <s v="Graduation"/>
    <s v="Together"/>
    <n v="35196"/>
    <n v="1"/>
    <d v="1899-12-30T00:00:00"/>
    <d v="2012-11-13T00:00:00"/>
    <n v="68"/>
    <n v="12"/>
    <n v="39"/>
    <n v="39"/>
    <n v="5"/>
    <n v="42"/>
    <x v="1"/>
    <x v="109"/>
  </r>
  <r>
    <n v="1716"/>
    <n v="10091"/>
    <n v="1956"/>
    <s v="Graduation"/>
    <s v="Single"/>
    <n v="60230"/>
    <n v="0"/>
    <d v="1899-12-31T00:00:00"/>
    <d v="2013-05-20T00:00:00"/>
    <n v="78"/>
    <n v="20"/>
    <n v="81"/>
    <n v="81"/>
    <n v="6"/>
    <n v="70"/>
    <x v="0"/>
    <x v="57"/>
  </r>
  <r>
    <n v="1717"/>
    <n v="7629"/>
    <n v="1977"/>
    <s v="Graduation"/>
    <s v="Married"/>
    <n v="22108"/>
    <n v="1"/>
    <d v="1899-12-31T00:00:00"/>
    <d v="2014-05-08T00:00:00"/>
    <n v="46"/>
    <n v="3"/>
    <n v="2"/>
    <n v="2"/>
    <n v="3"/>
    <n v="49"/>
    <x v="1"/>
    <x v="7"/>
  </r>
  <r>
    <n v="1718"/>
    <n v="10640"/>
    <n v="1974"/>
    <s v="Graduation"/>
    <s v="Together"/>
    <n v="44392"/>
    <n v="1"/>
    <d v="1899-12-31T00:00:00"/>
    <d v="2013-09-05T00:00:00"/>
    <n v="71"/>
    <n v="5"/>
    <n v="12"/>
    <n v="12"/>
    <n v="4"/>
    <n v="52"/>
    <x v="0"/>
    <x v="13"/>
  </r>
  <r>
    <n v="1719"/>
    <n v="3498"/>
    <n v="1976"/>
    <s v="PhD"/>
    <s v="Married"/>
    <n v="55424"/>
    <n v="0"/>
    <d v="1899-12-31T00:00:00"/>
    <d v="2012-11-25T00:00:00"/>
    <n v="6"/>
    <n v="61"/>
    <n v="53"/>
    <n v="53"/>
    <n v="9"/>
    <n v="50"/>
    <x v="1"/>
    <x v="128"/>
  </r>
  <r>
    <n v="1720"/>
    <n v="6742"/>
    <n v="1979"/>
    <s v="Graduation"/>
    <s v="Married"/>
    <n v="17688"/>
    <n v="1"/>
    <d v="1899-12-30T00:00:00"/>
    <d v="2013-01-13T00:00:00"/>
    <n v="82"/>
    <n v="2"/>
    <n v="1"/>
    <n v="1"/>
    <n v="2"/>
    <n v="47"/>
    <x v="1"/>
    <x v="1"/>
  </r>
  <r>
    <n v="1721"/>
    <n v="1172"/>
    <n v="1983"/>
    <s v="PhD"/>
    <s v="Married"/>
    <n v="92491"/>
    <n v="0"/>
    <d v="1899-12-30T00:00:00"/>
    <d v="2013-05-01T00:00:00"/>
    <n v="71"/>
    <n v="44"/>
    <n v="25"/>
    <n v="25"/>
    <n v="12"/>
    <n v="43"/>
    <x v="1"/>
    <x v="78"/>
  </r>
  <r>
    <n v="1722"/>
    <n v="569"/>
    <n v="1991"/>
    <s v="Graduation"/>
    <s v="Single"/>
    <n v="90273"/>
    <n v="0"/>
    <d v="1899-12-30T00:00:00"/>
    <d v="2013-12-14T00:00:00"/>
    <n v="32"/>
    <n v="129"/>
    <n v="74"/>
    <n v="74"/>
    <n v="7"/>
    <n v="35"/>
    <x v="1"/>
    <x v="165"/>
  </r>
  <r>
    <n v="1723"/>
    <n v="4686"/>
    <n v="1962"/>
    <s v="PhD"/>
    <s v="Widow"/>
    <n v="82571"/>
    <n v="0"/>
    <d v="1899-12-30T00:00:00"/>
    <d v="2014-04-02T00:00:00"/>
    <n v="28"/>
    <n v="31"/>
    <n v="95"/>
    <n v="95"/>
    <n v="13"/>
    <n v="64"/>
    <x v="0"/>
    <x v="58"/>
  </r>
  <r>
    <n v="1724"/>
    <n v="1381"/>
    <n v="1982"/>
    <s v="PhD"/>
    <s v="Single"/>
    <n v="38513"/>
    <n v="1"/>
    <d v="1899-12-30T00:00:00"/>
    <d v="2014-01-28T00:00:00"/>
    <n v="20"/>
    <n v="3"/>
    <n v="0"/>
    <n v="0"/>
    <n v="5"/>
    <n v="44"/>
    <x v="1"/>
    <x v="7"/>
  </r>
  <r>
    <n v="1725"/>
    <n v="2634"/>
    <n v="1979"/>
    <s v="Master"/>
    <s v="Single"/>
    <n v="16653"/>
    <n v="1"/>
    <d v="1899-12-30T00:00:00"/>
    <d v="2014-04-18T00:00:00"/>
    <n v="10"/>
    <n v="7"/>
    <n v="4"/>
    <n v="4"/>
    <n v="3"/>
    <n v="47"/>
    <x v="1"/>
    <x v="3"/>
  </r>
  <r>
    <n v="1726"/>
    <n v="10905"/>
    <n v="1955"/>
    <s v="Graduation"/>
    <s v="Together"/>
    <n v="42586"/>
    <n v="1"/>
    <d v="1899-12-31T00:00:00"/>
    <d v="2012-10-29T00:00:00"/>
    <n v="7"/>
    <n v="2"/>
    <n v="0"/>
    <n v="0"/>
    <n v="6"/>
    <n v="71"/>
    <x v="0"/>
    <x v="29"/>
  </r>
  <r>
    <n v="1727"/>
    <n v="1744"/>
    <n v="1965"/>
    <s v="Basic"/>
    <s v="Single"/>
    <n v="23529"/>
    <n v="0"/>
    <d v="1899-12-31T00:00:00"/>
    <d v="2013-01-07T00:00:00"/>
    <n v="67"/>
    <n v="7"/>
    <n v="2"/>
    <n v="2"/>
    <n v="2"/>
    <n v="61"/>
    <x v="0"/>
    <x v="9"/>
  </r>
  <r>
    <n v="1728"/>
    <n v="1000"/>
    <n v="1961"/>
    <s v="Master"/>
    <s v="Together"/>
    <n v="74881"/>
    <n v="1"/>
    <d v="1899-12-31T00:00:00"/>
    <d v="2013-03-08T00:00:00"/>
    <n v="48"/>
    <n v="72"/>
    <n v="27"/>
    <n v="27"/>
    <n v="12"/>
    <n v="65"/>
    <x v="0"/>
    <x v="30"/>
  </r>
  <r>
    <n v="1729"/>
    <n v="3828"/>
    <n v="1951"/>
    <s v="Graduation"/>
    <s v="Married"/>
    <n v="71107"/>
    <n v="0"/>
    <d v="1899-12-31T00:00:00"/>
    <d v="2013-02-17T00:00:00"/>
    <n v="61"/>
    <n v="10"/>
    <n v="174"/>
    <n v="174"/>
    <n v="13"/>
    <n v="75"/>
    <x v="0"/>
    <x v="175"/>
  </r>
  <r>
    <n v="1730"/>
    <n v="8605"/>
    <n v="1964"/>
    <s v="PhD"/>
    <s v="Together"/>
    <n v="46910"/>
    <n v="1"/>
    <d v="1899-12-31T00:00:00"/>
    <d v="2014-03-23T00:00:00"/>
    <n v="36"/>
    <n v="0"/>
    <n v="0"/>
    <n v="0"/>
    <n v="3"/>
    <n v="62"/>
    <x v="0"/>
    <x v="1"/>
  </r>
  <r>
    <n v="1731"/>
    <n v="10304"/>
    <n v="1959"/>
    <s v="Graduation"/>
    <s v="Married"/>
    <n v="18690"/>
    <n v="0"/>
    <d v="1899-12-30T00:00:00"/>
    <d v="2012-12-28T00:00:00"/>
    <n v="77"/>
    <n v="1"/>
    <n v="4"/>
    <n v="4"/>
    <n v="2"/>
    <n v="67"/>
    <x v="0"/>
    <x v="29"/>
  </r>
  <r>
    <n v="1732"/>
    <n v="4351"/>
    <n v="1955"/>
    <s v="Graduation"/>
    <s v="Divorced"/>
    <n v="37244"/>
    <n v="1"/>
    <d v="1899-12-31T00:00:00"/>
    <d v="2013-04-27T00:00:00"/>
    <n v="90"/>
    <n v="2"/>
    <n v="0"/>
    <n v="0"/>
    <n v="2"/>
    <n v="71"/>
    <x v="0"/>
    <x v="42"/>
  </r>
  <r>
    <n v="1733"/>
    <n v="10129"/>
    <n v="1966"/>
    <s v="Graduation"/>
    <s v="Together"/>
    <n v="82427"/>
    <n v="0"/>
    <d v="1899-12-30T00:00:00"/>
    <d v="2014-03-12T00:00:00"/>
    <n v="35"/>
    <n v="147"/>
    <n v="107"/>
    <n v="107"/>
    <n v="12"/>
    <n v="60"/>
    <x v="0"/>
    <x v="158"/>
  </r>
  <r>
    <n v="1734"/>
    <n v="2499"/>
    <n v="1958"/>
    <s v="2n Cycle"/>
    <s v="Single"/>
    <n v="75342"/>
    <n v="0"/>
    <d v="1899-12-31T00:00:00"/>
    <d v="2013-05-06T00:00:00"/>
    <n v="38"/>
    <n v="97"/>
    <n v="118"/>
    <n v="118"/>
    <n v="10"/>
    <n v="68"/>
    <x v="0"/>
    <x v="83"/>
  </r>
  <r>
    <n v="1735"/>
    <n v="10092"/>
    <n v="1954"/>
    <s v="Graduation"/>
    <s v="Divorced"/>
    <n v="70044"/>
    <n v="0"/>
    <d v="1899-12-31T00:00:00"/>
    <d v="2013-02-18T00:00:00"/>
    <n v="46"/>
    <n v="0"/>
    <n v="14"/>
    <n v="14"/>
    <n v="5"/>
    <n v="72"/>
    <x v="0"/>
    <x v="44"/>
  </r>
  <r>
    <n v="1736"/>
    <n v="7500"/>
    <n v="1967"/>
    <s v="Graduation"/>
    <s v="Single"/>
    <n v="79146"/>
    <n v="1"/>
    <d v="1899-12-31T00:00:00"/>
    <d v="2014-04-24T00:00:00"/>
    <n v="33"/>
    <n v="16"/>
    <n v="43"/>
    <n v="43"/>
    <n v="8"/>
    <n v="59"/>
    <x v="0"/>
    <x v="106"/>
  </r>
  <r>
    <n v="1737"/>
    <n v="5796"/>
    <n v="1963"/>
    <s v="Graduation"/>
    <s v="Married"/>
    <n v="77437"/>
    <n v="0"/>
    <d v="1899-12-30T00:00:00"/>
    <d v="2013-11-26T00:00:00"/>
    <n v="70"/>
    <n v="21"/>
    <n v="44"/>
    <n v="44"/>
    <n v="13"/>
    <n v="63"/>
    <x v="0"/>
    <x v="64"/>
  </r>
  <r>
    <n v="1738"/>
    <n v="10556"/>
    <n v="1959"/>
    <s v="Graduation"/>
    <s v="Married"/>
    <n v="54984"/>
    <n v="0"/>
    <d v="1899-12-31T00:00:00"/>
    <d v="2014-05-24T00:00:00"/>
    <n v="51"/>
    <n v="13"/>
    <n v="3"/>
    <n v="3"/>
    <n v="6"/>
    <n v="67"/>
    <x v="0"/>
    <x v="18"/>
  </r>
  <r>
    <n v="1739"/>
    <n v="1064"/>
    <n v="1971"/>
    <s v="PhD"/>
    <s v="Married"/>
    <n v="42403"/>
    <n v="1"/>
    <d v="1899-12-30T00:00:00"/>
    <d v="2013-12-11T00:00:00"/>
    <n v="18"/>
    <n v="1"/>
    <n v="5"/>
    <n v="5"/>
    <n v="3"/>
    <n v="55"/>
    <x v="0"/>
    <x v="41"/>
  </r>
  <r>
    <n v="1740"/>
    <n v="48"/>
    <n v="1964"/>
    <s v="Graduation"/>
    <s v="Together"/>
    <n v="55761"/>
    <n v="0"/>
    <d v="1899-12-31T00:00:00"/>
    <d v="2014-04-24T00:00:00"/>
    <n v="97"/>
    <n v="1"/>
    <n v="3"/>
    <n v="3"/>
    <n v="3"/>
    <n v="62"/>
    <x v="0"/>
    <x v="29"/>
  </r>
  <r>
    <n v="1741"/>
    <n v="7610"/>
    <n v="1983"/>
    <s v="Graduation"/>
    <s v="Together"/>
    <n v="37292"/>
    <n v="1"/>
    <d v="1899-12-30T00:00:00"/>
    <d v="2013-04-18T00:00:00"/>
    <n v="32"/>
    <n v="0"/>
    <n v="23"/>
    <n v="23"/>
    <n v="5"/>
    <n v="43"/>
    <x v="1"/>
    <x v="24"/>
  </r>
  <r>
    <n v="1742"/>
    <n v="263"/>
    <n v="1945"/>
    <s v="PhD"/>
    <s v="Single"/>
    <n v="45576"/>
    <n v="0"/>
    <d v="1899-12-30T00:00:00"/>
    <d v="2014-05-28T00:00:00"/>
    <n v="9"/>
    <n v="19"/>
    <n v="14"/>
    <n v="14"/>
    <n v="3"/>
    <n v="81"/>
    <x v="0"/>
    <x v="67"/>
  </r>
  <r>
    <n v="1743"/>
    <n v="10814"/>
    <n v="1947"/>
    <s v="Graduation"/>
    <s v="Together"/>
    <n v="70321"/>
    <n v="0"/>
    <d v="1899-12-30T00:00:00"/>
    <d v="2013-01-16T00:00:00"/>
    <n v="6"/>
    <n v="23"/>
    <n v="26"/>
    <n v="26"/>
    <n v="13"/>
    <n v="79"/>
    <x v="0"/>
    <x v="30"/>
  </r>
  <r>
    <n v="1744"/>
    <n v="9710"/>
    <n v="1969"/>
    <s v="PhD"/>
    <s v="Divorced"/>
    <n v="58086"/>
    <n v="0"/>
    <d v="1899-12-31T00:00:00"/>
    <d v="2013-01-20T00:00:00"/>
    <n v="80"/>
    <n v="7"/>
    <n v="0"/>
    <n v="0"/>
    <n v="7"/>
    <n v="57"/>
    <x v="0"/>
    <x v="3"/>
  </r>
  <r>
    <n v="1745"/>
    <n v="9292"/>
    <n v="1952"/>
    <s v="Graduation"/>
    <s v="Married"/>
    <n v="81795"/>
    <n v="0"/>
    <d v="1899-12-30T00:00:00"/>
    <d v="2012-10-26T00:00:00"/>
    <n v="74"/>
    <n v="132"/>
    <n v="118"/>
    <n v="118"/>
    <n v="7"/>
    <n v="74"/>
    <x v="0"/>
    <x v="71"/>
  </r>
  <r>
    <n v="1746"/>
    <n v="10250"/>
    <n v="1947"/>
    <s v="Basic"/>
    <s v="Together"/>
    <n v="28389"/>
    <n v="0"/>
    <d v="1899-12-30T00:00:00"/>
    <d v="2012-11-20T00:00:00"/>
    <n v="49"/>
    <n v="5"/>
    <n v="4"/>
    <n v="4"/>
    <n v="2"/>
    <n v="79"/>
    <x v="0"/>
    <x v="29"/>
  </r>
  <r>
    <n v="1747"/>
    <n v="7881"/>
    <n v="1946"/>
    <s v="Master"/>
    <s v="Married"/>
    <n v="66835"/>
    <n v="0"/>
    <d v="1899-12-30T00:00:00"/>
    <d v="2013-09-28T00:00:00"/>
    <n v="21"/>
    <n v="26"/>
    <n v="17"/>
    <n v="17"/>
    <n v="13"/>
    <n v="80"/>
    <x v="0"/>
    <x v="39"/>
  </r>
  <r>
    <n v="1748"/>
    <n v="5847"/>
    <n v="1969"/>
    <s v="Graduation"/>
    <s v="Divorced"/>
    <n v="69901"/>
    <n v="0"/>
    <d v="1899-12-31T00:00:00"/>
    <d v="2013-05-29T00:00:00"/>
    <n v="95"/>
    <n v="21"/>
    <n v="92"/>
    <n v="92"/>
    <n v="10"/>
    <n v="57"/>
    <x v="0"/>
    <x v="87"/>
  </r>
  <r>
    <n v="1749"/>
    <n v="737"/>
    <n v="1949"/>
    <s v="PhD"/>
    <s v="Married"/>
    <n v="80360"/>
    <n v="0"/>
    <d v="1899-12-30T00:00:00"/>
    <d v="2013-03-03T00:00:00"/>
    <n v="56"/>
    <n v="86"/>
    <n v="43"/>
    <n v="43"/>
    <n v="5"/>
    <n v="77"/>
    <x v="0"/>
    <x v="121"/>
  </r>
  <r>
    <n v="1750"/>
    <n v="3571"/>
    <n v="1961"/>
    <s v="PhD"/>
    <s v="Together"/>
    <n v="63342"/>
    <n v="0"/>
    <d v="1899-12-31T00:00:00"/>
    <d v="2012-10-16T00:00:00"/>
    <n v="48"/>
    <n v="21"/>
    <n v="10"/>
    <n v="10"/>
    <n v="5"/>
    <n v="65"/>
    <x v="0"/>
    <x v="21"/>
  </r>
  <r>
    <n v="1751"/>
    <n v="7807"/>
    <n v="1974"/>
    <s v="Graduation"/>
    <s v="Married"/>
    <n v="44989"/>
    <n v="0"/>
    <d v="1899-12-31T00:00:00"/>
    <d v="2012-09-12T00:00:00"/>
    <n v="26"/>
    <n v="0"/>
    <n v="10"/>
    <n v="10"/>
    <n v="5"/>
    <n v="52"/>
    <x v="0"/>
    <x v="21"/>
  </r>
  <r>
    <n v="1752"/>
    <n v="3878"/>
    <n v="1980"/>
    <s v="2n Cycle"/>
    <s v="Single"/>
    <n v="31859"/>
    <n v="1"/>
    <d v="1899-12-30T00:00:00"/>
    <d v="2014-02-27T00:00:00"/>
    <n v="3"/>
    <n v="4"/>
    <n v="8"/>
    <n v="8"/>
    <n v="3"/>
    <n v="46"/>
    <x v="1"/>
    <x v="20"/>
  </r>
  <r>
    <n v="1753"/>
    <n v="5092"/>
    <n v="1949"/>
    <s v="PhD"/>
    <s v="Widow"/>
    <n v="51569"/>
    <n v="0"/>
    <d v="1899-12-31T00:00:00"/>
    <d v="2013-02-12T00:00:00"/>
    <n v="39"/>
    <n v="0"/>
    <n v="0"/>
    <n v="0"/>
    <n v="7"/>
    <n v="77"/>
    <x v="0"/>
    <x v="3"/>
  </r>
  <r>
    <n v="1754"/>
    <n v="2154"/>
    <n v="1971"/>
    <s v="Graduation"/>
    <s v="Widow"/>
    <n v="30372"/>
    <n v="1"/>
    <d v="1899-12-31T00:00:00"/>
    <d v="2012-12-25T00:00:00"/>
    <n v="33"/>
    <n v="0"/>
    <n v="3"/>
    <n v="3"/>
    <n v="3"/>
    <n v="55"/>
    <x v="0"/>
    <x v="29"/>
  </r>
  <r>
    <n v="1755"/>
    <n v="5394"/>
    <n v="1979"/>
    <s v="Basic"/>
    <s v="Single"/>
    <n v="16014"/>
    <n v="1"/>
    <d v="1899-12-31T00:00:00"/>
    <d v="2013-03-17T00:00:00"/>
    <n v="42"/>
    <n v="9"/>
    <n v="8"/>
    <n v="8"/>
    <n v="4"/>
    <n v="47"/>
    <x v="1"/>
    <x v="51"/>
  </r>
  <r>
    <n v="1756"/>
    <n v="3798"/>
    <n v="1968"/>
    <s v="Graduation"/>
    <s v="Married"/>
    <n v="41120"/>
    <n v="1"/>
    <d v="1899-12-31T00:00:00"/>
    <d v="2013-11-06T00:00:00"/>
    <n v="80"/>
    <n v="2"/>
    <n v="8"/>
    <n v="8"/>
    <n v="3"/>
    <n v="58"/>
    <x v="0"/>
    <x v="20"/>
  </r>
  <r>
    <n v="1757"/>
    <n v="3524"/>
    <n v="1971"/>
    <s v="Master"/>
    <s v="Single"/>
    <n v="39763"/>
    <n v="1"/>
    <d v="1899-12-30T00:00:00"/>
    <d v="2013-08-04T00:00:00"/>
    <n v="9"/>
    <n v="1"/>
    <n v="6"/>
    <n v="6"/>
    <n v="2"/>
    <n v="55"/>
    <x v="0"/>
    <x v="41"/>
  </r>
  <r>
    <n v="1758"/>
    <n v="5247"/>
    <n v="1955"/>
    <s v="PhD"/>
    <s v="Married"/>
    <n v="38725"/>
    <n v="1"/>
    <d v="1899-12-31T00:00:00"/>
    <d v="2014-05-10T00:00:00"/>
    <n v="52"/>
    <n v="0"/>
    <n v="1"/>
    <n v="1"/>
    <n v="4"/>
    <n v="71"/>
    <x v="0"/>
    <x v="7"/>
  </r>
  <r>
    <n v="1759"/>
    <n v="5883"/>
    <n v="1972"/>
    <s v="Graduation"/>
    <s v="Married"/>
    <n v="77981"/>
    <n v="1"/>
    <d v="1899-12-30T00:00:00"/>
    <d v="2013-05-26T00:00:00"/>
    <n v="78"/>
    <n v="120"/>
    <n v="126"/>
    <n v="126"/>
    <n v="7"/>
    <n v="54"/>
    <x v="0"/>
    <x v="36"/>
  </r>
  <r>
    <n v="1760"/>
    <n v="2118"/>
    <n v="1964"/>
    <s v="2n Cycle"/>
    <s v="Married"/>
    <n v="62905"/>
    <n v="0"/>
    <d v="1899-12-31T00:00:00"/>
    <d v="2013-09-10T00:00:00"/>
    <n v="68"/>
    <n v="75"/>
    <n v="107"/>
    <n v="107"/>
    <n v="8"/>
    <n v="62"/>
    <x v="0"/>
    <x v="99"/>
  </r>
  <r>
    <n v="1761"/>
    <n v="8812"/>
    <n v="1979"/>
    <s v="2n Cycle"/>
    <s v="Divorced"/>
    <n v="13533"/>
    <n v="1"/>
    <d v="1899-12-30T00:00:00"/>
    <d v="2013-03-10T00:00:00"/>
    <n v="45"/>
    <n v="3"/>
    <n v="0"/>
    <n v="0"/>
    <n v="3"/>
    <n v="47"/>
    <x v="1"/>
    <x v="1"/>
  </r>
  <r>
    <n v="1762"/>
    <n v="6616"/>
    <n v="1975"/>
    <s v="Graduation"/>
    <s v="Together"/>
    <n v="59481"/>
    <n v="0"/>
    <d v="1899-12-31T00:00:00"/>
    <d v="2013-10-23T00:00:00"/>
    <n v="47"/>
    <n v="3"/>
    <n v="66"/>
    <n v="66"/>
    <n v="8"/>
    <n v="51"/>
    <x v="0"/>
    <x v="176"/>
  </r>
  <r>
    <n v="1763"/>
    <n v="2797"/>
    <n v="1977"/>
    <s v="Graduation"/>
    <s v="Married"/>
    <n v="72117"/>
    <n v="0"/>
    <d v="1899-12-31T00:00:00"/>
    <d v="2013-08-20T00:00:00"/>
    <n v="34"/>
    <n v="20"/>
    <n v="60"/>
    <n v="60"/>
    <n v="9"/>
    <n v="49"/>
    <x v="1"/>
    <x v="140"/>
  </r>
  <r>
    <n v="1764"/>
    <n v="4328"/>
    <n v="1986"/>
    <s v="2n Cycle"/>
    <s v="Married"/>
    <n v="21955"/>
    <n v="1"/>
    <d v="1899-12-30T00:00:00"/>
    <d v="2013-09-07T00:00:00"/>
    <n v="81"/>
    <n v="1"/>
    <n v="14"/>
    <n v="14"/>
    <n v="3"/>
    <n v="40"/>
    <x v="1"/>
    <x v="67"/>
  </r>
  <r>
    <n v="1765"/>
    <n v="9167"/>
    <n v="1956"/>
    <s v="Graduation"/>
    <s v="Married"/>
    <n v="67131"/>
    <n v="0"/>
    <d v="1899-12-31T00:00:00"/>
    <d v="2013-03-26T00:00:00"/>
    <n v="72"/>
    <n v="71"/>
    <n v="35"/>
    <n v="35"/>
    <n v="12"/>
    <n v="70"/>
    <x v="0"/>
    <x v="34"/>
  </r>
  <r>
    <n v="1766"/>
    <n v="10560"/>
    <n v="1980"/>
    <s v="PhD"/>
    <s v="Single"/>
    <n v="36802"/>
    <n v="1"/>
    <d v="1899-12-30T00:00:00"/>
    <d v="2014-06-16T00:00:00"/>
    <n v="23"/>
    <n v="1"/>
    <n v="0"/>
    <n v="0"/>
    <n v="3"/>
    <n v="46"/>
    <x v="1"/>
    <x v="1"/>
  </r>
  <r>
    <n v="1767"/>
    <n v="2631"/>
    <n v="1982"/>
    <s v="Graduation"/>
    <s v="Together"/>
    <n v="71853"/>
    <n v="0"/>
    <d v="1899-12-30T00:00:00"/>
    <d v="2013-05-08T00:00:00"/>
    <n v="29"/>
    <n v="108"/>
    <n v="97"/>
    <n v="97"/>
    <n v="6"/>
    <n v="44"/>
    <x v="1"/>
    <x v="95"/>
  </r>
  <r>
    <n v="1768"/>
    <n v="8312"/>
    <n v="1961"/>
    <s v="Basic"/>
    <s v="Married"/>
    <n v="28249"/>
    <n v="0"/>
    <d v="1899-12-30T00:00:00"/>
    <d v="2014-06-15T00:00:00"/>
    <n v="80"/>
    <n v="9"/>
    <n v="14"/>
    <n v="14"/>
    <n v="3"/>
    <n v="65"/>
    <x v="0"/>
    <x v="67"/>
  </r>
  <r>
    <n v="1769"/>
    <n v="5534"/>
    <n v="1975"/>
    <s v="Master"/>
    <s v="Married"/>
    <n v="47808"/>
    <n v="0"/>
    <d v="1899-12-31T00:00:00"/>
    <d v="2013-10-20T00:00:00"/>
    <n v="30"/>
    <n v="1"/>
    <n v="0"/>
    <n v="0"/>
    <n v="3"/>
    <n v="51"/>
    <x v="0"/>
    <x v="1"/>
  </r>
  <r>
    <n v="1770"/>
    <n v="5093"/>
    <n v="1974"/>
    <s v="PhD"/>
    <s v="Divorced"/>
    <n v="25509"/>
    <n v="1"/>
    <d v="1899-12-30T00:00:00"/>
    <d v="2012-09-18T00:00:00"/>
    <n v="15"/>
    <n v="3"/>
    <n v="7"/>
    <n v="7"/>
    <n v="3"/>
    <n v="52"/>
    <x v="0"/>
    <x v="11"/>
  </r>
  <r>
    <n v="1771"/>
    <n v="7592"/>
    <n v="1946"/>
    <s v="PhD"/>
    <s v="Married"/>
    <n v="51012"/>
    <n v="0"/>
    <d v="1899-12-30T00:00:00"/>
    <d v="2013-04-18T00:00:00"/>
    <n v="86"/>
    <n v="9"/>
    <n v="9"/>
    <n v="9"/>
    <n v="4"/>
    <n v="80"/>
    <x v="0"/>
    <x v="104"/>
  </r>
  <r>
    <n v="1772"/>
    <n v="8895"/>
    <n v="1985"/>
    <s v="Graduation"/>
    <s v="Single"/>
    <n v="70596"/>
    <n v="0"/>
    <d v="1899-12-30T00:00:00"/>
    <d v="2012-10-05T00:00:00"/>
    <n v="68"/>
    <n v="44"/>
    <n v="0"/>
    <n v="0"/>
    <n v="12"/>
    <n v="41"/>
    <x v="1"/>
    <x v="51"/>
  </r>
  <r>
    <n v="1773"/>
    <n v="8584"/>
    <n v="1952"/>
    <s v="PhD"/>
    <s v="Together"/>
    <n v="85431"/>
    <n v="0"/>
    <d v="1899-12-30T00:00:00"/>
    <d v="2013-06-08T00:00:00"/>
    <n v="54"/>
    <n v="53"/>
    <n v="53"/>
    <n v="53"/>
    <n v="7"/>
    <n v="74"/>
    <x v="0"/>
    <x v="91"/>
  </r>
  <r>
    <n v="1774"/>
    <n v="2694"/>
    <n v="1967"/>
    <s v="Graduation"/>
    <s v="Married"/>
    <n v="42664"/>
    <n v="0"/>
    <d v="1899-12-31T00:00:00"/>
    <d v="2014-03-18T00:00:00"/>
    <n v="44"/>
    <n v="0"/>
    <n v="0"/>
    <n v="0"/>
    <n v="3"/>
    <n v="59"/>
    <x v="0"/>
    <x v="1"/>
  </r>
  <r>
    <n v="1775"/>
    <n v="8910"/>
    <n v="1955"/>
    <s v="Graduation"/>
    <s v="Together"/>
    <n v="42586"/>
    <n v="1"/>
    <d v="1899-12-31T00:00:00"/>
    <d v="2012-10-29T00:00:00"/>
    <n v="7"/>
    <n v="2"/>
    <n v="0"/>
    <n v="0"/>
    <n v="6"/>
    <n v="71"/>
    <x v="0"/>
    <x v="29"/>
  </r>
  <r>
    <n v="1776"/>
    <n v="7433"/>
    <n v="1985"/>
    <s v="Graduation"/>
    <s v="Single"/>
    <n v="29760"/>
    <n v="1"/>
    <d v="1899-12-30T00:00:00"/>
    <d v="2012-08-29T00:00:00"/>
    <n v="87"/>
    <n v="4"/>
    <n v="5"/>
    <n v="5"/>
    <n v="4"/>
    <n v="41"/>
    <x v="1"/>
    <x v="18"/>
  </r>
  <r>
    <n v="1777"/>
    <n v="164"/>
    <n v="1977"/>
    <s v="PhD"/>
    <s v="Married"/>
    <n v="28973"/>
    <n v="0"/>
    <d v="1899-12-30T00:00:00"/>
    <d v="2012-10-13T00:00:00"/>
    <n v="59"/>
    <n v="0"/>
    <n v="2"/>
    <n v="2"/>
    <n v="5"/>
    <n v="49"/>
    <x v="1"/>
    <x v="3"/>
  </r>
  <r>
    <n v="1778"/>
    <n v="10477"/>
    <n v="1973"/>
    <s v="PhD"/>
    <s v="Together"/>
    <n v="39435"/>
    <n v="1"/>
    <d v="1899-12-30T00:00:00"/>
    <d v="2013-08-06T00:00:00"/>
    <n v="16"/>
    <n v="0"/>
    <n v="0"/>
    <n v="0"/>
    <n v="2"/>
    <n v="53"/>
    <x v="0"/>
    <x v="42"/>
  </r>
  <r>
    <n v="1779"/>
    <n v="2681"/>
    <n v="1984"/>
    <s v="2n Cycle"/>
    <s v="Married"/>
    <n v="65370"/>
    <n v="0"/>
    <d v="1899-12-30T00:00:00"/>
    <d v="2013-08-01T00:00:00"/>
    <n v="1"/>
    <n v="22"/>
    <n v="89"/>
    <n v="89"/>
    <n v="13"/>
    <n v="42"/>
    <x v="1"/>
    <x v="87"/>
  </r>
  <r>
    <n v="1780"/>
    <n v="5150"/>
    <n v="1979"/>
    <s v="Basic"/>
    <s v="Single"/>
    <n v="20194"/>
    <n v="1"/>
    <d v="1899-12-30T00:00:00"/>
    <d v="2012-12-17T00:00:00"/>
    <n v="64"/>
    <n v="4"/>
    <n v="10"/>
    <n v="10"/>
    <n v="3"/>
    <n v="47"/>
    <x v="1"/>
    <x v="104"/>
  </r>
  <r>
    <n v="1781"/>
    <n v="5283"/>
    <n v="1976"/>
    <s v="PhD"/>
    <s v="Single"/>
    <n v="42473"/>
    <n v="1"/>
    <d v="1899-12-31T00:00:00"/>
    <d v="2014-02-17T00:00:00"/>
    <n v="72"/>
    <n v="1"/>
    <n v="4"/>
    <n v="4"/>
    <n v="4"/>
    <n v="50"/>
    <x v="1"/>
    <x v="41"/>
  </r>
  <r>
    <n v="1782"/>
    <n v="9645"/>
    <n v="1968"/>
    <s v="Graduation"/>
    <s v="Married"/>
    <n v="64590"/>
    <n v="0"/>
    <d v="1899-12-30T00:00:00"/>
    <d v="2012-10-14T00:00:00"/>
    <n v="98"/>
    <n v="138"/>
    <n v="46"/>
    <n v="46"/>
    <n v="10"/>
    <n v="58"/>
    <x v="0"/>
    <x v="6"/>
  </r>
  <r>
    <n v="1783"/>
    <n v="10678"/>
    <n v="1959"/>
    <s v="Graduation"/>
    <s v="Together"/>
    <n v="71232"/>
    <n v="0"/>
    <d v="1899-12-31T00:00:00"/>
    <d v="2013-11-28T00:00:00"/>
    <n v="91"/>
    <n v="17"/>
    <n v="26"/>
    <n v="26"/>
    <n v="10"/>
    <n v="67"/>
    <x v="0"/>
    <x v="50"/>
  </r>
  <r>
    <n v="1784"/>
    <n v="7261"/>
    <n v="1971"/>
    <s v="Graduation"/>
    <s v="Together"/>
    <n v="34600"/>
    <n v="1"/>
    <d v="1899-12-31T00:00:00"/>
    <d v="2013-01-01T00:00:00"/>
    <n v="8"/>
    <n v="33"/>
    <n v="3"/>
    <n v="3"/>
    <n v="5"/>
    <n v="55"/>
    <x v="0"/>
    <x v="41"/>
  </r>
  <r>
    <n v="1785"/>
    <n v="9648"/>
    <n v="1967"/>
    <s v="Graduation"/>
    <s v="Single"/>
    <n v="46904"/>
    <n v="1"/>
    <d v="1899-12-31T00:00:00"/>
    <d v="2012-11-03T00:00:00"/>
    <n v="20"/>
    <n v="4"/>
    <n v="9"/>
    <n v="9"/>
    <n v="4"/>
    <n v="59"/>
    <x v="0"/>
    <x v="104"/>
  </r>
  <r>
    <n v="1786"/>
    <n v="2870"/>
    <n v="1973"/>
    <s v="Graduation"/>
    <s v="Married"/>
    <n v="49094"/>
    <n v="0"/>
    <d v="1899-12-31T00:00:00"/>
    <d v="2012-09-21T00:00:00"/>
    <n v="6"/>
    <n v="0"/>
    <n v="8"/>
    <n v="8"/>
    <n v="6"/>
    <n v="53"/>
    <x v="0"/>
    <x v="31"/>
  </r>
  <r>
    <n v="1787"/>
    <n v="8008"/>
    <n v="1983"/>
    <s v="Graduation"/>
    <s v="Together"/>
    <n v="36075"/>
    <n v="1"/>
    <d v="1899-12-30T00:00:00"/>
    <d v="2013-12-09T00:00:00"/>
    <n v="54"/>
    <n v="0"/>
    <n v="1"/>
    <n v="1"/>
    <n v="4"/>
    <n v="43"/>
    <x v="1"/>
    <x v="7"/>
  </r>
  <r>
    <n v="1788"/>
    <n v="1513"/>
    <n v="1979"/>
    <s v="2n Cycle"/>
    <s v="Together"/>
    <n v="60839"/>
    <n v="1"/>
    <d v="1899-12-31T00:00:00"/>
    <d v="2012-08-28T00:00:00"/>
    <n v="72"/>
    <n v="21"/>
    <n v="150"/>
    <n v="150"/>
    <n v="12"/>
    <n v="47"/>
    <x v="1"/>
    <x v="177"/>
  </r>
  <r>
    <n v="1789"/>
    <n v="6173"/>
    <n v="1979"/>
    <s v="Graduation"/>
    <s v="Together"/>
    <n v="77298"/>
    <n v="0"/>
    <d v="1899-12-31T00:00:00"/>
    <d v="2013-11-02T00:00:00"/>
    <n v="46"/>
    <n v="115"/>
    <n v="35"/>
    <n v="35"/>
    <n v="11"/>
    <n v="47"/>
    <x v="1"/>
    <x v="54"/>
  </r>
  <r>
    <n v="1790"/>
    <n v="1419"/>
    <n v="1950"/>
    <s v="Graduation"/>
    <s v="Together"/>
    <n v="34026"/>
    <n v="1"/>
    <d v="1899-12-31T00:00:00"/>
    <d v="2013-08-05T00:00:00"/>
    <n v="11"/>
    <n v="6"/>
    <n v="8"/>
    <n v="8"/>
    <n v="3"/>
    <n v="76"/>
    <x v="0"/>
    <x v="20"/>
  </r>
  <r>
    <n v="1791"/>
    <n v="9150"/>
    <n v="1963"/>
    <s v="PhD"/>
    <s v="Single"/>
    <n v="48918"/>
    <n v="1"/>
    <d v="1899-12-31T00:00:00"/>
    <d v="2014-04-12T00:00:00"/>
    <n v="21"/>
    <n v="0"/>
    <n v="0"/>
    <n v="0"/>
    <n v="4"/>
    <n v="63"/>
    <x v="0"/>
    <x v="9"/>
  </r>
  <r>
    <n v="1792"/>
    <n v="7960"/>
    <n v="1962"/>
    <s v="2n Cycle"/>
    <s v="Together"/>
    <n v="82122"/>
    <n v="0"/>
    <d v="1899-12-30T00:00:00"/>
    <d v="2013-08-15T00:00:00"/>
    <n v="89"/>
    <n v="22"/>
    <n v="25"/>
    <n v="25"/>
    <n v="13"/>
    <n v="64"/>
    <x v="0"/>
    <x v="73"/>
  </r>
  <r>
    <n v="1793"/>
    <n v="1250"/>
    <n v="1976"/>
    <s v="Graduation"/>
    <s v="Single"/>
    <n v="37697"/>
    <n v="1"/>
    <d v="1899-12-30T00:00:00"/>
    <d v="2014-02-07T00:00:00"/>
    <n v="82"/>
    <n v="6"/>
    <n v="4"/>
    <n v="4"/>
    <n v="3"/>
    <n v="50"/>
    <x v="1"/>
    <x v="3"/>
  </r>
  <r>
    <n v="1794"/>
    <n v="9905"/>
    <n v="1952"/>
    <s v="Graduation"/>
    <s v="Together"/>
    <n v="34074"/>
    <n v="1"/>
    <d v="1899-12-31T00:00:00"/>
    <d v="2013-07-13T00:00:00"/>
    <n v="69"/>
    <n v="1"/>
    <n v="1"/>
    <n v="1"/>
    <n v="3"/>
    <n v="74"/>
    <x v="0"/>
    <x v="9"/>
  </r>
  <r>
    <n v="1795"/>
    <n v="10691"/>
    <n v="1960"/>
    <s v="Master"/>
    <s v="Married"/>
    <n v="28520"/>
    <n v="1"/>
    <d v="1899-12-31T00:00:00"/>
    <d v="2013-06-14T00:00:00"/>
    <n v="55"/>
    <n v="0"/>
    <n v="2"/>
    <n v="2"/>
    <n v="2"/>
    <n v="66"/>
    <x v="0"/>
    <x v="9"/>
  </r>
  <r>
    <n v="1796"/>
    <n v="7002"/>
    <n v="1955"/>
    <s v="Graduation"/>
    <s v="Single"/>
    <n v="62535"/>
    <n v="0"/>
    <d v="1899-12-31T00:00:00"/>
    <d v="2013-10-03T00:00:00"/>
    <n v="13"/>
    <n v="48"/>
    <n v="45"/>
    <n v="45"/>
    <n v="8"/>
    <n v="71"/>
    <x v="0"/>
    <x v="85"/>
  </r>
  <r>
    <n v="1797"/>
    <n v="2952"/>
    <n v="1977"/>
    <s v="Master"/>
    <s v="Single"/>
    <n v="36273"/>
    <n v="1"/>
    <d v="1899-12-30T00:00:00"/>
    <d v="2014-04-16T00:00:00"/>
    <n v="80"/>
    <n v="3"/>
    <n v="2"/>
    <n v="2"/>
    <n v="3"/>
    <n v="49"/>
    <x v="1"/>
    <x v="7"/>
  </r>
  <r>
    <n v="1798"/>
    <n v="8439"/>
    <n v="1964"/>
    <s v="Graduation"/>
    <s v="Together"/>
    <n v="63404"/>
    <n v="0"/>
    <d v="1900-01-01T00:00:00"/>
    <d v="2014-06-06T00:00:00"/>
    <n v="97"/>
    <n v="26"/>
    <n v="44"/>
    <n v="44"/>
    <n v="4"/>
    <n v="62"/>
    <x v="0"/>
    <x v="121"/>
  </r>
  <r>
    <n v="1799"/>
    <n v="762"/>
    <n v="1981"/>
    <s v="2n Cycle"/>
    <s v="Together"/>
    <n v="75774"/>
    <n v="1"/>
    <d v="1899-12-30T00:00:00"/>
    <d v="2014-05-02T00:00:00"/>
    <n v="27"/>
    <n v="21"/>
    <n v="14"/>
    <n v="14"/>
    <n v="8"/>
    <n v="45"/>
    <x v="1"/>
    <x v="62"/>
  </r>
  <r>
    <n v="1800"/>
    <n v="2831"/>
    <n v="1976"/>
    <s v="Graduation"/>
    <s v="Together"/>
    <n v="78416"/>
    <n v="0"/>
    <d v="1899-12-31T00:00:00"/>
    <d v="2014-06-27T00:00:00"/>
    <n v="99"/>
    <n v="38"/>
    <n v="38"/>
    <n v="38"/>
    <n v="10"/>
    <n v="50"/>
    <x v="1"/>
    <x v="121"/>
  </r>
  <r>
    <n v="1801"/>
    <n v="6977"/>
    <n v="1974"/>
    <s v="Graduation"/>
    <s v="Together"/>
    <n v="75702"/>
    <n v="0"/>
    <d v="1899-12-31T00:00:00"/>
    <d v="2012-10-14T00:00:00"/>
    <n v="87"/>
    <n v="0"/>
    <n v="37"/>
    <n v="37"/>
    <n v="13"/>
    <n v="52"/>
    <x v="0"/>
    <x v="32"/>
  </r>
  <r>
    <n v="1802"/>
    <n v="6289"/>
    <n v="1951"/>
    <s v="Master"/>
    <s v="Together"/>
    <n v="59385"/>
    <n v="1"/>
    <d v="1899-12-31T00:00:00"/>
    <d v="2013-04-28T00:00:00"/>
    <n v="85"/>
    <n v="0"/>
    <n v="4"/>
    <n v="4"/>
    <n v="4"/>
    <n v="75"/>
    <x v="0"/>
    <x v="41"/>
  </r>
  <r>
    <n v="1803"/>
    <n v="4168"/>
    <n v="1966"/>
    <s v="Graduation"/>
    <s v="Single"/>
    <n v="37070"/>
    <n v="1"/>
    <d v="1899-12-31T00:00:00"/>
    <d v="2013-03-20T00:00:00"/>
    <n v="30"/>
    <n v="7"/>
    <n v="15"/>
    <n v="15"/>
    <n v="8"/>
    <n v="60"/>
    <x v="0"/>
    <x v="45"/>
  </r>
  <r>
    <n v="1804"/>
    <n v="8397"/>
    <n v="1951"/>
    <s v="Graduation"/>
    <s v="Married"/>
    <n v="44689"/>
    <n v="1"/>
    <d v="1899-12-31T00:00:00"/>
    <d v="2014-01-10T00:00:00"/>
    <n v="82"/>
    <n v="0"/>
    <n v="0"/>
    <n v="0"/>
    <n v="2"/>
    <n v="75"/>
    <x v="0"/>
    <x v="42"/>
  </r>
  <r>
    <n v="1805"/>
    <n v="9284"/>
    <n v="1958"/>
    <s v="Graduation"/>
    <s v="Together"/>
    <n v="53977"/>
    <n v="0"/>
    <d v="1899-12-31T00:00:00"/>
    <d v="2013-06-08T00:00:00"/>
    <n v="21"/>
    <n v="16"/>
    <n v="24"/>
    <n v="24"/>
    <n v="12"/>
    <n v="68"/>
    <x v="0"/>
    <x v="50"/>
  </r>
  <r>
    <n v="1806"/>
    <n v="6237"/>
    <n v="1966"/>
    <s v="PhD"/>
    <s v="Single"/>
    <n v="7144"/>
    <n v="0"/>
    <d v="1900-01-01T00:00:00"/>
    <d v="2013-12-07T00:00:00"/>
    <n v="92"/>
    <n v="4"/>
    <n v="2"/>
    <n v="2"/>
    <n v="1"/>
    <n v="60"/>
    <x v="0"/>
    <x v="1"/>
  </r>
  <r>
    <n v="1807"/>
    <n v="3130"/>
    <n v="1964"/>
    <s v="Graduation"/>
    <s v="Single"/>
    <n v="18701"/>
    <n v="1"/>
    <d v="1899-12-31T00:00:00"/>
    <d v="2013-06-04T00:00:00"/>
    <n v="95"/>
    <n v="4"/>
    <n v="6"/>
    <n v="6"/>
    <n v="4"/>
    <n v="62"/>
    <x v="0"/>
    <x v="11"/>
  </r>
  <r>
    <n v="1808"/>
    <n v="1619"/>
    <n v="1956"/>
    <s v="Graduation"/>
    <s v="Married"/>
    <n v="90369"/>
    <n v="0"/>
    <d v="1899-12-30T00:00:00"/>
    <d v="2014-04-28T00:00:00"/>
    <n v="2"/>
    <n v="51"/>
    <n v="23"/>
    <n v="23"/>
    <n v="6"/>
    <n v="70"/>
    <x v="0"/>
    <x v="89"/>
  </r>
  <r>
    <n v="1809"/>
    <n v="1990"/>
    <n v="1974"/>
    <s v="PhD"/>
    <s v="Single"/>
    <n v="63159"/>
    <n v="0"/>
    <d v="1899-12-30T00:00:00"/>
    <d v="2012-11-05T00:00:00"/>
    <n v="74"/>
    <n v="34"/>
    <n v="86"/>
    <n v="86"/>
    <n v="8"/>
    <n v="52"/>
    <x v="0"/>
    <x v="63"/>
  </r>
  <r>
    <n v="1810"/>
    <n v="5513"/>
    <n v="1966"/>
    <s v="Graduation"/>
    <s v="Together"/>
    <n v="37758"/>
    <n v="1"/>
    <d v="1899-12-31T00:00:00"/>
    <d v="2012-10-04T00:00:00"/>
    <n v="49"/>
    <n v="2"/>
    <n v="0"/>
    <n v="0"/>
    <n v="3"/>
    <n v="60"/>
    <x v="0"/>
    <x v="1"/>
  </r>
  <r>
    <n v="1811"/>
    <n v="269"/>
    <n v="1963"/>
    <s v="PhD"/>
    <s v="Single"/>
    <n v="46757"/>
    <n v="0"/>
    <d v="1899-12-31T00:00:00"/>
    <d v="2012-11-16T00:00:00"/>
    <n v="71"/>
    <n v="30"/>
    <n v="51"/>
    <n v="51"/>
    <n v="7"/>
    <n v="63"/>
    <x v="0"/>
    <x v="94"/>
  </r>
  <r>
    <n v="1812"/>
    <n v="8093"/>
    <n v="1969"/>
    <s v="Master"/>
    <s v="Married"/>
    <n v="79734"/>
    <n v="0"/>
    <d v="1899-12-30T00:00:00"/>
    <d v="2014-06-28T00:00:00"/>
    <n v="72"/>
    <n v="8"/>
    <n v="62"/>
    <n v="62"/>
    <n v="6"/>
    <n v="57"/>
    <x v="0"/>
    <x v="52"/>
  </r>
  <r>
    <n v="1813"/>
    <n v="10513"/>
    <n v="1992"/>
    <s v="Graduation"/>
    <s v="Together"/>
    <n v="63207"/>
    <n v="0"/>
    <d v="1899-12-30T00:00:00"/>
    <d v="2013-01-20T00:00:00"/>
    <n v="68"/>
    <n v="169"/>
    <n v="169"/>
    <n v="169"/>
    <n v="6"/>
    <n v="34"/>
    <x v="1"/>
    <x v="172"/>
  </r>
  <r>
    <n v="1814"/>
    <n v="10177"/>
    <n v="1954"/>
    <s v="Graduation"/>
    <s v="Divorced"/>
    <n v="72071"/>
    <n v="0"/>
    <d v="1899-12-31T00:00:00"/>
    <d v="2013-02-14T00:00:00"/>
    <n v="4"/>
    <n v="69"/>
    <n v="138"/>
    <n v="138"/>
    <n v="8"/>
    <n v="72"/>
    <x v="0"/>
    <x v="90"/>
  </r>
  <r>
    <n v="1815"/>
    <n v="2549"/>
    <n v="1983"/>
    <s v="PhD"/>
    <s v="Together"/>
    <n v="21840"/>
    <n v="1"/>
    <d v="1899-12-30T00:00:00"/>
    <d v="2013-07-21T00:00:00"/>
    <n v="80"/>
    <n v="0"/>
    <n v="0"/>
    <n v="0"/>
    <n v="3"/>
    <n v="43"/>
    <x v="1"/>
    <x v="1"/>
  </r>
  <r>
    <n v="1816"/>
    <n v="5782"/>
    <n v="1982"/>
    <s v="2n Cycle"/>
    <s v="Together"/>
    <n v="58582"/>
    <n v="0"/>
    <d v="1899-12-31T00:00:00"/>
    <d v="2013-09-28T00:00:00"/>
    <n v="15"/>
    <n v="35"/>
    <n v="77"/>
    <n v="77"/>
    <n v="9"/>
    <n v="44"/>
    <x v="1"/>
    <x v="117"/>
  </r>
  <r>
    <n v="1817"/>
    <n v="10057"/>
    <n v="1951"/>
    <s v="Graduation"/>
    <s v="Single"/>
    <n v="72282"/>
    <n v="0"/>
    <d v="1899-12-30T00:00:00"/>
    <d v="2013-07-19T00:00:00"/>
    <n v="70"/>
    <n v="27"/>
    <n v="139"/>
    <n v="139"/>
    <n v="9"/>
    <n v="75"/>
    <x v="0"/>
    <x v="147"/>
  </r>
  <r>
    <n v="1818"/>
    <n v="10307"/>
    <n v="1956"/>
    <s v="Graduation"/>
    <s v="Married"/>
    <n v="50387"/>
    <n v="0"/>
    <d v="1900-01-01T00:00:00"/>
    <d v="2013-08-31T00:00:00"/>
    <n v="91"/>
    <n v="9"/>
    <n v="14"/>
    <n v="14"/>
    <n v="8"/>
    <n v="70"/>
    <x v="0"/>
    <x v="62"/>
  </r>
  <r>
    <n v="1819"/>
    <n v="8566"/>
    <n v="1961"/>
    <s v="PhD"/>
    <s v="Together"/>
    <n v="32583"/>
    <n v="1"/>
    <d v="1899-12-31T00:00:00"/>
    <d v="2014-06-15T00:00:00"/>
    <n v="10"/>
    <n v="0"/>
    <n v="0"/>
    <n v="0"/>
    <n v="2"/>
    <n v="65"/>
    <x v="0"/>
    <x v="42"/>
  </r>
  <r>
    <n v="1820"/>
    <n v="2415"/>
    <n v="1962"/>
    <s v="Graduation"/>
    <s v="Together"/>
    <n v="62568"/>
    <n v="0"/>
    <d v="1899-12-31T00:00:00"/>
    <d v="2014-04-07T00:00:00"/>
    <n v="99"/>
    <n v="17"/>
    <n v="35"/>
    <n v="35"/>
    <n v="5"/>
    <n v="64"/>
    <x v="0"/>
    <x v="105"/>
  </r>
  <r>
    <n v="1821"/>
    <n v="5684"/>
    <n v="1971"/>
    <s v="Master"/>
    <s v="Divorced"/>
    <n v="44635"/>
    <n v="1"/>
    <d v="1899-12-31T00:00:00"/>
    <d v="2013-10-11T00:00:00"/>
    <n v="25"/>
    <n v="0"/>
    <n v="0"/>
    <n v="0"/>
    <n v="3"/>
    <n v="55"/>
    <x v="0"/>
    <x v="1"/>
  </r>
  <r>
    <n v="1822"/>
    <n v="8334"/>
    <n v="1971"/>
    <s v="Master"/>
    <s v="Single"/>
    <n v="33316"/>
    <n v="1"/>
    <d v="1899-12-31T00:00:00"/>
    <d v="2013-10-04T00:00:00"/>
    <n v="34"/>
    <n v="1"/>
    <n v="4"/>
    <n v="4"/>
    <n v="4"/>
    <n v="55"/>
    <x v="0"/>
    <x v="41"/>
  </r>
  <r>
    <n v="1823"/>
    <n v="9166"/>
    <n v="1968"/>
    <s v="Graduation"/>
    <s v="Married"/>
    <n v="63967"/>
    <n v="0"/>
    <d v="1899-12-31T00:00:00"/>
    <d v="2013-08-09T00:00:00"/>
    <n v="57"/>
    <n v="84"/>
    <n v="35"/>
    <n v="35"/>
    <n v="12"/>
    <n v="58"/>
    <x v="0"/>
    <x v="34"/>
  </r>
  <r>
    <n v="1824"/>
    <n v="1440"/>
    <n v="1978"/>
    <s v="2n Cycle"/>
    <s v="Together"/>
    <n v="52513"/>
    <n v="0"/>
    <d v="1899-12-30T00:00:00"/>
    <d v="2012-09-04T00:00:00"/>
    <n v="84"/>
    <n v="17"/>
    <n v="188"/>
    <n v="188"/>
    <n v="9"/>
    <n v="48"/>
    <x v="1"/>
    <x v="178"/>
  </r>
  <r>
    <n v="1825"/>
    <n v="78"/>
    <n v="1969"/>
    <s v="Graduation"/>
    <s v="Married"/>
    <n v="25293"/>
    <n v="1"/>
    <d v="1899-12-30T00:00:00"/>
    <d v="2013-09-15T00:00:00"/>
    <n v="51"/>
    <n v="0"/>
    <n v="2"/>
    <n v="2"/>
    <n v="2"/>
    <n v="57"/>
    <x v="0"/>
    <x v="9"/>
  </r>
  <r>
    <n v="1826"/>
    <n v="5441"/>
    <n v="1965"/>
    <s v="PhD"/>
    <s v="Widow"/>
    <n v="54111"/>
    <n v="0"/>
    <d v="1899-12-31T00:00:00"/>
    <d v="2013-08-25T00:00:00"/>
    <n v="97"/>
    <n v="6"/>
    <n v="3"/>
    <n v="3"/>
    <n v="6"/>
    <n v="61"/>
    <x v="0"/>
    <x v="18"/>
  </r>
  <r>
    <n v="1827"/>
    <n v="5302"/>
    <n v="1986"/>
    <s v="Graduation"/>
    <s v="Together"/>
    <n v="78394"/>
    <n v="0"/>
    <d v="1899-12-30T00:00:00"/>
    <d v="2013-02-15T00:00:00"/>
    <n v="13"/>
    <n v="27"/>
    <n v="24"/>
    <n v="24"/>
    <n v="5"/>
    <n v="40"/>
    <x v="1"/>
    <x v="89"/>
  </r>
  <r>
    <n v="1828"/>
    <n v="4687"/>
    <n v="1958"/>
    <s v="Master"/>
    <s v="Married"/>
    <n v="80739"/>
    <n v="0"/>
    <d v="1899-12-30T00:00:00"/>
    <d v="2013-05-23T00:00:00"/>
    <n v="92"/>
    <n v="92"/>
    <n v="0"/>
    <n v="0"/>
    <n v="9"/>
    <n v="68"/>
    <x v="0"/>
    <x v="18"/>
  </r>
  <r>
    <n v="1829"/>
    <n v="1087"/>
    <n v="1975"/>
    <s v="Master"/>
    <s v="Together"/>
    <n v="22669"/>
    <n v="1"/>
    <d v="1899-12-30T00:00:00"/>
    <d v="2013-05-22T00:00:00"/>
    <n v="30"/>
    <n v="14"/>
    <n v="22"/>
    <n v="22"/>
    <n v="2"/>
    <n v="51"/>
    <x v="0"/>
    <x v="38"/>
  </r>
  <r>
    <n v="1830"/>
    <n v="6859"/>
    <n v="1987"/>
    <s v="Graduation"/>
    <s v="Single"/>
    <n v="29236"/>
    <n v="1"/>
    <d v="1899-12-30T00:00:00"/>
    <d v="2013-10-08T00:00:00"/>
    <n v="30"/>
    <n v="4"/>
    <n v="9"/>
    <n v="9"/>
    <n v="3"/>
    <n v="39"/>
    <x v="1"/>
    <x v="51"/>
  </r>
  <r>
    <n v="1831"/>
    <n v="9860"/>
    <n v="1959"/>
    <s v="Graduation"/>
    <s v="Together"/>
    <n v="44911"/>
    <n v="0"/>
    <d v="1899-12-31T00:00:00"/>
    <d v="2013-03-15T00:00:00"/>
    <n v="11"/>
    <n v="0"/>
    <n v="1"/>
    <n v="1"/>
    <n v="4"/>
    <n v="67"/>
    <x v="0"/>
    <x v="7"/>
  </r>
  <r>
    <n v="1832"/>
    <n v="7129"/>
    <n v="1962"/>
    <s v="PhD"/>
    <s v="Married"/>
    <n v="54693"/>
    <n v="0"/>
    <d v="1899-12-31T00:00:00"/>
    <d v="2013-02-17T00:00:00"/>
    <n v="72"/>
    <n v="17"/>
    <n v="26"/>
    <n v="26"/>
    <n v="13"/>
    <n v="64"/>
    <x v="0"/>
    <x v="30"/>
  </r>
  <r>
    <n v="1833"/>
    <n v="5866"/>
    <n v="1974"/>
    <s v="Graduation"/>
    <s v="Together"/>
    <n v="48186"/>
    <n v="1"/>
    <d v="1899-12-30T00:00:00"/>
    <d v="2014-03-20T00:00:00"/>
    <n v="39"/>
    <n v="3"/>
    <n v="7"/>
    <n v="7"/>
    <n v="4"/>
    <n v="52"/>
    <x v="0"/>
    <x v="20"/>
  </r>
  <r>
    <n v="1834"/>
    <n v="10521"/>
    <n v="1977"/>
    <s v="Graduation"/>
    <s v="Married"/>
    <n v="54809"/>
    <n v="1"/>
    <d v="1899-12-31T00:00:00"/>
    <d v="2013-09-11T00:00:00"/>
    <n v="0"/>
    <n v="6"/>
    <n v="13"/>
    <n v="13"/>
    <n v="5"/>
    <n v="49"/>
    <x v="1"/>
    <x v="14"/>
  </r>
  <r>
    <n v="1835"/>
    <n v="7393"/>
    <n v="1978"/>
    <s v="Graduation"/>
    <s v="Together"/>
    <n v="41580"/>
    <n v="1"/>
    <d v="1899-12-31T00:00:00"/>
    <d v="2012-12-10T00:00:00"/>
    <n v="15"/>
    <n v="5"/>
    <n v="0"/>
    <n v="0"/>
    <n v="3"/>
    <n v="48"/>
    <x v="1"/>
    <x v="1"/>
  </r>
  <r>
    <n v="1836"/>
    <n v="7849"/>
    <n v="1970"/>
    <s v="PhD"/>
    <s v="Married"/>
    <n v="80336"/>
    <n v="0"/>
    <d v="1899-12-30T00:00:00"/>
    <d v="2013-09-09T00:00:00"/>
    <n v="12"/>
    <n v="19"/>
    <n v="142"/>
    <n v="142"/>
    <n v="13"/>
    <n v="56"/>
    <x v="0"/>
    <x v="86"/>
  </r>
  <r>
    <n v="1837"/>
    <n v="332"/>
    <n v="1957"/>
    <s v="Graduation"/>
    <s v="Married"/>
    <n v="47743"/>
    <n v="0"/>
    <d v="1899-12-31T00:00:00"/>
    <d v="2013-03-22T00:00:00"/>
    <n v="56"/>
    <n v="2"/>
    <n v="12"/>
    <n v="12"/>
    <n v="6"/>
    <n v="69"/>
    <x v="0"/>
    <x v="14"/>
  </r>
  <r>
    <n v="1838"/>
    <n v="9847"/>
    <n v="1955"/>
    <s v="2n Cycle"/>
    <s v="Married"/>
    <n v="62972"/>
    <n v="0"/>
    <d v="1899-12-31T00:00:00"/>
    <d v="2012-08-03T00:00:00"/>
    <n v="39"/>
    <n v="15"/>
    <n v="0"/>
    <n v="0"/>
    <n v="3"/>
    <n v="71"/>
    <x v="0"/>
    <x v="1"/>
  </r>
  <r>
    <n v="1839"/>
    <n v="531"/>
    <n v="1954"/>
    <s v="PhD"/>
    <s v="Divorced"/>
    <n v="57333"/>
    <n v="0"/>
    <d v="1899-12-31T00:00:00"/>
    <d v="2012-09-22T00:00:00"/>
    <n v="55"/>
    <n v="14"/>
    <n v="58"/>
    <n v="58"/>
    <n v="9"/>
    <n v="72"/>
    <x v="0"/>
    <x v="149"/>
  </r>
  <r>
    <n v="1840"/>
    <n v="9576"/>
    <n v="1982"/>
    <s v="PhD"/>
    <s v="Together"/>
    <n v="32313"/>
    <n v="1"/>
    <d v="1899-12-30T00:00:00"/>
    <d v="2013-02-11T00:00:00"/>
    <n v="60"/>
    <n v="4"/>
    <n v="4"/>
    <n v="4"/>
    <n v="4"/>
    <n v="44"/>
    <x v="1"/>
    <x v="41"/>
  </r>
  <r>
    <n v="1841"/>
    <n v="6906"/>
    <n v="1953"/>
    <s v="Master"/>
    <s v="Widow"/>
    <n v="84953"/>
    <n v="0"/>
    <d v="1899-12-30T00:00:00"/>
    <d v="2013-06-03T00:00:00"/>
    <n v="73"/>
    <n v="48"/>
    <n v="72"/>
    <n v="72"/>
    <n v="4"/>
    <n v="73"/>
    <x v="0"/>
    <x v="23"/>
  </r>
  <r>
    <n v="1842"/>
    <n v="7419"/>
    <n v="1968"/>
    <s v="Master"/>
    <s v="Divorced"/>
    <n v="27071"/>
    <n v="1"/>
    <d v="1899-12-30T00:00:00"/>
    <d v="2014-04-23T00:00:00"/>
    <n v="90"/>
    <n v="3"/>
    <n v="2"/>
    <n v="2"/>
    <n v="3"/>
    <n v="58"/>
    <x v="0"/>
    <x v="7"/>
  </r>
  <r>
    <n v="1843"/>
    <n v="3170"/>
    <n v="1957"/>
    <s v="Master"/>
    <s v="Together"/>
    <n v="68148"/>
    <n v="0"/>
    <d v="1899-12-30T00:00:00"/>
    <d v="2013-08-31T00:00:00"/>
    <n v="86"/>
    <n v="66"/>
    <n v="57"/>
    <n v="57"/>
    <n v="6"/>
    <n v="69"/>
    <x v="0"/>
    <x v="102"/>
  </r>
  <r>
    <n v="1844"/>
    <n v="8527"/>
    <n v="1965"/>
    <s v="Master"/>
    <s v="Together"/>
    <n v="65735"/>
    <n v="1"/>
    <d v="1899-12-31T00:00:00"/>
    <d v="2013-12-07T00:00:00"/>
    <n v="37"/>
    <n v="7"/>
    <n v="15"/>
    <n v="15"/>
    <n v="6"/>
    <n v="61"/>
    <x v="0"/>
    <x v="81"/>
  </r>
  <r>
    <n v="1845"/>
    <n v="7872"/>
    <n v="1975"/>
    <s v="PhD"/>
    <s v="Married"/>
    <n v="86836"/>
    <n v="0"/>
    <d v="1899-12-30T00:00:00"/>
    <d v="2012-09-12T00:00:00"/>
    <n v="7"/>
    <n v="21"/>
    <n v="21"/>
    <n v="21"/>
    <n v="6"/>
    <n v="51"/>
    <x v="0"/>
    <x v="16"/>
  </r>
  <r>
    <n v="1846"/>
    <n v="9931"/>
    <n v="1963"/>
    <s v="PhD"/>
    <s v="Married"/>
    <n v="4023"/>
    <n v="1"/>
    <d v="1899-12-31T00:00:00"/>
    <d v="2014-06-23T00:00:00"/>
    <n v="29"/>
    <n v="0"/>
    <n v="1"/>
    <n v="1"/>
    <n v="0"/>
    <n v="63"/>
    <x v="0"/>
    <x v="8"/>
  </r>
  <r>
    <n v="1847"/>
    <n v="10595"/>
    <n v="1990"/>
    <s v="Graduation"/>
    <s v="Married"/>
    <n v="30093"/>
    <n v="0"/>
    <d v="1899-12-30T00:00:00"/>
    <d v="2013-07-08T00:00:00"/>
    <n v="19"/>
    <n v="6"/>
    <n v="4"/>
    <n v="4"/>
    <n v="3"/>
    <n v="36"/>
    <x v="1"/>
    <x v="3"/>
  </r>
  <r>
    <n v="1848"/>
    <n v="4609"/>
    <n v="1966"/>
    <s v="PhD"/>
    <s v="Married"/>
    <n v="57705"/>
    <n v="0"/>
    <d v="1899-12-31T00:00:00"/>
    <d v="2014-01-11T00:00:00"/>
    <n v="14"/>
    <n v="0"/>
    <n v="4"/>
    <n v="4"/>
    <n v="6"/>
    <n v="60"/>
    <x v="0"/>
    <x v="11"/>
  </r>
  <r>
    <n v="1849"/>
    <n v="5010"/>
    <n v="1988"/>
    <s v="Graduation"/>
    <s v="Single"/>
    <n v="25008"/>
    <n v="1"/>
    <d v="1899-12-30T00:00:00"/>
    <d v="2014-02-02T00:00:00"/>
    <n v="72"/>
    <n v="8"/>
    <n v="1"/>
    <n v="1"/>
    <n v="3"/>
    <n v="38"/>
    <x v="1"/>
    <x v="9"/>
  </r>
  <r>
    <n v="1850"/>
    <n v="4427"/>
    <n v="1995"/>
    <s v="2n Cycle"/>
    <s v="Single"/>
    <n v="83257"/>
    <n v="0"/>
    <d v="1899-12-30T00:00:00"/>
    <d v="2012-09-18T00:00:00"/>
    <n v="56"/>
    <n v="27"/>
    <n v="107"/>
    <n v="107"/>
    <n v="12"/>
    <n v="31"/>
    <x v="1"/>
    <x v="158"/>
  </r>
  <r>
    <n v="1851"/>
    <n v="11148"/>
    <n v="1975"/>
    <s v="Graduation"/>
    <s v="Together"/>
    <n v="22280"/>
    <n v="1"/>
    <d v="1899-12-30T00:00:00"/>
    <d v="2013-05-19T00:00:00"/>
    <n v="85"/>
    <n v="1"/>
    <n v="1"/>
    <n v="1"/>
    <n v="2"/>
    <n v="51"/>
    <x v="0"/>
    <x v="1"/>
  </r>
  <r>
    <n v="1852"/>
    <n v="1168"/>
    <n v="1978"/>
    <s v="PhD"/>
    <s v="Married"/>
    <n v="72159"/>
    <n v="0"/>
    <d v="1899-12-30T00:00:00"/>
    <d v="2012-10-29T00:00:00"/>
    <n v="62"/>
    <n v="53"/>
    <n v="40"/>
    <n v="40"/>
    <n v="10"/>
    <n v="48"/>
    <x v="1"/>
    <x v="32"/>
  </r>
  <r>
    <n v="1853"/>
    <n v="9595"/>
    <n v="1961"/>
    <s v="Graduation"/>
    <s v="Together"/>
    <n v="64260"/>
    <n v="0"/>
    <d v="1899-12-30T00:00:00"/>
    <d v="2013-01-11T00:00:00"/>
    <n v="1"/>
    <n v="169"/>
    <n v="0"/>
    <n v="0"/>
    <n v="4"/>
    <n v="65"/>
    <x v="0"/>
    <x v="9"/>
  </r>
  <r>
    <n v="1854"/>
    <n v="10163"/>
    <n v="1984"/>
    <s v="PhD"/>
    <s v="Single"/>
    <n v="82733"/>
    <n v="0"/>
    <d v="1899-12-30T00:00:00"/>
    <d v="2013-09-10T00:00:00"/>
    <n v="28"/>
    <n v="50"/>
    <n v="38"/>
    <n v="38"/>
    <n v="7"/>
    <n v="42"/>
    <x v="1"/>
    <x v="49"/>
  </r>
  <r>
    <n v="1855"/>
    <n v="2886"/>
    <n v="1971"/>
    <s v="Master"/>
    <s v="Divorced"/>
    <n v="74290"/>
    <n v="0"/>
    <d v="1899-12-31T00:00:00"/>
    <d v="2013-08-12T00:00:00"/>
    <n v="70"/>
    <n v="0"/>
    <n v="12"/>
    <n v="12"/>
    <n v="10"/>
    <n v="55"/>
    <x v="0"/>
    <x v="62"/>
  </r>
  <r>
    <n v="1856"/>
    <n v="6710"/>
    <n v="1951"/>
    <s v="Master"/>
    <s v="Single"/>
    <n v="58217"/>
    <n v="2"/>
    <d v="1899-12-31T00:00:00"/>
    <d v="2012-11-17T00:00:00"/>
    <n v="84"/>
    <n v="1"/>
    <n v="5"/>
    <n v="5"/>
    <n v="4"/>
    <n v="75"/>
    <x v="0"/>
    <x v="18"/>
  </r>
  <r>
    <n v="1857"/>
    <n v="5316"/>
    <n v="1976"/>
    <s v="Master"/>
    <s v="Together"/>
    <n v="21024"/>
    <n v="0"/>
    <d v="1899-12-30T00:00:00"/>
    <d v="2013-07-04T00:00:00"/>
    <n v="89"/>
    <n v="4"/>
    <n v="2"/>
    <n v="2"/>
    <n v="4"/>
    <n v="50"/>
    <x v="1"/>
    <x v="29"/>
  </r>
  <r>
    <n v="1858"/>
    <n v="9029"/>
    <n v="1972"/>
    <s v="PhD"/>
    <s v="Married"/>
    <n v="70116"/>
    <n v="0"/>
    <d v="1899-12-30T00:00:00"/>
    <d v="2013-01-26T00:00:00"/>
    <n v="73"/>
    <n v="44"/>
    <n v="58"/>
    <n v="58"/>
    <n v="12"/>
    <n v="54"/>
    <x v="0"/>
    <x v="120"/>
  </r>
  <r>
    <n v="1859"/>
    <n v="521"/>
    <n v="1985"/>
    <s v="Graduation"/>
    <s v="Together"/>
    <n v="54006"/>
    <n v="1"/>
    <d v="1899-12-30T00:00:00"/>
    <d v="2012-09-18T00:00:00"/>
    <n v="42"/>
    <n v="77"/>
    <n v="24"/>
    <n v="24"/>
    <n v="7"/>
    <n v="41"/>
    <x v="1"/>
    <x v="2"/>
  </r>
  <r>
    <n v="1860"/>
    <n v="1459"/>
    <n v="1966"/>
    <s v="PhD"/>
    <s v="Married"/>
    <n v="69063"/>
    <n v="0"/>
    <d v="1899-12-31T00:00:00"/>
    <d v="2012-11-07T00:00:00"/>
    <n v="16"/>
    <n v="35"/>
    <n v="8"/>
    <n v="8"/>
    <n v="5"/>
    <n v="60"/>
    <x v="0"/>
    <x v="104"/>
  </r>
  <r>
    <n v="1861"/>
    <n v="10241"/>
    <n v="1975"/>
    <s v="2n Cycle"/>
    <s v="Divorced"/>
    <n v="11448"/>
    <n v="0"/>
    <d v="1899-12-30T00:00:00"/>
    <d v="2013-12-15T00:00:00"/>
    <n v="16"/>
    <n v="0"/>
    <n v="2"/>
    <n v="2"/>
    <n v="2"/>
    <n v="51"/>
    <x v="0"/>
    <x v="9"/>
  </r>
  <r>
    <n v="1862"/>
    <n v="1630"/>
    <n v="1979"/>
    <s v="Graduation"/>
    <s v="Single"/>
    <n v="61825"/>
    <n v="0"/>
    <d v="1899-12-31T00:00:00"/>
    <d v="2013-08-07T00:00:00"/>
    <n v="56"/>
    <n v="50"/>
    <n v="30"/>
    <n v="30"/>
    <n v="8"/>
    <n v="47"/>
    <x v="1"/>
    <x v="73"/>
  </r>
  <r>
    <n v="1863"/>
    <n v="3254"/>
    <n v="1971"/>
    <s v="Graduation"/>
    <s v="Married"/>
    <n v="70886"/>
    <n v="1"/>
    <d v="1899-12-30T00:00:00"/>
    <d v="2013-10-14T00:00:00"/>
    <n v="65"/>
    <n v="70"/>
    <n v="88"/>
    <n v="88"/>
    <n v="4"/>
    <n v="55"/>
    <x v="0"/>
    <x v="0"/>
  </r>
  <r>
    <n v="1864"/>
    <n v="9064"/>
    <n v="1982"/>
    <s v="Graduation"/>
    <s v="Married"/>
    <n v="69109"/>
    <n v="0"/>
    <d v="1899-12-30T00:00:00"/>
    <d v="2012-11-09T00:00:00"/>
    <n v="10"/>
    <n v="25"/>
    <n v="29"/>
    <n v="29"/>
    <n v="7"/>
    <n v="44"/>
    <x v="1"/>
    <x v="50"/>
  </r>
  <r>
    <n v="1865"/>
    <n v="3678"/>
    <n v="1973"/>
    <s v="Graduation"/>
    <s v="Widow"/>
    <n v="60208"/>
    <n v="1"/>
    <d v="1899-12-31T00:00:00"/>
    <d v="2012-10-07T00:00:00"/>
    <n v="13"/>
    <n v="23"/>
    <n v="0"/>
    <n v="0"/>
    <n v="7"/>
    <n v="53"/>
    <x v="0"/>
    <x v="3"/>
  </r>
  <r>
    <n v="1866"/>
    <n v="4227"/>
    <n v="1968"/>
    <s v="Master"/>
    <s v="Together"/>
    <n v="32889"/>
    <n v="1"/>
    <d v="1899-12-31T00:00:00"/>
    <d v="2013-09-06T00:00:00"/>
    <n v="78"/>
    <n v="0"/>
    <n v="2"/>
    <n v="2"/>
    <n v="3"/>
    <n v="58"/>
    <x v="0"/>
    <x v="7"/>
  </r>
  <r>
    <n v="1867"/>
    <n v="9467"/>
    <n v="1984"/>
    <s v="Graduation"/>
    <s v="Single"/>
    <n v="34738"/>
    <n v="1"/>
    <d v="1899-12-30T00:00:00"/>
    <d v="2014-05-11T00:00:00"/>
    <n v="51"/>
    <n v="2"/>
    <n v="0"/>
    <n v="0"/>
    <n v="3"/>
    <n v="42"/>
    <x v="1"/>
    <x v="1"/>
  </r>
  <r>
    <n v="1868"/>
    <n v="8486"/>
    <n v="1971"/>
    <s v="Master"/>
    <s v="Together"/>
    <n v="30538"/>
    <n v="1"/>
    <d v="1899-12-30T00:00:00"/>
    <d v="2012-10-01T00:00:00"/>
    <n v="27"/>
    <n v="0"/>
    <n v="3"/>
    <n v="3"/>
    <n v="4"/>
    <n v="55"/>
    <x v="0"/>
    <x v="3"/>
  </r>
  <r>
    <n v="1869"/>
    <n v="2186"/>
    <n v="1977"/>
    <s v="2n Cycle"/>
    <s v="Together"/>
    <n v="82326"/>
    <n v="0"/>
    <d v="1899-12-30T00:00:00"/>
    <d v="2014-03-10T00:00:00"/>
    <n v="30"/>
    <n v="142"/>
    <n v="81"/>
    <n v="81"/>
    <n v="6"/>
    <n v="49"/>
    <x v="1"/>
    <x v="57"/>
  </r>
  <r>
    <n v="1870"/>
    <n v="3286"/>
    <n v="1967"/>
    <s v="PhD"/>
    <s v="Divorced"/>
    <n v="26642"/>
    <n v="1"/>
    <d v="1899-12-30T00:00:00"/>
    <d v="2014-03-01T00:00:00"/>
    <n v="71"/>
    <n v="2"/>
    <n v="2"/>
    <n v="2"/>
    <n v="3"/>
    <n v="59"/>
    <x v="0"/>
    <x v="7"/>
  </r>
  <r>
    <n v="1871"/>
    <n v="8602"/>
    <n v="1964"/>
    <s v="Graduation"/>
    <s v="Divorced"/>
    <n v="69932"/>
    <n v="0"/>
    <d v="1899-12-31T00:00:00"/>
    <d v="2013-06-12T00:00:00"/>
    <n v="97"/>
    <n v="172"/>
    <n v="105"/>
    <n v="105"/>
    <n v="11"/>
    <n v="62"/>
    <x v="0"/>
    <x v="108"/>
  </r>
  <r>
    <n v="1872"/>
    <n v="3722"/>
    <n v="1972"/>
    <s v="Graduation"/>
    <s v="Single"/>
    <n v="44503"/>
    <n v="1"/>
    <d v="1899-12-31T00:00:00"/>
    <d v="2014-04-16T00:00:00"/>
    <n v="83"/>
    <n v="1"/>
    <n v="0"/>
    <n v="0"/>
    <n v="3"/>
    <n v="54"/>
    <x v="0"/>
    <x v="1"/>
  </r>
  <r>
    <n v="1873"/>
    <n v="6715"/>
    <n v="1948"/>
    <s v="PhD"/>
    <s v="Single"/>
    <n v="60200"/>
    <n v="0"/>
    <d v="1899-12-31T00:00:00"/>
    <d v="2013-01-02T00:00:00"/>
    <n v="3"/>
    <n v="19"/>
    <n v="6"/>
    <n v="6"/>
    <n v="11"/>
    <n v="78"/>
    <x v="0"/>
    <x v="67"/>
  </r>
  <r>
    <n v="1874"/>
    <n v="4796"/>
    <n v="1952"/>
    <s v="Graduation"/>
    <s v="Divorced"/>
    <n v="49638"/>
    <n v="0"/>
    <d v="1899-12-31T00:00:00"/>
    <d v="2014-04-19T00:00:00"/>
    <n v="71"/>
    <n v="10"/>
    <n v="5"/>
    <n v="5"/>
    <n v="3"/>
    <n v="74"/>
    <x v="0"/>
    <x v="41"/>
  </r>
  <r>
    <n v="1875"/>
    <n v="9612"/>
    <n v="1987"/>
    <s v="2n Cycle"/>
    <s v="Single"/>
    <n v="23830"/>
    <n v="0"/>
    <d v="1899-12-30T00:00:00"/>
    <d v="2014-02-07T00:00:00"/>
    <n v="3"/>
    <n v="8"/>
    <n v="8"/>
    <n v="8"/>
    <n v="3"/>
    <n v="39"/>
    <x v="1"/>
    <x v="20"/>
  </r>
  <r>
    <n v="1876"/>
    <n v="3766"/>
    <n v="1959"/>
    <s v="Master"/>
    <s v="Widow"/>
    <n v="33051"/>
    <n v="0"/>
    <d v="1899-12-30T00:00:00"/>
    <d v="2012-08-16T00:00:00"/>
    <n v="15"/>
    <n v="71"/>
    <n v="94"/>
    <n v="94"/>
    <n v="8"/>
    <n v="67"/>
    <x v="0"/>
    <x v="87"/>
  </r>
  <r>
    <n v="1877"/>
    <n v="1399"/>
    <n v="1958"/>
    <s v="Graduation"/>
    <s v="Married"/>
    <n v="72905"/>
    <n v="0"/>
    <d v="1899-12-30T00:00:00"/>
    <d v="2014-01-21T00:00:00"/>
    <n v="52"/>
    <n v="114"/>
    <n v="165"/>
    <n v="165"/>
    <n v="9"/>
    <n v="68"/>
    <x v="0"/>
    <x v="179"/>
  </r>
  <r>
    <n v="1878"/>
    <n v="1570"/>
    <n v="1951"/>
    <s v="PhD"/>
    <s v="Together"/>
    <n v="69702"/>
    <n v="0"/>
    <d v="1899-12-31T00:00:00"/>
    <d v="2013-02-19T00:00:00"/>
    <n v="8"/>
    <n v="9"/>
    <n v="19"/>
    <n v="19"/>
    <n v="10"/>
    <n v="75"/>
    <x v="0"/>
    <x v="89"/>
  </r>
  <r>
    <n v="1879"/>
    <n v="3426"/>
    <n v="1975"/>
    <s v="Graduation"/>
    <s v="Divorced"/>
    <n v="70300"/>
    <n v="1"/>
    <d v="1899-12-30T00:00:00"/>
    <d v="2013-07-15T00:00:00"/>
    <n v="89"/>
    <n v="61"/>
    <n v="46"/>
    <n v="46"/>
    <n v="13"/>
    <n v="51"/>
    <x v="0"/>
    <x v="79"/>
  </r>
  <r>
    <n v="1880"/>
    <n v="3074"/>
    <n v="1984"/>
    <s v="PhD"/>
    <s v="Married"/>
    <n v="70643"/>
    <n v="0"/>
    <d v="1899-12-30T00:00:00"/>
    <d v="2012-10-15T00:00:00"/>
    <n v="66"/>
    <n v="107"/>
    <n v="143"/>
    <n v="143"/>
    <n v="4"/>
    <n v="42"/>
    <x v="1"/>
    <x v="134"/>
  </r>
  <r>
    <n v="1881"/>
    <n v="8341"/>
    <n v="1969"/>
    <s v="PhD"/>
    <s v="Married"/>
    <n v="30396"/>
    <n v="1"/>
    <d v="1899-12-30T00:00:00"/>
    <d v="2014-04-30T00:00:00"/>
    <n v="22"/>
    <n v="0"/>
    <n v="1"/>
    <n v="1"/>
    <n v="2"/>
    <n v="57"/>
    <x v="0"/>
    <x v="1"/>
  </r>
  <r>
    <n v="1882"/>
    <n v="5180"/>
    <n v="1968"/>
    <s v="PhD"/>
    <s v="Divorced"/>
    <n v="50616"/>
    <n v="0"/>
    <d v="1899-12-31T00:00:00"/>
    <d v="2014-04-18T00:00:00"/>
    <n v="56"/>
    <n v="0"/>
    <n v="1"/>
    <n v="1"/>
    <n v="4"/>
    <n v="58"/>
    <x v="0"/>
    <x v="7"/>
  </r>
  <r>
    <n v="1883"/>
    <n v="6461"/>
    <n v="1969"/>
    <s v="Master"/>
    <s v="Single"/>
    <n v="62772"/>
    <n v="0"/>
    <d v="1899-12-31T00:00:00"/>
    <d v="2013-05-19T00:00:00"/>
    <n v="74"/>
    <n v="49"/>
    <n v="8"/>
    <n v="8"/>
    <n v="11"/>
    <n v="57"/>
    <x v="0"/>
    <x v="44"/>
  </r>
  <r>
    <n v="1884"/>
    <n v="7679"/>
    <n v="1985"/>
    <s v="PhD"/>
    <s v="Single"/>
    <n v="30298"/>
    <n v="0"/>
    <d v="1899-12-30T00:00:00"/>
    <d v="2014-05-19T00:00:00"/>
    <n v="48"/>
    <n v="3"/>
    <n v="1"/>
    <n v="1"/>
    <n v="3"/>
    <n v="41"/>
    <x v="1"/>
    <x v="9"/>
  </r>
  <r>
    <n v="1885"/>
    <n v="10702"/>
    <n v="1984"/>
    <s v="Graduation"/>
    <s v="Single"/>
    <n v="52413"/>
    <n v="1"/>
    <d v="1899-12-30T00:00:00"/>
    <d v="2012-11-03T00:00:00"/>
    <n v="67"/>
    <n v="8"/>
    <n v="56"/>
    <n v="56"/>
    <n v="7"/>
    <n v="42"/>
    <x v="1"/>
    <x v="102"/>
  </r>
  <r>
    <n v="1886"/>
    <n v="7505"/>
    <n v="1957"/>
    <s v="PhD"/>
    <s v="Married"/>
    <n v="44155"/>
    <n v="1"/>
    <d v="1899-12-31T00:00:00"/>
    <d v="2014-01-19T00:00:00"/>
    <n v="24"/>
    <n v="1"/>
    <n v="0"/>
    <n v="0"/>
    <n v="2"/>
    <n v="69"/>
    <x v="0"/>
    <x v="42"/>
  </r>
  <r>
    <n v="1887"/>
    <n v="5113"/>
    <n v="1971"/>
    <s v="PhD"/>
    <s v="Divorced"/>
    <n v="86979"/>
    <n v="0"/>
    <d v="1899-12-30T00:00:00"/>
    <d v="2013-11-07T00:00:00"/>
    <n v="67"/>
    <n v="100"/>
    <n v="83"/>
    <n v="83"/>
    <n v="5"/>
    <n v="55"/>
    <x v="0"/>
    <x v="118"/>
  </r>
  <r>
    <n v="1888"/>
    <n v="10858"/>
    <n v="1975"/>
    <s v="Graduation"/>
    <s v="Together"/>
    <n v="76532"/>
    <n v="1"/>
    <d v="1899-12-31T00:00:00"/>
    <d v="2013-09-09T00:00:00"/>
    <n v="38"/>
    <n v="30"/>
    <n v="138"/>
    <n v="138"/>
    <n v="7"/>
    <n v="51"/>
    <x v="0"/>
    <x v="142"/>
  </r>
  <r>
    <n v="1889"/>
    <n v="2961"/>
    <n v="1982"/>
    <s v="Graduation"/>
    <s v="Married"/>
    <n v="42081"/>
    <n v="1"/>
    <d v="1899-12-30T00:00:00"/>
    <d v="2013-02-26T00:00:00"/>
    <n v="86"/>
    <n v="10"/>
    <n v="6"/>
    <n v="6"/>
    <n v="4"/>
    <n v="44"/>
    <x v="1"/>
    <x v="11"/>
  </r>
  <r>
    <n v="1890"/>
    <n v="2747"/>
    <n v="1988"/>
    <s v="PhD"/>
    <s v="Married"/>
    <n v="67546"/>
    <n v="0"/>
    <d v="1899-12-30T00:00:00"/>
    <d v="2012-08-31T00:00:00"/>
    <n v="90"/>
    <n v="134"/>
    <n v="38"/>
    <n v="38"/>
    <n v="5"/>
    <n v="38"/>
    <x v="1"/>
    <x v="17"/>
  </r>
  <r>
    <n v="1891"/>
    <n v="3010"/>
    <n v="1989"/>
    <s v="Master"/>
    <s v="Together"/>
    <n v="88420"/>
    <n v="0"/>
    <d v="1899-12-30T00:00:00"/>
    <d v="2014-05-02T00:00:00"/>
    <n v="87"/>
    <n v="153"/>
    <n v="95"/>
    <n v="95"/>
    <n v="8"/>
    <n v="37"/>
    <x v="1"/>
    <x v="95"/>
  </r>
  <r>
    <n v="1892"/>
    <n v="5790"/>
    <n v="1985"/>
    <s v="Graduation"/>
    <s v="Married"/>
    <n v="31158"/>
    <n v="1"/>
    <d v="1899-12-30T00:00:00"/>
    <d v="2013-01-27T00:00:00"/>
    <n v="62"/>
    <n v="6"/>
    <n v="0"/>
    <n v="0"/>
    <n v="3"/>
    <n v="41"/>
    <x v="1"/>
    <x v="1"/>
  </r>
  <r>
    <n v="1893"/>
    <n v="6892"/>
    <n v="1968"/>
    <s v="Graduation"/>
    <s v="Divorced"/>
    <n v="61671"/>
    <n v="0"/>
    <d v="1899-12-31T00:00:00"/>
    <d v="2014-06-03T00:00:00"/>
    <n v="23"/>
    <n v="7"/>
    <n v="0"/>
    <n v="0"/>
    <n v="6"/>
    <n v="58"/>
    <x v="0"/>
    <x v="29"/>
  </r>
  <r>
    <n v="1894"/>
    <n v="1743"/>
    <n v="1974"/>
    <s v="Graduation"/>
    <s v="Single"/>
    <n v="69719"/>
    <n v="0"/>
    <d v="1899-12-30T00:00:00"/>
    <d v="2014-05-26T00:00:00"/>
    <n v="99"/>
    <n v="86"/>
    <n v="14"/>
    <n v="14"/>
    <n v="5"/>
    <n v="52"/>
    <x v="0"/>
    <x v="44"/>
  </r>
  <r>
    <n v="1895"/>
    <n v="3578"/>
    <n v="1949"/>
    <s v="Graduation"/>
    <s v="Divorced"/>
    <n v="49160"/>
    <n v="0"/>
    <d v="1899-12-31T00:00:00"/>
    <d v="2013-10-20T00:00:00"/>
    <n v="29"/>
    <n v="21"/>
    <n v="10"/>
    <n v="10"/>
    <n v="6"/>
    <n v="77"/>
    <x v="0"/>
    <x v="13"/>
  </r>
  <r>
    <n v="1896"/>
    <n v="8462"/>
    <n v="1978"/>
    <s v="Basic"/>
    <s v="Together"/>
    <n v="24882"/>
    <n v="1"/>
    <d v="1899-12-30T00:00:00"/>
    <d v="2012-09-09T00:00:00"/>
    <n v="52"/>
    <n v="4"/>
    <n v="0"/>
    <n v="0"/>
    <n v="2"/>
    <n v="48"/>
    <x v="1"/>
    <x v="42"/>
  </r>
  <r>
    <n v="1897"/>
    <n v="5558"/>
    <n v="1954"/>
    <s v="PhD"/>
    <s v="Single"/>
    <n v="90933"/>
    <n v="0"/>
    <d v="1899-12-30T00:00:00"/>
    <d v="2014-03-31T00:00:00"/>
    <n v="90"/>
    <n v="31"/>
    <n v="63"/>
    <n v="63"/>
    <n v="4"/>
    <n v="72"/>
    <x v="0"/>
    <x v="149"/>
  </r>
  <r>
    <n v="1898"/>
    <n v="4619"/>
    <n v="1945"/>
    <s v="PhD"/>
    <s v="Single"/>
    <n v="113734"/>
    <n v="0"/>
    <d v="1899-12-30T00:00:00"/>
    <d v="2014-05-28T00:00:00"/>
    <n v="9"/>
    <n v="2"/>
    <n v="262"/>
    <n v="262"/>
    <n v="0"/>
    <n v="81"/>
    <x v="0"/>
    <x v="180"/>
  </r>
  <r>
    <n v="1899"/>
    <n v="8780"/>
    <n v="1950"/>
    <s v="PhD"/>
    <s v="Together"/>
    <n v="59292"/>
    <n v="0"/>
    <d v="1899-12-31T00:00:00"/>
    <d v="2013-06-13T00:00:00"/>
    <n v="71"/>
    <n v="14"/>
    <n v="14"/>
    <n v="14"/>
    <n v="8"/>
    <n v="76"/>
    <x v="0"/>
    <x v="62"/>
  </r>
  <r>
    <n v="1900"/>
    <n v="10789"/>
    <n v="1964"/>
    <s v="PhD"/>
    <s v="Married"/>
    <n v="45759"/>
    <n v="1"/>
    <d v="1899-12-31T00:00:00"/>
    <d v="2013-02-23T00:00:00"/>
    <n v="13"/>
    <n v="1"/>
    <n v="0"/>
    <n v="0"/>
    <n v="3"/>
    <n v="62"/>
    <x v="0"/>
    <x v="1"/>
  </r>
  <r>
    <n v="1901"/>
    <n v="10779"/>
    <n v="1983"/>
    <s v="Graduation"/>
    <s v="Single"/>
    <n v="22148"/>
    <n v="0"/>
    <d v="1899-12-30T00:00:00"/>
    <d v="2014-04-13T00:00:00"/>
    <n v="16"/>
    <n v="5"/>
    <n v="4"/>
    <n v="4"/>
    <n v="3"/>
    <n v="43"/>
    <x v="1"/>
    <x v="3"/>
  </r>
  <r>
    <n v="1902"/>
    <n v="5896"/>
    <n v="1987"/>
    <s v="Master"/>
    <s v="Married"/>
    <n v="73395"/>
    <n v="0"/>
    <d v="1899-12-30T00:00:00"/>
    <d v="2014-03-18T00:00:00"/>
    <n v="94"/>
    <n v="7"/>
    <n v="7"/>
    <n v="7"/>
    <n v="6"/>
    <n v="39"/>
    <x v="1"/>
    <x v="104"/>
  </r>
  <r>
    <n v="1903"/>
    <n v="2337"/>
    <n v="1971"/>
    <s v="Graduation"/>
    <s v="Divorced"/>
    <n v="29819"/>
    <n v="1"/>
    <d v="1899-12-30T00:00:00"/>
    <d v="2013-10-24T00:00:00"/>
    <n v="77"/>
    <n v="1"/>
    <n v="1"/>
    <n v="1"/>
    <n v="3"/>
    <n v="55"/>
    <x v="0"/>
    <x v="9"/>
  </r>
  <r>
    <n v="1904"/>
    <n v="10951"/>
    <n v="1968"/>
    <s v="Graduation"/>
    <s v="Married"/>
    <n v="45688"/>
    <n v="0"/>
    <d v="1899-12-31T00:00:00"/>
    <d v="2014-01-25T00:00:00"/>
    <n v="20"/>
    <n v="0"/>
    <n v="0"/>
    <n v="0"/>
    <n v="8"/>
    <n v="58"/>
    <x v="0"/>
    <x v="41"/>
  </r>
  <r>
    <n v="1905"/>
    <n v="544"/>
    <n v="1954"/>
    <s v="Graduation"/>
    <s v="Married"/>
    <n v="62820"/>
    <n v="0"/>
    <d v="1899-12-30T00:00:00"/>
    <d v="2013-05-11T00:00:00"/>
    <n v="51"/>
    <n v="61"/>
    <n v="61"/>
    <n v="61"/>
    <n v="6"/>
    <n v="72"/>
    <x v="0"/>
    <x v="149"/>
  </r>
  <r>
    <n v="1906"/>
    <n v="17"/>
    <n v="1971"/>
    <s v="PhD"/>
    <s v="Married"/>
    <n v="60491"/>
    <n v="0"/>
    <d v="1899-12-31T00:00:00"/>
    <d v="2013-09-06T00:00:00"/>
    <n v="81"/>
    <n v="47"/>
    <n v="19"/>
    <n v="19"/>
    <n v="7"/>
    <n v="55"/>
    <x v="0"/>
    <x v="56"/>
  </r>
  <r>
    <n v="1907"/>
    <n v="10680"/>
    <n v="1986"/>
    <s v="Graduation"/>
    <s v="Together"/>
    <n v="33235"/>
    <n v="1"/>
    <d v="1899-12-30T00:00:00"/>
    <d v="2014-02-05T00:00:00"/>
    <n v="71"/>
    <n v="0"/>
    <n v="1"/>
    <n v="1"/>
    <n v="3"/>
    <n v="40"/>
    <x v="1"/>
    <x v="9"/>
  </r>
  <r>
    <n v="1908"/>
    <n v="3265"/>
    <n v="1959"/>
    <s v="Graduation"/>
    <s v="Married"/>
    <n v="35701"/>
    <n v="0"/>
    <d v="1899-12-30T00:00:00"/>
    <d v="2013-03-19T00:00:00"/>
    <n v="36"/>
    <n v="1"/>
    <n v="3"/>
    <n v="3"/>
    <n v="3"/>
    <n v="67"/>
    <x v="0"/>
    <x v="29"/>
  </r>
  <r>
    <n v="1909"/>
    <n v="5623"/>
    <n v="1980"/>
    <s v="Master"/>
    <s v="Married"/>
    <n v="31535"/>
    <n v="1"/>
    <d v="1899-12-30T00:00:00"/>
    <d v="2013-09-26T00:00:00"/>
    <n v="95"/>
    <n v="4"/>
    <n v="0"/>
    <n v="0"/>
    <n v="2"/>
    <n v="46"/>
    <x v="1"/>
    <x v="42"/>
  </r>
  <r>
    <n v="1910"/>
    <n v="5832"/>
    <n v="1960"/>
    <s v="2n Cycle"/>
    <s v="Together"/>
    <n v="92556"/>
    <n v="0"/>
    <d v="1899-12-30T00:00:00"/>
    <d v="2014-04-20T00:00:00"/>
    <n v="32"/>
    <n v="183"/>
    <n v="23"/>
    <n v="23"/>
    <n v="13"/>
    <n v="66"/>
    <x v="0"/>
    <x v="50"/>
  </r>
  <r>
    <n v="1911"/>
    <n v="5544"/>
    <n v="1970"/>
    <s v="Graduation"/>
    <s v="Single"/>
    <n v="67384"/>
    <n v="0"/>
    <d v="1899-12-31T00:00:00"/>
    <d v="2012-11-10T00:00:00"/>
    <n v="32"/>
    <n v="40"/>
    <n v="53"/>
    <n v="53"/>
    <n v="5"/>
    <n v="56"/>
    <x v="0"/>
    <x v="94"/>
  </r>
  <r>
    <n v="1912"/>
    <n v="6417"/>
    <n v="1971"/>
    <s v="Master"/>
    <s v="Together"/>
    <n v="80573"/>
    <n v="0"/>
    <d v="1899-12-30T00:00:00"/>
    <d v="2012-10-14T00:00:00"/>
    <n v="85"/>
    <n v="138"/>
    <n v="92"/>
    <n v="92"/>
    <n v="13"/>
    <n v="55"/>
    <x v="0"/>
    <x v="148"/>
  </r>
  <r>
    <n v="1913"/>
    <n v="5831"/>
    <n v="1967"/>
    <s v="Graduation"/>
    <s v="Married"/>
    <n v="77870"/>
    <n v="0"/>
    <d v="1899-12-31T00:00:00"/>
    <d v="2012-08-22T00:00:00"/>
    <n v="93"/>
    <n v="50"/>
    <n v="50"/>
    <n v="50"/>
    <n v="5"/>
    <n v="59"/>
    <x v="0"/>
    <x v="93"/>
  </r>
  <r>
    <n v="1914"/>
    <n v="7101"/>
    <n v="1963"/>
    <s v="PhD"/>
    <s v="Widow"/>
    <n v="52278"/>
    <n v="0"/>
    <d v="1899-12-31T00:00:00"/>
    <d v="2013-01-25T00:00:00"/>
    <n v="24"/>
    <n v="0"/>
    <n v="0"/>
    <n v="0"/>
    <n v="10"/>
    <n v="63"/>
    <x v="0"/>
    <x v="11"/>
  </r>
  <r>
    <n v="1915"/>
    <n v="10176"/>
    <n v="1968"/>
    <s v="Graduation"/>
    <s v="Single"/>
    <n v="57107"/>
    <n v="0"/>
    <d v="1899-12-31T00:00:00"/>
    <d v="2012-08-24T00:00:00"/>
    <n v="44"/>
    <n v="0"/>
    <n v="0"/>
    <n v="0"/>
    <n v="8"/>
    <n v="58"/>
    <x v="0"/>
    <x v="41"/>
  </r>
  <r>
    <n v="1916"/>
    <n v="2326"/>
    <n v="1990"/>
    <s v="Graduation"/>
    <s v="Married"/>
    <n v="18929"/>
    <n v="0"/>
    <d v="1899-12-30T00:00:00"/>
    <d v="2013-02-16T00:00:00"/>
    <n v="15"/>
    <n v="0"/>
    <n v="4"/>
    <n v="4"/>
    <n v="4"/>
    <n v="36"/>
    <x v="1"/>
    <x v="41"/>
  </r>
  <r>
    <n v="1917"/>
    <n v="4385"/>
    <n v="1981"/>
    <s v="PhD"/>
    <s v="Single"/>
    <n v="36038"/>
    <n v="1"/>
    <d v="1899-12-30T00:00:00"/>
    <d v="2013-05-31T00:00:00"/>
    <n v="82"/>
    <n v="0"/>
    <n v="2"/>
    <n v="2"/>
    <n v="3"/>
    <n v="45"/>
    <x v="1"/>
    <x v="7"/>
  </r>
  <r>
    <n v="1918"/>
    <n v="2929"/>
    <n v="1976"/>
    <s v="Graduation"/>
    <s v="Single"/>
    <n v="20180"/>
    <n v="0"/>
    <d v="1899-12-30T00:00:00"/>
    <d v="2013-02-20T00:00:00"/>
    <n v="27"/>
    <n v="42"/>
    <n v="20"/>
    <n v="20"/>
    <n v="4"/>
    <n v="50"/>
    <x v="1"/>
    <x v="38"/>
  </r>
  <r>
    <n v="1919"/>
    <n v="10686"/>
    <n v="1965"/>
    <s v="PhD"/>
    <s v="Together"/>
    <n v="34230"/>
    <n v="1"/>
    <d v="1899-12-31T00:00:00"/>
    <d v="2012-12-26T00:00:00"/>
    <n v="72"/>
    <n v="0"/>
    <n v="0"/>
    <n v="0"/>
    <n v="2"/>
    <n v="61"/>
    <x v="0"/>
    <x v="42"/>
  </r>
  <r>
    <n v="1920"/>
    <n v="2546"/>
    <n v="1977"/>
    <s v="2n Cycle"/>
    <s v="Single"/>
    <n v="31878"/>
    <n v="0"/>
    <d v="1899-12-31T00:00:00"/>
    <d v="2014-06-22T00:00:00"/>
    <n v="7"/>
    <n v="4"/>
    <n v="5"/>
    <n v="5"/>
    <n v="4"/>
    <n v="49"/>
    <x v="1"/>
    <x v="18"/>
  </r>
  <r>
    <n v="1921"/>
    <n v="3283"/>
    <n v="1972"/>
    <s v="2n Cycle"/>
    <s v="Married"/>
    <n v="70932"/>
    <n v="0"/>
    <d v="1899-12-31T00:00:00"/>
    <d v="2014-01-19T00:00:00"/>
    <n v="57"/>
    <n v="193"/>
    <n v="185"/>
    <n v="185"/>
    <n v="12"/>
    <n v="54"/>
    <x v="0"/>
    <x v="178"/>
  </r>
  <r>
    <n v="1922"/>
    <n v="3138"/>
    <n v="1956"/>
    <s v="Graduation"/>
    <s v="Single"/>
    <n v="91249"/>
    <n v="0"/>
    <d v="1899-12-30T00:00:00"/>
    <d v="2012-10-20T00:00:00"/>
    <n v="84"/>
    <n v="27"/>
    <n v="108"/>
    <n v="108"/>
    <n v="6"/>
    <n v="70"/>
    <x v="0"/>
    <x v="46"/>
  </r>
  <r>
    <n v="1923"/>
    <n v="4994"/>
    <n v="1943"/>
    <s v="Master"/>
    <s v="Single"/>
    <n v="77598"/>
    <n v="0"/>
    <d v="1899-12-30T00:00:00"/>
    <d v="2013-10-01T00:00:00"/>
    <n v="53"/>
    <n v="33"/>
    <n v="66"/>
    <n v="66"/>
    <n v="13"/>
    <n v="83"/>
    <x v="0"/>
    <x v="70"/>
  </r>
  <r>
    <n v="1924"/>
    <n v="7966"/>
    <n v="1959"/>
    <s v="Graduation"/>
    <s v="Single"/>
    <n v="80982"/>
    <n v="1"/>
    <d v="1899-12-31T00:00:00"/>
    <d v="2013-01-08T00:00:00"/>
    <n v="48"/>
    <n v="137"/>
    <n v="22"/>
    <n v="22"/>
    <n v="11"/>
    <n v="67"/>
    <x v="0"/>
    <x v="4"/>
  </r>
  <r>
    <n v="1925"/>
    <n v="3112"/>
    <n v="1977"/>
    <s v="Master"/>
    <s v="Married"/>
    <n v="22701"/>
    <n v="1"/>
    <d v="1899-12-30T00:00:00"/>
    <d v="2013-09-05T00:00:00"/>
    <n v="2"/>
    <n v="4"/>
    <n v="4"/>
    <n v="4"/>
    <n v="3"/>
    <n v="49"/>
    <x v="1"/>
    <x v="3"/>
  </r>
  <r>
    <n v="1926"/>
    <n v="10872"/>
    <n v="1969"/>
    <s v="PhD"/>
    <s v="Married"/>
    <n v="55212"/>
    <n v="0"/>
    <d v="1899-12-31T00:00:00"/>
    <d v="2012-11-23T00:00:00"/>
    <n v="65"/>
    <n v="0"/>
    <n v="0"/>
    <n v="0"/>
    <n v="11"/>
    <n v="57"/>
    <x v="0"/>
    <x v="20"/>
  </r>
  <r>
    <n v="1927"/>
    <n v="2181"/>
    <n v="1970"/>
    <s v="Graduation"/>
    <s v="Married"/>
    <n v="70617"/>
    <n v="0"/>
    <d v="1899-12-30T00:00:00"/>
    <d v="2013-06-23T00:00:00"/>
    <n v="45"/>
    <n v="61"/>
    <n v="46"/>
    <n v="46"/>
    <n v="7"/>
    <n v="56"/>
    <x v="0"/>
    <x v="85"/>
  </r>
  <r>
    <n v="1928"/>
    <n v="1867"/>
    <n v="1957"/>
    <s v="Graduation"/>
    <s v="Single"/>
    <n v="64849"/>
    <n v="0"/>
    <d v="1899-12-30T00:00:00"/>
    <d v="2012-11-13T00:00:00"/>
    <n v="42"/>
    <n v="48"/>
    <n v="84"/>
    <n v="84"/>
    <n v="6"/>
    <n v="69"/>
    <x v="0"/>
    <x v="181"/>
  </r>
  <r>
    <n v="1929"/>
    <n v="1518"/>
    <n v="1965"/>
    <s v="Master"/>
    <s v="Married"/>
    <n v="62694"/>
    <n v="1"/>
    <d v="1899-12-31T00:00:00"/>
    <d v="2013-06-17T00:00:00"/>
    <n v="29"/>
    <n v="6"/>
    <n v="91"/>
    <n v="91"/>
    <n v="7"/>
    <n v="61"/>
    <x v="0"/>
    <x v="169"/>
  </r>
  <r>
    <n v="1930"/>
    <n v="5734"/>
    <n v="1974"/>
    <s v="PhD"/>
    <s v="Married"/>
    <n v="61917"/>
    <n v="1"/>
    <d v="1899-12-31T00:00:00"/>
    <d v="2013-11-20T00:00:00"/>
    <n v="83"/>
    <n v="4"/>
    <n v="2"/>
    <n v="2"/>
    <n v="4"/>
    <n v="52"/>
    <x v="0"/>
    <x v="29"/>
  </r>
  <r>
    <n v="1931"/>
    <n v="2878"/>
    <n v="1947"/>
    <s v="PhD"/>
    <s v="Married"/>
    <n v="67472"/>
    <n v="0"/>
    <d v="1899-12-31T00:00:00"/>
    <d v="2013-09-28T00:00:00"/>
    <n v="93"/>
    <n v="31"/>
    <n v="17"/>
    <n v="17"/>
    <n v="7"/>
    <n v="79"/>
    <x v="0"/>
    <x v="38"/>
  </r>
  <r>
    <n v="1932"/>
    <n v="1458"/>
    <n v="1982"/>
    <s v="Master"/>
    <s v="Married"/>
    <n v="21059"/>
    <n v="1"/>
    <d v="1899-12-30T00:00:00"/>
    <d v="2014-01-07T00:00:00"/>
    <n v="40"/>
    <n v="3"/>
    <n v="3"/>
    <n v="3"/>
    <n v="3"/>
    <n v="44"/>
    <x v="1"/>
    <x v="29"/>
  </r>
  <r>
    <n v="1933"/>
    <n v="7007"/>
    <n v="1968"/>
    <s v="Master"/>
    <s v="Married"/>
    <n v="29543"/>
    <n v="2"/>
    <d v="1899-12-30T00:00:00"/>
    <d v="2014-04-01T00:00:00"/>
    <n v="47"/>
    <n v="3"/>
    <n v="4"/>
    <n v="4"/>
    <n v="2"/>
    <n v="58"/>
    <x v="0"/>
    <x v="29"/>
  </r>
  <r>
    <n v="1934"/>
    <n v="6200"/>
    <n v="1951"/>
    <s v="Graduation"/>
    <s v="Married"/>
    <n v="75903"/>
    <n v="0"/>
    <d v="1899-12-31T00:00:00"/>
    <d v="2013-04-08T00:00:00"/>
    <n v="50"/>
    <n v="108"/>
    <n v="38"/>
    <n v="38"/>
    <n v="9"/>
    <n v="75"/>
    <x v="0"/>
    <x v="34"/>
  </r>
  <r>
    <n v="1935"/>
    <n v="1403"/>
    <n v="1975"/>
    <s v="2n Cycle"/>
    <s v="Together"/>
    <n v="34984"/>
    <n v="1"/>
    <d v="1899-12-31T00:00:00"/>
    <d v="2012-09-06T00:00:00"/>
    <n v="40"/>
    <n v="4"/>
    <n v="5"/>
    <n v="5"/>
    <n v="3"/>
    <n v="51"/>
    <x v="0"/>
    <x v="41"/>
  </r>
  <r>
    <n v="1936"/>
    <n v="4827"/>
    <n v="1956"/>
    <s v="PhD"/>
    <s v="Single"/>
    <n v="54998"/>
    <n v="0"/>
    <d v="1899-12-31T00:00:00"/>
    <d v="2013-03-10T00:00:00"/>
    <n v="3"/>
    <n v="22"/>
    <n v="30"/>
    <n v="30"/>
    <n v="9"/>
    <n v="70"/>
    <x v="0"/>
    <x v="30"/>
  </r>
  <r>
    <n v="1937"/>
    <n v="6250"/>
    <n v="1949"/>
    <s v="PhD"/>
    <s v="Widow"/>
    <n v="54356"/>
    <n v="0"/>
    <d v="1899-12-31T00:00:00"/>
    <d v="2012-11-19T00:00:00"/>
    <n v="62"/>
    <n v="15"/>
    <n v="0"/>
    <n v="0"/>
    <n v="8"/>
    <n v="77"/>
    <x v="0"/>
    <x v="41"/>
  </r>
  <r>
    <n v="1938"/>
    <n v="9291"/>
    <n v="1959"/>
    <s v="Master"/>
    <s v="Married"/>
    <n v="34242"/>
    <n v="0"/>
    <d v="1899-12-31T00:00:00"/>
    <d v="2014-03-23T00:00:00"/>
    <n v="25"/>
    <n v="2"/>
    <n v="0"/>
    <n v="0"/>
    <n v="3"/>
    <n v="67"/>
    <x v="0"/>
    <x v="1"/>
  </r>
  <r>
    <n v="1939"/>
    <n v="2478"/>
    <n v="1973"/>
    <s v="Graduation"/>
    <s v="Married"/>
    <n v="25410"/>
    <n v="1"/>
    <d v="1899-12-30T00:00:00"/>
    <d v="2013-08-31T00:00:00"/>
    <n v="48"/>
    <n v="2"/>
    <n v="13"/>
    <n v="13"/>
    <n v="4"/>
    <n v="53"/>
    <x v="0"/>
    <x v="67"/>
  </r>
  <r>
    <n v="1940"/>
    <n v="1139"/>
    <n v="1984"/>
    <s v="PhD"/>
    <s v="Married"/>
    <n v="73356"/>
    <n v="0"/>
    <d v="1899-12-30T00:00:00"/>
    <d v="2014-02-06T00:00:00"/>
    <n v="56"/>
    <n v="14"/>
    <n v="14"/>
    <n v="14"/>
    <n v="5"/>
    <n v="42"/>
    <x v="1"/>
    <x v="44"/>
  </r>
  <r>
    <n v="1941"/>
    <n v="5138"/>
    <n v="1950"/>
    <s v="Graduation"/>
    <s v="Together"/>
    <n v="28320"/>
    <n v="0"/>
    <d v="1899-12-31T00:00:00"/>
    <d v="2013-01-14T00:00:00"/>
    <n v="68"/>
    <n v="1"/>
    <n v="2"/>
    <n v="2"/>
    <n v="3"/>
    <n v="76"/>
    <x v="0"/>
    <x v="7"/>
  </r>
  <r>
    <n v="1942"/>
    <n v="5393"/>
    <n v="1977"/>
    <s v="Graduation"/>
    <s v="Single"/>
    <n v="23763"/>
    <n v="1"/>
    <d v="1899-12-30T00:00:00"/>
    <d v="2012-08-07T00:00:00"/>
    <n v="64"/>
    <n v="0"/>
    <n v="2"/>
    <n v="2"/>
    <n v="3"/>
    <n v="49"/>
    <x v="1"/>
    <x v="7"/>
  </r>
  <r>
    <n v="1943"/>
    <n v="10413"/>
    <n v="1984"/>
    <s v="Graduation"/>
    <s v="Married"/>
    <n v="72570"/>
    <n v="0"/>
    <d v="1899-12-30T00:00:00"/>
    <d v="2014-04-25T00:00:00"/>
    <n v="67"/>
    <n v="83"/>
    <n v="141"/>
    <n v="141"/>
    <n v="12"/>
    <n v="42"/>
    <x v="1"/>
    <x v="163"/>
  </r>
  <r>
    <n v="1944"/>
    <n v="5015"/>
    <n v="1976"/>
    <s v="Master"/>
    <s v="Married"/>
    <n v="34529"/>
    <n v="1"/>
    <d v="1899-12-30T00:00:00"/>
    <d v="2012-09-14T00:00:00"/>
    <n v="94"/>
    <n v="6"/>
    <n v="6"/>
    <n v="6"/>
    <n v="3"/>
    <n v="50"/>
    <x v="1"/>
    <x v="18"/>
  </r>
  <r>
    <n v="1945"/>
    <n v="10868"/>
    <n v="1951"/>
    <s v="Graduation"/>
    <s v="Widow"/>
    <n v="70792"/>
    <n v="0"/>
    <d v="1899-12-30T00:00:00"/>
    <d v="2013-02-06T00:00:00"/>
    <n v="82"/>
    <n v="45"/>
    <n v="11"/>
    <n v="11"/>
    <n v="10"/>
    <n v="75"/>
    <x v="0"/>
    <x v="81"/>
  </r>
  <r>
    <n v="1946"/>
    <n v="10676"/>
    <n v="1982"/>
    <s v="Graduation"/>
    <s v="Married"/>
    <n v="63211"/>
    <n v="0"/>
    <d v="1899-12-30T00:00:00"/>
    <d v="2012-11-02T00:00:00"/>
    <n v="3"/>
    <n v="193"/>
    <n v="26"/>
    <n v="26"/>
    <n v="7"/>
    <n v="44"/>
    <x v="1"/>
    <x v="4"/>
  </r>
  <r>
    <n v="1947"/>
    <n v="2495"/>
    <n v="1974"/>
    <s v="Master"/>
    <s v="Married"/>
    <n v="83891"/>
    <n v="0"/>
    <d v="1899-12-31T00:00:00"/>
    <d v="2014-06-20T00:00:00"/>
    <n v="24"/>
    <n v="38"/>
    <n v="85"/>
    <n v="85"/>
    <n v="10"/>
    <n v="52"/>
    <x v="0"/>
    <x v="130"/>
  </r>
  <r>
    <n v="1948"/>
    <n v="7842"/>
    <n v="1968"/>
    <s v="Graduation"/>
    <s v="Single"/>
    <n v="36065"/>
    <n v="1"/>
    <d v="1899-12-31T00:00:00"/>
    <d v="2013-03-31T00:00:00"/>
    <n v="54"/>
    <n v="7"/>
    <n v="2"/>
    <n v="2"/>
    <n v="3"/>
    <n v="58"/>
    <x v="0"/>
    <x v="7"/>
  </r>
  <r>
    <n v="1949"/>
    <n v="9955"/>
    <n v="1954"/>
    <s v="Graduation"/>
    <s v="Together"/>
    <n v="39898"/>
    <n v="0"/>
    <d v="1899-12-31T00:00:00"/>
    <d v="2013-02-12T00:00:00"/>
    <n v="20"/>
    <n v="8"/>
    <n v="7"/>
    <n v="7"/>
    <n v="4"/>
    <n v="72"/>
    <x v="0"/>
    <x v="20"/>
  </r>
  <r>
    <n v="1950"/>
    <n v="6663"/>
    <n v="1940"/>
    <s v="PhD"/>
    <s v="Single"/>
    <n v="51141"/>
    <n v="0"/>
    <d v="1899-12-30T00:00:00"/>
    <d v="2013-07-08T00:00:00"/>
    <n v="96"/>
    <n v="0"/>
    <n v="0"/>
    <n v="0"/>
    <n v="4"/>
    <n v="86"/>
    <x v="0"/>
    <x v="9"/>
  </r>
  <r>
    <n v="1951"/>
    <n v="2162"/>
    <n v="1976"/>
    <s v="Graduation"/>
    <s v="Married"/>
    <n v="56939"/>
    <n v="0"/>
    <d v="1899-12-31T00:00:00"/>
    <d v="2013-09-18T00:00:00"/>
    <n v="19"/>
    <n v="34"/>
    <n v="29"/>
    <n v="29"/>
    <n v="10"/>
    <n v="50"/>
    <x v="1"/>
    <x v="30"/>
  </r>
  <r>
    <n v="1952"/>
    <n v="3434"/>
    <n v="1951"/>
    <s v="Graduation"/>
    <s v="Single"/>
    <n v="80872"/>
    <n v="0"/>
    <d v="1899-12-30T00:00:00"/>
    <d v="2014-05-12T00:00:00"/>
    <n v="60"/>
    <n v="72"/>
    <n v="12"/>
    <n v="12"/>
    <n v="10"/>
    <n v="75"/>
    <x v="0"/>
    <x v="62"/>
  </r>
  <r>
    <n v="1953"/>
    <n v="7919"/>
    <n v="1976"/>
    <s v="PhD"/>
    <s v="Together"/>
    <n v="72335"/>
    <n v="0"/>
    <d v="1899-12-30T00:00:00"/>
    <d v="2012-08-13T00:00:00"/>
    <n v="2"/>
    <n v="105"/>
    <n v="21"/>
    <n v="21"/>
    <n v="8"/>
    <n v="50"/>
    <x v="1"/>
    <x v="89"/>
  </r>
  <r>
    <n v="1954"/>
    <n v="5626"/>
    <n v="1964"/>
    <s v="PhD"/>
    <s v="Single"/>
    <n v="61798"/>
    <n v="0"/>
    <d v="1899-12-30T00:00:00"/>
    <d v="2013-11-23T00:00:00"/>
    <n v="13"/>
    <n v="4"/>
    <n v="8"/>
    <n v="8"/>
    <n v="9"/>
    <n v="62"/>
    <x v="0"/>
    <x v="67"/>
  </r>
  <r>
    <n v="1955"/>
    <n v="6428"/>
    <n v="1950"/>
    <s v="PhD"/>
    <s v="Widow"/>
    <n v="76842"/>
    <n v="0"/>
    <d v="1899-12-30T00:00:00"/>
    <d v="2014-05-03T00:00:00"/>
    <n v="37"/>
    <n v="10"/>
    <n v="54"/>
    <n v="54"/>
    <n v="7"/>
    <n v="76"/>
    <x v="0"/>
    <x v="123"/>
  </r>
  <r>
    <n v="1956"/>
    <n v="8514"/>
    <n v="1976"/>
    <s v="Graduation"/>
    <s v="Together"/>
    <n v="29478"/>
    <n v="1"/>
    <d v="1899-12-30T00:00:00"/>
    <d v="2014-01-17T00:00:00"/>
    <n v="59"/>
    <n v="0"/>
    <n v="1"/>
    <n v="1"/>
    <n v="3"/>
    <n v="50"/>
    <x v="1"/>
    <x v="9"/>
  </r>
  <r>
    <n v="1957"/>
    <n v="10448"/>
    <n v="1956"/>
    <s v="Graduation"/>
    <s v="Single"/>
    <n v="46998"/>
    <n v="0"/>
    <d v="1899-12-31T00:00:00"/>
    <d v="2012-10-22T00:00:00"/>
    <n v="55"/>
    <n v="41"/>
    <n v="6"/>
    <n v="6"/>
    <n v="5"/>
    <n v="70"/>
    <x v="0"/>
    <x v="20"/>
  </r>
  <r>
    <n v="1958"/>
    <n v="2109"/>
    <n v="1990"/>
    <s v="Graduation"/>
    <s v="Single"/>
    <n v="96843"/>
    <n v="0"/>
    <d v="1899-12-30T00:00:00"/>
    <d v="2013-04-23T00:00:00"/>
    <n v="60"/>
    <n v="71"/>
    <n v="17"/>
    <n v="17"/>
    <n v="10"/>
    <n v="36"/>
    <x v="1"/>
    <x v="16"/>
  </r>
  <r>
    <n v="1959"/>
    <n v="7530"/>
    <n v="1950"/>
    <s v="PhD"/>
    <s v="Widow"/>
    <n v="56551"/>
    <n v="1"/>
    <d v="1899-12-31T00:00:00"/>
    <d v="2014-05-07T00:00:00"/>
    <n v="48"/>
    <n v="4"/>
    <n v="2"/>
    <n v="2"/>
    <n v="4"/>
    <n v="76"/>
    <x v="0"/>
    <x v="29"/>
  </r>
  <r>
    <n v="1960"/>
    <n v="8925"/>
    <n v="1965"/>
    <s v="Master"/>
    <s v="Married"/>
    <n v="70053"/>
    <n v="0"/>
    <d v="1899-12-31T00:00:00"/>
    <d v="2013-07-03T00:00:00"/>
    <n v="38"/>
    <n v="53"/>
    <n v="179"/>
    <n v="179"/>
    <n v="10"/>
    <n v="61"/>
    <x v="0"/>
    <x v="182"/>
  </r>
  <r>
    <n v="1961"/>
    <n v="3009"/>
    <n v="1962"/>
    <s v="PhD"/>
    <s v="Widow"/>
    <n v="71670"/>
    <n v="0"/>
    <d v="1899-12-30T00:00:00"/>
    <d v="2013-07-09T00:00:00"/>
    <n v="8"/>
    <n v="16"/>
    <n v="0"/>
    <n v="0"/>
    <n v="6"/>
    <n v="64"/>
    <x v="0"/>
    <x v="29"/>
  </r>
  <r>
    <n v="1962"/>
    <n v="6355"/>
    <n v="1978"/>
    <s v="Graduation"/>
    <s v="Married"/>
    <n v="44359"/>
    <n v="1"/>
    <d v="1899-12-31T00:00:00"/>
    <d v="2014-06-17T00:00:00"/>
    <n v="19"/>
    <n v="0"/>
    <n v="3"/>
    <n v="3"/>
    <n v="4"/>
    <n v="48"/>
    <x v="1"/>
    <x v="3"/>
  </r>
  <r>
    <n v="1963"/>
    <n v="3517"/>
    <n v="1952"/>
    <s v="Graduation"/>
    <s v="Single"/>
    <n v="40887"/>
    <n v="1"/>
    <d v="1899-12-31T00:00:00"/>
    <d v="2013-05-06T00:00:00"/>
    <n v="32"/>
    <n v="4"/>
    <n v="10"/>
    <n v="10"/>
    <n v="3"/>
    <n v="74"/>
    <x v="0"/>
    <x v="104"/>
  </r>
  <r>
    <n v="1964"/>
    <n v="1158"/>
    <n v="1966"/>
    <s v="Graduation"/>
    <s v="Divorced"/>
    <n v="48877"/>
    <n v="0"/>
    <d v="1899-12-31T00:00:00"/>
    <d v="2014-01-05T00:00:00"/>
    <n v="27"/>
    <n v="1"/>
    <n v="0"/>
    <n v="0"/>
    <n v="4"/>
    <n v="60"/>
    <x v="0"/>
    <x v="9"/>
  </r>
  <r>
    <n v="1965"/>
    <n v="6203"/>
    <n v="1947"/>
    <s v="Graduation"/>
    <s v="Together"/>
    <n v="74485"/>
    <n v="0"/>
    <d v="1899-12-30T00:00:00"/>
    <d v="2013-08-24T00:00:00"/>
    <n v="58"/>
    <n v="149"/>
    <n v="49"/>
    <n v="49"/>
    <n v="12"/>
    <n v="79"/>
    <x v="0"/>
    <x v="123"/>
  </r>
  <r>
    <n v="1966"/>
    <n v="7165"/>
    <n v="1972"/>
    <s v="Graduation"/>
    <s v="Together"/>
    <n v="64474"/>
    <n v="0"/>
    <d v="1899-12-31T00:00:00"/>
    <d v="2013-10-22T00:00:00"/>
    <n v="59"/>
    <n v="35"/>
    <n v="86"/>
    <n v="86"/>
    <n v="10"/>
    <n v="54"/>
    <x v="0"/>
    <x v="75"/>
  </r>
  <r>
    <n v="1967"/>
    <n v="3595"/>
    <n v="1963"/>
    <s v="Graduation"/>
    <s v="Together"/>
    <n v="77226"/>
    <n v="0"/>
    <d v="1899-12-31T00:00:00"/>
    <d v="2014-02-28T00:00:00"/>
    <n v="29"/>
    <n v="43"/>
    <n v="76"/>
    <n v="76"/>
    <n v="12"/>
    <n v="63"/>
    <x v="0"/>
    <x v="118"/>
  </r>
  <r>
    <n v="1968"/>
    <n v="8537"/>
    <n v="1949"/>
    <s v="Graduation"/>
    <s v="Widow"/>
    <n v="72643"/>
    <n v="0"/>
    <d v="1899-12-30T00:00:00"/>
    <d v="2013-02-27T00:00:00"/>
    <n v="60"/>
    <n v="80"/>
    <n v="94"/>
    <n v="94"/>
    <n v="7"/>
    <n v="77"/>
    <x v="0"/>
    <x v="68"/>
  </r>
  <r>
    <n v="1969"/>
    <n v="4331"/>
    <n v="1978"/>
    <s v="Master"/>
    <s v="Together"/>
    <n v="85738"/>
    <n v="0"/>
    <d v="1899-12-30T00:00:00"/>
    <d v="2014-01-23T00:00:00"/>
    <n v="41"/>
    <n v="26"/>
    <n v="26"/>
    <n v="26"/>
    <n v="11"/>
    <n v="48"/>
    <x v="1"/>
    <x v="78"/>
  </r>
  <r>
    <n v="1970"/>
    <n v="6281"/>
    <n v="1966"/>
    <s v="Graduation"/>
    <s v="Divorced"/>
    <n v="55686"/>
    <n v="0"/>
    <d v="1899-12-31T00:00:00"/>
    <d v="2013-02-14T00:00:00"/>
    <n v="27"/>
    <n v="0"/>
    <n v="47"/>
    <n v="47"/>
    <n v="5"/>
    <n v="60"/>
    <x v="0"/>
    <x v="5"/>
  </r>
  <r>
    <n v="1971"/>
    <n v="4338"/>
    <n v="1983"/>
    <s v="Graduation"/>
    <s v="Single"/>
    <n v="39062"/>
    <n v="1"/>
    <d v="1899-12-30T00:00:00"/>
    <d v="2014-03-25T00:00:00"/>
    <n v="28"/>
    <n v="0"/>
    <n v="0"/>
    <n v="0"/>
    <n v="3"/>
    <n v="43"/>
    <x v="1"/>
    <x v="1"/>
  </r>
  <r>
    <n v="1972"/>
    <n v="2452"/>
    <n v="1971"/>
    <s v="Graduation"/>
    <s v="Together"/>
    <n v="34600"/>
    <n v="1"/>
    <d v="1899-12-31T00:00:00"/>
    <d v="2013-01-01T00:00:00"/>
    <n v="8"/>
    <n v="33"/>
    <n v="3"/>
    <n v="3"/>
    <n v="5"/>
    <n v="55"/>
    <x v="0"/>
    <x v="41"/>
  </r>
  <r>
    <n v="1973"/>
    <n v="9507"/>
    <n v="1975"/>
    <s v="Graduation"/>
    <s v="Married"/>
    <n v="40794"/>
    <n v="0"/>
    <d v="1899-12-31T00:00:00"/>
    <d v="2013-04-07T00:00:00"/>
    <n v="18"/>
    <n v="23"/>
    <n v="23"/>
    <n v="23"/>
    <n v="5"/>
    <n v="51"/>
    <x v="0"/>
    <x v="24"/>
  </r>
  <r>
    <n v="1974"/>
    <n v="8360"/>
    <n v="1971"/>
    <s v="2n Cycle"/>
    <s v="Married"/>
    <n v="54690"/>
    <n v="1"/>
    <d v="1899-12-31T00:00:00"/>
    <d v="2013-11-07T00:00:00"/>
    <n v="76"/>
    <n v="16"/>
    <n v="9"/>
    <n v="9"/>
    <n v="5"/>
    <n v="55"/>
    <x v="0"/>
    <x v="31"/>
  </r>
  <r>
    <n v="1975"/>
    <n v="10311"/>
    <n v="1969"/>
    <s v="Graduation"/>
    <s v="Married"/>
    <n v="4428"/>
    <n v="0"/>
    <d v="1899-12-31T00:00:00"/>
    <d v="2013-10-05T00:00:00"/>
    <n v="0"/>
    <n v="4"/>
    <n v="4"/>
    <n v="4"/>
    <n v="0"/>
    <n v="57"/>
    <x v="0"/>
    <x v="9"/>
  </r>
  <r>
    <n v="1976"/>
    <n v="5117"/>
    <n v="1963"/>
    <s v="2n Cycle"/>
    <s v="Married"/>
    <n v="32632"/>
    <n v="0"/>
    <d v="1899-12-30T00:00:00"/>
    <d v="2012-08-02T00:00:00"/>
    <n v="32"/>
    <n v="151"/>
    <n v="19"/>
    <n v="19"/>
    <n v="8"/>
    <n v="63"/>
    <x v="0"/>
    <x v="16"/>
  </r>
  <r>
    <n v="1977"/>
    <n v="4867"/>
    <n v="1968"/>
    <s v="PhD"/>
    <s v="Single"/>
    <n v="38236"/>
    <n v="1"/>
    <d v="1899-12-31T00:00:00"/>
    <d v="2013-09-20T00:00:00"/>
    <n v="2"/>
    <n v="0"/>
    <n v="0"/>
    <n v="0"/>
    <n v="4"/>
    <n v="58"/>
    <x v="0"/>
    <x v="9"/>
  </r>
  <r>
    <n v="1978"/>
    <n v="9289"/>
    <n v="1979"/>
    <s v="Graduation"/>
    <s v="Married"/>
    <n v="36781"/>
    <n v="1"/>
    <d v="1899-12-30T00:00:00"/>
    <d v="2014-04-10T00:00:00"/>
    <n v="16"/>
    <n v="1"/>
    <n v="3"/>
    <n v="3"/>
    <n v="2"/>
    <n v="47"/>
    <x v="1"/>
    <x v="7"/>
  </r>
  <r>
    <n v="1979"/>
    <n v="10913"/>
    <n v="1984"/>
    <s v="Master"/>
    <s v="Single"/>
    <n v="31385"/>
    <n v="1"/>
    <d v="1899-12-30T00:00:00"/>
    <d v="2012-12-05T00:00:00"/>
    <n v="56"/>
    <n v="2"/>
    <n v="1"/>
    <n v="1"/>
    <n v="2"/>
    <n v="42"/>
    <x v="1"/>
    <x v="1"/>
  </r>
  <r>
    <n v="1980"/>
    <n v="3032"/>
    <n v="1984"/>
    <s v="Graduation"/>
    <s v="Married"/>
    <n v="24570"/>
    <n v="1"/>
    <d v="1899-12-30T00:00:00"/>
    <d v="2013-02-27T00:00:00"/>
    <n v="97"/>
    <n v="34"/>
    <n v="14"/>
    <n v="14"/>
    <n v="4"/>
    <n v="42"/>
    <x v="1"/>
    <x v="14"/>
  </r>
  <r>
    <n v="1981"/>
    <n v="8524"/>
    <n v="1974"/>
    <s v="PhD"/>
    <s v="Divorced"/>
    <n v="25509"/>
    <n v="1"/>
    <d v="1899-12-30T00:00:00"/>
    <d v="2012-09-18T00:00:00"/>
    <n v="15"/>
    <n v="3"/>
    <n v="7"/>
    <n v="7"/>
    <n v="3"/>
    <n v="52"/>
    <x v="0"/>
    <x v="11"/>
  </r>
  <r>
    <n v="1982"/>
    <n v="3334"/>
    <n v="1951"/>
    <s v="Graduation"/>
    <s v="Married"/>
    <n v="94642"/>
    <n v="0"/>
    <d v="1899-12-30T00:00:00"/>
    <d v="2014-02-12T00:00:00"/>
    <n v="35"/>
    <n v="143"/>
    <n v="143"/>
    <n v="143"/>
    <n v="9"/>
    <n v="75"/>
    <x v="0"/>
    <x v="154"/>
  </r>
  <r>
    <n v="1983"/>
    <n v="4470"/>
    <n v="1962"/>
    <s v="Master"/>
    <s v="Married"/>
    <n v="58646"/>
    <n v="0"/>
    <d v="1899-12-31T00:00:00"/>
    <d v="2013-06-10T00:00:00"/>
    <n v="3"/>
    <n v="1"/>
    <n v="5"/>
    <n v="5"/>
    <n v="4"/>
    <n v="64"/>
    <x v="0"/>
    <x v="18"/>
  </r>
  <r>
    <n v="1984"/>
    <n v="1406"/>
    <n v="1975"/>
    <s v="Graduation"/>
    <s v="Single"/>
    <n v="53201"/>
    <n v="1"/>
    <d v="1899-12-31T00:00:00"/>
    <d v="2013-02-12T00:00:00"/>
    <n v="49"/>
    <n v="7"/>
    <n v="0"/>
    <n v="0"/>
    <n v="5"/>
    <n v="51"/>
    <x v="0"/>
    <x v="7"/>
  </r>
  <r>
    <n v="1985"/>
    <n v="8619"/>
    <n v="1957"/>
    <s v="Graduation"/>
    <s v="Together"/>
    <n v="21994"/>
    <n v="0"/>
    <d v="1899-12-31T00:00:00"/>
    <d v="2012-12-24T00:00:00"/>
    <n v="4"/>
    <n v="0"/>
    <n v="1"/>
    <n v="1"/>
    <n v="3"/>
    <n v="69"/>
    <x v="0"/>
    <x v="9"/>
  </r>
  <r>
    <n v="1986"/>
    <n v="10821"/>
    <n v="1978"/>
    <s v="Graduation"/>
    <s v="Married"/>
    <n v="57113"/>
    <n v="1"/>
    <d v="1899-12-31T00:00:00"/>
    <d v="2013-02-06T00:00:00"/>
    <n v="45"/>
    <n v="4"/>
    <n v="2"/>
    <n v="2"/>
    <n v="5"/>
    <n v="48"/>
    <x v="1"/>
    <x v="3"/>
  </r>
  <r>
    <n v="1987"/>
    <n v="4552"/>
    <n v="1991"/>
    <s v="Graduation"/>
    <s v="Married"/>
    <n v="51373"/>
    <n v="0"/>
    <d v="1899-12-30T00:00:00"/>
    <d v="2013-06-22T00:00:00"/>
    <n v="37"/>
    <n v="2"/>
    <n v="26"/>
    <n v="26"/>
    <n v="3"/>
    <n v="35"/>
    <x v="1"/>
    <x v="89"/>
  </r>
  <r>
    <n v="1988"/>
    <n v="898"/>
    <n v="1986"/>
    <s v="Graduation"/>
    <s v="Married"/>
    <n v="23477"/>
    <n v="1"/>
    <d v="1899-12-30T00:00:00"/>
    <d v="2013-10-21T00:00:00"/>
    <n v="39"/>
    <n v="15"/>
    <n v="8"/>
    <n v="8"/>
    <n v="4"/>
    <n v="40"/>
    <x v="1"/>
    <x v="51"/>
  </r>
  <r>
    <n v="1989"/>
    <n v="9797"/>
    <n v="1956"/>
    <s v="Graduation"/>
    <s v="Married"/>
    <n v="58116"/>
    <n v="0"/>
    <d v="1899-12-31T00:00:00"/>
    <d v="2014-04-13T00:00:00"/>
    <n v="38"/>
    <n v="19"/>
    <n v="11"/>
    <n v="11"/>
    <n v="8"/>
    <n v="70"/>
    <x v="0"/>
    <x v="44"/>
  </r>
  <r>
    <n v="1990"/>
    <n v="10949"/>
    <n v="1963"/>
    <s v="PhD"/>
    <s v="Divorced"/>
    <n v="72968"/>
    <n v="0"/>
    <d v="1899-12-30T00:00:00"/>
    <d v="2013-12-16T00:00:00"/>
    <n v="8"/>
    <n v="37"/>
    <n v="37"/>
    <n v="37"/>
    <n v="8"/>
    <n v="63"/>
    <x v="0"/>
    <x v="49"/>
  </r>
  <r>
    <n v="1991"/>
    <n v="8212"/>
    <n v="1971"/>
    <s v="Master"/>
    <s v="Married"/>
    <n v="39791"/>
    <n v="0"/>
    <d v="1899-12-31T00:00:00"/>
    <d v="2013-03-28T00:00:00"/>
    <n v="89"/>
    <n v="15"/>
    <n v="13"/>
    <n v="13"/>
    <n v="4"/>
    <n v="55"/>
    <x v="0"/>
    <x v="67"/>
  </r>
  <r>
    <n v="1992"/>
    <n v="6248"/>
    <n v="1947"/>
    <s v="Master"/>
    <s v="Single"/>
    <n v="91712"/>
    <n v="0"/>
    <d v="1899-12-30T00:00:00"/>
    <d v="2013-10-17T00:00:00"/>
    <n v="47"/>
    <n v="24"/>
    <n v="29"/>
    <n v="29"/>
    <n v="11"/>
    <n v="79"/>
    <x v="0"/>
    <x v="105"/>
  </r>
  <r>
    <n v="1993"/>
    <n v="10164"/>
    <n v="1958"/>
    <s v="Graduation"/>
    <s v="Single"/>
    <n v="94472"/>
    <n v="0"/>
    <d v="1899-12-31T00:00:00"/>
    <d v="2014-04-03T00:00:00"/>
    <n v="75"/>
    <n v="33"/>
    <n v="100"/>
    <n v="100"/>
    <n v="5"/>
    <n v="68"/>
    <x v="0"/>
    <x v="148"/>
  </r>
  <r>
    <n v="1994"/>
    <n v="4547"/>
    <n v="1960"/>
    <s v="Graduation"/>
    <s v="Together"/>
    <n v="13672"/>
    <n v="1"/>
    <d v="1899-12-31T00:00:00"/>
    <d v="2013-04-17T00:00:00"/>
    <n v="86"/>
    <n v="2"/>
    <n v="1"/>
    <n v="1"/>
    <n v="3"/>
    <n v="66"/>
    <x v="0"/>
    <x v="9"/>
  </r>
  <r>
    <n v="1995"/>
    <n v="6815"/>
    <n v="1980"/>
    <s v="2n Cycle"/>
    <s v="Married"/>
    <n v="96547"/>
    <n v="0"/>
    <d v="1899-12-30T00:00:00"/>
    <d v="2014-05-23T00:00:00"/>
    <n v="4"/>
    <n v="21"/>
    <n v="101"/>
    <n v="101"/>
    <n v="8"/>
    <n v="46"/>
    <x v="1"/>
    <x v="132"/>
  </r>
  <r>
    <n v="1996"/>
    <n v="4122"/>
    <n v="1975"/>
    <s v="Graduation"/>
    <s v="Married"/>
    <n v="79205"/>
    <n v="0"/>
    <d v="1899-12-30T00:00:00"/>
    <d v="2012-08-29T00:00:00"/>
    <n v="73"/>
    <n v="23"/>
    <n v="28"/>
    <n v="28"/>
    <n v="4"/>
    <n v="51"/>
    <x v="0"/>
    <x v="74"/>
  </r>
  <r>
    <n v="1997"/>
    <n v="10841"/>
    <n v="1975"/>
    <s v="PhD"/>
    <s v="Together"/>
    <n v="56559"/>
    <n v="0"/>
    <d v="1899-12-31T00:00:00"/>
    <d v="2012-12-25T00:00:00"/>
    <n v="46"/>
    <n v="22"/>
    <n v="31"/>
    <n v="31"/>
    <n v="8"/>
    <n v="51"/>
    <x v="0"/>
    <x v="30"/>
  </r>
  <r>
    <n v="1998"/>
    <n v="5370"/>
    <n v="1973"/>
    <s v="PhD"/>
    <s v="Married"/>
    <n v="32644"/>
    <n v="1"/>
    <d v="1899-12-30T00:00:00"/>
    <d v="2013-01-16T00:00:00"/>
    <n v="38"/>
    <n v="3"/>
    <n v="7"/>
    <n v="7"/>
    <n v="6"/>
    <n v="53"/>
    <x v="0"/>
    <x v="104"/>
  </r>
  <r>
    <n v="1999"/>
    <n v="176"/>
    <n v="1980"/>
    <s v="2n Cycle"/>
    <s v="Single"/>
    <n v="67506"/>
    <n v="0"/>
    <d v="1899-12-31T00:00:00"/>
    <d v="2014-01-02T00:00:00"/>
    <n v="73"/>
    <n v="38"/>
    <n v="36"/>
    <n v="36"/>
    <n v="6"/>
    <n v="46"/>
    <x v="1"/>
    <x v="66"/>
  </r>
  <r>
    <n v="2000"/>
    <n v="4860"/>
    <n v="1970"/>
    <s v="Graduation"/>
    <s v="Single"/>
    <n v="24206"/>
    <n v="1"/>
    <d v="1899-12-30T00:00:00"/>
    <d v="2013-03-08T00:00:00"/>
    <n v="66"/>
    <n v="2"/>
    <n v="2"/>
    <n v="2"/>
    <n v="3"/>
    <n v="56"/>
    <x v="0"/>
    <x v="7"/>
  </r>
  <r>
    <n v="2001"/>
    <n v="10757"/>
    <n v="1967"/>
    <s v="PhD"/>
    <s v="Divorced"/>
    <n v="28420"/>
    <n v="1"/>
    <d v="1899-12-30T00:00:00"/>
    <d v="2013-12-24T00:00:00"/>
    <n v="36"/>
    <n v="2"/>
    <n v="0"/>
    <n v="0"/>
    <n v="2"/>
    <n v="59"/>
    <x v="0"/>
    <x v="42"/>
  </r>
  <r>
    <n v="2002"/>
    <n v="4023"/>
    <n v="1970"/>
    <s v="Graduation"/>
    <s v="Married"/>
    <n v="22979"/>
    <n v="1"/>
    <d v="1899-12-30T00:00:00"/>
    <d v="2012-09-06T00:00:00"/>
    <n v="29"/>
    <n v="17"/>
    <n v="21"/>
    <n v="21"/>
    <n v="2"/>
    <n v="56"/>
    <x v="0"/>
    <x v="45"/>
  </r>
  <r>
    <n v="2003"/>
    <n v="6679"/>
    <n v="1966"/>
    <s v="Graduation"/>
    <s v="Single"/>
    <n v="33279"/>
    <n v="0"/>
    <d v="1899-12-30T00:00:00"/>
    <d v="2014-06-12T00:00:00"/>
    <n v="29"/>
    <n v="3"/>
    <n v="0"/>
    <n v="0"/>
    <n v="3"/>
    <n v="60"/>
    <x v="0"/>
    <x v="1"/>
  </r>
  <r>
    <n v="2004"/>
    <n v="9923"/>
    <n v="1972"/>
    <s v="Master"/>
    <s v="Single"/>
    <n v="46423"/>
    <n v="1"/>
    <d v="1899-12-31T00:00:00"/>
    <d v="2013-09-18T00:00:00"/>
    <n v="6"/>
    <n v="0"/>
    <n v="0"/>
    <n v="0"/>
    <n v="4"/>
    <n v="54"/>
    <x v="0"/>
    <x v="9"/>
  </r>
  <r>
    <n v="2005"/>
    <n v="7181"/>
    <n v="1977"/>
    <s v="Graduation"/>
    <s v="Married"/>
    <n v="30368"/>
    <n v="0"/>
    <d v="1899-12-31T00:00:00"/>
    <d v="2013-11-07T00:00:00"/>
    <n v="97"/>
    <n v="0"/>
    <n v="0"/>
    <n v="0"/>
    <n v="3"/>
    <n v="49"/>
    <x v="1"/>
    <x v="1"/>
  </r>
  <r>
    <n v="2006"/>
    <n v="3599"/>
    <n v="1970"/>
    <s v="Graduation"/>
    <s v="Married"/>
    <n v="63684"/>
    <n v="0"/>
    <d v="1899-12-31T00:00:00"/>
    <d v="2012-11-26T00:00:00"/>
    <n v="61"/>
    <n v="80"/>
    <n v="93"/>
    <n v="93"/>
    <n v="8"/>
    <n v="56"/>
    <x v="0"/>
    <x v="68"/>
  </r>
  <r>
    <n v="2007"/>
    <n v="405"/>
    <n v="1964"/>
    <s v="Graduation"/>
    <s v="Divorced"/>
    <n v="41638"/>
    <n v="0"/>
    <d v="1899-12-31T00:00:00"/>
    <d v="2013-02-13T00:00:00"/>
    <n v="68"/>
    <n v="0"/>
    <n v="0"/>
    <n v="0"/>
    <n v="3"/>
    <n v="62"/>
    <x v="0"/>
    <x v="1"/>
  </r>
  <r>
    <n v="2008"/>
    <n v="6870"/>
    <n v="1959"/>
    <s v="PhD"/>
    <s v="Divorced"/>
    <n v="68805"/>
    <n v="0"/>
    <d v="1899-12-31T00:00:00"/>
    <d v="2013-09-17T00:00:00"/>
    <n v="73"/>
    <n v="2"/>
    <n v="13"/>
    <n v="13"/>
    <n v="7"/>
    <n v="67"/>
    <x v="0"/>
    <x v="26"/>
  </r>
  <r>
    <n v="2009"/>
    <n v="832"/>
    <n v="1966"/>
    <s v="PhD"/>
    <s v="Together"/>
    <n v="65814"/>
    <n v="0"/>
    <d v="1899-12-31T00:00:00"/>
    <d v="2014-03-02T00:00:00"/>
    <n v="90"/>
    <n v="14"/>
    <n v="14"/>
    <n v="14"/>
    <n v="10"/>
    <n v="60"/>
    <x v="0"/>
    <x v="38"/>
  </r>
  <r>
    <n v="2010"/>
    <n v="2002"/>
    <n v="1958"/>
    <s v="Graduation"/>
    <s v="Divorced"/>
    <n v="71964"/>
    <n v="0"/>
    <d v="1899-12-30T00:00:00"/>
    <d v="2013-05-20T00:00:00"/>
    <n v="81"/>
    <n v="51"/>
    <n v="34"/>
    <n v="34"/>
    <n v="5"/>
    <n v="68"/>
    <x v="0"/>
    <x v="30"/>
  </r>
  <r>
    <n v="2011"/>
    <n v="3657"/>
    <n v="1986"/>
    <s v="Graduation"/>
    <s v="Single"/>
    <n v="39146"/>
    <n v="1"/>
    <d v="1899-12-30T00:00:00"/>
    <d v="2013-02-14T00:00:00"/>
    <n v="1"/>
    <n v="1"/>
    <n v="12"/>
    <n v="12"/>
    <n v="4"/>
    <n v="40"/>
    <x v="1"/>
    <x v="13"/>
  </r>
  <r>
    <n v="2012"/>
    <n v="500"/>
    <n v="1977"/>
    <s v="Graduation"/>
    <s v="Together"/>
    <n v="96876"/>
    <n v="0"/>
    <d v="1899-12-30T00:00:00"/>
    <d v="2013-08-06T00:00:00"/>
    <n v="79"/>
    <n v="43"/>
    <n v="194"/>
    <n v="194"/>
    <n v="9"/>
    <n v="49"/>
    <x v="1"/>
    <x v="114"/>
  </r>
  <r>
    <n v="2013"/>
    <n v="1951"/>
    <n v="1981"/>
    <s v="Basic"/>
    <s v="Married"/>
    <n v="34445"/>
    <n v="0"/>
    <d v="1899-12-30T00:00:00"/>
    <d v="2013-01-27T00:00:00"/>
    <n v="92"/>
    <n v="122"/>
    <n v="129"/>
    <n v="129"/>
    <n v="8"/>
    <n v="45"/>
    <x v="1"/>
    <x v="183"/>
  </r>
  <r>
    <n v="2014"/>
    <n v="3262"/>
    <n v="1958"/>
    <s v="Graduation"/>
    <s v="Single"/>
    <n v="68281"/>
    <n v="0"/>
    <d v="1899-12-30T00:00:00"/>
    <d v="2012-08-07T00:00:00"/>
    <n v="31"/>
    <n v="112"/>
    <n v="48"/>
    <n v="48"/>
    <n v="13"/>
    <n v="68"/>
    <x v="0"/>
    <x v="123"/>
  </r>
  <r>
    <n v="2015"/>
    <n v="4102"/>
    <n v="1975"/>
    <s v="2n Cycle"/>
    <s v="Married"/>
    <n v="37284"/>
    <n v="1"/>
    <d v="1899-12-31T00:00:00"/>
    <d v="2013-03-29T00:00:00"/>
    <n v="46"/>
    <n v="1"/>
    <n v="1"/>
    <n v="1"/>
    <n v="3"/>
    <n v="51"/>
    <x v="0"/>
    <x v="9"/>
  </r>
  <r>
    <n v="2016"/>
    <n v="7042"/>
    <n v="1983"/>
    <s v="Graduation"/>
    <s v="Married"/>
    <n v="36790"/>
    <n v="0"/>
    <d v="1899-12-30T00:00:00"/>
    <d v="2013-03-01T00:00:00"/>
    <n v="14"/>
    <n v="3"/>
    <n v="21"/>
    <n v="21"/>
    <n v="2"/>
    <n v="43"/>
    <x v="1"/>
    <x v="45"/>
  </r>
  <r>
    <n v="2017"/>
    <n v="10598"/>
    <n v="1967"/>
    <s v="Graduation"/>
    <s v="Together"/>
    <n v="27943"/>
    <n v="1"/>
    <d v="1899-12-31T00:00:00"/>
    <d v="2013-04-15T00:00:00"/>
    <n v="89"/>
    <n v="1"/>
    <n v="1"/>
    <n v="1"/>
    <n v="3"/>
    <n v="59"/>
    <x v="0"/>
    <x v="9"/>
  </r>
  <r>
    <n v="2018"/>
    <n v="255"/>
    <n v="1951"/>
    <s v="Graduation"/>
    <s v="Divorced"/>
    <n v="22263"/>
    <n v="1"/>
    <d v="1899-12-31T00:00:00"/>
    <d v="2014-03-30T00:00:00"/>
    <n v="31"/>
    <n v="0"/>
    <n v="0"/>
    <n v="0"/>
    <n v="3"/>
    <n v="75"/>
    <x v="0"/>
    <x v="1"/>
  </r>
  <r>
    <n v="2019"/>
    <n v="2375"/>
    <n v="1972"/>
    <s v="Graduation"/>
    <s v="Together"/>
    <n v="30261"/>
    <n v="1"/>
    <d v="1900-01-01T00:00:00"/>
    <d v="2012-09-25T00:00:00"/>
    <n v="75"/>
    <n v="0"/>
    <n v="3"/>
    <n v="3"/>
    <n v="3"/>
    <n v="54"/>
    <x v="0"/>
    <x v="29"/>
  </r>
  <r>
    <n v="2020"/>
    <n v="9829"/>
    <n v="1978"/>
    <s v="Graduation"/>
    <s v="Together"/>
    <n v="28587"/>
    <n v="1"/>
    <d v="1899-12-30T00:00:00"/>
    <d v="2014-02-12T00:00:00"/>
    <n v="42"/>
    <n v="4"/>
    <n v="10"/>
    <n v="10"/>
    <n v="4"/>
    <n v="48"/>
    <x v="1"/>
    <x v="31"/>
  </r>
  <r>
    <n v="2021"/>
    <n v="6214"/>
    <n v="1982"/>
    <s v="Master"/>
    <s v="Married"/>
    <n v="43815"/>
    <n v="1"/>
    <d v="1899-12-30T00:00:00"/>
    <d v="2013-04-05T00:00:00"/>
    <n v="53"/>
    <n v="10"/>
    <n v="7"/>
    <n v="7"/>
    <n v="3"/>
    <n v="44"/>
    <x v="1"/>
    <x v="11"/>
  </r>
  <r>
    <n v="2022"/>
    <n v="4954"/>
    <n v="1956"/>
    <s v="Graduation"/>
    <s v="Married"/>
    <n v="48195"/>
    <n v="1"/>
    <d v="1899-12-31T00:00:00"/>
    <d v="2014-01-21T00:00:00"/>
    <n v="53"/>
    <n v="27"/>
    <n v="7"/>
    <n v="7"/>
    <n v="5"/>
    <n v="70"/>
    <x v="0"/>
    <x v="51"/>
  </r>
  <r>
    <n v="2023"/>
    <n v="7861"/>
    <n v="1952"/>
    <s v="Master"/>
    <s v="Married"/>
    <n v="77027"/>
    <n v="0"/>
    <d v="1899-12-31T00:00:00"/>
    <d v="2014-02-05T00:00:00"/>
    <n v="23"/>
    <n v="57"/>
    <n v="0"/>
    <n v="0"/>
    <n v="6"/>
    <n v="74"/>
    <x v="0"/>
    <x v="29"/>
  </r>
  <r>
    <n v="2024"/>
    <n v="4837"/>
    <n v="1965"/>
    <s v="PhD"/>
    <s v="Married"/>
    <n v="71322"/>
    <n v="0"/>
    <d v="1899-12-31T00:00:00"/>
    <d v="2013-02-16T00:00:00"/>
    <n v="57"/>
    <n v="43"/>
    <n v="10"/>
    <n v="10"/>
    <n v="13"/>
    <n v="61"/>
    <x v="0"/>
    <x v="45"/>
  </r>
  <r>
    <n v="2025"/>
    <n v="9423"/>
    <n v="1979"/>
    <s v="Master"/>
    <s v="Married"/>
    <n v="32765"/>
    <n v="1"/>
    <d v="1899-12-30T00:00:00"/>
    <d v="2014-02-23T00:00:00"/>
    <n v="49"/>
    <n v="3"/>
    <n v="3"/>
    <n v="3"/>
    <n v="4"/>
    <n v="47"/>
    <x v="1"/>
    <x v="3"/>
  </r>
  <r>
    <n v="2026"/>
    <n v="4198"/>
    <n v="1965"/>
    <s v="Graduation"/>
    <s v="Together"/>
    <n v="29672"/>
    <n v="1"/>
    <d v="1899-12-31T00:00:00"/>
    <d v="2013-03-12T00:00:00"/>
    <n v="6"/>
    <n v="1"/>
    <n v="4"/>
    <n v="4"/>
    <n v="3"/>
    <n v="61"/>
    <x v="0"/>
    <x v="3"/>
  </r>
  <r>
    <n v="2027"/>
    <n v="153"/>
    <n v="1953"/>
    <s v="Graduation"/>
    <s v="Divorced"/>
    <n v="23272"/>
    <n v="0"/>
    <d v="1899-12-30T00:00:00"/>
    <d v="2013-10-17T00:00:00"/>
    <n v="29"/>
    <n v="3"/>
    <n v="2"/>
    <n v="2"/>
    <n v="3"/>
    <n v="73"/>
    <x v="0"/>
    <x v="7"/>
  </r>
  <r>
    <n v="2028"/>
    <n v="9323"/>
    <n v="1949"/>
    <s v="Master"/>
    <s v="Together"/>
    <n v="49912"/>
    <n v="0"/>
    <d v="1899-12-31T00:00:00"/>
    <d v="2012-09-07T00:00:00"/>
    <n v="5"/>
    <n v="8"/>
    <n v="49"/>
    <n v="49"/>
    <n v="7"/>
    <n v="77"/>
    <x v="0"/>
    <x v="6"/>
  </r>
  <r>
    <n v="2029"/>
    <n v="10001"/>
    <n v="1985"/>
    <s v="2n Cycle"/>
    <s v="Together"/>
    <n v="7500"/>
    <n v="1"/>
    <d v="1899-12-30T00:00:00"/>
    <d v="2012-08-01T00:00:00"/>
    <n v="98"/>
    <n v="17"/>
    <n v="14"/>
    <n v="14"/>
    <n v="3"/>
    <n v="41"/>
    <x v="1"/>
    <x v="67"/>
  </r>
  <r>
    <n v="2030"/>
    <n v="3945"/>
    <n v="1947"/>
    <s v="PhD"/>
    <s v="Widow"/>
    <n v="68117"/>
    <n v="0"/>
    <d v="1899-12-31T00:00:00"/>
    <d v="2013-03-10T00:00:00"/>
    <n v="80"/>
    <n v="44"/>
    <n v="17"/>
    <n v="17"/>
    <n v="4"/>
    <n v="79"/>
    <x v="0"/>
    <x v="81"/>
  </r>
  <r>
    <n v="2031"/>
    <n v="3799"/>
    <n v="1955"/>
    <s v="Graduation"/>
    <s v="Married"/>
    <n v="67225"/>
    <n v="0"/>
    <d v="1899-12-31T00:00:00"/>
    <d v="2013-11-26T00:00:00"/>
    <n v="4"/>
    <n v="35"/>
    <n v="7"/>
    <n v="7"/>
    <n v="11"/>
    <n v="71"/>
    <x v="0"/>
    <x v="14"/>
  </r>
  <r>
    <n v="2032"/>
    <n v="8625"/>
    <n v="1976"/>
    <s v="Graduation"/>
    <s v="Married"/>
    <n v="17649"/>
    <n v="1"/>
    <d v="1899-12-30T00:00:00"/>
    <d v="2013-11-12T00:00:00"/>
    <n v="70"/>
    <n v="1"/>
    <n v="5"/>
    <n v="5"/>
    <n v="3"/>
    <n v="50"/>
    <x v="1"/>
    <x v="41"/>
  </r>
  <r>
    <n v="2033"/>
    <n v="3491"/>
    <n v="1975"/>
    <s v="Graduation"/>
    <s v="Together"/>
    <n v="55914"/>
    <n v="0"/>
    <d v="1899-12-31T00:00:00"/>
    <d v="2013-04-29T00:00:00"/>
    <n v="32"/>
    <n v="60"/>
    <n v="101"/>
    <n v="101"/>
    <n v="8"/>
    <n v="51"/>
    <x v="0"/>
    <x v="132"/>
  </r>
  <r>
    <n v="2034"/>
    <n v="983"/>
    <n v="1984"/>
    <s v="Graduation"/>
    <s v="Married"/>
    <n v="40059"/>
    <n v="1"/>
    <d v="1899-12-30T00:00:00"/>
    <d v="2013-09-28T00:00:00"/>
    <n v="82"/>
    <n v="29"/>
    <n v="10"/>
    <n v="10"/>
    <n v="3"/>
    <n v="42"/>
    <x v="1"/>
    <x v="104"/>
  </r>
  <r>
    <n v="2035"/>
    <n v="9119"/>
    <n v="1950"/>
    <s v="Graduation"/>
    <s v="Together"/>
    <n v="60905"/>
    <n v="0"/>
    <d v="1899-12-31T00:00:00"/>
    <d v="2013-12-05T00:00:00"/>
    <n v="27"/>
    <n v="17"/>
    <n v="17"/>
    <n v="17"/>
    <n v="7"/>
    <n v="76"/>
    <x v="0"/>
    <x v="38"/>
  </r>
  <r>
    <n v="2036"/>
    <n v="4786"/>
    <n v="1977"/>
    <s v="Graduation"/>
    <s v="Married"/>
    <n v="75330"/>
    <n v="1"/>
    <d v="1899-12-31T00:00:00"/>
    <d v="2012-10-04T00:00:00"/>
    <n v="94"/>
    <n v="82"/>
    <n v="61"/>
    <n v="61"/>
    <n v="12"/>
    <n v="49"/>
    <x v="1"/>
    <x v="65"/>
  </r>
  <r>
    <n v="2037"/>
    <n v="5872"/>
    <n v="1951"/>
    <s v="Graduation"/>
    <s v="Single"/>
    <n v="60689"/>
    <n v="0"/>
    <d v="1899-12-31T00:00:00"/>
    <d v="2013-06-01T00:00:00"/>
    <n v="23"/>
    <n v="90"/>
    <n v="6"/>
    <n v="6"/>
    <n v="10"/>
    <n v="75"/>
    <x v="0"/>
    <x v="13"/>
  </r>
  <r>
    <n v="2038"/>
    <n v="6568"/>
    <n v="1984"/>
    <s v="Graduation"/>
    <s v="Married"/>
    <n v="38680"/>
    <n v="1"/>
    <d v="1899-12-30T00:00:00"/>
    <d v="2013-03-28T00:00:00"/>
    <n v="97"/>
    <n v="0"/>
    <n v="5"/>
    <n v="5"/>
    <n v="3"/>
    <n v="42"/>
    <x v="1"/>
    <x v="41"/>
  </r>
  <r>
    <n v="2039"/>
    <n v="5628"/>
    <n v="1982"/>
    <s v="Graduation"/>
    <s v="Together"/>
    <n v="61416"/>
    <n v="0"/>
    <d v="1899-12-30T00:00:00"/>
    <d v="2013-02-08T00:00:00"/>
    <n v="25"/>
    <n v="154"/>
    <n v="61"/>
    <n v="61"/>
    <n v="10"/>
    <n v="44"/>
    <x v="1"/>
    <x v="184"/>
  </r>
  <r>
    <n v="2040"/>
    <n v="5631"/>
    <n v="1991"/>
    <s v="Graduation"/>
    <s v="Single"/>
    <n v="49767"/>
    <n v="0"/>
    <d v="1899-12-30T00:00:00"/>
    <d v="2013-05-02T00:00:00"/>
    <n v="92"/>
    <n v="47"/>
    <n v="42"/>
    <n v="42"/>
    <n v="8"/>
    <n v="35"/>
    <x v="1"/>
    <x v="32"/>
  </r>
  <r>
    <n v="2041"/>
    <n v="4974"/>
    <n v="1970"/>
    <s v="Graduation"/>
    <s v="Single"/>
    <n v="83273"/>
    <n v="1"/>
    <d v="1900-01-01T00:00:00"/>
    <d v="2012-09-25T00:00:00"/>
    <n v="98"/>
    <n v="89"/>
    <n v="102"/>
    <n v="102"/>
    <n v="9"/>
    <n v="56"/>
    <x v="0"/>
    <x v="77"/>
  </r>
  <r>
    <n v="2042"/>
    <n v="8416"/>
    <n v="1981"/>
    <s v="Graduation"/>
    <s v="Married"/>
    <n v="29009"/>
    <n v="1"/>
    <d v="1899-12-30T00:00:00"/>
    <d v="2013-11-29T00:00:00"/>
    <n v="19"/>
    <n v="6"/>
    <n v="5"/>
    <n v="5"/>
    <n v="3"/>
    <n v="45"/>
    <x v="1"/>
    <x v="41"/>
  </r>
  <r>
    <n v="2043"/>
    <n v="5454"/>
    <n v="1979"/>
    <s v="Master"/>
    <s v="Married"/>
    <n v="45057"/>
    <n v="1"/>
    <d v="1899-12-30T00:00:00"/>
    <d v="2013-12-01T00:00:00"/>
    <n v="80"/>
    <n v="0"/>
    <n v="0"/>
    <n v="0"/>
    <n v="3"/>
    <n v="47"/>
    <x v="1"/>
    <x v="1"/>
  </r>
  <r>
    <n v="2044"/>
    <n v="4095"/>
    <n v="1971"/>
    <s v="Graduation"/>
    <s v="Married"/>
    <n v="37150"/>
    <n v="1"/>
    <d v="1899-12-30T00:00:00"/>
    <d v="2012-09-11T00:00:00"/>
    <n v="80"/>
    <n v="37"/>
    <n v="34"/>
    <n v="34"/>
    <n v="6"/>
    <n v="55"/>
    <x v="0"/>
    <x v="105"/>
  </r>
  <r>
    <n v="2045"/>
    <n v="5474"/>
    <n v="1970"/>
    <s v="Graduation"/>
    <s v="Single"/>
    <n v="43020"/>
    <n v="1"/>
    <d v="1899-12-30T00:00:00"/>
    <d v="2013-11-30T00:00:00"/>
    <n v="79"/>
    <n v="7"/>
    <n v="25"/>
    <n v="25"/>
    <n v="4"/>
    <n v="56"/>
    <x v="0"/>
    <x v="89"/>
  </r>
  <r>
    <n v="2046"/>
    <n v="4268"/>
    <n v="1959"/>
    <s v="Graduation"/>
    <s v="Married"/>
    <n v="53154"/>
    <n v="0"/>
    <d v="1899-12-31T00:00:00"/>
    <d v="2014-06-09T00:00:00"/>
    <n v="50"/>
    <n v="0"/>
    <n v="1"/>
    <n v="1"/>
    <n v="4"/>
    <n v="67"/>
    <x v="0"/>
    <x v="7"/>
  </r>
  <r>
    <n v="2047"/>
    <n v="10701"/>
    <n v="1973"/>
    <s v="Graduation"/>
    <s v="Married"/>
    <n v="65308"/>
    <n v="0"/>
    <d v="1899-12-30T00:00:00"/>
    <d v="2013-09-11T00:00:00"/>
    <n v="60"/>
    <n v="0"/>
    <n v="80"/>
    <n v="80"/>
    <n v="12"/>
    <n v="53"/>
    <x v="0"/>
    <x v="0"/>
  </r>
  <r>
    <n v="2048"/>
    <n v="3507"/>
    <n v="1970"/>
    <s v="Graduation"/>
    <s v="Single"/>
    <n v="76467"/>
    <n v="1"/>
    <d v="1899-12-30T00:00:00"/>
    <d v="2012-08-17T00:00:00"/>
    <n v="44"/>
    <n v="161"/>
    <n v="44"/>
    <n v="44"/>
    <n v="5"/>
    <n v="56"/>
    <x v="0"/>
    <x v="125"/>
  </r>
  <r>
    <n v="2049"/>
    <n v="2079"/>
    <n v="1947"/>
    <s v="2n Cycle"/>
    <s v="Married"/>
    <n v="81044"/>
    <n v="0"/>
    <d v="1899-12-30T00:00:00"/>
    <d v="2013-12-27T00:00:00"/>
    <n v="0"/>
    <n v="26"/>
    <n v="98"/>
    <n v="98"/>
    <n v="10"/>
    <n v="79"/>
    <x v="0"/>
    <x v="58"/>
  </r>
  <r>
    <n v="2050"/>
    <n v="626"/>
    <n v="1951"/>
    <s v="Graduation"/>
    <s v="Married"/>
    <n v="32871"/>
    <n v="1"/>
    <d v="1899-12-31T00:00:00"/>
    <d v="2013-03-09T00:00:00"/>
    <n v="28"/>
    <n v="2"/>
    <n v="2"/>
    <n v="2"/>
    <n v="3"/>
    <n v="75"/>
    <x v="0"/>
    <x v="7"/>
  </r>
  <r>
    <n v="2051"/>
    <n v="4426"/>
    <n v="1975"/>
    <s v="Graduation"/>
    <s v="Single"/>
    <n v="55801"/>
    <n v="1"/>
    <d v="1899-12-31T00:00:00"/>
    <d v="2013-09-22T00:00:00"/>
    <n v="35"/>
    <n v="4"/>
    <n v="4"/>
    <n v="4"/>
    <n v="6"/>
    <n v="51"/>
    <x v="0"/>
    <x v="11"/>
  </r>
  <r>
    <n v="2052"/>
    <n v="2591"/>
    <n v="1959"/>
    <s v="Graduation"/>
    <s v="Widow"/>
    <n v="76320"/>
    <n v="0"/>
    <d v="1899-12-31T00:00:00"/>
    <d v="2014-06-22T00:00:00"/>
    <n v="49"/>
    <n v="35"/>
    <n v="53"/>
    <n v="53"/>
    <n v="4"/>
    <n v="67"/>
    <x v="0"/>
    <x v="64"/>
  </r>
  <r>
    <n v="2053"/>
    <n v="10509"/>
    <n v="1955"/>
    <s v="Master"/>
    <s v="Single"/>
    <n v="36927"/>
    <n v="1"/>
    <d v="1899-12-31T00:00:00"/>
    <d v="2014-06-02T00:00:00"/>
    <n v="46"/>
    <n v="0"/>
    <n v="0"/>
    <n v="0"/>
    <n v="3"/>
    <n v="71"/>
    <x v="0"/>
    <x v="1"/>
  </r>
  <r>
    <n v="2054"/>
    <n v="6382"/>
    <n v="1953"/>
    <s v="Graduation"/>
    <s v="Together"/>
    <n v="48794"/>
    <n v="1"/>
    <d v="1899-12-31T00:00:00"/>
    <d v="2014-06-26T00:00:00"/>
    <n v="97"/>
    <n v="0"/>
    <n v="0"/>
    <n v="0"/>
    <n v="3"/>
    <n v="73"/>
    <x v="0"/>
    <x v="1"/>
  </r>
  <r>
    <n v="2055"/>
    <n v="6673"/>
    <n v="1965"/>
    <s v="Graduation"/>
    <s v="Single"/>
    <n v="23478"/>
    <n v="0"/>
    <d v="1899-12-30T00:00:00"/>
    <d v="2013-03-19T00:00:00"/>
    <n v="51"/>
    <n v="6"/>
    <n v="17"/>
    <n v="17"/>
    <n v="3"/>
    <n v="61"/>
    <x v="0"/>
    <x v="26"/>
  </r>
  <r>
    <n v="2056"/>
    <n v="7441"/>
    <n v="1973"/>
    <s v="Graduation"/>
    <s v="Divorced"/>
    <n v="71128"/>
    <n v="1"/>
    <d v="1899-12-30T00:00:00"/>
    <d v="2012-10-06T00:00:00"/>
    <n v="80"/>
    <n v="159"/>
    <n v="0"/>
    <n v="0"/>
    <n v="12"/>
    <n v="53"/>
    <x v="0"/>
    <x v="51"/>
  </r>
  <r>
    <n v="2057"/>
    <n v="1071"/>
    <n v="1976"/>
    <s v="PhD"/>
    <s v="Divorced"/>
    <n v="70179"/>
    <n v="0"/>
    <d v="1899-12-31T00:00:00"/>
    <d v="2013-07-21T00:00:00"/>
    <n v="10"/>
    <n v="88"/>
    <n v="44"/>
    <n v="44"/>
    <n v="13"/>
    <n v="50"/>
    <x v="1"/>
    <x v="64"/>
  </r>
  <r>
    <n v="2058"/>
    <n v="10061"/>
    <n v="1950"/>
    <s v="Graduation"/>
    <s v="Married"/>
    <n v="59462"/>
    <n v="0"/>
    <d v="1899-12-31T00:00:00"/>
    <d v="2013-01-05T00:00:00"/>
    <n v="29"/>
    <n v="17"/>
    <n v="8"/>
    <n v="8"/>
    <n v="12"/>
    <n v="76"/>
    <x v="0"/>
    <x v="26"/>
  </r>
  <r>
    <n v="2059"/>
    <n v="7187"/>
    <n v="1969"/>
    <s v="Master"/>
    <s v="Together"/>
    <m/>
    <n v="1"/>
    <d v="1899-12-31T00:00:00"/>
    <d v="2013-05-18T00:00:00"/>
    <n v="52"/>
    <n v="42"/>
    <n v="66"/>
    <n v="66"/>
    <n v="4"/>
    <n v="57"/>
    <x v="0"/>
    <x v="120"/>
  </r>
  <r>
    <n v="2060"/>
    <n v="8775"/>
    <n v="1969"/>
    <s v="Graduation"/>
    <s v="Together"/>
    <n v="38361"/>
    <n v="1"/>
    <d v="1899-12-30T00:00:00"/>
    <d v="2013-12-27T00:00:00"/>
    <n v="74"/>
    <n v="0"/>
    <n v="8"/>
    <n v="8"/>
    <n v="3"/>
    <n v="57"/>
    <x v="0"/>
    <x v="20"/>
  </r>
  <r>
    <n v="2061"/>
    <n v="1612"/>
    <n v="1981"/>
    <s v="PhD"/>
    <s v="Single"/>
    <m/>
    <n v="1"/>
    <d v="1899-12-30T00:00:00"/>
    <d v="2013-05-31T00:00:00"/>
    <n v="82"/>
    <n v="0"/>
    <n v="2"/>
    <n v="2"/>
    <n v="3"/>
    <n v="45"/>
    <x v="1"/>
    <x v="7"/>
  </r>
  <r>
    <n v="2062"/>
    <n v="2345"/>
    <n v="1982"/>
    <s v="PhD"/>
    <s v="Together"/>
    <n v="70038"/>
    <n v="0"/>
    <d v="1899-12-30T00:00:00"/>
    <d v="2013-10-25T00:00:00"/>
    <n v="54"/>
    <n v="54"/>
    <n v="54"/>
    <n v="54"/>
    <n v="8"/>
    <n v="44"/>
    <x v="1"/>
    <x v="128"/>
  </r>
  <r>
    <n v="2063"/>
    <n v="322"/>
    <n v="1978"/>
    <s v="Graduation"/>
    <s v="Together"/>
    <n v="42554"/>
    <n v="1"/>
    <d v="1899-12-31T00:00:00"/>
    <d v="2013-01-12T00:00:00"/>
    <n v="93"/>
    <n v="1"/>
    <n v="0"/>
    <n v="0"/>
    <n v="3"/>
    <n v="48"/>
    <x v="1"/>
    <x v="1"/>
  </r>
  <r>
    <n v="2064"/>
    <n v="10897"/>
    <n v="1974"/>
    <s v="Graduation"/>
    <s v="Married"/>
    <n v="67445"/>
    <n v="0"/>
    <d v="1899-12-31T00:00:00"/>
    <d v="2012-08-12T00:00:00"/>
    <n v="63"/>
    <n v="80"/>
    <n v="80"/>
    <n v="80"/>
    <n v="12"/>
    <n v="52"/>
    <x v="0"/>
    <x v="0"/>
  </r>
  <r>
    <n v="2065"/>
    <n v="123"/>
    <n v="1951"/>
    <s v="Graduation"/>
    <s v="Widow"/>
    <n v="67046"/>
    <n v="0"/>
    <d v="1899-12-31T00:00:00"/>
    <d v="2013-01-06T00:00:00"/>
    <n v="92"/>
    <n v="35"/>
    <n v="151"/>
    <n v="151"/>
    <n v="4"/>
    <n v="75"/>
    <x v="0"/>
    <x v="86"/>
  </r>
  <r>
    <n v="2066"/>
    <n v="6103"/>
    <n v="1948"/>
    <s v="Graduation"/>
    <s v="Married"/>
    <n v="42192"/>
    <n v="0"/>
    <d v="1899-12-30T00:00:00"/>
    <d v="2013-09-06T00:00:00"/>
    <n v="40"/>
    <n v="15"/>
    <n v="6"/>
    <n v="6"/>
    <n v="3"/>
    <n v="78"/>
    <x v="0"/>
    <x v="18"/>
  </r>
  <r>
    <n v="2067"/>
    <n v="7899"/>
    <n v="1952"/>
    <s v="PhD"/>
    <s v="Married"/>
    <n v="77610"/>
    <n v="0"/>
    <d v="1899-12-31T00:00:00"/>
    <d v="2012-10-29T00:00:00"/>
    <n v="70"/>
    <n v="33"/>
    <n v="33"/>
    <n v="33"/>
    <n v="4"/>
    <n v="74"/>
    <x v="0"/>
    <x v="78"/>
  </r>
  <r>
    <n v="2068"/>
    <n v="10500"/>
    <n v="1984"/>
    <s v="Graduation"/>
    <s v="Married"/>
    <n v="31761"/>
    <n v="1"/>
    <d v="1899-12-30T00:00:00"/>
    <d v="2014-04-05T00:00:00"/>
    <n v="96"/>
    <n v="1"/>
    <n v="14"/>
    <n v="14"/>
    <n v="4"/>
    <n v="42"/>
    <x v="1"/>
    <x v="14"/>
  </r>
  <r>
    <n v="2069"/>
    <n v="1655"/>
    <n v="1979"/>
    <s v="Graduation"/>
    <s v="Together"/>
    <n v="34350"/>
    <n v="1"/>
    <d v="1899-12-30T00:00:00"/>
    <d v="2013-10-19T00:00:00"/>
    <n v="81"/>
    <n v="3"/>
    <n v="1"/>
    <n v="1"/>
    <n v="3"/>
    <n v="47"/>
    <x v="1"/>
    <x v="9"/>
  </r>
  <r>
    <n v="2070"/>
    <n v="2406"/>
    <n v="1949"/>
    <s v="Graduation"/>
    <s v="Together"/>
    <n v="54591"/>
    <n v="0"/>
    <d v="1899-12-31T00:00:00"/>
    <d v="2013-08-05T00:00:00"/>
    <n v="63"/>
    <n v="4"/>
    <n v="9"/>
    <n v="9"/>
    <n v="8"/>
    <n v="77"/>
    <x v="0"/>
    <x v="67"/>
  </r>
  <r>
    <n v="2071"/>
    <n v="2712"/>
    <n v="1956"/>
    <s v="Graduation"/>
    <s v="Married"/>
    <n v="71866"/>
    <n v="0"/>
    <d v="1899-12-31T00:00:00"/>
    <d v="2013-12-25T00:00:00"/>
    <n v="85"/>
    <n v="178"/>
    <n v="39"/>
    <n v="39"/>
    <n v="10"/>
    <n v="70"/>
    <x v="0"/>
    <x v="125"/>
  </r>
  <r>
    <n v="2072"/>
    <n v="5517"/>
    <n v="1969"/>
    <s v="Graduation"/>
    <s v="Married"/>
    <n v="25293"/>
    <n v="1"/>
    <d v="1899-12-30T00:00:00"/>
    <d v="2013-09-15T00:00:00"/>
    <n v="51"/>
    <n v="0"/>
    <n v="2"/>
    <n v="2"/>
    <n v="2"/>
    <n v="57"/>
    <x v="0"/>
    <x v="9"/>
  </r>
  <r>
    <n v="2073"/>
    <n v="10643"/>
    <n v="1987"/>
    <s v="PhD"/>
    <s v="Single"/>
    <n v="42000"/>
    <n v="0"/>
    <d v="1899-12-30T00:00:00"/>
    <d v="2013-01-10T00:00:00"/>
    <n v="23"/>
    <n v="83"/>
    <n v="59"/>
    <n v="59"/>
    <n v="11"/>
    <n v="39"/>
    <x v="1"/>
    <x v="120"/>
  </r>
  <r>
    <n v="2074"/>
    <n v="2254"/>
    <n v="1983"/>
    <s v="Graduation"/>
    <s v="Married"/>
    <n v="69520"/>
    <n v="0"/>
    <d v="1899-12-30T00:00:00"/>
    <d v="2013-07-07T00:00:00"/>
    <n v="95"/>
    <n v="120"/>
    <n v="80"/>
    <n v="80"/>
    <n v="5"/>
    <n v="43"/>
    <x v="1"/>
    <x v="60"/>
  </r>
  <r>
    <n v="2075"/>
    <n v="10281"/>
    <n v="1970"/>
    <s v="Graduation"/>
    <s v="Divorced"/>
    <n v="64713"/>
    <n v="1"/>
    <d v="1899-12-30T00:00:00"/>
    <d v="2014-02-07T00:00:00"/>
    <n v="11"/>
    <n v="60"/>
    <n v="54"/>
    <n v="54"/>
    <n v="7"/>
    <n v="56"/>
    <x v="0"/>
    <x v="123"/>
  </r>
  <r>
    <n v="2076"/>
    <n v="6958"/>
    <n v="1977"/>
    <s v="Master"/>
    <s v="Married"/>
    <n v="27889"/>
    <n v="1"/>
    <d v="1899-12-30T00:00:00"/>
    <d v="2013-07-05T00:00:00"/>
    <n v="42"/>
    <n v="0"/>
    <n v="0"/>
    <n v="0"/>
    <n v="2"/>
    <n v="49"/>
    <x v="1"/>
    <x v="42"/>
  </r>
  <r>
    <n v="2077"/>
    <n v="954"/>
    <n v="1960"/>
    <s v="Basic"/>
    <s v="Widow"/>
    <n v="22123"/>
    <n v="0"/>
    <d v="1899-12-30T00:00:00"/>
    <d v="2014-03-27T00:00:00"/>
    <n v="77"/>
    <n v="3"/>
    <n v="7"/>
    <n v="7"/>
    <n v="3"/>
    <n v="66"/>
    <x v="0"/>
    <x v="11"/>
  </r>
  <r>
    <n v="2078"/>
    <n v="5079"/>
    <n v="1971"/>
    <s v="Graduation"/>
    <s v="Married"/>
    <m/>
    <n v="1"/>
    <d v="1899-12-31T00:00:00"/>
    <d v="2013-03-03T00:00:00"/>
    <n v="82"/>
    <n v="1"/>
    <n v="0"/>
    <n v="0"/>
    <n v="3"/>
    <n v="55"/>
    <x v="0"/>
    <x v="1"/>
  </r>
  <r>
    <n v="2079"/>
    <n v="10339"/>
    <n v="1954"/>
    <s v="Master"/>
    <s v="Together"/>
    <m/>
    <n v="0"/>
    <d v="1899-12-31T00:00:00"/>
    <d v="2013-06-23T00:00:00"/>
    <n v="83"/>
    <n v="0"/>
    <n v="0"/>
    <n v="0"/>
    <n v="4"/>
    <n v="72"/>
    <x v="0"/>
    <x v="9"/>
  </r>
  <r>
    <n v="2080"/>
    <n v="4643"/>
    <n v="1973"/>
    <s v="Graduation"/>
    <s v="Married"/>
    <n v="27803"/>
    <n v="1"/>
    <d v="1899-12-30T00:00:00"/>
    <d v="2012-08-26T00:00:00"/>
    <n v="40"/>
    <n v="26"/>
    <n v="9"/>
    <n v="9"/>
    <n v="4"/>
    <n v="53"/>
    <x v="0"/>
    <x v="104"/>
  </r>
  <r>
    <n v="2081"/>
    <n v="3117"/>
    <n v="1955"/>
    <s v="Graduation"/>
    <s v="Single"/>
    <m/>
    <n v="0"/>
    <d v="1899-12-31T00:00:00"/>
    <d v="2013-10-18T00:00:00"/>
    <n v="95"/>
    <n v="0"/>
    <n v="6"/>
    <n v="6"/>
    <n v="5"/>
    <n v="71"/>
    <x v="0"/>
    <x v="20"/>
  </r>
  <r>
    <n v="2082"/>
    <n v="6497"/>
    <n v="1960"/>
    <s v="Graduation"/>
    <s v="Married"/>
    <n v="51651"/>
    <n v="0"/>
    <d v="1899-12-31T00:00:00"/>
    <d v="2012-11-07T00:00:00"/>
    <n v="32"/>
    <n v="6"/>
    <n v="6"/>
    <n v="6"/>
    <n v="5"/>
    <n v="66"/>
    <x v="0"/>
    <x v="20"/>
  </r>
  <r>
    <n v="2083"/>
    <n v="5396"/>
    <n v="1988"/>
    <s v="Graduation"/>
    <s v="Married"/>
    <n v="68487"/>
    <n v="0"/>
    <d v="1899-12-30T00:00:00"/>
    <d v="2013-01-13T00:00:00"/>
    <n v="48"/>
    <n v="12"/>
    <n v="89"/>
    <n v="89"/>
    <n v="13"/>
    <n v="38"/>
    <x v="1"/>
    <x v="87"/>
  </r>
  <r>
    <n v="2084"/>
    <n v="5250"/>
    <n v="1943"/>
    <s v="Master"/>
    <s v="Widow"/>
    <m/>
    <n v="0"/>
    <d v="1899-12-30T00:00:00"/>
    <d v="2013-10-30T00:00:00"/>
    <n v="75"/>
    <n v="126"/>
    <n v="126"/>
    <n v="126"/>
    <n v="11"/>
    <n v="83"/>
    <x v="0"/>
    <x v="183"/>
  </r>
  <r>
    <n v="2085"/>
    <n v="1052"/>
    <n v="1969"/>
    <s v="Graduation"/>
    <s v="Married"/>
    <n v="56796"/>
    <n v="0"/>
    <d v="1899-12-31T00:00:00"/>
    <d v="2013-02-16T00:00:00"/>
    <n v="24"/>
    <n v="38"/>
    <n v="47"/>
    <n v="47"/>
    <n v="7"/>
    <n v="57"/>
    <x v="0"/>
    <x v="27"/>
  </r>
  <r>
    <n v="2086"/>
    <n v="2802"/>
    <n v="1992"/>
    <s v="2n Cycle"/>
    <s v="Married"/>
    <n v="87000"/>
    <n v="0"/>
    <d v="1899-12-30T00:00:00"/>
    <d v="2012-12-15T00:00:00"/>
    <n v="61"/>
    <n v="25"/>
    <n v="17"/>
    <n v="17"/>
    <n v="7"/>
    <n v="34"/>
    <x v="1"/>
    <x v="38"/>
  </r>
  <r>
    <n v="2087"/>
    <n v="6343"/>
    <n v="1959"/>
    <s v="Graduation"/>
    <s v="Married"/>
    <n v="79823"/>
    <n v="0"/>
    <d v="1899-12-31T00:00:00"/>
    <d v="2014-03-31T00:00:00"/>
    <n v="6"/>
    <n v="73"/>
    <n v="73"/>
    <n v="73"/>
    <n v="7"/>
    <n v="67"/>
    <x v="0"/>
    <x v="12"/>
  </r>
  <r>
    <n v="2088"/>
    <n v="6507"/>
    <n v="1980"/>
    <s v="Graduation"/>
    <s v="Single"/>
    <n v="30828"/>
    <n v="1"/>
    <d v="1899-12-30T00:00:00"/>
    <d v="2013-10-04T00:00:00"/>
    <n v="16"/>
    <n v="11"/>
    <n v="0"/>
    <n v="0"/>
    <n v="4"/>
    <n v="46"/>
    <x v="1"/>
    <x v="9"/>
  </r>
  <r>
    <n v="2089"/>
    <n v="7901"/>
    <n v="1971"/>
    <s v="Master"/>
    <s v="Married"/>
    <n v="34109"/>
    <n v="0"/>
    <d v="1899-12-31T00:00:00"/>
    <d v="2013-11-06T00:00:00"/>
    <n v="39"/>
    <n v="1"/>
    <n v="1"/>
    <n v="1"/>
    <n v="3"/>
    <n v="55"/>
    <x v="0"/>
    <x v="9"/>
  </r>
  <r>
    <n v="2090"/>
    <n v="4865"/>
    <n v="1974"/>
    <s v="Master"/>
    <s v="Divorced"/>
    <n v="53367"/>
    <n v="1"/>
    <d v="1899-12-31T00:00:00"/>
    <d v="2013-08-31T00:00:00"/>
    <n v="2"/>
    <n v="7"/>
    <n v="3"/>
    <n v="3"/>
    <n v="8"/>
    <n v="52"/>
    <x v="0"/>
    <x v="20"/>
  </r>
  <r>
    <n v="2091"/>
    <n v="2686"/>
    <n v="1969"/>
    <s v="Basic"/>
    <s v="Together"/>
    <n v="22390"/>
    <n v="0"/>
    <d v="1899-12-30T00:00:00"/>
    <d v="2013-10-21T00:00:00"/>
    <n v="49"/>
    <n v="1"/>
    <n v="1"/>
    <n v="1"/>
    <n v="2"/>
    <n v="57"/>
    <x v="0"/>
    <x v="1"/>
  </r>
  <r>
    <n v="2092"/>
    <n v="3107"/>
    <n v="1976"/>
    <s v="Graduation"/>
    <s v="Together"/>
    <n v="71322"/>
    <n v="0"/>
    <d v="1899-12-31T00:00:00"/>
    <d v="2014-05-02T00:00:00"/>
    <n v="31"/>
    <n v="24"/>
    <n v="15"/>
    <n v="15"/>
    <n v="7"/>
    <n v="50"/>
    <x v="1"/>
    <x v="62"/>
  </r>
  <r>
    <n v="2093"/>
    <n v="7734"/>
    <n v="1993"/>
    <s v="Graduation"/>
    <s v="Absurd"/>
    <n v="79244"/>
    <n v="0"/>
    <d v="1899-12-30T00:00:00"/>
    <d v="2012-12-19T00:00:00"/>
    <n v="58"/>
    <n v="102"/>
    <n v="61"/>
    <n v="61"/>
    <n v="7"/>
    <n v="33"/>
    <x v="1"/>
    <x v="52"/>
  </r>
  <r>
    <n v="2094"/>
    <n v="1146"/>
    <n v="1949"/>
    <s v="Master"/>
    <s v="Together"/>
    <n v="49912"/>
    <n v="0"/>
    <d v="1899-12-31T00:00:00"/>
    <d v="2012-09-07T00:00:00"/>
    <n v="5"/>
    <n v="8"/>
    <n v="49"/>
    <n v="49"/>
    <n v="7"/>
    <n v="77"/>
    <x v="0"/>
    <x v="6"/>
  </r>
  <r>
    <n v="2095"/>
    <n v="11031"/>
    <n v="1950"/>
    <s v="PhD"/>
    <s v="Married"/>
    <n v="48699"/>
    <n v="1"/>
    <d v="1899-12-31T00:00:00"/>
    <d v="2013-05-21T00:00:00"/>
    <n v="90"/>
    <n v="1"/>
    <n v="0"/>
    <n v="0"/>
    <n v="3"/>
    <n v="76"/>
    <x v="0"/>
    <x v="1"/>
  </r>
  <r>
    <n v="2096"/>
    <n v="7428"/>
    <n v="1975"/>
    <s v="Graduation"/>
    <s v="Together"/>
    <n v="80144"/>
    <n v="0"/>
    <d v="1899-12-30T00:00:00"/>
    <d v="2013-09-30T00:00:00"/>
    <n v="47"/>
    <n v="132"/>
    <n v="192"/>
    <n v="192"/>
    <n v="8"/>
    <n v="51"/>
    <x v="0"/>
    <x v="162"/>
  </r>
  <r>
    <n v="2097"/>
    <n v="975"/>
    <n v="1956"/>
    <s v="Graduation"/>
    <s v="Single"/>
    <n v="54252"/>
    <n v="1"/>
    <d v="1899-12-31T00:00:00"/>
    <d v="2013-05-28T00:00:00"/>
    <n v="25"/>
    <n v="4"/>
    <n v="4"/>
    <n v="4"/>
    <n v="5"/>
    <n v="70"/>
    <x v="0"/>
    <x v="18"/>
  </r>
  <r>
    <n v="2098"/>
    <n v="1103"/>
    <n v="1976"/>
    <s v="Master"/>
    <s v="Married"/>
    <n v="81929"/>
    <n v="1"/>
    <d v="1899-12-30T00:00:00"/>
    <d v="2012-09-29T00:00:00"/>
    <n v="60"/>
    <n v="55"/>
    <n v="0"/>
    <n v="0"/>
    <n v="10"/>
    <n v="50"/>
    <x v="1"/>
    <x v="11"/>
  </r>
  <r>
    <n v="2099"/>
    <n v="3422"/>
    <n v="1975"/>
    <s v="Graduation"/>
    <s v="Married"/>
    <n v="76068"/>
    <n v="0"/>
    <d v="1899-12-31T00:00:00"/>
    <d v="2012-11-29T00:00:00"/>
    <n v="67"/>
    <n v="12"/>
    <n v="12"/>
    <n v="12"/>
    <n v="4"/>
    <n v="51"/>
    <x v="0"/>
    <x v="13"/>
  </r>
  <r>
    <n v="2100"/>
    <n v="1055"/>
    <n v="1976"/>
    <s v="Master"/>
    <s v="Married"/>
    <n v="53204"/>
    <n v="1"/>
    <d v="1899-12-31T00:00:00"/>
    <d v="2014-03-20T00:00:00"/>
    <n v="40"/>
    <n v="0"/>
    <n v="0"/>
    <n v="0"/>
    <n v="3"/>
    <n v="50"/>
    <x v="1"/>
    <x v="1"/>
  </r>
  <r>
    <n v="2101"/>
    <n v="6544"/>
    <n v="1949"/>
    <s v="PhD"/>
    <s v="Together"/>
    <n v="67911"/>
    <n v="0"/>
    <d v="1899-12-31T00:00:00"/>
    <d v="2014-05-22T00:00:00"/>
    <n v="63"/>
    <n v="0"/>
    <n v="28"/>
    <n v="28"/>
    <n v="11"/>
    <n v="77"/>
    <x v="0"/>
    <x v="30"/>
  </r>
  <r>
    <n v="2102"/>
    <n v="1241"/>
    <n v="1984"/>
    <s v="2n Cycle"/>
    <s v="Married"/>
    <n v="14796"/>
    <n v="1"/>
    <d v="1899-12-30T00:00:00"/>
    <d v="2012-09-17T00:00:00"/>
    <n v="1"/>
    <n v="3"/>
    <n v="4"/>
    <n v="4"/>
    <n v="3"/>
    <n v="42"/>
    <x v="1"/>
    <x v="3"/>
  </r>
  <r>
    <n v="2103"/>
    <n v="2909"/>
    <n v="1974"/>
    <s v="PhD"/>
    <s v="Married"/>
    <n v="78128"/>
    <n v="0"/>
    <d v="1899-12-31T00:00:00"/>
    <d v="2014-02-19T00:00:00"/>
    <n v="89"/>
    <n v="24"/>
    <n v="24"/>
    <n v="24"/>
    <n v="6"/>
    <n v="52"/>
    <x v="0"/>
    <x v="39"/>
  </r>
  <r>
    <n v="2104"/>
    <n v="5802"/>
    <n v="1972"/>
    <s v="Basic"/>
    <s v="Married"/>
    <n v="14188"/>
    <n v="0"/>
    <d v="1899-12-30T00:00:00"/>
    <d v="2013-02-28T00:00:00"/>
    <n v="40"/>
    <n v="7"/>
    <n v="12"/>
    <n v="12"/>
    <n v="4"/>
    <n v="54"/>
    <x v="0"/>
    <x v="13"/>
  </r>
  <r>
    <n v="2105"/>
    <n v="1407"/>
    <n v="1986"/>
    <s v="Basic"/>
    <s v="Married"/>
    <n v="20425"/>
    <n v="1"/>
    <d v="1899-12-30T00:00:00"/>
    <d v="2012-10-29T00:00:00"/>
    <n v="5"/>
    <n v="12"/>
    <n v="16"/>
    <n v="16"/>
    <n v="3"/>
    <n v="40"/>
    <x v="1"/>
    <x v="44"/>
  </r>
  <r>
    <n v="2106"/>
    <n v="6183"/>
    <n v="1962"/>
    <s v="Master"/>
    <s v="Married"/>
    <n v="58646"/>
    <n v="0"/>
    <d v="1899-12-31T00:00:00"/>
    <d v="2013-06-10T00:00:00"/>
    <n v="3"/>
    <n v="1"/>
    <n v="5"/>
    <n v="5"/>
    <n v="4"/>
    <n v="64"/>
    <x v="0"/>
    <x v="18"/>
  </r>
  <r>
    <n v="2107"/>
    <n v="340"/>
    <n v="1970"/>
    <s v="Graduation"/>
    <s v="Divorced"/>
    <n v="72967"/>
    <n v="0"/>
    <d v="1899-12-31T00:00:00"/>
    <d v="2012-12-15T00:00:00"/>
    <n v="1"/>
    <n v="35"/>
    <n v="0"/>
    <n v="0"/>
    <n v="8"/>
    <n v="56"/>
    <x v="0"/>
    <x v="41"/>
  </r>
  <r>
    <n v="2108"/>
    <n v="5991"/>
    <n v="1949"/>
    <s v="Master"/>
    <s v="Married"/>
    <n v="48150"/>
    <n v="0"/>
    <d v="1899-12-31T00:00:00"/>
    <d v="2013-06-08T00:00:00"/>
    <n v="24"/>
    <n v="2"/>
    <n v="2"/>
    <n v="2"/>
    <n v="4"/>
    <n v="77"/>
    <x v="0"/>
    <x v="29"/>
  </r>
  <r>
    <n v="2109"/>
    <n v="3104"/>
    <n v="1961"/>
    <s v="Graduation"/>
    <s v="Single"/>
    <n v="82332"/>
    <n v="0"/>
    <d v="1899-12-30T00:00:00"/>
    <d v="2012-09-17T00:00:00"/>
    <n v="89"/>
    <n v="59"/>
    <n v="79"/>
    <n v="79"/>
    <n v="12"/>
    <n v="65"/>
    <x v="0"/>
    <x v="153"/>
  </r>
  <r>
    <n v="2110"/>
    <n v="9729"/>
    <n v="1955"/>
    <s v="Graduation"/>
    <s v="Widow"/>
    <n v="58275"/>
    <n v="1"/>
    <d v="1899-12-31T00:00:00"/>
    <d v="2013-06-02T00:00:00"/>
    <n v="48"/>
    <n v="10"/>
    <n v="43"/>
    <n v="43"/>
    <n v="7"/>
    <n v="71"/>
    <x v="0"/>
    <x v="32"/>
  </r>
  <r>
    <n v="2111"/>
    <n v="1008"/>
    <n v="1981"/>
    <s v="PhD"/>
    <s v="Together"/>
    <n v="44953"/>
    <n v="0"/>
    <d v="1899-12-30T00:00:00"/>
    <d v="2012-12-21T00:00:00"/>
    <n v="31"/>
    <n v="17"/>
    <n v="8"/>
    <n v="8"/>
    <n v="13"/>
    <n v="45"/>
    <x v="1"/>
    <x v="81"/>
  </r>
  <r>
    <n v="2112"/>
    <n v="11091"/>
    <n v="1953"/>
    <s v="Graduation"/>
    <s v="Together"/>
    <n v="34587"/>
    <n v="1"/>
    <d v="1899-12-31T00:00:00"/>
    <d v="2014-05-16T00:00:00"/>
    <n v="68"/>
    <n v="2"/>
    <n v="0"/>
    <n v="0"/>
    <n v="3"/>
    <n v="73"/>
    <x v="0"/>
    <x v="1"/>
  </r>
  <r>
    <n v="2113"/>
    <n v="3969"/>
    <n v="1974"/>
    <s v="Master"/>
    <s v="Together"/>
    <n v="43018"/>
    <n v="0"/>
    <d v="1899-12-31T00:00:00"/>
    <d v="2013-11-01T00:00:00"/>
    <n v="46"/>
    <n v="4"/>
    <n v="6"/>
    <n v="6"/>
    <n v="2"/>
    <n v="52"/>
    <x v="0"/>
    <x v="41"/>
  </r>
  <r>
    <n v="2114"/>
    <n v="1916"/>
    <n v="1954"/>
    <s v="Master"/>
    <s v="Married"/>
    <n v="45736"/>
    <n v="0"/>
    <d v="1899-12-31T00:00:00"/>
    <d v="2013-07-24T00:00:00"/>
    <n v="92"/>
    <n v="3"/>
    <n v="3"/>
    <n v="3"/>
    <n v="6"/>
    <n v="72"/>
    <x v="0"/>
    <x v="18"/>
  </r>
  <r>
    <n v="2115"/>
    <n v="9907"/>
    <n v="1969"/>
    <s v="Master"/>
    <s v="Together"/>
    <n v="66476"/>
    <n v="0"/>
    <d v="1899-12-31T00:00:00"/>
    <d v="2013-12-04T00:00:00"/>
    <n v="80"/>
    <n v="28"/>
    <n v="9"/>
    <n v="9"/>
    <n v="10"/>
    <n v="57"/>
    <x v="0"/>
    <x v="44"/>
  </r>
  <r>
    <n v="2116"/>
    <n v="87"/>
    <n v="1981"/>
    <s v="2n Cycle"/>
    <s v="Married"/>
    <n v="27733"/>
    <n v="1"/>
    <d v="1899-12-30T00:00:00"/>
    <d v="2013-08-26T00:00:00"/>
    <n v="16"/>
    <n v="7"/>
    <n v="2"/>
    <n v="2"/>
    <n v="3"/>
    <n v="45"/>
    <x v="1"/>
    <x v="7"/>
  </r>
  <r>
    <n v="2117"/>
    <n v="8659"/>
    <n v="1952"/>
    <s v="PhD"/>
    <s v="Together"/>
    <n v="69805"/>
    <n v="0"/>
    <d v="1899-12-31T00:00:00"/>
    <d v="2014-01-21T00:00:00"/>
    <n v="50"/>
    <n v="71"/>
    <n v="10"/>
    <n v="10"/>
    <n v="11"/>
    <n v="74"/>
    <x v="0"/>
    <x v="81"/>
  </r>
  <r>
    <n v="2118"/>
    <n v="6262"/>
    <n v="1962"/>
    <s v="Master"/>
    <s v="Single"/>
    <n v="72217"/>
    <n v="0"/>
    <d v="1899-12-30T00:00:00"/>
    <d v="2013-04-10T00:00:00"/>
    <n v="93"/>
    <n v="42"/>
    <n v="56"/>
    <n v="56"/>
    <n v="8"/>
    <n v="64"/>
    <x v="0"/>
    <x v="122"/>
  </r>
  <r>
    <n v="2119"/>
    <n v="6147"/>
    <n v="1971"/>
    <s v="Graduation"/>
    <s v="Divorced"/>
    <n v="25818"/>
    <n v="1"/>
    <d v="1899-12-30T00:00:00"/>
    <d v="2012-10-18T00:00:00"/>
    <n v="51"/>
    <n v="2"/>
    <n v="2"/>
    <n v="2"/>
    <n v="2"/>
    <n v="55"/>
    <x v="0"/>
    <x v="9"/>
  </r>
  <r>
    <n v="2120"/>
    <n v="8832"/>
    <n v="1976"/>
    <s v="Master"/>
    <s v="Together"/>
    <n v="37509"/>
    <n v="1"/>
    <d v="1899-12-30T00:00:00"/>
    <d v="2012-09-12T00:00:00"/>
    <n v="24"/>
    <n v="5"/>
    <n v="8"/>
    <n v="8"/>
    <n v="4"/>
    <n v="50"/>
    <x v="1"/>
    <x v="51"/>
  </r>
  <r>
    <n v="2121"/>
    <n v="10067"/>
    <n v="1976"/>
    <s v="2n Cycle"/>
    <s v="Together"/>
    <n v="25176"/>
    <n v="1"/>
    <d v="1899-12-31T00:00:00"/>
    <d v="2013-08-10T00:00:00"/>
    <n v="79"/>
    <n v="0"/>
    <n v="0"/>
    <n v="0"/>
    <n v="2"/>
    <n v="50"/>
    <x v="1"/>
    <x v="42"/>
  </r>
  <r>
    <n v="2122"/>
    <n v="7532"/>
    <n v="1980"/>
    <s v="Graduation"/>
    <s v="Married"/>
    <n v="43586"/>
    <n v="0"/>
    <d v="1899-12-31T00:00:00"/>
    <d v="2012-08-30T00:00:00"/>
    <n v="26"/>
    <n v="2"/>
    <n v="0"/>
    <n v="0"/>
    <n v="4"/>
    <n v="46"/>
    <x v="1"/>
    <x v="9"/>
  </r>
  <r>
    <n v="2123"/>
    <n v="4915"/>
    <n v="1956"/>
    <s v="2n Cycle"/>
    <s v="Married"/>
    <n v="53230"/>
    <n v="0"/>
    <d v="1899-12-31T00:00:00"/>
    <d v="2012-08-03T00:00:00"/>
    <n v="86"/>
    <n v="72"/>
    <n v="21"/>
    <n v="21"/>
    <n v="12"/>
    <n v="70"/>
    <x v="0"/>
    <x v="4"/>
  </r>
  <r>
    <n v="2124"/>
    <n v="2115"/>
    <n v="1957"/>
    <s v="Graduation"/>
    <s v="Together"/>
    <n v="50116"/>
    <n v="1"/>
    <d v="1899-12-31T00:00:00"/>
    <d v="2014-06-20T00:00:00"/>
    <n v="68"/>
    <n v="0"/>
    <n v="0"/>
    <n v="0"/>
    <n v="4"/>
    <n v="69"/>
    <x v="0"/>
    <x v="9"/>
  </r>
  <r>
    <n v="2125"/>
    <n v="2088"/>
    <n v="1972"/>
    <s v="Graduation"/>
    <s v="Together"/>
    <n v="84906"/>
    <n v="0"/>
    <d v="1899-12-30T00:00:00"/>
    <d v="2013-10-04T00:00:00"/>
    <n v="98"/>
    <n v="15"/>
    <n v="30"/>
    <n v="30"/>
    <n v="12"/>
    <n v="54"/>
    <x v="0"/>
    <x v="66"/>
  </r>
  <r>
    <n v="2126"/>
    <n v="2493"/>
    <n v="1966"/>
    <s v="Graduation"/>
    <s v="Married"/>
    <n v="61286"/>
    <n v="0"/>
    <d v="1899-12-31T00:00:00"/>
    <d v="2013-08-02T00:00:00"/>
    <n v="34"/>
    <n v="0"/>
    <n v="9"/>
    <n v="9"/>
    <n v="8"/>
    <n v="60"/>
    <x v="0"/>
    <x v="67"/>
  </r>
  <r>
    <n v="2127"/>
    <n v="6292"/>
    <n v="1986"/>
    <s v="PhD"/>
    <s v="Married"/>
    <n v="82333"/>
    <n v="0"/>
    <d v="1899-12-30T00:00:00"/>
    <d v="2013-03-30T00:00:00"/>
    <n v="60"/>
    <n v="0"/>
    <n v="89"/>
    <n v="89"/>
    <n v="10"/>
    <n v="40"/>
    <x v="1"/>
    <x v="107"/>
  </r>
  <r>
    <n v="2128"/>
    <n v="1631"/>
    <n v="1965"/>
    <s v="PhD"/>
    <s v="Together"/>
    <n v="65220"/>
    <n v="0"/>
    <d v="1899-12-30T00:00:00"/>
    <d v="2012-09-03T00:00:00"/>
    <n v="3"/>
    <n v="63"/>
    <n v="25"/>
    <n v="25"/>
    <n v="7"/>
    <n v="61"/>
    <x v="0"/>
    <x v="74"/>
  </r>
  <r>
    <n v="2129"/>
    <n v="10104"/>
    <n v="1974"/>
    <s v="Graduation"/>
    <s v="Together"/>
    <n v="33590"/>
    <n v="2"/>
    <d v="1899-12-31T00:00:00"/>
    <d v="2013-11-03T00:00:00"/>
    <n v="65"/>
    <n v="0"/>
    <n v="0"/>
    <n v="0"/>
    <n v="2"/>
    <n v="52"/>
    <x v="0"/>
    <x v="42"/>
  </r>
  <r>
    <n v="2130"/>
    <n v="3006"/>
    <n v="1976"/>
    <s v="Graduation"/>
    <s v="Divorced"/>
    <n v="30992"/>
    <n v="1"/>
    <d v="1899-12-30T00:00:00"/>
    <d v="2013-04-22T00:00:00"/>
    <n v="83"/>
    <n v="0"/>
    <n v="3"/>
    <n v="3"/>
    <n v="3"/>
    <n v="50"/>
    <x v="1"/>
    <x v="29"/>
  </r>
  <r>
    <n v="2131"/>
    <n v="3919"/>
    <n v="1976"/>
    <s v="Master"/>
    <s v="Single"/>
    <n v="72309"/>
    <n v="0"/>
    <d v="1899-12-30T00:00:00"/>
    <d v="2013-03-11T00:00:00"/>
    <n v="64"/>
    <n v="0"/>
    <n v="38"/>
    <n v="38"/>
    <n v="8"/>
    <n v="50"/>
    <x v="1"/>
    <x v="54"/>
  </r>
  <r>
    <n v="2132"/>
    <n v="11181"/>
    <n v="1949"/>
    <s v="PhD"/>
    <s v="Married"/>
    <n v="156924"/>
    <n v="0"/>
    <d v="1899-12-30T00:00:00"/>
    <d v="2013-08-29T00:00:00"/>
    <n v="85"/>
    <n v="1"/>
    <n v="1"/>
    <n v="1"/>
    <n v="0"/>
    <n v="77"/>
    <x v="0"/>
    <x v="8"/>
  </r>
  <r>
    <n v="2133"/>
    <n v="642"/>
    <n v="1980"/>
    <s v="Basic"/>
    <s v="Married"/>
    <n v="16005"/>
    <n v="1"/>
    <d v="1899-12-30T00:00:00"/>
    <d v="2012-08-14T00:00:00"/>
    <n v="69"/>
    <n v="3"/>
    <n v="30"/>
    <n v="30"/>
    <n v="2"/>
    <n v="46"/>
    <x v="1"/>
    <x v="74"/>
  </r>
  <r>
    <n v="2134"/>
    <n v="4369"/>
    <n v="1957"/>
    <s v="Master"/>
    <s v="Absurd"/>
    <n v="65487"/>
    <n v="0"/>
    <d v="1899-12-30T00:00:00"/>
    <d v="2014-01-10T00:00:00"/>
    <n v="48"/>
    <n v="67"/>
    <n v="0"/>
    <n v="0"/>
    <n v="6"/>
    <n v="69"/>
    <x v="0"/>
    <x v="29"/>
  </r>
  <r>
    <n v="2135"/>
    <n v="10127"/>
    <n v="1965"/>
    <s v="Graduation"/>
    <s v="Married"/>
    <n v="58692"/>
    <n v="0"/>
    <d v="1899-12-31T00:00:00"/>
    <d v="2014-04-06T00:00:00"/>
    <n v="21"/>
    <n v="11"/>
    <n v="7"/>
    <n v="7"/>
    <n v="4"/>
    <n v="61"/>
    <x v="0"/>
    <x v="20"/>
  </r>
  <r>
    <n v="2136"/>
    <n v="271"/>
    <n v="1969"/>
    <s v="Graduation"/>
    <s v="Widow"/>
    <n v="40590"/>
    <n v="1"/>
    <d v="1899-12-31T00:00:00"/>
    <d v="2013-10-02T00:00:00"/>
    <n v="30"/>
    <n v="0"/>
    <n v="11"/>
    <n v="11"/>
    <n v="3"/>
    <n v="57"/>
    <x v="0"/>
    <x v="31"/>
  </r>
  <r>
    <n v="2137"/>
    <n v="4973"/>
    <n v="1970"/>
    <s v="Graduation"/>
    <s v="Single"/>
    <n v="20587"/>
    <n v="1"/>
    <d v="1899-12-30T00:00:00"/>
    <d v="2014-05-11T00:00:00"/>
    <n v="39"/>
    <n v="3"/>
    <n v="1"/>
    <n v="1"/>
    <n v="2"/>
    <n v="56"/>
    <x v="0"/>
    <x v="1"/>
  </r>
  <r>
    <n v="2138"/>
    <n v="2948"/>
    <n v="1954"/>
    <s v="Master"/>
    <s v="Divorced"/>
    <n v="62637"/>
    <n v="0"/>
    <d v="1899-12-31T00:00:00"/>
    <d v="2014-03-01T00:00:00"/>
    <n v="76"/>
    <n v="12"/>
    <n v="12"/>
    <n v="12"/>
    <n v="5"/>
    <n v="72"/>
    <x v="0"/>
    <x v="67"/>
  </r>
  <r>
    <n v="2139"/>
    <n v="2715"/>
    <n v="1966"/>
    <s v="Master"/>
    <s v="Divorced"/>
    <n v="29435"/>
    <n v="1"/>
    <d v="1899-12-31T00:00:00"/>
    <d v="2012-08-06T00:00:00"/>
    <n v="11"/>
    <n v="3"/>
    <n v="2"/>
    <n v="2"/>
    <n v="2"/>
    <n v="60"/>
    <x v="0"/>
    <x v="9"/>
  </r>
  <r>
    <n v="2140"/>
    <n v="10432"/>
    <n v="1974"/>
    <s v="Graduation"/>
    <s v="Divorced"/>
    <n v="19346"/>
    <n v="1"/>
    <d v="1899-12-30T00:00:00"/>
    <d v="2014-01-30T00:00:00"/>
    <n v="26"/>
    <n v="0"/>
    <n v="6"/>
    <n v="6"/>
    <n v="3"/>
    <n v="52"/>
    <x v="0"/>
    <x v="18"/>
  </r>
  <r>
    <n v="2141"/>
    <n v="9216"/>
    <n v="1971"/>
    <s v="Graduation"/>
    <s v="Married"/>
    <n v="35788"/>
    <n v="1"/>
    <d v="1899-12-31T00:00:00"/>
    <d v="2014-01-23T00:00:00"/>
    <n v="34"/>
    <n v="2"/>
    <n v="1"/>
    <n v="1"/>
    <n v="3"/>
    <n v="55"/>
    <x v="0"/>
    <x v="9"/>
  </r>
  <r>
    <n v="2142"/>
    <n v="7124"/>
    <n v="1968"/>
    <s v="Graduation"/>
    <s v="Divorced"/>
    <n v="36997"/>
    <n v="1"/>
    <d v="1899-12-31T00:00:00"/>
    <d v="2013-02-01T00:00:00"/>
    <n v="72"/>
    <n v="4"/>
    <n v="0"/>
    <n v="0"/>
    <n v="4"/>
    <n v="58"/>
    <x v="0"/>
    <x v="9"/>
  </r>
  <r>
    <n v="2143"/>
    <n v="9727"/>
    <n v="1957"/>
    <s v="Graduation"/>
    <s v="Married"/>
    <n v="23539"/>
    <n v="0"/>
    <d v="1899-12-30T00:00:00"/>
    <d v="2014-02-28T00:00:00"/>
    <n v="13"/>
    <n v="24"/>
    <n v="1"/>
    <n v="1"/>
    <n v="4"/>
    <n v="69"/>
    <x v="0"/>
    <x v="7"/>
  </r>
  <r>
    <n v="2144"/>
    <n v="5136"/>
    <n v="1973"/>
    <s v="Graduation"/>
    <s v="Single"/>
    <n v="65333"/>
    <n v="0"/>
    <d v="1899-12-31T00:00:00"/>
    <d v="2014-01-17T00:00:00"/>
    <n v="58"/>
    <n v="7"/>
    <n v="15"/>
    <n v="15"/>
    <n v="8"/>
    <n v="53"/>
    <x v="0"/>
    <x v="45"/>
  </r>
  <r>
    <n v="2145"/>
    <n v="9790"/>
    <n v="1957"/>
    <s v="Graduation"/>
    <s v="Single"/>
    <n v="78499"/>
    <n v="0"/>
    <d v="1899-12-30T00:00:00"/>
    <d v="2013-11-23T00:00:00"/>
    <n v="12"/>
    <n v="72"/>
    <n v="36"/>
    <n v="36"/>
    <n v="4"/>
    <n v="69"/>
    <x v="0"/>
    <x v="105"/>
  </r>
  <r>
    <n v="2146"/>
    <n v="1818"/>
    <n v="1971"/>
    <s v="PhD"/>
    <s v="Together"/>
    <n v="29732"/>
    <n v="1"/>
    <d v="1899-12-30T00:00:00"/>
    <d v="2014-03-25T00:00:00"/>
    <n v="23"/>
    <n v="0"/>
    <n v="1"/>
    <n v="1"/>
    <n v="2"/>
    <n v="55"/>
    <x v="0"/>
    <x v="1"/>
  </r>
  <r>
    <n v="2147"/>
    <n v="1100"/>
    <n v="1960"/>
    <s v="Master"/>
    <s v="Together"/>
    <n v="41275"/>
    <n v="1"/>
    <d v="1900-01-01T00:00:00"/>
    <d v="2014-03-24T00:00:00"/>
    <n v="33"/>
    <n v="4"/>
    <n v="2"/>
    <n v="2"/>
    <n v="3"/>
    <n v="66"/>
    <x v="0"/>
    <x v="7"/>
  </r>
  <r>
    <n v="2148"/>
    <n v="7873"/>
    <n v="1973"/>
    <s v="PhD"/>
    <s v="Together"/>
    <n v="63516"/>
    <n v="1"/>
    <d v="1899-12-31T00:00:00"/>
    <d v="2013-07-06T00:00:00"/>
    <n v="30"/>
    <n v="11"/>
    <n v="14"/>
    <n v="14"/>
    <n v="7"/>
    <n v="53"/>
    <x v="0"/>
    <x v="81"/>
  </r>
  <r>
    <n v="2149"/>
    <n v="10609"/>
    <n v="1962"/>
    <s v="PhD"/>
    <s v="Married"/>
    <n v="42769"/>
    <n v="0"/>
    <d v="1899-12-31T00:00:00"/>
    <d v="2013-10-12T00:00:00"/>
    <n v="15"/>
    <n v="0"/>
    <n v="1"/>
    <n v="1"/>
    <n v="4"/>
    <n v="64"/>
    <x v="0"/>
    <x v="7"/>
  </r>
  <r>
    <n v="2150"/>
    <n v="6950"/>
    <n v="1958"/>
    <s v="Master"/>
    <s v="Married"/>
    <n v="49572"/>
    <n v="1"/>
    <d v="1899-12-31T00:00:00"/>
    <d v="2013-12-15T00:00:00"/>
    <n v="25"/>
    <n v="1"/>
    <n v="1"/>
    <n v="1"/>
    <n v="3"/>
    <n v="68"/>
    <x v="0"/>
    <x v="9"/>
  </r>
  <r>
    <n v="2151"/>
    <n v="7233"/>
    <n v="1972"/>
    <s v="Graduation"/>
    <s v="Married"/>
    <n v="69209"/>
    <n v="0"/>
    <d v="1899-12-30T00:00:00"/>
    <d v="2012-09-17T00:00:00"/>
    <n v="4"/>
    <n v="32"/>
    <n v="48"/>
    <n v="48"/>
    <n v="6"/>
    <n v="54"/>
    <x v="0"/>
    <x v="27"/>
  </r>
  <r>
    <n v="2152"/>
    <n v="9481"/>
    <n v="1976"/>
    <s v="Graduation"/>
    <s v="Married"/>
    <n v="17148"/>
    <n v="1"/>
    <d v="1899-12-30T00:00:00"/>
    <d v="2014-01-28T00:00:00"/>
    <n v="80"/>
    <n v="9"/>
    <n v="10"/>
    <n v="10"/>
    <n v="3"/>
    <n v="50"/>
    <x v="1"/>
    <x v="104"/>
  </r>
  <r>
    <n v="2153"/>
    <n v="7699"/>
    <n v="1969"/>
    <s v="Graduation"/>
    <s v="Widow"/>
    <n v="40590"/>
    <n v="1"/>
    <d v="1899-12-31T00:00:00"/>
    <d v="2013-10-02T00:00:00"/>
    <n v="30"/>
    <n v="0"/>
    <n v="11"/>
    <n v="11"/>
    <n v="3"/>
    <n v="57"/>
    <x v="0"/>
    <x v="31"/>
  </r>
  <r>
    <n v="2154"/>
    <n v="2711"/>
    <n v="1976"/>
    <s v="Master"/>
    <s v="Together"/>
    <n v="30560"/>
    <n v="1"/>
    <d v="1899-12-30T00:00:00"/>
    <d v="2013-06-27T00:00:00"/>
    <n v="6"/>
    <n v="1"/>
    <n v="5"/>
    <n v="5"/>
    <n v="3"/>
    <n v="50"/>
    <x v="1"/>
    <x v="41"/>
  </r>
  <r>
    <n v="2155"/>
    <n v="8933"/>
    <n v="1983"/>
    <s v="2n Cycle"/>
    <s v="Married"/>
    <n v="32146"/>
    <n v="1"/>
    <d v="1899-12-30T00:00:00"/>
    <d v="2014-05-12T00:00:00"/>
    <n v="16"/>
    <n v="3"/>
    <n v="7"/>
    <n v="7"/>
    <n v="4"/>
    <n v="43"/>
    <x v="1"/>
    <x v="20"/>
  </r>
  <r>
    <n v="2156"/>
    <n v="8726"/>
    <n v="1964"/>
    <s v="2n Cycle"/>
    <s v="Divorced"/>
    <n v="41713"/>
    <n v="1"/>
    <d v="1899-12-31T00:00:00"/>
    <d v="2014-04-29T00:00:00"/>
    <n v="57"/>
    <n v="8"/>
    <n v="10"/>
    <n v="10"/>
    <n v="4"/>
    <n v="62"/>
    <x v="0"/>
    <x v="31"/>
  </r>
  <r>
    <n v="2157"/>
    <n v="1515"/>
    <n v="1975"/>
    <s v="Master"/>
    <s v="Together"/>
    <n v="34176"/>
    <n v="0"/>
    <d v="1899-12-31T00:00:00"/>
    <d v="2014-01-22T00:00:00"/>
    <n v="9"/>
    <n v="2"/>
    <n v="2"/>
    <n v="2"/>
    <n v="3"/>
    <n v="51"/>
    <x v="0"/>
    <x v="7"/>
  </r>
  <r>
    <n v="2158"/>
    <n v="5186"/>
    <n v="1955"/>
    <s v="PhD"/>
    <s v="Married"/>
    <n v="58482"/>
    <n v="0"/>
    <d v="1899-12-31T00:00:00"/>
    <d v="2014-03-12T00:00:00"/>
    <n v="59"/>
    <n v="7"/>
    <n v="7"/>
    <n v="7"/>
    <n v="9"/>
    <n v="71"/>
    <x v="0"/>
    <x v="13"/>
  </r>
  <r>
    <n v="2159"/>
    <n v="10157"/>
    <n v="1965"/>
    <s v="Graduation"/>
    <s v="Single"/>
    <n v="59686"/>
    <n v="0"/>
    <d v="1899-12-31T00:00:00"/>
    <d v="2014-01-25T00:00:00"/>
    <n v="78"/>
    <n v="15"/>
    <n v="42"/>
    <n v="42"/>
    <n v="6"/>
    <n v="61"/>
    <x v="0"/>
    <x v="121"/>
  </r>
  <r>
    <n v="2160"/>
    <n v="5667"/>
    <n v="1964"/>
    <s v="PhD"/>
    <s v="Married"/>
    <n v="60896"/>
    <n v="0"/>
    <d v="1899-12-31T00:00:00"/>
    <d v="2012-10-11T00:00:00"/>
    <n v="90"/>
    <n v="30"/>
    <n v="46"/>
    <n v="46"/>
    <n v="4"/>
    <n v="62"/>
    <x v="0"/>
    <x v="32"/>
  </r>
  <r>
    <n v="2161"/>
    <n v="902"/>
    <n v="1980"/>
    <s v="Graduation"/>
    <s v="Together"/>
    <n v="62994"/>
    <n v="1"/>
    <d v="1899-12-30T00:00:00"/>
    <d v="2014-03-04T00:00:00"/>
    <n v="74"/>
    <n v="12"/>
    <n v="12"/>
    <n v="12"/>
    <n v="4"/>
    <n v="46"/>
    <x v="1"/>
    <x v="13"/>
  </r>
  <r>
    <n v="2162"/>
    <n v="977"/>
    <n v="1957"/>
    <s v="Graduation"/>
    <s v="Together"/>
    <n v="47320"/>
    <n v="0"/>
    <d v="1899-12-31T00:00:00"/>
    <d v="2013-08-01T00:00:00"/>
    <n v="10"/>
    <n v="19"/>
    <n v="15"/>
    <n v="15"/>
    <n v="8"/>
    <n v="69"/>
    <x v="0"/>
    <x v="45"/>
  </r>
  <r>
    <n v="2163"/>
    <n v="7313"/>
    <n v="1949"/>
    <s v="2n Cycle"/>
    <s v="Widow"/>
    <n v="74859"/>
    <n v="0"/>
    <d v="1899-12-30T00:00:00"/>
    <d v="2013-06-03T00:00:00"/>
    <n v="63"/>
    <n v="73"/>
    <n v="102"/>
    <n v="102"/>
    <n v="11"/>
    <n v="77"/>
    <x v="0"/>
    <x v="151"/>
  </r>
  <r>
    <n v="2164"/>
    <n v="7600"/>
    <n v="1992"/>
    <s v="Basic"/>
    <s v="Single"/>
    <n v="15253"/>
    <n v="1"/>
    <d v="1899-12-30T00:00:00"/>
    <d v="2013-10-28T00:00:00"/>
    <n v="13"/>
    <n v="3"/>
    <n v="1"/>
    <n v="1"/>
    <n v="3"/>
    <n v="34"/>
    <x v="1"/>
    <x v="9"/>
  </r>
  <r>
    <n v="2165"/>
    <n v="9706"/>
    <n v="1974"/>
    <s v="PhD"/>
    <s v="Single"/>
    <n v="31560"/>
    <n v="1"/>
    <d v="1899-12-30T00:00:00"/>
    <d v="2013-06-24T00:00:00"/>
    <n v="98"/>
    <n v="1"/>
    <n v="0"/>
    <n v="0"/>
    <n v="3"/>
    <n v="52"/>
    <x v="0"/>
    <x v="1"/>
  </r>
  <r>
    <n v="2166"/>
    <n v="2429"/>
    <n v="1954"/>
    <s v="Graduation"/>
    <s v="Divorced"/>
    <n v="72071"/>
    <n v="0"/>
    <d v="1899-12-31T00:00:00"/>
    <d v="2013-02-14T00:00:00"/>
    <n v="4"/>
    <n v="69"/>
    <n v="138"/>
    <n v="138"/>
    <n v="8"/>
    <n v="72"/>
    <x v="0"/>
    <x v="90"/>
  </r>
  <r>
    <n v="2167"/>
    <n v="3520"/>
    <n v="1990"/>
    <s v="Master"/>
    <s v="Single"/>
    <n v="91172"/>
    <n v="0"/>
    <d v="1899-12-30T00:00:00"/>
    <d v="2013-03-27T00:00:00"/>
    <n v="94"/>
    <n v="28"/>
    <n v="28"/>
    <n v="28"/>
    <n v="7"/>
    <n v="36"/>
    <x v="1"/>
    <x v="61"/>
  </r>
  <r>
    <n v="2168"/>
    <n v="10394"/>
    <n v="1984"/>
    <s v="Graduation"/>
    <s v="Married"/>
    <n v="90000"/>
    <n v="0"/>
    <d v="1899-12-30T00:00:00"/>
    <d v="2013-12-23T00:00:00"/>
    <n v="91"/>
    <n v="144"/>
    <n v="192"/>
    <n v="192"/>
    <n v="5"/>
    <n v="42"/>
    <x v="1"/>
    <x v="178"/>
  </r>
  <r>
    <n v="2169"/>
    <n v="4548"/>
    <n v="1981"/>
    <s v="Graduation"/>
    <s v="Single"/>
    <n v="41967"/>
    <n v="1"/>
    <d v="1899-12-31T00:00:00"/>
    <d v="2013-11-23T00:00:00"/>
    <n v="66"/>
    <n v="4"/>
    <n v="2"/>
    <n v="2"/>
    <n v="3"/>
    <n v="45"/>
    <x v="1"/>
    <x v="7"/>
  </r>
  <r>
    <n v="2170"/>
    <n v="9362"/>
    <n v="1965"/>
    <s v="Graduation"/>
    <s v="Single"/>
    <n v="69263"/>
    <n v="0"/>
    <d v="1899-12-31T00:00:00"/>
    <d v="2014-03-05T00:00:00"/>
    <n v="14"/>
    <n v="5"/>
    <n v="5"/>
    <n v="5"/>
    <n v="7"/>
    <n v="61"/>
    <x v="0"/>
    <x v="51"/>
  </r>
  <r>
    <n v="2171"/>
    <n v="3968"/>
    <n v="1970"/>
    <s v="2n Cycle"/>
    <s v="Divorced"/>
    <n v="65706"/>
    <n v="0"/>
    <d v="1899-12-30T00:00:00"/>
    <d v="2013-06-28T00:00:00"/>
    <n v="77"/>
    <n v="10"/>
    <n v="0"/>
    <n v="0"/>
    <n v="12"/>
    <n v="56"/>
    <x v="0"/>
    <x v="51"/>
  </r>
  <r>
    <n v="2172"/>
    <n v="4084"/>
    <n v="1975"/>
    <s v="Graduation"/>
    <s v="Together"/>
    <n v="60934"/>
    <n v="0"/>
    <d v="1899-12-31T00:00:00"/>
    <d v="2014-01-17T00:00:00"/>
    <n v="41"/>
    <n v="155"/>
    <n v="93"/>
    <n v="93"/>
    <n v="11"/>
    <n v="51"/>
    <x v="0"/>
    <x v="111"/>
  </r>
  <r>
    <n v="2173"/>
    <n v="6721"/>
    <n v="1951"/>
    <s v="Graduation"/>
    <s v="Married"/>
    <n v="71965"/>
    <n v="0"/>
    <d v="1899-12-31T00:00:00"/>
    <d v="2013-07-29T00:00:00"/>
    <n v="21"/>
    <n v="19"/>
    <n v="38"/>
    <n v="38"/>
    <n v="5"/>
    <n v="75"/>
    <x v="0"/>
    <x v="17"/>
  </r>
  <r>
    <n v="2174"/>
    <n v="2829"/>
    <n v="1955"/>
    <s v="Graduation"/>
    <s v="Married"/>
    <n v="65210"/>
    <n v="0"/>
    <d v="1899-12-31T00:00:00"/>
    <d v="2014-03-10T00:00:00"/>
    <n v="25"/>
    <n v="0"/>
    <n v="7"/>
    <n v="7"/>
    <n v="8"/>
    <n v="71"/>
    <x v="0"/>
    <x v="21"/>
  </r>
  <r>
    <n v="2175"/>
    <n v="1772"/>
    <n v="1975"/>
    <s v="PhD"/>
    <s v="Married"/>
    <n v="79174"/>
    <n v="0"/>
    <d v="1899-12-30T00:00:00"/>
    <d v="2013-01-11T00:00:00"/>
    <n v="2"/>
    <n v="37"/>
    <n v="92"/>
    <n v="92"/>
    <n v="7"/>
    <n v="51"/>
    <x v="0"/>
    <x v="107"/>
  </r>
  <r>
    <n v="2176"/>
    <n v="1544"/>
    <n v="1967"/>
    <s v="Master"/>
    <s v="Divorced"/>
    <n v="81380"/>
    <n v="0"/>
    <d v="1899-12-30T00:00:00"/>
    <d v="2012-12-22T00:00:00"/>
    <n v="51"/>
    <n v="68"/>
    <n v="68"/>
    <n v="68"/>
    <n v="10"/>
    <n v="59"/>
    <x v="0"/>
    <x v="47"/>
  </r>
  <r>
    <n v="2177"/>
    <n v="492"/>
    <n v="1973"/>
    <s v="PhD"/>
    <s v="YOLO"/>
    <n v="48432"/>
    <n v="0"/>
    <d v="1899-12-31T00:00:00"/>
    <d v="2012-10-18T00:00:00"/>
    <n v="3"/>
    <n v="3"/>
    <n v="3"/>
    <n v="3"/>
    <n v="6"/>
    <n v="53"/>
    <x v="0"/>
    <x v="18"/>
  </r>
  <r>
    <n v="2178"/>
    <n v="4377"/>
    <n v="1971"/>
    <s v="Graduation"/>
    <s v="Married"/>
    <n v="52914"/>
    <n v="0"/>
    <d v="1899-12-31T00:00:00"/>
    <d v="2013-01-07T00:00:00"/>
    <n v="32"/>
    <n v="10"/>
    <n v="10"/>
    <n v="10"/>
    <n v="3"/>
    <n v="55"/>
    <x v="0"/>
    <x v="104"/>
  </r>
  <r>
    <n v="2179"/>
    <n v="4541"/>
    <n v="1955"/>
    <s v="Graduation"/>
    <s v="Together"/>
    <n v="38946"/>
    <n v="0"/>
    <d v="1899-12-31T00:00:00"/>
    <d v="2013-10-24T00:00:00"/>
    <n v="84"/>
    <n v="6"/>
    <n v="6"/>
    <n v="6"/>
    <n v="6"/>
    <n v="71"/>
    <x v="0"/>
    <x v="51"/>
  </r>
  <r>
    <n v="2180"/>
    <n v="1321"/>
    <n v="1974"/>
    <s v="Graduation"/>
    <s v="Married"/>
    <n v="26067"/>
    <n v="1"/>
    <d v="1899-12-30T00:00:00"/>
    <d v="2013-11-04T00:00:00"/>
    <n v="49"/>
    <n v="2"/>
    <n v="2"/>
    <n v="2"/>
    <n v="3"/>
    <n v="52"/>
    <x v="0"/>
    <x v="7"/>
  </r>
  <r>
    <n v="2181"/>
    <n v="8858"/>
    <n v="1972"/>
    <s v="PhD"/>
    <s v="Married"/>
    <n v="44325"/>
    <n v="0"/>
    <d v="1899-12-31T00:00:00"/>
    <d v="2013-03-07T00:00:00"/>
    <n v="69"/>
    <n v="0"/>
    <n v="0"/>
    <n v="0"/>
    <n v="7"/>
    <n v="54"/>
    <x v="0"/>
    <x v="3"/>
  </r>
  <r>
    <n v="2182"/>
    <n v="3266"/>
    <n v="1964"/>
    <s v="Graduation"/>
    <s v="Married"/>
    <n v="42523"/>
    <n v="0"/>
    <d v="1899-12-30T00:00:00"/>
    <d v="2014-04-23T00:00:00"/>
    <n v="96"/>
    <n v="36"/>
    <n v="26"/>
    <n v="26"/>
    <n v="4"/>
    <n v="62"/>
    <x v="0"/>
    <x v="39"/>
  </r>
  <r>
    <n v="2183"/>
    <n v="11187"/>
    <n v="1978"/>
    <s v="Basic"/>
    <s v="Single"/>
    <n v="26487"/>
    <n v="1"/>
    <d v="1899-12-30T00:00:00"/>
    <d v="2013-05-20T00:00:00"/>
    <n v="23"/>
    <n v="8"/>
    <n v="14"/>
    <n v="14"/>
    <n v="3"/>
    <n v="48"/>
    <x v="1"/>
    <x v="67"/>
  </r>
  <r>
    <n v="2184"/>
    <n v="8207"/>
    <n v="1957"/>
    <s v="2n Cycle"/>
    <s v="Married"/>
    <n v="53233"/>
    <n v="0"/>
    <d v="1899-12-31T00:00:00"/>
    <d v="2014-03-18T00:00:00"/>
    <n v="18"/>
    <n v="0"/>
    <n v="0"/>
    <n v="0"/>
    <n v="3"/>
    <n v="69"/>
    <x v="0"/>
    <x v="1"/>
  </r>
  <r>
    <n v="2185"/>
    <n v="9723"/>
    <n v="1960"/>
    <s v="Graduation"/>
    <s v="Married"/>
    <n v="67716"/>
    <n v="0"/>
    <d v="1899-12-31T00:00:00"/>
    <d v="2013-01-10T00:00:00"/>
    <n v="8"/>
    <n v="142"/>
    <n v="9"/>
    <n v="9"/>
    <n v="13"/>
    <n v="66"/>
    <x v="0"/>
    <x v="62"/>
  </r>
  <r>
    <n v="2186"/>
    <n v="2666"/>
    <n v="1972"/>
    <s v="Master"/>
    <s v="Married"/>
    <n v="76234"/>
    <n v="0"/>
    <d v="1899-12-31T00:00:00"/>
    <d v="2014-02-06T00:00:00"/>
    <n v="21"/>
    <n v="50"/>
    <n v="0"/>
    <n v="0"/>
    <n v="11"/>
    <n v="54"/>
    <x v="0"/>
    <x v="20"/>
  </r>
  <r>
    <n v="2187"/>
    <n v="5721"/>
    <n v="1956"/>
    <s v="PhD"/>
    <s v="Married"/>
    <n v="84117"/>
    <n v="0"/>
    <d v="1899-12-30T00:00:00"/>
    <d v="2014-05-11T00:00:00"/>
    <n v="60"/>
    <n v="76"/>
    <n v="45"/>
    <n v="45"/>
    <n v="6"/>
    <n v="70"/>
    <x v="0"/>
    <x v="106"/>
  </r>
  <r>
    <n v="2188"/>
    <n v="10652"/>
    <n v="1957"/>
    <s v="Master"/>
    <s v="Together"/>
    <n v="65487"/>
    <n v="0"/>
    <d v="1899-12-30T00:00:00"/>
    <d v="2014-01-10T00:00:00"/>
    <n v="48"/>
    <n v="67"/>
    <n v="0"/>
    <n v="0"/>
    <n v="6"/>
    <n v="69"/>
    <x v="0"/>
    <x v="29"/>
  </r>
  <r>
    <n v="2189"/>
    <n v="1646"/>
    <n v="1972"/>
    <s v="Basic"/>
    <s v="Married"/>
    <n v="25224"/>
    <n v="1"/>
    <d v="1899-12-30T00:00:00"/>
    <d v="2014-03-16T00:00:00"/>
    <n v="36"/>
    <n v="9"/>
    <n v="2"/>
    <n v="2"/>
    <n v="3"/>
    <n v="54"/>
    <x v="0"/>
    <x v="7"/>
  </r>
  <r>
    <n v="2190"/>
    <n v="4418"/>
    <n v="1983"/>
    <s v="Master"/>
    <s v="Single"/>
    <n v="89616"/>
    <n v="0"/>
    <d v="1899-12-30T00:00:00"/>
    <d v="2013-02-25T00:00:00"/>
    <n v="36"/>
    <n v="47"/>
    <n v="111"/>
    <n v="111"/>
    <n v="12"/>
    <n v="43"/>
    <x v="1"/>
    <x v="133"/>
  </r>
  <r>
    <n v="2191"/>
    <n v="2656"/>
    <n v="1971"/>
    <s v="Graduation"/>
    <s v="Divorced"/>
    <n v="40851"/>
    <n v="1"/>
    <d v="1899-12-31T00:00:00"/>
    <d v="2013-02-21T00:00:00"/>
    <n v="63"/>
    <n v="1"/>
    <n v="4"/>
    <n v="4"/>
    <n v="2"/>
    <n v="55"/>
    <x v="0"/>
    <x v="29"/>
  </r>
  <r>
    <n v="2192"/>
    <n v="7990"/>
    <n v="1947"/>
    <s v="Graduation"/>
    <s v="Married"/>
    <n v="27469"/>
    <n v="0"/>
    <d v="1899-12-30T00:00:00"/>
    <d v="2012-08-02T00:00:00"/>
    <n v="2"/>
    <n v="1"/>
    <n v="2"/>
    <n v="2"/>
    <n v="3"/>
    <n v="79"/>
    <x v="0"/>
    <x v="7"/>
  </r>
  <r>
    <n v="2193"/>
    <n v="8722"/>
    <n v="1957"/>
    <s v="2n Cycle"/>
    <s v="Married"/>
    <n v="82347"/>
    <n v="0"/>
    <d v="1899-12-30T00:00:00"/>
    <d v="2012-11-06T00:00:00"/>
    <n v="38"/>
    <n v="54"/>
    <n v="133"/>
    <n v="133"/>
    <n v="10"/>
    <n v="69"/>
    <x v="0"/>
    <x v="53"/>
  </r>
  <r>
    <n v="2194"/>
    <n v="7118"/>
    <n v="1957"/>
    <s v="Graduation"/>
    <s v="Married"/>
    <n v="73803"/>
    <n v="0"/>
    <d v="1899-12-31T00:00:00"/>
    <d v="2012-08-01T00:00:00"/>
    <n v="61"/>
    <n v="80"/>
    <n v="26"/>
    <n v="26"/>
    <n v="6"/>
    <n v="69"/>
    <x v="0"/>
    <x v="74"/>
  </r>
  <r>
    <n v="2195"/>
    <n v="2980"/>
    <n v="1952"/>
    <s v="Master"/>
    <s v="Single"/>
    <n v="8820"/>
    <n v="1"/>
    <d v="1899-12-31T00:00:00"/>
    <d v="2013-03-22T00:00:00"/>
    <n v="52"/>
    <n v="0"/>
    <n v="2"/>
    <n v="2"/>
    <n v="3"/>
    <n v="74"/>
    <x v="0"/>
    <x v="7"/>
  </r>
  <r>
    <n v="2196"/>
    <n v="1839"/>
    <n v="1974"/>
    <s v="Graduation"/>
    <s v="Single"/>
    <n v="43322"/>
    <n v="0"/>
    <d v="1899-12-30T00:00:00"/>
    <d v="2014-04-21T00:00:00"/>
    <n v="25"/>
    <n v="7"/>
    <n v="2"/>
    <n v="2"/>
    <n v="4"/>
    <n v="52"/>
    <x v="0"/>
    <x v="29"/>
  </r>
  <r>
    <n v="2197"/>
    <n v="10722"/>
    <n v="1973"/>
    <s v="Graduation"/>
    <s v="Together"/>
    <n v="55593"/>
    <n v="0"/>
    <d v="1899-12-31T00:00:00"/>
    <d v="2013-08-21T00:00:00"/>
    <n v="63"/>
    <n v="8"/>
    <n v="4"/>
    <n v="4"/>
    <n v="3"/>
    <n v="53"/>
    <x v="0"/>
    <x v="3"/>
  </r>
  <r>
    <n v="2198"/>
    <n v="2632"/>
    <n v="1954"/>
    <s v="Graduation"/>
    <s v="Married"/>
    <n v="50501"/>
    <n v="1"/>
    <d v="1899-12-31T00:00:00"/>
    <d v="2013-06-18T00:00:00"/>
    <n v="10"/>
    <n v="0"/>
    <n v="0"/>
    <n v="0"/>
    <n v="4"/>
    <n v="72"/>
    <x v="0"/>
    <x v="9"/>
  </r>
  <r>
    <n v="2199"/>
    <n v="9014"/>
    <n v="1975"/>
    <s v="Graduation"/>
    <s v="Married"/>
    <n v="37085"/>
    <n v="1"/>
    <d v="1899-12-31T00:00:00"/>
    <d v="2014-06-26T00:00:00"/>
    <n v="65"/>
    <n v="1"/>
    <n v="0"/>
    <n v="0"/>
    <n v="3"/>
    <n v="51"/>
    <x v="0"/>
    <x v="1"/>
  </r>
  <r>
    <n v="2200"/>
    <n v="7620"/>
    <n v="1990"/>
    <s v="Basic"/>
    <s v="Single"/>
    <n v="16185"/>
    <n v="1"/>
    <d v="1899-12-30T00:00:00"/>
    <d v="2013-08-05T00:00:00"/>
    <n v="71"/>
    <n v="11"/>
    <n v="8"/>
    <n v="8"/>
    <n v="2"/>
    <n v="36"/>
    <x v="1"/>
    <x v="11"/>
  </r>
  <r>
    <n v="2201"/>
    <n v="10968"/>
    <n v="1969"/>
    <s v="Graduation"/>
    <s v="Single"/>
    <n v="57731"/>
    <n v="0"/>
    <d v="1899-12-31T00:00:00"/>
    <d v="2012-11-23T00:00:00"/>
    <n v="0"/>
    <n v="21"/>
    <n v="8"/>
    <n v="8"/>
    <n v="6"/>
    <n v="57"/>
    <x v="0"/>
    <x v="31"/>
  </r>
  <r>
    <n v="2202"/>
    <n v="11133"/>
    <n v="1973"/>
    <s v="PhD"/>
    <s v="YOLO"/>
    <n v="48432"/>
    <n v="0"/>
    <d v="1899-12-31T00:00:00"/>
    <d v="2012-10-18T00:00:00"/>
    <n v="3"/>
    <n v="3"/>
    <n v="3"/>
    <n v="3"/>
    <n v="6"/>
    <n v="53"/>
    <x v="0"/>
    <x v="18"/>
  </r>
  <r>
    <n v="2203"/>
    <n v="2736"/>
    <n v="1978"/>
    <s v="Graduation"/>
    <s v="Married"/>
    <n v="73807"/>
    <n v="0"/>
    <d v="1899-12-31T00:00:00"/>
    <d v="2013-01-02T00:00:00"/>
    <n v="88"/>
    <n v="124"/>
    <n v="78"/>
    <n v="78"/>
    <n v="11"/>
    <n v="48"/>
    <x v="1"/>
    <x v="135"/>
  </r>
  <r>
    <n v="2204"/>
    <n v="1876"/>
    <n v="1990"/>
    <s v="Graduation"/>
    <s v="Married"/>
    <n v="18929"/>
    <n v="0"/>
    <d v="1899-12-30T00:00:00"/>
    <d v="2013-02-16T00:00:00"/>
    <n v="15"/>
    <n v="0"/>
    <n v="4"/>
    <n v="4"/>
    <n v="4"/>
    <n v="36"/>
    <x v="1"/>
    <x v="41"/>
  </r>
  <r>
    <n v="2205"/>
    <n v="5959"/>
    <n v="1968"/>
    <s v="Graduation"/>
    <s v="Single"/>
    <n v="35893"/>
    <n v="1"/>
    <d v="1899-12-31T00:00:00"/>
    <d v="2012-10-15T00:00:00"/>
    <n v="80"/>
    <n v="0"/>
    <n v="0"/>
    <n v="0"/>
    <n v="5"/>
    <n v="58"/>
    <x v="0"/>
    <x v="7"/>
  </r>
  <r>
    <n v="2206"/>
    <n v="1092"/>
    <n v="1980"/>
    <s v="Graduation"/>
    <s v="Married"/>
    <n v="61014"/>
    <n v="0"/>
    <d v="1899-12-31T00:00:00"/>
    <d v="2012-08-11T00:00:00"/>
    <n v="17"/>
    <n v="129"/>
    <n v="43"/>
    <n v="43"/>
    <n v="4"/>
    <n v="46"/>
    <x v="1"/>
    <x v="34"/>
  </r>
  <r>
    <n v="2207"/>
    <n v="4333"/>
    <n v="1954"/>
    <s v="Graduation"/>
    <s v="Together"/>
    <n v="32144"/>
    <n v="1"/>
    <d v="1899-12-31T00:00:00"/>
    <d v="2014-03-23T00:00:00"/>
    <n v="76"/>
    <n v="0"/>
    <n v="0"/>
    <n v="0"/>
    <n v="3"/>
    <n v="72"/>
    <x v="0"/>
    <x v="1"/>
  </r>
  <r>
    <n v="2208"/>
    <n v="3850"/>
    <n v="1963"/>
    <s v="Basic"/>
    <s v="Together"/>
    <n v="14918"/>
    <n v="0"/>
    <d v="1899-12-31T00:00:00"/>
    <d v="2012-12-07T00:00:00"/>
    <n v="52"/>
    <n v="3"/>
    <n v="4"/>
    <n v="4"/>
    <n v="3"/>
    <n v="63"/>
    <x v="0"/>
    <x v="3"/>
  </r>
  <r>
    <n v="2209"/>
    <n v="6168"/>
    <n v="1963"/>
    <s v="Graduation"/>
    <s v="Divorced"/>
    <n v="45146"/>
    <n v="1"/>
    <d v="1899-12-31T00:00:00"/>
    <d v="2013-07-15T00:00:00"/>
    <n v="28"/>
    <n v="0"/>
    <n v="0"/>
    <n v="0"/>
    <n v="2"/>
    <n v="63"/>
    <x v="0"/>
    <x v="42"/>
  </r>
  <r>
    <n v="2210"/>
    <n v="607"/>
    <n v="1955"/>
    <s v="2n Cycle"/>
    <s v="Divorced"/>
    <n v="41769"/>
    <n v="0"/>
    <d v="1899-12-31T00:00:00"/>
    <d v="2013-02-13T00:00:00"/>
    <n v="31"/>
    <n v="29"/>
    <n v="0"/>
    <n v="0"/>
    <n v="7"/>
    <n v="71"/>
    <x v="0"/>
    <x v="3"/>
  </r>
  <r>
    <n v="2211"/>
    <n v="10469"/>
    <n v="1981"/>
    <s v="Graduation"/>
    <s v="Together"/>
    <n v="88325"/>
    <n v="0"/>
    <d v="1899-12-30T00:00:00"/>
    <d v="2014-02-05T00:00:00"/>
    <n v="42"/>
    <n v="71"/>
    <n v="27"/>
    <n v="27"/>
    <n v="9"/>
    <n v="45"/>
    <x v="1"/>
    <x v="50"/>
  </r>
  <r>
    <n v="2212"/>
    <n v="6983"/>
    <n v="1950"/>
    <s v="Master"/>
    <s v="Divorced"/>
    <n v="38054"/>
    <n v="1"/>
    <d v="1899-12-31T00:00:00"/>
    <d v="2014-05-01T00:00:00"/>
    <n v="24"/>
    <n v="2"/>
    <n v="1"/>
    <n v="1"/>
    <n v="3"/>
    <n v="76"/>
    <x v="0"/>
    <x v="9"/>
  </r>
  <r>
    <n v="2213"/>
    <n v="3661"/>
    <n v="1995"/>
    <s v="2n Cycle"/>
    <s v="Single"/>
    <n v="80617"/>
    <n v="0"/>
    <d v="1899-12-30T00:00:00"/>
    <d v="2012-10-12T00:00:00"/>
    <n v="42"/>
    <n v="51"/>
    <n v="55"/>
    <n v="55"/>
    <n v="8"/>
    <n v="31"/>
    <x v="1"/>
    <x v="102"/>
  </r>
  <r>
    <n v="2214"/>
    <n v="9303"/>
    <n v="1976"/>
    <s v="Graduation"/>
    <s v="Married"/>
    <n v="5305"/>
    <n v="0"/>
    <d v="1899-12-31T00:00:00"/>
    <d v="2013-07-30T00:00:00"/>
    <n v="12"/>
    <n v="4"/>
    <n v="3"/>
    <n v="3"/>
    <n v="0"/>
    <n v="50"/>
    <x v="1"/>
    <x v="1"/>
  </r>
  <r>
    <n v="2215"/>
    <n v="692"/>
    <n v="1954"/>
    <s v="Graduation"/>
    <s v="Together"/>
    <n v="36807"/>
    <n v="1"/>
    <d v="1899-12-31T00:00:00"/>
    <d v="2012-12-20T00:00:00"/>
    <n v="88"/>
    <n v="2"/>
    <n v="0"/>
    <n v="0"/>
    <n v="2"/>
    <n v="72"/>
    <x v="0"/>
    <x v="42"/>
  </r>
  <r>
    <n v="2216"/>
    <n v="736"/>
    <n v="1983"/>
    <s v="Graduation"/>
    <s v="Together"/>
    <n v="28427"/>
    <n v="1"/>
    <d v="1899-12-30T00:00:00"/>
    <d v="2013-03-21T00:00:00"/>
    <n v="67"/>
    <n v="3"/>
    <n v="3"/>
    <n v="3"/>
    <n v="3"/>
    <n v="43"/>
    <x v="1"/>
    <x v="29"/>
  </r>
  <r>
    <n v="2217"/>
    <n v="9589"/>
    <n v="1948"/>
    <s v="PhD"/>
    <s v="Widow"/>
    <n v="82032"/>
    <n v="0"/>
    <d v="1899-12-30T00:00:00"/>
    <d v="2014-04-05T00:00:00"/>
    <n v="54"/>
    <n v="194"/>
    <n v="125"/>
    <n v="125"/>
    <n v="7"/>
    <n v="78"/>
    <x v="0"/>
    <x v="171"/>
  </r>
  <r>
    <n v="2218"/>
    <n v="4838"/>
    <n v="1978"/>
    <s v="Graduation"/>
    <s v="Together"/>
    <n v="22775"/>
    <n v="1"/>
    <d v="1899-12-30T00:00:00"/>
    <d v="2013-06-19T00:00:00"/>
    <n v="40"/>
    <n v="1"/>
    <n v="0"/>
    <n v="0"/>
    <n v="2"/>
    <n v="48"/>
    <x v="1"/>
    <x v="42"/>
  </r>
  <r>
    <n v="2219"/>
    <n v="9246"/>
    <n v="1985"/>
    <s v="Master"/>
    <s v="Together"/>
    <n v="40101"/>
    <n v="1"/>
    <d v="1899-12-30T00:00:00"/>
    <d v="2012-10-14T00:00:00"/>
    <n v="73"/>
    <n v="3"/>
    <n v="24"/>
    <n v="24"/>
    <n v="6"/>
    <n v="41"/>
    <x v="1"/>
    <x v="39"/>
  </r>
  <r>
    <n v="2220"/>
    <n v="6261"/>
    <n v="1979"/>
    <s v="Graduation"/>
    <s v="Married"/>
    <n v="58025"/>
    <n v="0"/>
    <d v="1899-12-31T00:00:00"/>
    <d v="2013-11-26T00:00:00"/>
    <n v="81"/>
    <n v="31"/>
    <n v="48"/>
    <n v="48"/>
    <n v="10"/>
    <n v="47"/>
    <x v="1"/>
    <x v="94"/>
  </r>
  <r>
    <n v="2221"/>
    <n v="7366"/>
    <n v="1982"/>
    <s v="Master"/>
    <s v="Single"/>
    <n v="75777"/>
    <n v="0"/>
    <d v="1899-12-30T00:00:00"/>
    <d v="2013-07-04T00:00:00"/>
    <n v="12"/>
    <n v="26"/>
    <n v="13"/>
    <n v="13"/>
    <n v="11"/>
    <n v="44"/>
    <x v="1"/>
    <x v="38"/>
  </r>
  <r>
    <n v="2222"/>
    <n v="10659"/>
    <n v="1979"/>
    <s v="2n Cycle"/>
    <s v="Together"/>
    <n v="7500"/>
    <n v="1"/>
    <d v="1899-12-30T00:00:00"/>
    <d v="2013-05-07T00:00:00"/>
    <n v="7"/>
    <n v="8"/>
    <n v="8"/>
    <n v="8"/>
    <n v="2"/>
    <n v="47"/>
    <x v="1"/>
    <x v="11"/>
  </r>
  <r>
    <n v="2223"/>
    <n v="1448"/>
    <n v="1963"/>
    <s v="Master"/>
    <s v="Married"/>
    <n v="33562"/>
    <n v="1"/>
    <d v="1900-01-01T00:00:00"/>
    <d v="2014-06-25T00:00:00"/>
    <n v="33"/>
    <n v="12"/>
    <n v="3"/>
    <n v="3"/>
    <n v="4"/>
    <n v="63"/>
    <x v="0"/>
    <x v="3"/>
  </r>
  <r>
    <n v="2224"/>
    <n v="4286"/>
    <n v="1970"/>
    <s v="PhD"/>
    <s v="Single"/>
    <n v="57642"/>
    <n v="0"/>
    <d v="1899-12-31T00:00:00"/>
    <d v="2014-01-09T00:00:00"/>
    <n v="24"/>
    <n v="6"/>
    <n v="0"/>
    <n v="0"/>
    <n v="6"/>
    <n v="56"/>
    <x v="0"/>
    <x v="29"/>
  </r>
  <r>
    <n v="2225"/>
    <n v="4749"/>
    <n v="1968"/>
    <s v="Graduation"/>
    <s v="Together"/>
    <n v="58554"/>
    <n v="1"/>
    <d v="1899-12-31T00:00:00"/>
    <d v="2012-09-26T00:00:00"/>
    <n v="55"/>
    <n v="24"/>
    <n v="0"/>
    <n v="0"/>
    <n v="6"/>
    <n v="58"/>
    <x v="0"/>
    <x v="29"/>
  </r>
  <r>
    <n v="2226"/>
    <n v="4478"/>
    <n v="1979"/>
    <s v="Graduation"/>
    <s v="Married"/>
    <n v="63777"/>
    <n v="1"/>
    <d v="1899-12-31T00:00:00"/>
    <d v="2013-03-24T00:00:00"/>
    <n v="87"/>
    <n v="5"/>
    <n v="17"/>
    <n v="17"/>
    <n v="6"/>
    <n v="47"/>
    <x v="1"/>
    <x v="45"/>
  </r>
  <r>
    <n v="2227"/>
    <n v="4201"/>
    <n v="1962"/>
    <s v="Graduation"/>
    <s v="Single"/>
    <n v="57967"/>
    <n v="0"/>
    <d v="1899-12-31T00:00:00"/>
    <d v="2013-03-03T00:00:00"/>
    <n v="39"/>
    <n v="7"/>
    <n v="0"/>
    <n v="0"/>
    <n v="8"/>
    <n v="64"/>
    <x v="0"/>
    <x v="41"/>
  </r>
  <r>
    <n v="2228"/>
    <n v="8720"/>
    <n v="1978"/>
    <s v="2n Cycle"/>
    <s v="Together"/>
    <m/>
    <n v="0"/>
    <d v="1899-12-30T00:00:00"/>
    <d v="2012-08-12T00:00:00"/>
    <n v="53"/>
    <n v="2"/>
    <n v="4"/>
    <n v="4"/>
    <n v="1"/>
    <n v="48"/>
    <x v="1"/>
    <x v="7"/>
  </r>
  <r>
    <n v="2229"/>
    <n v="10084"/>
    <n v="1972"/>
    <s v="Graduation"/>
    <s v="Married"/>
    <n v="24434"/>
    <n v="2"/>
    <d v="1899-12-30T00:00:00"/>
    <d v="2014-05-18T00:00:00"/>
    <n v="9"/>
    <n v="2"/>
    <n v="0"/>
    <n v="0"/>
    <n v="2"/>
    <n v="54"/>
    <x v="0"/>
    <x v="42"/>
  </r>
  <r>
    <n v="2230"/>
    <n v="7004"/>
    <n v="1984"/>
    <s v="Graduation"/>
    <s v="Single"/>
    <n v="11012"/>
    <n v="1"/>
    <d v="1899-12-30T00:00:00"/>
    <d v="2013-03-16T00:00:00"/>
    <n v="82"/>
    <n v="3"/>
    <n v="1"/>
    <n v="1"/>
    <n v="2"/>
    <n v="42"/>
    <x v="1"/>
    <x v="1"/>
  </r>
  <r>
    <n v="2231"/>
    <n v="9817"/>
    <n v="1970"/>
    <s v="Master"/>
    <s v="Single"/>
    <n v="44802"/>
    <n v="0"/>
    <d v="1899-12-30T00:00:00"/>
    <d v="2012-08-21T00:00:00"/>
    <n v="71"/>
    <n v="10"/>
    <n v="10"/>
    <n v="10"/>
    <n v="12"/>
    <n v="56"/>
    <x v="0"/>
    <x v="62"/>
  </r>
  <r>
    <n v="2232"/>
    <n v="8080"/>
    <n v="1986"/>
    <s v="Graduation"/>
    <s v="Single"/>
    <n v="26816"/>
    <n v="0"/>
    <d v="1899-12-30T00:00:00"/>
    <d v="2012-08-17T00:00:00"/>
    <n v="50"/>
    <n v="1"/>
    <n v="4"/>
    <n v="4"/>
    <n v="3"/>
    <n v="40"/>
    <x v="1"/>
    <x v="3"/>
  </r>
  <r>
    <n v="2233"/>
    <n v="9432"/>
    <n v="1977"/>
    <s v="Graduation"/>
    <s v="Together"/>
    <n v="666666"/>
    <n v="1"/>
    <d v="1899-12-30T00:00:00"/>
    <d v="2013-06-02T00:00:00"/>
    <n v="23"/>
    <n v="14"/>
    <n v="1"/>
    <n v="1"/>
    <n v="3"/>
    <n v="49"/>
    <x v="1"/>
    <x v="9"/>
  </r>
  <r>
    <n v="2234"/>
    <n v="8372"/>
    <n v="1974"/>
    <s v="Graduation"/>
    <s v="Married"/>
    <n v="34421"/>
    <n v="1"/>
    <d v="1899-12-30T00:00:00"/>
    <d v="2013-07-01T00:00:00"/>
    <n v="81"/>
    <n v="3"/>
    <n v="2"/>
    <n v="2"/>
    <n v="2"/>
    <n v="52"/>
    <x v="0"/>
    <x v="9"/>
  </r>
  <r>
    <n v="2235"/>
    <n v="10870"/>
    <n v="1967"/>
    <s v="Graduation"/>
    <s v="Married"/>
    <n v="61223"/>
    <n v="0"/>
    <d v="1899-12-31T00:00:00"/>
    <d v="2013-06-13T00:00:00"/>
    <n v="46"/>
    <n v="43"/>
    <n v="118"/>
    <n v="118"/>
    <n v="4"/>
    <n v="59"/>
    <x v="0"/>
    <x v="161"/>
  </r>
  <r>
    <n v="2236"/>
    <n v="4001"/>
    <n v="1946"/>
    <s v="PhD"/>
    <s v="Together"/>
    <n v="64014"/>
    <n v="2"/>
    <d v="1899-12-31T00:00:00"/>
    <d v="2014-06-10T00:00:00"/>
    <n v="56"/>
    <n v="0"/>
    <n v="0"/>
    <n v="0"/>
    <n v="5"/>
    <n v="80"/>
    <x v="0"/>
    <x v="7"/>
  </r>
  <r>
    <n v="2237"/>
    <n v="7270"/>
    <n v="1981"/>
    <s v="Graduation"/>
    <s v="Divorced"/>
    <n v="56981"/>
    <n v="0"/>
    <d v="1899-12-30T00:00:00"/>
    <d v="2014-01-25T00:00:00"/>
    <n v="91"/>
    <n v="48"/>
    <n v="12"/>
    <n v="12"/>
    <n v="13"/>
    <n v="45"/>
    <x v="1"/>
    <x v="15"/>
  </r>
  <r>
    <n v="2238"/>
    <n v="8235"/>
    <n v="1956"/>
    <s v="Master"/>
    <s v="Together"/>
    <n v="69245"/>
    <n v="0"/>
    <d v="1899-12-31T00:00:00"/>
    <d v="2014-01-24T00:00:00"/>
    <n v="8"/>
    <n v="30"/>
    <n v="30"/>
    <n v="30"/>
    <n v="10"/>
    <n v="70"/>
    <x v="0"/>
    <x v="105"/>
  </r>
  <r>
    <n v="2239"/>
    <n v="9405"/>
    <n v="1954"/>
    <s v="PhD"/>
    <s v="Married"/>
    <n v="52869"/>
    <n v="1"/>
    <d v="1899-12-31T00:00:00"/>
    <d v="2012-10-15T00:00:00"/>
    <n v="40"/>
    <n v="3"/>
    <n v="1"/>
    <n v="1"/>
    <n v="4"/>
    <n v="72"/>
    <x v="0"/>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60621"/>
  </r>
  <r>
    <x v="1"/>
    <n v="58917"/>
  </r>
  <r>
    <x v="2"/>
    <n v="11953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5524"/>
    <n v="1957"/>
    <x v="0"/>
    <x v="0"/>
    <n v="58138"/>
    <n v="0"/>
    <d v="1899-12-30T00:00:00"/>
    <d v="2012-09-04T00:00:00"/>
    <n v="58"/>
    <n v="88"/>
    <n v="88"/>
    <n v="88"/>
    <n v="4"/>
    <n v="69"/>
    <s v="&gt;50"/>
    <n v="92"/>
    <s v="Sweet products"/>
    <n v="60621"/>
    <m/>
    <x v="0"/>
    <m/>
    <n v="14"/>
  </r>
  <r>
    <n v="2174"/>
    <n v="1954"/>
    <x v="0"/>
    <x v="0"/>
    <n v="46344"/>
    <n v="1"/>
    <d v="1899-12-31T00:00:00"/>
    <d v="2014-03-08T00:00:00"/>
    <n v="38"/>
    <n v="1"/>
    <n v="1"/>
    <n v="1"/>
    <n v="2"/>
    <n v="72"/>
    <s v="&gt;50"/>
    <n v="3"/>
    <s v="Fruits"/>
    <n v="58917"/>
    <m/>
    <x v="1"/>
    <m/>
    <n v="12"/>
  </r>
  <r>
    <n v="4141"/>
    <n v="1965"/>
    <x v="0"/>
    <x v="1"/>
    <n v="71613"/>
    <n v="0"/>
    <d v="1899-12-30T00:00:00"/>
    <d v="2013-08-21T00:00:00"/>
    <n v="26"/>
    <n v="49"/>
    <n v="21"/>
    <n v="21"/>
    <n v="10"/>
    <n v="61"/>
    <s v="&gt;50"/>
    <n v="31"/>
    <s v="Total Combined"/>
    <n v="119538"/>
    <m/>
    <x v="0"/>
    <m/>
    <n v="13"/>
  </r>
  <r>
    <n v="6182"/>
    <n v="1984"/>
    <x v="0"/>
    <x v="1"/>
    <n v="26646"/>
    <n v="1"/>
    <d v="1899-12-30T00:00:00"/>
    <d v="2014-02-10T00:00:00"/>
    <n v="26"/>
    <n v="4"/>
    <n v="3"/>
    <n v="3"/>
    <n v="4"/>
    <n v="42"/>
    <s v="30-50"/>
    <n v="7"/>
    <m/>
    <m/>
    <m/>
    <x v="2"/>
    <m/>
    <n v="12"/>
  </r>
  <r>
    <n v="5324"/>
    <n v="1981"/>
    <x v="1"/>
    <x v="2"/>
    <n v="58293"/>
    <n v="1"/>
    <d v="1899-12-30T00:00:00"/>
    <d v="2014-01-19T00:00:00"/>
    <n v="94"/>
    <n v="43"/>
    <n v="27"/>
    <n v="27"/>
    <n v="6"/>
    <n v="45"/>
    <s v="30-50"/>
    <n v="33"/>
    <m/>
    <m/>
    <m/>
    <x v="0"/>
    <m/>
    <n v="12"/>
  </r>
  <r>
    <n v="7446"/>
    <n v="1967"/>
    <x v="2"/>
    <x v="1"/>
    <n v="62513"/>
    <n v="0"/>
    <d v="1899-12-31T00:00:00"/>
    <d v="2013-09-09T00:00:00"/>
    <n v="16"/>
    <n v="42"/>
    <n v="42"/>
    <n v="42"/>
    <n v="10"/>
    <n v="59"/>
    <s v="&gt;50"/>
    <n v="52"/>
    <m/>
    <m/>
    <m/>
    <x v="0"/>
    <m/>
    <n v="13"/>
  </r>
  <r>
    <n v="965"/>
    <n v="1971"/>
    <x v="0"/>
    <x v="3"/>
    <n v="55635"/>
    <n v="0"/>
    <d v="1899-12-31T00:00:00"/>
    <d v="2012-11-13T00:00:00"/>
    <n v="34"/>
    <n v="65"/>
    <n v="49"/>
    <n v="49"/>
    <n v="7"/>
    <n v="55"/>
    <s v="&gt;50"/>
    <n v="56"/>
    <m/>
    <m/>
    <m/>
    <x v="0"/>
    <m/>
    <n v="14"/>
  </r>
  <r>
    <n v="6177"/>
    <n v="1985"/>
    <x v="1"/>
    <x v="2"/>
    <n v="33454"/>
    <n v="1"/>
    <d v="1899-12-30T00:00:00"/>
    <d v="2013-05-08T00:00:00"/>
    <n v="32"/>
    <n v="10"/>
    <n v="1"/>
    <n v="1"/>
    <n v="4"/>
    <n v="41"/>
    <s v="30-50"/>
    <n v="5"/>
    <m/>
    <m/>
    <m/>
    <x v="1"/>
    <m/>
    <n v="13"/>
  </r>
  <r>
    <n v="4855"/>
    <n v="1974"/>
    <x v="1"/>
    <x v="1"/>
    <n v="30351"/>
    <n v="1"/>
    <d v="1899-12-30T00:00:00"/>
    <d v="2013-06-06T00:00:00"/>
    <n v="19"/>
    <n v="0"/>
    <n v="3"/>
    <n v="3"/>
    <n v="2"/>
    <n v="52"/>
    <s v="&gt;50"/>
    <n v="5"/>
    <m/>
    <m/>
    <m/>
    <x v="1"/>
    <m/>
    <n v="13"/>
  </r>
  <r>
    <n v="5899"/>
    <n v="1950"/>
    <x v="1"/>
    <x v="1"/>
    <n v="5648"/>
    <n v="1"/>
    <d v="1899-12-31T00:00:00"/>
    <d v="2014-03-13T00:00:00"/>
    <n v="68"/>
    <n v="0"/>
    <n v="1"/>
    <n v="1"/>
    <n v="0"/>
    <n v="76"/>
    <s v="&gt;50"/>
    <n v="1"/>
    <m/>
    <m/>
    <m/>
    <x v="2"/>
    <m/>
    <n v="12"/>
  </r>
  <r>
    <n v="1994"/>
    <n v="1983"/>
    <x v="0"/>
    <x v="2"/>
    <m/>
    <n v="1"/>
    <d v="1899-12-30T00:00:00"/>
    <d v="2013-11-15T00:00:00"/>
    <n v="11"/>
    <n v="5"/>
    <n v="2"/>
    <n v="2"/>
    <n v="2"/>
    <n v="43"/>
    <s v="30-50"/>
    <n v="4"/>
    <m/>
    <m/>
    <m/>
    <x v="2"/>
    <m/>
    <n v="13"/>
  </r>
  <r>
    <n v="387"/>
    <n v="1976"/>
    <x v="3"/>
    <x v="2"/>
    <n v="7500"/>
    <n v="0"/>
    <d v="1899-12-30T00:00:00"/>
    <d v="2012-11-13T00:00:00"/>
    <n v="59"/>
    <n v="16"/>
    <n v="1"/>
    <n v="1"/>
    <n v="3"/>
    <n v="50"/>
    <s v="30-50"/>
    <n v="4"/>
    <m/>
    <m/>
    <m/>
    <x v="2"/>
    <m/>
    <n v="14"/>
  </r>
  <r>
    <n v="2125"/>
    <n v="1959"/>
    <x v="0"/>
    <x v="3"/>
    <n v="63033"/>
    <n v="0"/>
    <d v="1899-12-30T00:00:00"/>
    <d v="2013-11-15T00:00:00"/>
    <n v="82"/>
    <n v="61"/>
    <n v="112"/>
    <n v="112"/>
    <n v="8"/>
    <n v="67"/>
    <s v="&gt;50"/>
    <n v="120"/>
    <m/>
    <m/>
    <m/>
    <x v="0"/>
    <m/>
    <n v="13"/>
  </r>
  <r>
    <n v="8180"/>
    <n v="1952"/>
    <x v="2"/>
    <x v="3"/>
    <n v="59354"/>
    <n v="1"/>
    <d v="1899-12-31T00:00:00"/>
    <d v="2013-11-15T00:00:00"/>
    <n v="53"/>
    <n v="2"/>
    <n v="5"/>
    <n v="5"/>
    <n v="5"/>
    <n v="74"/>
    <s v="&gt;50"/>
    <n v="10"/>
    <m/>
    <m/>
    <m/>
    <x v="0"/>
    <m/>
    <n v="13"/>
  </r>
  <r>
    <n v="2569"/>
    <n v="1987"/>
    <x v="0"/>
    <x v="2"/>
    <n v="17323"/>
    <n v="0"/>
    <d v="1899-12-30T00:00:00"/>
    <d v="2012-10-10T00:00:00"/>
    <n v="38"/>
    <n v="14"/>
    <n v="1"/>
    <n v="1"/>
    <n v="3"/>
    <n v="39"/>
    <s v="30-50"/>
    <n v="4"/>
    <m/>
    <m/>
    <m/>
    <x v="2"/>
    <m/>
    <n v="14"/>
  </r>
  <r>
    <n v="2114"/>
    <n v="1946"/>
    <x v="1"/>
    <x v="0"/>
    <n v="82800"/>
    <n v="0"/>
    <d v="1899-12-30T00:00:00"/>
    <d v="2012-11-24T00:00:00"/>
    <n v="23"/>
    <n v="22"/>
    <n v="68"/>
    <n v="68"/>
    <n v="12"/>
    <n v="80"/>
    <s v="&gt;50"/>
    <n v="80"/>
    <m/>
    <m/>
    <m/>
    <x v="3"/>
    <m/>
    <n v="14"/>
  </r>
  <r>
    <n v="9736"/>
    <n v="1980"/>
    <x v="0"/>
    <x v="2"/>
    <n v="41850"/>
    <n v="1"/>
    <d v="1899-12-31T00:00:00"/>
    <d v="2012-12-24T00:00:00"/>
    <n v="51"/>
    <n v="5"/>
    <n v="13"/>
    <n v="13"/>
    <n v="3"/>
    <n v="46"/>
    <s v="30-50"/>
    <n v="16"/>
    <m/>
    <m/>
    <m/>
    <x v="1"/>
    <m/>
    <n v="14"/>
  </r>
  <r>
    <n v="4939"/>
    <n v="1946"/>
    <x v="0"/>
    <x v="1"/>
    <n v="37760"/>
    <n v="0"/>
    <d v="1899-12-30T00:00:00"/>
    <d v="2012-08-31T00:00:00"/>
    <n v="20"/>
    <n v="5"/>
    <n v="12"/>
    <n v="12"/>
    <n v="6"/>
    <n v="80"/>
    <s v="&gt;50"/>
    <n v="18"/>
    <m/>
    <m/>
    <m/>
    <x v="1"/>
    <m/>
    <n v="14"/>
  </r>
  <r>
    <n v="6565"/>
    <n v="1949"/>
    <x v="2"/>
    <x v="2"/>
    <n v="76995"/>
    <n v="0"/>
    <d v="1899-12-31T00:00:00"/>
    <d v="2013-03-28T00:00:00"/>
    <n v="91"/>
    <n v="80"/>
    <n v="16"/>
    <n v="16"/>
    <n v="9"/>
    <n v="77"/>
    <s v="&gt;50"/>
    <n v="25"/>
    <m/>
    <m/>
    <m/>
    <x v="3"/>
    <m/>
    <n v="13"/>
  </r>
  <r>
    <n v="2278"/>
    <n v="1985"/>
    <x v="4"/>
    <x v="0"/>
    <n v="33812"/>
    <n v="1"/>
    <d v="1899-12-30T00:00:00"/>
    <d v="2012-11-03T00:00:00"/>
    <n v="86"/>
    <n v="17"/>
    <n v="24"/>
    <n v="24"/>
    <n v="3"/>
    <n v="41"/>
    <s v="30-50"/>
    <n v="27"/>
    <m/>
    <m/>
    <m/>
    <x v="1"/>
    <m/>
    <n v="14"/>
  </r>
  <r>
    <n v="9360"/>
    <n v="1982"/>
    <x v="0"/>
    <x v="2"/>
    <n v="37040"/>
    <n v="0"/>
    <d v="1899-12-30T00:00:00"/>
    <d v="2012-08-08T00:00:00"/>
    <n v="41"/>
    <n v="2"/>
    <n v="38"/>
    <n v="38"/>
    <n v="5"/>
    <n v="44"/>
    <s v="30-50"/>
    <n v="43"/>
    <m/>
    <m/>
    <m/>
    <x v="1"/>
    <m/>
    <n v="14"/>
  </r>
  <r>
    <n v="5376"/>
    <n v="1979"/>
    <x v="0"/>
    <x v="2"/>
    <n v="2447"/>
    <n v="1"/>
    <d v="1899-12-30T00:00:00"/>
    <d v="2013-01-06T00:00:00"/>
    <n v="42"/>
    <n v="1"/>
    <n v="1"/>
    <n v="1"/>
    <n v="0"/>
    <n v="47"/>
    <s v="30-50"/>
    <n v="1"/>
    <m/>
    <m/>
    <m/>
    <x v="2"/>
    <m/>
    <n v="13"/>
  </r>
  <r>
    <n v="1993"/>
    <n v="1949"/>
    <x v="1"/>
    <x v="2"/>
    <n v="58607"/>
    <n v="0"/>
    <d v="1899-12-31T00:00:00"/>
    <d v="2012-12-23T00:00:00"/>
    <n v="63"/>
    <n v="0"/>
    <n v="0"/>
    <n v="0"/>
    <n v="9"/>
    <n v="77"/>
    <s v="&gt;50"/>
    <n v="9"/>
    <m/>
    <m/>
    <m/>
    <x v="0"/>
    <m/>
    <n v="14"/>
  </r>
  <r>
    <n v="4047"/>
    <n v="1954"/>
    <x v="1"/>
    <x v="2"/>
    <n v="65324"/>
    <n v="0"/>
    <d v="1899-12-31T00:00:00"/>
    <d v="2014-01-11T00:00:00"/>
    <n v="0"/>
    <n v="0"/>
    <n v="32"/>
    <n v="32"/>
    <n v="9"/>
    <n v="72"/>
    <s v="&gt;50"/>
    <n v="41"/>
    <m/>
    <m/>
    <m/>
    <x v="0"/>
    <m/>
    <n v="12"/>
  </r>
  <r>
    <n v="1409"/>
    <n v="1951"/>
    <x v="0"/>
    <x v="1"/>
    <n v="40689"/>
    <n v="0"/>
    <d v="1899-12-31T00:00:00"/>
    <d v="2013-03-18T00:00:00"/>
    <n v="69"/>
    <n v="3"/>
    <n v="6"/>
    <n v="6"/>
    <n v="5"/>
    <n v="75"/>
    <s v="&gt;50"/>
    <n v="11"/>
    <m/>
    <m/>
    <m/>
    <x v="1"/>
    <m/>
    <n v="13"/>
  </r>
  <r>
    <n v="7892"/>
    <n v="1969"/>
    <x v="0"/>
    <x v="0"/>
    <n v="18589"/>
    <n v="0"/>
    <d v="1899-12-30T00:00:00"/>
    <d v="2013-01-02T00:00:00"/>
    <n v="89"/>
    <n v="4"/>
    <n v="12"/>
    <n v="12"/>
    <n v="3"/>
    <n v="57"/>
    <s v="&gt;50"/>
    <n v="15"/>
    <m/>
    <m/>
    <m/>
    <x v="2"/>
    <m/>
    <n v="13"/>
  </r>
  <r>
    <n v="2404"/>
    <n v="1976"/>
    <x v="0"/>
    <x v="2"/>
    <n v="53359"/>
    <n v="1"/>
    <d v="1899-12-31T00:00:00"/>
    <d v="2013-05-27T00:00:00"/>
    <n v="4"/>
    <n v="4"/>
    <n v="6"/>
    <n v="6"/>
    <n v="4"/>
    <n v="50"/>
    <s v="30-50"/>
    <n v="10"/>
    <m/>
    <m/>
    <m/>
    <x v="0"/>
    <m/>
    <n v="13"/>
  </r>
  <r>
    <n v="5255"/>
    <n v="1986"/>
    <x v="0"/>
    <x v="0"/>
    <m/>
    <n v="1"/>
    <d v="1899-12-30T00:00:00"/>
    <d v="2013-02-20T00:00:00"/>
    <n v="19"/>
    <n v="1"/>
    <n v="263"/>
    <n v="263"/>
    <n v="0"/>
    <n v="40"/>
    <s v="30-50"/>
    <n v="263"/>
    <m/>
    <m/>
    <m/>
    <x v="2"/>
    <m/>
    <n v="13"/>
  </r>
  <r>
    <n v="9422"/>
    <n v="1989"/>
    <x v="0"/>
    <x v="2"/>
    <n v="38360"/>
    <n v="1"/>
    <d v="1899-12-30T00:00:00"/>
    <d v="2013-05-31T00:00:00"/>
    <n v="26"/>
    <n v="2"/>
    <n v="21"/>
    <n v="21"/>
    <n v="4"/>
    <n v="37"/>
    <s v="30-50"/>
    <n v="25"/>
    <m/>
    <m/>
    <m/>
    <x v="1"/>
    <m/>
    <n v="13"/>
  </r>
  <r>
    <n v="1966"/>
    <n v="1965"/>
    <x v="1"/>
    <x v="2"/>
    <n v="84618"/>
    <n v="0"/>
    <d v="1899-12-30T00:00:00"/>
    <d v="2013-11-22T00:00:00"/>
    <n v="96"/>
    <n v="100"/>
    <n v="66"/>
    <n v="66"/>
    <n v="10"/>
    <n v="61"/>
    <s v="&gt;50"/>
    <n v="76"/>
    <m/>
    <m/>
    <m/>
    <x v="3"/>
    <m/>
    <n v="13"/>
  </r>
  <r>
    <n v="6864"/>
    <n v="1989"/>
    <x v="2"/>
    <x v="3"/>
    <n v="10979"/>
    <n v="0"/>
    <d v="1899-12-30T00:00:00"/>
    <d v="2014-05-22T00:00:00"/>
    <n v="34"/>
    <n v="4"/>
    <n v="2"/>
    <n v="2"/>
    <n v="3"/>
    <n v="37"/>
    <s v="30-50"/>
    <n v="5"/>
    <m/>
    <m/>
    <m/>
    <x v="2"/>
    <m/>
    <n v="12"/>
  </r>
  <r>
    <n v="3033"/>
    <n v="1963"/>
    <x v="2"/>
    <x v="1"/>
    <n v="38620"/>
    <n v="0"/>
    <d v="1899-12-30T00:00:00"/>
    <d v="2013-05-11T00:00:00"/>
    <n v="56"/>
    <n v="17"/>
    <n v="22"/>
    <n v="22"/>
    <n v="3"/>
    <n v="63"/>
    <s v="&gt;50"/>
    <n v="25"/>
    <m/>
    <m/>
    <m/>
    <x v="1"/>
    <m/>
    <n v="13"/>
  </r>
  <r>
    <n v="5710"/>
    <n v="1970"/>
    <x v="0"/>
    <x v="1"/>
    <n v="40548"/>
    <n v="0"/>
    <d v="1899-12-31T00:00:00"/>
    <d v="2012-10-10T00:00:00"/>
    <n v="31"/>
    <n v="0"/>
    <n v="0"/>
    <n v="0"/>
    <n v="4"/>
    <n v="56"/>
    <s v="&gt;50"/>
    <n v="4"/>
    <m/>
    <m/>
    <m/>
    <x v="1"/>
    <m/>
    <n v="14"/>
  </r>
  <r>
    <n v="7373"/>
    <n v="1952"/>
    <x v="1"/>
    <x v="3"/>
    <n v="46610"/>
    <n v="0"/>
    <d v="1900-01-01T00:00:00"/>
    <d v="2012-10-29T00:00:00"/>
    <n v="8"/>
    <n v="12"/>
    <n v="22"/>
    <n v="22"/>
    <n v="6"/>
    <n v="74"/>
    <s v="&gt;50"/>
    <n v="28"/>
    <m/>
    <m/>
    <m/>
    <x v="1"/>
    <m/>
    <n v="14"/>
  </r>
  <r>
    <n v="8755"/>
    <n v="1946"/>
    <x v="2"/>
    <x v="2"/>
    <n v="68657"/>
    <n v="0"/>
    <d v="1899-12-30T00:00:00"/>
    <d v="2013-02-20T00:00:00"/>
    <n v="4"/>
    <n v="34"/>
    <n v="68"/>
    <n v="68"/>
    <n v="9"/>
    <n v="80"/>
    <s v="&gt;50"/>
    <n v="77"/>
    <m/>
    <m/>
    <m/>
    <x v="0"/>
    <m/>
    <n v="13"/>
  </r>
  <r>
    <n v="10738"/>
    <n v="1951"/>
    <x v="2"/>
    <x v="0"/>
    <n v="49389"/>
    <n v="1"/>
    <d v="1899-12-31T00:00:00"/>
    <d v="2013-08-29T00:00:00"/>
    <n v="55"/>
    <n v="0"/>
    <n v="1"/>
    <n v="1"/>
    <n v="3"/>
    <n v="75"/>
    <s v="&gt;50"/>
    <n v="4"/>
    <m/>
    <m/>
    <m/>
    <x v="1"/>
    <m/>
    <n v="13"/>
  </r>
  <r>
    <n v="4339"/>
    <n v="1970"/>
    <x v="1"/>
    <x v="2"/>
    <n v="67353"/>
    <n v="0"/>
    <d v="1899-12-31T00:00:00"/>
    <d v="2013-12-31T00:00:00"/>
    <n v="37"/>
    <n v="17"/>
    <n v="8"/>
    <n v="8"/>
    <n v="12"/>
    <n v="56"/>
    <s v="&gt;50"/>
    <n v="20"/>
    <m/>
    <m/>
    <m/>
    <x v="0"/>
    <m/>
    <n v="13"/>
  </r>
  <r>
    <n v="10755"/>
    <n v="1976"/>
    <x v="4"/>
    <x v="2"/>
    <n v="23718"/>
    <n v="1"/>
    <d v="1899-12-30T00:00:00"/>
    <d v="2013-09-02T00:00:00"/>
    <n v="76"/>
    <n v="3"/>
    <n v="7"/>
    <n v="7"/>
    <n v="2"/>
    <n v="50"/>
    <s v="30-50"/>
    <n v="9"/>
    <m/>
    <m/>
    <m/>
    <x v="2"/>
    <m/>
    <n v="13"/>
  </r>
  <r>
    <n v="8595"/>
    <n v="1973"/>
    <x v="0"/>
    <x v="4"/>
    <n v="42429"/>
    <n v="0"/>
    <d v="1899-12-31T00:00:00"/>
    <d v="2014-02-11T00:00:00"/>
    <n v="99"/>
    <n v="0"/>
    <n v="0"/>
    <n v="0"/>
    <n v="3"/>
    <n v="53"/>
    <s v="&gt;50"/>
    <n v="3"/>
    <m/>
    <m/>
    <m/>
    <x v="1"/>
    <m/>
    <n v="12"/>
  </r>
  <r>
    <n v="2968"/>
    <n v="1943"/>
    <x v="1"/>
    <x v="3"/>
    <n v="48948"/>
    <n v="0"/>
    <d v="1899-12-30T00:00:00"/>
    <d v="2013-02-01T00:00:00"/>
    <n v="53"/>
    <n v="8"/>
    <n v="49"/>
    <n v="49"/>
    <n v="5"/>
    <n v="83"/>
    <s v="&gt;50"/>
    <n v="54"/>
    <m/>
    <m/>
    <m/>
    <x v="1"/>
    <m/>
    <n v="13"/>
  </r>
  <r>
    <n v="8601"/>
    <n v="1980"/>
    <x v="0"/>
    <x v="2"/>
    <n v="80011"/>
    <n v="0"/>
    <d v="1899-12-31T00:00:00"/>
    <d v="2013-04-29T00:00:00"/>
    <n v="3"/>
    <n v="76"/>
    <n v="178"/>
    <n v="178"/>
    <n v="5"/>
    <n v="46"/>
    <s v="30-50"/>
    <n v="183"/>
    <m/>
    <m/>
    <m/>
    <x v="3"/>
    <m/>
    <n v="13"/>
  </r>
  <r>
    <n v="503"/>
    <n v="1985"/>
    <x v="2"/>
    <x v="2"/>
    <n v="20559"/>
    <n v="1"/>
    <d v="1899-12-30T00:00:00"/>
    <d v="2013-03-12T00:00:00"/>
    <n v="88"/>
    <n v="1"/>
    <n v="0"/>
    <n v="0"/>
    <n v="3"/>
    <n v="41"/>
    <s v="30-50"/>
    <n v="3"/>
    <m/>
    <m/>
    <m/>
    <x v="2"/>
    <m/>
    <n v="13"/>
  </r>
  <r>
    <n v="8430"/>
    <n v="1957"/>
    <x v="0"/>
    <x v="1"/>
    <n v="21994"/>
    <n v="0"/>
    <d v="1899-12-31T00:00:00"/>
    <d v="2012-12-24T00:00:00"/>
    <n v="4"/>
    <n v="0"/>
    <n v="1"/>
    <n v="1"/>
    <n v="3"/>
    <n v="69"/>
    <s v="&gt;50"/>
    <n v="4"/>
    <m/>
    <m/>
    <m/>
    <x v="2"/>
    <m/>
    <n v="14"/>
  </r>
  <r>
    <n v="7281"/>
    <n v="1959"/>
    <x v="1"/>
    <x v="0"/>
    <m/>
    <n v="0"/>
    <d v="1899-12-30T00:00:00"/>
    <d v="2013-11-05T00:00:00"/>
    <n v="80"/>
    <n v="11"/>
    <n v="2"/>
    <n v="2"/>
    <n v="4"/>
    <n v="67"/>
    <s v="&gt;50"/>
    <n v="6"/>
    <m/>
    <m/>
    <m/>
    <x v="2"/>
    <m/>
    <n v="13"/>
  </r>
  <r>
    <n v="2139"/>
    <n v="1975"/>
    <x v="2"/>
    <x v="2"/>
    <n v="7500"/>
    <n v="1"/>
    <d v="1899-12-30T00:00:00"/>
    <d v="2013-10-02T00:00:00"/>
    <n v="19"/>
    <n v="1"/>
    <n v="2"/>
    <n v="2"/>
    <n v="3"/>
    <n v="51"/>
    <s v="&gt;50"/>
    <n v="5"/>
    <m/>
    <m/>
    <m/>
    <x v="2"/>
    <m/>
    <n v="13"/>
  </r>
  <r>
    <n v="1371"/>
    <n v="1976"/>
    <x v="0"/>
    <x v="0"/>
    <n v="79941"/>
    <n v="0"/>
    <d v="1899-12-30T00:00:00"/>
    <d v="2014-06-28T00:00:00"/>
    <n v="72"/>
    <n v="164"/>
    <n v="30"/>
    <n v="30"/>
    <n v="9"/>
    <n v="50"/>
    <s v="30-50"/>
    <n v="39"/>
    <m/>
    <m/>
    <m/>
    <x v="3"/>
    <m/>
    <n v="12"/>
  </r>
  <r>
    <n v="9909"/>
    <n v="1996"/>
    <x v="4"/>
    <x v="2"/>
    <n v="7500"/>
    <n v="0"/>
    <d v="1899-12-30T00:00:00"/>
    <d v="2012-11-09T00:00:00"/>
    <n v="24"/>
    <n v="18"/>
    <n v="22"/>
    <n v="22"/>
    <n v="3"/>
    <n v="30"/>
    <s v="30-50"/>
    <n v="25"/>
    <m/>
    <m/>
    <m/>
    <x v="2"/>
    <m/>
    <n v="14"/>
  </r>
  <r>
    <n v="7286"/>
    <n v="1968"/>
    <x v="0"/>
    <x v="1"/>
    <n v="41728"/>
    <n v="1"/>
    <d v="1899-12-30T00:00:00"/>
    <d v="2013-05-24T00:00:00"/>
    <n v="92"/>
    <n v="6"/>
    <n v="5"/>
    <n v="5"/>
    <n v="2"/>
    <n v="58"/>
    <s v="&gt;50"/>
    <n v="7"/>
    <m/>
    <m/>
    <m/>
    <x v="1"/>
    <m/>
    <n v="13"/>
  </r>
  <r>
    <n v="7244"/>
    <n v="1951"/>
    <x v="0"/>
    <x v="0"/>
    <m/>
    <n v="2"/>
    <d v="1899-12-31T00:00:00"/>
    <d v="2014-01-01T00:00:00"/>
    <n v="96"/>
    <n v="5"/>
    <n v="10"/>
    <n v="10"/>
    <n v="4"/>
    <n v="75"/>
    <s v="&gt;50"/>
    <n v="14"/>
    <m/>
    <m/>
    <m/>
    <x v="2"/>
    <m/>
    <n v="12"/>
  </r>
  <r>
    <n v="6566"/>
    <n v="1954"/>
    <x v="1"/>
    <x v="2"/>
    <n v="72550"/>
    <n v="1"/>
    <d v="1899-12-31T00:00:00"/>
    <d v="2012-11-08T00:00:00"/>
    <n v="39"/>
    <n v="50"/>
    <n v="38"/>
    <n v="38"/>
    <n v="12"/>
    <n v="72"/>
    <s v="&gt;50"/>
    <n v="50"/>
    <m/>
    <m/>
    <m/>
    <x v="0"/>
    <m/>
    <n v="14"/>
  </r>
  <r>
    <n v="8614"/>
    <n v="1957"/>
    <x v="0"/>
    <x v="4"/>
    <n v="65486"/>
    <n v="0"/>
    <d v="1899-12-31T00:00:00"/>
    <d v="2014-05-12T00:00:00"/>
    <n v="29"/>
    <n v="19"/>
    <n v="67"/>
    <n v="67"/>
    <n v="10"/>
    <n v="69"/>
    <s v="&gt;50"/>
    <n v="77"/>
    <m/>
    <m/>
    <m/>
    <x v="0"/>
    <m/>
    <n v="12"/>
  </r>
  <r>
    <n v="4114"/>
    <n v="1964"/>
    <x v="2"/>
    <x v="2"/>
    <n v="79143"/>
    <n v="0"/>
    <d v="1899-12-30T00:00:00"/>
    <d v="2012-08-11T00:00:00"/>
    <n v="2"/>
    <n v="37"/>
    <n v="167"/>
    <n v="167"/>
    <n v="13"/>
    <n v="62"/>
    <s v="&gt;50"/>
    <n v="180"/>
    <m/>
    <m/>
    <m/>
    <x v="3"/>
    <m/>
    <n v="14"/>
  </r>
  <r>
    <n v="1331"/>
    <n v="1977"/>
    <x v="0"/>
    <x v="0"/>
    <n v="35790"/>
    <n v="1"/>
    <d v="1899-12-30T00:00:00"/>
    <d v="2013-01-02T00:00:00"/>
    <n v="54"/>
    <n v="6"/>
    <n v="1"/>
    <n v="1"/>
    <n v="3"/>
    <n v="49"/>
    <s v="30-50"/>
    <n v="4"/>
    <m/>
    <m/>
    <m/>
    <x v="1"/>
    <m/>
    <n v="13"/>
  </r>
  <r>
    <n v="2225"/>
    <n v="1977"/>
    <x v="0"/>
    <x v="3"/>
    <n v="82582"/>
    <n v="0"/>
    <d v="1899-12-30T00:00:00"/>
    <d v="2014-06-07T00:00:00"/>
    <n v="54"/>
    <n v="120"/>
    <n v="40"/>
    <n v="40"/>
    <n v="7"/>
    <n v="49"/>
    <s v="30-50"/>
    <n v="47"/>
    <m/>
    <m/>
    <m/>
    <x v="3"/>
    <m/>
    <n v="12"/>
  </r>
  <r>
    <n v="9381"/>
    <n v="1978"/>
    <x v="0"/>
    <x v="2"/>
    <n v="66373"/>
    <n v="1"/>
    <d v="1899-12-31T00:00:00"/>
    <d v="2013-06-12T00:00:00"/>
    <n v="57"/>
    <n v="9"/>
    <n v="24"/>
    <n v="24"/>
    <n v="10"/>
    <n v="48"/>
    <s v="30-50"/>
    <n v="34"/>
    <m/>
    <m/>
    <m/>
    <x v="0"/>
    <m/>
    <n v="13"/>
  </r>
  <r>
    <n v="6260"/>
    <n v="1955"/>
    <x v="2"/>
    <x v="1"/>
    <n v="82384"/>
    <n v="0"/>
    <d v="1899-12-30T00:00:00"/>
    <d v="2012-11-19T00:00:00"/>
    <n v="55"/>
    <n v="51"/>
    <n v="120"/>
    <n v="120"/>
    <n v="13"/>
    <n v="71"/>
    <s v="&gt;50"/>
    <n v="133"/>
    <m/>
    <m/>
    <m/>
    <x v="3"/>
    <m/>
    <n v="14"/>
  </r>
  <r>
    <n v="10383"/>
    <n v="1966"/>
    <x v="0"/>
    <x v="3"/>
    <n v="70287"/>
    <n v="0"/>
    <d v="1899-12-30T00:00:00"/>
    <d v="2013-04-02T00:00:00"/>
    <n v="30"/>
    <n v="35"/>
    <n v="120"/>
    <n v="120"/>
    <n v="10"/>
    <n v="60"/>
    <s v="&gt;50"/>
    <n v="130"/>
    <m/>
    <m/>
    <m/>
    <x v="0"/>
    <m/>
    <n v="13"/>
  </r>
  <r>
    <n v="7437"/>
    <n v="1988"/>
    <x v="0"/>
    <x v="0"/>
    <n v="27938"/>
    <n v="1"/>
    <d v="1899-12-30T00:00:00"/>
    <d v="2014-04-28T00:00:00"/>
    <n v="31"/>
    <n v="0"/>
    <n v="1"/>
    <n v="1"/>
    <n v="4"/>
    <n v="38"/>
    <s v="30-50"/>
    <n v="5"/>
    <m/>
    <m/>
    <m/>
    <x v="2"/>
    <m/>
    <n v="12"/>
  </r>
  <r>
    <n v="8557"/>
    <n v="1982"/>
    <x v="0"/>
    <x v="0"/>
    <m/>
    <n v="1"/>
    <d v="1899-12-30T00:00:00"/>
    <d v="2013-06-17T00:00:00"/>
    <n v="57"/>
    <n v="3"/>
    <n v="2"/>
    <n v="2"/>
    <n v="3"/>
    <n v="44"/>
    <s v="30-50"/>
    <n v="5"/>
    <m/>
    <m/>
    <m/>
    <x v="2"/>
    <m/>
    <n v="13"/>
  </r>
  <r>
    <n v="8375"/>
    <n v="1968"/>
    <x v="1"/>
    <x v="2"/>
    <n v="55954"/>
    <n v="0"/>
    <d v="1899-12-31T00:00:00"/>
    <d v="2014-03-03T00:00:00"/>
    <n v="63"/>
    <n v="0"/>
    <n v="0"/>
    <n v="0"/>
    <n v="6"/>
    <n v="58"/>
    <s v="&gt;50"/>
    <n v="6"/>
    <m/>
    <m/>
    <m/>
    <x v="0"/>
    <m/>
    <n v="12"/>
  </r>
  <r>
    <n v="6853"/>
    <n v="1982"/>
    <x v="2"/>
    <x v="0"/>
    <n v="75777"/>
    <n v="0"/>
    <d v="1899-12-30T00:00:00"/>
    <d v="2013-07-04T00:00:00"/>
    <n v="12"/>
    <n v="26"/>
    <n v="13"/>
    <n v="13"/>
    <n v="11"/>
    <n v="44"/>
    <s v="30-50"/>
    <n v="24"/>
    <m/>
    <m/>
    <m/>
    <x v="3"/>
    <m/>
    <n v="13"/>
  </r>
  <r>
    <n v="3076"/>
    <n v="1975"/>
    <x v="0"/>
    <x v="1"/>
    <n v="66653"/>
    <n v="1"/>
    <d v="1899-12-31T00:00:00"/>
    <d v="2012-09-07T00:00:00"/>
    <n v="18"/>
    <n v="18"/>
    <n v="18"/>
    <n v="18"/>
    <n v="12"/>
    <n v="51"/>
    <s v="&gt;50"/>
    <n v="30"/>
    <m/>
    <m/>
    <m/>
    <x v="0"/>
    <m/>
    <n v="14"/>
  </r>
  <r>
    <n v="1012"/>
    <n v="1952"/>
    <x v="0"/>
    <x v="0"/>
    <n v="61823"/>
    <n v="0"/>
    <d v="1899-12-31T00:00:00"/>
    <d v="2013-02-18T00:00:00"/>
    <n v="26"/>
    <n v="7"/>
    <n v="14"/>
    <n v="14"/>
    <n v="10"/>
    <n v="74"/>
    <s v="&gt;50"/>
    <n v="24"/>
    <m/>
    <m/>
    <m/>
    <x v="0"/>
    <m/>
    <n v="13"/>
  </r>
  <r>
    <n v="6518"/>
    <n v="1951"/>
    <x v="1"/>
    <x v="4"/>
    <n v="67680"/>
    <n v="0"/>
    <d v="1899-12-31T00:00:00"/>
    <d v="2013-06-11T00:00:00"/>
    <n v="8"/>
    <n v="0"/>
    <n v="6"/>
    <n v="6"/>
    <n v="8"/>
    <n v="75"/>
    <s v="&gt;50"/>
    <n v="14"/>
    <m/>
    <m/>
    <m/>
    <x v="0"/>
    <m/>
    <n v="13"/>
  </r>
  <r>
    <n v="4137"/>
    <n v="1948"/>
    <x v="0"/>
    <x v="1"/>
    <n v="70666"/>
    <n v="0"/>
    <d v="1899-12-30T00:00:00"/>
    <d v="2013-12-06T00:00:00"/>
    <n v="29"/>
    <n v="40"/>
    <n v="122"/>
    <n v="122"/>
    <n v="4"/>
    <n v="78"/>
    <s v="&gt;50"/>
    <n v="126"/>
    <m/>
    <m/>
    <m/>
    <x v="0"/>
    <m/>
    <n v="13"/>
  </r>
  <r>
    <n v="8082"/>
    <n v="1971"/>
    <x v="0"/>
    <x v="2"/>
    <n v="25721"/>
    <n v="1"/>
    <d v="1899-12-30T00:00:00"/>
    <d v="2013-05-21T00:00:00"/>
    <n v="75"/>
    <n v="3"/>
    <n v="6"/>
    <n v="6"/>
    <n v="2"/>
    <n v="55"/>
    <s v="&gt;50"/>
    <n v="8"/>
    <m/>
    <m/>
    <m/>
    <x v="2"/>
    <m/>
    <n v="13"/>
  </r>
  <r>
    <n v="1386"/>
    <n v="1967"/>
    <x v="0"/>
    <x v="1"/>
    <n v="32474"/>
    <n v="1"/>
    <d v="1899-12-31T00:00:00"/>
    <d v="2014-05-11T00:00:00"/>
    <n v="0"/>
    <n v="0"/>
    <n v="0"/>
    <n v="0"/>
    <n v="2"/>
    <n v="59"/>
    <s v="&gt;50"/>
    <n v="2"/>
    <m/>
    <m/>
    <m/>
    <x v="1"/>
    <m/>
    <n v="12"/>
  </r>
  <r>
    <n v="9369"/>
    <n v="1979"/>
    <x v="4"/>
    <x v="0"/>
    <n v="88194"/>
    <n v="0"/>
    <d v="1899-12-31T00:00:00"/>
    <d v="2014-03-19T00:00:00"/>
    <n v="19"/>
    <n v="14"/>
    <n v="24"/>
    <n v="24"/>
    <n v="10"/>
    <n v="47"/>
    <s v="30-50"/>
    <n v="34"/>
    <m/>
    <m/>
    <m/>
    <x v="3"/>
    <m/>
    <n v="12"/>
  </r>
  <r>
    <n v="4477"/>
    <n v="1958"/>
    <x v="0"/>
    <x v="1"/>
    <n v="69096"/>
    <n v="0"/>
    <d v="1899-12-31T00:00:00"/>
    <d v="2013-09-27T00:00:00"/>
    <n v="4"/>
    <n v="49"/>
    <n v="82"/>
    <n v="82"/>
    <n v="10"/>
    <n v="68"/>
    <s v="&gt;50"/>
    <n v="92"/>
    <m/>
    <m/>
    <m/>
    <x v="0"/>
    <m/>
    <n v="13"/>
  </r>
  <r>
    <n v="1357"/>
    <n v="1970"/>
    <x v="0"/>
    <x v="1"/>
    <n v="74854"/>
    <n v="1"/>
    <d v="1900-01-01T00:00:00"/>
    <d v="2013-04-08T00:00:00"/>
    <n v="90"/>
    <n v="59"/>
    <n v="29"/>
    <n v="29"/>
    <n v="5"/>
    <n v="56"/>
    <s v="&gt;50"/>
    <n v="34"/>
    <m/>
    <m/>
    <m/>
    <x v="0"/>
    <m/>
    <n v="13"/>
  </r>
  <r>
    <n v="1402"/>
    <n v="1954"/>
    <x v="2"/>
    <x v="2"/>
    <n v="66991"/>
    <n v="0"/>
    <d v="1899-12-30T00:00:00"/>
    <d v="2012-09-11T00:00:00"/>
    <n v="1"/>
    <n v="36"/>
    <n v="60"/>
    <n v="60"/>
    <n v="6"/>
    <n v="72"/>
    <s v="&gt;50"/>
    <n v="66"/>
    <m/>
    <m/>
    <m/>
    <x v="0"/>
    <m/>
    <n v="14"/>
  </r>
  <r>
    <n v="10629"/>
    <n v="1973"/>
    <x v="4"/>
    <x v="2"/>
    <m/>
    <n v="1"/>
    <d v="1899-12-30T00:00:00"/>
    <d v="2012-09-14T00:00:00"/>
    <n v="25"/>
    <n v="3"/>
    <n v="4"/>
    <n v="4"/>
    <n v="3"/>
    <n v="53"/>
    <s v="&gt;50"/>
    <n v="7"/>
    <m/>
    <m/>
    <m/>
    <x v="2"/>
    <m/>
    <n v="14"/>
  </r>
  <r>
    <n v="6312"/>
    <n v="1959"/>
    <x v="0"/>
    <x v="2"/>
    <n v="65031"/>
    <n v="0"/>
    <d v="1899-12-31T00:00:00"/>
    <d v="2013-03-17T00:00:00"/>
    <n v="29"/>
    <n v="107"/>
    <n v="37"/>
    <n v="37"/>
    <n v="13"/>
    <n v="67"/>
    <s v="&gt;50"/>
    <n v="50"/>
    <m/>
    <m/>
    <m/>
    <x v="0"/>
    <m/>
    <n v="13"/>
  </r>
  <r>
    <n v="8132"/>
    <n v="1975"/>
    <x v="1"/>
    <x v="2"/>
    <n v="60631"/>
    <n v="1"/>
    <d v="1899-12-31T00:00:00"/>
    <d v="2013-04-05T00:00:00"/>
    <n v="88"/>
    <n v="6"/>
    <n v="6"/>
    <n v="6"/>
    <n v="8"/>
    <n v="51"/>
    <s v="&gt;50"/>
    <n v="14"/>
    <m/>
    <m/>
    <m/>
    <x v="0"/>
    <m/>
    <n v="13"/>
  </r>
  <r>
    <n v="1050"/>
    <n v="1952"/>
    <x v="0"/>
    <x v="2"/>
    <n v="28332"/>
    <n v="0"/>
    <d v="1899-12-30T00:00:00"/>
    <d v="2014-04-30T00:00:00"/>
    <n v="58"/>
    <n v="10"/>
    <n v="15"/>
    <n v="15"/>
    <n v="4"/>
    <n v="74"/>
    <s v="&gt;50"/>
    <n v="19"/>
    <m/>
    <m/>
    <m/>
    <x v="2"/>
    <m/>
    <n v="12"/>
  </r>
  <r>
    <n v="5846"/>
    <n v="1977"/>
    <x v="0"/>
    <x v="3"/>
    <n v="40246"/>
    <n v="1"/>
    <d v="1899-12-30T00:00:00"/>
    <d v="2012-12-19T00:00:00"/>
    <n v="68"/>
    <n v="1"/>
    <n v="1"/>
    <n v="1"/>
    <n v="2"/>
    <n v="49"/>
    <s v="30-50"/>
    <n v="3"/>
    <m/>
    <m/>
    <m/>
    <x v="1"/>
    <m/>
    <n v="14"/>
  </r>
  <r>
    <n v="1859"/>
    <n v="1972"/>
    <x v="2"/>
    <x v="2"/>
    <n v="75251"/>
    <n v="0"/>
    <d v="1899-12-30T00:00:00"/>
    <d v="2012-08-27T00:00:00"/>
    <n v="34"/>
    <n v="111"/>
    <n v="18"/>
    <n v="18"/>
    <n v="5"/>
    <n v="54"/>
    <s v="&gt;50"/>
    <n v="23"/>
    <m/>
    <m/>
    <m/>
    <x v="3"/>
    <m/>
    <n v="14"/>
  </r>
  <r>
    <n v="7503"/>
    <n v="1976"/>
    <x v="0"/>
    <x v="0"/>
    <n v="75825"/>
    <n v="0"/>
    <d v="1899-12-30T00:00:00"/>
    <d v="2012-10-12T00:00:00"/>
    <n v="40"/>
    <n v="105"/>
    <n v="105"/>
    <n v="105"/>
    <n v="9"/>
    <n v="50"/>
    <s v="30-50"/>
    <n v="114"/>
    <m/>
    <m/>
    <m/>
    <x v="3"/>
    <m/>
    <n v="14"/>
  </r>
  <r>
    <n v="10401"/>
    <n v="1976"/>
    <x v="4"/>
    <x v="1"/>
    <n v="26326"/>
    <n v="0"/>
    <d v="1899-12-30T00:00:00"/>
    <d v="2013-09-04T00:00:00"/>
    <n v="12"/>
    <n v="0"/>
    <n v="3"/>
    <n v="3"/>
    <n v="3"/>
    <n v="50"/>
    <s v="30-50"/>
    <n v="6"/>
    <m/>
    <m/>
    <m/>
    <x v="2"/>
    <m/>
    <n v="13"/>
  </r>
  <r>
    <n v="1618"/>
    <n v="1965"/>
    <x v="0"/>
    <x v="1"/>
    <n v="56046"/>
    <n v="0"/>
    <d v="1899-12-30T00:00:00"/>
    <d v="2013-01-02T00:00:00"/>
    <n v="9"/>
    <n v="0"/>
    <n v="0"/>
    <n v="0"/>
    <n v="8"/>
    <n v="61"/>
    <s v="&gt;50"/>
    <n v="8"/>
    <m/>
    <m/>
    <m/>
    <x v="0"/>
    <m/>
    <n v="13"/>
  </r>
  <r>
    <n v="3332"/>
    <n v="1985"/>
    <x v="0"/>
    <x v="0"/>
    <n v="29760"/>
    <n v="1"/>
    <d v="1899-12-30T00:00:00"/>
    <d v="2012-08-29T00:00:00"/>
    <n v="87"/>
    <n v="4"/>
    <n v="5"/>
    <n v="5"/>
    <n v="4"/>
    <n v="41"/>
    <s v="30-50"/>
    <n v="9"/>
    <m/>
    <m/>
    <m/>
    <x v="2"/>
    <m/>
    <n v="14"/>
  </r>
  <r>
    <n v="2261"/>
    <n v="1969"/>
    <x v="0"/>
    <x v="2"/>
    <n v="26304"/>
    <n v="1"/>
    <d v="1899-12-30T00:00:00"/>
    <d v="2013-06-23T00:00:00"/>
    <n v="5"/>
    <n v="1"/>
    <n v="0"/>
    <n v="0"/>
    <n v="2"/>
    <n v="57"/>
    <s v="&gt;50"/>
    <n v="2"/>
    <m/>
    <m/>
    <m/>
    <x v="2"/>
    <m/>
    <n v="13"/>
  </r>
  <r>
    <n v="5346"/>
    <n v="1973"/>
    <x v="4"/>
    <x v="2"/>
    <n v="23559"/>
    <n v="1"/>
    <d v="1899-12-30T00:00:00"/>
    <d v="2013-07-03T00:00:00"/>
    <n v="87"/>
    <n v="5"/>
    <n v="0"/>
    <n v="0"/>
    <n v="3"/>
    <n v="53"/>
    <s v="&gt;50"/>
    <n v="3"/>
    <m/>
    <m/>
    <m/>
    <x v="2"/>
    <m/>
    <n v="13"/>
  </r>
  <r>
    <n v="4119"/>
    <n v="1963"/>
    <x v="2"/>
    <x v="1"/>
    <n v="38620"/>
    <n v="0"/>
    <d v="1899-12-30T00:00:00"/>
    <d v="2013-05-11T00:00:00"/>
    <n v="56"/>
    <n v="17"/>
    <n v="22"/>
    <n v="22"/>
    <n v="3"/>
    <n v="63"/>
    <s v="&gt;50"/>
    <n v="25"/>
    <m/>
    <m/>
    <m/>
    <x v="1"/>
    <m/>
    <n v="13"/>
  </r>
  <r>
    <n v="535"/>
    <n v="1987"/>
    <x v="0"/>
    <x v="3"/>
    <n v="81361"/>
    <n v="0"/>
    <d v="1899-12-30T00:00:00"/>
    <d v="2014-02-25T00:00:00"/>
    <n v="18"/>
    <n v="23"/>
    <n v="65"/>
    <n v="65"/>
    <n v="13"/>
    <n v="39"/>
    <s v="30-50"/>
    <n v="78"/>
    <m/>
    <m/>
    <m/>
    <x v="3"/>
    <m/>
    <n v="12"/>
  </r>
  <r>
    <n v="5268"/>
    <n v="1960"/>
    <x v="0"/>
    <x v="2"/>
    <n v="29440"/>
    <n v="1"/>
    <d v="1899-12-31T00:00:00"/>
    <d v="2013-08-11T00:00:00"/>
    <n v="95"/>
    <n v="8"/>
    <n v="4"/>
    <n v="4"/>
    <n v="4"/>
    <n v="66"/>
    <s v="&gt;50"/>
    <n v="8"/>
    <m/>
    <m/>
    <m/>
    <x v="2"/>
    <m/>
    <n v="13"/>
  </r>
  <r>
    <n v="273"/>
    <n v="1970"/>
    <x v="2"/>
    <x v="2"/>
    <n v="36138"/>
    <n v="1"/>
    <d v="1899-12-31T00:00:00"/>
    <d v="2013-07-16T00:00:00"/>
    <n v="48"/>
    <n v="0"/>
    <n v="0"/>
    <n v="0"/>
    <n v="4"/>
    <n v="56"/>
    <s v="&gt;50"/>
    <n v="4"/>
    <m/>
    <m/>
    <m/>
    <x v="1"/>
    <m/>
    <n v="13"/>
  </r>
  <r>
    <n v="4452"/>
    <n v="1957"/>
    <x v="0"/>
    <x v="0"/>
    <n v="50388"/>
    <n v="0"/>
    <d v="1899-12-31T00:00:00"/>
    <d v="2014-05-28T00:00:00"/>
    <n v="3"/>
    <n v="6"/>
    <n v="3"/>
    <n v="3"/>
    <n v="6"/>
    <n v="69"/>
    <s v="&gt;50"/>
    <n v="9"/>
    <m/>
    <m/>
    <m/>
    <x v="0"/>
    <m/>
    <n v="12"/>
  </r>
  <r>
    <n v="8504"/>
    <n v="1973"/>
    <x v="0"/>
    <x v="2"/>
    <n v="79593"/>
    <n v="0"/>
    <d v="1899-12-30T00:00:00"/>
    <d v="2014-05-12T00:00:00"/>
    <n v="70"/>
    <n v="60"/>
    <n v="133"/>
    <n v="133"/>
    <n v="7"/>
    <n v="53"/>
    <s v="&gt;50"/>
    <n v="140"/>
    <m/>
    <m/>
    <m/>
    <x v="3"/>
    <m/>
    <n v="12"/>
  </r>
  <r>
    <n v="771"/>
    <n v="1967"/>
    <x v="0"/>
    <x v="1"/>
    <n v="54178"/>
    <n v="0"/>
    <d v="1899-12-31T00:00:00"/>
    <d v="2014-01-21T00:00:00"/>
    <n v="79"/>
    <n v="9"/>
    <n v="0"/>
    <n v="0"/>
    <n v="5"/>
    <n v="59"/>
    <s v="&gt;50"/>
    <n v="5"/>
    <m/>
    <m/>
    <m/>
    <x v="0"/>
    <m/>
    <n v="12"/>
  </r>
  <r>
    <n v="8996"/>
    <n v="1957"/>
    <x v="1"/>
    <x v="2"/>
    <m/>
    <n v="2"/>
    <d v="1899-12-31T00:00:00"/>
    <d v="2012-11-19T00:00:00"/>
    <n v="4"/>
    <n v="42"/>
    <n v="37"/>
    <n v="37"/>
    <n v="8"/>
    <n v="69"/>
    <s v="&gt;50"/>
    <n v="45"/>
    <m/>
    <m/>
    <m/>
    <x v="2"/>
    <m/>
    <n v="14"/>
  </r>
  <r>
    <n v="9235"/>
    <n v="1957"/>
    <x v="0"/>
    <x v="0"/>
    <m/>
    <n v="1"/>
    <d v="1899-12-31T00:00:00"/>
    <d v="2014-05-27T00:00:00"/>
    <n v="45"/>
    <n v="0"/>
    <n v="0"/>
    <n v="0"/>
    <n v="2"/>
    <n v="69"/>
    <s v="&gt;50"/>
    <n v="2"/>
    <m/>
    <m/>
    <m/>
    <x v="2"/>
    <m/>
    <n v="12"/>
  </r>
  <r>
    <n v="5798"/>
    <n v="1973"/>
    <x v="2"/>
    <x v="1"/>
    <m/>
    <n v="0"/>
    <d v="1899-12-30T00:00:00"/>
    <d v="2013-11-23T00:00:00"/>
    <n v="87"/>
    <n v="37"/>
    <n v="28"/>
    <n v="28"/>
    <n v="8"/>
    <n v="53"/>
    <s v="&gt;50"/>
    <n v="36"/>
    <m/>
    <m/>
    <m/>
    <x v="2"/>
    <m/>
    <n v="13"/>
  </r>
  <r>
    <n v="11178"/>
    <n v="1972"/>
    <x v="2"/>
    <x v="0"/>
    <n v="42394"/>
    <n v="1"/>
    <d v="1899-12-30T00:00:00"/>
    <d v="2014-03-23T00:00:00"/>
    <n v="69"/>
    <n v="2"/>
    <n v="1"/>
    <n v="1"/>
    <n v="3"/>
    <n v="54"/>
    <s v="&gt;50"/>
    <n v="4"/>
    <m/>
    <m/>
    <m/>
    <x v="1"/>
    <m/>
    <n v="12"/>
  </r>
  <r>
    <n v="2230"/>
    <n v="1970"/>
    <x v="1"/>
    <x v="2"/>
    <n v="23626"/>
    <n v="1"/>
    <d v="1899-12-30T00:00:00"/>
    <d v="2014-05-24T00:00:00"/>
    <n v="84"/>
    <n v="2"/>
    <n v="0"/>
    <n v="0"/>
    <n v="3"/>
    <n v="56"/>
    <s v="&gt;50"/>
    <n v="3"/>
    <m/>
    <m/>
    <m/>
    <x v="2"/>
    <m/>
    <n v="12"/>
  </r>
  <r>
    <n v="7516"/>
    <n v="1983"/>
    <x v="0"/>
    <x v="2"/>
    <n v="30096"/>
    <n v="1"/>
    <d v="1899-12-30T00:00:00"/>
    <d v="2014-05-22T00:00:00"/>
    <n v="30"/>
    <n v="3"/>
    <n v="5"/>
    <n v="5"/>
    <n v="3"/>
    <n v="43"/>
    <s v="30-50"/>
    <n v="8"/>
    <m/>
    <m/>
    <m/>
    <x v="1"/>
    <m/>
    <n v="12"/>
  </r>
  <r>
    <n v="7247"/>
    <n v="1960"/>
    <x v="0"/>
    <x v="4"/>
    <n v="47916"/>
    <n v="0"/>
    <d v="1899-12-31T00:00:00"/>
    <d v="2012-11-22T00:00:00"/>
    <n v="72"/>
    <n v="0"/>
    <n v="0"/>
    <n v="0"/>
    <n v="6"/>
    <n v="66"/>
    <s v="&gt;50"/>
    <n v="6"/>
    <m/>
    <m/>
    <m/>
    <x v="1"/>
    <m/>
    <n v="14"/>
  </r>
  <r>
    <n v="11100"/>
    <n v="1972"/>
    <x v="0"/>
    <x v="3"/>
    <n v="51813"/>
    <n v="1"/>
    <d v="1899-12-31T00:00:00"/>
    <d v="2013-04-11T00:00:00"/>
    <n v="37"/>
    <n v="2"/>
    <n v="1"/>
    <n v="1"/>
    <n v="3"/>
    <n v="54"/>
    <s v="&gt;50"/>
    <n v="4"/>
    <m/>
    <m/>
    <m/>
    <x v="0"/>
    <m/>
    <n v="13"/>
  </r>
  <r>
    <n v="4646"/>
    <n v="1951"/>
    <x v="4"/>
    <x v="2"/>
    <n v="78497"/>
    <n v="0"/>
    <d v="1899-12-30T00:00:00"/>
    <d v="2013-12-01T00:00:00"/>
    <n v="44"/>
    <n v="26"/>
    <n v="0"/>
    <n v="0"/>
    <n v="12"/>
    <n v="75"/>
    <s v="&gt;50"/>
    <n v="12"/>
    <m/>
    <m/>
    <m/>
    <x v="3"/>
    <m/>
    <n v="13"/>
  </r>
  <r>
    <n v="3037"/>
    <n v="1983"/>
    <x v="1"/>
    <x v="2"/>
    <n v="50150"/>
    <n v="0"/>
    <d v="1899-12-30T00:00:00"/>
    <d v="2013-06-20T00:00:00"/>
    <n v="32"/>
    <n v="46"/>
    <n v="61"/>
    <n v="61"/>
    <n v="7"/>
    <n v="43"/>
    <s v="30-50"/>
    <n v="68"/>
    <m/>
    <m/>
    <m/>
    <x v="0"/>
    <m/>
    <n v="13"/>
  </r>
  <r>
    <n v="1473"/>
    <n v="1960"/>
    <x v="4"/>
    <x v="0"/>
    <n v="47823"/>
    <n v="0"/>
    <d v="1899-12-31T00:00:00"/>
    <d v="2013-07-23T00:00:00"/>
    <n v="0"/>
    <n v="1"/>
    <n v="1"/>
    <n v="1"/>
    <n v="3"/>
    <n v="66"/>
    <s v="&gt;50"/>
    <n v="4"/>
    <m/>
    <m/>
    <m/>
    <x v="1"/>
    <m/>
    <n v="13"/>
  </r>
  <r>
    <n v="1016"/>
    <n v="1959"/>
    <x v="1"/>
    <x v="0"/>
    <n v="34554"/>
    <n v="0"/>
    <d v="1899-12-31T00:00:00"/>
    <d v="2014-03-30T00:00:00"/>
    <n v="43"/>
    <n v="1"/>
    <n v="0"/>
    <n v="0"/>
    <n v="3"/>
    <n v="67"/>
    <s v="&gt;50"/>
    <n v="3"/>
    <m/>
    <m/>
    <m/>
    <x v="1"/>
    <m/>
    <n v="12"/>
  </r>
  <r>
    <n v="4518"/>
    <n v="1979"/>
    <x v="0"/>
    <x v="1"/>
    <n v="85693"/>
    <n v="0"/>
    <d v="1899-12-31T00:00:00"/>
    <d v="2013-04-20T00:00:00"/>
    <n v="59"/>
    <n v="172"/>
    <n v="132"/>
    <n v="132"/>
    <n v="11"/>
    <n v="47"/>
    <s v="30-50"/>
    <n v="143"/>
    <m/>
    <m/>
    <m/>
    <x v="3"/>
    <m/>
    <n v="13"/>
  </r>
  <r>
    <n v="9370"/>
    <n v="1945"/>
    <x v="1"/>
    <x v="2"/>
    <n v="65846"/>
    <n v="0"/>
    <d v="1899-12-30T00:00:00"/>
    <d v="2013-05-17T00:00:00"/>
    <n v="68"/>
    <n v="81"/>
    <n v="40"/>
    <n v="40"/>
    <n v="6"/>
    <n v="81"/>
    <s v="&gt;50"/>
    <n v="46"/>
    <m/>
    <m/>
    <m/>
    <x v="0"/>
    <m/>
    <n v="13"/>
  </r>
  <r>
    <n v="8908"/>
    <n v="1959"/>
    <x v="0"/>
    <x v="2"/>
    <n v="87195"/>
    <n v="0"/>
    <d v="1899-12-30T00:00:00"/>
    <d v="2014-05-08T00:00:00"/>
    <n v="35"/>
    <n v="76"/>
    <n v="26"/>
    <n v="26"/>
    <n v="5"/>
    <n v="67"/>
    <s v="&gt;50"/>
    <n v="31"/>
    <m/>
    <m/>
    <m/>
    <x v="3"/>
    <m/>
    <n v="12"/>
  </r>
  <r>
    <n v="8373"/>
    <n v="1979"/>
    <x v="3"/>
    <x v="1"/>
    <n v="24594"/>
    <n v="1"/>
    <d v="1899-12-30T00:00:00"/>
    <d v="2013-12-10T00:00:00"/>
    <n v="94"/>
    <n v="3"/>
    <n v="0"/>
    <n v="0"/>
    <n v="3"/>
    <n v="47"/>
    <s v="30-50"/>
    <n v="3"/>
    <m/>
    <m/>
    <m/>
    <x v="2"/>
    <m/>
    <n v="13"/>
  </r>
  <r>
    <n v="7533"/>
    <n v="1964"/>
    <x v="0"/>
    <x v="2"/>
    <n v="49096"/>
    <n v="1"/>
    <d v="1899-12-31T00:00:00"/>
    <d v="2013-09-24T00:00:00"/>
    <n v="15"/>
    <n v="1"/>
    <n v="1"/>
    <n v="1"/>
    <n v="4"/>
    <n v="62"/>
    <s v="&gt;50"/>
    <n v="5"/>
    <m/>
    <m/>
    <m/>
    <x v="1"/>
    <m/>
    <n v="13"/>
  </r>
  <r>
    <n v="2683"/>
    <n v="1969"/>
    <x v="0"/>
    <x v="2"/>
    <n v="52413"/>
    <n v="0"/>
    <d v="1900-01-01T00:00:00"/>
    <d v="2013-02-02T00:00:00"/>
    <n v="56"/>
    <n v="106"/>
    <n v="98"/>
    <n v="98"/>
    <n v="12"/>
    <n v="57"/>
    <s v="&gt;50"/>
    <n v="110"/>
    <m/>
    <m/>
    <m/>
    <x v="0"/>
    <m/>
    <n v="13"/>
  </r>
  <r>
    <n v="3629"/>
    <n v="1978"/>
    <x v="0"/>
    <x v="0"/>
    <n v="38557"/>
    <n v="1"/>
    <d v="1899-12-30T00:00:00"/>
    <d v="2012-12-19T00:00:00"/>
    <n v="17"/>
    <n v="3"/>
    <n v="4"/>
    <n v="4"/>
    <n v="3"/>
    <n v="48"/>
    <s v="30-50"/>
    <n v="7"/>
    <m/>
    <m/>
    <m/>
    <x v="1"/>
    <m/>
    <n v="14"/>
  </r>
  <r>
    <n v="10991"/>
    <n v="1960"/>
    <x v="2"/>
    <x v="2"/>
    <n v="89058"/>
    <n v="0"/>
    <d v="1899-12-30T00:00:00"/>
    <d v="2012-12-07T00:00:00"/>
    <n v="18"/>
    <n v="194"/>
    <n v="22"/>
    <n v="22"/>
    <n v="4"/>
    <n v="66"/>
    <s v="&gt;50"/>
    <n v="26"/>
    <m/>
    <m/>
    <m/>
    <x v="3"/>
    <m/>
    <n v="14"/>
  </r>
  <r>
    <n v="5077"/>
    <n v="1979"/>
    <x v="0"/>
    <x v="1"/>
    <n v="77298"/>
    <n v="0"/>
    <d v="1899-12-31T00:00:00"/>
    <d v="2013-11-02T00:00:00"/>
    <n v="46"/>
    <n v="115"/>
    <n v="35"/>
    <n v="35"/>
    <n v="11"/>
    <n v="47"/>
    <s v="30-50"/>
    <n v="46"/>
    <m/>
    <m/>
    <m/>
    <x v="3"/>
    <m/>
    <n v="13"/>
  </r>
  <r>
    <n v="7431"/>
    <n v="1991"/>
    <x v="1"/>
    <x v="0"/>
    <n v="68126"/>
    <n v="0"/>
    <d v="1899-12-30T00:00:00"/>
    <d v="2012-11-10T00:00:00"/>
    <n v="40"/>
    <n v="17"/>
    <n v="51"/>
    <n v="51"/>
    <n v="5"/>
    <n v="35"/>
    <s v="30-50"/>
    <n v="56"/>
    <m/>
    <m/>
    <m/>
    <x v="0"/>
    <m/>
    <n v="14"/>
  </r>
  <r>
    <n v="3267"/>
    <n v="1963"/>
    <x v="2"/>
    <x v="1"/>
    <n v="57288"/>
    <n v="0"/>
    <d v="1899-12-31T00:00:00"/>
    <d v="2014-06-25T00:00:00"/>
    <n v="27"/>
    <n v="0"/>
    <n v="0"/>
    <n v="0"/>
    <n v="8"/>
    <n v="63"/>
    <s v="&gt;50"/>
    <n v="8"/>
    <m/>
    <m/>
    <m/>
    <x v="0"/>
    <m/>
    <n v="12"/>
  </r>
  <r>
    <n v="999"/>
    <n v="1991"/>
    <x v="0"/>
    <x v="0"/>
    <n v="86037"/>
    <n v="0"/>
    <d v="1899-12-30T00:00:00"/>
    <d v="2013-01-02T00:00:00"/>
    <n v="95"/>
    <n v="44"/>
    <n v="20"/>
    <n v="20"/>
    <n v="11"/>
    <n v="35"/>
    <s v="30-50"/>
    <n v="31"/>
    <m/>
    <m/>
    <m/>
    <x v="3"/>
    <m/>
    <n v="13"/>
  </r>
  <r>
    <n v="9215"/>
    <n v="1980"/>
    <x v="1"/>
    <x v="2"/>
    <n v="43974"/>
    <n v="1"/>
    <d v="1899-12-30T00:00:00"/>
    <d v="2012-12-12T00:00:00"/>
    <n v="19"/>
    <n v="0"/>
    <n v="0"/>
    <n v="0"/>
    <n v="6"/>
    <n v="46"/>
    <s v="30-50"/>
    <n v="6"/>
    <m/>
    <m/>
    <m/>
    <x v="1"/>
    <m/>
    <n v="14"/>
  </r>
  <r>
    <n v="2286"/>
    <n v="1962"/>
    <x v="0"/>
    <x v="0"/>
    <n v="50785"/>
    <n v="1"/>
    <d v="1899-12-31T00:00:00"/>
    <d v="2013-09-10T00:00:00"/>
    <n v="27"/>
    <n v="1"/>
    <n v="1"/>
    <n v="1"/>
    <n v="3"/>
    <n v="64"/>
    <s v="&gt;50"/>
    <n v="4"/>
    <m/>
    <m/>
    <m/>
    <x v="0"/>
    <m/>
    <n v="13"/>
  </r>
  <r>
    <n v="1592"/>
    <n v="1970"/>
    <x v="0"/>
    <x v="2"/>
    <n v="90765"/>
    <n v="0"/>
    <d v="1899-12-30T00:00:00"/>
    <d v="2014-01-24T00:00:00"/>
    <n v="25"/>
    <n v="99"/>
    <n v="82"/>
    <n v="82"/>
    <n v="5"/>
    <n v="56"/>
    <s v="&gt;50"/>
    <n v="87"/>
    <m/>
    <m/>
    <m/>
    <x v="3"/>
    <m/>
    <n v="12"/>
  </r>
  <r>
    <n v="367"/>
    <n v="1978"/>
    <x v="4"/>
    <x v="2"/>
    <n v="36550"/>
    <n v="1"/>
    <d v="1899-12-30T00:00:00"/>
    <d v="2013-02-19T00:00:00"/>
    <n v="74"/>
    <n v="90"/>
    <n v="103"/>
    <n v="103"/>
    <n v="5"/>
    <n v="48"/>
    <s v="30-50"/>
    <n v="108"/>
    <m/>
    <m/>
    <m/>
    <x v="1"/>
    <m/>
    <n v="13"/>
  </r>
  <r>
    <n v="5234"/>
    <n v="1967"/>
    <x v="4"/>
    <x v="1"/>
    <n v="30753"/>
    <n v="1"/>
    <d v="1899-12-31T00:00:00"/>
    <d v="2013-07-11T00:00:00"/>
    <n v="85"/>
    <n v="5"/>
    <n v="9"/>
    <n v="9"/>
    <n v="3"/>
    <n v="59"/>
    <s v="&gt;50"/>
    <n v="12"/>
    <m/>
    <m/>
    <m/>
    <x v="1"/>
    <m/>
    <n v="13"/>
  </r>
  <r>
    <n v="9862"/>
    <n v="1969"/>
    <x v="0"/>
    <x v="1"/>
    <n v="21918"/>
    <n v="1"/>
    <d v="1899-12-30T00:00:00"/>
    <d v="2013-11-14T00:00:00"/>
    <n v="37"/>
    <n v="6"/>
    <n v="5"/>
    <n v="5"/>
    <n v="3"/>
    <n v="57"/>
    <s v="&gt;50"/>
    <n v="8"/>
    <m/>
    <m/>
    <m/>
    <x v="2"/>
    <m/>
    <n v="13"/>
  </r>
  <r>
    <n v="9805"/>
    <n v="1953"/>
    <x v="2"/>
    <x v="1"/>
    <n v="56129"/>
    <n v="0"/>
    <d v="1899-12-31T00:00:00"/>
    <d v="2013-06-20T00:00:00"/>
    <n v="65"/>
    <n v="48"/>
    <n v="72"/>
    <n v="72"/>
    <n v="10"/>
    <n v="73"/>
    <s v="&gt;50"/>
    <n v="82"/>
    <m/>
    <m/>
    <m/>
    <x v="0"/>
    <m/>
    <n v="13"/>
  </r>
  <r>
    <n v="6205"/>
    <n v="1967"/>
    <x v="2"/>
    <x v="0"/>
    <n v="32557"/>
    <n v="1"/>
    <d v="1899-12-30T00:00:00"/>
    <d v="2014-02-24T00:00:00"/>
    <n v="13"/>
    <n v="3"/>
    <n v="4"/>
    <n v="4"/>
    <n v="3"/>
    <n v="59"/>
    <s v="&gt;50"/>
    <n v="7"/>
    <m/>
    <m/>
    <m/>
    <x v="1"/>
    <m/>
    <n v="12"/>
  </r>
  <r>
    <n v="8442"/>
    <n v="1985"/>
    <x v="2"/>
    <x v="2"/>
    <n v="19510"/>
    <n v="2"/>
    <d v="1899-12-30T00:00:00"/>
    <d v="2013-09-04T00:00:00"/>
    <n v="63"/>
    <n v="0"/>
    <n v="4"/>
    <n v="4"/>
    <n v="3"/>
    <n v="41"/>
    <s v="30-50"/>
    <n v="7"/>
    <m/>
    <m/>
    <m/>
    <x v="2"/>
    <m/>
    <n v="13"/>
  </r>
  <r>
    <n v="7386"/>
    <n v="1976"/>
    <x v="0"/>
    <x v="3"/>
    <n v="30992"/>
    <n v="1"/>
    <d v="1899-12-30T00:00:00"/>
    <d v="2013-04-22T00:00:00"/>
    <n v="83"/>
    <n v="0"/>
    <n v="3"/>
    <n v="3"/>
    <n v="3"/>
    <n v="50"/>
    <s v="30-50"/>
    <n v="6"/>
    <m/>
    <m/>
    <m/>
    <x v="1"/>
    <m/>
    <n v="13"/>
  </r>
  <r>
    <n v="7215"/>
    <n v="1983"/>
    <x v="0"/>
    <x v="0"/>
    <n v="101970"/>
    <n v="0"/>
    <d v="1899-12-30T00:00:00"/>
    <d v="2013-03-12T00:00:00"/>
    <n v="69"/>
    <n v="27"/>
    <n v="72"/>
    <n v="72"/>
    <n v="13"/>
    <n v="43"/>
    <s v="30-50"/>
    <n v="85"/>
    <m/>
    <m/>
    <m/>
    <x v="4"/>
    <m/>
    <n v="13"/>
  </r>
  <r>
    <n v="1491"/>
    <n v="1965"/>
    <x v="4"/>
    <x v="1"/>
    <n v="71488"/>
    <n v="0"/>
    <d v="1899-12-30T00:00:00"/>
    <d v="2013-02-18T00:00:00"/>
    <n v="87"/>
    <n v="33"/>
    <n v="28"/>
    <n v="28"/>
    <n v="7"/>
    <n v="61"/>
    <s v="&gt;50"/>
    <n v="35"/>
    <m/>
    <m/>
    <m/>
    <x v="0"/>
    <m/>
    <n v="13"/>
  </r>
  <r>
    <n v="11071"/>
    <n v="1984"/>
    <x v="0"/>
    <x v="0"/>
    <n v="79607"/>
    <n v="0"/>
    <d v="1899-12-30T00:00:00"/>
    <d v="2013-04-21T00:00:00"/>
    <n v="37"/>
    <n v="133"/>
    <n v="0"/>
    <n v="0"/>
    <n v="6"/>
    <n v="42"/>
    <s v="30-50"/>
    <n v="6"/>
    <m/>
    <m/>
    <m/>
    <x v="3"/>
    <m/>
    <n v="13"/>
  </r>
  <r>
    <n v="3381"/>
    <n v="1953"/>
    <x v="2"/>
    <x v="2"/>
    <n v="54348"/>
    <n v="1"/>
    <d v="1899-12-31T00:00:00"/>
    <d v="2014-06-08T00:00:00"/>
    <n v="51"/>
    <n v="0"/>
    <n v="0"/>
    <n v="0"/>
    <n v="4"/>
    <n v="73"/>
    <s v="&gt;50"/>
    <n v="4"/>
    <m/>
    <m/>
    <m/>
    <x v="0"/>
    <m/>
    <n v="12"/>
  </r>
  <r>
    <n v="8268"/>
    <n v="1961"/>
    <x v="1"/>
    <x v="2"/>
    <m/>
    <n v="0"/>
    <d v="1899-12-31T00:00:00"/>
    <d v="2013-07-11T00:00:00"/>
    <n v="23"/>
    <n v="0"/>
    <n v="0"/>
    <n v="0"/>
    <n v="7"/>
    <n v="65"/>
    <s v="&gt;50"/>
    <n v="7"/>
    <m/>
    <m/>
    <m/>
    <x v="2"/>
    <m/>
    <n v="13"/>
  </r>
  <r>
    <n v="11051"/>
    <n v="1956"/>
    <x v="1"/>
    <x v="1"/>
    <n v="77376"/>
    <n v="1"/>
    <d v="1899-12-31T00:00:00"/>
    <d v="2014-05-10T00:00:00"/>
    <n v="72"/>
    <n v="19"/>
    <n v="12"/>
    <n v="12"/>
    <n v="10"/>
    <n v="70"/>
    <s v="&gt;50"/>
    <n v="22"/>
    <m/>
    <m/>
    <m/>
    <x v="3"/>
    <m/>
    <n v="12"/>
  </r>
  <r>
    <n v="8026"/>
    <n v="1952"/>
    <x v="0"/>
    <x v="2"/>
    <n v="62998"/>
    <n v="0"/>
    <d v="1899-12-31T00:00:00"/>
    <d v="2013-09-30T00:00:00"/>
    <n v="10"/>
    <n v="58"/>
    <n v="89"/>
    <n v="89"/>
    <n v="5"/>
    <n v="74"/>
    <s v="&gt;50"/>
    <n v="94"/>
    <m/>
    <m/>
    <m/>
    <x v="0"/>
    <m/>
    <n v="13"/>
  </r>
  <r>
    <n v="433"/>
    <n v="1958"/>
    <x v="2"/>
    <x v="5"/>
    <n v="61331"/>
    <n v="1"/>
    <d v="1899-12-31T00:00:00"/>
    <d v="2013-03-10T00:00:00"/>
    <n v="42"/>
    <n v="5"/>
    <n v="5"/>
    <n v="5"/>
    <n v="6"/>
    <n v="68"/>
    <s v="&gt;50"/>
    <n v="11"/>
    <m/>
    <m/>
    <m/>
    <x v="0"/>
    <m/>
    <n v="13"/>
  </r>
  <r>
    <n v="9597"/>
    <n v="1969"/>
    <x v="0"/>
    <x v="2"/>
    <n v="73448"/>
    <n v="0"/>
    <d v="1899-12-30T00:00:00"/>
    <d v="2014-02-10T00:00:00"/>
    <n v="10"/>
    <n v="106"/>
    <n v="41"/>
    <n v="41"/>
    <n v="9"/>
    <n v="57"/>
    <s v="&gt;50"/>
    <n v="50"/>
    <m/>
    <m/>
    <m/>
    <x v="0"/>
    <m/>
    <n v="12"/>
  </r>
  <r>
    <n v="1295"/>
    <n v="1963"/>
    <x v="0"/>
    <x v="2"/>
    <m/>
    <n v="0"/>
    <d v="1899-12-31T00:00:00"/>
    <d v="2013-08-11T00:00:00"/>
    <n v="96"/>
    <n v="65"/>
    <n v="71"/>
    <n v="71"/>
    <n v="7"/>
    <n v="63"/>
    <s v="&gt;50"/>
    <n v="78"/>
    <m/>
    <m/>
    <m/>
    <x v="2"/>
    <m/>
    <n v="13"/>
  </r>
  <r>
    <n v="5290"/>
    <n v="1964"/>
    <x v="1"/>
    <x v="2"/>
    <n v="41551"/>
    <n v="1"/>
    <d v="1899-12-31T00:00:00"/>
    <d v="2013-08-14T00:00:00"/>
    <n v="51"/>
    <n v="0"/>
    <n v="0"/>
    <n v="0"/>
    <n v="5"/>
    <n v="62"/>
    <s v="&gt;50"/>
    <n v="5"/>
    <m/>
    <m/>
    <m/>
    <x v="1"/>
    <m/>
    <n v="13"/>
  </r>
  <r>
    <n v="1685"/>
    <n v="1967"/>
    <x v="1"/>
    <x v="1"/>
    <n v="62981"/>
    <n v="0"/>
    <d v="1899-12-30T00:00:00"/>
    <d v="2013-03-17T00:00:00"/>
    <n v="21"/>
    <n v="14"/>
    <n v="44"/>
    <n v="44"/>
    <n v="13"/>
    <n v="59"/>
    <s v="&gt;50"/>
    <n v="57"/>
    <m/>
    <m/>
    <m/>
    <x v="0"/>
    <m/>
    <n v="13"/>
  </r>
  <r>
    <n v="5342"/>
    <n v="1976"/>
    <x v="3"/>
    <x v="3"/>
    <n v="9548"/>
    <n v="1"/>
    <d v="1899-12-30T00:00:00"/>
    <d v="2012-08-08T00:00:00"/>
    <n v="31"/>
    <n v="1"/>
    <n v="6"/>
    <n v="6"/>
    <n v="3"/>
    <n v="50"/>
    <s v="30-50"/>
    <n v="9"/>
    <m/>
    <m/>
    <m/>
    <x v="2"/>
    <m/>
    <n v="14"/>
  </r>
  <r>
    <n v="9579"/>
    <n v="1959"/>
    <x v="1"/>
    <x v="2"/>
    <n v="33762"/>
    <n v="2"/>
    <d v="1899-12-31T00:00:00"/>
    <d v="2013-07-07T00:00:00"/>
    <n v="61"/>
    <n v="1"/>
    <n v="0"/>
    <n v="0"/>
    <n v="2"/>
    <n v="67"/>
    <s v="&gt;50"/>
    <n v="2"/>
    <m/>
    <m/>
    <m/>
    <x v="1"/>
    <m/>
    <n v="13"/>
  </r>
  <r>
    <n v="7660"/>
    <n v="1973"/>
    <x v="1"/>
    <x v="5"/>
    <n v="35860"/>
    <n v="1"/>
    <d v="1899-12-31T00:00:00"/>
    <d v="2014-05-19T00:00:00"/>
    <n v="37"/>
    <n v="0"/>
    <n v="2"/>
    <n v="2"/>
    <n v="2"/>
    <n v="53"/>
    <s v="&gt;50"/>
    <n v="4"/>
    <m/>
    <m/>
    <m/>
    <x v="1"/>
    <m/>
    <n v="12"/>
  </r>
  <r>
    <n v="1461"/>
    <n v="1965"/>
    <x v="1"/>
    <x v="3"/>
    <n v="36921"/>
    <n v="1"/>
    <d v="1899-12-31T00:00:00"/>
    <d v="2013-07-28T00:00:00"/>
    <n v="74"/>
    <n v="1"/>
    <n v="1"/>
    <n v="1"/>
    <n v="3"/>
    <n v="61"/>
    <s v="&gt;50"/>
    <n v="4"/>
    <m/>
    <m/>
    <m/>
    <x v="1"/>
    <m/>
    <n v="13"/>
  </r>
  <r>
    <n v="821"/>
    <n v="1992"/>
    <x v="2"/>
    <x v="0"/>
    <n v="92859"/>
    <n v="0"/>
    <d v="1899-12-30T00:00:00"/>
    <d v="2012-10-19T00:00:00"/>
    <n v="46"/>
    <n v="61"/>
    <n v="61"/>
    <n v="61"/>
    <n v="12"/>
    <n v="34"/>
    <s v="30-50"/>
    <n v="73"/>
    <m/>
    <m/>
    <m/>
    <x v="3"/>
    <m/>
    <n v="14"/>
  </r>
  <r>
    <n v="11084"/>
    <n v="1976"/>
    <x v="2"/>
    <x v="1"/>
    <n v="65104"/>
    <n v="0"/>
    <d v="1899-12-31T00:00:00"/>
    <d v="2013-11-14T00:00:00"/>
    <n v="4"/>
    <n v="0"/>
    <n v="20"/>
    <n v="20"/>
    <n v="7"/>
    <n v="50"/>
    <s v="30-50"/>
    <n v="27"/>
    <m/>
    <m/>
    <m/>
    <x v="0"/>
    <m/>
    <n v="13"/>
  </r>
  <r>
    <n v="8690"/>
    <n v="1962"/>
    <x v="0"/>
    <x v="2"/>
    <n v="86111"/>
    <n v="0"/>
    <d v="1899-12-30T00:00:00"/>
    <d v="2013-04-19T00:00:00"/>
    <n v="73"/>
    <n v="28"/>
    <n v="40"/>
    <n v="40"/>
    <n v="10"/>
    <n v="64"/>
    <s v="&gt;50"/>
    <n v="50"/>
    <m/>
    <m/>
    <m/>
    <x v="3"/>
    <m/>
    <n v="13"/>
  </r>
  <r>
    <n v="2937"/>
    <n v="1974"/>
    <x v="1"/>
    <x v="0"/>
    <n v="68352"/>
    <n v="0"/>
    <d v="1899-12-31T00:00:00"/>
    <d v="2013-08-28T00:00:00"/>
    <n v="47"/>
    <n v="16"/>
    <n v="33"/>
    <n v="33"/>
    <n v="9"/>
    <n v="52"/>
    <s v="&gt;50"/>
    <n v="42"/>
    <m/>
    <m/>
    <m/>
    <x v="0"/>
    <m/>
    <n v="13"/>
  </r>
  <r>
    <n v="9701"/>
    <n v="1988"/>
    <x v="0"/>
    <x v="1"/>
    <n v="41883"/>
    <n v="1"/>
    <d v="1899-12-30T00:00:00"/>
    <d v="2013-03-19T00:00:00"/>
    <n v="13"/>
    <n v="34"/>
    <n v="16"/>
    <n v="16"/>
    <n v="3"/>
    <n v="38"/>
    <s v="30-50"/>
    <n v="19"/>
    <m/>
    <m/>
    <m/>
    <x v="1"/>
    <m/>
    <n v="13"/>
  </r>
  <r>
    <n v="9949"/>
    <n v="1976"/>
    <x v="0"/>
    <x v="2"/>
    <n v="59809"/>
    <n v="0"/>
    <d v="1900-01-01T00:00:00"/>
    <d v="2012-10-18T00:00:00"/>
    <n v="36"/>
    <n v="16"/>
    <n v="41"/>
    <n v="41"/>
    <n v="6"/>
    <n v="50"/>
    <s v="30-50"/>
    <n v="47"/>
    <m/>
    <m/>
    <m/>
    <x v="0"/>
    <m/>
    <n v="14"/>
  </r>
  <r>
    <n v="10837"/>
    <n v="1975"/>
    <x v="0"/>
    <x v="2"/>
    <n v="23957"/>
    <n v="1"/>
    <d v="1899-12-30T00:00:00"/>
    <d v="2012-10-28T00:00:00"/>
    <n v="47"/>
    <n v="1"/>
    <n v="11"/>
    <n v="11"/>
    <n v="3"/>
    <n v="51"/>
    <s v="&gt;50"/>
    <n v="14"/>
    <m/>
    <m/>
    <m/>
    <x v="2"/>
    <m/>
    <n v="14"/>
  </r>
  <r>
    <n v="3120"/>
    <n v="1981"/>
    <x v="0"/>
    <x v="1"/>
    <n v="38547"/>
    <n v="1"/>
    <d v="1899-12-30T00:00:00"/>
    <d v="2013-08-28T00:00:00"/>
    <n v="49"/>
    <n v="1"/>
    <n v="1"/>
    <n v="1"/>
    <n v="2"/>
    <n v="45"/>
    <s v="30-50"/>
    <n v="3"/>
    <m/>
    <m/>
    <m/>
    <x v="1"/>
    <m/>
    <n v="13"/>
  </r>
  <r>
    <n v="5885"/>
    <n v="1973"/>
    <x v="4"/>
    <x v="2"/>
    <n v="35688"/>
    <n v="2"/>
    <d v="1899-12-31T00:00:00"/>
    <d v="2012-08-22T00:00:00"/>
    <n v="94"/>
    <n v="3"/>
    <n v="1"/>
    <n v="1"/>
    <n v="4"/>
    <n v="53"/>
    <s v="&gt;50"/>
    <n v="5"/>
    <m/>
    <m/>
    <m/>
    <x v="1"/>
    <m/>
    <n v="14"/>
  </r>
  <r>
    <n v="4050"/>
    <n v="1966"/>
    <x v="2"/>
    <x v="2"/>
    <n v="49605"/>
    <n v="0"/>
    <d v="1899-12-30T00:00:00"/>
    <d v="2014-06-21T00:00:00"/>
    <n v="65"/>
    <n v="16"/>
    <n v="20"/>
    <n v="20"/>
    <n v="4"/>
    <n v="60"/>
    <s v="&gt;50"/>
    <n v="24"/>
    <m/>
    <m/>
    <m/>
    <x v="1"/>
    <m/>
    <n v="12"/>
  </r>
  <r>
    <n v="3830"/>
    <n v="1953"/>
    <x v="2"/>
    <x v="2"/>
    <n v="59354"/>
    <n v="0"/>
    <d v="1900-01-01T00:00:00"/>
    <d v="2014-04-24T00:00:00"/>
    <n v="59"/>
    <n v="21"/>
    <n v="13"/>
    <n v="13"/>
    <n v="7"/>
    <n v="73"/>
    <s v="&gt;50"/>
    <n v="20"/>
    <m/>
    <m/>
    <m/>
    <x v="0"/>
    <m/>
    <n v="12"/>
  </r>
  <r>
    <n v="7987"/>
    <n v="1969"/>
    <x v="0"/>
    <x v="2"/>
    <n v="65747"/>
    <n v="0"/>
    <d v="1899-12-31T00:00:00"/>
    <d v="2014-03-07T00:00:00"/>
    <n v="96"/>
    <n v="17"/>
    <n v="13"/>
    <n v="13"/>
    <n v="6"/>
    <n v="57"/>
    <s v="&gt;50"/>
    <n v="19"/>
    <m/>
    <m/>
    <m/>
    <x v="0"/>
    <m/>
    <n v="12"/>
  </r>
  <r>
    <n v="7798"/>
    <n v="1972"/>
    <x v="4"/>
    <x v="1"/>
    <n v="46344"/>
    <n v="0"/>
    <d v="1899-12-31T00:00:00"/>
    <d v="2012-12-14T00:00:00"/>
    <n v="28"/>
    <n v="20"/>
    <n v="20"/>
    <n v="20"/>
    <n v="5"/>
    <n v="54"/>
    <s v="&gt;50"/>
    <n v="25"/>
    <m/>
    <m/>
    <m/>
    <x v="1"/>
    <m/>
    <n v="14"/>
  </r>
  <r>
    <n v="92"/>
    <n v="1988"/>
    <x v="0"/>
    <x v="5"/>
    <n v="34176"/>
    <n v="1"/>
    <d v="1899-12-30T00:00:00"/>
    <d v="2014-05-12T00:00:00"/>
    <n v="12"/>
    <n v="7"/>
    <n v="14"/>
    <n v="14"/>
    <n v="4"/>
    <n v="38"/>
    <s v="30-50"/>
    <n v="18"/>
    <m/>
    <m/>
    <m/>
    <x v="1"/>
    <m/>
    <n v="12"/>
  </r>
  <r>
    <n v="7055"/>
    <n v="1952"/>
    <x v="1"/>
    <x v="1"/>
    <n v="61010"/>
    <n v="0"/>
    <d v="1899-12-31T00:00:00"/>
    <d v="2012-10-09T00:00:00"/>
    <n v="57"/>
    <n v="0"/>
    <n v="0"/>
    <n v="0"/>
    <n v="11"/>
    <n v="74"/>
    <s v="&gt;50"/>
    <n v="11"/>
    <m/>
    <m/>
    <m/>
    <x v="0"/>
    <m/>
    <n v="14"/>
  </r>
  <r>
    <n v="10240"/>
    <n v="1949"/>
    <x v="0"/>
    <x v="1"/>
    <n v="69372"/>
    <n v="0"/>
    <d v="1899-12-30T00:00:00"/>
    <d v="2013-02-19T00:00:00"/>
    <n v="10"/>
    <n v="26"/>
    <n v="13"/>
    <n v="13"/>
    <n v="6"/>
    <n v="77"/>
    <s v="&gt;50"/>
    <n v="19"/>
    <m/>
    <m/>
    <m/>
    <x v="0"/>
    <m/>
    <n v="13"/>
  </r>
  <r>
    <n v="3025"/>
    <n v="1958"/>
    <x v="0"/>
    <x v="0"/>
    <n v="49967"/>
    <n v="0"/>
    <d v="1899-12-31T00:00:00"/>
    <d v="2013-07-08T00:00:00"/>
    <n v="4"/>
    <n v="6"/>
    <n v="12"/>
    <n v="12"/>
    <n v="5"/>
    <n v="68"/>
    <s v="&gt;50"/>
    <n v="17"/>
    <m/>
    <m/>
    <m/>
    <x v="1"/>
    <m/>
    <n v="13"/>
  </r>
  <r>
    <n v="9283"/>
    <n v="1978"/>
    <x v="0"/>
    <x v="0"/>
    <n v="60199"/>
    <n v="1"/>
    <d v="1900-01-01T00:00:00"/>
    <d v="2013-09-12T00:00:00"/>
    <n v="49"/>
    <n v="1"/>
    <n v="0"/>
    <n v="0"/>
    <n v="3"/>
    <n v="48"/>
    <s v="30-50"/>
    <n v="3"/>
    <m/>
    <m/>
    <m/>
    <x v="0"/>
    <m/>
    <n v="13"/>
  </r>
  <r>
    <n v="9970"/>
    <n v="1977"/>
    <x v="0"/>
    <x v="1"/>
    <n v="55375"/>
    <n v="0"/>
    <d v="1899-12-31T00:00:00"/>
    <d v="2013-10-17T00:00:00"/>
    <n v="3"/>
    <n v="11"/>
    <n v="28"/>
    <n v="28"/>
    <n v="6"/>
    <n v="49"/>
    <s v="30-50"/>
    <n v="34"/>
    <m/>
    <m/>
    <m/>
    <x v="0"/>
    <m/>
    <n v="13"/>
  </r>
  <r>
    <n v="2730"/>
    <n v="1955"/>
    <x v="0"/>
    <x v="0"/>
    <n v="80317"/>
    <n v="0"/>
    <d v="1899-12-30T00:00:00"/>
    <d v="2013-08-20T00:00:00"/>
    <n v="64"/>
    <n v="11"/>
    <n v="91"/>
    <n v="91"/>
    <n v="10"/>
    <n v="71"/>
    <s v="&gt;50"/>
    <n v="101"/>
    <m/>
    <m/>
    <m/>
    <x v="3"/>
    <m/>
    <n v="13"/>
  </r>
  <r>
    <n v="2795"/>
    <n v="1958"/>
    <x v="2"/>
    <x v="0"/>
    <n v="30523"/>
    <n v="2"/>
    <d v="1899-12-31T00:00:00"/>
    <d v="2013-07-01T00:00:00"/>
    <n v="0"/>
    <n v="0"/>
    <n v="0"/>
    <n v="0"/>
    <n v="2"/>
    <n v="68"/>
    <s v="&gt;50"/>
    <n v="2"/>
    <m/>
    <m/>
    <m/>
    <x v="1"/>
    <m/>
    <n v="13"/>
  </r>
  <r>
    <n v="9260"/>
    <n v="1945"/>
    <x v="1"/>
    <x v="2"/>
    <n v="70356"/>
    <n v="0"/>
    <d v="1899-12-30T00:00:00"/>
    <d v="2012-11-05T00:00:00"/>
    <n v="20"/>
    <n v="16"/>
    <n v="16"/>
    <n v="16"/>
    <n v="9"/>
    <n v="81"/>
    <s v="&gt;50"/>
    <n v="25"/>
    <m/>
    <m/>
    <m/>
    <x v="0"/>
    <m/>
    <n v="14"/>
  </r>
  <r>
    <n v="8182"/>
    <n v="1984"/>
    <x v="0"/>
    <x v="2"/>
    <n v="23228"/>
    <n v="1"/>
    <d v="1899-12-30T00:00:00"/>
    <d v="2014-01-05T00:00:00"/>
    <n v="91"/>
    <n v="3"/>
    <n v="4"/>
    <n v="4"/>
    <n v="4"/>
    <n v="42"/>
    <s v="30-50"/>
    <n v="8"/>
    <m/>
    <m/>
    <m/>
    <x v="2"/>
    <m/>
    <n v="12"/>
  </r>
  <r>
    <n v="10095"/>
    <n v="1975"/>
    <x v="1"/>
    <x v="3"/>
    <n v="74165"/>
    <n v="0"/>
    <d v="1899-12-30T00:00:00"/>
    <d v="2013-05-01T00:00:00"/>
    <n v="9"/>
    <n v="12"/>
    <n v="12"/>
    <n v="12"/>
    <n v="10"/>
    <n v="51"/>
    <s v="&gt;50"/>
    <n v="22"/>
    <m/>
    <m/>
    <m/>
    <x v="0"/>
    <m/>
    <n v="13"/>
  </r>
  <r>
    <n v="8475"/>
    <n v="1973"/>
    <x v="1"/>
    <x v="2"/>
    <n v="157243"/>
    <n v="0"/>
    <d v="1899-12-31T00:00:00"/>
    <d v="2014-03-01T00:00:00"/>
    <n v="98"/>
    <n v="2"/>
    <n v="2"/>
    <n v="2"/>
    <n v="0"/>
    <n v="53"/>
    <s v="&gt;50"/>
    <n v="2"/>
    <m/>
    <m/>
    <m/>
    <x v="4"/>
    <m/>
    <n v="12"/>
  </r>
  <r>
    <n v="4370"/>
    <n v="1966"/>
    <x v="0"/>
    <x v="1"/>
    <n v="43482"/>
    <n v="2"/>
    <d v="1899-12-31T00:00:00"/>
    <d v="2013-11-13T00:00:00"/>
    <n v="83"/>
    <n v="1"/>
    <n v="3"/>
    <n v="3"/>
    <n v="4"/>
    <n v="60"/>
    <s v="&gt;50"/>
    <n v="7"/>
    <m/>
    <m/>
    <m/>
    <x v="1"/>
    <m/>
    <n v="13"/>
  </r>
  <r>
    <n v="10573"/>
    <n v="1953"/>
    <x v="0"/>
    <x v="3"/>
    <n v="62551"/>
    <n v="0"/>
    <d v="1899-12-30T00:00:00"/>
    <d v="2013-11-18T00:00:00"/>
    <n v="27"/>
    <n v="16"/>
    <n v="21"/>
    <n v="21"/>
    <n v="4"/>
    <n v="73"/>
    <s v="&gt;50"/>
    <n v="25"/>
    <m/>
    <m/>
    <m/>
    <x v="0"/>
    <m/>
    <n v="13"/>
  </r>
  <r>
    <n v="3712"/>
    <n v="1959"/>
    <x v="0"/>
    <x v="3"/>
    <n v="52332"/>
    <n v="0"/>
    <d v="1899-12-30T00:00:00"/>
    <d v="2013-08-28T00:00:00"/>
    <n v="63"/>
    <n v="5"/>
    <n v="0"/>
    <n v="0"/>
    <n v="6"/>
    <n v="67"/>
    <s v="&gt;50"/>
    <n v="6"/>
    <m/>
    <m/>
    <m/>
    <x v="0"/>
    <m/>
    <n v="13"/>
  </r>
  <r>
    <n v="6637"/>
    <n v="1988"/>
    <x v="0"/>
    <x v="0"/>
    <n v="66951"/>
    <n v="0"/>
    <d v="1899-12-30T00:00:00"/>
    <d v="2013-11-02T00:00:00"/>
    <n v="46"/>
    <n v="162"/>
    <n v="76"/>
    <n v="76"/>
    <n v="7"/>
    <n v="38"/>
    <s v="30-50"/>
    <n v="83"/>
    <m/>
    <m/>
    <m/>
    <x v="0"/>
    <m/>
    <n v="13"/>
  </r>
  <r>
    <n v="3152"/>
    <n v="1957"/>
    <x v="0"/>
    <x v="1"/>
    <n v="26091"/>
    <n v="1"/>
    <d v="1899-12-31T00:00:00"/>
    <d v="2014-02-25T00:00:00"/>
    <n v="84"/>
    <n v="10"/>
    <n v="17"/>
    <n v="17"/>
    <n v="3"/>
    <n v="69"/>
    <s v="&gt;50"/>
    <n v="20"/>
    <m/>
    <m/>
    <m/>
    <x v="2"/>
    <m/>
    <n v="12"/>
  </r>
  <r>
    <n v="5610"/>
    <n v="1965"/>
    <x v="0"/>
    <x v="1"/>
    <n v="33456"/>
    <n v="1"/>
    <d v="1899-12-31T00:00:00"/>
    <d v="2014-04-21T00:00:00"/>
    <n v="58"/>
    <n v="3"/>
    <n v="1"/>
    <n v="1"/>
    <n v="3"/>
    <n v="61"/>
    <s v="&gt;50"/>
    <n v="4"/>
    <m/>
    <m/>
    <m/>
    <x v="1"/>
    <m/>
    <n v="12"/>
  </r>
  <r>
    <n v="6460"/>
    <n v="1982"/>
    <x v="0"/>
    <x v="2"/>
    <n v="28718"/>
    <n v="1"/>
    <d v="1899-12-30T00:00:00"/>
    <d v="2013-07-13T00:00:00"/>
    <n v="78"/>
    <n v="4"/>
    <n v="8"/>
    <n v="8"/>
    <n v="3"/>
    <n v="44"/>
    <s v="30-50"/>
    <n v="11"/>
    <m/>
    <m/>
    <m/>
    <x v="2"/>
    <m/>
    <n v="13"/>
  </r>
  <r>
    <n v="1349"/>
    <n v="1970"/>
    <x v="0"/>
    <x v="2"/>
    <n v="50447"/>
    <n v="2"/>
    <d v="1899-12-30T00:00:00"/>
    <d v="2014-04-21T00:00:00"/>
    <n v="4"/>
    <n v="7"/>
    <n v="3"/>
    <n v="3"/>
    <n v="3"/>
    <n v="56"/>
    <s v="&gt;50"/>
    <n v="6"/>
    <m/>
    <m/>
    <m/>
    <x v="0"/>
    <m/>
    <n v="12"/>
  </r>
  <r>
    <n v="1880"/>
    <n v="1959"/>
    <x v="1"/>
    <x v="1"/>
    <n v="53537"/>
    <n v="1"/>
    <d v="1899-12-31T00:00:00"/>
    <d v="2014-01-30T00:00:00"/>
    <n v="17"/>
    <n v="0"/>
    <n v="0"/>
    <n v="0"/>
    <n v="3"/>
    <n v="67"/>
    <s v="&gt;50"/>
    <n v="3"/>
    <m/>
    <m/>
    <m/>
    <x v="0"/>
    <m/>
    <n v="12"/>
  </r>
  <r>
    <n v="641"/>
    <n v="1967"/>
    <x v="0"/>
    <x v="0"/>
    <n v="52074"/>
    <n v="0"/>
    <d v="1899-12-31T00:00:00"/>
    <d v="2014-04-04T00:00:00"/>
    <n v="77"/>
    <n v="0"/>
    <n v="0"/>
    <n v="0"/>
    <n v="2"/>
    <n v="59"/>
    <s v="&gt;50"/>
    <n v="2"/>
    <m/>
    <m/>
    <m/>
    <x v="0"/>
    <m/>
    <n v="12"/>
  </r>
  <r>
    <n v="8717"/>
    <n v="1975"/>
    <x v="1"/>
    <x v="2"/>
    <n v="80427"/>
    <n v="0"/>
    <d v="1899-12-31T00:00:00"/>
    <d v="2012-09-12T00:00:00"/>
    <n v="56"/>
    <n v="71"/>
    <n v="71"/>
    <n v="71"/>
    <n v="8"/>
    <n v="51"/>
    <s v="&gt;50"/>
    <n v="79"/>
    <m/>
    <m/>
    <m/>
    <x v="3"/>
    <m/>
    <n v="14"/>
  </r>
  <r>
    <n v="10314"/>
    <n v="1948"/>
    <x v="1"/>
    <x v="2"/>
    <n v="83837"/>
    <n v="0"/>
    <d v="1899-12-30T00:00:00"/>
    <d v="2012-12-16T00:00:00"/>
    <n v="79"/>
    <n v="66"/>
    <n v="89"/>
    <n v="89"/>
    <n v="5"/>
    <n v="78"/>
    <s v="&gt;50"/>
    <n v="94"/>
    <m/>
    <m/>
    <m/>
    <x v="3"/>
    <m/>
    <n v="14"/>
  </r>
  <r>
    <n v="10854"/>
    <n v="1970"/>
    <x v="1"/>
    <x v="2"/>
    <n v="38853"/>
    <n v="1"/>
    <d v="1899-12-31T00:00:00"/>
    <d v="2014-05-23T00:00:00"/>
    <n v="90"/>
    <n v="0"/>
    <n v="0"/>
    <n v="0"/>
    <n v="3"/>
    <n v="56"/>
    <s v="&gt;50"/>
    <n v="3"/>
    <m/>
    <m/>
    <m/>
    <x v="1"/>
    <m/>
    <n v="12"/>
  </r>
  <r>
    <n v="10492"/>
    <n v="1959"/>
    <x v="0"/>
    <x v="1"/>
    <n v="38285"/>
    <n v="2"/>
    <d v="1899-12-31T00:00:00"/>
    <d v="2014-06-24T00:00:00"/>
    <n v="96"/>
    <n v="0"/>
    <n v="0"/>
    <n v="0"/>
    <n v="3"/>
    <n v="67"/>
    <s v="&gt;50"/>
    <n v="3"/>
    <m/>
    <m/>
    <m/>
    <x v="1"/>
    <m/>
    <n v="12"/>
  </r>
  <r>
    <n v="6935"/>
    <n v="1951"/>
    <x v="4"/>
    <x v="2"/>
    <n v="78497"/>
    <n v="0"/>
    <d v="1899-12-30T00:00:00"/>
    <d v="2013-12-01T00:00:00"/>
    <n v="44"/>
    <n v="26"/>
    <n v="0"/>
    <n v="0"/>
    <n v="12"/>
    <n v="75"/>
    <s v="&gt;50"/>
    <n v="12"/>
    <m/>
    <m/>
    <m/>
    <x v="3"/>
    <m/>
    <n v="13"/>
  </r>
  <r>
    <n v="7698"/>
    <n v="1976"/>
    <x v="1"/>
    <x v="2"/>
    <n v="51650"/>
    <n v="0"/>
    <d v="1899-12-31T00:00:00"/>
    <d v="2014-05-11T00:00:00"/>
    <n v="81"/>
    <n v="3"/>
    <n v="5"/>
    <n v="5"/>
    <n v="4"/>
    <n v="50"/>
    <s v="30-50"/>
    <n v="9"/>
    <m/>
    <m/>
    <m/>
    <x v="0"/>
    <m/>
    <n v="12"/>
  </r>
  <r>
    <n v="3559"/>
    <n v="1988"/>
    <x v="4"/>
    <x v="2"/>
    <n v="16248"/>
    <n v="1"/>
    <d v="1899-12-30T00:00:00"/>
    <d v="2014-05-10T00:00:00"/>
    <n v="77"/>
    <n v="11"/>
    <n v="12"/>
    <n v="12"/>
    <n v="3"/>
    <n v="38"/>
    <s v="30-50"/>
    <n v="15"/>
    <m/>
    <m/>
    <m/>
    <x v="2"/>
    <m/>
    <n v="12"/>
  </r>
  <r>
    <n v="10562"/>
    <n v="1946"/>
    <x v="2"/>
    <x v="2"/>
    <n v="66835"/>
    <n v="0"/>
    <d v="1899-12-30T00:00:00"/>
    <d v="2013-09-28T00:00:00"/>
    <n v="21"/>
    <n v="26"/>
    <n v="17"/>
    <n v="17"/>
    <n v="13"/>
    <n v="80"/>
    <s v="&gt;50"/>
    <n v="30"/>
    <m/>
    <m/>
    <m/>
    <x v="0"/>
    <m/>
    <n v="13"/>
  </r>
  <r>
    <n v="10796"/>
    <n v="1984"/>
    <x v="2"/>
    <x v="2"/>
    <n v="30477"/>
    <n v="1"/>
    <d v="1899-12-30T00:00:00"/>
    <d v="2014-01-22T00:00:00"/>
    <n v="16"/>
    <n v="1"/>
    <n v="0"/>
    <n v="0"/>
    <n v="3"/>
    <n v="42"/>
    <s v="30-50"/>
    <n v="3"/>
    <m/>
    <m/>
    <m/>
    <x v="1"/>
    <m/>
    <n v="12"/>
  </r>
  <r>
    <n v="2563"/>
    <n v="1961"/>
    <x v="3"/>
    <x v="2"/>
    <n v="28249"/>
    <n v="0"/>
    <d v="1899-12-30T00:00:00"/>
    <d v="2014-06-15T00:00:00"/>
    <n v="80"/>
    <n v="9"/>
    <n v="14"/>
    <n v="14"/>
    <n v="3"/>
    <n v="65"/>
    <s v="&gt;50"/>
    <n v="17"/>
    <m/>
    <m/>
    <m/>
    <x v="2"/>
    <m/>
    <n v="12"/>
  </r>
  <r>
    <n v="3518"/>
    <n v="1983"/>
    <x v="0"/>
    <x v="2"/>
    <n v="25271"/>
    <n v="1"/>
    <d v="1899-12-30T00:00:00"/>
    <d v="2012-12-05T00:00:00"/>
    <n v="45"/>
    <n v="1"/>
    <n v="4"/>
    <n v="4"/>
    <n v="2"/>
    <n v="43"/>
    <s v="30-50"/>
    <n v="6"/>
    <m/>
    <m/>
    <m/>
    <x v="2"/>
    <m/>
    <n v="14"/>
  </r>
  <r>
    <n v="5823"/>
    <n v="1970"/>
    <x v="1"/>
    <x v="0"/>
    <n v="32303"/>
    <n v="0"/>
    <d v="1899-12-31T00:00:00"/>
    <d v="2014-03-08T00:00:00"/>
    <n v="63"/>
    <n v="0"/>
    <n v="0"/>
    <n v="0"/>
    <n v="4"/>
    <n v="56"/>
    <s v="&gt;50"/>
    <n v="4"/>
    <m/>
    <m/>
    <m/>
    <x v="1"/>
    <m/>
    <n v="12"/>
  </r>
  <r>
    <n v="3934"/>
    <n v="1966"/>
    <x v="0"/>
    <x v="2"/>
    <n v="61286"/>
    <n v="0"/>
    <d v="1899-12-31T00:00:00"/>
    <d v="2013-08-02T00:00:00"/>
    <n v="34"/>
    <n v="0"/>
    <n v="9"/>
    <n v="9"/>
    <n v="8"/>
    <n v="60"/>
    <s v="&gt;50"/>
    <n v="17"/>
    <m/>
    <m/>
    <m/>
    <x v="0"/>
    <m/>
    <n v="13"/>
  </r>
  <r>
    <n v="6982"/>
    <n v="1976"/>
    <x v="0"/>
    <x v="2"/>
    <n v="74068"/>
    <n v="0"/>
    <d v="1899-12-30T00:00:00"/>
    <d v="2013-03-19T00:00:00"/>
    <n v="14"/>
    <n v="30"/>
    <n v="76"/>
    <n v="76"/>
    <n v="9"/>
    <n v="50"/>
    <s v="30-50"/>
    <n v="85"/>
    <m/>
    <m/>
    <m/>
    <x v="0"/>
    <m/>
    <n v="13"/>
  </r>
  <r>
    <n v="6431"/>
    <n v="1964"/>
    <x v="1"/>
    <x v="2"/>
    <n v="45759"/>
    <n v="1"/>
    <d v="1899-12-31T00:00:00"/>
    <d v="2013-02-23T00:00:00"/>
    <n v="13"/>
    <n v="1"/>
    <n v="0"/>
    <n v="0"/>
    <n v="3"/>
    <n v="62"/>
    <s v="&gt;50"/>
    <n v="3"/>
    <m/>
    <m/>
    <m/>
    <x v="1"/>
    <m/>
    <n v="13"/>
  </r>
  <r>
    <n v="9733"/>
    <n v="1978"/>
    <x v="3"/>
    <x v="1"/>
    <n v="24882"/>
    <n v="1"/>
    <d v="1899-12-30T00:00:00"/>
    <d v="2012-09-09T00:00:00"/>
    <n v="52"/>
    <n v="4"/>
    <n v="0"/>
    <n v="0"/>
    <n v="2"/>
    <n v="48"/>
    <s v="30-50"/>
    <n v="2"/>
    <m/>
    <m/>
    <m/>
    <x v="2"/>
    <m/>
    <n v="14"/>
  </r>
  <r>
    <n v="5602"/>
    <n v="1989"/>
    <x v="1"/>
    <x v="1"/>
    <n v="66973"/>
    <n v="0"/>
    <d v="1899-12-30T00:00:00"/>
    <d v="2013-05-17T00:00:00"/>
    <n v="98"/>
    <n v="22"/>
    <n v="113"/>
    <n v="113"/>
    <n v="12"/>
    <n v="37"/>
    <s v="30-50"/>
    <n v="125"/>
    <m/>
    <m/>
    <m/>
    <x v="0"/>
    <m/>
    <n v="13"/>
  </r>
  <r>
    <n v="7829"/>
    <n v="1900"/>
    <x v="4"/>
    <x v="3"/>
    <n v="36640"/>
    <n v="1"/>
    <d v="1899-12-30T00:00:00"/>
    <d v="2013-09-26T00:00:00"/>
    <n v="99"/>
    <n v="6"/>
    <n v="4"/>
    <n v="4"/>
    <n v="2"/>
    <n v="126"/>
    <s v="&gt;50"/>
    <n v="6"/>
    <m/>
    <m/>
    <m/>
    <x v="1"/>
    <m/>
    <n v="13"/>
  </r>
  <r>
    <n v="1324"/>
    <n v="1988"/>
    <x v="0"/>
    <x v="2"/>
    <n v="38872"/>
    <n v="1"/>
    <d v="1899-12-30T00:00:00"/>
    <d v="2013-05-30T00:00:00"/>
    <n v="93"/>
    <n v="3"/>
    <n v="19"/>
    <n v="19"/>
    <n v="3"/>
    <n v="38"/>
    <s v="30-50"/>
    <n v="22"/>
    <m/>
    <m/>
    <m/>
    <x v="1"/>
    <m/>
    <n v="13"/>
  </r>
  <r>
    <n v="326"/>
    <n v="1973"/>
    <x v="0"/>
    <x v="2"/>
    <n v="51148"/>
    <n v="1"/>
    <d v="1899-12-31T00:00:00"/>
    <d v="2013-02-18T00:00:00"/>
    <n v="38"/>
    <n v="6"/>
    <n v="9"/>
    <n v="9"/>
    <n v="6"/>
    <n v="53"/>
    <s v="&gt;50"/>
    <n v="15"/>
    <m/>
    <m/>
    <m/>
    <x v="0"/>
    <m/>
    <n v="13"/>
  </r>
  <r>
    <n v="7224"/>
    <n v="1977"/>
    <x v="0"/>
    <x v="2"/>
    <n v="31353"/>
    <n v="1"/>
    <d v="1899-12-31T00:00:00"/>
    <d v="2013-12-29T00:00:00"/>
    <n v="24"/>
    <n v="0"/>
    <n v="1"/>
    <n v="1"/>
    <n v="2"/>
    <n v="49"/>
    <s v="30-50"/>
    <n v="3"/>
    <m/>
    <m/>
    <m/>
    <x v="1"/>
    <m/>
    <n v="13"/>
  </r>
  <r>
    <n v="6999"/>
    <n v="1980"/>
    <x v="2"/>
    <x v="2"/>
    <n v="69661"/>
    <n v="0"/>
    <d v="1899-12-30T00:00:00"/>
    <d v="2014-05-13T00:00:00"/>
    <n v="80"/>
    <n v="16"/>
    <n v="16"/>
    <n v="16"/>
    <n v="12"/>
    <n v="46"/>
    <s v="30-50"/>
    <n v="28"/>
    <m/>
    <m/>
    <m/>
    <x v="0"/>
    <m/>
    <n v="12"/>
  </r>
  <r>
    <n v="9938"/>
    <n v="1954"/>
    <x v="0"/>
    <x v="2"/>
    <n v="80067"/>
    <n v="0"/>
    <d v="1899-12-30T00:00:00"/>
    <d v="2013-09-19T00:00:00"/>
    <n v="82"/>
    <n v="17"/>
    <n v="173"/>
    <n v="173"/>
    <n v="6"/>
    <n v="72"/>
    <s v="&gt;50"/>
    <n v="179"/>
    <m/>
    <m/>
    <m/>
    <x v="3"/>
    <m/>
    <n v="13"/>
  </r>
  <r>
    <n v="6422"/>
    <n v="1954"/>
    <x v="0"/>
    <x v="2"/>
    <n v="86718"/>
    <n v="0"/>
    <d v="1899-12-30T00:00:00"/>
    <d v="2013-01-17T00:00:00"/>
    <n v="20"/>
    <n v="189"/>
    <n v="33"/>
    <n v="33"/>
    <n v="5"/>
    <n v="72"/>
    <s v="&gt;50"/>
    <n v="38"/>
    <m/>
    <m/>
    <m/>
    <x v="3"/>
    <m/>
    <n v="13"/>
  </r>
  <r>
    <n v="3182"/>
    <n v="1973"/>
    <x v="1"/>
    <x v="0"/>
    <n v="46854"/>
    <n v="1"/>
    <d v="1899-12-31T00:00:00"/>
    <d v="2014-03-31T00:00:00"/>
    <n v="81"/>
    <n v="1"/>
    <n v="1"/>
    <n v="1"/>
    <n v="3"/>
    <n v="53"/>
    <s v="&gt;50"/>
    <n v="4"/>
    <m/>
    <m/>
    <m/>
    <x v="1"/>
    <m/>
    <n v="12"/>
  </r>
  <r>
    <n v="7300"/>
    <n v="1952"/>
    <x v="0"/>
    <x v="3"/>
    <n v="69142"/>
    <n v="0"/>
    <d v="1899-12-31T00:00:00"/>
    <d v="2014-06-29T00:00:00"/>
    <n v="50"/>
    <n v="4"/>
    <n v="4"/>
    <n v="4"/>
    <n v="7"/>
    <n v="74"/>
    <s v="&gt;50"/>
    <n v="11"/>
    <m/>
    <m/>
    <m/>
    <x v="0"/>
    <m/>
    <n v="12"/>
  </r>
  <r>
    <n v="10424"/>
    <n v="1968"/>
    <x v="0"/>
    <x v="0"/>
    <n v="75922"/>
    <n v="0"/>
    <d v="1899-12-30T00:00:00"/>
    <d v="2013-12-09T00:00:00"/>
    <n v="60"/>
    <n v="138"/>
    <n v="23"/>
    <n v="23"/>
    <n v="9"/>
    <n v="58"/>
    <s v="&gt;50"/>
    <n v="32"/>
    <m/>
    <m/>
    <m/>
    <x v="3"/>
    <m/>
    <n v="13"/>
  </r>
  <r>
    <n v="8727"/>
    <n v="1978"/>
    <x v="0"/>
    <x v="3"/>
    <n v="63693"/>
    <n v="0"/>
    <d v="1899-12-31T00:00:00"/>
    <d v="2013-10-14T00:00:00"/>
    <n v="63"/>
    <n v="43"/>
    <n v="87"/>
    <n v="87"/>
    <n v="9"/>
    <n v="48"/>
    <s v="30-50"/>
    <n v="96"/>
    <m/>
    <m/>
    <m/>
    <x v="0"/>
    <m/>
    <n v="13"/>
  </r>
  <r>
    <n v="2798"/>
    <n v="1977"/>
    <x v="1"/>
    <x v="1"/>
    <n v="102160"/>
    <n v="0"/>
    <d v="1899-12-30T00:00:00"/>
    <d v="2012-11-02T00:00:00"/>
    <n v="54"/>
    <n v="29"/>
    <n v="176"/>
    <n v="176"/>
    <n v="10"/>
    <n v="49"/>
    <s v="30-50"/>
    <n v="186"/>
    <m/>
    <m/>
    <m/>
    <x v="4"/>
    <m/>
    <n v="14"/>
  </r>
  <r>
    <n v="1030"/>
    <n v="1965"/>
    <x v="1"/>
    <x v="0"/>
    <n v="40637"/>
    <n v="1"/>
    <d v="1899-12-31T00:00:00"/>
    <d v="2013-07-17T00:00:00"/>
    <n v="72"/>
    <n v="0"/>
    <n v="0"/>
    <n v="0"/>
    <n v="3"/>
    <n v="61"/>
    <s v="&gt;50"/>
    <n v="3"/>
    <m/>
    <m/>
    <m/>
    <x v="1"/>
    <m/>
    <n v="13"/>
  </r>
  <r>
    <n v="624"/>
    <n v="1984"/>
    <x v="2"/>
    <x v="0"/>
    <n v="18890"/>
    <n v="0"/>
    <d v="1899-12-30T00:00:00"/>
    <d v="2012-11-10T00:00:00"/>
    <n v="5"/>
    <n v="4"/>
    <n v="2"/>
    <n v="2"/>
    <n v="2"/>
    <n v="42"/>
    <s v="30-50"/>
    <n v="4"/>
    <m/>
    <m/>
    <m/>
    <x v="2"/>
    <m/>
    <n v="14"/>
  </r>
  <r>
    <n v="5176"/>
    <n v="1988"/>
    <x v="0"/>
    <x v="1"/>
    <n v="29604"/>
    <n v="1"/>
    <d v="1899-12-30T00:00:00"/>
    <d v="2013-12-08T00:00:00"/>
    <n v="88"/>
    <n v="6"/>
    <n v="6"/>
    <n v="6"/>
    <n v="3"/>
    <n v="38"/>
    <s v="30-50"/>
    <n v="9"/>
    <m/>
    <m/>
    <m/>
    <x v="2"/>
    <m/>
    <n v="13"/>
  </r>
  <r>
    <n v="5552"/>
    <n v="1963"/>
    <x v="2"/>
    <x v="3"/>
    <n v="48721"/>
    <n v="1"/>
    <d v="1899-12-31T00:00:00"/>
    <d v="2013-05-13T00:00:00"/>
    <n v="50"/>
    <n v="18"/>
    <n v="13"/>
    <n v="13"/>
    <n v="5"/>
    <n v="63"/>
    <s v="&gt;50"/>
    <n v="18"/>
    <m/>
    <m/>
    <m/>
    <x v="1"/>
    <m/>
    <n v="13"/>
  </r>
  <r>
    <n v="868"/>
    <n v="1966"/>
    <x v="0"/>
    <x v="2"/>
    <n v="44794"/>
    <n v="0"/>
    <d v="1899-12-31T00:00:00"/>
    <d v="2014-06-08T00:00:00"/>
    <n v="99"/>
    <n v="0"/>
    <n v="0"/>
    <n v="0"/>
    <n v="3"/>
    <n v="60"/>
    <s v="&gt;50"/>
    <n v="3"/>
    <m/>
    <m/>
    <m/>
    <x v="1"/>
    <m/>
    <n v="12"/>
  </r>
  <r>
    <n v="380"/>
    <n v="1954"/>
    <x v="0"/>
    <x v="3"/>
    <n v="64497"/>
    <n v="0"/>
    <d v="1899-12-31T00:00:00"/>
    <d v="2012-09-10T00:00:00"/>
    <n v="17"/>
    <n v="48"/>
    <n v="32"/>
    <n v="32"/>
    <n v="9"/>
    <n v="72"/>
    <s v="&gt;50"/>
    <n v="41"/>
    <m/>
    <m/>
    <m/>
    <x v="0"/>
    <m/>
    <n v="14"/>
  </r>
  <r>
    <n v="2677"/>
    <n v="1956"/>
    <x v="0"/>
    <x v="1"/>
    <n v="46097"/>
    <n v="0"/>
    <d v="1899-12-31T00:00:00"/>
    <d v="2013-03-31T00:00:00"/>
    <n v="11"/>
    <n v="24"/>
    <n v="4"/>
    <n v="4"/>
    <n v="6"/>
    <n v="70"/>
    <s v="&gt;50"/>
    <n v="10"/>
    <m/>
    <m/>
    <m/>
    <x v="1"/>
    <m/>
    <n v="13"/>
  </r>
  <r>
    <n v="6521"/>
    <n v="1954"/>
    <x v="0"/>
    <x v="1"/>
    <n v="77972"/>
    <n v="0"/>
    <d v="1899-12-30T00:00:00"/>
    <d v="2014-03-18T00:00:00"/>
    <n v="18"/>
    <n v="22"/>
    <n v="102"/>
    <n v="102"/>
    <n v="9"/>
    <n v="72"/>
    <s v="&gt;50"/>
    <n v="111"/>
    <m/>
    <m/>
    <m/>
    <x v="3"/>
    <m/>
    <n v="12"/>
  </r>
  <r>
    <n v="6927"/>
    <n v="1968"/>
    <x v="1"/>
    <x v="2"/>
    <n v="44377"/>
    <n v="1"/>
    <d v="1899-12-31T00:00:00"/>
    <d v="2012-10-05T00:00:00"/>
    <n v="70"/>
    <n v="0"/>
    <n v="0"/>
    <n v="0"/>
    <n v="5"/>
    <n v="58"/>
    <s v="&gt;50"/>
    <n v="5"/>
    <m/>
    <m/>
    <m/>
    <x v="1"/>
    <m/>
    <n v="14"/>
  </r>
  <r>
    <n v="2877"/>
    <n v="1974"/>
    <x v="2"/>
    <x v="1"/>
    <n v="46014"/>
    <n v="1"/>
    <d v="1899-12-31T00:00:00"/>
    <d v="2013-01-21T00:00:00"/>
    <n v="21"/>
    <n v="0"/>
    <n v="9"/>
    <n v="9"/>
    <n v="8"/>
    <n v="52"/>
    <s v="&gt;50"/>
    <n v="17"/>
    <m/>
    <m/>
    <m/>
    <x v="1"/>
    <m/>
    <n v="13"/>
  </r>
  <r>
    <n v="0"/>
    <n v="1985"/>
    <x v="0"/>
    <x v="2"/>
    <n v="70951"/>
    <n v="0"/>
    <d v="1899-12-30T00:00:00"/>
    <d v="2013-05-04T00:00:00"/>
    <n v="66"/>
    <n v="10"/>
    <n v="87"/>
    <n v="87"/>
    <n v="9"/>
    <n v="41"/>
    <s v="30-50"/>
    <n v="96"/>
    <m/>
    <m/>
    <m/>
    <x v="0"/>
    <m/>
    <n v="13"/>
  </r>
  <r>
    <n v="1584"/>
    <n v="1977"/>
    <x v="0"/>
    <x v="2"/>
    <n v="41443"/>
    <n v="1"/>
    <d v="1899-12-30T00:00:00"/>
    <d v="2014-04-01T00:00:00"/>
    <n v="79"/>
    <n v="7"/>
    <n v="19"/>
    <n v="19"/>
    <n v="5"/>
    <n v="49"/>
    <s v="30-50"/>
    <n v="24"/>
    <m/>
    <m/>
    <m/>
    <x v="1"/>
    <m/>
    <n v="12"/>
  </r>
  <r>
    <n v="7264"/>
    <n v="1978"/>
    <x v="4"/>
    <x v="0"/>
    <n v="52195"/>
    <n v="2"/>
    <d v="1899-12-31T00:00:00"/>
    <d v="2014-05-12T00:00:00"/>
    <n v="2"/>
    <n v="0"/>
    <n v="0"/>
    <n v="0"/>
    <n v="2"/>
    <n v="48"/>
    <s v="30-50"/>
    <n v="2"/>
    <m/>
    <m/>
    <m/>
    <x v="0"/>
    <m/>
    <n v="12"/>
  </r>
  <r>
    <n v="6274"/>
    <n v="1948"/>
    <x v="2"/>
    <x v="2"/>
    <n v="83790"/>
    <n v="0"/>
    <d v="1899-12-30T00:00:00"/>
    <d v="2013-11-15T00:00:00"/>
    <n v="81"/>
    <n v="16"/>
    <n v="48"/>
    <n v="48"/>
    <n v="6"/>
    <n v="78"/>
    <s v="&gt;50"/>
    <n v="54"/>
    <m/>
    <m/>
    <m/>
    <x v="3"/>
    <m/>
    <n v="13"/>
  </r>
  <r>
    <n v="1377"/>
    <n v="1954"/>
    <x v="2"/>
    <x v="4"/>
    <n v="44551"/>
    <n v="0"/>
    <d v="1899-12-31T00:00:00"/>
    <d v="2013-08-31T00:00:00"/>
    <n v="24"/>
    <n v="4"/>
    <n v="0"/>
    <n v="0"/>
    <n v="5"/>
    <n v="72"/>
    <s v="&gt;50"/>
    <n v="5"/>
    <m/>
    <m/>
    <m/>
    <x v="1"/>
    <m/>
    <n v="13"/>
  </r>
  <r>
    <n v="454"/>
    <n v="1980"/>
    <x v="0"/>
    <x v="1"/>
    <n v="69508"/>
    <n v="1"/>
    <d v="1899-12-30T00:00:00"/>
    <d v="2012-11-14T00:00:00"/>
    <n v="48"/>
    <n v="32"/>
    <n v="32"/>
    <n v="32"/>
    <n v="11"/>
    <n v="46"/>
    <s v="30-50"/>
    <n v="43"/>
    <m/>
    <m/>
    <m/>
    <x v="0"/>
    <m/>
    <n v="14"/>
  </r>
  <r>
    <n v="1755"/>
    <n v="1988"/>
    <x v="4"/>
    <x v="1"/>
    <n v="45204"/>
    <n v="1"/>
    <d v="1899-12-30T00:00:00"/>
    <d v="2014-04-11T00:00:00"/>
    <n v="93"/>
    <n v="11"/>
    <n v="1"/>
    <n v="1"/>
    <n v="4"/>
    <n v="38"/>
    <s v="30-50"/>
    <n v="5"/>
    <m/>
    <m/>
    <m/>
    <x v="1"/>
    <m/>
    <n v="12"/>
  </r>
  <r>
    <n v="2075"/>
    <n v="1969"/>
    <x v="0"/>
    <x v="2"/>
    <n v="72460"/>
    <n v="0"/>
    <d v="1899-12-30T00:00:00"/>
    <d v="2013-11-14T00:00:00"/>
    <n v="56"/>
    <n v="10"/>
    <n v="30"/>
    <n v="30"/>
    <n v="7"/>
    <n v="57"/>
    <s v="&gt;50"/>
    <n v="37"/>
    <m/>
    <m/>
    <m/>
    <x v="0"/>
    <m/>
    <n v="13"/>
  </r>
  <r>
    <n v="4785"/>
    <n v="1970"/>
    <x v="1"/>
    <x v="1"/>
    <n v="77622"/>
    <n v="0"/>
    <d v="1900-01-01T00:00:00"/>
    <d v="2014-04-14T00:00:00"/>
    <n v="3"/>
    <n v="7"/>
    <n v="0"/>
    <n v="0"/>
    <n v="11"/>
    <n v="56"/>
    <s v="&gt;50"/>
    <n v="11"/>
    <m/>
    <m/>
    <m/>
    <x v="3"/>
    <m/>
    <n v="12"/>
  </r>
  <r>
    <n v="9076"/>
    <n v="1980"/>
    <x v="1"/>
    <x v="2"/>
    <n v="30732"/>
    <n v="1"/>
    <d v="1899-12-30T00:00:00"/>
    <d v="2013-01-05T00:00:00"/>
    <n v="44"/>
    <n v="1"/>
    <n v="1"/>
    <n v="1"/>
    <n v="4"/>
    <n v="46"/>
    <s v="30-50"/>
    <n v="5"/>
    <m/>
    <m/>
    <m/>
    <x v="1"/>
    <m/>
    <n v="13"/>
  </r>
  <r>
    <n v="7079"/>
    <n v="1962"/>
    <x v="0"/>
    <x v="3"/>
    <n v="63887"/>
    <n v="0"/>
    <d v="1899-12-31T00:00:00"/>
    <d v="2012-09-08T00:00:00"/>
    <n v="38"/>
    <n v="23"/>
    <n v="11"/>
    <n v="11"/>
    <n v="12"/>
    <n v="64"/>
    <s v="&gt;50"/>
    <n v="23"/>
    <m/>
    <m/>
    <m/>
    <x v="0"/>
    <m/>
    <n v="14"/>
  </r>
  <r>
    <n v="4653"/>
    <n v="1978"/>
    <x v="0"/>
    <x v="1"/>
    <n v="42011"/>
    <n v="1"/>
    <d v="1899-12-30T00:00:00"/>
    <d v="2013-03-26T00:00:00"/>
    <n v="46"/>
    <n v="0"/>
    <n v="1"/>
    <n v="1"/>
    <n v="4"/>
    <n v="48"/>
    <s v="30-50"/>
    <n v="5"/>
    <m/>
    <m/>
    <m/>
    <x v="1"/>
    <m/>
    <n v="13"/>
  </r>
  <r>
    <n v="7375"/>
    <n v="1976"/>
    <x v="0"/>
    <x v="1"/>
    <n v="51369"/>
    <n v="0"/>
    <d v="1899-12-31T00:00:00"/>
    <d v="2012-10-25T00:00:00"/>
    <n v="84"/>
    <n v="7"/>
    <n v="11"/>
    <n v="11"/>
    <n v="4"/>
    <n v="50"/>
    <s v="30-50"/>
    <n v="15"/>
    <m/>
    <m/>
    <m/>
    <x v="0"/>
    <m/>
    <n v="14"/>
  </r>
  <r>
    <n v="709"/>
    <n v="1952"/>
    <x v="0"/>
    <x v="3"/>
    <n v="51537"/>
    <n v="0"/>
    <d v="1899-12-31T00:00:00"/>
    <d v="2012-12-09T00:00:00"/>
    <n v="27"/>
    <n v="20"/>
    <n v="0"/>
    <n v="0"/>
    <n v="11"/>
    <n v="74"/>
    <s v="&gt;50"/>
    <n v="11"/>
    <m/>
    <m/>
    <m/>
    <x v="0"/>
    <m/>
    <n v="14"/>
  </r>
  <r>
    <n v="460"/>
    <n v="1972"/>
    <x v="1"/>
    <x v="2"/>
    <n v="79930"/>
    <n v="0"/>
    <d v="1899-12-30T00:00:00"/>
    <d v="2012-08-08T00:00:00"/>
    <n v="72"/>
    <n v="86"/>
    <n v="51"/>
    <n v="51"/>
    <n v="8"/>
    <n v="54"/>
    <s v="&gt;50"/>
    <n v="59"/>
    <m/>
    <m/>
    <m/>
    <x v="3"/>
    <m/>
    <n v="14"/>
  </r>
  <r>
    <n v="3726"/>
    <n v="1986"/>
    <x v="1"/>
    <x v="1"/>
    <n v="34320"/>
    <n v="1"/>
    <d v="1899-12-30T00:00:00"/>
    <d v="2014-02-16T00:00:00"/>
    <n v="66"/>
    <n v="1"/>
    <n v="0"/>
    <n v="0"/>
    <n v="2"/>
    <n v="40"/>
    <s v="30-50"/>
    <n v="2"/>
    <m/>
    <m/>
    <m/>
    <x v="1"/>
    <m/>
    <n v="12"/>
  </r>
  <r>
    <n v="6798"/>
    <n v="1966"/>
    <x v="0"/>
    <x v="0"/>
    <n v="37070"/>
    <n v="1"/>
    <d v="1899-12-31T00:00:00"/>
    <d v="2013-03-20T00:00:00"/>
    <n v="30"/>
    <n v="7"/>
    <n v="15"/>
    <n v="15"/>
    <n v="8"/>
    <n v="60"/>
    <s v="&gt;50"/>
    <n v="23"/>
    <m/>
    <m/>
    <m/>
    <x v="1"/>
    <m/>
    <n v="13"/>
  </r>
  <r>
    <n v="5341"/>
    <n v="1962"/>
    <x v="4"/>
    <x v="3"/>
    <n v="81975"/>
    <n v="0"/>
    <d v="1899-12-31T00:00:00"/>
    <d v="2013-01-05T00:00:00"/>
    <n v="2"/>
    <n v="76"/>
    <n v="138"/>
    <n v="138"/>
    <n v="4"/>
    <n v="64"/>
    <s v="&gt;50"/>
    <n v="142"/>
    <m/>
    <m/>
    <m/>
    <x v="3"/>
    <m/>
    <n v="13"/>
  </r>
  <r>
    <n v="1606"/>
    <n v="1971"/>
    <x v="0"/>
    <x v="1"/>
    <n v="38590"/>
    <n v="1"/>
    <d v="1899-12-30T00:00:00"/>
    <d v="2013-05-15T00:00:00"/>
    <n v="65"/>
    <n v="1"/>
    <n v="3"/>
    <n v="3"/>
    <n v="2"/>
    <n v="55"/>
    <s v="&gt;50"/>
    <n v="5"/>
    <m/>
    <m/>
    <m/>
    <x v="1"/>
    <m/>
    <n v="13"/>
  </r>
  <r>
    <n v="9617"/>
    <n v="1951"/>
    <x v="0"/>
    <x v="0"/>
    <n v="15033"/>
    <n v="0"/>
    <d v="1899-12-30T00:00:00"/>
    <d v="2014-04-16T00:00:00"/>
    <n v="37"/>
    <n v="4"/>
    <n v="0"/>
    <n v="0"/>
    <n v="3"/>
    <n v="75"/>
    <s v="&gt;50"/>
    <n v="3"/>
    <m/>
    <m/>
    <m/>
    <x v="2"/>
    <m/>
    <n v="12"/>
  </r>
  <r>
    <n v="3233"/>
    <n v="1965"/>
    <x v="1"/>
    <x v="2"/>
    <n v="62745"/>
    <n v="0"/>
    <d v="1899-12-31T00:00:00"/>
    <d v="2013-03-23T00:00:00"/>
    <n v="89"/>
    <n v="21"/>
    <n v="10"/>
    <n v="10"/>
    <n v="11"/>
    <n v="61"/>
    <s v="&gt;50"/>
    <n v="21"/>
    <m/>
    <m/>
    <m/>
    <x v="0"/>
    <m/>
    <n v="13"/>
  </r>
  <r>
    <n v="89"/>
    <n v="1975"/>
    <x v="4"/>
    <x v="2"/>
    <n v="22212"/>
    <n v="1"/>
    <d v="1899-12-30T00:00:00"/>
    <d v="2013-12-09T00:00:00"/>
    <n v="49"/>
    <n v="9"/>
    <n v="8"/>
    <n v="8"/>
    <n v="4"/>
    <n v="51"/>
    <s v="&gt;50"/>
    <n v="12"/>
    <m/>
    <m/>
    <m/>
    <x v="2"/>
    <m/>
    <n v="13"/>
  </r>
  <r>
    <n v="2936"/>
    <n v="1982"/>
    <x v="2"/>
    <x v="1"/>
    <n v="23661"/>
    <n v="1"/>
    <d v="1899-12-30T00:00:00"/>
    <d v="2013-12-04T00:00:00"/>
    <n v="46"/>
    <n v="0"/>
    <n v="0"/>
    <n v="0"/>
    <n v="3"/>
    <n v="44"/>
    <s v="30-50"/>
    <n v="3"/>
    <m/>
    <m/>
    <m/>
    <x v="2"/>
    <m/>
    <n v="13"/>
  </r>
  <r>
    <n v="9449"/>
    <n v="1958"/>
    <x v="1"/>
    <x v="0"/>
    <n v="79761"/>
    <n v="0"/>
    <d v="1899-12-31T00:00:00"/>
    <d v="2013-10-04T00:00:00"/>
    <n v="32"/>
    <n v="5"/>
    <n v="35"/>
    <n v="35"/>
    <n v="11"/>
    <n v="68"/>
    <s v="&gt;50"/>
    <n v="46"/>
    <m/>
    <m/>
    <m/>
    <x v="3"/>
    <m/>
    <n v="13"/>
  </r>
  <r>
    <n v="7297"/>
    <n v="1973"/>
    <x v="0"/>
    <x v="0"/>
    <n v="7500"/>
    <n v="1"/>
    <d v="1899-12-30T00:00:00"/>
    <d v="2013-12-26T00:00:00"/>
    <n v="54"/>
    <n v="3"/>
    <n v="7"/>
    <n v="7"/>
    <n v="3"/>
    <n v="53"/>
    <s v="&gt;50"/>
    <n v="10"/>
    <m/>
    <m/>
    <m/>
    <x v="2"/>
    <m/>
    <n v="13"/>
  </r>
  <r>
    <n v="11004"/>
    <n v="1893"/>
    <x v="4"/>
    <x v="0"/>
    <n v="60182"/>
    <n v="0"/>
    <d v="1899-12-31T00:00:00"/>
    <d v="2014-05-17T00:00:00"/>
    <n v="23"/>
    <n v="0"/>
    <n v="0"/>
    <n v="0"/>
    <n v="2"/>
    <n v="133"/>
    <s v="&gt;50"/>
    <n v="2"/>
    <m/>
    <m/>
    <m/>
    <x v="0"/>
    <m/>
    <n v="12"/>
  </r>
  <r>
    <n v="313"/>
    <n v="1968"/>
    <x v="0"/>
    <x v="4"/>
    <n v="73455"/>
    <n v="0"/>
    <d v="1899-12-30T00:00:00"/>
    <d v="2013-10-28T00:00:00"/>
    <n v="98"/>
    <n v="61"/>
    <n v="163"/>
    <n v="163"/>
    <n v="10"/>
    <n v="58"/>
    <s v="&gt;50"/>
    <n v="173"/>
    <m/>
    <m/>
    <m/>
    <x v="0"/>
    <m/>
    <n v="13"/>
  </r>
  <r>
    <n v="9940"/>
    <n v="1958"/>
    <x v="0"/>
    <x v="1"/>
    <n v="64961"/>
    <n v="0"/>
    <d v="1899-12-31T00:00:00"/>
    <d v="2012-12-23T00:00:00"/>
    <n v="97"/>
    <n v="114"/>
    <n v="124"/>
    <n v="124"/>
    <n v="4"/>
    <n v="68"/>
    <s v="&gt;50"/>
    <n v="128"/>
    <m/>
    <m/>
    <m/>
    <x v="0"/>
    <m/>
    <n v="14"/>
  </r>
  <r>
    <n v="10735"/>
    <n v="1971"/>
    <x v="0"/>
    <x v="0"/>
    <n v="22804"/>
    <n v="1"/>
    <d v="1899-12-30T00:00:00"/>
    <d v="2013-07-31T00:00:00"/>
    <n v="75"/>
    <n v="1"/>
    <n v="1"/>
    <n v="1"/>
    <n v="2"/>
    <n v="55"/>
    <s v="&gt;50"/>
    <n v="3"/>
    <m/>
    <m/>
    <m/>
    <x v="2"/>
    <m/>
    <n v="13"/>
  </r>
  <r>
    <n v="9529"/>
    <n v="1990"/>
    <x v="0"/>
    <x v="2"/>
    <n v="73687"/>
    <n v="0"/>
    <d v="1899-12-30T00:00:00"/>
    <d v="2013-11-28T00:00:00"/>
    <n v="8"/>
    <n v="153"/>
    <n v="13"/>
    <n v="13"/>
    <n v="9"/>
    <n v="36"/>
    <s v="30-50"/>
    <n v="22"/>
    <m/>
    <m/>
    <m/>
    <x v="0"/>
    <m/>
    <n v="13"/>
  </r>
  <r>
    <n v="6439"/>
    <n v="1958"/>
    <x v="0"/>
    <x v="2"/>
    <n v="61074"/>
    <n v="0"/>
    <d v="1899-12-31T00:00:00"/>
    <d v="2012-08-17T00:00:00"/>
    <n v="37"/>
    <n v="0"/>
    <n v="28"/>
    <n v="28"/>
    <n v="8"/>
    <n v="68"/>
    <s v="&gt;50"/>
    <n v="36"/>
    <m/>
    <m/>
    <m/>
    <x v="0"/>
    <m/>
    <n v="14"/>
  </r>
  <r>
    <n v="7411"/>
    <n v="1964"/>
    <x v="1"/>
    <x v="2"/>
    <n v="31686"/>
    <n v="1"/>
    <d v="1899-12-31T00:00:00"/>
    <d v="2014-06-05T00:00:00"/>
    <n v="31"/>
    <n v="0"/>
    <n v="0"/>
    <n v="0"/>
    <n v="3"/>
    <n v="62"/>
    <s v="&gt;50"/>
    <n v="3"/>
    <m/>
    <m/>
    <m/>
    <x v="1"/>
    <m/>
    <n v="12"/>
  </r>
  <r>
    <n v="2176"/>
    <n v="1972"/>
    <x v="0"/>
    <x v="2"/>
    <n v="80134"/>
    <n v="1"/>
    <d v="1899-12-30T00:00:00"/>
    <d v="2013-05-20T00:00:00"/>
    <n v="40"/>
    <n v="16"/>
    <n v="0"/>
    <n v="0"/>
    <n v="6"/>
    <n v="54"/>
    <s v="&gt;50"/>
    <n v="6"/>
    <m/>
    <m/>
    <m/>
    <x v="3"/>
    <m/>
    <n v="13"/>
  </r>
  <r>
    <n v="9265"/>
    <n v="1953"/>
    <x v="0"/>
    <x v="2"/>
    <n v="75027"/>
    <n v="0"/>
    <d v="1899-12-31T00:00:00"/>
    <d v="2013-01-09T00:00:00"/>
    <n v="74"/>
    <n v="64"/>
    <n v="12"/>
    <n v="12"/>
    <n v="6"/>
    <n v="73"/>
    <s v="&gt;50"/>
    <n v="18"/>
    <m/>
    <m/>
    <m/>
    <x v="3"/>
    <m/>
    <n v="13"/>
  </r>
  <r>
    <n v="8867"/>
    <n v="1988"/>
    <x v="1"/>
    <x v="2"/>
    <n v="67546"/>
    <n v="0"/>
    <d v="1899-12-30T00:00:00"/>
    <d v="2012-08-31T00:00:00"/>
    <n v="90"/>
    <n v="134"/>
    <n v="38"/>
    <n v="38"/>
    <n v="5"/>
    <n v="38"/>
    <s v="30-50"/>
    <n v="43"/>
    <m/>
    <m/>
    <m/>
    <x v="0"/>
    <m/>
    <n v="14"/>
  </r>
  <r>
    <n v="8932"/>
    <n v="1969"/>
    <x v="2"/>
    <x v="1"/>
    <n v="65176"/>
    <n v="0"/>
    <d v="1899-12-31T00:00:00"/>
    <d v="2012-10-29T00:00:00"/>
    <n v="57"/>
    <n v="28"/>
    <n v="70"/>
    <n v="70"/>
    <n v="6"/>
    <n v="57"/>
    <s v="&gt;50"/>
    <n v="76"/>
    <m/>
    <m/>
    <m/>
    <x v="0"/>
    <m/>
    <n v="14"/>
  </r>
  <r>
    <n v="10236"/>
    <n v="1975"/>
    <x v="2"/>
    <x v="0"/>
    <n v="31160"/>
    <n v="1"/>
    <d v="1899-12-30T00:00:00"/>
    <d v="2013-09-16T00:00:00"/>
    <n v="59"/>
    <n v="3"/>
    <n v="1"/>
    <n v="1"/>
    <n v="3"/>
    <n v="51"/>
    <s v="&gt;50"/>
    <n v="4"/>
    <m/>
    <m/>
    <m/>
    <x v="1"/>
    <m/>
    <n v="13"/>
  </r>
  <r>
    <n v="6340"/>
    <n v="1985"/>
    <x v="0"/>
    <x v="0"/>
    <n v="29938"/>
    <n v="1"/>
    <d v="1899-12-30T00:00:00"/>
    <d v="2013-10-27T00:00:00"/>
    <n v="52"/>
    <n v="3"/>
    <n v="2"/>
    <n v="2"/>
    <n v="3"/>
    <n v="41"/>
    <s v="30-50"/>
    <n v="5"/>
    <m/>
    <m/>
    <m/>
    <x v="2"/>
    <m/>
    <n v="13"/>
  </r>
  <r>
    <n v="10089"/>
    <n v="1974"/>
    <x v="0"/>
    <x v="3"/>
    <n v="102692"/>
    <n v="0"/>
    <d v="1899-12-30T00:00:00"/>
    <d v="2013-04-05T00:00:00"/>
    <n v="5"/>
    <n v="148"/>
    <n v="172"/>
    <n v="172"/>
    <n v="13"/>
    <n v="52"/>
    <s v="&gt;50"/>
    <n v="185"/>
    <m/>
    <m/>
    <m/>
    <x v="4"/>
    <m/>
    <n v="13"/>
  </r>
  <r>
    <n v="2227"/>
    <n v="1958"/>
    <x v="4"/>
    <x v="1"/>
    <n v="26490"/>
    <n v="0"/>
    <d v="1899-12-30T00:00:00"/>
    <d v="2012-09-22T00:00:00"/>
    <n v="92"/>
    <n v="47"/>
    <n v="20"/>
    <n v="20"/>
    <n v="5"/>
    <n v="68"/>
    <s v="&gt;50"/>
    <n v="25"/>
    <m/>
    <m/>
    <m/>
    <x v="2"/>
    <m/>
    <n v="14"/>
  </r>
  <r>
    <n v="10992"/>
    <n v="1967"/>
    <x v="0"/>
    <x v="1"/>
    <n v="75702"/>
    <n v="1"/>
    <d v="1899-12-31T00:00:00"/>
    <d v="2012-08-29T00:00:00"/>
    <n v="77"/>
    <n v="28"/>
    <n v="42"/>
    <n v="42"/>
    <n v="11"/>
    <n v="59"/>
    <s v="&gt;50"/>
    <n v="53"/>
    <m/>
    <m/>
    <m/>
    <x v="3"/>
    <m/>
    <n v="14"/>
  </r>
  <r>
    <n v="5304"/>
    <n v="1974"/>
    <x v="1"/>
    <x v="0"/>
    <n v="30899"/>
    <n v="1"/>
    <d v="1899-12-30T00:00:00"/>
    <d v="2012-10-13T00:00:00"/>
    <n v="35"/>
    <n v="0"/>
    <n v="0"/>
    <n v="0"/>
    <n v="3"/>
    <n v="52"/>
    <s v="&gt;50"/>
    <n v="3"/>
    <m/>
    <m/>
    <m/>
    <x v="1"/>
    <m/>
    <n v="14"/>
  </r>
  <r>
    <n v="309"/>
    <n v="1961"/>
    <x v="1"/>
    <x v="1"/>
    <n v="63342"/>
    <n v="0"/>
    <d v="1899-12-31T00:00:00"/>
    <d v="2012-10-16T00:00:00"/>
    <n v="48"/>
    <n v="21"/>
    <n v="10"/>
    <n v="10"/>
    <n v="5"/>
    <n v="65"/>
    <s v="&gt;50"/>
    <n v="15"/>
    <m/>
    <m/>
    <m/>
    <x v="0"/>
    <m/>
    <n v="14"/>
  </r>
  <r>
    <n v="3406"/>
    <n v="1964"/>
    <x v="0"/>
    <x v="0"/>
    <n v="45989"/>
    <n v="0"/>
    <d v="1899-12-31T00:00:00"/>
    <d v="2012-10-22T00:00:00"/>
    <n v="97"/>
    <n v="33"/>
    <n v="24"/>
    <n v="24"/>
    <n v="7"/>
    <n v="62"/>
    <s v="&gt;50"/>
    <n v="31"/>
    <m/>
    <m/>
    <m/>
    <x v="1"/>
    <m/>
    <n v="14"/>
  </r>
  <r>
    <n v="2661"/>
    <n v="1964"/>
    <x v="0"/>
    <x v="0"/>
    <n v="18701"/>
    <n v="1"/>
    <d v="1899-12-31T00:00:00"/>
    <d v="2013-06-04T00:00:00"/>
    <n v="95"/>
    <n v="4"/>
    <n v="6"/>
    <n v="6"/>
    <n v="4"/>
    <n v="62"/>
    <s v="&gt;50"/>
    <n v="10"/>
    <m/>
    <m/>
    <m/>
    <x v="2"/>
    <m/>
    <n v="13"/>
  </r>
  <r>
    <n v="3153"/>
    <n v="1957"/>
    <x v="1"/>
    <x v="0"/>
    <n v="40737"/>
    <n v="2"/>
    <d v="1899-12-31T00:00:00"/>
    <d v="2013-12-08T00:00:00"/>
    <n v="24"/>
    <n v="0"/>
    <n v="0"/>
    <n v="0"/>
    <n v="2"/>
    <n v="69"/>
    <s v="&gt;50"/>
    <n v="2"/>
    <m/>
    <m/>
    <m/>
    <x v="1"/>
    <m/>
    <n v="13"/>
  </r>
  <r>
    <n v="10264"/>
    <n v="1979"/>
    <x v="0"/>
    <x v="3"/>
    <n v="15287"/>
    <n v="1"/>
    <d v="1899-12-30T00:00:00"/>
    <d v="2012-10-10T00:00:00"/>
    <n v="60"/>
    <n v="2"/>
    <n v="3"/>
    <n v="3"/>
    <n v="2"/>
    <n v="47"/>
    <s v="30-50"/>
    <n v="5"/>
    <m/>
    <m/>
    <m/>
    <x v="2"/>
    <m/>
    <n v="14"/>
  </r>
  <r>
    <n v="1184"/>
    <n v="1968"/>
    <x v="1"/>
    <x v="3"/>
    <n v="69674"/>
    <n v="0"/>
    <d v="1900-01-01T00:00:00"/>
    <d v="2013-05-22T00:00:00"/>
    <n v="46"/>
    <n v="41"/>
    <n v="0"/>
    <n v="0"/>
    <n v="10"/>
    <n v="58"/>
    <s v="&gt;50"/>
    <n v="10"/>
    <m/>
    <m/>
    <m/>
    <x v="0"/>
    <m/>
    <n v="13"/>
  </r>
  <r>
    <n v="4200"/>
    <n v="1970"/>
    <x v="2"/>
    <x v="2"/>
    <n v="44159"/>
    <n v="1"/>
    <d v="1899-12-30T00:00:00"/>
    <d v="2014-06-17T00:00:00"/>
    <n v="85"/>
    <n v="2"/>
    <n v="13"/>
    <n v="13"/>
    <n v="6"/>
    <n v="56"/>
    <s v="&gt;50"/>
    <n v="19"/>
    <m/>
    <m/>
    <m/>
    <x v="1"/>
    <m/>
    <n v="12"/>
  </r>
  <r>
    <n v="9396"/>
    <n v="1978"/>
    <x v="1"/>
    <x v="2"/>
    <n v="37717"/>
    <n v="1"/>
    <d v="1899-12-30T00:00:00"/>
    <d v="2012-11-23T00:00:00"/>
    <n v="31"/>
    <n v="0"/>
    <n v="1"/>
    <n v="1"/>
    <n v="2"/>
    <n v="48"/>
    <s v="30-50"/>
    <n v="3"/>
    <m/>
    <m/>
    <m/>
    <x v="1"/>
    <m/>
    <n v="14"/>
  </r>
  <r>
    <n v="2387"/>
    <n v="1952"/>
    <x v="2"/>
    <x v="1"/>
    <n v="43776"/>
    <n v="1"/>
    <d v="1899-12-31T00:00:00"/>
    <d v="2013-02-03T00:00:00"/>
    <n v="9"/>
    <n v="2"/>
    <n v="2"/>
    <n v="2"/>
    <n v="4"/>
    <n v="74"/>
    <s v="&gt;50"/>
    <n v="6"/>
    <m/>
    <m/>
    <m/>
    <x v="1"/>
    <m/>
    <n v="13"/>
  </r>
  <r>
    <n v="6690"/>
    <n v="1966"/>
    <x v="2"/>
    <x v="2"/>
    <n v="38179"/>
    <n v="1"/>
    <d v="1899-12-31T00:00:00"/>
    <d v="2013-03-14T00:00:00"/>
    <n v="30"/>
    <n v="4"/>
    <n v="2"/>
    <n v="2"/>
    <n v="3"/>
    <n v="60"/>
    <s v="&gt;50"/>
    <n v="5"/>
    <m/>
    <m/>
    <m/>
    <x v="1"/>
    <m/>
    <n v="13"/>
  </r>
  <r>
    <n v="1225"/>
    <n v="1963"/>
    <x v="0"/>
    <x v="2"/>
    <n v="80124"/>
    <n v="0"/>
    <d v="1899-12-30T00:00:00"/>
    <d v="2014-06-26T00:00:00"/>
    <n v="47"/>
    <n v="84"/>
    <n v="84"/>
    <n v="84"/>
    <n v="8"/>
    <n v="63"/>
    <s v="&gt;50"/>
    <n v="92"/>
    <m/>
    <m/>
    <m/>
    <x v="3"/>
    <m/>
    <n v="12"/>
  </r>
  <r>
    <n v="9703"/>
    <n v="1970"/>
    <x v="1"/>
    <x v="2"/>
    <n v="38097"/>
    <n v="1"/>
    <d v="1899-12-31T00:00:00"/>
    <d v="2012-10-15T00:00:00"/>
    <n v="70"/>
    <n v="2"/>
    <n v="1"/>
    <n v="1"/>
    <n v="2"/>
    <n v="56"/>
    <s v="&gt;50"/>
    <n v="3"/>
    <m/>
    <m/>
    <m/>
    <x v="1"/>
    <m/>
    <n v="14"/>
  </r>
  <r>
    <n v="291"/>
    <n v="1970"/>
    <x v="0"/>
    <x v="2"/>
    <n v="72940"/>
    <n v="0"/>
    <d v="1899-12-30T00:00:00"/>
    <d v="2013-06-19T00:00:00"/>
    <n v="13"/>
    <n v="74"/>
    <n v="149"/>
    <n v="149"/>
    <n v="6"/>
    <n v="56"/>
    <s v="&gt;50"/>
    <n v="155"/>
    <m/>
    <m/>
    <m/>
    <x v="0"/>
    <m/>
    <n v="13"/>
  </r>
  <r>
    <n v="4557"/>
    <n v="1970"/>
    <x v="0"/>
    <x v="1"/>
    <n v="22070"/>
    <n v="1"/>
    <d v="1899-12-30T00:00:00"/>
    <d v="2013-10-04T00:00:00"/>
    <n v="11"/>
    <n v="7"/>
    <n v="2"/>
    <n v="2"/>
    <n v="2"/>
    <n v="56"/>
    <s v="&gt;50"/>
    <n v="4"/>
    <m/>
    <m/>
    <m/>
    <x v="2"/>
    <m/>
    <n v="13"/>
  </r>
  <r>
    <n v="2379"/>
    <n v="1953"/>
    <x v="0"/>
    <x v="0"/>
    <n v="69267"/>
    <n v="0"/>
    <d v="1899-12-30T00:00:00"/>
    <d v="2012-09-22T00:00:00"/>
    <n v="31"/>
    <n v="44"/>
    <n v="73"/>
    <n v="73"/>
    <n v="5"/>
    <n v="73"/>
    <s v="&gt;50"/>
    <n v="78"/>
    <m/>
    <m/>
    <m/>
    <x v="0"/>
    <m/>
    <n v="14"/>
  </r>
  <r>
    <n v="5726"/>
    <n v="1983"/>
    <x v="2"/>
    <x v="0"/>
    <n v="31788"/>
    <n v="1"/>
    <d v="1899-12-30T00:00:00"/>
    <d v="2014-03-20T00:00:00"/>
    <n v="15"/>
    <n v="7"/>
    <n v="8"/>
    <n v="8"/>
    <n v="4"/>
    <n v="43"/>
    <s v="30-50"/>
    <n v="12"/>
    <m/>
    <m/>
    <m/>
    <x v="1"/>
    <m/>
    <n v="12"/>
  </r>
  <r>
    <n v="3066"/>
    <n v="1975"/>
    <x v="1"/>
    <x v="1"/>
    <n v="61905"/>
    <n v="0"/>
    <d v="1899-12-31T00:00:00"/>
    <d v="2014-02-04T00:00:00"/>
    <n v="2"/>
    <n v="0"/>
    <n v="2"/>
    <n v="2"/>
    <n v="4"/>
    <n v="51"/>
    <s v="&gt;50"/>
    <n v="6"/>
    <m/>
    <m/>
    <m/>
    <x v="0"/>
    <m/>
    <n v="12"/>
  </r>
  <r>
    <n v="6336"/>
    <n v="1960"/>
    <x v="0"/>
    <x v="2"/>
    <n v="29315"/>
    <n v="1"/>
    <d v="1899-12-31T00:00:00"/>
    <d v="2014-04-06T00:00:00"/>
    <n v="55"/>
    <n v="2"/>
    <n v="7"/>
    <n v="7"/>
    <n v="4"/>
    <n v="66"/>
    <s v="&gt;50"/>
    <n v="11"/>
    <m/>
    <m/>
    <m/>
    <x v="2"/>
    <m/>
    <n v="12"/>
  </r>
  <r>
    <n v="10967"/>
    <n v="1963"/>
    <x v="0"/>
    <x v="3"/>
    <n v="33378"/>
    <n v="1"/>
    <d v="1899-12-31T00:00:00"/>
    <d v="2013-02-06T00:00:00"/>
    <n v="38"/>
    <n v="6"/>
    <n v="7"/>
    <n v="7"/>
    <n v="4"/>
    <n v="63"/>
    <s v="&gt;50"/>
    <n v="11"/>
    <m/>
    <m/>
    <m/>
    <x v="1"/>
    <m/>
    <n v="13"/>
  </r>
  <r>
    <n v="2304"/>
    <n v="1963"/>
    <x v="1"/>
    <x v="1"/>
    <n v="66313"/>
    <n v="0"/>
    <d v="1899-12-31T00:00:00"/>
    <d v="2013-09-16T00:00:00"/>
    <n v="86"/>
    <n v="7"/>
    <n v="22"/>
    <n v="22"/>
    <n v="12"/>
    <n v="63"/>
    <s v="&gt;50"/>
    <n v="34"/>
    <m/>
    <m/>
    <m/>
    <x v="0"/>
    <m/>
    <n v="13"/>
  </r>
  <r>
    <n v="3445"/>
    <n v="1956"/>
    <x v="0"/>
    <x v="0"/>
    <n v="60714"/>
    <n v="0"/>
    <d v="1899-12-30T00:00:00"/>
    <d v="2013-01-17T00:00:00"/>
    <n v="56"/>
    <n v="162"/>
    <n v="92"/>
    <n v="92"/>
    <n v="10"/>
    <n v="70"/>
    <s v="&gt;50"/>
    <n v="102"/>
    <m/>
    <m/>
    <m/>
    <x v="0"/>
    <m/>
    <n v="13"/>
  </r>
  <r>
    <n v="7828"/>
    <n v="1981"/>
    <x v="2"/>
    <x v="1"/>
    <n v="77882"/>
    <n v="0"/>
    <d v="1899-12-30T00:00:00"/>
    <d v="2014-04-30T00:00:00"/>
    <n v="29"/>
    <n v="129"/>
    <n v="22"/>
    <n v="22"/>
    <n v="5"/>
    <n v="45"/>
    <s v="30-50"/>
    <n v="27"/>
    <m/>
    <m/>
    <m/>
    <x v="3"/>
    <m/>
    <n v="12"/>
  </r>
  <r>
    <n v="3762"/>
    <n v="1986"/>
    <x v="1"/>
    <x v="0"/>
    <n v="69867"/>
    <n v="0"/>
    <d v="1899-12-30T00:00:00"/>
    <d v="2013-04-02T00:00:00"/>
    <n v="30"/>
    <n v="0"/>
    <n v="130"/>
    <n v="130"/>
    <n v="8"/>
    <n v="40"/>
    <s v="30-50"/>
    <n v="138"/>
    <m/>
    <m/>
    <m/>
    <x v="0"/>
    <m/>
    <n v="13"/>
  </r>
  <r>
    <n v="4391"/>
    <n v="1968"/>
    <x v="2"/>
    <x v="3"/>
    <n v="63841"/>
    <n v="0"/>
    <d v="1899-12-31T00:00:00"/>
    <d v="2013-04-21T00:00:00"/>
    <n v="64"/>
    <n v="15"/>
    <n v="7"/>
    <n v="7"/>
    <n v="9"/>
    <n v="58"/>
    <s v="&gt;50"/>
    <n v="16"/>
    <m/>
    <m/>
    <m/>
    <x v="0"/>
    <m/>
    <n v="13"/>
  </r>
  <r>
    <n v="4669"/>
    <n v="1981"/>
    <x v="3"/>
    <x v="2"/>
    <n v="24480"/>
    <n v="1"/>
    <d v="1899-12-30T00:00:00"/>
    <d v="2013-02-11T00:00:00"/>
    <n v="46"/>
    <n v="19"/>
    <n v="25"/>
    <n v="25"/>
    <n v="4"/>
    <n v="45"/>
    <s v="30-50"/>
    <n v="29"/>
    <m/>
    <m/>
    <m/>
    <x v="2"/>
    <m/>
    <n v="13"/>
  </r>
  <r>
    <n v="10144"/>
    <n v="1976"/>
    <x v="0"/>
    <x v="1"/>
    <n v="51369"/>
    <n v="0"/>
    <d v="1899-12-31T00:00:00"/>
    <d v="2012-10-25T00:00:00"/>
    <n v="84"/>
    <n v="7"/>
    <n v="11"/>
    <n v="11"/>
    <n v="4"/>
    <n v="50"/>
    <s v="30-50"/>
    <n v="15"/>
    <m/>
    <m/>
    <m/>
    <x v="0"/>
    <m/>
    <n v="14"/>
  </r>
  <r>
    <n v="8652"/>
    <n v="1946"/>
    <x v="0"/>
    <x v="1"/>
    <n v="37760"/>
    <n v="0"/>
    <d v="1899-12-30T00:00:00"/>
    <d v="2012-08-31T00:00:00"/>
    <n v="20"/>
    <n v="5"/>
    <n v="12"/>
    <n v="12"/>
    <n v="6"/>
    <n v="80"/>
    <s v="&gt;50"/>
    <n v="18"/>
    <m/>
    <m/>
    <m/>
    <x v="1"/>
    <m/>
    <n v="14"/>
  </r>
  <r>
    <n v="1672"/>
    <n v="1974"/>
    <x v="1"/>
    <x v="1"/>
    <n v="65640"/>
    <n v="0"/>
    <d v="1899-12-31T00:00:00"/>
    <d v="2014-03-01T00:00:00"/>
    <n v="74"/>
    <n v="7"/>
    <n v="15"/>
    <n v="15"/>
    <n v="8"/>
    <n v="52"/>
    <s v="&gt;50"/>
    <n v="23"/>
    <m/>
    <m/>
    <m/>
    <x v="0"/>
    <m/>
    <n v="12"/>
  </r>
  <r>
    <n v="8962"/>
    <n v="1975"/>
    <x v="2"/>
    <x v="2"/>
    <n v="44319"/>
    <n v="1"/>
    <d v="1899-12-31T00:00:00"/>
    <d v="2014-04-17T00:00:00"/>
    <n v="18"/>
    <n v="0"/>
    <n v="0"/>
    <n v="0"/>
    <n v="3"/>
    <n v="51"/>
    <s v="&gt;50"/>
    <n v="3"/>
    <m/>
    <m/>
    <m/>
    <x v="1"/>
    <m/>
    <n v="12"/>
  </r>
  <r>
    <n v="9974"/>
    <n v="1974"/>
    <x v="0"/>
    <x v="2"/>
    <n v="30631"/>
    <n v="1"/>
    <d v="1899-12-30T00:00:00"/>
    <d v="2013-07-12T00:00:00"/>
    <n v="75"/>
    <n v="6"/>
    <n v="5"/>
    <n v="5"/>
    <n v="2"/>
    <n v="52"/>
    <s v="&gt;50"/>
    <n v="7"/>
    <m/>
    <m/>
    <m/>
    <x v="1"/>
    <m/>
    <n v="13"/>
  </r>
  <r>
    <n v="10983"/>
    <n v="1952"/>
    <x v="0"/>
    <x v="1"/>
    <n v="75278"/>
    <n v="0"/>
    <d v="1899-12-30T00:00:00"/>
    <d v="2013-01-29T00:00:00"/>
    <n v="17"/>
    <n v="98"/>
    <n v="74"/>
    <n v="74"/>
    <n v="13"/>
    <n v="74"/>
    <s v="&gt;50"/>
    <n v="87"/>
    <m/>
    <m/>
    <m/>
    <x v="3"/>
    <m/>
    <n v="13"/>
  </r>
  <r>
    <n v="8148"/>
    <n v="1956"/>
    <x v="2"/>
    <x v="1"/>
    <n v="50898"/>
    <n v="1"/>
    <d v="1899-12-31T00:00:00"/>
    <d v="2013-01-08T00:00:00"/>
    <n v="88"/>
    <n v="28"/>
    <n v="114"/>
    <n v="114"/>
    <n v="12"/>
    <n v="70"/>
    <s v="&gt;50"/>
    <n v="126"/>
    <m/>
    <m/>
    <m/>
    <x v="0"/>
    <m/>
    <n v="13"/>
  </r>
  <r>
    <n v="10102"/>
    <n v="1966"/>
    <x v="0"/>
    <x v="4"/>
    <n v="79946"/>
    <n v="0"/>
    <d v="1899-12-30T00:00:00"/>
    <d v="2014-05-12T00:00:00"/>
    <n v="19"/>
    <n v="183"/>
    <n v="141"/>
    <n v="141"/>
    <n v="5"/>
    <n v="60"/>
    <s v="&gt;50"/>
    <n v="146"/>
    <m/>
    <m/>
    <m/>
    <x v="3"/>
    <m/>
    <n v="12"/>
  </r>
  <r>
    <n v="4697"/>
    <n v="1949"/>
    <x v="2"/>
    <x v="3"/>
    <n v="35416"/>
    <n v="0"/>
    <d v="1899-12-30T00:00:00"/>
    <d v="2013-06-13T00:00:00"/>
    <n v="62"/>
    <n v="3"/>
    <n v="3"/>
    <n v="3"/>
    <n v="5"/>
    <n v="77"/>
    <s v="&gt;50"/>
    <n v="8"/>
    <m/>
    <m/>
    <m/>
    <x v="1"/>
    <m/>
    <n v="13"/>
  </r>
  <r>
    <n v="9262"/>
    <n v="1984"/>
    <x v="4"/>
    <x v="1"/>
    <n v="32414"/>
    <n v="0"/>
    <d v="1899-12-30T00:00:00"/>
    <d v="2013-07-04T00:00:00"/>
    <n v="11"/>
    <n v="6"/>
    <n v="9"/>
    <n v="9"/>
    <n v="3"/>
    <n v="42"/>
    <s v="30-50"/>
    <n v="12"/>
    <m/>
    <m/>
    <m/>
    <x v="1"/>
    <m/>
    <n v="13"/>
  </r>
  <r>
    <n v="7254"/>
    <n v="1969"/>
    <x v="0"/>
    <x v="1"/>
    <n v="38361"/>
    <n v="1"/>
    <d v="1899-12-30T00:00:00"/>
    <d v="2013-12-27T00:00:00"/>
    <n v="74"/>
    <n v="0"/>
    <n v="8"/>
    <n v="8"/>
    <n v="3"/>
    <n v="57"/>
    <s v="&gt;50"/>
    <n v="11"/>
    <m/>
    <m/>
    <m/>
    <x v="1"/>
    <m/>
    <n v="13"/>
  </r>
  <r>
    <n v="4543"/>
    <n v="1980"/>
    <x v="0"/>
    <x v="2"/>
    <n v="82497"/>
    <n v="0"/>
    <d v="1899-12-30T00:00:00"/>
    <d v="2012-10-31T00:00:00"/>
    <n v="32"/>
    <n v="129"/>
    <n v="21"/>
    <n v="21"/>
    <n v="9"/>
    <n v="46"/>
    <s v="30-50"/>
    <n v="30"/>
    <m/>
    <m/>
    <m/>
    <x v="3"/>
    <m/>
    <n v="14"/>
  </r>
  <r>
    <n v="4927"/>
    <n v="1971"/>
    <x v="0"/>
    <x v="1"/>
    <n v="16626"/>
    <n v="2"/>
    <d v="1899-12-30T00:00:00"/>
    <d v="2014-01-15T00:00:00"/>
    <n v="76"/>
    <n v="3"/>
    <n v="1"/>
    <n v="1"/>
    <n v="3"/>
    <n v="55"/>
    <s v="&gt;50"/>
    <n v="4"/>
    <m/>
    <m/>
    <m/>
    <x v="2"/>
    <m/>
    <n v="12"/>
  </r>
  <r>
    <n v="10451"/>
    <n v="1965"/>
    <x v="0"/>
    <x v="1"/>
    <n v="29672"/>
    <n v="1"/>
    <d v="1899-12-31T00:00:00"/>
    <d v="2013-03-12T00:00:00"/>
    <n v="6"/>
    <n v="1"/>
    <n v="4"/>
    <n v="4"/>
    <n v="3"/>
    <n v="61"/>
    <s v="&gt;50"/>
    <n v="7"/>
    <m/>
    <m/>
    <m/>
    <x v="2"/>
    <m/>
    <n v="13"/>
  </r>
  <r>
    <n v="2926"/>
    <n v="1952"/>
    <x v="2"/>
    <x v="1"/>
    <n v="55951"/>
    <n v="0"/>
    <d v="1899-12-31T00:00:00"/>
    <d v="2012-08-23T00:00:00"/>
    <n v="62"/>
    <n v="0"/>
    <n v="13"/>
    <n v="13"/>
    <n v="11"/>
    <n v="74"/>
    <s v="&gt;50"/>
    <n v="24"/>
    <m/>
    <m/>
    <m/>
    <x v="0"/>
    <m/>
    <n v="14"/>
  </r>
  <r>
    <n v="2874"/>
    <n v="1988"/>
    <x v="4"/>
    <x v="3"/>
    <n v="35388"/>
    <n v="1"/>
    <d v="1899-12-30T00:00:00"/>
    <d v="2013-03-07T00:00:00"/>
    <n v="20"/>
    <n v="4"/>
    <n v="3"/>
    <n v="3"/>
    <n v="3"/>
    <n v="38"/>
    <s v="30-50"/>
    <n v="6"/>
    <m/>
    <m/>
    <m/>
    <x v="1"/>
    <m/>
    <n v="13"/>
  </r>
  <r>
    <n v="9738"/>
    <n v="1986"/>
    <x v="2"/>
    <x v="1"/>
    <n v="42386"/>
    <n v="1"/>
    <d v="1899-12-30T00:00:00"/>
    <d v="2013-01-13T00:00:00"/>
    <n v="43"/>
    <n v="4"/>
    <n v="4"/>
    <n v="4"/>
    <n v="3"/>
    <n v="40"/>
    <s v="30-50"/>
    <n v="7"/>
    <m/>
    <m/>
    <m/>
    <x v="1"/>
    <m/>
    <n v="13"/>
  </r>
  <r>
    <n v="7119"/>
    <n v="1982"/>
    <x v="0"/>
    <x v="0"/>
    <n v="68627"/>
    <n v="0"/>
    <d v="1899-12-30T00:00:00"/>
    <d v="2013-01-12T00:00:00"/>
    <n v="45"/>
    <n v="15"/>
    <n v="54"/>
    <n v="54"/>
    <n v="6"/>
    <n v="44"/>
    <s v="30-50"/>
    <n v="60"/>
    <m/>
    <m/>
    <m/>
    <x v="0"/>
    <m/>
    <n v="13"/>
  </r>
  <r>
    <n v="3924"/>
    <n v="1965"/>
    <x v="1"/>
    <x v="3"/>
    <n v="57912"/>
    <n v="0"/>
    <d v="1899-12-31T00:00:00"/>
    <d v="2014-03-17T00:00:00"/>
    <n v="34"/>
    <n v="0"/>
    <n v="0"/>
    <n v="0"/>
    <n v="12"/>
    <n v="61"/>
    <s v="&gt;50"/>
    <n v="12"/>
    <m/>
    <m/>
    <m/>
    <x v="0"/>
    <m/>
    <n v="12"/>
  </r>
  <r>
    <n v="5827"/>
    <n v="1958"/>
    <x v="0"/>
    <x v="3"/>
    <n v="35246"/>
    <n v="1"/>
    <d v="1899-12-31T00:00:00"/>
    <d v="2014-04-16T00:00:00"/>
    <n v="53"/>
    <n v="0"/>
    <n v="2"/>
    <n v="2"/>
    <n v="3"/>
    <n v="68"/>
    <s v="&gt;50"/>
    <n v="5"/>
    <m/>
    <m/>
    <m/>
    <x v="1"/>
    <m/>
    <n v="12"/>
  </r>
  <r>
    <n v="5596"/>
    <n v="1956"/>
    <x v="4"/>
    <x v="1"/>
    <n v="58821"/>
    <n v="0"/>
    <d v="1899-12-31T00:00:00"/>
    <d v="2013-10-12T00:00:00"/>
    <n v="44"/>
    <n v="14"/>
    <n v="0"/>
    <n v="0"/>
    <n v="9"/>
    <n v="70"/>
    <s v="&gt;50"/>
    <n v="9"/>
    <m/>
    <m/>
    <m/>
    <x v="0"/>
    <m/>
    <n v="13"/>
  </r>
  <r>
    <n v="10812"/>
    <n v="1978"/>
    <x v="1"/>
    <x v="2"/>
    <n v="46377"/>
    <n v="1"/>
    <d v="1899-12-30T00:00:00"/>
    <d v="2014-03-01T00:00:00"/>
    <n v="89"/>
    <n v="0"/>
    <n v="3"/>
    <n v="3"/>
    <n v="3"/>
    <n v="48"/>
    <s v="30-50"/>
    <n v="6"/>
    <m/>
    <m/>
    <m/>
    <x v="1"/>
    <m/>
    <n v="12"/>
  </r>
  <r>
    <n v="1717"/>
    <n v="1988"/>
    <x v="0"/>
    <x v="0"/>
    <n v="39747"/>
    <n v="1"/>
    <d v="1899-12-30T00:00:00"/>
    <d v="2014-04-13T00:00:00"/>
    <n v="43"/>
    <n v="15"/>
    <n v="13"/>
    <n v="13"/>
    <n v="4"/>
    <n v="38"/>
    <s v="30-50"/>
    <n v="17"/>
    <m/>
    <m/>
    <m/>
    <x v="1"/>
    <m/>
    <n v="12"/>
  </r>
  <r>
    <n v="9491"/>
    <n v="1984"/>
    <x v="0"/>
    <x v="1"/>
    <n v="23976"/>
    <n v="1"/>
    <d v="1899-12-30T00:00:00"/>
    <d v="2013-12-27T00:00:00"/>
    <n v="68"/>
    <n v="1"/>
    <n v="3"/>
    <n v="3"/>
    <n v="3"/>
    <n v="42"/>
    <s v="30-50"/>
    <n v="6"/>
    <m/>
    <m/>
    <m/>
    <x v="2"/>
    <m/>
    <n v="13"/>
  </r>
  <r>
    <n v="9274"/>
    <n v="1961"/>
    <x v="2"/>
    <x v="2"/>
    <n v="80950"/>
    <n v="0"/>
    <d v="1899-12-30T00:00:00"/>
    <d v="2013-03-28T00:00:00"/>
    <n v="44"/>
    <n v="147"/>
    <n v="147"/>
    <n v="147"/>
    <n v="9"/>
    <n v="65"/>
    <s v="&gt;50"/>
    <n v="156"/>
    <m/>
    <m/>
    <m/>
    <x v="3"/>
    <m/>
    <n v="13"/>
  </r>
  <r>
    <n v="6609"/>
    <n v="1966"/>
    <x v="0"/>
    <x v="4"/>
    <n v="27038"/>
    <n v="0"/>
    <d v="1899-12-30T00:00:00"/>
    <d v="2012-09-18T00:00:00"/>
    <n v="64"/>
    <n v="26"/>
    <n v="23"/>
    <n v="23"/>
    <n v="3"/>
    <n v="60"/>
    <s v="&gt;50"/>
    <n v="26"/>
    <m/>
    <m/>
    <m/>
    <x v="2"/>
    <m/>
    <n v="14"/>
  </r>
  <r>
    <n v="6963"/>
    <n v="1947"/>
    <x v="0"/>
    <x v="0"/>
    <n v="77457"/>
    <n v="0"/>
    <d v="1899-12-30T00:00:00"/>
    <d v="2014-03-05T00:00:00"/>
    <n v="85"/>
    <n v="11"/>
    <n v="45"/>
    <n v="45"/>
    <n v="10"/>
    <n v="79"/>
    <s v="&gt;50"/>
    <n v="55"/>
    <m/>
    <m/>
    <m/>
    <x v="3"/>
    <m/>
    <n v="12"/>
  </r>
  <r>
    <n v="4440"/>
    <n v="1964"/>
    <x v="2"/>
    <x v="2"/>
    <n v="64100"/>
    <n v="0"/>
    <d v="1899-12-31T00:00:00"/>
    <d v="2013-09-10T00:00:00"/>
    <n v="93"/>
    <n v="0"/>
    <n v="0"/>
    <n v="0"/>
    <n v="6"/>
    <n v="62"/>
    <s v="&gt;50"/>
    <n v="6"/>
    <m/>
    <m/>
    <m/>
    <x v="0"/>
    <m/>
    <n v="13"/>
  </r>
  <r>
    <n v="1379"/>
    <n v="1992"/>
    <x v="2"/>
    <x v="1"/>
    <n v="42670"/>
    <n v="0"/>
    <d v="1899-12-30T00:00:00"/>
    <d v="2013-04-27T00:00:00"/>
    <n v="12"/>
    <n v="2"/>
    <n v="4"/>
    <n v="4"/>
    <n v="4"/>
    <n v="34"/>
    <s v="30-50"/>
    <n v="8"/>
    <m/>
    <m/>
    <m/>
    <x v="1"/>
    <m/>
    <n v="13"/>
  </r>
  <r>
    <n v="10032"/>
    <n v="1976"/>
    <x v="0"/>
    <x v="3"/>
    <n v="12571"/>
    <n v="1"/>
    <d v="1899-12-30T00:00:00"/>
    <d v="2014-01-18T00:00:00"/>
    <n v="86"/>
    <n v="5"/>
    <n v="12"/>
    <n v="12"/>
    <n v="3"/>
    <n v="50"/>
    <s v="30-50"/>
    <n v="15"/>
    <m/>
    <m/>
    <m/>
    <x v="2"/>
    <m/>
    <n v="12"/>
  </r>
  <r>
    <n v="2826"/>
    <n v="1967"/>
    <x v="0"/>
    <x v="2"/>
    <n v="22574"/>
    <n v="2"/>
    <d v="1899-12-31T00:00:00"/>
    <d v="2013-10-28T00:00:00"/>
    <n v="28"/>
    <n v="0"/>
    <n v="0"/>
    <n v="0"/>
    <n v="3"/>
    <n v="59"/>
    <s v="&gt;50"/>
    <n v="3"/>
    <m/>
    <m/>
    <m/>
    <x v="2"/>
    <m/>
    <n v="13"/>
  </r>
  <r>
    <n v="2437"/>
    <n v="1989"/>
    <x v="0"/>
    <x v="2"/>
    <m/>
    <n v="0"/>
    <d v="1899-12-30T00:00:00"/>
    <d v="2013-06-03T00:00:00"/>
    <n v="69"/>
    <n v="138"/>
    <n v="30"/>
    <n v="30"/>
    <n v="12"/>
    <n v="37"/>
    <s v="30-50"/>
    <n v="42"/>
    <m/>
    <m/>
    <m/>
    <x v="2"/>
    <m/>
    <n v="13"/>
  </r>
  <r>
    <n v="6320"/>
    <n v="1976"/>
    <x v="2"/>
    <x v="0"/>
    <n v="70893"/>
    <n v="0"/>
    <d v="1899-12-30T00:00:00"/>
    <d v="2013-02-06T00:00:00"/>
    <n v="42"/>
    <n v="44"/>
    <n v="44"/>
    <n v="44"/>
    <n v="10"/>
    <n v="50"/>
    <s v="30-50"/>
    <n v="54"/>
    <m/>
    <m/>
    <m/>
    <x v="0"/>
    <m/>
    <n v="13"/>
  </r>
  <r>
    <n v="3050"/>
    <n v="1966"/>
    <x v="0"/>
    <x v="2"/>
    <n v="54198"/>
    <n v="1"/>
    <d v="1899-12-31T00:00:00"/>
    <d v="2013-12-17T00:00:00"/>
    <n v="13"/>
    <n v="0"/>
    <n v="2"/>
    <n v="2"/>
    <n v="6"/>
    <n v="60"/>
    <s v="&gt;50"/>
    <n v="8"/>
    <m/>
    <m/>
    <m/>
    <x v="0"/>
    <m/>
    <n v="13"/>
  </r>
  <r>
    <n v="231"/>
    <n v="1956"/>
    <x v="2"/>
    <x v="1"/>
    <n v="28839"/>
    <n v="1"/>
    <d v="1899-12-31T00:00:00"/>
    <d v="2014-03-11T00:00:00"/>
    <n v="86"/>
    <n v="0"/>
    <n v="0"/>
    <n v="0"/>
    <n v="3"/>
    <n v="70"/>
    <s v="&gt;50"/>
    <n v="3"/>
    <m/>
    <m/>
    <m/>
    <x v="2"/>
    <m/>
    <n v="12"/>
  </r>
  <r>
    <n v="2392"/>
    <n v="1972"/>
    <x v="0"/>
    <x v="2"/>
    <n v="40321"/>
    <n v="1"/>
    <d v="1899-12-31T00:00:00"/>
    <d v="2013-07-29T00:00:00"/>
    <n v="59"/>
    <n v="4"/>
    <n v="0"/>
    <n v="0"/>
    <n v="3"/>
    <n v="54"/>
    <s v="&gt;50"/>
    <n v="3"/>
    <m/>
    <m/>
    <m/>
    <x v="1"/>
    <m/>
    <n v="13"/>
  </r>
  <r>
    <n v="9478"/>
    <n v="1985"/>
    <x v="0"/>
    <x v="0"/>
    <n v="66503"/>
    <n v="1"/>
    <d v="1899-12-30T00:00:00"/>
    <d v="2012-08-14T00:00:00"/>
    <n v="30"/>
    <n v="64"/>
    <n v="3"/>
    <n v="3"/>
    <n v="6"/>
    <n v="41"/>
    <s v="30-50"/>
    <n v="9"/>
    <m/>
    <m/>
    <m/>
    <x v="0"/>
    <m/>
    <n v="14"/>
  </r>
  <r>
    <n v="113"/>
    <n v="1951"/>
    <x v="0"/>
    <x v="2"/>
    <n v="30833"/>
    <n v="1"/>
    <d v="1899-12-31T00:00:00"/>
    <d v="2013-07-16T00:00:00"/>
    <n v="33"/>
    <n v="0"/>
    <n v="1"/>
    <n v="1"/>
    <n v="3"/>
    <n v="75"/>
    <s v="&gt;50"/>
    <n v="4"/>
    <m/>
    <m/>
    <m/>
    <x v="1"/>
    <m/>
    <n v="13"/>
  </r>
  <r>
    <n v="2863"/>
    <n v="1970"/>
    <x v="0"/>
    <x v="0"/>
    <m/>
    <n v="1"/>
    <d v="1900-01-01T00:00:00"/>
    <d v="2013-08-23T00:00:00"/>
    <n v="67"/>
    <n v="20"/>
    <n v="50"/>
    <n v="50"/>
    <n v="10"/>
    <n v="56"/>
    <s v="&gt;50"/>
    <n v="60"/>
    <m/>
    <m/>
    <m/>
    <x v="2"/>
    <m/>
    <n v="13"/>
  </r>
  <r>
    <n v="1802"/>
    <n v="1971"/>
    <x v="0"/>
    <x v="2"/>
    <n v="64795"/>
    <n v="0"/>
    <d v="1899-12-31T00:00:00"/>
    <d v="2013-01-17T00:00:00"/>
    <n v="23"/>
    <n v="5"/>
    <n v="29"/>
    <n v="29"/>
    <n v="12"/>
    <n v="55"/>
    <s v="&gt;50"/>
    <n v="41"/>
    <m/>
    <m/>
    <m/>
    <x v="0"/>
    <m/>
    <n v="13"/>
  </r>
  <r>
    <n v="520"/>
    <n v="1974"/>
    <x v="0"/>
    <x v="2"/>
    <n v="34421"/>
    <n v="1"/>
    <d v="1899-12-30T00:00:00"/>
    <d v="2013-07-01T00:00:00"/>
    <n v="81"/>
    <n v="3"/>
    <n v="2"/>
    <n v="2"/>
    <n v="2"/>
    <n v="52"/>
    <s v="&gt;50"/>
    <n v="4"/>
    <m/>
    <m/>
    <m/>
    <x v="1"/>
    <m/>
    <n v="13"/>
  </r>
  <r>
    <n v="8275"/>
    <n v="1965"/>
    <x v="1"/>
    <x v="3"/>
    <n v="47025"/>
    <n v="1"/>
    <d v="1899-12-31T00:00:00"/>
    <d v="2014-02-09T00:00:00"/>
    <n v="6"/>
    <n v="0"/>
    <n v="0"/>
    <n v="0"/>
    <n v="2"/>
    <n v="61"/>
    <s v="&gt;50"/>
    <n v="2"/>
    <m/>
    <m/>
    <m/>
    <x v="1"/>
    <m/>
    <n v="12"/>
  </r>
  <r>
    <n v="9750"/>
    <n v="1961"/>
    <x v="1"/>
    <x v="3"/>
    <n v="64325"/>
    <n v="0"/>
    <d v="1899-12-31T00:00:00"/>
    <d v="2013-02-07T00:00:00"/>
    <n v="41"/>
    <n v="60"/>
    <n v="12"/>
    <n v="12"/>
    <n v="5"/>
    <n v="65"/>
    <s v="&gt;50"/>
    <n v="17"/>
    <m/>
    <m/>
    <m/>
    <x v="0"/>
    <m/>
    <n v="13"/>
  </r>
  <r>
    <n v="2607"/>
    <n v="1953"/>
    <x v="0"/>
    <x v="0"/>
    <n v="40464"/>
    <n v="0"/>
    <d v="1899-12-31T00:00:00"/>
    <d v="2013-01-11T00:00:00"/>
    <n v="78"/>
    <n v="17"/>
    <n v="23"/>
    <n v="23"/>
    <n v="8"/>
    <n v="73"/>
    <s v="&gt;50"/>
    <n v="31"/>
    <m/>
    <m/>
    <m/>
    <x v="1"/>
    <m/>
    <n v="13"/>
  </r>
  <r>
    <n v="7214"/>
    <n v="1957"/>
    <x v="0"/>
    <x v="2"/>
    <n v="62187"/>
    <n v="0"/>
    <d v="1899-12-30T00:00:00"/>
    <d v="2013-07-05T00:00:00"/>
    <n v="49"/>
    <n v="0"/>
    <n v="45"/>
    <n v="45"/>
    <n v="5"/>
    <n v="69"/>
    <s v="&gt;50"/>
    <n v="50"/>
    <m/>
    <m/>
    <m/>
    <x v="0"/>
    <m/>
    <n v="13"/>
  </r>
  <r>
    <n v="5835"/>
    <n v="1976"/>
    <x v="1"/>
    <x v="3"/>
    <n v="14849"/>
    <n v="1"/>
    <d v="1899-12-30T00:00:00"/>
    <d v="2013-07-02T00:00:00"/>
    <n v="39"/>
    <n v="2"/>
    <n v="2"/>
    <n v="2"/>
    <n v="4"/>
    <n v="50"/>
    <s v="30-50"/>
    <n v="6"/>
    <m/>
    <m/>
    <m/>
    <x v="2"/>
    <m/>
    <n v="13"/>
  </r>
  <r>
    <n v="3896"/>
    <n v="1984"/>
    <x v="0"/>
    <x v="2"/>
    <n v="27255"/>
    <n v="1"/>
    <d v="1899-12-30T00:00:00"/>
    <d v="2013-11-07T00:00:00"/>
    <n v="3"/>
    <n v="1"/>
    <n v="1"/>
    <n v="1"/>
    <n v="3"/>
    <n v="42"/>
    <s v="30-50"/>
    <n v="4"/>
    <m/>
    <m/>
    <m/>
    <x v="2"/>
    <m/>
    <n v="13"/>
  </r>
  <r>
    <n v="10350"/>
    <n v="1950"/>
    <x v="1"/>
    <x v="2"/>
    <n v="54432"/>
    <n v="2"/>
    <d v="1899-12-31T00:00:00"/>
    <d v="2013-05-09T00:00:00"/>
    <n v="37"/>
    <n v="0"/>
    <n v="0"/>
    <n v="0"/>
    <n v="3"/>
    <n v="76"/>
    <s v="&gt;50"/>
    <n v="3"/>
    <m/>
    <m/>
    <m/>
    <x v="0"/>
    <m/>
    <n v="13"/>
  </r>
  <r>
    <n v="7786"/>
    <n v="1986"/>
    <x v="1"/>
    <x v="0"/>
    <n v="29999"/>
    <n v="1"/>
    <d v="1899-12-30T00:00:00"/>
    <d v="2013-02-13T00:00:00"/>
    <n v="22"/>
    <n v="7"/>
    <n v="5"/>
    <n v="5"/>
    <n v="4"/>
    <n v="40"/>
    <s v="30-50"/>
    <n v="9"/>
    <m/>
    <m/>
    <m/>
    <x v="2"/>
    <m/>
    <n v="13"/>
  </r>
  <r>
    <n v="2861"/>
    <n v="1983"/>
    <x v="0"/>
    <x v="0"/>
    <n v="24072"/>
    <n v="1"/>
    <d v="1899-12-30T00:00:00"/>
    <d v="2013-04-16T00:00:00"/>
    <n v="79"/>
    <n v="1"/>
    <n v="0"/>
    <n v="0"/>
    <n v="2"/>
    <n v="43"/>
    <s v="30-50"/>
    <n v="2"/>
    <m/>
    <m/>
    <m/>
    <x v="2"/>
    <m/>
    <n v="13"/>
  </r>
  <r>
    <n v="663"/>
    <n v="1989"/>
    <x v="1"/>
    <x v="0"/>
    <n v="33996"/>
    <n v="0"/>
    <d v="1899-12-30T00:00:00"/>
    <d v="2013-09-11T00:00:00"/>
    <n v="46"/>
    <n v="2"/>
    <n v="0"/>
    <n v="0"/>
    <n v="3"/>
    <n v="37"/>
    <s v="30-50"/>
    <n v="3"/>
    <m/>
    <m/>
    <m/>
    <x v="1"/>
    <m/>
    <n v="13"/>
  </r>
  <r>
    <n v="10675"/>
    <n v="1956"/>
    <x v="1"/>
    <x v="2"/>
    <n v="66334"/>
    <n v="0"/>
    <d v="1899-12-31T00:00:00"/>
    <d v="2013-04-03T00:00:00"/>
    <n v="82"/>
    <n v="11"/>
    <n v="0"/>
    <n v="0"/>
    <n v="5"/>
    <n v="70"/>
    <s v="&gt;50"/>
    <n v="5"/>
    <m/>
    <m/>
    <m/>
    <x v="0"/>
    <m/>
    <n v="13"/>
  </r>
  <r>
    <n v="2521"/>
    <n v="1971"/>
    <x v="2"/>
    <x v="2"/>
    <n v="35178"/>
    <n v="1"/>
    <d v="1899-12-30T00:00:00"/>
    <d v="2013-01-10T00:00:00"/>
    <n v="10"/>
    <n v="1"/>
    <n v="2"/>
    <n v="2"/>
    <n v="2"/>
    <n v="55"/>
    <s v="&gt;50"/>
    <n v="4"/>
    <m/>
    <m/>
    <m/>
    <x v="1"/>
    <m/>
    <n v="13"/>
  </r>
  <r>
    <n v="9592"/>
    <n v="1983"/>
    <x v="0"/>
    <x v="1"/>
    <n v="22010"/>
    <n v="1"/>
    <d v="1899-12-30T00:00:00"/>
    <d v="2013-06-30T00:00:00"/>
    <n v="51"/>
    <n v="2"/>
    <n v="0"/>
    <n v="0"/>
    <n v="3"/>
    <n v="43"/>
    <s v="30-50"/>
    <n v="3"/>
    <m/>
    <m/>
    <m/>
    <x v="2"/>
    <m/>
    <n v="13"/>
  </r>
  <r>
    <n v="10151"/>
    <n v="1960"/>
    <x v="0"/>
    <x v="3"/>
    <n v="62204"/>
    <n v="0"/>
    <d v="1900-01-01T00:00:00"/>
    <d v="2012-09-12T00:00:00"/>
    <n v="38"/>
    <n v="46"/>
    <n v="46"/>
    <n v="46"/>
    <n v="12"/>
    <n v="66"/>
    <s v="&gt;50"/>
    <n v="58"/>
    <m/>
    <m/>
    <m/>
    <x v="0"/>
    <m/>
    <n v="14"/>
  </r>
  <r>
    <n v="7381"/>
    <n v="1968"/>
    <x v="0"/>
    <x v="3"/>
    <n v="75693"/>
    <n v="0"/>
    <d v="1899-12-30T00:00:00"/>
    <d v="2012-12-06T00:00:00"/>
    <n v="10"/>
    <n v="153"/>
    <n v="97"/>
    <n v="97"/>
    <n v="6"/>
    <n v="58"/>
    <s v="&gt;50"/>
    <n v="103"/>
    <m/>
    <m/>
    <m/>
    <x v="3"/>
    <m/>
    <n v="14"/>
  </r>
  <r>
    <n v="4099"/>
    <n v="1972"/>
    <x v="0"/>
    <x v="2"/>
    <n v="30675"/>
    <n v="1"/>
    <d v="1899-12-30T00:00:00"/>
    <d v="2012-11-12T00:00:00"/>
    <n v="14"/>
    <n v="2"/>
    <n v="2"/>
    <n v="2"/>
    <n v="3"/>
    <n v="54"/>
    <s v="&gt;50"/>
    <n v="5"/>
    <m/>
    <m/>
    <m/>
    <x v="1"/>
    <m/>
    <n v="14"/>
  </r>
  <r>
    <n v="9560"/>
    <n v="1965"/>
    <x v="0"/>
    <x v="1"/>
    <n v="83003"/>
    <n v="0"/>
    <d v="1899-12-30T00:00:00"/>
    <d v="2013-03-03T00:00:00"/>
    <n v="18"/>
    <n v="61"/>
    <n v="25"/>
    <n v="25"/>
    <n v="8"/>
    <n v="61"/>
    <s v="&gt;50"/>
    <n v="33"/>
    <m/>
    <m/>
    <m/>
    <x v="3"/>
    <m/>
    <n v="13"/>
  </r>
  <r>
    <n v="1150"/>
    <n v="1899"/>
    <x v="1"/>
    <x v="1"/>
    <n v="83532"/>
    <n v="0"/>
    <d v="1899-12-30T00:00:00"/>
    <d v="2013-09-26T00:00:00"/>
    <n v="36"/>
    <n v="144"/>
    <n v="64"/>
    <n v="64"/>
    <n v="4"/>
    <n v="127"/>
    <s v="&gt;50"/>
    <n v="68"/>
    <m/>
    <m/>
    <m/>
    <x v="3"/>
    <m/>
    <n v="13"/>
  </r>
  <r>
    <n v="10172"/>
    <n v="1988"/>
    <x v="0"/>
    <x v="0"/>
    <n v="68655"/>
    <n v="0"/>
    <d v="1899-12-30T00:00:00"/>
    <d v="2012-08-10T00:00:00"/>
    <n v="95"/>
    <n v="19"/>
    <n v="118"/>
    <n v="118"/>
    <n v="11"/>
    <n v="38"/>
    <s v="30-50"/>
    <n v="129"/>
    <m/>
    <m/>
    <m/>
    <x v="0"/>
    <m/>
    <n v="14"/>
  </r>
  <r>
    <n v="11191"/>
    <n v="1986"/>
    <x v="0"/>
    <x v="3"/>
    <n v="41411"/>
    <n v="0"/>
    <d v="1899-12-30T00:00:00"/>
    <d v="2013-12-07T00:00:00"/>
    <n v="11"/>
    <n v="32"/>
    <n v="3"/>
    <n v="3"/>
    <n v="4"/>
    <n v="40"/>
    <s v="30-50"/>
    <n v="7"/>
    <m/>
    <m/>
    <m/>
    <x v="1"/>
    <m/>
    <n v="13"/>
  </r>
  <r>
    <n v="9707"/>
    <n v="1969"/>
    <x v="1"/>
    <x v="2"/>
    <n v="55212"/>
    <n v="0"/>
    <d v="1899-12-31T00:00:00"/>
    <d v="2012-11-23T00:00:00"/>
    <n v="65"/>
    <n v="0"/>
    <n v="0"/>
    <n v="0"/>
    <n v="11"/>
    <n v="57"/>
    <s v="&gt;50"/>
    <n v="11"/>
    <m/>
    <m/>
    <m/>
    <x v="0"/>
    <m/>
    <n v="14"/>
  </r>
  <r>
    <n v="6245"/>
    <n v="1950"/>
    <x v="1"/>
    <x v="1"/>
    <n v="59292"/>
    <n v="0"/>
    <d v="1899-12-31T00:00:00"/>
    <d v="2013-06-13T00:00:00"/>
    <n v="71"/>
    <n v="14"/>
    <n v="14"/>
    <n v="14"/>
    <n v="8"/>
    <n v="76"/>
    <s v="&gt;50"/>
    <n v="22"/>
    <m/>
    <m/>
    <m/>
    <x v="0"/>
    <m/>
    <n v="13"/>
  </r>
  <r>
    <n v="8234"/>
    <n v="1973"/>
    <x v="3"/>
    <x v="1"/>
    <n v="27190"/>
    <n v="1"/>
    <d v="1899-12-30T00:00:00"/>
    <d v="2013-08-15T00:00:00"/>
    <n v="13"/>
    <n v="6"/>
    <n v="1"/>
    <n v="1"/>
    <n v="2"/>
    <n v="53"/>
    <s v="&gt;50"/>
    <n v="3"/>
    <m/>
    <m/>
    <m/>
    <x v="2"/>
    <m/>
    <n v="13"/>
  </r>
  <r>
    <n v="1411"/>
    <n v="1952"/>
    <x v="0"/>
    <x v="3"/>
    <n v="82623"/>
    <n v="0"/>
    <d v="1899-12-30T00:00:00"/>
    <d v="2013-11-10T00:00:00"/>
    <n v="58"/>
    <n v="34"/>
    <n v="153"/>
    <n v="153"/>
    <n v="4"/>
    <n v="74"/>
    <s v="&gt;50"/>
    <n v="157"/>
    <m/>
    <m/>
    <m/>
    <x v="3"/>
    <m/>
    <n v="13"/>
  </r>
  <r>
    <n v="8553"/>
    <n v="1965"/>
    <x v="0"/>
    <x v="2"/>
    <n v="44300"/>
    <n v="1"/>
    <d v="1899-12-31T00:00:00"/>
    <d v="2013-06-23T00:00:00"/>
    <n v="65"/>
    <n v="0"/>
    <n v="0"/>
    <n v="0"/>
    <n v="3"/>
    <n v="61"/>
    <s v="&gt;50"/>
    <n v="3"/>
    <m/>
    <m/>
    <m/>
    <x v="1"/>
    <m/>
    <n v="13"/>
  </r>
  <r>
    <n v="1826"/>
    <n v="1970"/>
    <x v="0"/>
    <x v="3"/>
    <n v="84835"/>
    <n v="0"/>
    <d v="1899-12-30T00:00:00"/>
    <d v="2014-06-16T00:00:00"/>
    <n v="0"/>
    <n v="104"/>
    <n v="189"/>
    <n v="189"/>
    <n v="6"/>
    <n v="56"/>
    <s v="&gt;50"/>
    <n v="195"/>
    <m/>
    <m/>
    <m/>
    <x v="3"/>
    <m/>
    <n v="12"/>
  </r>
  <r>
    <n v="8842"/>
    <n v="1971"/>
    <x v="0"/>
    <x v="4"/>
    <n v="30372"/>
    <n v="1"/>
    <d v="1899-12-31T00:00:00"/>
    <d v="2012-12-25T00:00:00"/>
    <n v="33"/>
    <n v="0"/>
    <n v="3"/>
    <n v="3"/>
    <n v="3"/>
    <n v="55"/>
    <s v="&gt;50"/>
    <n v="6"/>
    <m/>
    <m/>
    <m/>
    <x v="1"/>
    <m/>
    <n v="14"/>
  </r>
  <r>
    <n v="11030"/>
    <n v="1976"/>
    <x v="2"/>
    <x v="2"/>
    <n v="33181"/>
    <n v="1"/>
    <d v="1899-12-30T00:00:00"/>
    <d v="2014-01-03T00:00:00"/>
    <n v="90"/>
    <n v="0"/>
    <n v="0"/>
    <n v="0"/>
    <n v="2"/>
    <n v="50"/>
    <s v="30-50"/>
    <n v="2"/>
    <m/>
    <m/>
    <m/>
    <x v="1"/>
    <m/>
    <n v="12"/>
  </r>
  <r>
    <n v="2579"/>
    <n v="1957"/>
    <x v="0"/>
    <x v="2"/>
    <n v="71113"/>
    <n v="0"/>
    <d v="1899-12-31T00:00:00"/>
    <d v="2013-12-17T00:00:00"/>
    <n v="95"/>
    <n v="33"/>
    <n v="33"/>
    <n v="33"/>
    <n v="9"/>
    <n v="69"/>
    <s v="&gt;50"/>
    <n v="42"/>
    <m/>
    <m/>
    <m/>
    <x v="0"/>
    <m/>
    <n v="13"/>
  </r>
  <r>
    <n v="175"/>
    <n v="1986"/>
    <x v="0"/>
    <x v="2"/>
    <n v="71952"/>
    <n v="1"/>
    <d v="1899-12-30T00:00:00"/>
    <d v="2013-01-10T00:00:00"/>
    <n v="93"/>
    <n v="80"/>
    <n v="107"/>
    <n v="107"/>
    <n v="8"/>
    <n v="40"/>
    <s v="30-50"/>
    <n v="115"/>
    <m/>
    <m/>
    <m/>
    <x v="0"/>
    <m/>
    <n v="13"/>
  </r>
  <r>
    <n v="9185"/>
    <n v="1966"/>
    <x v="1"/>
    <x v="0"/>
    <n v="69759"/>
    <n v="0"/>
    <d v="1899-12-30T00:00:00"/>
    <d v="2013-10-28T00:00:00"/>
    <n v="38"/>
    <n v="20"/>
    <n v="30"/>
    <n v="30"/>
    <n v="5"/>
    <n v="60"/>
    <s v="&gt;50"/>
    <n v="35"/>
    <m/>
    <m/>
    <m/>
    <x v="0"/>
    <m/>
    <n v="13"/>
  </r>
  <r>
    <n v="11056"/>
    <n v="1974"/>
    <x v="0"/>
    <x v="2"/>
    <n v="72099"/>
    <n v="0"/>
    <d v="1899-12-30T00:00:00"/>
    <d v="2012-10-27T00:00:00"/>
    <n v="18"/>
    <n v="91"/>
    <n v="0"/>
    <n v="0"/>
    <n v="10"/>
    <n v="52"/>
    <s v="&gt;50"/>
    <n v="10"/>
    <m/>
    <m/>
    <m/>
    <x v="0"/>
    <m/>
    <n v="14"/>
  </r>
  <r>
    <n v="9365"/>
    <n v="1976"/>
    <x v="1"/>
    <x v="0"/>
    <n v="60000"/>
    <n v="0"/>
    <d v="1899-12-31T00:00:00"/>
    <d v="2012-12-22T00:00:00"/>
    <n v="57"/>
    <n v="0"/>
    <n v="0"/>
    <n v="0"/>
    <n v="5"/>
    <n v="50"/>
    <s v="30-50"/>
    <n v="5"/>
    <m/>
    <m/>
    <m/>
    <x v="0"/>
    <m/>
    <n v="14"/>
  </r>
  <r>
    <n v="6201"/>
    <n v="1978"/>
    <x v="0"/>
    <x v="0"/>
    <n v="38643"/>
    <n v="1"/>
    <d v="1899-12-31T00:00:00"/>
    <d v="2013-11-29T00:00:00"/>
    <n v="45"/>
    <n v="2"/>
    <n v="1"/>
    <n v="1"/>
    <n v="3"/>
    <n v="48"/>
    <s v="30-50"/>
    <n v="4"/>
    <m/>
    <m/>
    <m/>
    <x v="1"/>
    <m/>
    <n v="13"/>
  </r>
  <r>
    <n v="2061"/>
    <n v="1955"/>
    <x v="0"/>
    <x v="2"/>
    <n v="50737"/>
    <n v="0"/>
    <d v="1899-12-31T00:00:00"/>
    <d v="2013-05-11T00:00:00"/>
    <n v="61"/>
    <n v="0"/>
    <n v="0"/>
    <n v="0"/>
    <n v="4"/>
    <n v="71"/>
    <s v="&gt;50"/>
    <n v="4"/>
    <m/>
    <m/>
    <m/>
    <x v="0"/>
    <m/>
    <n v="13"/>
  </r>
  <r>
    <n v="6184"/>
    <n v="1969"/>
    <x v="1"/>
    <x v="2"/>
    <n v="68462"/>
    <n v="0"/>
    <d v="1899-12-30T00:00:00"/>
    <d v="2012-12-12T00:00:00"/>
    <n v="6"/>
    <n v="64"/>
    <n v="128"/>
    <n v="128"/>
    <n v="8"/>
    <n v="57"/>
    <s v="&gt;50"/>
    <n v="136"/>
    <m/>
    <m/>
    <m/>
    <x v="0"/>
    <m/>
    <n v="14"/>
  </r>
  <r>
    <n v="6142"/>
    <n v="1943"/>
    <x v="2"/>
    <x v="2"/>
    <n v="65073"/>
    <n v="0"/>
    <d v="1899-12-30T00:00:00"/>
    <d v="2013-08-20T00:00:00"/>
    <n v="65"/>
    <n v="17"/>
    <n v="0"/>
    <n v="0"/>
    <n v="5"/>
    <n v="83"/>
    <s v="&gt;50"/>
    <n v="5"/>
    <m/>
    <m/>
    <m/>
    <x v="0"/>
    <m/>
    <n v="13"/>
  </r>
  <r>
    <n v="4107"/>
    <n v="1948"/>
    <x v="1"/>
    <x v="1"/>
    <n v="46681"/>
    <n v="0"/>
    <d v="1900-01-01T00:00:00"/>
    <d v="2013-10-08T00:00:00"/>
    <n v="52"/>
    <n v="15"/>
    <n v="19"/>
    <n v="19"/>
    <n v="4"/>
    <n v="78"/>
    <s v="&gt;50"/>
    <n v="23"/>
    <m/>
    <m/>
    <m/>
    <x v="1"/>
    <m/>
    <n v="13"/>
  </r>
  <r>
    <n v="7274"/>
    <n v="1957"/>
    <x v="0"/>
    <x v="2"/>
    <n v="78618"/>
    <n v="0"/>
    <d v="1899-12-30T00:00:00"/>
    <d v="2012-09-28T00:00:00"/>
    <n v="87"/>
    <n v="163"/>
    <n v="163"/>
    <n v="163"/>
    <n v="10"/>
    <n v="69"/>
    <s v="&gt;50"/>
    <n v="173"/>
    <m/>
    <m/>
    <m/>
    <x v="3"/>
    <m/>
    <n v="14"/>
  </r>
  <r>
    <n v="9336"/>
    <n v="1969"/>
    <x v="1"/>
    <x v="4"/>
    <n v="62187"/>
    <n v="0"/>
    <d v="1899-12-31T00:00:00"/>
    <d v="2014-03-22T00:00:00"/>
    <n v="38"/>
    <n v="0"/>
    <n v="0"/>
    <n v="0"/>
    <n v="10"/>
    <n v="57"/>
    <s v="&gt;50"/>
    <n v="10"/>
    <m/>
    <m/>
    <m/>
    <x v="0"/>
    <m/>
    <n v="12"/>
  </r>
  <r>
    <n v="2958"/>
    <n v="1978"/>
    <x v="0"/>
    <x v="2"/>
    <n v="28442"/>
    <n v="2"/>
    <d v="1899-12-30T00:00:00"/>
    <d v="2014-02-24T00:00:00"/>
    <n v="53"/>
    <n v="3"/>
    <n v="8"/>
    <n v="8"/>
    <n v="4"/>
    <n v="48"/>
    <s v="30-50"/>
    <n v="12"/>
    <m/>
    <m/>
    <m/>
    <x v="2"/>
    <m/>
    <n v="12"/>
  </r>
  <r>
    <n v="933"/>
    <n v="1978"/>
    <x v="1"/>
    <x v="2"/>
    <n v="37717"/>
    <n v="1"/>
    <d v="1899-12-30T00:00:00"/>
    <d v="2012-11-23T00:00:00"/>
    <n v="31"/>
    <n v="0"/>
    <n v="1"/>
    <n v="1"/>
    <n v="2"/>
    <n v="48"/>
    <s v="30-50"/>
    <n v="3"/>
    <m/>
    <m/>
    <m/>
    <x v="1"/>
    <m/>
    <n v="14"/>
  </r>
  <r>
    <n v="5837"/>
    <n v="1967"/>
    <x v="0"/>
    <x v="2"/>
    <n v="51479"/>
    <n v="1"/>
    <d v="1899-12-31T00:00:00"/>
    <d v="2012-12-28T00:00:00"/>
    <n v="67"/>
    <n v="8"/>
    <n v="8"/>
    <n v="8"/>
    <n v="6"/>
    <n v="59"/>
    <s v="&gt;50"/>
    <n v="14"/>
    <m/>
    <m/>
    <m/>
    <x v="0"/>
    <m/>
    <n v="14"/>
  </r>
  <r>
    <n v="10704"/>
    <n v="1969"/>
    <x v="0"/>
    <x v="0"/>
    <n v="54803"/>
    <n v="0"/>
    <d v="1899-12-31T00:00:00"/>
    <d v="2012-08-21T00:00:00"/>
    <n v="65"/>
    <n v="0"/>
    <n v="27"/>
    <n v="27"/>
    <n v="9"/>
    <n v="57"/>
    <s v="&gt;50"/>
    <n v="36"/>
    <m/>
    <m/>
    <m/>
    <x v="0"/>
    <m/>
    <n v="14"/>
  </r>
  <r>
    <n v="5125"/>
    <n v="1960"/>
    <x v="0"/>
    <x v="2"/>
    <n v="79530"/>
    <n v="0"/>
    <d v="1899-12-30T00:00:00"/>
    <d v="2013-05-17T00:00:00"/>
    <n v="64"/>
    <n v="0"/>
    <n v="42"/>
    <n v="42"/>
    <n v="11"/>
    <n v="66"/>
    <s v="&gt;50"/>
    <n v="53"/>
    <m/>
    <m/>
    <m/>
    <x v="3"/>
    <m/>
    <n v="13"/>
  </r>
  <r>
    <n v="4432"/>
    <n v="1976"/>
    <x v="0"/>
    <x v="3"/>
    <n v="31615"/>
    <n v="1"/>
    <d v="1899-12-30T00:00:00"/>
    <d v="2013-03-16T00:00:00"/>
    <n v="82"/>
    <n v="3"/>
    <n v="11"/>
    <n v="11"/>
    <n v="3"/>
    <n v="50"/>
    <s v="30-50"/>
    <n v="14"/>
    <m/>
    <m/>
    <m/>
    <x v="1"/>
    <m/>
    <n v="13"/>
  </r>
  <r>
    <n v="5955"/>
    <n v="1962"/>
    <x v="0"/>
    <x v="1"/>
    <n v="72025"/>
    <n v="0"/>
    <d v="1899-12-30T00:00:00"/>
    <d v="2012-11-17T00:00:00"/>
    <n v="27"/>
    <n v="33"/>
    <n v="133"/>
    <n v="133"/>
    <n v="8"/>
    <n v="64"/>
    <s v="&gt;50"/>
    <n v="141"/>
    <m/>
    <m/>
    <m/>
    <x v="0"/>
    <m/>
    <n v="14"/>
  </r>
  <r>
    <n v="2928"/>
    <n v="1975"/>
    <x v="1"/>
    <x v="0"/>
    <n v="52614"/>
    <n v="0"/>
    <d v="1899-12-31T00:00:00"/>
    <d v="2012-12-01T00:00:00"/>
    <n v="63"/>
    <n v="0"/>
    <n v="9"/>
    <n v="9"/>
    <n v="8"/>
    <n v="51"/>
    <s v="&gt;50"/>
    <n v="17"/>
    <m/>
    <m/>
    <m/>
    <x v="0"/>
    <m/>
    <n v="14"/>
  </r>
  <r>
    <n v="5680"/>
    <n v="1984"/>
    <x v="4"/>
    <x v="2"/>
    <n v="35684"/>
    <n v="1"/>
    <d v="1899-12-30T00:00:00"/>
    <d v="2014-04-22T00:00:00"/>
    <n v="66"/>
    <n v="4"/>
    <n v="6"/>
    <n v="6"/>
    <n v="3"/>
    <n v="42"/>
    <s v="30-50"/>
    <n v="9"/>
    <m/>
    <m/>
    <m/>
    <x v="1"/>
    <m/>
    <n v="12"/>
  </r>
  <r>
    <n v="10313"/>
    <n v="1975"/>
    <x v="0"/>
    <x v="2"/>
    <n v="48178"/>
    <n v="1"/>
    <d v="1899-12-31T00:00:00"/>
    <d v="2012-10-28T00:00:00"/>
    <n v="69"/>
    <n v="4"/>
    <n v="2"/>
    <n v="2"/>
    <n v="4"/>
    <n v="51"/>
    <s v="&gt;50"/>
    <n v="6"/>
    <m/>
    <m/>
    <m/>
    <x v="1"/>
    <m/>
    <n v="14"/>
  </r>
  <r>
    <n v="2557"/>
    <n v="1970"/>
    <x v="2"/>
    <x v="0"/>
    <n v="29548"/>
    <n v="1"/>
    <d v="1899-12-30T00:00:00"/>
    <d v="2013-08-29T00:00:00"/>
    <n v="52"/>
    <n v="1"/>
    <n v="1"/>
    <n v="1"/>
    <n v="2"/>
    <n v="56"/>
    <s v="&gt;50"/>
    <n v="3"/>
    <m/>
    <m/>
    <m/>
    <x v="2"/>
    <m/>
    <n v="13"/>
  </r>
  <r>
    <n v="1245"/>
    <n v="1966"/>
    <x v="0"/>
    <x v="0"/>
    <n v="63810"/>
    <n v="0"/>
    <d v="1899-12-31T00:00:00"/>
    <d v="2012-11-11T00:00:00"/>
    <n v="45"/>
    <n v="12"/>
    <n v="12"/>
    <n v="12"/>
    <n v="12"/>
    <n v="60"/>
    <s v="&gt;50"/>
    <n v="24"/>
    <m/>
    <m/>
    <m/>
    <x v="0"/>
    <m/>
    <n v="14"/>
  </r>
  <r>
    <n v="1519"/>
    <n v="1972"/>
    <x v="1"/>
    <x v="0"/>
    <n v="38578"/>
    <n v="1"/>
    <d v="1899-12-31T00:00:00"/>
    <d v="2013-06-22T00:00:00"/>
    <n v="2"/>
    <n v="4"/>
    <n v="3"/>
    <n v="3"/>
    <n v="3"/>
    <n v="54"/>
    <s v="&gt;50"/>
    <n v="6"/>
    <m/>
    <m/>
    <m/>
    <x v="1"/>
    <m/>
    <n v="13"/>
  </r>
  <r>
    <n v="10703"/>
    <n v="1975"/>
    <x v="2"/>
    <x v="0"/>
    <n v="46098"/>
    <n v="1"/>
    <d v="1899-12-31T00:00:00"/>
    <d v="2012-08-18T00:00:00"/>
    <n v="86"/>
    <n v="0"/>
    <n v="0"/>
    <n v="0"/>
    <n v="2"/>
    <n v="51"/>
    <s v="&gt;50"/>
    <n v="2"/>
    <m/>
    <m/>
    <m/>
    <x v="1"/>
    <m/>
    <n v="14"/>
  </r>
  <r>
    <n v="1726"/>
    <n v="1970"/>
    <x v="0"/>
    <x v="0"/>
    <n v="22585"/>
    <n v="0"/>
    <d v="1899-12-30T00:00:00"/>
    <d v="2013-03-18T00:00:00"/>
    <n v="23"/>
    <n v="9"/>
    <n v="2"/>
    <n v="2"/>
    <n v="2"/>
    <n v="56"/>
    <s v="&gt;50"/>
    <n v="4"/>
    <m/>
    <m/>
    <m/>
    <x v="2"/>
    <m/>
    <n v="13"/>
  </r>
  <r>
    <n v="4459"/>
    <n v="1989"/>
    <x v="0"/>
    <x v="0"/>
    <n v="30279"/>
    <n v="1"/>
    <d v="1899-12-30T00:00:00"/>
    <d v="2012-12-30T00:00:00"/>
    <n v="13"/>
    <n v="4"/>
    <n v="4"/>
    <n v="4"/>
    <n v="3"/>
    <n v="37"/>
    <s v="30-50"/>
    <n v="7"/>
    <m/>
    <m/>
    <m/>
    <x v="1"/>
    <m/>
    <n v="14"/>
  </r>
  <r>
    <n v="1729"/>
    <n v="1961"/>
    <x v="1"/>
    <x v="1"/>
    <n v="66426"/>
    <n v="0"/>
    <d v="1899-12-31T00:00:00"/>
    <d v="2013-10-02T00:00:00"/>
    <n v="14"/>
    <n v="24"/>
    <n v="24"/>
    <n v="24"/>
    <n v="10"/>
    <n v="65"/>
    <s v="&gt;50"/>
    <n v="34"/>
    <m/>
    <m/>
    <m/>
    <x v="0"/>
    <m/>
    <n v="13"/>
  </r>
  <r>
    <n v="1517"/>
    <n v="1969"/>
    <x v="0"/>
    <x v="0"/>
    <n v="30822"/>
    <n v="1"/>
    <d v="1899-12-30T00:00:00"/>
    <d v="2013-06-14T00:00:00"/>
    <n v="92"/>
    <n v="9"/>
    <n v="12"/>
    <n v="12"/>
    <n v="3"/>
    <n v="57"/>
    <s v="&gt;50"/>
    <n v="15"/>
    <m/>
    <m/>
    <m/>
    <x v="1"/>
    <m/>
    <n v="13"/>
  </r>
  <r>
    <n v="2098"/>
    <n v="1969"/>
    <x v="1"/>
    <x v="2"/>
    <n v="33581"/>
    <n v="2"/>
    <d v="1899-12-30T00:00:00"/>
    <d v="2013-01-08T00:00:00"/>
    <n v="38"/>
    <n v="0"/>
    <n v="0"/>
    <n v="0"/>
    <n v="2"/>
    <n v="57"/>
    <s v="&gt;50"/>
    <n v="2"/>
    <m/>
    <m/>
    <m/>
    <x v="1"/>
    <m/>
    <n v="13"/>
  </r>
  <r>
    <n v="9543"/>
    <n v="1985"/>
    <x v="0"/>
    <x v="2"/>
    <n v="19986"/>
    <n v="1"/>
    <d v="1899-12-30T00:00:00"/>
    <d v="2013-11-14T00:00:00"/>
    <n v="74"/>
    <n v="6"/>
    <n v="2"/>
    <n v="2"/>
    <n v="3"/>
    <n v="41"/>
    <s v="30-50"/>
    <n v="5"/>
    <m/>
    <m/>
    <m/>
    <x v="2"/>
    <m/>
    <n v="13"/>
  </r>
  <r>
    <n v="6878"/>
    <n v="1954"/>
    <x v="0"/>
    <x v="4"/>
    <n v="27421"/>
    <n v="0"/>
    <d v="1899-12-30T00:00:00"/>
    <d v="2012-12-12T00:00:00"/>
    <n v="14"/>
    <n v="12"/>
    <n v="40"/>
    <n v="40"/>
    <n v="6"/>
    <n v="72"/>
    <s v="&gt;50"/>
    <n v="46"/>
    <m/>
    <m/>
    <m/>
    <x v="2"/>
    <m/>
    <n v="14"/>
  </r>
  <r>
    <n v="3310"/>
    <n v="1973"/>
    <x v="4"/>
    <x v="2"/>
    <n v="35688"/>
    <n v="2"/>
    <d v="1899-12-31T00:00:00"/>
    <d v="2012-08-22T00:00:00"/>
    <n v="94"/>
    <n v="3"/>
    <n v="1"/>
    <n v="1"/>
    <n v="4"/>
    <n v="53"/>
    <s v="&gt;50"/>
    <n v="5"/>
    <m/>
    <m/>
    <m/>
    <x v="1"/>
    <m/>
    <n v="14"/>
  </r>
  <r>
    <n v="2724"/>
    <n v="1981"/>
    <x v="2"/>
    <x v="0"/>
    <n v="36143"/>
    <n v="1"/>
    <d v="1899-12-30T00:00:00"/>
    <d v="2014-03-30T00:00:00"/>
    <n v="33"/>
    <n v="0"/>
    <n v="0"/>
    <n v="0"/>
    <n v="2"/>
    <n v="45"/>
    <s v="30-50"/>
    <n v="2"/>
    <m/>
    <m/>
    <m/>
    <x v="1"/>
    <m/>
    <n v="12"/>
  </r>
  <r>
    <n v="948"/>
    <n v="1971"/>
    <x v="0"/>
    <x v="0"/>
    <n v="10245"/>
    <n v="1"/>
    <d v="1899-12-30T00:00:00"/>
    <d v="2013-05-15T00:00:00"/>
    <n v="32"/>
    <n v="7"/>
    <n v="4"/>
    <n v="4"/>
    <n v="2"/>
    <n v="55"/>
    <s v="&gt;50"/>
    <n v="6"/>
    <m/>
    <m/>
    <m/>
    <x v="2"/>
    <m/>
    <n v="13"/>
  </r>
  <r>
    <n v="6720"/>
    <n v="1968"/>
    <x v="2"/>
    <x v="1"/>
    <n v="43795"/>
    <n v="0"/>
    <d v="1899-12-31T00:00:00"/>
    <d v="2013-10-16T00:00:00"/>
    <n v="11"/>
    <n v="11"/>
    <n v="3"/>
    <n v="3"/>
    <n v="4"/>
    <n v="58"/>
    <s v="&gt;50"/>
    <n v="7"/>
    <m/>
    <m/>
    <m/>
    <x v="1"/>
    <m/>
    <n v="13"/>
  </r>
  <r>
    <n v="6202"/>
    <n v="1960"/>
    <x v="0"/>
    <x v="1"/>
    <n v="63381"/>
    <n v="0"/>
    <d v="1899-12-31T00:00:00"/>
    <d v="2012-10-05T00:00:00"/>
    <n v="78"/>
    <n v="50"/>
    <n v="50"/>
    <n v="50"/>
    <n v="13"/>
    <n v="66"/>
    <s v="&gt;50"/>
    <n v="63"/>
    <m/>
    <m/>
    <m/>
    <x v="0"/>
    <m/>
    <n v="14"/>
  </r>
  <r>
    <n v="2066"/>
    <n v="1949"/>
    <x v="0"/>
    <x v="1"/>
    <n v="38823"/>
    <n v="0"/>
    <d v="1899-12-31T00:00:00"/>
    <d v="2012-08-30T00:00:00"/>
    <n v="56"/>
    <n v="0"/>
    <n v="8"/>
    <n v="8"/>
    <n v="3"/>
    <n v="77"/>
    <s v="&gt;50"/>
    <n v="11"/>
    <m/>
    <m/>
    <m/>
    <x v="1"/>
    <m/>
    <n v="14"/>
  </r>
  <r>
    <n v="9799"/>
    <n v="1968"/>
    <x v="1"/>
    <x v="3"/>
    <n v="83664"/>
    <n v="1"/>
    <d v="1899-12-31T00:00:00"/>
    <d v="2013-05-08T00:00:00"/>
    <n v="57"/>
    <n v="21"/>
    <n v="21"/>
    <n v="21"/>
    <n v="12"/>
    <n v="58"/>
    <s v="&gt;50"/>
    <n v="33"/>
    <m/>
    <m/>
    <m/>
    <x v="3"/>
    <m/>
    <n v="13"/>
  </r>
  <r>
    <n v="8318"/>
    <n v="1979"/>
    <x v="0"/>
    <x v="1"/>
    <n v="90300"/>
    <n v="0"/>
    <d v="1899-12-30T00:00:00"/>
    <d v="2014-01-03T00:00:00"/>
    <n v="7"/>
    <n v="134"/>
    <n v="134"/>
    <n v="134"/>
    <n v="8"/>
    <n v="47"/>
    <s v="30-50"/>
    <n v="142"/>
    <m/>
    <m/>
    <m/>
    <x v="3"/>
    <m/>
    <n v="12"/>
  </r>
  <r>
    <n v="5642"/>
    <n v="1979"/>
    <x v="2"/>
    <x v="1"/>
    <n v="62499"/>
    <n v="1"/>
    <d v="1899-12-30T00:00:00"/>
    <d v="2013-12-09T00:00:00"/>
    <n v="0"/>
    <n v="4"/>
    <n v="13"/>
    <n v="13"/>
    <n v="6"/>
    <n v="47"/>
    <s v="30-50"/>
    <n v="19"/>
    <m/>
    <m/>
    <m/>
    <x v="0"/>
    <m/>
    <n v="13"/>
  </r>
  <r>
    <n v="2669"/>
    <n v="1993"/>
    <x v="0"/>
    <x v="0"/>
    <n v="74293"/>
    <n v="0"/>
    <d v="1899-12-30T00:00:00"/>
    <d v="2014-05-04T00:00:00"/>
    <n v="66"/>
    <n v="152"/>
    <n v="91"/>
    <n v="91"/>
    <n v="6"/>
    <n v="33"/>
    <s v="30-50"/>
    <n v="97"/>
    <m/>
    <m/>
    <m/>
    <x v="0"/>
    <m/>
    <n v="12"/>
  </r>
  <r>
    <n v="455"/>
    <n v="1946"/>
    <x v="1"/>
    <x v="2"/>
    <n v="51012"/>
    <n v="0"/>
    <d v="1899-12-30T00:00:00"/>
    <d v="2013-04-18T00:00:00"/>
    <n v="86"/>
    <n v="9"/>
    <n v="9"/>
    <n v="9"/>
    <n v="4"/>
    <n v="80"/>
    <s v="&gt;50"/>
    <n v="13"/>
    <m/>
    <m/>
    <m/>
    <x v="0"/>
    <m/>
    <n v="13"/>
  </r>
  <r>
    <n v="7683"/>
    <n v="1968"/>
    <x v="2"/>
    <x v="2"/>
    <n v="70777"/>
    <n v="0"/>
    <d v="1899-12-31T00:00:00"/>
    <d v="2014-02-25T00:00:00"/>
    <n v="80"/>
    <n v="35"/>
    <n v="7"/>
    <n v="7"/>
    <n v="12"/>
    <n v="58"/>
    <s v="&gt;50"/>
    <n v="19"/>
    <m/>
    <m/>
    <m/>
    <x v="0"/>
    <m/>
    <n v="12"/>
  </r>
  <r>
    <n v="3428"/>
    <n v="1991"/>
    <x v="1"/>
    <x v="1"/>
    <n v="68682"/>
    <n v="0"/>
    <d v="1899-12-30T00:00:00"/>
    <d v="2013-10-06T00:00:00"/>
    <n v="56"/>
    <n v="0"/>
    <n v="30"/>
    <n v="30"/>
    <n v="10"/>
    <n v="35"/>
    <s v="30-50"/>
    <n v="40"/>
    <m/>
    <m/>
    <m/>
    <x v="0"/>
    <m/>
    <n v="13"/>
  </r>
  <r>
    <n v="7414"/>
    <n v="1971"/>
    <x v="0"/>
    <x v="2"/>
    <n v="43824"/>
    <n v="1"/>
    <d v="1899-12-31T00:00:00"/>
    <d v="2012-09-15T00:00:00"/>
    <n v="18"/>
    <n v="1"/>
    <n v="3"/>
    <n v="3"/>
    <n v="4"/>
    <n v="55"/>
    <s v="&gt;50"/>
    <n v="7"/>
    <m/>
    <m/>
    <m/>
    <x v="1"/>
    <m/>
    <n v="14"/>
  </r>
  <r>
    <n v="6354"/>
    <n v="1984"/>
    <x v="0"/>
    <x v="1"/>
    <n v="15345"/>
    <n v="1"/>
    <d v="1899-12-30T00:00:00"/>
    <d v="2012-08-31T00:00:00"/>
    <n v="51"/>
    <n v="2"/>
    <n v="2"/>
    <n v="2"/>
    <n v="2"/>
    <n v="42"/>
    <s v="30-50"/>
    <n v="4"/>
    <m/>
    <m/>
    <m/>
    <x v="2"/>
    <m/>
    <n v="14"/>
  </r>
  <r>
    <n v="798"/>
    <n v="1987"/>
    <x v="0"/>
    <x v="0"/>
    <n v="23442"/>
    <n v="1"/>
    <d v="1899-12-30T00:00:00"/>
    <d v="2012-12-24T00:00:00"/>
    <n v="71"/>
    <n v="0"/>
    <n v="6"/>
    <n v="6"/>
    <n v="3"/>
    <n v="39"/>
    <s v="30-50"/>
    <n v="9"/>
    <m/>
    <m/>
    <m/>
    <x v="2"/>
    <m/>
    <n v="14"/>
  </r>
  <r>
    <n v="8213"/>
    <n v="1980"/>
    <x v="4"/>
    <x v="1"/>
    <n v="14515"/>
    <n v="1"/>
    <d v="1899-12-30T00:00:00"/>
    <d v="2012-11-09T00:00:00"/>
    <n v="71"/>
    <n v="4"/>
    <n v="36"/>
    <n v="36"/>
    <n v="3"/>
    <n v="46"/>
    <s v="30-50"/>
    <n v="39"/>
    <m/>
    <m/>
    <m/>
    <x v="2"/>
    <m/>
    <n v="14"/>
  </r>
  <r>
    <n v="2488"/>
    <n v="1956"/>
    <x v="4"/>
    <x v="3"/>
    <n v="31395"/>
    <n v="1"/>
    <d v="1899-12-31T00:00:00"/>
    <d v="2013-03-23T00:00:00"/>
    <n v="80"/>
    <n v="1"/>
    <n v="8"/>
    <n v="8"/>
    <n v="3"/>
    <n v="70"/>
    <s v="&gt;50"/>
    <n v="11"/>
    <m/>
    <m/>
    <m/>
    <x v="1"/>
    <m/>
    <n v="13"/>
  </r>
  <r>
    <n v="9999"/>
    <n v="1965"/>
    <x v="0"/>
    <x v="1"/>
    <n v="75276"/>
    <n v="0"/>
    <d v="1899-12-30T00:00:00"/>
    <d v="2012-09-27T00:00:00"/>
    <n v="2"/>
    <n v="105"/>
    <n v="42"/>
    <n v="42"/>
    <n v="9"/>
    <n v="61"/>
    <s v="&gt;50"/>
    <n v="51"/>
    <m/>
    <m/>
    <m/>
    <x v="3"/>
    <m/>
    <n v="14"/>
  </r>
  <r>
    <n v="7617"/>
    <n v="1974"/>
    <x v="0"/>
    <x v="0"/>
    <n v="42373"/>
    <n v="1"/>
    <d v="1899-12-31T00:00:00"/>
    <d v="2013-08-15T00:00:00"/>
    <n v="83"/>
    <n v="5"/>
    <n v="8"/>
    <n v="8"/>
    <n v="5"/>
    <n v="52"/>
    <s v="&gt;50"/>
    <n v="13"/>
    <m/>
    <m/>
    <m/>
    <x v="1"/>
    <m/>
    <n v="13"/>
  </r>
  <r>
    <n v="615"/>
    <n v="1960"/>
    <x v="0"/>
    <x v="1"/>
    <n v="30507"/>
    <n v="0"/>
    <d v="1899-12-30T00:00:00"/>
    <d v="2013-03-11T00:00:00"/>
    <n v="29"/>
    <n v="36"/>
    <n v="20"/>
    <n v="20"/>
    <n v="4"/>
    <n v="66"/>
    <s v="&gt;50"/>
    <n v="24"/>
    <m/>
    <m/>
    <m/>
    <x v="1"/>
    <m/>
    <n v="13"/>
  </r>
  <r>
    <n v="2552"/>
    <n v="1955"/>
    <x v="1"/>
    <x v="0"/>
    <n v="55521"/>
    <n v="1"/>
    <d v="1900-01-01T00:00:00"/>
    <d v="2013-10-22T00:00:00"/>
    <n v="11"/>
    <n v="0"/>
    <n v="0"/>
    <n v="0"/>
    <n v="6"/>
    <n v="71"/>
    <s v="&gt;50"/>
    <n v="6"/>
    <m/>
    <m/>
    <m/>
    <x v="0"/>
    <m/>
    <n v="13"/>
  </r>
  <r>
    <n v="194"/>
    <n v="1965"/>
    <x v="0"/>
    <x v="2"/>
    <n v="48006"/>
    <n v="1"/>
    <d v="1899-12-31T00:00:00"/>
    <d v="2014-06-09T00:00:00"/>
    <n v="55"/>
    <n v="0"/>
    <n v="2"/>
    <n v="2"/>
    <n v="3"/>
    <n v="61"/>
    <s v="&gt;50"/>
    <n v="5"/>
    <m/>
    <m/>
    <m/>
    <x v="1"/>
    <m/>
    <n v="12"/>
  </r>
  <r>
    <n v="3645"/>
    <n v="1972"/>
    <x v="1"/>
    <x v="0"/>
    <n v="27213"/>
    <n v="1"/>
    <d v="1899-12-30T00:00:00"/>
    <d v="2012-08-30T00:00:00"/>
    <n v="19"/>
    <n v="3"/>
    <n v="9"/>
    <n v="9"/>
    <n v="4"/>
    <n v="54"/>
    <s v="&gt;50"/>
    <n v="13"/>
    <m/>
    <m/>
    <m/>
    <x v="2"/>
    <m/>
    <n v="14"/>
  </r>
  <r>
    <n v="8890"/>
    <n v="1971"/>
    <x v="1"/>
    <x v="3"/>
    <n v="65808"/>
    <n v="1"/>
    <d v="1899-12-31T00:00:00"/>
    <d v="2014-05-30T00:00:00"/>
    <n v="1"/>
    <n v="7"/>
    <n v="7"/>
    <n v="7"/>
    <n v="5"/>
    <n v="55"/>
    <s v="&gt;50"/>
    <n v="12"/>
    <m/>
    <m/>
    <m/>
    <x v="0"/>
    <m/>
    <n v="12"/>
  </r>
  <r>
    <n v="5049"/>
    <n v="1974"/>
    <x v="1"/>
    <x v="1"/>
    <n v="30351"/>
    <n v="1"/>
    <d v="1899-12-30T00:00:00"/>
    <d v="2013-06-06T00:00:00"/>
    <n v="19"/>
    <n v="0"/>
    <n v="3"/>
    <n v="3"/>
    <n v="2"/>
    <n v="52"/>
    <s v="&gt;50"/>
    <n v="5"/>
    <m/>
    <m/>
    <m/>
    <x v="1"/>
    <m/>
    <n v="13"/>
  </r>
  <r>
    <n v="9973"/>
    <n v="1963"/>
    <x v="0"/>
    <x v="2"/>
    <n v="50437"/>
    <n v="0"/>
    <d v="1900-01-01T00:00:00"/>
    <d v="2012-10-17T00:00:00"/>
    <n v="28"/>
    <n v="9"/>
    <n v="9"/>
    <n v="9"/>
    <n v="8"/>
    <n v="63"/>
    <s v="&gt;50"/>
    <n v="17"/>
    <m/>
    <m/>
    <m/>
    <x v="0"/>
    <m/>
    <n v="14"/>
  </r>
  <r>
    <n v="7301"/>
    <n v="1982"/>
    <x v="4"/>
    <x v="0"/>
    <n v="23616"/>
    <n v="1"/>
    <d v="1899-12-30T00:00:00"/>
    <d v="2012-11-17T00:00:00"/>
    <n v="76"/>
    <n v="22"/>
    <n v="7"/>
    <n v="7"/>
    <n v="3"/>
    <n v="44"/>
    <s v="30-50"/>
    <n v="10"/>
    <m/>
    <m/>
    <m/>
    <x v="2"/>
    <m/>
    <n v="14"/>
  </r>
  <r>
    <n v="10882"/>
    <n v="1976"/>
    <x v="0"/>
    <x v="2"/>
    <n v="53858"/>
    <n v="0"/>
    <d v="1899-12-31T00:00:00"/>
    <d v="2012-11-09T00:00:00"/>
    <n v="50"/>
    <n v="53"/>
    <n v="150"/>
    <n v="150"/>
    <n v="6"/>
    <n v="50"/>
    <s v="30-50"/>
    <n v="156"/>
    <m/>
    <m/>
    <m/>
    <x v="0"/>
    <m/>
    <n v="14"/>
  </r>
  <r>
    <n v="7030"/>
    <n v="1955"/>
    <x v="1"/>
    <x v="2"/>
    <n v="66465"/>
    <n v="0"/>
    <d v="1899-12-31T00:00:00"/>
    <d v="2013-03-30T00:00:00"/>
    <n v="1"/>
    <n v="0"/>
    <n v="29"/>
    <n v="29"/>
    <n v="12"/>
    <n v="71"/>
    <s v="&gt;50"/>
    <n v="41"/>
    <m/>
    <m/>
    <m/>
    <x v="0"/>
    <m/>
    <n v="13"/>
  </r>
  <r>
    <n v="7422"/>
    <n v="1987"/>
    <x v="0"/>
    <x v="0"/>
    <n v="46923"/>
    <n v="1"/>
    <d v="1899-12-30T00:00:00"/>
    <d v="2012-08-22T00:00:00"/>
    <n v="90"/>
    <n v="44"/>
    <n v="78"/>
    <n v="78"/>
    <n v="7"/>
    <n v="39"/>
    <s v="30-50"/>
    <n v="85"/>
    <m/>
    <m/>
    <m/>
    <x v="1"/>
    <m/>
    <n v="14"/>
  </r>
  <r>
    <n v="3523"/>
    <n v="1962"/>
    <x v="0"/>
    <x v="1"/>
    <n v="75072"/>
    <n v="0"/>
    <d v="1899-12-31T00:00:00"/>
    <d v="2013-01-23T00:00:00"/>
    <n v="83"/>
    <n v="34"/>
    <n v="22"/>
    <n v="22"/>
    <n v="8"/>
    <n v="64"/>
    <s v="&gt;50"/>
    <n v="30"/>
    <m/>
    <m/>
    <m/>
    <x v="3"/>
    <m/>
    <n v="13"/>
  </r>
  <r>
    <n v="7106"/>
    <n v="1943"/>
    <x v="1"/>
    <x v="2"/>
    <n v="75865"/>
    <n v="0"/>
    <d v="1899-12-30T00:00:00"/>
    <d v="2014-03-31T00:00:00"/>
    <n v="73"/>
    <n v="0"/>
    <n v="0"/>
    <n v="0"/>
    <n v="10"/>
    <n v="83"/>
    <s v="&gt;50"/>
    <n v="10"/>
    <m/>
    <m/>
    <m/>
    <x v="3"/>
    <m/>
    <n v="12"/>
  </r>
  <r>
    <n v="6504"/>
    <n v="1975"/>
    <x v="4"/>
    <x v="1"/>
    <n v="19789"/>
    <n v="1"/>
    <d v="1899-12-30T00:00:00"/>
    <d v="2013-11-20T00:00:00"/>
    <n v="24"/>
    <n v="5"/>
    <n v="6"/>
    <n v="6"/>
    <n v="3"/>
    <n v="51"/>
    <s v="&gt;50"/>
    <n v="9"/>
    <m/>
    <m/>
    <m/>
    <x v="2"/>
    <m/>
    <n v="13"/>
  </r>
  <r>
    <n v="5067"/>
    <n v="1994"/>
    <x v="0"/>
    <x v="1"/>
    <n v="80134"/>
    <n v="0"/>
    <d v="1899-12-30T00:00:00"/>
    <d v="2014-02-14T00:00:00"/>
    <n v="11"/>
    <n v="26"/>
    <n v="26"/>
    <n v="26"/>
    <n v="11"/>
    <n v="32"/>
    <s v="30-50"/>
    <n v="37"/>
    <m/>
    <m/>
    <m/>
    <x v="3"/>
    <m/>
    <n v="12"/>
  </r>
  <r>
    <n v="4216"/>
    <n v="1981"/>
    <x v="0"/>
    <x v="0"/>
    <n v="91065"/>
    <n v="0"/>
    <d v="1899-12-30T00:00:00"/>
    <d v="2013-02-22T00:00:00"/>
    <n v="33"/>
    <n v="114"/>
    <n v="137"/>
    <n v="137"/>
    <n v="9"/>
    <n v="45"/>
    <s v="30-50"/>
    <n v="146"/>
    <m/>
    <m/>
    <m/>
    <x v="3"/>
    <m/>
    <n v="13"/>
  </r>
  <r>
    <n v="8581"/>
    <n v="1971"/>
    <x v="2"/>
    <x v="2"/>
    <n v="49505"/>
    <n v="1"/>
    <d v="1899-12-31T00:00:00"/>
    <d v="2013-03-05T00:00:00"/>
    <n v="4"/>
    <n v="0"/>
    <n v="0"/>
    <n v="0"/>
    <n v="8"/>
    <n v="55"/>
    <s v="&gt;50"/>
    <n v="8"/>
    <m/>
    <m/>
    <m/>
    <x v="1"/>
    <m/>
    <n v="13"/>
  </r>
  <r>
    <n v="5929"/>
    <n v="1973"/>
    <x v="1"/>
    <x v="2"/>
    <n v="37401"/>
    <n v="1"/>
    <d v="1899-12-30T00:00:00"/>
    <d v="2014-05-06T00:00:00"/>
    <n v="14"/>
    <n v="3"/>
    <n v="1"/>
    <n v="1"/>
    <n v="3"/>
    <n v="53"/>
    <s v="&gt;50"/>
    <n v="4"/>
    <m/>
    <m/>
    <m/>
    <x v="1"/>
    <m/>
    <n v="12"/>
  </r>
  <r>
    <n v="3129"/>
    <n v="1983"/>
    <x v="0"/>
    <x v="2"/>
    <n v="30096"/>
    <n v="1"/>
    <d v="1899-12-30T00:00:00"/>
    <d v="2014-05-22T00:00:00"/>
    <n v="30"/>
    <n v="3"/>
    <n v="5"/>
    <n v="5"/>
    <n v="3"/>
    <n v="43"/>
    <s v="30-50"/>
    <n v="8"/>
    <m/>
    <m/>
    <m/>
    <x v="1"/>
    <m/>
    <n v="12"/>
  </r>
  <r>
    <n v="6528"/>
    <n v="1982"/>
    <x v="2"/>
    <x v="1"/>
    <n v="18492"/>
    <n v="1"/>
    <d v="1899-12-30T00:00:00"/>
    <d v="2014-06-05T00:00:00"/>
    <n v="75"/>
    <n v="2"/>
    <n v="1"/>
    <n v="1"/>
    <n v="2"/>
    <n v="44"/>
    <s v="30-50"/>
    <n v="3"/>
    <m/>
    <m/>
    <m/>
    <x v="2"/>
    <m/>
    <n v="12"/>
  </r>
  <r>
    <n v="1361"/>
    <n v="1974"/>
    <x v="2"/>
    <x v="2"/>
    <n v="82584"/>
    <n v="0"/>
    <d v="1899-12-30T00:00:00"/>
    <d v="2013-06-04T00:00:00"/>
    <n v="26"/>
    <n v="68"/>
    <n v="91"/>
    <n v="91"/>
    <n v="8"/>
    <n v="52"/>
    <s v="&gt;50"/>
    <n v="99"/>
    <m/>
    <m/>
    <m/>
    <x v="3"/>
    <m/>
    <n v="13"/>
  </r>
  <r>
    <n v="6932"/>
    <n v="1941"/>
    <x v="1"/>
    <x v="2"/>
    <n v="93027"/>
    <n v="0"/>
    <d v="1899-12-30T00:00:00"/>
    <d v="2013-04-13T00:00:00"/>
    <n v="77"/>
    <n v="42"/>
    <n v="0"/>
    <n v="0"/>
    <n v="5"/>
    <n v="85"/>
    <s v="&gt;50"/>
    <n v="5"/>
    <m/>
    <m/>
    <m/>
    <x v="3"/>
    <m/>
    <n v="13"/>
  </r>
  <r>
    <n v="7284"/>
    <n v="1953"/>
    <x v="0"/>
    <x v="2"/>
    <n v="48686"/>
    <n v="1"/>
    <d v="1900-01-01T00:00:00"/>
    <d v="2013-12-04T00:00:00"/>
    <n v="8"/>
    <n v="0"/>
    <n v="0"/>
    <n v="0"/>
    <n v="2"/>
    <n v="73"/>
    <s v="&gt;50"/>
    <n v="2"/>
    <m/>
    <m/>
    <m/>
    <x v="1"/>
    <m/>
    <n v="13"/>
  </r>
  <r>
    <n v="1340"/>
    <n v="1986"/>
    <x v="0"/>
    <x v="2"/>
    <n v="92910"/>
    <n v="0"/>
    <d v="1899-12-30T00:00:00"/>
    <d v="2014-04-24T00:00:00"/>
    <n v="42"/>
    <n v="137"/>
    <n v="103"/>
    <n v="103"/>
    <n v="13"/>
    <n v="40"/>
    <s v="30-50"/>
    <n v="116"/>
    <m/>
    <m/>
    <m/>
    <x v="3"/>
    <m/>
    <n v="12"/>
  </r>
  <r>
    <n v="8746"/>
    <n v="1989"/>
    <x v="0"/>
    <x v="2"/>
    <n v="75433"/>
    <n v="1"/>
    <d v="1899-12-30T00:00:00"/>
    <d v="2014-04-05T00:00:00"/>
    <n v="28"/>
    <n v="0"/>
    <n v="34"/>
    <n v="34"/>
    <n v="10"/>
    <n v="37"/>
    <s v="30-50"/>
    <n v="44"/>
    <m/>
    <m/>
    <m/>
    <x v="3"/>
    <m/>
    <n v="12"/>
  </r>
  <r>
    <n v="5987"/>
    <n v="1989"/>
    <x v="4"/>
    <x v="1"/>
    <n v="10404"/>
    <n v="1"/>
    <d v="1899-12-30T00:00:00"/>
    <d v="2014-05-04T00:00:00"/>
    <n v="52"/>
    <n v="2"/>
    <n v="6"/>
    <n v="6"/>
    <n v="4"/>
    <n v="37"/>
    <s v="30-50"/>
    <n v="10"/>
    <m/>
    <m/>
    <m/>
    <x v="2"/>
    <m/>
    <n v="12"/>
  </r>
  <r>
    <n v="3767"/>
    <n v="1968"/>
    <x v="0"/>
    <x v="2"/>
    <n v="61314"/>
    <n v="0"/>
    <d v="1899-12-31T00:00:00"/>
    <d v="2013-04-25T00:00:00"/>
    <n v="1"/>
    <n v="0"/>
    <n v="172"/>
    <n v="172"/>
    <n v="12"/>
    <n v="58"/>
    <s v="&gt;50"/>
    <n v="184"/>
    <m/>
    <m/>
    <m/>
    <x v="0"/>
    <m/>
    <n v="13"/>
  </r>
  <r>
    <n v="3725"/>
    <n v="1961"/>
    <x v="1"/>
    <x v="0"/>
    <n v="84865"/>
    <n v="0"/>
    <d v="1899-12-30T00:00:00"/>
    <d v="2013-05-09T00:00:00"/>
    <n v="1"/>
    <n v="16"/>
    <n v="16"/>
    <n v="16"/>
    <n v="9"/>
    <n v="65"/>
    <s v="&gt;50"/>
    <n v="25"/>
    <m/>
    <m/>
    <m/>
    <x v="3"/>
    <m/>
    <n v="13"/>
  </r>
  <r>
    <n v="4324"/>
    <n v="1989"/>
    <x v="0"/>
    <x v="2"/>
    <n v="42387"/>
    <n v="1"/>
    <d v="1899-12-30T00:00:00"/>
    <d v="2012-10-29T00:00:00"/>
    <n v="42"/>
    <n v="0"/>
    <n v="4"/>
    <n v="4"/>
    <n v="7"/>
    <n v="37"/>
    <s v="30-50"/>
    <n v="11"/>
    <m/>
    <m/>
    <m/>
    <x v="1"/>
    <m/>
    <n v="14"/>
  </r>
  <r>
    <n v="238"/>
    <n v="1967"/>
    <x v="4"/>
    <x v="1"/>
    <n v="67309"/>
    <n v="1"/>
    <d v="1899-12-31T00:00:00"/>
    <d v="2013-01-23T00:00:00"/>
    <n v="76"/>
    <n v="47"/>
    <n v="95"/>
    <n v="95"/>
    <n v="9"/>
    <n v="59"/>
    <s v="&gt;50"/>
    <n v="104"/>
    <m/>
    <m/>
    <m/>
    <x v="0"/>
    <m/>
    <n v="13"/>
  </r>
  <r>
    <n v="6694"/>
    <n v="1964"/>
    <x v="0"/>
    <x v="2"/>
    <n v="75236"/>
    <n v="0"/>
    <d v="1899-12-31T00:00:00"/>
    <d v="2013-11-25T00:00:00"/>
    <n v="27"/>
    <n v="66"/>
    <n v="38"/>
    <n v="38"/>
    <n v="13"/>
    <n v="62"/>
    <s v="&gt;50"/>
    <n v="51"/>
    <m/>
    <m/>
    <m/>
    <x v="3"/>
    <m/>
    <n v="13"/>
  </r>
  <r>
    <n v="498"/>
    <n v="1970"/>
    <x v="0"/>
    <x v="0"/>
    <n v="30015"/>
    <n v="1"/>
    <d v="1899-12-30T00:00:00"/>
    <d v="2014-02-02T00:00:00"/>
    <n v="28"/>
    <n v="0"/>
    <n v="3"/>
    <n v="3"/>
    <n v="4"/>
    <n v="56"/>
    <s v="&gt;50"/>
    <n v="7"/>
    <m/>
    <m/>
    <m/>
    <x v="1"/>
    <m/>
    <n v="12"/>
  </r>
  <r>
    <n v="9347"/>
    <n v="1956"/>
    <x v="2"/>
    <x v="1"/>
    <n v="50943"/>
    <n v="0"/>
    <d v="1899-12-31T00:00:00"/>
    <d v="2013-06-21T00:00:00"/>
    <n v="49"/>
    <n v="0"/>
    <n v="0"/>
    <n v="0"/>
    <n v="3"/>
    <n v="70"/>
    <s v="&gt;50"/>
    <n v="3"/>
    <m/>
    <m/>
    <m/>
    <x v="0"/>
    <m/>
    <n v="13"/>
  </r>
  <r>
    <n v="9699"/>
    <n v="1966"/>
    <x v="0"/>
    <x v="3"/>
    <n v="67272"/>
    <n v="0"/>
    <d v="1899-12-31T00:00:00"/>
    <d v="2013-12-21T00:00:00"/>
    <n v="12"/>
    <n v="35"/>
    <n v="28"/>
    <n v="28"/>
    <n v="12"/>
    <n v="60"/>
    <s v="&gt;50"/>
    <n v="40"/>
    <m/>
    <m/>
    <m/>
    <x v="0"/>
    <m/>
    <n v="13"/>
  </r>
  <r>
    <n v="10664"/>
    <n v="1949"/>
    <x v="2"/>
    <x v="4"/>
    <n v="51529"/>
    <n v="0"/>
    <d v="1899-12-31T00:00:00"/>
    <d v="2013-09-07T00:00:00"/>
    <n v="14"/>
    <n v="4"/>
    <n v="0"/>
    <n v="0"/>
    <n v="5"/>
    <n v="77"/>
    <s v="&gt;50"/>
    <n v="5"/>
    <m/>
    <m/>
    <m/>
    <x v="0"/>
    <m/>
    <n v="13"/>
  </r>
  <r>
    <n v="5455"/>
    <n v="1971"/>
    <x v="1"/>
    <x v="2"/>
    <n v="32011"/>
    <n v="1"/>
    <d v="1899-12-30T00:00:00"/>
    <d v="2013-08-22T00:00:00"/>
    <n v="89"/>
    <n v="0"/>
    <n v="1"/>
    <n v="1"/>
    <n v="4"/>
    <n v="55"/>
    <s v="&gt;50"/>
    <n v="5"/>
    <m/>
    <m/>
    <m/>
    <x v="1"/>
    <m/>
    <n v="13"/>
  </r>
  <r>
    <n v="456"/>
    <n v="1986"/>
    <x v="4"/>
    <x v="2"/>
    <n v="7500"/>
    <n v="1"/>
    <d v="1899-12-30T00:00:00"/>
    <d v="2013-02-07T00:00:00"/>
    <n v="96"/>
    <n v="11"/>
    <n v="6"/>
    <n v="6"/>
    <n v="3"/>
    <n v="40"/>
    <s v="30-50"/>
    <n v="9"/>
    <m/>
    <m/>
    <m/>
    <x v="2"/>
    <m/>
    <n v="13"/>
  </r>
  <r>
    <n v="5012"/>
    <n v="1989"/>
    <x v="0"/>
    <x v="2"/>
    <n v="28691"/>
    <n v="1"/>
    <d v="1899-12-30T00:00:00"/>
    <d v="2013-07-04T00:00:00"/>
    <n v="56"/>
    <n v="4"/>
    <n v="0"/>
    <n v="0"/>
    <n v="3"/>
    <n v="37"/>
    <s v="30-50"/>
    <n v="3"/>
    <m/>
    <m/>
    <m/>
    <x v="2"/>
    <m/>
    <n v="13"/>
  </r>
  <r>
    <n v="7495"/>
    <n v="1948"/>
    <x v="1"/>
    <x v="2"/>
    <n v="56223"/>
    <n v="0"/>
    <d v="1899-12-31T00:00:00"/>
    <d v="2013-12-20T00:00:00"/>
    <n v="72"/>
    <n v="28"/>
    <n v="0"/>
    <n v="0"/>
    <n v="5"/>
    <n v="78"/>
    <s v="&gt;50"/>
    <n v="5"/>
    <m/>
    <m/>
    <m/>
    <x v="0"/>
    <m/>
    <n v="13"/>
  </r>
  <r>
    <n v="5029"/>
    <n v="1946"/>
    <x v="0"/>
    <x v="2"/>
    <n v="18100"/>
    <n v="0"/>
    <d v="1899-12-30T00:00:00"/>
    <d v="2013-08-06T00:00:00"/>
    <n v="14"/>
    <n v="1"/>
    <n v="3"/>
    <n v="3"/>
    <n v="3"/>
    <n v="80"/>
    <s v="&gt;50"/>
    <n v="6"/>
    <m/>
    <m/>
    <m/>
    <x v="2"/>
    <m/>
    <n v="13"/>
  </r>
  <r>
    <n v="10642"/>
    <n v="1989"/>
    <x v="0"/>
    <x v="0"/>
    <n v="30279"/>
    <n v="1"/>
    <d v="1899-12-30T00:00:00"/>
    <d v="2012-12-30T00:00:00"/>
    <n v="13"/>
    <n v="4"/>
    <n v="4"/>
    <n v="4"/>
    <n v="3"/>
    <n v="37"/>
    <s v="30-50"/>
    <n v="7"/>
    <m/>
    <m/>
    <m/>
    <x v="1"/>
    <m/>
    <n v="14"/>
  </r>
  <r>
    <n v="2106"/>
    <n v="1974"/>
    <x v="4"/>
    <x v="2"/>
    <n v="20130"/>
    <n v="0"/>
    <d v="1899-12-30T00:00:00"/>
    <d v="2014-03-17T00:00:00"/>
    <n v="99"/>
    <n v="6"/>
    <n v="6"/>
    <n v="6"/>
    <n v="3"/>
    <n v="52"/>
    <s v="&gt;50"/>
    <n v="9"/>
    <m/>
    <m/>
    <m/>
    <x v="2"/>
    <m/>
    <n v="12"/>
  </r>
  <r>
    <n v="10364"/>
    <n v="1959"/>
    <x v="0"/>
    <x v="3"/>
    <n v="23295"/>
    <n v="0"/>
    <d v="1899-12-30T00:00:00"/>
    <d v="2013-07-13T00:00:00"/>
    <n v="72"/>
    <n v="0"/>
    <n v="12"/>
    <n v="12"/>
    <n v="2"/>
    <n v="67"/>
    <s v="&gt;50"/>
    <n v="14"/>
    <m/>
    <m/>
    <m/>
    <x v="2"/>
    <m/>
    <n v="13"/>
  </r>
  <r>
    <n v="5954"/>
    <n v="1972"/>
    <x v="2"/>
    <x v="3"/>
    <n v="42618"/>
    <n v="1"/>
    <d v="1899-12-30T00:00:00"/>
    <d v="2013-10-09T00:00:00"/>
    <n v="92"/>
    <n v="14"/>
    <n v="5"/>
    <n v="5"/>
    <n v="4"/>
    <n v="54"/>
    <s v="&gt;50"/>
    <n v="9"/>
    <m/>
    <m/>
    <m/>
    <x v="1"/>
    <m/>
    <n v="13"/>
  </r>
  <r>
    <n v="1137"/>
    <n v="1964"/>
    <x v="0"/>
    <x v="0"/>
    <n v="81246"/>
    <n v="0"/>
    <d v="1899-12-30T00:00:00"/>
    <d v="2013-12-29T00:00:00"/>
    <n v="87"/>
    <n v="190"/>
    <n v="156"/>
    <n v="156"/>
    <n v="7"/>
    <n v="62"/>
    <s v="&gt;50"/>
    <n v="163"/>
    <m/>
    <m/>
    <m/>
    <x v="3"/>
    <m/>
    <n v="13"/>
  </r>
  <r>
    <n v="2541"/>
    <n v="1976"/>
    <x v="0"/>
    <x v="2"/>
    <n v="24027"/>
    <n v="1"/>
    <d v="1899-12-30T00:00:00"/>
    <d v="2013-06-09T00:00:00"/>
    <n v="7"/>
    <n v="7"/>
    <n v="0"/>
    <n v="0"/>
    <n v="3"/>
    <n v="50"/>
    <s v="30-50"/>
    <n v="3"/>
    <m/>
    <m/>
    <m/>
    <x v="2"/>
    <m/>
    <n v="13"/>
  </r>
  <r>
    <n v="1142"/>
    <n v="1953"/>
    <x v="1"/>
    <x v="2"/>
    <n v="55707"/>
    <n v="0"/>
    <d v="1899-12-31T00:00:00"/>
    <d v="2013-12-22T00:00:00"/>
    <n v="91"/>
    <n v="7"/>
    <n v="66"/>
    <n v="66"/>
    <n v="9"/>
    <n v="73"/>
    <s v="&gt;50"/>
    <n v="75"/>
    <m/>
    <m/>
    <m/>
    <x v="0"/>
    <m/>
    <n v="13"/>
  </r>
  <r>
    <n v="2276"/>
    <n v="1955"/>
    <x v="0"/>
    <x v="0"/>
    <n v="57959"/>
    <n v="0"/>
    <d v="1899-12-31T00:00:00"/>
    <d v="2013-05-02T00:00:00"/>
    <n v="71"/>
    <n v="16"/>
    <n v="24"/>
    <n v="24"/>
    <n v="11"/>
    <n v="71"/>
    <s v="&gt;50"/>
    <n v="35"/>
    <m/>
    <m/>
    <m/>
    <x v="0"/>
    <m/>
    <n v="13"/>
  </r>
  <r>
    <n v="2807"/>
    <n v="1969"/>
    <x v="0"/>
    <x v="2"/>
    <n v="56796"/>
    <n v="0"/>
    <d v="1899-12-31T00:00:00"/>
    <d v="2013-02-16T00:00:00"/>
    <n v="24"/>
    <n v="38"/>
    <n v="47"/>
    <n v="47"/>
    <n v="7"/>
    <n v="57"/>
    <s v="&gt;50"/>
    <n v="54"/>
    <m/>
    <m/>
    <m/>
    <x v="0"/>
    <m/>
    <n v="13"/>
  </r>
  <r>
    <n v="6471"/>
    <n v="1971"/>
    <x v="2"/>
    <x v="0"/>
    <n v="36230"/>
    <n v="1"/>
    <d v="1899-12-30T00:00:00"/>
    <d v="2013-10-17T00:00:00"/>
    <n v="17"/>
    <n v="2"/>
    <n v="2"/>
    <n v="2"/>
    <n v="4"/>
    <n v="55"/>
    <s v="&gt;50"/>
    <n v="6"/>
    <m/>
    <m/>
    <m/>
    <x v="1"/>
    <m/>
    <n v="13"/>
  </r>
  <r>
    <n v="6131"/>
    <n v="1980"/>
    <x v="4"/>
    <x v="2"/>
    <n v="70829"/>
    <n v="1"/>
    <d v="1899-12-31T00:00:00"/>
    <d v="2013-12-01T00:00:00"/>
    <n v="87"/>
    <n v="70"/>
    <n v="19"/>
    <n v="19"/>
    <n v="8"/>
    <n v="46"/>
    <s v="30-50"/>
    <n v="27"/>
    <m/>
    <m/>
    <m/>
    <x v="0"/>
    <m/>
    <n v="13"/>
  </r>
  <r>
    <n v="6233"/>
    <n v="1976"/>
    <x v="0"/>
    <x v="2"/>
    <n v="65991"/>
    <n v="0"/>
    <d v="1899-12-31T00:00:00"/>
    <d v="2012-09-07T00:00:00"/>
    <n v="21"/>
    <n v="19"/>
    <n v="47"/>
    <n v="47"/>
    <n v="10"/>
    <n v="50"/>
    <s v="30-50"/>
    <n v="57"/>
    <m/>
    <m/>
    <m/>
    <x v="0"/>
    <m/>
    <n v="14"/>
  </r>
  <r>
    <n v="4148"/>
    <n v="1972"/>
    <x v="0"/>
    <x v="2"/>
    <n v="38988"/>
    <n v="1"/>
    <d v="1900-01-01T00:00:00"/>
    <d v="2012-08-20T00:00:00"/>
    <n v="90"/>
    <n v="24"/>
    <n v="3"/>
    <n v="3"/>
    <n v="6"/>
    <n v="54"/>
    <s v="&gt;50"/>
    <n v="9"/>
    <m/>
    <m/>
    <m/>
    <x v="1"/>
    <m/>
    <n v="14"/>
  </r>
  <r>
    <n v="4947"/>
    <n v="1966"/>
    <x v="4"/>
    <x v="0"/>
    <n v="89572"/>
    <n v="0"/>
    <d v="1899-12-30T00:00:00"/>
    <d v="2012-09-15T00:00:00"/>
    <n v="44"/>
    <n v="24"/>
    <n v="194"/>
    <n v="194"/>
    <n v="9"/>
    <n v="60"/>
    <s v="&gt;50"/>
    <n v="203"/>
    <m/>
    <m/>
    <m/>
    <x v="3"/>
    <m/>
    <n v="14"/>
  </r>
  <r>
    <n v="3225"/>
    <n v="1984"/>
    <x v="2"/>
    <x v="2"/>
    <n v="42207"/>
    <n v="1"/>
    <d v="1899-12-30T00:00:00"/>
    <d v="2013-04-01T00:00:00"/>
    <n v="71"/>
    <n v="11"/>
    <n v="17"/>
    <n v="17"/>
    <n v="5"/>
    <n v="42"/>
    <s v="30-50"/>
    <n v="22"/>
    <m/>
    <m/>
    <m/>
    <x v="1"/>
    <m/>
    <n v="13"/>
  </r>
  <r>
    <n v="7540"/>
    <n v="1952"/>
    <x v="0"/>
    <x v="2"/>
    <n v="50300"/>
    <n v="0"/>
    <d v="1899-12-31T00:00:00"/>
    <d v="2014-05-25T00:00:00"/>
    <n v="52"/>
    <n v="15"/>
    <n v="23"/>
    <n v="23"/>
    <n v="8"/>
    <n v="74"/>
    <s v="&gt;50"/>
    <n v="31"/>
    <m/>
    <m/>
    <m/>
    <x v="0"/>
    <m/>
    <n v="12"/>
  </r>
  <r>
    <n v="10648"/>
    <n v="1982"/>
    <x v="4"/>
    <x v="1"/>
    <n v="66664"/>
    <n v="0"/>
    <d v="1899-12-30T00:00:00"/>
    <d v="2012-09-25T00:00:00"/>
    <n v="78"/>
    <n v="96"/>
    <n v="96"/>
    <n v="96"/>
    <n v="6"/>
    <n v="44"/>
    <s v="30-50"/>
    <n v="102"/>
    <m/>
    <m/>
    <m/>
    <x v="0"/>
    <m/>
    <n v="14"/>
  </r>
  <r>
    <n v="1992"/>
    <n v="1964"/>
    <x v="0"/>
    <x v="2"/>
    <n v="60597"/>
    <n v="0"/>
    <d v="1899-12-31T00:00:00"/>
    <d v="2014-01-01T00:00:00"/>
    <n v="2"/>
    <n v="0"/>
    <n v="16"/>
    <n v="16"/>
    <n v="8"/>
    <n v="62"/>
    <s v="&gt;50"/>
    <n v="24"/>
    <m/>
    <m/>
    <m/>
    <x v="0"/>
    <m/>
    <n v="12"/>
  </r>
  <r>
    <n v="7851"/>
    <n v="1949"/>
    <x v="0"/>
    <x v="4"/>
    <n v="70165"/>
    <n v="0"/>
    <d v="1899-12-30T00:00:00"/>
    <d v="2013-09-22T00:00:00"/>
    <n v="60"/>
    <n v="0"/>
    <n v="191"/>
    <n v="191"/>
    <n v="11"/>
    <n v="77"/>
    <s v="&gt;50"/>
    <n v="202"/>
    <m/>
    <m/>
    <m/>
    <x v="0"/>
    <m/>
    <n v="13"/>
  </r>
  <r>
    <n v="8594"/>
    <n v="1958"/>
    <x v="1"/>
    <x v="4"/>
    <n v="50520"/>
    <n v="0"/>
    <d v="1899-12-31T00:00:00"/>
    <d v="2014-01-28T00:00:00"/>
    <n v="25"/>
    <n v="0"/>
    <n v="1"/>
    <n v="1"/>
    <n v="3"/>
    <n v="68"/>
    <s v="&gt;50"/>
    <n v="4"/>
    <m/>
    <m/>
    <m/>
    <x v="0"/>
    <m/>
    <n v="12"/>
  </r>
  <r>
    <n v="7059"/>
    <n v="1963"/>
    <x v="0"/>
    <x v="2"/>
    <n v="80124"/>
    <n v="0"/>
    <d v="1899-12-30T00:00:00"/>
    <d v="2014-06-26T00:00:00"/>
    <n v="47"/>
    <n v="84"/>
    <n v="84"/>
    <n v="84"/>
    <n v="8"/>
    <n v="63"/>
    <s v="&gt;50"/>
    <n v="92"/>
    <m/>
    <m/>
    <m/>
    <x v="3"/>
    <m/>
    <n v="12"/>
  </r>
  <r>
    <n v="2815"/>
    <n v="1975"/>
    <x v="0"/>
    <x v="2"/>
    <n v="33183"/>
    <n v="1"/>
    <d v="1899-12-30T00:00:00"/>
    <d v="2014-02-24T00:00:00"/>
    <n v="46"/>
    <n v="5"/>
    <n v="15"/>
    <n v="15"/>
    <n v="3"/>
    <n v="51"/>
    <s v="&gt;50"/>
    <n v="18"/>
    <m/>
    <m/>
    <m/>
    <x v="1"/>
    <m/>
    <n v="12"/>
  </r>
  <r>
    <n v="2416"/>
    <n v="1969"/>
    <x v="1"/>
    <x v="0"/>
    <n v="66582"/>
    <n v="0"/>
    <d v="1899-12-30T00:00:00"/>
    <d v="2014-03-03T00:00:00"/>
    <n v="83"/>
    <n v="25"/>
    <n v="38"/>
    <n v="38"/>
    <n v="9"/>
    <n v="57"/>
    <s v="&gt;50"/>
    <n v="47"/>
    <m/>
    <m/>
    <m/>
    <x v="0"/>
    <m/>
    <n v="12"/>
  </r>
  <r>
    <n v="7999"/>
    <n v="1955"/>
    <x v="1"/>
    <x v="1"/>
    <n v="75261"/>
    <n v="0"/>
    <d v="1899-12-30T00:00:00"/>
    <d v="2013-04-23T00:00:00"/>
    <n v="17"/>
    <n v="17"/>
    <n v="34"/>
    <n v="34"/>
    <n v="5"/>
    <n v="71"/>
    <s v="&gt;50"/>
    <n v="39"/>
    <m/>
    <m/>
    <m/>
    <x v="3"/>
    <m/>
    <n v="13"/>
  </r>
  <r>
    <n v="9213"/>
    <n v="1970"/>
    <x v="0"/>
    <x v="4"/>
    <n v="31880"/>
    <n v="1"/>
    <d v="1899-12-30T00:00:00"/>
    <d v="2012-10-31T00:00:00"/>
    <n v="13"/>
    <n v="1"/>
    <n v="0"/>
    <n v="0"/>
    <n v="2"/>
    <n v="56"/>
    <s v="&gt;50"/>
    <n v="2"/>
    <m/>
    <m/>
    <m/>
    <x v="1"/>
    <m/>
    <n v="14"/>
  </r>
  <r>
    <n v="9697"/>
    <n v="1951"/>
    <x v="0"/>
    <x v="2"/>
    <n v="53790"/>
    <n v="0"/>
    <d v="1900-01-01T00:00:00"/>
    <d v="2014-03-06T00:00:00"/>
    <n v="86"/>
    <n v="42"/>
    <n v="5"/>
    <n v="5"/>
    <n v="8"/>
    <n v="75"/>
    <s v="&gt;50"/>
    <n v="13"/>
    <m/>
    <m/>
    <m/>
    <x v="0"/>
    <m/>
    <n v="12"/>
  </r>
  <r>
    <n v="3916"/>
    <n v="1971"/>
    <x v="1"/>
    <x v="1"/>
    <n v="49269"/>
    <n v="1"/>
    <d v="1899-12-30T00:00:00"/>
    <d v="2012-08-15T00:00:00"/>
    <n v="92"/>
    <n v="8"/>
    <n v="8"/>
    <n v="8"/>
    <n v="12"/>
    <n v="55"/>
    <s v="&gt;50"/>
    <n v="20"/>
    <m/>
    <m/>
    <m/>
    <x v="1"/>
    <m/>
    <n v="14"/>
  </r>
  <r>
    <n v="2021"/>
    <n v="1975"/>
    <x v="0"/>
    <x v="2"/>
    <n v="61456"/>
    <n v="0"/>
    <d v="1899-12-31T00:00:00"/>
    <d v="2013-03-27T00:00:00"/>
    <n v="47"/>
    <n v="76"/>
    <n v="192"/>
    <n v="192"/>
    <n v="13"/>
    <n v="51"/>
    <s v="&gt;50"/>
    <n v="205"/>
    <m/>
    <m/>
    <m/>
    <x v="0"/>
    <m/>
    <n v="13"/>
  </r>
  <r>
    <n v="1581"/>
    <n v="1980"/>
    <x v="0"/>
    <x v="2"/>
    <n v="37406"/>
    <n v="1"/>
    <d v="1899-12-30T00:00:00"/>
    <d v="2013-10-10T00:00:00"/>
    <n v="18"/>
    <n v="0"/>
    <n v="2"/>
    <n v="2"/>
    <n v="2"/>
    <n v="46"/>
    <s v="30-50"/>
    <n v="4"/>
    <m/>
    <m/>
    <m/>
    <x v="1"/>
    <m/>
    <n v="13"/>
  </r>
  <r>
    <n v="564"/>
    <n v="1981"/>
    <x v="1"/>
    <x v="1"/>
    <n v="56937"/>
    <n v="1"/>
    <d v="1899-12-30T00:00:00"/>
    <d v="2012-08-04T00:00:00"/>
    <n v="81"/>
    <n v="8"/>
    <n v="8"/>
    <n v="8"/>
    <n v="9"/>
    <n v="45"/>
    <s v="30-50"/>
    <n v="17"/>
    <m/>
    <m/>
    <m/>
    <x v="0"/>
    <m/>
    <n v="14"/>
  </r>
  <r>
    <n v="6619"/>
    <n v="1978"/>
    <x v="0"/>
    <x v="2"/>
    <n v="38415"/>
    <n v="1"/>
    <d v="1899-12-31T00:00:00"/>
    <d v="2013-01-02T00:00:00"/>
    <n v="91"/>
    <n v="1"/>
    <n v="0"/>
    <n v="0"/>
    <n v="3"/>
    <n v="48"/>
    <s v="30-50"/>
    <n v="3"/>
    <m/>
    <m/>
    <m/>
    <x v="1"/>
    <m/>
    <n v="13"/>
  </r>
  <r>
    <n v="9081"/>
    <n v="1988"/>
    <x v="0"/>
    <x v="0"/>
    <n v="20518"/>
    <n v="1"/>
    <d v="1899-12-30T00:00:00"/>
    <d v="2014-05-18T00:00:00"/>
    <n v="58"/>
    <n v="1"/>
    <n v="1"/>
    <n v="1"/>
    <n v="2"/>
    <n v="38"/>
    <s v="30-50"/>
    <n v="3"/>
    <m/>
    <m/>
    <m/>
    <x v="2"/>
    <m/>
    <n v="12"/>
  </r>
  <r>
    <n v="178"/>
    <n v="1956"/>
    <x v="0"/>
    <x v="2"/>
    <n v="62503"/>
    <n v="0"/>
    <d v="1899-12-31T00:00:00"/>
    <d v="2013-02-18T00:00:00"/>
    <n v="40"/>
    <n v="0"/>
    <n v="75"/>
    <n v="75"/>
    <n v="11"/>
    <n v="70"/>
    <s v="&gt;50"/>
    <n v="86"/>
    <m/>
    <m/>
    <m/>
    <x v="0"/>
    <m/>
    <n v="13"/>
  </r>
  <r>
    <n v="916"/>
    <n v="1972"/>
    <x v="1"/>
    <x v="0"/>
    <n v="41644"/>
    <n v="1"/>
    <d v="1899-12-31T00:00:00"/>
    <d v="2014-05-09T00:00:00"/>
    <n v="67"/>
    <n v="3"/>
    <n v="0"/>
    <n v="0"/>
    <n v="3"/>
    <n v="54"/>
    <s v="&gt;50"/>
    <n v="3"/>
    <m/>
    <m/>
    <m/>
    <x v="1"/>
    <m/>
    <n v="12"/>
  </r>
  <r>
    <n v="5512"/>
    <n v="1977"/>
    <x v="2"/>
    <x v="2"/>
    <n v="55842"/>
    <n v="0"/>
    <d v="1899-12-31T00:00:00"/>
    <d v="2014-05-23T00:00:00"/>
    <n v="19"/>
    <n v="0"/>
    <n v="4"/>
    <n v="4"/>
    <n v="8"/>
    <n v="49"/>
    <s v="30-50"/>
    <n v="12"/>
    <m/>
    <m/>
    <m/>
    <x v="0"/>
    <m/>
    <n v="12"/>
  </r>
  <r>
    <n v="8970"/>
    <n v="1972"/>
    <x v="1"/>
    <x v="2"/>
    <n v="62010"/>
    <n v="0"/>
    <d v="1899-12-31T00:00:00"/>
    <d v="2012-10-23T00:00:00"/>
    <n v="93"/>
    <n v="22"/>
    <n v="0"/>
    <n v="0"/>
    <n v="7"/>
    <n v="54"/>
    <s v="&gt;50"/>
    <n v="7"/>
    <m/>
    <m/>
    <m/>
    <x v="0"/>
    <m/>
    <n v="14"/>
  </r>
  <r>
    <n v="10581"/>
    <n v="1977"/>
    <x v="0"/>
    <x v="2"/>
    <n v="41124"/>
    <n v="1"/>
    <d v="1899-12-30T00:00:00"/>
    <d v="2012-10-31T00:00:00"/>
    <n v="41"/>
    <n v="7"/>
    <n v="0"/>
    <n v="0"/>
    <n v="4"/>
    <n v="49"/>
    <s v="30-50"/>
    <n v="4"/>
    <m/>
    <m/>
    <m/>
    <x v="1"/>
    <m/>
    <n v="14"/>
  </r>
  <r>
    <n v="5300"/>
    <n v="1973"/>
    <x v="2"/>
    <x v="2"/>
    <n v="38961"/>
    <n v="1"/>
    <d v="1899-12-30T00:00:00"/>
    <d v="2013-12-30T00:00:00"/>
    <n v="60"/>
    <n v="7"/>
    <n v="1"/>
    <n v="1"/>
    <n v="2"/>
    <n v="53"/>
    <s v="&gt;50"/>
    <n v="3"/>
    <m/>
    <m/>
    <m/>
    <x v="1"/>
    <m/>
    <n v="13"/>
  </r>
  <r>
    <n v="5154"/>
    <n v="1972"/>
    <x v="2"/>
    <x v="3"/>
    <n v="37760"/>
    <n v="1"/>
    <d v="1899-12-30T00:00:00"/>
    <d v="2013-08-11T00:00:00"/>
    <n v="54"/>
    <n v="3"/>
    <n v="10"/>
    <n v="10"/>
    <n v="3"/>
    <n v="54"/>
    <s v="&gt;50"/>
    <n v="13"/>
    <m/>
    <m/>
    <m/>
    <x v="1"/>
    <m/>
    <n v="13"/>
  </r>
  <r>
    <n v="8346"/>
    <n v="1974"/>
    <x v="0"/>
    <x v="0"/>
    <n v="32233"/>
    <n v="1"/>
    <d v="1899-12-30T00:00:00"/>
    <d v="2012-08-19T00:00:00"/>
    <n v="26"/>
    <n v="15"/>
    <n v="11"/>
    <n v="11"/>
    <n v="2"/>
    <n v="52"/>
    <s v="&gt;50"/>
    <n v="13"/>
    <m/>
    <m/>
    <m/>
    <x v="1"/>
    <m/>
    <n v="14"/>
  </r>
  <r>
    <n v="1676"/>
    <n v="1975"/>
    <x v="0"/>
    <x v="2"/>
    <n v="43057"/>
    <n v="0"/>
    <d v="1899-12-31T00:00:00"/>
    <d v="2013-10-30T00:00:00"/>
    <n v="30"/>
    <n v="2"/>
    <n v="2"/>
    <n v="2"/>
    <n v="5"/>
    <n v="51"/>
    <s v="&gt;50"/>
    <n v="7"/>
    <m/>
    <m/>
    <m/>
    <x v="1"/>
    <m/>
    <n v="13"/>
  </r>
  <r>
    <n v="9286"/>
    <n v="1960"/>
    <x v="2"/>
    <x v="1"/>
    <n v="83151"/>
    <n v="0"/>
    <d v="1899-12-30T00:00:00"/>
    <d v="2012-10-10T00:00:00"/>
    <n v="93"/>
    <n v="28"/>
    <n v="74"/>
    <n v="74"/>
    <n v="4"/>
    <n v="66"/>
    <s v="&gt;50"/>
    <n v="78"/>
    <m/>
    <m/>
    <m/>
    <x v="3"/>
    <m/>
    <n v="14"/>
  </r>
  <r>
    <n v="2426"/>
    <n v="1964"/>
    <x v="1"/>
    <x v="3"/>
    <n v="78825"/>
    <n v="0"/>
    <d v="1899-12-30T00:00:00"/>
    <d v="2012-09-14T00:00:00"/>
    <n v="35"/>
    <n v="74"/>
    <n v="37"/>
    <n v="37"/>
    <n v="13"/>
    <n v="62"/>
    <s v="&gt;50"/>
    <n v="50"/>
    <m/>
    <m/>
    <m/>
    <x v="3"/>
    <m/>
    <n v="14"/>
  </r>
  <r>
    <n v="5172"/>
    <n v="1976"/>
    <x v="2"/>
    <x v="1"/>
    <n v="65104"/>
    <n v="0"/>
    <d v="1899-12-31T00:00:00"/>
    <d v="2013-11-14T00:00:00"/>
    <n v="4"/>
    <n v="0"/>
    <n v="20"/>
    <n v="20"/>
    <n v="7"/>
    <n v="50"/>
    <s v="30-50"/>
    <n v="27"/>
    <m/>
    <m/>
    <m/>
    <x v="0"/>
    <m/>
    <n v="13"/>
  </r>
  <r>
    <n v="5562"/>
    <n v="1974"/>
    <x v="0"/>
    <x v="2"/>
    <n v="60093"/>
    <n v="0"/>
    <d v="1899-12-31T00:00:00"/>
    <d v="2013-06-26T00:00:00"/>
    <n v="92"/>
    <n v="12"/>
    <n v="6"/>
    <n v="6"/>
    <n v="10"/>
    <n v="52"/>
    <s v="&gt;50"/>
    <n v="16"/>
    <m/>
    <m/>
    <m/>
    <x v="0"/>
    <m/>
    <n v="13"/>
  </r>
  <r>
    <n v="3436"/>
    <n v="1969"/>
    <x v="0"/>
    <x v="2"/>
    <n v="14045"/>
    <n v="1"/>
    <d v="1899-12-30T00:00:00"/>
    <d v="2014-01-26T00:00:00"/>
    <n v="24"/>
    <n v="0"/>
    <n v="1"/>
    <n v="1"/>
    <n v="3"/>
    <n v="57"/>
    <s v="&gt;50"/>
    <n v="4"/>
    <m/>
    <m/>
    <m/>
    <x v="2"/>
    <m/>
    <n v="12"/>
  </r>
  <r>
    <n v="3921"/>
    <n v="1952"/>
    <x v="4"/>
    <x v="4"/>
    <n v="28457"/>
    <n v="0"/>
    <d v="1899-12-30T00:00:00"/>
    <d v="2012-10-28T00:00:00"/>
    <n v="96"/>
    <n v="1"/>
    <n v="29"/>
    <n v="29"/>
    <n v="4"/>
    <n v="74"/>
    <s v="&gt;50"/>
    <n v="33"/>
    <m/>
    <m/>
    <m/>
    <x v="2"/>
    <m/>
    <n v="14"/>
  </r>
  <r>
    <n v="3403"/>
    <n v="1958"/>
    <x v="1"/>
    <x v="1"/>
    <n v="78952"/>
    <n v="0"/>
    <d v="1899-12-31T00:00:00"/>
    <d v="2012-09-24T00:00:00"/>
    <n v="11"/>
    <n v="19"/>
    <n v="76"/>
    <n v="76"/>
    <n v="12"/>
    <n v="68"/>
    <s v="&gt;50"/>
    <n v="88"/>
    <m/>
    <m/>
    <m/>
    <x v="3"/>
    <m/>
    <n v="14"/>
  </r>
  <r>
    <n v="22"/>
    <n v="1976"/>
    <x v="0"/>
    <x v="3"/>
    <n v="46310"/>
    <n v="1"/>
    <d v="1899-12-30T00:00:00"/>
    <d v="2012-12-03T00:00:00"/>
    <n v="99"/>
    <n v="2"/>
    <n v="5"/>
    <n v="5"/>
    <n v="5"/>
    <n v="50"/>
    <s v="30-50"/>
    <n v="10"/>
    <m/>
    <m/>
    <m/>
    <x v="1"/>
    <m/>
    <n v="14"/>
  </r>
  <r>
    <n v="10965"/>
    <n v="1955"/>
    <x v="0"/>
    <x v="1"/>
    <n v="76005"/>
    <n v="0"/>
    <d v="1899-12-30T00:00:00"/>
    <d v="2013-02-22T00:00:00"/>
    <n v="72"/>
    <n v="20"/>
    <n v="50"/>
    <n v="50"/>
    <n v="13"/>
    <n v="71"/>
    <s v="&gt;50"/>
    <n v="63"/>
    <m/>
    <m/>
    <m/>
    <x v="3"/>
    <m/>
    <n v="13"/>
  </r>
  <r>
    <n v="9426"/>
    <n v="1964"/>
    <x v="2"/>
    <x v="0"/>
    <n v="58308"/>
    <n v="0"/>
    <d v="1899-12-31T00:00:00"/>
    <d v="2013-01-12T00:00:00"/>
    <n v="77"/>
    <n v="0"/>
    <n v="0"/>
    <n v="0"/>
    <n v="3"/>
    <n v="62"/>
    <s v="&gt;50"/>
    <n v="3"/>
    <m/>
    <m/>
    <m/>
    <x v="0"/>
    <m/>
    <n v="13"/>
  </r>
  <r>
    <n v="6605"/>
    <n v="1944"/>
    <x v="1"/>
    <x v="3"/>
    <n v="55614"/>
    <n v="0"/>
    <d v="1899-12-30T00:00:00"/>
    <d v="2013-11-27T00:00:00"/>
    <n v="85"/>
    <n v="13"/>
    <n v="0"/>
    <n v="0"/>
    <n v="6"/>
    <n v="82"/>
    <s v="&gt;50"/>
    <n v="6"/>
    <m/>
    <m/>
    <m/>
    <x v="0"/>
    <m/>
    <n v="13"/>
  </r>
  <r>
    <n v="3136"/>
    <n v="1962"/>
    <x v="2"/>
    <x v="3"/>
    <n v="59432"/>
    <n v="0"/>
    <d v="1899-12-31T00:00:00"/>
    <d v="2013-04-13T00:00:00"/>
    <n v="88"/>
    <n v="25"/>
    <n v="19"/>
    <n v="19"/>
    <n v="11"/>
    <n v="64"/>
    <s v="&gt;50"/>
    <n v="30"/>
    <m/>
    <m/>
    <m/>
    <x v="0"/>
    <m/>
    <n v="13"/>
  </r>
  <r>
    <n v="8737"/>
    <n v="1978"/>
    <x v="0"/>
    <x v="3"/>
    <n v="55563"/>
    <n v="0"/>
    <d v="1899-12-31T00:00:00"/>
    <d v="2014-04-05T00:00:00"/>
    <n v="22"/>
    <n v="1"/>
    <n v="0"/>
    <n v="0"/>
    <n v="3"/>
    <n v="48"/>
    <s v="30-50"/>
    <n v="3"/>
    <m/>
    <m/>
    <m/>
    <x v="0"/>
    <m/>
    <n v="12"/>
  </r>
  <r>
    <n v="11088"/>
    <n v="1971"/>
    <x v="1"/>
    <x v="1"/>
    <n v="78642"/>
    <n v="0"/>
    <d v="1899-12-31T00:00:00"/>
    <d v="2013-04-21T00:00:00"/>
    <n v="83"/>
    <n v="0"/>
    <n v="35"/>
    <n v="35"/>
    <n v="4"/>
    <n v="55"/>
    <s v="&gt;50"/>
    <n v="39"/>
    <m/>
    <m/>
    <m/>
    <x v="3"/>
    <m/>
    <n v="13"/>
  </r>
  <r>
    <n v="716"/>
    <n v="1949"/>
    <x v="1"/>
    <x v="1"/>
    <n v="67911"/>
    <n v="0"/>
    <d v="1899-12-31T00:00:00"/>
    <d v="2014-05-22T00:00:00"/>
    <n v="63"/>
    <n v="0"/>
    <n v="28"/>
    <n v="28"/>
    <n v="11"/>
    <n v="77"/>
    <s v="&gt;50"/>
    <n v="39"/>
    <m/>
    <m/>
    <m/>
    <x v="0"/>
    <m/>
    <n v="12"/>
  </r>
  <r>
    <n v="466"/>
    <n v="1944"/>
    <x v="0"/>
    <x v="2"/>
    <n v="65275"/>
    <n v="0"/>
    <d v="1899-12-30T00:00:00"/>
    <d v="2013-04-03T00:00:00"/>
    <n v="9"/>
    <n v="14"/>
    <n v="14"/>
    <n v="14"/>
    <n v="13"/>
    <n v="82"/>
    <s v="&gt;50"/>
    <n v="27"/>
    <m/>
    <m/>
    <m/>
    <x v="0"/>
    <m/>
    <n v="13"/>
  </r>
  <r>
    <n v="9135"/>
    <n v="1950"/>
    <x v="0"/>
    <x v="1"/>
    <n v="27203"/>
    <n v="1"/>
    <d v="1899-12-31T00:00:00"/>
    <d v="2012-08-06T00:00:00"/>
    <n v="92"/>
    <n v="2"/>
    <n v="0"/>
    <n v="0"/>
    <n v="2"/>
    <n v="76"/>
    <s v="&gt;50"/>
    <n v="2"/>
    <m/>
    <m/>
    <m/>
    <x v="2"/>
    <m/>
    <n v="14"/>
  </r>
  <r>
    <n v="10623"/>
    <n v="1961"/>
    <x v="2"/>
    <x v="1"/>
    <n v="48330"/>
    <n v="0"/>
    <d v="1899-12-31T00:00:00"/>
    <d v="2013-11-15T00:00:00"/>
    <n v="2"/>
    <n v="0"/>
    <n v="0"/>
    <n v="0"/>
    <n v="3"/>
    <n v="65"/>
    <s v="&gt;50"/>
    <n v="3"/>
    <m/>
    <m/>
    <m/>
    <x v="1"/>
    <m/>
    <n v="13"/>
  </r>
  <r>
    <n v="8151"/>
    <n v="1990"/>
    <x v="3"/>
    <x v="2"/>
    <n v="24279"/>
    <n v="0"/>
    <d v="1899-12-30T00:00:00"/>
    <d v="2012-12-29T00:00:00"/>
    <n v="6"/>
    <n v="36"/>
    <n v="62"/>
    <n v="62"/>
    <n v="3"/>
    <n v="36"/>
    <s v="30-50"/>
    <n v="65"/>
    <m/>
    <m/>
    <m/>
    <x v="2"/>
    <m/>
    <n v="14"/>
  </r>
  <r>
    <n v="5140"/>
    <n v="1985"/>
    <x v="1"/>
    <x v="2"/>
    <n v="64355"/>
    <n v="1"/>
    <d v="1899-12-30T00:00:00"/>
    <d v="2012-08-24T00:00:00"/>
    <n v="66"/>
    <n v="0"/>
    <n v="38"/>
    <n v="38"/>
    <n v="12"/>
    <n v="41"/>
    <s v="30-50"/>
    <n v="50"/>
    <m/>
    <m/>
    <m/>
    <x v="0"/>
    <m/>
    <n v="14"/>
  </r>
  <r>
    <n v="10160"/>
    <n v="1956"/>
    <x v="2"/>
    <x v="1"/>
    <n v="50943"/>
    <n v="0"/>
    <d v="1899-12-31T00:00:00"/>
    <d v="2013-06-21T00:00:00"/>
    <n v="49"/>
    <n v="0"/>
    <n v="0"/>
    <n v="0"/>
    <n v="3"/>
    <n v="70"/>
    <s v="&gt;50"/>
    <n v="3"/>
    <m/>
    <m/>
    <m/>
    <x v="0"/>
    <m/>
    <n v="13"/>
  </r>
  <r>
    <n v="4945"/>
    <n v="1953"/>
    <x v="0"/>
    <x v="4"/>
    <n v="53653"/>
    <n v="0"/>
    <d v="1899-12-30T00:00:00"/>
    <d v="2012-11-07T00:00:00"/>
    <n v="29"/>
    <n v="10"/>
    <n v="10"/>
    <n v="10"/>
    <n v="12"/>
    <n v="73"/>
    <s v="&gt;50"/>
    <n v="22"/>
    <m/>
    <m/>
    <m/>
    <x v="0"/>
    <m/>
    <n v="14"/>
  </r>
  <r>
    <n v="10584"/>
    <n v="1976"/>
    <x v="0"/>
    <x v="2"/>
    <n v="65665"/>
    <n v="0"/>
    <d v="1899-12-31T00:00:00"/>
    <d v="2013-12-02T00:00:00"/>
    <n v="77"/>
    <n v="162"/>
    <n v="36"/>
    <n v="36"/>
    <n v="8"/>
    <n v="50"/>
    <s v="30-50"/>
    <n v="44"/>
    <m/>
    <m/>
    <m/>
    <x v="0"/>
    <m/>
    <n v="13"/>
  </r>
  <r>
    <n v="6071"/>
    <n v="1989"/>
    <x v="0"/>
    <x v="0"/>
    <n v="81217"/>
    <n v="0"/>
    <d v="1899-12-30T00:00:00"/>
    <d v="2013-07-19T00:00:00"/>
    <n v="77"/>
    <n v="70"/>
    <n v="40"/>
    <n v="40"/>
    <n v="11"/>
    <n v="37"/>
    <s v="30-50"/>
    <n v="51"/>
    <m/>
    <m/>
    <m/>
    <x v="3"/>
    <m/>
    <n v="13"/>
  </r>
  <r>
    <n v="3386"/>
    <n v="1992"/>
    <x v="0"/>
    <x v="2"/>
    <n v="34935"/>
    <n v="0"/>
    <d v="1899-12-30T00:00:00"/>
    <d v="2013-06-21T00:00:00"/>
    <n v="71"/>
    <n v="4"/>
    <n v="10"/>
    <n v="10"/>
    <n v="4"/>
    <n v="34"/>
    <s v="30-50"/>
    <n v="14"/>
    <m/>
    <m/>
    <m/>
    <x v="1"/>
    <m/>
    <n v="13"/>
  </r>
  <r>
    <n v="8939"/>
    <n v="1959"/>
    <x v="0"/>
    <x v="3"/>
    <n v="61250"/>
    <n v="0"/>
    <d v="1899-12-31T00:00:00"/>
    <d v="2012-12-16T00:00:00"/>
    <n v="49"/>
    <n v="138"/>
    <n v="26"/>
    <n v="26"/>
    <n v="12"/>
    <n v="67"/>
    <s v="&gt;50"/>
    <n v="38"/>
    <m/>
    <m/>
    <m/>
    <x v="0"/>
    <m/>
    <n v="14"/>
  </r>
  <r>
    <n v="9925"/>
    <n v="1981"/>
    <x v="1"/>
    <x v="1"/>
    <n v="39665"/>
    <n v="1"/>
    <d v="1899-12-30T00:00:00"/>
    <d v="2013-05-25T00:00:00"/>
    <n v="97"/>
    <n v="1"/>
    <n v="1"/>
    <n v="1"/>
    <n v="3"/>
    <n v="45"/>
    <s v="30-50"/>
    <n v="4"/>
    <m/>
    <m/>
    <m/>
    <x v="1"/>
    <m/>
    <n v="13"/>
  </r>
  <r>
    <n v="4320"/>
    <n v="1979"/>
    <x v="0"/>
    <x v="0"/>
    <n v="60152"/>
    <n v="0"/>
    <d v="1899-12-31T00:00:00"/>
    <d v="2013-03-28T00:00:00"/>
    <n v="6"/>
    <n v="83"/>
    <n v="58"/>
    <n v="58"/>
    <n v="12"/>
    <n v="47"/>
    <s v="30-50"/>
    <n v="70"/>
    <m/>
    <m/>
    <m/>
    <x v="0"/>
    <m/>
    <n v="13"/>
  </r>
  <r>
    <n v="5389"/>
    <n v="1964"/>
    <x v="0"/>
    <x v="2"/>
    <n v="48920"/>
    <n v="0"/>
    <d v="1900-01-01T00:00:00"/>
    <d v="2013-10-20T00:00:00"/>
    <n v="93"/>
    <n v="17"/>
    <n v="10"/>
    <n v="10"/>
    <n v="5"/>
    <n v="62"/>
    <s v="&gt;50"/>
    <n v="15"/>
    <m/>
    <m/>
    <m/>
    <x v="1"/>
    <m/>
    <n v="13"/>
  </r>
  <r>
    <n v="6036"/>
    <n v="1959"/>
    <x v="2"/>
    <x v="1"/>
    <n v="89120"/>
    <n v="0"/>
    <d v="1899-12-30T00:00:00"/>
    <d v="2014-03-17T00:00:00"/>
    <n v="78"/>
    <n v="92"/>
    <n v="129"/>
    <n v="129"/>
    <n v="7"/>
    <n v="67"/>
    <s v="&gt;50"/>
    <n v="136"/>
    <m/>
    <m/>
    <m/>
    <x v="3"/>
    <m/>
    <n v="12"/>
  </r>
  <r>
    <n v="182"/>
    <n v="1946"/>
    <x v="1"/>
    <x v="1"/>
    <n v="44124"/>
    <n v="0"/>
    <d v="1899-12-31T00:00:00"/>
    <d v="2013-05-11T00:00:00"/>
    <n v="62"/>
    <n v="0"/>
    <n v="6"/>
    <n v="6"/>
    <n v="5"/>
    <n v="80"/>
    <s v="&gt;50"/>
    <n v="11"/>
    <m/>
    <m/>
    <m/>
    <x v="1"/>
    <m/>
    <n v="13"/>
  </r>
  <r>
    <n v="203"/>
    <n v="1975"/>
    <x v="2"/>
    <x v="0"/>
    <n v="81169"/>
    <n v="0"/>
    <d v="1899-12-30T00:00:00"/>
    <d v="2013-04-14T00:00:00"/>
    <n v="47"/>
    <n v="20"/>
    <n v="61"/>
    <n v="61"/>
    <n v="9"/>
    <n v="51"/>
    <s v="&gt;50"/>
    <n v="70"/>
    <m/>
    <m/>
    <m/>
    <x v="3"/>
    <m/>
    <n v="13"/>
  </r>
  <r>
    <n v="11025"/>
    <n v="1961"/>
    <x v="0"/>
    <x v="2"/>
    <n v="36443"/>
    <n v="1"/>
    <d v="1899-12-31T00:00:00"/>
    <d v="2013-02-03T00:00:00"/>
    <n v="9"/>
    <n v="0"/>
    <n v="3"/>
    <n v="3"/>
    <n v="3"/>
    <n v="65"/>
    <s v="&gt;50"/>
    <n v="6"/>
    <m/>
    <m/>
    <m/>
    <x v="1"/>
    <m/>
    <n v="13"/>
  </r>
  <r>
    <n v="10203"/>
    <n v="1990"/>
    <x v="0"/>
    <x v="0"/>
    <n v="26095"/>
    <n v="1"/>
    <d v="1899-12-30T00:00:00"/>
    <d v="2013-06-30T00:00:00"/>
    <n v="77"/>
    <n v="7"/>
    <n v="1"/>
    <n v="1"/>
    <n v="3"/>
    <n v="36"/>
    <s v="30-50"/>
    <n v="4"/>
    <m/>
    <m/>
    <m/>
    <x v="2"/>
    <m/>
    <n v="13"/>
  </r>
  <r>
    <n v="4607"/>
    <n v="1959"/>
    <x v="0"/>
    <x v="1"/>
    <n v="71367"/>
    <n v="0"/>
    <d v="1899-12-30T00:00:00"/>
    <d v="2013-08-23T00:00:00"/>
    <n v="24"/>
    <n v="23"/>
    <n v="21"/>
    <n v="21"/>
    <n v="7"/>
    <n v="67"/>
    <s v="&gt;50"/>
    <n v="28"/>
    <m/>
    <m/>
    <m/>
    <x v="0"/>
    <m/>
    <n v="13"/>
  </r>
  <r>
    <n v="3711"/>
    <n v="1944"/>
    <x v="2"/>
    <x v="2"/>
    <n v="80184"/>
    <n v="0"/>
    <d v="1899-12-30T00:00:00"/>
    <d v="2014-03-01T00:00:00"/>
    <n v="19"/>
    <n v="134"/>
    <n v="38"/>
    <n v="38"/>
    <n v="10"/>
    <n v="82"/>
    <s v="&gt;50"/>
    <n v="48"/>
    <m/>
    <m/>
    <m/>
    <x v="3"/>
    <m/>
    <n v="12"/>
  </r>
  <r>
    <n v="3696"/>
    <n v="1965"/>
    <x v="0"/>
    <x v="3"/>
    <n v="30630"/>
    <n v="1"/>
    <d v="1899-12-31T00:00:00"/>
    <d v="2014-01-27T00:00:00"/>
    <n v="67"/>
    <n v="1"/>
    <n v="0"/>
    <n v="0"/>
    <n v="3"/>
    <n v="61"/>
    <s v="&gt;50"/>
    <n v="3"/>
    <m/>
    <m/>
    <m/>
    <x v="1"/>
    <m/>
    <n v="12"/>
  </r>
  <r>
    <n v="2532"/>
    <n v="1987"/>
    <x v="2"/>
    <x v="0"/>
    <n v="73454"/>
    <n v="0"/>
    <d v="1899-12-30T00:00:00"/>
    <d v="2014-03-01T00:00:00"/>
    <n v="95"/>
    <n v="73"/>
    <n v="14"/>
    <n v="14"/>
    <n v="6"/>
    <n v="39"/>
    <s v="30-50"/>
    <n v="20"/>
    <m/>
    <m/>
    <m/>
    <x v="0"/>
    <m/>
    <n v="12"/>
  </r>
  <r>
    <n v="9214"/>
    <n v="1991"/>
    <x v="0"/>
    <x v="2"/>
    <n v="42691"/>
    <n v="0"/>
    <d v="1899-12-30T00:00:00"/>
    <d v="2013-08-16T00:00:00"/>
    <n v="48"/>
    <n v="2"/>
    <n v="17"/>
    <n v="17"/>
    <n v="6"/>
    <n v="35"/>
    <s v="30-50"/>
    <n v="23"/>
    <m/>
    <m/>
    <m/>
    <x v="1"/>
    <m/>
    <n v="13"/>
  </r>
  <r>
    <n v="4943"/>
    <n v="1953"/>
    <x v="0"/>
    <x v="2"/>
    <n v="70503"/>
    <n v="0"/>
    <d v="1899-12-30T00:00:00"/>
    <d v="2012-09-30T00:00:00"/>
    <n v="73"/>
    <n v="33"/>
    <n v="33"/>
    <n v="33"/>
    <n v="9"/>
    <n v="73"/>
    <s v="&gt;50"/>
    <n v="42"/>
    <m/>
    <m/>
    <m/>
    <x v="0"/>
    <m/>
    <n v="14"/>
  </r>
  <r>
    <n v="35"/>
    <n v="1987"/>
    <x v="0"/>
    <x v="2"/>
    <n v="25545"/>
    <n v="1"/>
    <d v="1899-12-30T00:00:00"/>
    <d v="2012-09-08T00:00:00"/>
    <n v="35"/>
    <n v="1"/>
    <n v="12"/>
    <n v="12"/>
    <n v="3"/>
    <n v="39"/>
    <s v="30-50"/>
    <n v="15"/>
    <m/>
    <m/>
    <m/>
    <x v="2"/>
    <m/>
    <n v="14"/>
  </r>
  <r>
    <n v="2258"/>
    <n v="1986"/>
    <x v="0"/>
    <x v="2"/>
    <n v="32880"/>
    <n v="1"/>
    <d v="1899-12-30T00:00:00"/>
    <d v="2012-12-04T00:00:00"/>
    <n v="76"/>
    <n v="4"/>
    <n v="6"/>
    <n v="6"/>
    <n v="3"/>
    <n v="40"/>
    <s v="30-50"/>
    <n v="9"/>
    <m/>
    <m/>
    <m/>
    <x v="1"/>
    <m/>
    <n v="14"/>
  </r>
  <r>
    <n v="4322"/>
    <n v="1958"/>
    <x v="1"/>
    <x v="1"/>
    <n v="77863"/>
    <n v="0"/>
    <d v="1899-12-30T00:00:00"/>
    <d v="2013-11-27T00:00:00"/>
    <n v="20"/>
    <n v="38"/>
    <n v="25"/>
    <n v="25"/>
    <n v="10"/>
    <n v="68"/>
    <s v="&gt;50"/>
    <n v="35"/>
    <m/>
    <m/>
    <m/>
    <x v="3"/>
    <m/>
    <n v="13"/>
  </r>
  <r>
    <n v="713"/>
    <n v="1977"/>
    <x v="2"/>
    <x v="2"/>
    <n v="50353"/>
    <n v="0"/>
    <d v="1899-12-30T00:00:00"/>
    <d v="2014-06-08T00:00:00"/>
    <n v="72"/>
    <n v="15"/>
    <n v="31"/>
    <n v="31"/>
    <n v="6"/>
    <n v="49"/>
    <s v="30-50"/>
    <n v="37"/>
    <m/>
    <m/>
    <m/>
    <x v="0"/>
    <m/>
    <n v="12"/>
  </r>
  <r>
    <n v="4702"/>
    <n v="1964"/>
    <x v="0"/>
    <x v="0"/>
    <n v="61839"/>
    <n v="0"/>
    <d v="1899-12-30T00:00:00"/>
    <d v="2012-08-12T00:00:00"/>
    <n v="20"/>
    <n v="155"/>
    <n v="17"/>
    <n v="17"/>
    <n v="4"/>
    <n v="62"/>
    <s v="&gt;50"/>
    <n v="21"/>
    <m/>
    <m/>
    <m/>
    <x v="0"/>
    <m/>
    <n v="14"/>
  </r>
  <r>
    <n v="3281"/>
    <n v="1960"/>
    <x v="1"/>
    <x v="2"/>
    <n v="49154"/>
    <n v="1"/>
    <d v="1899-12-31T00:00:00"/>
    <d v="2013-11-03T00:00:00"/>
    <n v="69"/>
    <n v="10"/>
    <n v="27"/>
    <n v="27"/>
    <n v="8"/>
    <n v="66"/>
    <s v="&gt;50"/>
    <n v="35"/>
    <m/>
    <m/>
    <m/>
    <x v="1"/>
    <m/>
    <n v="13"/>
  </r>
  <r>
    <n v="702"/>
    <n v="1975"/>
    <x v="4"/>
    <x v="4"/>
    <n v="47682"/>
    <n v="0"/>
    <d v="1899-12-31T00:00:00"/>
    <d v="2013-02-15T00:00:00"/>
    <n v="80"/>
    <n v="61"/>
    <n v="57"/>
    <n v="57"/>
    <n v="8"/>
    <n v="51"/>
    <s v="&gt;50"/>
    <n v="65"/>
    <m/>
    <m/>
    <m/>
    <x v="1"/>
    <m/>
    <n v="13"/>
  </r>
  <r>
    <n v="2004"/>
    <n v="1969"/>
    <x v="0"/>
    <x v="0"/>
    <n v="72679"/>
    <n v="0"/>
    <d v="1899-12-31T00:00:00"/>
    <d v="2013-09-18T00:00:00"/>
    <n v="65"/>
    <n v="54"/>
    <n v="54"/>
    <n v="54"/>
    <n v="5"/>
    <n v="57"/>
    <s v="&gt;50"/>
    <n v="59"/>
    <m/>
    <m/>
    <m/>
    <x v="0"/>
    <m/>
    <n v="13"/>
  </r>
  <r>
    <n v="4769"/>
    <n v="1977"/>
    <x v="2"/>
    <x v="1"/>
    <n v="57954"/>
    <n v="1"/>
    <d v="1899-12-31T00:00:00"/>
    <d v="2014-06-18T00:00:00"/>
    <n v="52"/>
    <n v="4"/>
    <n v="0"/>
    <n v="0"/>
    <n v="6"/>
    <n v="49"/>
    <s v="30-50"/>
    <n v="6"/>
    <m/>
    <m/>
    <m/>
    <x v="0"/>
    <m/>
    <n v="12"/>
  </r>
  <r>
    <n v="4437"/>
    <n v="1962"/>
    <x v="0"/>
    <x v="2"/>
    <n v="65316"/>
    <n v="1"/>
    <d v="1899-12-31T00:00:00"/>
    <d v="2013-04-24T00:00:00"/>
    <n v="65"/>
    <n v="6"/>
    <n v="9"/>
    <n v="9"/>
    <n v="5"/>
    <n v="64"/>
    <s v="&gt;50"/>
    <n v="14"/>
    <m/>
    <m/>
    <m/>
    <x v="0"/>
    <m/>
    <n v="13"/>
  </r>
  <r>
    <n v="8724"/>
    <n v="1982"/>
    <x v="0"/>
    <x v="0"/>
    <n v="28567"/>
    <n v="1"/>
    <d v="1899-12-30T00:00:00"/>
    <d v="2013-06-17T00:00:00"/>
    <n v="57"/>
    <n v="3"/>
    <n v="2"/>
    <n v="2"/>
    <n v="3"/>
    <n v="44"/>
    <s v="30-50"/>
    <n v="5"/>
    <m/>
    <m/>
    <m/>
    <x v="2"/>
    <m/>
    <n v="13"/>
  </r>
  <r>
    <n v="10741"/>
    <n v="1951"/>
    <x v="2"/>
    <x v="1"/>
    <n v="47352"/>
    <n v="0"/>
    <d v="1899-12-31T00:00:00"/>
    <d v="2013-04-11T00:00:00"/>
    <n v="70"/>
    <n v="12"/>
    <n v="0"/>
    <n v="0"/>
    <n v="5"/>
    <n v="75"/>
    <s v="&gt;50"/>
    <n v="5"/>
    <m/>
    <m/>
    <m/>
    <x v="1"/>
    <m/>
    <n v="13"/>
  </r>
  <r>
    <n v="1991"/>
    <n v="1967"/>
    <x v="0"/>
    <x v="1"/>
    <n v="44931"/>
    <n v="0"/>
    <d v="1899-12-31T00:00:00"/>
    <d v="2014-01-18T00:00:00"/>
    <n v="0"/>
    <n v="0"/>
    <n v="0"/>
    <n v="0"/>
    <n v="3"/>
    <n v="59"/>
    <s v="&gt;50"/>
    <n v="3"/>
    <m/>
    <m/>
    <m/>
    <x v="1"/>
    <m/>
    <n v="12"/>
  </r>
  <r>
    <n v="6931"/>
    <n v="1967"/>
    <x v="0"/>
    <x v="3"/>
    <n v="76982"/>
    <n v="0"/>
    <d v="1899-12-30T00:00:00"/>
    <d v="2014-02-15T00:00:00"/>
    <n v="19"/>
    <n v="151"/>
    <n v="60"/>
    <n v="60"/>
    <n v="4"/>
    <n v="59"/>
    <s v="&gt;50"/>
    <n v="64"/>
    <m/>
    <m/>
    <m/>
    <x v="3"/>
    <m/>
    <n v="12"/>
  </r>
  <r>
    <n v="11096"/>
    <n v="1952"/>
    <x v="4"/>
    <x v="1"/>
    <n v="57247"/>
    <n v="0"/>
    <d v="1899-12-31T00:00:00"/>
    <d v="2013-08-08T00:00:00"/>
    <n v="50"/>
    <n v="4"/>
    <n v="54"/>
    <n v="54"/>
    <n v="7"/>
    <n v="74"/>
    <s v="&gt;50"/>
    <n v="61"/>
    <m/>
    <m/>
    <m/>
    <x v="0"/>
    <m/>
    <n v="13"/>
  </r>
  <r>
    <n v="304"/>
    <n v="1981"/>
    <x v="2"/>
    <x v="0"/>
    <n v="22944"/>
    <n v="1"/>
    <d v="1899-12-30T00:00:00"/>
    <d v="2013-12-23T00:00:00"/>
    <n v="67"/>
    <n v="3"/>
    <n v="5"/>
    <n v="5"/>
    <n v="3"/>
    <n v="45"/>
    <s v="30-50"/>
    <n v="8"/>
    <m/>
    <m/>
    <m/>
    <x v="2"/>
    <m/>
    <n v="13"/>
  </r>
  <r>
    <n v="3665"/>
    <n v="1977"/>
    <x v="4"/>
    <x v="1"/>
    <n v="25315"/>
    <n v="1"/>
    <d v="1899-12-30T00:00:00"/>
    <d v="2013-11-07T00:00:00"/>
    <n v="46"/>
    <n v="9"/>
    <n v="3"/>
    <n v="3"/>
    <n v="3"/>
    <n v="49"/>
    <s v="30-50"/>
    <n v="6"/>
    <m/>
    <m/>
    <m/>
    <x v="2"/>
    <m/>
    <n v="13"/>
  </r>
  <r>
    <n v="10591"/>
    <n v="1969"/>
    <x v="0"/>
    <x v="4"/>
    <n v="43638"/>
    <n v="0"/>
    <d v="1899-12-31T00:00:00"/>
    <d v="2012-08-06T00:00:00"/>
    <n v="37"/>
    <n v="10"/>
    <n v="19"/>
    <n v="19"/>
    <n v="4"/>
    <n v="57"/>
    <s v="&gt;50"/>
    <n v="23"/>
    <m/>
    <m/>
    <m/>
    <x v="1"/>
    <m/>
    <n v="14"/>
  </r>
  <r>
    <n v="5036"/>
    <n v="1984"/>
    <x v="1"/>
    <x v="0"/>
    <n v="42710"/>
    <n v="1"/>
    <d v="1899-12-30T00:00:00"/>
    <d v="2012-11-28T00:00:00"/>
    <n v="38"/>
    <n v="3"/>
    <n v="3"/>
    <n v="3"/>
    <n v="3"/>
    <n v="42"/>
    <s v="30-50"/>
    <n v="6"/>
    <m/>
    <m/>
    <m/>
    <x v="1"/>
    <m/>
    <n v="14"/>
  </r>
  <r>
    <n v="5547"/>
    <n v="1982"/>
    <x v="1"/>
    <x v="2"/>
    <n v="84169"/>
    <n v="0"/>
    <d v="1899-12-30T00:00:00"/>
    <d v="2013-08-07T00:00:00"/>
    <n v="9"/>
    <n v="19"/>
    <n v="19"/>
    <n v="19"/>
    <n v="6"/>
    <n v="44"/>
    <s v="30-50"/>
    <n v="25"/>
    <m/>
    <m/>
    <m/>
    <x v="3"/>
    <m/>
    <n v="13"/>
  </r>
  <r>
    <n v="7822"/>
    <n v="1976"/>
    <x v="0"/>
    <x v="1"/>
    <n v="54058"/>
    <n v="0"/>
    <d v="1899-12-31T00:00:00"/>
    <d v="2013-06-04T00:00:00"/>
    <n v="56"/>
    <n v="18"/>
    <n v="108"/>
    <n v="108"/>
    <n v="8"/>
    <n v="50"/>
    <s v="30-50"/>
    <n v="116"/>
    <m/>
    <m/>
    <m/>
    <x v="0"/>
    <m/>
    <n v="13"/>
  </r>
  <r>
    <n v="8541"/>
    <n v="1990"/>
    <x v="4"/>
    <x v="2"/>
    <n v="24683"/>
    <n v="1"/>
    <d v="1899-12-30T00:00:00"/>
    <d v="2014-03-08T00:00:00"/>
    <n v="98"/>
    <n v="4"/>
    <n v="7"/>
    <n v="7"/>
    <n v="4"/>
    <n v="36"/>
    <s v="30-50"/>
    <n v="11"/>
    <m/>
    <m/>
    <m/>
    <x v="2"/>
    <m/>
    <n v="12"/>
  </r>
  <r>
    <n v="10955"/>
    <n v="1964"/>
    <x v="0"/>
    <x v="4"/>
    <n v="85620"/>
    <n v="0"/>
    <d v="1899-12-30T00:00:00"/>
    <d v="2014-01-07T00:00:00"/>
    <n v="68"/>
    <n v="46"/>
    <n v="107"/>
    <n v="107"/>
    <n v="4"/>
    <n v="62"/>
    <s v="&gt;50"/>
    <n v="111"/>
    <m/>
    <m/>
    <m/>
    <x v="3"/>
    <m/>
    <n v="12"/>
  </r>
  <r>
    <n v="4368"/>
    <n v="1980"/>
    <x v="0"/>
    <x v="2"/>
    <n v="47850"/>
    <n v="1"/>
    <d v="1899-12-30T00:00:00"/>
    <d v="2013-12-03T00:00:00"/>
    <n v="72"/>
    <n v="7"/>
    <n v="12"/>
    <n v="12"/>
    <n v="4"/>
    <n v="46"/>
    <s v="30-50"/>
    <n v="16"/>
    <m/>
    <m/>
    <m/>
    <x v="1"/>
    <m/>
    <n v="13"/>
  </r>
  <r>
    <n v="9671"/>
    <n v="1968"/>
    <x v="0"/>
    <x v="2"/>
    <n v="19514"/>
    <n v="1"/>
    <d v="1899-12-31T00:00:00"/>
    <d v="2014-01-26T00:00:00"/>
    <n v="47"/>
    <n v="3"/>
    <n v="1"/>
    <n v="1"/>
    <n v="2"/>
    <n v="58"/>
    <s v="&gt;50"/>
    <n v="3"/>
    <m/>
    <m/>
    <m/>
    <x v="2"/>
    <m/>
    <n v="12"/>
  </r>
  <r>
    <n v="2256"/>
    <n v="1973"/>
    <x v="2"/>
    <x v="2"/>
    <n v="27159"/>
    <n v="1"/>
    <d v="1899-12-31T00:00:00"/>
    <d v="2014-03-29T00:00:00"/>
    <n v="33"/>
    <n v="0"/>
    <n v="0"/>
    <n v="0"/>
    <n v="3"/>
    <n v="53"/>
    <s v="&gt;50"/>
    <n v="3"/>
    <m/>
    <m/>
    <m/>
    <x v="2"/>
    <m/>
    <n v="12"/>
  </r>
  <r>
    <n v="4279"/>
    <n v="1963"/>
    <x v="4"/>
    <x v="0"/>
    <n v="39548"/>
    <n v="1"/>
    <d v="1899-12-31T00:00:00"/>
    <d v="2014-03-31T00:00:00"/>
    <n v="87"/>
    <n v="4"/>
    <n v="4"/>
    <n v="4"/>
    <n v="3"/>
    <n v="63"/>
    <s v="&gt;50"/>
    <n v="7"/>
    <m/>
    <m/>
    <m/>
    <x v="1"/>
    <m/>
    <n v="12"/>
  </r>
  <r>
    <n v="5371"/>
    <n v="1989"/>
    <x v="0"/>
    <x v="0"/>
    <n v="21474"/>
    <n v="1"/>
    <d v="1899-12-30T00:00:00"/>
    <d v="2014-04-08T00:00:00"/>
    <n v="0"/>
    <n v="16"/>
    <n v="0"/>
    <n v="0"/>
    <n v="2"/>
    <n v="37"/>
    <s v="30-50"/>
    <n v="2"/>
    <m/>
    <m/>
    <m/>
    <x v="2"/>
    <m/>
    <n v="12"/>
  </r>
  <r>
    <n v="9240"/>
    <n v="1971"/>
    <x v="1"/>
    <x v="0"/>
    <n v="60504"/>
    <n v="0"/>
    <d v="1899-12-31T00:00:00"/>
    <d v="2014-02-07T00:00:00"/>
    <n v="73"/>
    <n v="0"/>
    <n v="4"/>
    <n v="4"/>
    <n v="8"/>
    <n v="55"/>
    <s v="&gt;50"/>
    <n v="12"/>
    <m/>
    <m/>
    <m/>
    <x v="0"/>
    <m/>
    <n v="12"/>
  </r>
  <r>
    <n v="9460"/>
    <n v="1963"/>
    <x v="0"/>
    <x v="2"/>
    <n v="22419"/>
    <n v="0"/>
    <d v="1899-12-30T00:00:00"/>
    <d v="2013-04-18T00:00:00"/>
    <n v="74"/>
    <n v="3"/>
    <n v="21"/>
    <n v="21"/>
    <n v="2"/>
    <n v="63"/>
    <s v="&gt;50"/>
    <n v="23"/>
    <m/>
    <m/>
    <m/>
    <x v="2"/>
    <m/>
    <n v="13"/>
  </r>
  <r>
    <n v="9504"/>
    <n v="1949"/>
    <x v="2"/>
    <x v="2"/>
    <n v="81698"/>
    <n v="0"/>
    <d v="1899-12-30T00:00:00"/>
    <d v="2013-11-06T00:00:00"/>
    <n v="4"/>
    <n v="28"/>
    <n v="123"/>
    <n v="123"/>
    <n v="13"/>
    <n v="77"/>
    <s v="&gt;50"/>
    <n v="136"/>
    <m/>
    <m/>
    <m/>
    <x v="3"/>
    <m/>
    <n v="13"/>
  </r>
  <r>
    <n v="8692"/>
    <n v="1952"/>
    <x v="0"/>
    <x v="1"/>
    <n v="43462"/>
    <n v="1"/>
    <d v="1899-12-31T00:00:00"/>
    <d v="2012-09-12T00:00:00"/>
    <n v="50"/>
    <n v="17"/>
    <n v="6"/>
    <n v="6"/>
    <n v="5"/>
    <n v="74"/>
    <s v="&gt;50"/>
    <n v="11"/>
    <m/>
    <m/>
    <m/>
    <x v="1"/>
    <m/>
    <n v="14"/>
  </r>
  <r>
    <n v="448"/>
    <n v="1978"/>
    <x v="1"/>
    <x v="0"/>
    <n v="54880"/>
    <n v="1"/>
    <d v="1899-12-30T00:00:00"/>
    <d v="2013-03-01T00:00:00"/>
    <n v="57"/>
    <n v="85"/>
    <n v="45"/>
    <n v="45"/>
    <n v="11"/>
    <n v="48"/>
    <s v="30-50"/>
    <n v="56"/>
    <m/>
    <m/>
    <m/>
    <x v="0"/>
    <m/>
    <n v="13"/>
  </r>
  <r>
    <n v="8314"/>
    <n v="1982"/>
    <x v="0"/>
    <x v="2"/>
    <n v="79908"/>
    <n v="0"/>
    <d v="1899-12-30T00:00:00"/>
    <d v="2013-04-05T00:00:00"/>
    <n v="30"/>
    <n v="129"/>
    <n v="185"/>
    <n v="185"/>
    <n v="7"/>
    <n v="44"/>
    <s v="30-50"/>
    <n v="192"/>
    <m/>
    <m/>
    <m/>
    <x v="3"/>
    <m/>
    <n v="13"/>
  </r>
  <r>
    <n v="8420"/>
    <n v="1970"/>
    <x v="4"/>
    <x v="2"/>
    <n v="15315"/>
    <n v="0"/>
    <d v="1899-12-30T00:00:00"/>
    <d v="2013-08-03T00:00:00"/>
    <n v="27"/>
    <n v="4"/>
    <n v="8"/>
    <n v="8"/>
    <n v="4"/>
    <n v="56"/>
    <s v="&gt;50"/>
    <n v="12"/>
    <m/>
    <m/>
    <m/>
    <x v="2"/>
    <m/>
    <n v="13"/>
  </r>
  <r>
    <n v="3174"/>
    <n v="1959"/>
    <x v="0"/>
    <x v="1"/>
    <n v="87771"/>
    <n v="0"/>
    <d v="1899-12-31T00:00:00"/>
    <d v="2013-05-22T00:00:00"/>
    <n v="61"/>
    <n v="38"/>
    <n v="57"/>
    <n v="57"/>
    <n v="4"/>
    <n v="67"/>
    <s v="&gt;50"/>
    <n v="61"/>
    <m/>
    <m/>
    <m/>
    <x v="3"/>
    <m/>
    <n v="13"/>
  </r>
  <r>
    <n v="7685"/>
    <n v="1978"/>
    <x v="0"/>
    <x v="2"/>
    <n v="33039"/>
    <n v="1"/>
    <d v="1899-12-30T00:00:00"/>
    <d v="2013-09-09T00:00:00"/>
    <n v="4"/>
    <n v="8"/>
    <n v="8"/>
    <n v="8"/>
    <n v="4"/>
    <n v="48"/>
    <s v="30-50"/>
    <n v="12"/>
    <m/>
    <m/>
    <m/>
    <x v="1"/>
    <m/>
    <n v="13"/>
  </r>
  <r>
    <n v="3179"/>
    <n v="1980"/>
    <x v="0"/>
    <x v="0"/>
    <n v="81741"/>
    <n v="0"/>
    <d v="1899-12-30T00:00:00"/>
    <d v="2013-06-16T00:00:00"/>
    <n v="75"/>
    <n v="153"/>
    <n v="134"/>
    <n v="134"/>
    <n v="7"/>
    <n v="46"/>
    <s v="30-50"/>
    <n v="141"/>
    <m/>
    <m/>
    <m/>
    <x v="3"/>
    <m/>
    <n v="13"/>
  </r>
  <r>
    <n v="9780"/>
    <n v="1971"/>
    <x v="2"/>
    <x v="1"/>
    <n v="71499"/>
    <n v="0"/>
    <d v="1899-12-31T00:00:00"/>
    <d v="2013-06-25T00:00:00"/>
    <n v="12"/>
    <n v="25"/>
    <n v="0"/>
    <n v="0"/>
    <n v="13"/>
    <n v="55"/>
    <s v="&gt;50"/>
    <n v="13"/>
    <m/>
    <m/>
    <m/>
    <x v="0"/>
    <m/>
    <n v="13"/>
  </r>
  <r>
    <n v="10681"/>
    <n v="1970"/>
    <x v="4"/>
    <x v="2"/>
    <n v="62466"/>
    <n v="0"/>
    <d v="1899-12-31T00:00:00"/>
    <d v="2014-01-15T00:00:00"/>
    <n v="13"/>
    <n v="129"/>
    <n v="121"/>
    <n v="121"/>
    <n v="12"/>
    <n v="56"/>
    <s v="&gt;50"/>
    <n v="133"/>
    <m/>
    <m/>
    <m/>
    <x v="0"/>
    <m/>
    <n v="12"/>
  </r>
  <r>
    <n v="10232"/>
    <n v="1963"/>
    <x v="1"/>
    <x v="3"/>
    <n v="48799"/>
    <n v="0"/>
    <d v="1899-12-31T00:00:00"/>
    <d v="2013-11-05T00:00:00"/>
    <n v="9"/>
    <n v="18"/>
    <n v="6"/>
    <n v="6"/>
    <n v="7"/>
    <n v="63"/>
    <s v="&gt;50"/>
    <n v="13"/>
    <m/>
    <m/>
    <m/>
    <x v="1"/>
    <m/>
    <n v="13"/>
  </r>
  <r>
    <n v="4184"/>
    <n v="1950"/>
    <x v="1"/>
    <x v="1"/>
    <n v="52157"/>
    <n v="0"/>
    <d v="1899-12-31T00:00:00"/>
    <d v="2014-06-07T00:00:00"/>
    <n v="48"/>
    <n v="2"/>
    <n v="2"/>
    <n v="2"/>
    <n v="5"/>
    <n v="76"/>
    <s v="&gt;50"/>
    <n v="7"/>
    <m/>
    <m/>
    <m/>
    <x v="0"/>
    <m/>
    <n v="12"/>
  </r>
  <r>
    <n v="9120"/>
    <n v="1962"/>
    <x v="0"/>
    <x v="0"/>
    <n v="66565"/>
    <n v="0"/>
    <d v="1899-12-31T00:00:00"/>
    <d v="2012-12-05T00:00:00"/>
    <n v="80"/>
    <n v="10"/>
    <n v="40"/>
    <n v="40"/>
    <n v="9"/>
    <n v="64"/>
    <s v="&gt;50"/>
    <n v="49"/>
    <m/>
    <m/>
    <m/>
    <x v="0"/>
    <m/>
    <n v="14"/>
  </r>
  <r>
    <n v="891"/>
    <n v="1951"/>
    <x v="2"/>
    <x v="1"/>
    <n v="29298"/>
    <n v="1"/>
    <d v="1899-12-31T00:00:00"/>
    <d v="2013-09-07T00:00:00"/>
    <n v="60"/>
    <n v="0"/>
    <n v="0"/>
    <n v="0"/>
    <n v="2"/>
    <n v="75"/>
    <s v="&gt;50"/>
    <n v="2"/>
    <m/>
    <m/>
    <m/>
    <x v="2"/>
    <m/>
    <n v="13"/>
  </r>
  <r>
    <n v="10381"/>
    <n v="1979"/>
    <x v="0"/>
    <x v="0"/>
    <n v="47691"/>
    <n v="0"/>
    <d v="1899-12-31T00:00:00"/>
    <d v="2013-07-05T00:00:00"/>
    <n v="43"/>
    <n v="0"/>
    <n v="0"/>
    <n v="0"/>
    <n v="2"/>
    <n v="47"/>
    <s v="30-50"/>
    <n v="2"/>
    <m/>
    <m/>
    <m/>
    <x v="1"/>
    <m/>
    <n v="13"/>
  </r>
  <r>
    <n v="3525"/>
    <n v="1970"/>
    <x v="0"/>
    <x v="1"/>
    <n v="38200"/>
    <n v="1"/>
    <d v="1899-12-31T00:00:00"/>
    <d v="2012-12-07T00:00:00"/>
    <n v="19"/>
    <n v="0"/>
    <n v="0"/>
    <n v="0"/>
    <n v="2"/>
    <n v="56"/>
    <s v="&gt;50"/>
    <n v="2"/>
    <m/>
    <m/>
    <m/>
    <x v="1"/>
    <m/>
    <n v="14"/>
  </r>
  <r>
    <n v="6818"/>
    <n v="1974"/>
    <x v="0"/>
    <x v="2"/>
    <n v="44989"/>
    <n v="0"/>
    <d v="1899-12-31T00:00:00"/>
    <d v="2012-09-12T00:00:00"/>
    <n v="26"/>
    <n v="0"/>
    <n v="10"/>
    <n v="10"/>
    <n v="5"/>
    <n v="52"/>
    <s v="&gt;50"/>
    <n v="15"/>
    <m/>
    <m/>
    <m/>
    <x v="1"/>
    <m/>
    <n v="14"/>
  </r>
  <r>
    <n v="3526"/>
    <n v="1968"/>
    <x v="1"/>
    <x v="2"/>
    <n v="38443"/>
    <n v="1"/>
    <d v="1899-12-31T00:00:00"/>
    <d v="2014-01-27T00:00:00"/>
    <n v="58"/>
    <n v="0"/>
    <n v="0"/>
    <n v="0"/>
    <n v="3"/>
    <n v="58"/>
    <s v="&gt;50"/>
    <n v="3"/>
    <m/>
    <m/>
    <m/>
    <x v="1"/>
    <m/>
    <n v="12"/>
  </r>
  <r>
    <n v="8181"/>
    <n v="1978"/>
    <x v="4"/>
    <x v="0"/>
    <n v="38593"/>
    <n v="1"/>
    <d v="1899-12-30T00:00:00"/>
    <d v="2013-09-13T00:00:00"/>
    <n v="42"/>
    <n v="12"/>
    <n v="24"/>
    <n v="24"/>
    <n v="3"/>
    <n v="48"/>
    <s v="30-50"/>
    <n v="27"/>
    <m/>
    <m/>
    <m/>
    <x v="1"/>
    <m/>
    <n v="13"/>
  </r>
  <r>
    <n v="1029"/>
    <n v="1970"/>
    <x v="1"/>
    <x v="1"/>
    <n v="64413"/>
    <n v="0"/>
    <d v="1899-12-31T00:00:00"/>
    <d v="2013-08-01T00:00:00"/>
    <n v="27"/>
    <n v="5"/>
    <n v="10"/>
    <n v="10"/>
    <n v="5"/>
    <n v="56"/>
    <s v="&gt;50"/>
    <n v="15"/>
    <m/>
    <m/>
    <m/>
    <x v="0"/>
    <m/>
    <n v="13"/>
  </r>
  <r>
    <n v="7369"/>
    <n v="1981"/>
    <x v="2"/>
    <x v="2"/>
    <n v="36959"/>
    <n v="1"/>
    <d v="1899-12-30T00:00:00"/>
    <d v="2013-10-02T00:00:00"/>
    <n v="56"/>
    <n v="6"/>
    <n v="0"/>
    <n v="0"/>
    <n v="3"/>
    <n v="45"/>
    <s v="30-50"/>
    <n v="3"/>
    <m/>
    <m/>
    <m/>
    <x v="1"/>
    <m/>
    <n v="13"/>
  </r>
  <r>
    <n v="2574"/>
    <n v="1977"/>
    <x v="1"/>
    <x v="2"/>
    <n v="61996"/>
    <n v="0"/>
    <d v="1899-12-31T00:00:00"/>
    <d v="2013-01-31T00:00:00"/>
    <n v="27"/>
    <n v="12"/>
    <n v="0"/>
    <n v="0"/>
    <n v="8"/>
    <n v="49"/>
    <s v="30-50"/>
    <n v="8"/>
    <m/>
    <m/>
    <m/>
    <x v="0"/>
    <m/>
    <n v="13"/>
  </r>
  <r>
    <n v="8159"/>
    <n v="1968"/>
    <x v="0"/>
    <x v="2"/>
    <n v="51287"/>
    <n v="1"/>
    <d v="1899-12-31T00:00:00"/>
    <d v="2014-04-01T00:00:00"/>
    <n v="10"/>
    <n v="0"/>
    <n v="0"/>
    <n v="0"/>
    <n v="3"/>
    <n v="58"/>
    <s v="&gt;50"/>
    <n v="3"/>
    <m/>
    <m/>
    <m/>
    <x v="0"/>
    <m/>
    <n v="12"/>
  </r>
  <r>
    <n v="1160"/>
    <n v="1970"/>
    <x v="0"/>
    <x v="2"/>
    <n v="13260"/>
    <n v="1"/>
    <d v="1899-12-31T00:00:00"/>
    <d v="2013-08-23T00:00:00"/>
    <n v="48"/>
    <n v="4"/>
    <n v="2"/>
    <n v="2"/>
    <n v="3"/>
    <n v="56"/>
    <s v="&gt;50"/>
    <n v="5"/>
    <m/>
    <m/>
    <m/>
    <x v="2"/>
    <m/>
    <n v="13"/>
  </r>
  <r>
    <n v="10242"/>
    <n v="1966"/>
    <x v="1"/>
    <x v="1"/>
    <n v="47472"/>
    <n v="1"/>
    <d v="1899-12-31T00:00:00"/>
    <d v="2013-09-16T00:00:00"/>
    <n v="39"/>
    <n v="0"/>
    <n v="0"/>
    <n v="0"/>
    <n v="4"/>
    <n v="60"/>
    <s v="&gt;50"/>
    <n v="4"/>
    <m/>
    <m/>
    <m/>
    <x v="1"/>
    <m/>
    <n v="13"/>
  </r>
  <r>
    <n v="5253"/>
    <n v="1956"/>
    <x v="2"/>
    <x v="1"/>
    <n v="54603"/>
    <n v="1"/>
    <d v="1899-12-31T00:00:00"/>
    <d v="2013-07-09T00:00:00"/>
    <n v="85"/>
    <n v="13"/>
    <n v="2"/>
    <n v="2"/>
    <n v="4"/>
    <n v="70"/>
    <s v="&gt;50"/>
    <n v="6"/>
    <m/>
    <m/>
    <m/>
    <x v="0"/>
    <m/>
    <n v="13"/>
  </r>
  <r>
    <n v="5966"/>
    <n v="1974"/>
    <x v="1"/>
    <x v="2"/>
    <n v="45207"/>
    <n v="1"/>
    <d v="1899-12-31T00:00:00"/>
    <d v="2012-11-10T00:00:00"/>
    <n v="64"/>
    <n v="0"/>
    <n v="0"/>
    <n v="0"/>
    <n v="6"/>
    <n v="52"/>
    <s v="&gt;50"/>
    <n v="6"/>
    <m/>
    <m/>
    <m/>
    <x v="1"/>
    <m/>
    <n v="14"/>
  </r>
  <r>
    <n v="5314"/>
    <n v="1951"/>
    <x v="0"/>
    <x v="1"/>
    <n v="40689"/>
    <n v="0"/>
    <d v="1899-12-31T00:00:00"/>
    <d v="2013-03-18T00:00:00"/>
    <n v="69"/>
    <n v="3"/>
    <n v="6"/>
    <n v="6"/>
    <n v="5"/>
    <n v="75"/>
    <s v="&gt;50"/>
    <n v="11"/>
    <m/>
    <m/>
    <m/>
    <x v="1"/>
    <m/>
    <n v="13"/>
  </r>
  <r>
    <n v="5081"/>
    <n v="1967"/>
    <x v="4"/>
    <x v="1"/>
    <n v="47821"/>
    <n v="1"/>
    <d v="1899-12-31T00:00:00"/>
    <d v="2013-10-20T00:00:00"/>
    <n v="54"/>
    <n v="0"/>
    <n v="6"/>
    <n v="6"/>
    <n v="3"/>
    <n v="59"/>
    <s v="&gt;50"/>
    <n v="9"/>
    <m/>
    <m/>
    <m/>
    <x v="1"/>
    <m/>
    <n v="13"/>
  </r>
  <r>
    <n v="5123"/>
    <n v="1951"/>
    <x v="2"/>
    <x v="2"/>
    <n v="27450"/>
    <n v="0"/>
    <d v="1899-12-30T00:00:00"/>
    <d v="2013-04-15T00:00:00"/>
    <n v="57"/>
    <n v="12"/>
    <n v="11"/>
    <n v="11"/>
    <n v="3"/>
    <n v="75"/>
    <s v="&gt;50"/>
    <n v="14"/>
    <m/>
    <m/>
    <m/>
    <x v="2"/>
    <m/>
    <n v="13"/>
  </r>
  <r>
    <n v="5756"/>
    <n v="1983"/>
    <x v="0"/>
    <x v="1"/>
    <n v="39453"/>
    <n v="1"/>
    <d v="1899-12-30T00:00:00"/>
    <d v="2014-04-03T00:00:00"/>
    <n v="64"/>
    <n v="0"/>
    <n v="0"/>
    <n v="0"/>
    <n v="3"/>
    <n v="43"/>
    <s v="30-50"/>
    <n v="3"/>
    <m/>
    <m/>
    <m/>
    <x v="1"/>
    <m/>
    <n v="12"/>
  </r>
  <r>
    <n v="8036"/>
    <n v="1971"/>
    <x v="4"/>
    <x v="1"/>
    <n v="26850"/>
    <n v="1"/>
    <d v="1899-12-31T00:00:00"/>
    <d v="2014-04-18T00:00:00"/>
    <n v="10"/>
    <n v="1"/>
    <n v="2"/>
    <n v="2"/>
    <n v="4"/>
    <n v="55"/>
    <s v="&gt;50"/>
    <n v="6"/>
    <m/>
    <m/>
    <m/>
    <x v="2"/>
    <m/>
    <n v="12"/>
  </r>
  <r>
    <n v="9058"/>
    <n v="1955"/>
    <x v="0"/>
    <x v="4"/>
    <n v="79800"/>
    <n v="0"/>
    <d v="1899-12-30T00:00:00"/>
    <d v="2012-09-23T00:00:00"/>
    <n v="65"/>
    <n v="21"/>
    <n v="0"/>
    <n v="0"/>
    <n v="5"/>
    <n v="71"/>
    <s v="&gt;50"/>
    <n v="5"/>
    <m/>
    <m/>
    <m/>
    <x v="3"/>
    <m/>
    <n v="14"/>
  </r>
  <r>
    <n v="5057"/>
    <n v="1961"/>
    <x v="2"/>
    <x v="2"/>
    <n v="61794"/>
    <n v="0"/>
    <d v="1899-12-31T00:00:00"/>
    <d v="2013-09-14T00:00:00"/>
    <n v="74"/>
    <n v="47"/>
    <n v="47"/>
    <n v="47"/>
    <n v="10"/>
    <n v="65"/>
    <s v="&gt;50"/>
    <n v="57"/>
    <m/>
    <m/>
    <m/>
    <x v="0"/>
    <m/>
    <n v="13"/>
  </r>
  <r>
    <n v="254"/>
    <n v="1955"/>
    <x v="0"/>
    <x v="1"/>
    <n v="53863"/>
    <n v="0"/>
    <d v="1899-12-31T00:00:00"/>
    <d v="2014-05-17T00:00:00"/>
    <n v="4"/>
    <n v="4"/>
    <n v="4"/>
    <n v="4"/>
    <n v="7"/>
    <n v="71"/>
    <s v="&gt;50"/>
    <n v="11"/>
    <m/>
    <m/>
    <m/>
    <x v="0"/>
    <m/>
    <n v="12"/>
  </r>
  <r>
    <n v="4179"/>
    <n v="1959"/>
    <x v="0"/>
    <x v="1"/>
    <n v="24221"/>
    <n v="0"/>
    <d v="1899-12-30T00:00:00"/>
    <d v="2013-08-20T00:00:00"/>
    <n v="94"/>
    <n v="9"/>
    <n v="5"/>
    <n v="5"/>
    <n v="3"/>
    <n v="67"/>
    <s v="&gt;50"/>
    <n v="8"/>
    <m/>
    <m/>
    <m/>
    <x v="2"/>
    <m/>
    <n v="13"/>
  </r>
  <r>
    <n v="3710"/>
    <n v="1984"/>
    <x v="1"/>
    <x v="0"/>
    <n v="39684"/>
    <n v="1"/>
    <d v="1899-12-30T00:00:00"/>
    <d v="2012-10-12T00:00:00"/>
    <n v="41"/>
    <n v="0"/>
    <n v="4"/>
    <n v="4"/>
    <n v="2"/>
    <n v="42"/>
    <s v="30-50"/>
    <n v="6"/>
    <m/>
    <m/>
    <m/>
    <x v="1"/>
    <m/>
    <n v="14"/>
  </r>
  <r>
    <n v="7627"/>
    <n v="1975"/>
    <x v="2"/>
    <x v="2"/>
    <n v="92163"/>
    <n v="0"/>
    <d v="1899-12-30T00:00:00"/>
    <d v="2012-12-12T00:00:00"/>
    <n v="25"/>
    <n v="183"/>
    <n v="163"/>
    <n v="163"/>
    <n v="5"/>
    <n v="51"/>
    <s v="&gt;50"/>
    <n v="168"/>
    <m/>
    <m/>
    <m/>
    <x v="3"/>
    <m/>
    <n v="14"/>
  </r>
  <r>
    <n v="4501"/>
    <n v="1965"/>
    <x v="2"/>
    <x v="0"/>
    <n v="69882"/>
    <n v="0"/>
    <d v="1899-12-30T00:00:00"/>
    <d v="2013-11-10T00:00:00"/>
    <n v="94"/>
    <n v="127"/>
    <n v="127"/>
    <n v="127"/>
    <n v="9"/>
    <n v="61"/>
    <s v="&gt;50"/>
    <n v="136"/>
    <m/>
    <m/>
    <m/>
    <x v="0"/>
    <m/>
    <n v="13"/>
  </r>
  <r>
    <n v="6424"/>
    <n v="1977"/>
    <x v="0"/>
    <x v="1"/>
    <n v="33178"/>
    <n v="1"/>
    <d v="1899-12-30T00:00:00"/>
    <d v="2014-01-30T00:00:00"/>
    <n v="9"/>
    <n v="6"/>
    <n v="2"/>
    <n v="2"/>
    <n v="3"/>
    <n v="49"/>
    <s v="30-50"/>
    <n v="5"/>
    <m/>
    <m/>
    <m/>
    <x v="1"/>
    <m/>
    <n v="12"/>
  </r>
  <r>
    <n v="3075"/>
    <n v="1972"/>
    <x v="1"/>
    <x v="2"/>
    <n v="59973"/>
    <n v="0"/>
    <d v="1899-12-30T00:00:00"/>
    <d v="2013-09-11T00:00:00"/>
    <n v="47"/>
    <n v="30"/>
    <n v="34"/>
    <n v="34"/>
    <n v="7"/>
    <n v="54"/>
    <s v="&gt;50"/>
    <n v="41"/>
    <m/>
    <m/>
    <m/>
    <x v="0"/>
    <m/>
    <n v="13"/>
  </r>
  <r>
    <n v="4992"/>
    <n v="1975"/>
    <x v="2"/>
    <x v="1"/>
    <n v="17459"/>
    <n v="1"/>
    <d v="1899-12-30T00:00:00"/>
    <d v="2013-09-19T00:00:00"/>
    <n v="12"/>
    <n v="4"/>
    <n v="10"/>
    <n v="10"/>
    <n v="2"/>
    <n v="51"/>
    <s v="&gt;50"/>
    <n v="12"/>
    <m/>
    <m/>
    <m/>
    <x v="2"/>
    <m/>
    <n v="13"/>
  </r>
  <r>
    <n v="5252"/>
    <n v="1969"/>
    <x v="0"/>
    <x v="3"/>
    <n v="23910"/>
    <n v="1"/>
    <d v="1899-12-30T00:00:00"/>
    <d v="2012-10-26T00:00:00"/>
    <n v="80"/>
    <n v="12"/>
    <n v="1"/>
    <n v="1"/>
    <n v="3"/>
    <n v="57"/>
    <s v="&gt;50"/>
    <n v="4"/>
    <m/>
    <m/>
    <m/>
    <x v="2"/>
    <m/>
    <n v="14"/>
  </r>
  <r>
    <n v="7444"/>
    <n v="1969"/>
    <x v="2"/>
    <x v="2"/>
    <n v="42169"/>
    <n v="1"/>
    <d v="1899-12-31T00:00:00"/>
    <d v="2013-10-19T00:00:00"/>
    <n v="20"/>
    <n v="0"/>
    <n v="0"/>
    <n v="0"/>
    <n v="3"/>
    <n v="57"/>
    <s v="&gt;50"/>
    <n v="3"/>
    <m/>
    <m/>
    <m/>
    <x v="1"/>
    <m/>
    <n v="13"/>
  </r>
  <r>
    <n v="6919"/>
    <n v="1978"/>
    <x v="4"/>
    <x v="2"/>
    <n v="26224"/>
    <n v="1"/>
    <d v="1899-12-30T00:00:00"/>
    <d v="2013-06-04T00:00:00"/>
    <n v="39"/>
    <n v="7"/>
    <n v="9"/>
    <n v="9"/>
    <n v="3"/>
    <n v="48"/>
    <s v="30-50"/>
    <n v="12"/>
    <m/>
    <m/>
    <m/>
    <x v="2"/>
    <m/>
    <n v="13"/>
  </r>
  <r>
    <n v="3537"/>
    <n v="1981"/>
    <x v="0"/>
    <x v="1"/>
    <n v="31089"/>
    <n v="1"/>
    <d v="1899-12-30T00:00:00"/>
    <d v="2012-08-17T00:00:00"/>
    <n v="57"/>
    <n v="3"/>
    <n v="8"/>
    <n v="8"/>
    <n v="4"/>
    <n v="45"/>
    <s v="30-50"/>
    <n v="12"/>
    <m/>
    <m/>
    <m/>
    <x v="1"/>
    <m/>
    <n v="14"/>
  </r>
  <r>
    <n v="10277"/>
    <n v="1961"/>
    <x v="0"/>
    <x v="0"/>
    <n v="30081"/>
    <n v="0"/>
    <d v="1899-12-31T00:00:00"/>
    <d v="2013-02-21T00:00:00"/>
    <n v="27"/>
    <n v="0"/>
    <n v="0"/>
    <n v="0"/>
    <n v="3"/>
    <n v="65"/>
    <s v="&gt;50"/>
    <n v="3"/>
    <m/>
    <m/>
    <m/>
    <x v="1"/>
    <m/>
    <n v="13"/>
  </r>
  <r>
    <n v="2453"/>
    <n v="1960"/>
    <x v="0"/>
    <x v="1"/>
    <n v="62807"/>
    <n v="0"/>
    <d v="1899-12-31T00:00:00"/>
    <d v="2012-08-31T00:00:00"/>
    <n v="83"/>
    <n v="28"/>
    <n v="21"/>
    <n v="21"/>
    <n v="12"/>
    <n v="66"/>
    <s v="&gt;50"/>
    <n v="33"/>
    <m/>
    <m/>
    <m/>
    <x v="0"/>
    <m/>
    <n v="14"/>
  </r>
  <r>
    <n v="7972"/>
    <n v="1955"/>
    <x v="0"/>
    <x v="0"/>
    <n v="72906"/>
    <n v="0"/>
    <d v="1899-12-30T00:00:00"/>
    <d v="2013-09-17T00:00:00"/>
    <n v="79"/>
    <n v="32"/>
    <n v="75"/>
    <n v="75"/>
    <n v="9"/>
    <n v="71"/>
    <s v="&gt;50"/>
    <n v="84"/>
    <m/>
    <m/>
    <m/>
    <x v="0"/>
    <m/>
    <n v="13"/>
  </r>
  <r>
    <n v="895"/>
    <n v="1948"/>
    <x v="1"/>
    <x v="2"/>
    <n v="61467"/>
    <n v="0"/>
    <d v="1900-01-01T00:00:00"/>
    <d v="2012-12-09T00:00:00"/>
    <n v="69"/>
    <n v="16"/>
    <n v="5"/>
    <n v="5"/>
    <n v="10"/>
    <n v="78"/>
    <s v="&gt;50"/>
    <n v="15"/>
    <m/>
    <m/>
    <m/>
    <x v="0"/>
    <m/>
    <n v="14"/>
  </r>
  <r>
    <n v="1177"/>
    <n v="1966"/>
    <x v="2"/>
    <x v="1"/>
    <n v="49618"/>
    <n v="1"/>
    <d v="1899-12-31T00:00:00"/>
    <d v="2013-01-26T00:00:00"/>
    <n v="77"/>
    <n v="3"/>
    <n v="2"/>
    <n v="2"/>
    <n v="3"/>
    <n v="60"/>
    <s v="&gt;50"/>
    <n v="5"/>
    <m/>
    <m/>
    <m/>
    <x v="1"/>
    <m/>
    <n v="13"/>
  </r>
  <r>
    <n v="7141"/>
    <n v="1986"/>
    <x v="2"/>
    <x v="0"/>
    <n v="21888"/>
    <n v="1"/>
    <d v="1899-12-30T00:00:00"/>
    <d v="2012-12-29T00:00:00"/>
    <n v="15"/>
    <n v="10"/>
    <n v="3"/>
    <n v="3"/>
    <n v="2"/>
    <n v="40"/>
    <s v="30-50"/>
    <n v="5"/>
    <m/>
    <m/>
    <m/>
    <x v="2"/>
    <m/>
    <n v="14"/>
  </r>
  <r>
    <n v="7232"/>
    <n v="1973"/>
    <x v="0"/>
    <x v="4"/>
    <n v="42429"/>
    <n v="0"/>
    <d v="1899-12-31T00:00:00"/>
    <d v="2014-02-11T00:00:00"/>
    <n v="99"/>
    <n v="0"/>
    <n v="0"/>
    <n v="0"/>
    <n v="3"/>
    <n v="53"/>
    <s v="&gt;50"/>
    <n v="3"/>
    <m/>
    <m/>
    <m/>
    <x v="1"/>
    <m/>
    <n v="12"/>
  </r>
  <r>
    <n v="8477"/>
    <n v="1956"/>
    <x v="0"/>
    <x v="3"/>
    <n v="26150"/>
    <n v="2"/>
    <d v="1899-12-31T00:00:00"/>
    <d v="2013-03-11T00:00:00"/>
    <n v="61"/>
    <n v="1"/>
    <n v="5"/>
    <n v="5"/>
    <n v="3"/>
    <n v="70"/>
    <s v="&gt;50"/>
    <n v="8"/>
    <m/>
    <m/>
    <m/>
    <x v="2"/>
    <m/>
    <n v="13"/>
  </r>
  <r>
    <n v="2457"/>
    <n v="1975"/>
    <x v="3"/>
    <x v="2"/>
    <n v="30801"/>
    <n v="0"/>
    <d v="1899-12-31T00:00:00"/>
    <d v="2012-10-26T00:00:00"/>
    <n v="23"/>
    <n v="4"/>
    <n v="2"/>
    <n v="2"/>
    <n v="3"/>
    <n v="51"/>
    <s v="&gt;50"/>
    <n v="5"/>
    <m/>
    <m/>
    <m/>
    <x v="1"/>
    <m/>
    <n v="14"/>
  </r>
  <r>
    <n v="988"/>
    <n v="1965"/>
    <x v="0"/>
    <x v="2"/>
    <n v="81168"/>
    <n v="0"/>
    <d v="1899-12-30T00:00:00"/>
    <d v="2014-05-07T00:00:00"/>
    <n v="84"/>
    <n v="0"/>
    <n v="22"/>
    <n v="22"/>
    <n v="7"/>
    <n v="61"/>
    <s v="&gt;50"/>
    <n v="29"/>
    <m/>
    <m/>
    <m/>
    <x v="3"/>
    <m/>
    <n v="12"/>
  </r>
  <r>
    <n v="7930"/>
    <n v="1969"/>
    <x v="2"/>
    <x v="0"/>
    <n v="26877"/>
    <n v="0"/>
    <d v="1899-12-30T00:00:00"/>
    <d v="2013-08-19T00:00:00"/>
    <n v="74"/>
    <n v="13"/>
    <n v="18"/>
    <n v="18"/>
    <n v="6"/>
    <n v="57"/>
    <s v="&gt;50"/>
    <n v="24"/>
    <m/>
    <m/>
    <m/>
    <x v="2"/>
    <m/>
    <n v="13"/>
  </r>
  <r>
    <n v="4587"/>
    <n v="1944"/>
    <x v="2"/>
    <x v="4"/>
    <n v="45006"/>
    <n v="0"/>
    <d v="1899-12-30T00:00:00"/>
    <d v="2013-07-18T00:00:00"/>
    <n v="90"/>
    <n v="25"/>
    <n v="0"/>
    <n v="0"/>
    <n v="7"/>
    <n v="82"/>
    <s v="&gt;50"/>
    <n v="7"/>
    <m/>
    <m/>
    <m/>
    <x v="1"/>
    <m/>
    <n v="13"/>
  </r>
  <r>
    <n v="6682"/>
    <n v="1973"/>
    <x v="3"/>
    <x v="2"/>
    <n v="18978"/>
    <n v="1"/>
    <d v="1899-12-30T00:00:00"/>
    <d v="2012-12-11T00:00:00"/>
    <n v="41"/>
    <n v="8"/>
    <n v="7"/>
    <n v="7"/>
    <n v="3"/>
    <n v="53"/>
    <s v="&gt;50"/>
    <n v="10"/>
    <m/>
    <m/>
    <m/>
    <x v="2"/>
    <m/>
    <n v="14"/>
  </r>
  <r>
    <n v="6222"/>
    <n v="1967"/>
    <x v="0"/>
    <x v="2"/>
    <n v="22574"/>
    <n v="2"/>
    <d v="1899-12-31T00:00:00"/>
    <d v="2013-10-28T00:00:00"/>
    <n v="28"/>
    <n v="0"/>
    <n v="0"/>
    <n v="0"/>
    <n v="3"/>
    <n v="59"/>
    <s v="&gt;50"/>
    <n v="3"/>
    <m/>
    <m/>
    <m/>
    <x v="2"/>
    <m/>
    <n v="13"/>
  </r>
  <r>
    <n v="10299"/>
    <n v="1969"/>
    <x v="1"/>
    <x v="0"/>
    <n v="48240"/>
    <n v="0"/>
    <d v="1899-12-30T00:00:00"/>
    <d v="2012-11-09T00:00:00"/>
    <n v="73"/>
    <n v="91"/>
    <n v="49"/>
    <n v="49"/>
    <n v="13"/>
    <n v="57"/>
    <s v="&gt;50"/>
    <n v="62"/>
    <m/>
    <m/>
    <m/>
    <x v="1"/>
    <m/>
    <n v="14"/>
  </r>
  <r>
    <n v="3083"/>
    <n v="1974"/>
    <x v="0"/>
    <x v="2"/>
    <n v="45837"/>
    <n v="1"/>
    <d v="1899-12-31T00:00:00"/>
    <d v="2013-07-26T00:00:00"/>
    <n v="88"/>
    <n v="13"/>
    <n v="17"/>
    <n v="17"/>
    <n v="5"/>
    <n v="52"/>
    <s v="&gt;50"/>
    <n v="22"/>
    <m/>
    <m/>
    <m/>
    <x v="1"/>
    <m/>
    <n v="13"/>
  </r>
  <r>
    <n v="8953"/>
    <n v="1965"/>
    <x v="2"/>
    <x v="0"/>
    <n v="35791"/>
    <n v="2"/>
    <d v="1899-12-31T00:00:00"/>
    <d v="2013-05-06T00:00:00"/>
    <n v="94"/>
    <n v="0"/>
    <n v="0"/>
    <n v="0"/>
    <n v="3"/>
    <n v="61"/>
    <s v="&gt;50"/>
    <n v="3"/>
    <m/>
    <m/>
    <m/>
    <x v="1"/>
    <m/>
    <n v="13"/>
  </r>
  <r>
    <n v="1503"/>
    <n v="1976"/>
    <x v="1"/>
    <x v="1"/>
    <n v="162397"/>
    <n v="1"/>
    <d v="1899-12-31T00:00:00"/>
    <d v="2013-06-03T00:00:00"/>
    <n v="31"/>
    <n v="1"/>
    <n v="1"/>
    <n v="1"/>
    <n v="1"/>
    <n v="50"/>
    <s v="30-50"/>
    <n v="2"/>
    <m/>
    <m/>
    <m/>
    <x v="4"/>
    <m/>
    <n v="13"/>
  </r>
  <r>
    <n v="8650"/>
    <n v="1978"/>
    <x v="0"/>
    <x v="4"/>
    <n v="54162"/>
    <n v="1"/>
    <d v="1899-12-31T00:00:00"/>
    <d v="2013-03-18T00:00:00"/>
    <n v="31"/>
    <n v="6"/>
    <n v="5"/>
    <n v="5"/>
    <n v="3"/>
    <n v="48"/>
    <s v="30-50"/>
    <n v="8"/>
    <m/>
    <m/>
    <m/>
    <x v="0"/>
    <m/>
    <n v="13"/>
  </r>
  <r>
    <n v="10862"/>
    <n v="1960"/>
    <x v="2"/>
    <x v="2"/>
    <n v="30522"/>
    <n v="0"/>
    <d v="1899-12-31T00:00:00"/>
    <d v="2012-08-17T00:00:00"/>
    <n v="6"/>
    <n v="8"/>
    <n v="11"/>
    <n v="11"/>
    <n v="9"/>
    <n v="66"/>
    <s v="&gt;50"/>
    <n v="20"/>
    <m/>
    <m/>
    <m/>
    <x v="1"/>
    <m/>
    <n v="14"/>
  </r>
  <r>
    <n v="2782"/>
    <n v="1961"/>
    <x v="1"/>
    <x v="2"/>
    <n v="54456"/>
    <n v="0"/>
    <d v="1899-12-31T00:00:00"/>
    <d v="2013-07-11T00:00:00"/>
    <n v="23"/>
    <n v="0"/>
    <n v="0"/>
    <n v="0"/>
    <n v="7"/>
    <n v="65"/>
    <s v="&gt;50"/>
    <n v="7"/>
    <m/>
    <m/>
    <m/>
    <x v="0"/>
    <m/>
    <n v="13"/>
  </r>
  <r>
    <n v="6941"/>
    <n v="1971"/>
    <x v="0"/>
    <x v="0"/>
    <n v="31632"/>
    <n v="0"/>
    <d v="1899-12-30T00:00:00"/>
    <d v="2013-07-14T00:00:00"/>
    <n v="92"/>
    <n v="8"/>
    <n v="15"/>
    <n v="15"/>
    <n v="2"/>
    <n v="55"/>
    <s v="&gt;50"/>
    <n v="17"/>
    <m/>
    <m/>
    <m/>
    <x v="1"/>
    <m/>
    <n v="13"/>
  </r>
  <r>
    <n v="10972"/>
    <n v="1949"/>
    <x v="0"/>
    <x v="4"/>
    <n v="72298"/>
    <n v="0"/>
    <d v="1899-12-30T00:00:00"/>
    <d v="2014-03-10T00:00:00"/>
    <n v="52"/>
    <n v="35"/>
    <n v="17"/>
    <n v="17"/>
    <n v="6"/>
    <n v="77"/>
    <s v="&gt;50"/>
    <n v="23"/>
    <m/>
    <m/>
    <m/>
    <x v="0"/>
    <m/>
    <n v="12"/>
  </r>
  <r>
    <n v="10708"/>
    <n v="1978"/>
    <x v="4"/>
    <x v="0"/>
    <n v="36975"/>
    <n v="1"/>
    <d v="1899-12-30T00:00:00"/>
    <d v="2013-12-28T00:00:00"/>
    <n v="50"/>
    <n v="6"/>
    <n v="4"/>
    <n v="4"/>
    <n v="3"/>
    <n v="48"/>
    <s v="30-50"/>
    <n v="7"/>
    <m/>
    <m/>
    <m/>
    <x v="1"/>
    <m/>
    <n v="13"/>
  </r>
  <r>
    <n v="6583"/>
    <n v="1955"/>
    <x v="4"/>
    <x v="2"/>
    <n v="72635"/>
    <n v="0"/>
    <d v="1899-12-30T00:00:00"/>
    <d v="2013-06-03T00:00:00"/>
    <n v="54"/>
    <n v="22"/>
    <n v="35"/>
    <n v="35"/>
    <n v="6"/>
    <n v="71"/>
    <s v="&gt;50"/>
    <n v="41"/>
    <m/>
    <m/>
    <m/>
    <x v="0"/>
    <m/>
    <n v="13"/>
  </r>
  <r>
    <n v="3641"/>
    <n v="1976"/>
    <x v="0"/>
    <x v="2"/>
    <n v="13624"/>
    <n v="1"/>
    <d v="1899-12-30T00:00:00"/>
    <d v="2013-01-20T00:00:00"/>
    <n v="93"/>
    <n v="2"/>
    <n v="1"/>
    <n v="1"/>
    <n v="3"/>
    <n v="50"/>
    <s v="30-50"/>
    <n v="4"/>
    <m/>
    <m/>
    <m/>
    <x v="2"/>
    <m/>
    <n v="13"/>
  </r>
  <r>
    <n v="10156"/>
    <n v="1975"/>
    <x v="0"/>
    <x v="0"/>
    <n v="84196"/>
    <n v="0"/>
    <d v="1899-12-31T00:00:00"/>
    <d v="2013-06-03T00:00:00"/>
    <n v="56"/>
    <n v="63"/>
    <n v="31"/>
    <n v="31"/>
    <n v="7"/>
    <n v="51"/>
    <s v="&gt;50"/>
    <n v="38"/>
    <m/>
    <m/>
    <m/>
    <x v="3"/>
    <m/>
    <n v="13"/>
  </r>
  <r>
    <n v="4299"/>
    <n v="1960"/>
    <x v="0"/>
    <x v="1"/>
    <n v="70971"/>
    <n v="0"/>
    <d v="1899-12-31T00:00:00"/>
    <d v="2012-09-21T00:00:00"/>
    <n v="28"/>
    <n v="17"/>
    <n v="125"/>
    <n v="125"/>
    <n v="5"/>
    <n v="66"/>
    <s v="&gt;50"/>
    <n v="130"/>
    <m/>
    <m/>
    <m/>
    <x v="0"/>
    <m/>
    <n v="14"/>
  </r>
  <r>
    <n v="3469"/>
    <n v="1977"/>
    <x v="1"/>
    <x v="3"/>
    <n v="34487"/>
    <n v="1"/>
    <d v="1899-12-31T00:00:00"/>
    <d v="2012-09-06T00:00:00"/>
    <n v="94"/>
    <n v="18"/>
    <n v="1"/>
    <n v="1"/>
    <n v="3"/>
    <n v="49"/>
    <s v="30-50"/>
    <n v="4"/>
    <m/>
    <m/>
    <m/>
    <x v="1"/>
    <m/>
    <n v="14"/>
  </r>
  <r>
    <n v="5063"/>
    <n v="1977"/>
    <x v="0"/>
    <x v="0"/>
    <n v="28769"/>
    <n v="1"/>
    <d v="1899-12-30T00:00:00"/>
    <d v="2012-12-18T00:00:00"/>
    <n v="76"/>
    <n v="5"/>
    <n v="3"/>
    <n v="3"/>
    <n v="4"/>
    <n v="49"/>
    <s v="30-50"/>
    <n v="7"/>
    <m/>
    <m/>
    <m/>
    <x v="2"/>
    <m/>
    <n v="14"/>
  </r>
  <r>
    <n v="10727"/>
    <n v="1970"/>
    <x v="1"/>
    <x v="2"/>
    <n v="69084"/>
    <n v="1"/>
    <d v="1899-12-30T00:00:00"/>
    <d v="2013-11-19T00:00:00"/>
    <n v="43"/>
    <n v="107"/>
    <n v="30"/>
    <n v="30"/>
    <n v="13"/>
    <n v="56"/>
    <s v="&gt;50"/>
    <n v="43"/>
    <m/>
    <m/>
    <m/>
    <x v="0"/>
    <m/>
    <n v="13"/>
  </r>
  <r>
    <n v="9624"/>
    <n v="1958"/>
    <x v="1"/>
    <x v="1"/>
    <n v="65488"/>
    <n v="0"/>
    <d v="1899-12-30T00:00:00"/>
    <d v="2014-06-13T00:00:00"/>
    <n v="46"/>
    <n v="45"/>
    <n v="18"/>
    <n v="18"/>
    <n v="6"/>
    <n v="68"/>
    <s v="&gt;50"/>
    <n v="24"/>
    <m/>
    <m/>
    <m/>
    <x v="0"/>
    <m/>
    <n v="12"/>
  </r>
  <r>
    <n v="5156"/>
    <n v="1970"/>
    <x v="4"/>
    <x v="2"/>
    <n v="62466"/>
    <n v="0"/>
    <d v="1899-12-31T00:00:00"/>
    <d v="2014-01-15T00:00:00"/>
    <n v="13"/>
    <n v="129"/>
    <n v="121"/>
    <n v="121"/>
    <n v="12"/>
    <n v="56"/>
    <s v="&gt;50"/>
    <n v="133"/>
    <m/>
    <m/>
    <m/>
    <x v="0"/>
    <m/>
    <n v="12"/>
  </r>
  <r>
    <n v="4376"/>
    <n v="1960"/>
    <x v="4"/>
    <x v="0"/>
    <n v="32218"/>
    <n v="0"/>
    <d v="1899-12-30T00:00:00"/>
    <d v="2014-02-15T00:00:00"/>
    <n v="27"/>
    <n v="24"/>
    <n v="1"/>
    <n v="1"/>
    <n v="3"/>
    <n v="66"/>
    <s v="&gt;50"/>
    <n v="4"/>
    <m/>
    <m/>
    <m/>
    <x v="1"/>
    <m/>
    <n v="12"/>
  </r>
  <r>
    <n v="8923"/>
    <n v="1973"/>
    <x v="0"/>
    <x v="0"/>
    <n v="83917"/>
    <n v="0"/>
    <d v="1899-12-30T00:00:00"/>
    <d v="2013-04-18T00:00:00"/>
    <n v="12"/>
    <n v="22"/>
    <n v="198"/>
    <n v="198"/>
    <n v="7"/>
    <n v="53"/>
    <s v="&gt;50"/>
    <n v="205"/>
    <m/>
    <m/>
    <m/>
    <x v="3"/>
    <m/>
    <n v="13"/>
  </r>
  <r>
    <n v="8461"/>
    <n v="1962"/>
    <x v="0"/>
    <x v="3"/>
    <n v="46102"/>
    <n v="2"/>
    <d v="1899-12-31T00:00:00"/>
    <d v="2014-03-10T00:00:00"/>
    <n v="3"/>
    <n v="0"/>
    <n v="0"/>
    <n v="0"/>
    <n v="2"/>
    <n v="64"/>
    <s v="&gt;50"/>
    <n v="2"/>
    <m/>
    <m/>
    <m/>
    <x v="1"/>
    <m/>
    <n v="12"/>
  </r>
  <r>
    <n v="6945"/>
    <n v="1952"/>
    <x v="0"/>
    <x v="0"/>
    <n v="84574"/>
    <n v="0"/>
    <d v="1899-12-30T00:00:00"/>
    <d v="2013-06-04T00:00:00"/>
    <n v="72"/>
    <n v="20"/>
    <n v="54"/>
    <n v="54"/>
    <n v="11"/>
    <n v="74"/>
    <s v="&gt;50"/>
    <n v="65"/>
    <m/>
    <m/>
    <m/>
    <x v="3"/>
    <m/>
    <n v="13"/>
  </r>
  <r>
    <n v="944"/>
    <n v="1962"/>
    <x v="0"/>
    <x v="2"/>
    <n v="56181"/>
    <n v="0"/>
    <d v="1899-12-31T00:00:00"/>
    <d v="2013-01-08T00:00:00"/>
    <n v="6"/>
    <n v="103"/>
    <n v="44"/>
    <n v="44"/>
    <n v="7"/>
    <n v="64"/>
    <s v="&gt;50"/>
    <n v="51"/>
    <m/>
    <m/>
    <m/>
    <x v="0"/>
    <m/>
    <n v="13"/>
  </r>
  <r>
    <n v="1907"/>
    <n v="1950"/>
    <x v="2"/>
    <x v="3"/>
    <n v="63120"/>
    <n v="0"/>
    <d v="1899-12-31T00:00:00"/>
    <d v="2012-09-28T00:00:00"/>
    <n v="53"/>
    <n v="69"/>
    <n v="41"/>
    <n v="41"/>
    <n v="9"/>
    <n v="76"/>
    <s v="&gt;50"/>
    <n v="50"/>
    <m/>
    <m/>
    <m/>
    <x v="0"/>
    <m/>
    <n v="14"/>
  </r>
  <r>
    <n v="701"/>
    <n v="1971"/>
    <x v="0"/>
    <x v="2"/>
    <n v="73691"/>
    <n v="0"/>
    <d v="1899-12-31T00:00:00"/>
    <d v="2013-11-06T00:00:00"/>
    <n v="58"/>
    <n v="21"/>
    <n v="43"/>
    <n v="43"/>
    <n v="8"/>
    <n v="55"/>
    <s v="&gt;50"/>
    <n v="51"/>
    <m/>
    <m/>
    <m/>
    <x v="0"/>
    <m/>
    <n v="13"/>
  </r>
  <r>
    <n v="3856"/>
    <n v="1960"/>
    <x v="0"/>
    <x v="1"/>
    <n v="63381"/>
    <n v="0"/>
    <d v="1899-12-31T00:00:00"/>
    <d v="2012-10-05T00:00:00"/>
    <n v="78"/>
    <n v="50"/>
    <n v="50"/>
    <n v="50"/>
    <n v="13"/>
    <n v="66"/>
    <s v="&gt;50"/>
    <n v="63"/>
    <m/>
    <m/>
    <m/>
    <x v="0"/>
    <m/>
    <n v="14"/>
  </r>
  <r>
    <n v="4149"/>
    <n v="1948"/>
    <x v="1"/>
    <x v="1"/>
    <n v="76140"/>
    <n v="0"/>
    <d v="1899-12-30T00:00:00"/>
    <d v="2014-05-13T00:00:00"/>
    <n v="57"/>
    <n v="66"/>
    <n v="0"/>
    <n v="0"/>
    <n v="6"/>
    <n v="78"/>
    <s v="&gt;50"/>
    <n v="6"/>
    <m/>
    <m/>
    <m/>
    <x v="3"/>
    <m/>
    <n v="12"/>
  </r>
  <r>
    <n v="2131"/>
    <n v="1959"/>
    <x v="1"/>
    <x v="3"/>
    <n v="62859"/>
    <n v="0"/>
    <d v="1899-12-31T00:00:00"/>
    <d v="2012-12-30T00:00:00"/>
    <n v="37"/>
    <n v="89"/>
    <n v="12"/>
    <n v="12"/>
    <n v="6"/>
    <n v="67"/>
    <s v="&gt;50"/>
    <n v="18"/>
    <m/>
    <m/>
    <m/>
    <x v="0"/>
    <m/>
    <n v="14"/>
  </r>
  <r>
    <n v="2942"/>
    <n v="1964"/>
    <x v="0"/>
    <x v="0"/>
    <n v="45906"/>
    <n v="0"/>
    <d v="1899-12-31T00:00:00"/>
    <d v="2013-05-07T00:00:00"/>
    <n v="20"/>
    <n v="3"/>
    <n v="3"/>
    <n v="3"/>
    <n v="4"/>
    <n v="62"/>
    <s v="&gt;50"/>
    <n v="7"/>
    <m/>
    <m/>
    <m/>
    <x v="1"/>
    <m/>
    <n v="13"/>
  </r>
  <r>
    <n v="1173"/>
    <n v="1947"/>
    <x v="2"/>
    <x v="1"/>
    <n v="77632"/>
    <n v="0"/>
    <d v="1899-12-30T00:00:00"/>
    <d v="2013-03-10T00:00:00"/>
    <n v="73"/>
    <n v="105"/>
    <n v="42"/>
    <n v="42"/>
    <n v="6"/>
    <n v="79"/>
    <s v="&gt;50"/>
    <n v="48"/>
    <m/>
    <m/>
    <m/>
    <x v="3"/>
    <m/>
    <n v="13"/>
  </r>
  <r>
    <n v="4381"/>
    <n v="1971"/>
    <x v="1"/>
    <x v="2"/>
    <n v="46463"/>
    <n v="1"/>
    <d v="1899-12-31T00:00:00"/>
    <d v="2013-08-18T00:00:00"/>
    <n v="56"/>
    <n v="2"/>
    <n v="11"/>
    <n v="11"/>
    <n v="6"/>
    <n v="55"/>
    <s v="&gt;50"/>
    <n v="17"/>
    <m/>
    <m/>
    <m/>
    <x v="1"/>
    <m/>
    <n v="13"/>
  </r>
  <r>
    <n v="4611"/>
    <n v="1970"/>
    <x v="0"/>
    <x v="1"/>
    <n v="105471"/>
    <n v="0"/>
    <d v="1899-12-30T00:00:00"/>
    <d v="2013-01-21T00:00:00"/>
    <n v="36"/>
    <n v="181"/>
    <n v="21"/>
    <n v="21"/>
    <n v="13"/>
    <n v="56"/>
    <s v="&gt;50"/>
    <n v="34"/>
    <m/>
    <m/>
    <m/>
    <x v="4"/>
    <m/>
    <n v="13"/>
  </r>
  <r>
    <n v="3376"/>
    <n v="1970"/>
    <x v="2"/>
    <x v="3"/>
    <n v="55282"/>
    <n v="1"/>
    <d v="1899-12-30T00:00:00"/>
    <d v="2013-12-13T00:00:00"/>
    <n v="9"/>
    <n v="6"/>
    <n v="4"/>
    <n v="4"/>
    <n v="6"/>
    <n v="56"/>
    <s v="&gt;50"/>
    <n v="10"/>
    <m/>
    <m/>
    <m/>
    <x v="0"/>
    <m/>
    <n v="13"/>
  </r>
  <r>
    <n v="4679"/>
    <n v="1977"/>
    <x v="2"/>
    <x v="2"/>
    <n v="78710"/>
    <n v="0"/>
    <d v="1899-12-31T00:00:00"/>
    <d v="2014-05-23T00:00:00"/>
    <n v="42"/>
    <n v="0"/>
    <n v="50"/>
    <n v="50"/>
    <n v="12"/>
    <n v="49"/>
    <s v="30-50"/>
    <n v="62"/>
    <m/>
    <m/>
    <m/>
    <x v="3"/>
    <m/>
    <n v="12"/>
  </r>
  <r>
    <n v="10928"/>
    <n v="1958"/>
    <x v="0"/>
    <x v="1"/>
    <n v="66886"/>
    <n v="0"/>
    <d v="1899-12-31T00:00:00"/>
    <d v="2013-09-16T00:00:00"/>
    <n v="28"/>
    <n v="4"/>
    <n v="31"/>
    <n v="31"/>
    <n v="7"/>
    <n v="68"/>
    <s v="&gt;50"/>
    <n v="38"/>
    <m/>
    <m/>
    <m/>
    <x v="0"/>
    <m/>
    <n v="13"/>
  </r>
  <r>
    <n v="4248"/>
    <n v="1960"/>
    <x v="2"/>
    <x v="0"/>
    <n v="98777"/>
    <n v="0"/>
    <d v="1899-12-30T00:00:00"/>
    <d v="2014-02-17T00:00:00"/>
    <n v="23"/>
    <n v="19"/>
    <n v="115"/>
    <n v="115"/>
    <n v="9"/>
    <n v="66"/>
    <s v="&gt;50"/>
    <n v="124"/>
    <m/>
    <m/>
    <m/>
    <x v="3"/>
    <m/>
    <n v="12"/>
  </r>
  <r>
    <n v="6728"/>
    <n v="1985"/>
    <x v="0"/>
    <x v="1"/>
    <n v="29103"/>
    <n v="1"/>
    <d v="1899-12-30T00:00:00"/>
    <d v="2012-08-27T00:00:00"/>
    <n v="38"/>
    <n v="0"/>
    <n v="3"/>
    <n v="3"/>
    <n v="3"/>
    <n v="41"/>
    <s v="30-50"/>
    <n v="6"/>
    <m/>
    <m/>
    <m/>
    <x v="2"/>
    <m/>
    <n v="14"/>
  </r>
  <r>
    <n v="6661"/>
    <n v="1974"/>
    <x v="0"/>
    <x v="2"/>
    <n v="67445"/>
    <n v="0"/>
    <d v="1899-12-31T00:00:00"/>
    <d v="2012-08-12T00:00:00"/>
    <n v="63"/>
    <n v="80"/>
    <n v="80"/>
    <n v="80"/>
    <n v="12"/>
    <n v="52"/>
    <s v="&gt;50"/>
    <n v="92"/>
    <m/>
    <m/>
    <m/>
    <x v="0"/>
    <m/>
    <n v="14"/>
  </r>
  <r>
    <n v="4725"/>
    <n v="1950"/>
    <x v="1"/>
    <x v="1"/>
    <n v="50616"/>
    <n v="0"/>
    <d v="1899-12-31T00:00:00"/>
    <d v="2014-04-13T00:00:00"/>
    <n v="71"/>
    <n v="2"/>
    <n v="1"/>
    <n v="1"/>
    <n v="4"/>
    <n v="76"/>
    <s v="&gt;50"/>
    <n v="5"/>
    <m/>
    <m/>
    <m/>
    <x v="0"/>
    <m/>
    <n v="12"/>
  </r>
  <r>
    <n v="3277"/>
    <n v="1955"/>
    <x v="0"/>
    <x v="3"/>
    <n v="49431"/>
    <n v="0"/>
    <d v="1899-12-31T00:00:00"/>
    <d v="2012-08-03T00:00:00"/>
    <n v="9"/>
    <n v="3"/>
    <n v="0"/>
    <n v="0"/>
    <n v="5"/>
    <n v="71"/>
    <s v="&gt;50"/>
    <n v="5"/>
    <m/>
    <m/>
    <m/>
    <x v="1"/>
    <m/>
    <n v="14"/>
  </r>
  <r>
    <n v="5555"/>
    <n v="1975"/>
    <x v="0"/>
    <x v="3"/>
    <n v="153924"/>
    <n v="0"/>
    <d v="1899-12-30T00:00:00"/>
    <d v="2014-02-07T00:00:00"/>
    <n v="81"/>
    <n v="1"/>
    <n v="1"/>
    <n v="1"/>
    <n v="0"/>
    <n v="51"/>
    <s v="&gt;50"/>
    <n v="1"/>
    <m/>
    <m/>
    <m/>
    <x v="4"/>
    <m/>
    <n v="12"/>
  </r>
  <r>
    <n v="2564"/>
    <n v="1953"/>
    <x v="0"/>
    <x v="1"/>
    <n v="61278"/>
    <n v="0"/>
    <d v="1899-12-31T00:00:00"/>
    <d v="2014-01-04T00:00:00"/>
    <n v="87"/>
    <n v="3"/>
    <n v="6"/>
    <n v="6"/>
    <n v="4"/>
    <n v="73"/>
    <s v="&gt;50"/>
    <n v="10"/>
    <m/>
    <m/>
    <m/>
    <x v="0"/>
    <m/>
    <n v="12"/>
  </r>
  <r>
    <n v="946"/>
    <n v="1958"/>
    <x v="4"/>
    <x v="1"/>
    <n v="26490"/>
    <n v="0"/>
    <d v="1899-12-30T00:00:00"/>
    <d v="2012-09-22T00:00:00"/>
    <n v="92"/>
    <n v="47"/>
    <n v="20"/>
    <n v="20"/>
    <n v="5"/>
    <n v="68"/>
    <s v="&gt;50"/>
    <n v="25"/>
    <m/>
    <m/>
    <m/>
    <x v="2"/>
    <m/>
    <n v="14"/>
  </r>
  <r>
    <n v="3867"/>
    <n v="1947"/>
    <x v="1"/>
    <x v="1"/>
    <n v="73059"/>
    <n v="0"/>
    <d v="1899-12-31T00:00:00"/>
    <d v="2013-08-31T00:00:00"/>
    <n v="36"/>
    <n v="112"/>
    <n v="82"/>
    <n v="82"/>
    <n v="13"/>
    <n v="79"/>
    <s v="&gt;50"/>
    <n v="95"/>
    <m/>
    <m/>
    <m/>
    <x v="0"/>
    <m/>
    <n v="13"/>
  </r>
  <r>
    <n v="6940"/>
    <n v="1966"/>
    <x v="1"/>
    <x v="0"/>
    <n v="46734"/>
    <n v="1"/>
    <d v="1900-01-01T00:00:00"/>
    <d v="2013-10-21T00:00:00"/>
    <n v="86"/>
    <n v="1"/>
    <n v="1"/>
    <n v="1"/>
    <n v="3"/>
    <n v="60"/>
    <s v="&gt;50"/>
    <n v="4"/>
    <m/>
    <m/>
    <m/>
    <x v="1"/>
    <m/>
    <n v="13"/>
  </r>
  <r>
    <n v="55"/>
    <n v="1963"/>
    <x v="0"/>
    <x v="1"/>
    <n v="56253"/>
    <n v="0"/>
    <d v="1899-12-31T00:00:00"/>
    <d v="2012-12-07T00:00:00"/>
    <n v="83"/>
    <n v="0"/>
    <n v="11"/>
    <n v="11"/>
    <n v="9"/>
    <n v="63"/>
    <s v="&gt;50"/>
    <n v="20"/>
    <m/>
    <m/>
    <m/>
    <x v="0"/>
    <m/>
    <n v="14"/>
  </r>
  <r>
    <n v="7093"/>
    <n v="1985"/>
    <x v="0"/>
    <x v="2"/>
    <n v="19986"/>
    <n v="1"/>
    <d v="1899-12-30T00:00:00"/>
    <d v="2013-11-14T00:00:00"/>
    <n v="74"/>
    <n v="6"/>
    <n v="2"/>
    <n v="2"/>
    <n v="3"/>
    <n v="41"/>
    <s v="30-50"/>
    <n v="5"/>
    <m/>
    <m/>
    <m/>
    <x v="2"/>
    <m/>
    <n v="13"/>
  </r>
  <r>
    <n v="5084"/>
    <n v="1975"/>
    <x v="0"/>
    <x v="4"/>
    <n v="58330"/>
    <n v="0"/>
    <d v="1899-12-31T00:00:00"/>
    <d v="2013-12-25T00:00:00"/>
    <n v="87"/>
    <n v="53"/>
    <n v="98"/>
    <n v="98"/>
    <n v="13"/>
    <n v="51"/>
    <s v="&gt;50"/>
    <n v="111"/>
    <m/>
    <m/>
    <m/>
    <x v="0"/>
    <m/>
    <n v="13"/>
  </r>
  <r>
    <n v="1777"/>
    <n v="1980"/>
    <x v="3"/>
    <x v="2"/>
    <n v="25965"/>
    <n v="0"/>
    <d v="1899-12-30T00:00:00"/>
    <d v="2012-09-07T00:00:00"/>
    <n v="29"/>
    <n v="2"/>
    <n v="7"/>
    <n v="7"/>
    <n v="3"/>
    <n v="46"/>
    <s v="30-50"/>
    <n v="10"/>
    <m/>
    <m/>
    <m/>
    <x v="2"/>
    <m/>
    <n v="14"/>
  </r>
  <r>
    <n v="8162"/>
    <n v="1956"/>
    <x v="2"/>
    <x v="1"/>
    <n v="14661"/>
    <n v="0"/>
    <d v="1899-12-30T00:00:00"/>
    <d v="2013-01-01T00:00:00"/>
    <n v="88"/>
    <n v="1"/>
    <n v="2"/>
    <n v="2"/>
    <n v="3"/>
    <n v="70"/>
    <s v="&gt;50"/>
    <n v="5"/>
    <m/>
    <m/>
    <m/>
    <x v="2"/>
    <m/>
    <n v="13"/>
  </r>
  <r>
    <n v="10826"/>
    <n v="1959"/>
    <x v="0"/>
    <x v="2"/>
    <n v="18690"/>
    <n v="0"/>
    <d v="1899-12-30T00:00:00"/>
    <d v="2012-12-28T00:00:00"/>
    <n v="77"/>
    <n v="1"/>
    <n v="4"/>
    <n v="4"/>
    <n v="2"/>
    <n v="67"/>
    <s v="&gt;50"/>
    <n v="6"/>
    <m/>
    <m/>
    <m/>
    <x v="2"/>
    <m/>
    <n v="14"/>
  </r>
  <r>
    <n v="8754"/>
    <n v="1974"/>
    <x v="1"/>
    <x v="1"/>
    <n v="45068"/>
    <n v="0"/>
    <d v="1899-12-31T00:00:00"/>
    <d v="2013-05-16T00:00:00"/>
    <n v="25"/>
    <n v="0"/>
    <n v="0"/>
    <n v="0"/>
    <n v="2"/>
    <n v="52"/>
    <s v="&gt;50"/>
    <n v="2"/>
    <m/>
    <m/>
    <m/>
    <x v="1"/>
    <m/>
    <n v="13"/>
  </r>
  <r>
    <n v="1987"/>
    <n v="1987"/>
    <x v="3"/>
    <x v="0"/>
    <n v="21063"/>
    <n v="1"/>
    <d v="1899-12-30T00:00:00"/>
    <d v="2013-09-25T00:00:00"/>
    <n v="34"/>
    <n v="10"/>
    <n v="3"/>
    <n v="3"/>
    <n v="3"/>
    <n v="39"/>
    <s v="30-50"/>
    <n v="6"/>
    <m/>
    <m/>
    <m/>
    <x v="2"/>
    <m/>
    <n v="13"/>
  </r>
  <r>
    <n v="11007"/>
    <n v="1968"/>
    <x v="1"/>
    <x v="2"/>
    <n v="29187"/>
    <n v="1"/>
    <d v="1899-12-30T00:00:00"/>
    <d v="2013-05-09T00:00:00"/>
    <n v="43"/>
    <n v="0"/>
    <n v="0"/>
    <n v="0"/>
    <n v="3"/>
    <n v="58"/>
    <s v="&gt;50"/>
    <n v="3"/>
    <m/>
    <m/>
    <m/>
    <x v="2"/>
    <m/>
    <n v="13"/>
  </r>
  <r>
    <n v="7426"/>
    <n v="1971"/>
    <x v="4"/>
    <x v="2"/>
    <n v="54690"/>
    <n v="1"/>
    <d v="1899-12-31T00:00:00"/>
    <d v="2013-11-07T00:00:00"/>
    <n v="76"/>
    <n v="16"/>
    <n v="9"/>
    <n v="9"/>
    <n v="5"/>
    <n v="55"/>
    <s v="&gt;50"/>
    <n v="14"/>
    <m/>
    <m/>
    <m/>
    <x v="0"/>
    <m/>
    <n v="13"/>
  </r>
  <r>
    <n v="9153"/>
    <n v="1964"/>
    <x v="1"/>
    <x v="2"/>
    <n v="59304"/>
    <n v="0"/>
    <d v="1899-12-31T00:00:00"/>
    <d v="2013-07-29T00:00:00"/>
    <n v="81"/>
    <n v="61"/>
    <n v="51"/>
    <n v="51"/>
    <n v="10"/>
    <n v="62"/>
    <s v="&gt;50"/>
    <n v="61"/>
    <m/>
    <m/>
    <m/>
    <x v="0"/>
    <m/>
    <n v="13"/>
  </r>
  <r>
    <n v="10379"/>
    <n v="1962"/>
    <x v="2"/>
    <x v="0"/>
    <n v="59247"/>
    <n v="0"/>
    <d v="1900-01-01T00:00:00"/>
    <d v="2013-11-08T00:00:00"/>
    <n v="87"/>
    <n v="9"/>
    <n v="14"/>
    <n v="14"/>
    <n v="9"/>
    <n v="64"/>
    <s v="&gt;50"/>
    <n v="23"/>
    <m/>
    <m/>
    <m/>
    <x v="0"/>
    <m/>
    <n v="13"/>
  </r>
  <r>
    <n v="9204"/>
    <n v="1970"/>
    <x v="0"/>
    <x v="4"/>
    <n v="66731"/>
    <n v="0"/>
    <d v="1899-12-31T00:00:00"/>
    <d v="2012-09-12T00:00:00"/>
    <n v="33"/>
    <n v="159"/>
    <n v="106"/>
    <n v="106"/>
    <n v="6"/>
    <n v="56"/>
    <s v="&gt;50"/>
    <n v="112"/>
    <m/>
    <m/>
    <m/>
    <x v="0"/>
    <m/>
    <n v="14"/>
  </r>
  <r>
    <n v="3197"/>
    <n v="1980"/>
    <x v="0"/>
    <x v="2"/>
    <n v="77353"/>
    <n v="0"/>
    <d v="1899-12-31T00:00:00"/>
    <d v="2013-12-16T00:00:00"/>
    <n v="38"/>
    <n v="59"/>
    <n v="101"/>
    <n v="101"/>
    <n v="8"/>
    <n v="46"/>
    <s v="30-50"/>
    <n v="109"/>
    <m/>
    <m/>
    <m/>
    <x v="3"/>
    <m/>
    <n v="13"/>
  </r>
  <r>
    <n v="2920"/>
    <n v="1975"/>
    <x v="1"/>
    <x v="0"/>
    <n v="52614"/>
    <n v="0"/>
    <d v="1899-12-31T00:00:00"/>
    <d v="2012-12-01T00:00:00"/>
    <n v="63"/>
    <n v="0"/>
    <n v="9"/>
    <n v="9"/>
    <n v="8"/>
    <n v="51"/>
    <s v="&gt;50"/>
    <n v="17"/>
    <m/>
    <m/>
    <m/>
    <x v="0"/>
    <m/>
    <n v="14"/>
  </r>
  <r>
    <n v="6961"/>
    <n v="1974"/>
    <x v="0"/>
    <x v="2"/>
    <n v="26751"/>
    <n v="2"/>
    <d v="1899-12-30T00:00:00"/>
    <d v="2014-05-22T00:00:00"/>
    <n v="26"/>
    <n v="1"/>
    <n v="3"/>
    <n v="3"/>
    <n v="2"/>
    <n v="52"/>
    <s v="&gt;50"/>
    <n v="5"/>
    <m/>
    <m/>
    <m/>
    <x v="2"/>
    <m/>
    <n v="12"/>
  </r>
  <r>
    <n v="4673"/>
    <n v="1963"/>
    <x v="1"/>
    <x v="2"/>
    <n v="81300"/>
    <n v="0"/>
    <d v="1899-12-31T00:00:00"/>
    <d v="2012-10-30T00:00:00"/>
    <n v="17"/>
    <n v="12"/>
    <n v="12"/>
    <n v="12"/>
    <n v="5"/>
    <n v="63"/>
    <s v="&gt;50"/>
    <n v="17"/>
    <m/>
    <m/>
    <m/>
    <x v="3"/>
    <m/>
    <n v="14"/>
  </r>
  <r>
    <n v="9937"/>
    <n v="1979"/>
    <x v="0"/>
    <x v="0"/>
    <n v="70337"/>
    <n v="0"/>
    <d v="1899-12-30T00:00:00"/>
    <d v="2014-01-02T00:00:00"/>
    <n v="75"/>
    <n v="81"/>
    <n v="43"/>
    <n v="43"/>
    <n v="12"/>
    <n v="47"/>
    <s v="30-50"/>
    <n v="55"/>
    <m/>
    <m/>
    <m/>
    <x v="0"/>
    <m/>
    <n v="12"/>
  </r>
  <r>
    <n v="8779"/>
    <n v="1985"/>
    <x v="4"/>
    <x v="2"/>
    <n v="36145"/>
    <n v="1"/>
    <d v="1899-12-30T00:00:00"/>
    <d v="2013-06-16T00:00:00"/>
    <n v="13"/>
    <n v="4"/>
    <n v="1"/>
    <n v="1"/>
    <n v="3"/>
    <n v="41"/>
    <s v="30-50"/>
    <n v="4"/>
    <m/>
    <m/>
    <m/>
    <x v="1"/>
    <m/>
    <n v="13"/>
  </r>
  <r>
    <n v="9596"/>
    <n v="1980"/>
    <x v="1"/>
    <x v="0"/>
    <n v="65295"/>
    <n v="0"/>
    <d v="1899-12-30T00:00:00"/>
    <d v="2013-12-23T00:00:00"/>
    <n v="19"/>
    <n v="32"/>
    <n v="110"/>
    <n v="110"/>
    <n v="13"/>
    <n v="46"/>
    <s v="30-50"/>
    <n v="123"/>
    <m/>
    <m/>
    <m/>
    <x v="0"/>
    <m/>
    <n v="13"/>
  </r>
  <r>
    <n v="2891"/>
    <n v="1963"/>
    <x v="0"/>
    <x v="3"/>
    <n v="68118"/>
    <n v="0"/>
    <d v="1899-12-31T00:00:00"/>
    <d v="2013-10-18T00:00:00"/>
    <n v="51"/>
    <n v="23"/>
    <n v="23"/>
    <n v="23"/>
    <n v="4"/>
    <n v="63"/>
    <s v="&gt;50"/>
    <n v="27"/>
    <m/>
    <m/>
    <m/>
    <x v="0"/>
    <m/>
    <n v="13"/>
  </r>
  <r>
    <n v="4910"/>
    <n v="1967"/>
    <x v="0"/>
    <x v="3"/>
    <n v="68743"/>
    <n v="0"/>
    <d v="1899-12-30T00:00:00"/>
    <d v="2012-08-30T00:00:00"/>
    <n v="81"/>
    <n v="134"/>
    <n v="134"/>
    <n v="134"/>
    <n v="13"/>
    <n v="59"/>
    <s v="&gt;50"/>
    <n v="147"/>
    <m/>
    <m/>
    <m/>
    <x v="0"/>
    <m/>
    <n v="14"/>
  </r>
  <r>
    <n v="75"/>
    <n v="1982"/>
    <x v="4"/>
    <x v="1"/>
    <n v="41039"/>
    <n v="0"/>
    <d v="1899-12-30T00:00:00"/>
    <d v="2013-07-25T00:00:00"/>
    <n v="32"/>
    <n v="11"/>
    <n v="61"/>
    <n v="61"/>
    <n v="5"/>
    <n v="44"/>
    <s v="30-50"/>
    <n v="66"/>
    <m/>
    <m/>
    <m/>
    <x v="1"/>
    <m/>
    <n v="13"/>
  </r>
  <r>
    <n v="10120"/>
    <n v="1955"/>
    <x v="0"/>
    <x v="1"/>
    <n v="38946"/>
    <n v="0"/>
    <d v="1899-12-31T00:00:00"/>
    <d v="2013-10-24T00:00:00"/>
    <n v="84"/>
    <n v="6"/>
    <n v="6"/>
    <n v="6"/>
    <n v="6"/>
    <n v="71"/>
    <s v="&gt;50"/>
    <n v="12"/>
    <m/>
    <m/>
    <m/>
    <x v="1"/>
    <m/>
    <n v="13"/>
  </r>
  <r>
    <n v="6327"/>
    <n v="1967"/>
    <x v="0"/>
    <x v="1"/>
    <n v="65777"/>
    <n v="0"/>
    <d v="1899-12-30T00:00:00"/>
    <d v="2013-12-19T00:00:00"/>
    <n v="87"/>
    <n v="32"/>
    <n v="32"/>
    <n v="32"/>
    <n v="6"/>
    <n v="59"/>
    <s v="&gt;50"/>
    <n v="38"/>
    <m/>
    <m/>
    <m/>
    <x v="0"/>
    <m/>
    <n v="13"/>
  </r>
  <r>
    <n v="10142"/>
    <n v="1976"/>
    <x v="1"/>
    <x v="3"/>
    <n v="66476"/>
    <n v="0"/>
    <d v="1899-12-31T00:00:00"/>
    <d v="2013-03-07T00:00:00"/>
    <n v="99"/>
    <n v="18"/>
    <n v="48"/>
    <n v="48"/>
    <n v="11"/>
    <n v="50"/>
    <s v="30-50"/>
    <n v="59"/>
    <m/>
    <m/>
    <m/>
    <x v="0"/>
    <m/>
    <n v="13"/>
  </r>
  <r>
    <n v="9826"/>
    <n v="1972"/>
    <x v="1"/>
    <x v="0"/>
    <n v="86857"/>
    <n v="0"/>
    <d v="1899-12-30T00:00:00"/>
    <d v="2012-09-12T00:00:00"/>
    <n v="96"/>
    <n v="102"/>
    <n v="102"/>
    <n v="102"/>
    <n v="10"/>
    <n v="54"/>
    <s v="&gt;50"/>
    <n v="112"/>
    <m/>
    <m/>
    <m/>
    <x v="3"/>
    <m/>
    <n v="14"/>
  </r>
  <r>
    <n v="1501"/>
    <n v="1982"/>
    <x v="1"/>
    <x v="2"/>
    <n v="160803"/>
    <n v="0"/>
    <d v="1899-12-30T00:00:00"/>
    <d v="2012-08-04T00:00:00"/>
    <n v="21"/>
    <n v="16"/>
    <n v="3"/>
    <n v="3"/>
    <n v="1"/>
    <n v="44"/>
    <s v="30-50"/>
    <n v="4"/>
    <m/>
    <m/>
    <m/>
    <x v="4"/>
    <m/>
    <n v="14"/>
  </r>
  <r>
    <n v="10767"/>
    <n v="1989"/>
    <x v="1"/>
    <x v="1"/>
    <n v="77845"/>
    <n v="0"/>
    <d v="1899-12-30T00:00:00"/>
    <d v="2014-05-16T00:00:00"/>
    <n v="40"/>
    <n v="40"/>
    <n v="40"/>
    <n v="40"/>
    <n v="12"/>
    <n v="37"/>
    <s v="30-50"/>
    <n v="52"/>
    <m/>
    <m/>
    <m/>
    <x v="3"/>
    <m/>
    <n v="12"/>
  </r>
  <r>
    <n v="7279"/>
    <n v="1969"/>
    <x v="1"/>
    <x v="1"/>
    <n v="69476"/>
    <n v="0"/>
    <d v="1899-12-30T00:00:00"/>
    <d v="2013-09-30T00:00:00"/>
    <n v="3"/>
    <n v="86"/>
    <n v="9"/>
    <n v="9"/>
    <n v="4"/>
    <n v="57"/>
    <s v="&gt;50"/>
    <n v="13"/>
    <m/>
    <m/>
    <m/>
    <x v="0"/>
    <m/>
    <n v="13"/>
  </r>
  <r>
    <n v="7230"/>
    <n v="1960"/>
    <x v="1"/>
    <x v="3"/>
    <n v="50611"/>
    <n v="0"/>
    <d v="1899-12-31T00:00:00"/>
    <d v="2012-10-04T00:00:00"/>
    <n v="98"/>
    <n v="0"/>
    <n v="0"/>
    <n v="0"/>
    <n v="7"/>
    <n v="66"/>
    <s v="&gt;50"/>
    <n v="7"/>
    <m/>
    <m/>
    <m/>
    <x v="0"/>
    <m/>
    <n v="14"/>
  </r>
  <r>
    <n v="143"/>
    <n v="1970"/>
    <x v="0"/>
    <x v="0"/>
    <n v="61209"/>
    <n v="0"/>
    <d v="1899-12-30T00:00:00"/>
    <d v="2013-08-25T00:00:00"/>
    <n v="73"/>
    <n v="0"/>
    <n v="49"/>
    <n v="49"/>
    <n v="4"/>
    <n v="56"/>
    <s v="&gt;50"/>
    <n v="53"/>
    <m/>
    <m/>
    <m/>
    <x v="0"/>
    <m/>
    <n v="13"/>
  </r>
  <r>
    <n v="450"/>
    <n v="1958"/>
    <x v="2"/>
    <x v="1"/>
    <n v="42315"/>
    <n v="0"/>
    <d v="1899-12-31T00:00:00"/>
    <d v="2013-07-12T00:00:00"/>
    <n v="90"/>
    <n v="15"/>
    <n v="11"/>
    <n v="11"/>
    <n v="4"/>
    <n v="68"/>
    <s v="&gt;50"/>
    <n v="15"/>
    <m/>
    <m/>
    <m/>
    <x v="1"/>
    <m/>
    <n v="13"/>
  </r>
  <r>
    <n v="9316"/>
    <n v="1952"/>
    <x v="3"/>
    <x v="1"/>
    <n v="13084"/>
    <n v="0"/>
    <d v="1899-12-30T00:00:00"/>
    <d v="2013-11-02T00:00:00"/>
    <n v="29"/>
    <n v="0"/>
    <n v="7"/>
    <n v="7"/>
    <n v="3"/>
    <n v="74"/>
    <s v="&gt;50"/>
    <n v="10"/>
    <m/>
    <m/>
    <m/>
    <x v="2"/>
    <m/>
    <n v="13"/>
  </r>
  <r>
    <n v="6379"/>
    <n v="1949"/>
    <x v="2"/>
    <x v="4"/>
    <n v="47570"/>
    <n v="1"/>
    <d v="1899-12-31T00:00:00"/>
    <d v="2013-05-29T00:00:00"/>
    <n v="3"/>
    <n v="1"/>
    <n v="2"/>
    <n v="2"/>
    <n v="2"/>
    <n v="77"/>
    <s v="&gt;50"/>
    <n v="4"/>
    <m/>
    <m/>
    <m/>
    <x v="1"/>
    <m/>
    <n v="13"/>
  </r>
  <r>
    <n v="9239"/>
    <n v="1961"/>
    <x v="2"/>
    <x v="2"/>
    <n v="61923"/>
    <n v="0"/>
    <d v="1900-01-01T00:00:00"/>
    <d v="2013-07-26T00:00:00"/>
    <n v="94"/>
    <n v="4"/>
    <n v="3"/>
    <n v="3"/>
    <n v="4"/>
    <n v="65"/>
    <s v="&gt;50"/>
    <n v="7"/>
    <m/>
    <m/>
    <m/>
    <x v="0"/>
    <m/>
    <n v="13"/>
  </r>
  <r>
    <n v="8315"/>
    <n v="1995"/>
    <x v="0"/>
    <x v="0"/>
    <n v="34824"/>
    <n v="0"/>
    <d v="1899-12-30T00:00:00"/>
    <d v="2014-03-26T00:00:00"/>
    <n v="65"/>
    <n v="2"/>
    <n v="0"/>
    <n v="0"/>
    <n v="2"/>
    <n v="31"/>
    <s v="30-50"/>
    <n v="2"/>
    <m/>
    <m/>
    <m/>
    <x v="1"/>
    <m/>
    <n v="12"/>
  </r>
  <r>
    <n v="2868"/>
    <n v="1949"/>
    <x v="1"/>
    <x v="0"/>
    <n v="26518"/>
    <n v="1"/>
    <d v="1899-12-31T00:00:00"/>
    <d v="2013-04-08T00:00:00"/>
    <n v="33"/>
    <n v="1"/>
    <n v="3"/>
    <n v="3"/>
    <n v="3"/>
    <n v="77"/>
    <s v="&gt;50"/>
    <n v="6"/>
    <m/>
    <m/>
    <m/>
    <x v="2"/>
    <m/>
    <n v="13"/>
  </r>
  <r>
    <n v="10888"/>
    <n v="1961"/>
    <x v="0"/>
    <x v="0"/>
    <n v="45938"/>
    <n v="0"/>
    <d v="1899-12-30T00:00:00"/>
    <d v="2013-11-03T00:00:00"/>
    <n v="46"/>
    <n v="11"/>
    <n v="83"/>
    <n v="83"/>
    <n v="6"/>
    <n v="65"/>
    <s v="&gt;50"/>
    <n v="89"/>
    <m/>
    <m/>
    <m/>
    <x v="1"/>
    <m/>
    <n v="13"/>
  </r>
  <r>
    <n v="1277"/>
    <n v="1960"/>
    <x v="0"/>
    <x v="1"/>
    <n v="78468"/>
    <n v="0"/>
    <d v="1899-12-30T00:00:00"/>
    <d v="2014-04-09T00:00:00"/>
    <n v="29"/>
    <n v="22"/>
    <n v="22"/>
    <n v="22"/>
    <n v="10"/>
    <n v="66"/>
    <s v="&gt;50"/>
    <n v="32"/>
    <m/>
    <m/>
    <m/>
    <x v="3"/>
    <m/>
    <n v="12"/>
  </r>
  <r>
    <n v="9977"/>
    <n v="1973"/>
    <x v="0"/>
    <x v="3"/>
    <n v="78901"/>
    <n v="0"/>
    <d v="1899-12-31T00:00:00"/>
    <d v="2013-09-17T00:00:00"/>
    <n v="99"/>
    <n v="11"/>
    <n v="26"/>
    <n v="26"/>
    <n v="5"/>
    <n v="53"/>
    <s v="&gt;50"/>
    <n v="31"/>
    <m/>
    <m/>
    <m/>
    <x v="3"/>
    <m/>
    <n v="13"/>
  </r>
  <r>
    <n v="10196"/>
    <n v="1978"/>
    <x v="0"/>
    <x v="2"/>
    <n v="71427"/>
    <n v="2"/>
    <d v="1899-12-30T00:00:00"/>
    <d v="2014-03-12T00:00:00"/>
    <n v="26"/>
    <n v="123"/>
    <n v="64"/>
    <n v="64"/>
    <n v="8"/>
    <n v="48"/>
    <s v="30-50"/>
    <n v="72"/>
    <m/>
    <m/>
    <m/>
    <x v="0"/>
    <m/>
    <n v="12"/>
  </r>
  <r>
    <n v="6384"/>
    <n v="1978"/>
    <x v="0"/>
    <x v="3"/>
    <n v="71022"/>
    <n v="0"/>
    <d v="1899-12-31T00:00:00"/>
    <d v="2014-02-11T00:00:00"/>
    <n v="30"/>
    <n v="12"/>
    <n v="12"/>
    <n v="12"/>
    <n v="11"/>
    <n v="48"/>
    <s v="30-50"/>
    <n v="23"/>
    <m/>
    <m/>
    <m/>
    <x v="0"/>
    <m/>
    <n v="12"/>
  </r>
  <r>
    <n v="8029"/>
    <n v="1988"/>
    <x v="2"/>
    <x v="0"/>
    <n v="90247"/>
    <n v="0"/>
    <d v="1899-12-30T00:00:00"/>
    <d v="2014-04-29T00:00:00"/>
    <n v="27"/>
    <n v="32"/>
    <n v="16"/>
    <n v="16"/>
    <n v="7"/>
    <n v="38"/>
    <s v="30-50"/>
    <n v="23"/>
    <m/>
    <m/>
    <m/>
    <x v="3"/>
    <m/>
    <n v="12"/>
  </r>
  <r>
    <n v="968"/>
    <n v="1968"/>
    <x v="2"/>
    <x v="3"/>
    <n v="41335"/>
    <n v="1"/>
    <d v="1899-12-30T00:00:00"/>
    <d v="2013-12-26T00:00:00"/>
    <n v="24"/>
    <n v="19"/>
    <n v="14"/>
    <n v="14"/>
    <n v="4"/>
    <n v="58"/>
    <s v="&gt;50"/>
    <n v="18"/>
    <m/>
    <m/>
    <m/>
    <x v="1"/>
    <m/>
    <n v="13"/>
  </r>
  <r>
    <n v="6988"/>
    <n v="1986"/>
    <x v="0"/>
    <x v="2"/>
    <n v="71952"/>
    <n v="1"/>
    <d v="1899-12-30T00:00:00"/>
    <d v="2013-01-10T00:00:00"/>
    <n v="93"/>
    <n v="80"/>
    <n v="107"/>
    <n v="107"/>
    <n v="8"/>
    <n v="40"/>
    <s v="30-50"/>
    <n v="115"/>
    <m/>
    <m/>
    <m/>
    <x v="0"/>
    <m/>
    <n v="13"/>
  </r>
  <r>
    <n v="4472"/>
    <n v="1970"/>
    <x v="1"/>
    <x v="3"/>
    <n v="35682"/>
    <n v="1"/>
    <d v="1899-12-30T00:00:00"/>
    <d v="2014-06-27T00:00:00"/>
    <n v="34"/>
    <n v="0"/>
    <n v="2"/>
    <n v="2"/>
    <n v="3"/>
    <n v="56"/>
    <s v="&gt;50"/>
    <n v="5"/>
    <m/>
    <m/>
    <m/>
    <x v="1"/>
    <m/>
    <n v="12"/>
  </r>
  <r>
    <n v="6991"/>
    <n v="1951"/>
    <x v="0"/>
    <x v="3"/>
    <n v="43185"/>
    <n v="0"/>
    <d v="1899-12-31T00:00:00"/>
    <d v="2013-04-10T00:00:00"/>
    <n v="88"/>
    <n v="6"/>
    <n v="6"/>
    <n v="6"/>
    <n v="6"/>
    <n v="75"/>
    <s v="&gt;50"/>
    <n v="12"/>
    <m/>
    <m/>
    <m/>
    <x v="1"/>
    <m/>
    <n v="13"/>
  </r>
  <r>
    <n v="3336"/>
    <n v="1948"/>
    <x v="1"/>
    <x v="1"/>
    <n v="66375"/>
    <n v="0"/>
    <d v="1899-12-31T00:00:00"/>
    <d v="2013-11-21T00:00:00"/>
    <n v="96"/>
    <n v="0"/>
    <n v="0"/>
    <n v="0"/>
    <n v="5"/>
    <n v="78"/>
    <s v="&gt;50"/>
    <n v="5"/>
    <m/>
    <m/>
    <m/>
    <x v="0"/>
    <m/>
    <n v="13"/>
  </r>
  <r>
    <n v="4301"/>
    <n v="1971"/>
    <x v="2"/>
    <x v="2"/>
    <n v="35178"/>
    <n v="1"/>
    <d v="1899-12-30T00:00:00"/>
    <d v="2013-01-10T00:00:00"/>
    <n v="10"/>
    <n v="1"/>
    <n v="2"/>
    <n v="2"/>
    <n v="2"/>
    <n v="55"/>
    <s v="&gt;50"/>
    <n v="4"/>
    <m/>
    <m/>
    <m/>
    <x v="1"/>
    <m/>
    <n v="13"/>
  </r>
  <r>
    <n v="1940"/>
    <n v="1986"/>
    <x v="0"/>
    <x v="2"/>
    <n v="25252"/>
    <n v="1"/>
    <d v="1899-12-30T00:00:00"/>
    <d v="2013-07-12T00:00:00"/>
    <n v="26"/>
    <n v="3"/>
    <n v="2"/>
    <n v="2"/>
    <n v="2"/>
    <n v="40"/>
    <s v="30-50"/>
    <n v="4"/>
    <m/>
    <m/>
    <m/>
    <x v="2"/>
    <m/>
    <n v="13"/>
  </r>
  <r>
    <n v="1272"/>
    <n v="1965"/>
    <x v="2"/>
    <x v="0"/>
    <n v="55250"/>
    <n v="0"/>
    <d v="1899-12-31T00:00:00"/>
    <d v="2012-10-21T00:00:00"/>
    <n v="49"/>
    <n v="58"/>
    <n v="0"/>
    <n v="0"/>
    <n v="10"/>
    <n v="61"/>
    <s v="&gt;50"/>
    <n v="10"/>
    <m/>
    <m/>
    <m/>
    <x v="0"/>
    <m/>
    <n v="14"/>
  </r>
  <r>
    <n v="1388"/>
    <n v="1975"/>
    <x v="0"/>
    <x v="0"/>
    <n v="33249"/>
    <n v="1"/>
    <d v="1899-12-30T00:00:00"/>
    <d v="2013-02-20T00:00:00"/>
    <n v="11"/>
    <n v="10"/>
    <n v="14"/>
    <n v="14"/>
    <n v="3"/>
    <n v="51"/>
    <s v="&gt;50"/>
    <n v="17"/>
    <m/>
    <m/>
    <m/>
    <x v="1"/>
    <m/>
    <n v="13"/>
  </r>
  <r>
    <n v="1044"/>
    <n v="1953"/>
    <x v="0"/>
    <x v="1"/>
    <n v="58398"/>
    <n v="0"/>
    <d v="1899-12-30T00:00:00"/>
    <d v="2013-05-14T00:00:00"/>
    <n v="44"/>
    <n v="5"/>
    <n v="21"/>
    <n v="21"/>
    <n v="8"/>
    <n v="73"/>
    <s v="&gt;50"/>
    <n v="29"/>
    <m/>
    <m/>
    <m/>
    <x v="0"/>
    <m/>
    <n v="13"/>
  </r>
  <r>
    <n v="6969"/>
    <n v="1982"/>
    <x v="0"/>
    <x v="1"/>
    <n v="50272"/>
    <n v="1"/>
    <d v="1899-12-30T00:00:00"/>
    <d v="2013-08-07T00:00:00"/>
    <n v="75"/>
    <n v="13"/>
    <n v="8"/>
    <n v="8"/>
    <n v="5"/>
    <n v="44"/>
    <s v="30-50"/>
    <n v="13"/>
    <m/>
    <m/>
    <m/>
    <x v="0"/>
    <m/>
    <n v="13"/>
  </r>
  <r>
    <n v="10479"/>
    <n v="1975"/>
    <x v="1"/>
    <x v="2"/>
    <n v="76618"/>
    <n v="0"/>
    <d v="1899-12-30T00:00:00"/>
    <d v="2012-12-07T00:00:00"/>
    <n v="64"/>
    <n v="40"/>
    <n v="160"/>
    <n v="160"/>
    <n v="5"/>
    <n v="51"/>
    <s v="&gt;50"/>
    <n v="165"/>
    <m/>
    <m/>
    <m/>
    <x v="3"/>
    <m/>
    <n v="14"/>
  </r>
  <r>
    <n v="3619"/>
    <n v="1960"/>
    <x v="4"/>
    <x v="3"/>
    <n v="87305"/>
    <n v="0"/>
    <d v="1899-12-30T00:00:00"/>
    <d v="2012-09-23T00:00:00"/>
    <n v="19"/>
    <n v="25"/>
    <n v="138"/>
    <n v="138"/>
    <n v="8"/>
    <n v="66"/>
    <s v="&gt;50"/>
    <n v="146"/>
    <m/>
    <m/>
    <m/>
    <x v="3"/>
    <m/>
    <n v="14"/>
  </r>
  <r>
    <n v="1715"/>
    <n v="1978"/>
    <x v="0"/>
    <x v="1"/>
    <n v="25851"/>
    <n v="1"/>
    <d v="1899-12-30T00:00:00"/>
    <d v="2013-02-11T00:00:00"/>
    <n v="45"/>
    <n v="4"/>
    <n v="5"/>
    <n v="5"/>
    <n v="3"/>
    <n v="48"/>
    <s v="30-50"/>
    <n v="8"/>
    <m/>
    <m/>
    <m/>
    <x v="2"/>
    <m/>
    <n v="13"/>
  </r>
  <r>
    <n v="10159"/>
    <n v="1970"/>
    <x v="0"/>
    <x v="3"/>
    <n v="58710"/>
    <n v="0"/>
    <d v="1899-12-31T00:00:00"/>
    <d v="2013-03-31T00:00:00"/>
    <n v="77"/>
    <n v="81"/>
    <n v="122"/>
    <n v="122"/>
    <n v="9"/>
    <n v="56"/>
    <s v="&gt;50"/>
    <n v="131"/>
    <m/>
    <m/>
    <m/>
    <x v="0"/>
    <m/>
    <n v="13"/>
  </r>
  <r>
    <n v="1463"/>
    <n v="1958"/>
    <x v="0"/>
    <x v="0"/>
    <n v="45160"/>
    <n v="1"/>
    <d v="1899-12-31T00:00:00"/>
    <d v="2014-03-29T00:00:00"/>
    <n v="9"/>
    <n v="2"/>
    <n v="0"/>
    <n v="0"/>
    <n v="2"/>
    <n v="68"/>
    <s v="&gt;50"/>
    <n v="2"/>
    <m/>
    <m/>
    <m/>
    <x v="1"/>
    <m/>
    <n v="12"/>
  </r>
  <r>
    <n v="5114"/>
    <n v="1965"/>
    <x v="2"/>
    <x v="2"/>
    <n v="74806"/>
    <n v="0"/>
    <d v="1899-12-31T00:00:00"/>
    <d v="2012-12-19T00:00:00"/>
    <n v="1"/>
    <n v="9"/>
    <n v="28"/>
    <n v="28"/>
    <n v="5"/>
    <n v="61"/>
    <s v="&gt;50"/>
    <n v="33"/>
    <m/>
    <m/>
    <m/>
    <x v="0"/>
    <m/>
    <n v="14"/>
  </r>
  <r>
    <n v="4990"/>
    <n v="1954"/>
    <x v="0"/>
    <x v="2"/>
    <n v="59111"/>
    <n v="0"/>
    <d v="1899-12-30T00:00:00"/>
    <d v="2013-05-02T00:00:00"/>
    <n v="90"/>
    <n v="0"/>
    <n v="28"/>
    <n v="28"/>
    <n v="8"/>
    <n v="72"/>
    <s v="&gt;50"/>
    <n v="36"/>
    <m/>
    <m/>
    <m/>
    <x v="0"/>
    <m/>
    <n v="13"/>
  </r>
  <r>
    <n v="4329"/>
    <n v="1984"/>
    <x v="1"/>
    <x v="2"/>
    <n v="18988"/>
    <n v="1"/>
    <d v="1899-12-30T00:00:00"/>
    <d v="2014-05-23T00:00:00"/>
    <n v="43"/>
    <n v="0"/>
    <n v="1"/>
    <n v="1"/>
    <n v="3"/>
    <n v="42"/>
    <s v="30-50"/>
    <n v="4"/>
    <m/>
    <m/>
    <m/>
    <x v="2"/>
    <m/>
    <n v="12"/>
  </r>
  <r>
    <n v="10936"/>
    <n v="1965"/>
    <x v="0"/>
    <x v="2"/>
    <n v="72190"/>
    <n v="0"/>
    <d v="1899-12-30T00:00:00"/>
    <d v="2013-02-13T00:00:00"/>
    <n v="79"/>
    <n v="166"/>
    <n v="166"/>
    <n v="166"/>
    <n v="4"/>
    <n v="61"/>
    <s v="&gt;50"/>
    <n v="170"/>
    <m/>
    <m/>
    <m/>
    <x v="0"/>
    <m/>
    <n v="13"/>
  </r>
  <r>
    <n v="4692"/>
    <n v="1976"/>
    <x v="0"/>
    <x v="2"/>
    <n v="7500"/>
    <n v="1"/>
    <d v="1899-12-30T00:00:00"/>
    <d v="2012-08-01T00:00:00"/>
    <n v="19"/>
    <n v="0"/>
    <n v="7"/>
    <n v="7"/>
    <n v="2"/>
    <n v="50"/>
    <s v="30-50"/>
    <n v="9"/>
    <m/>
    <m/>
    <m/>
    <x v="2"/>
    <m/>
    <n v="14"/>
  </r>
  <r>
    <n v="7212"/>
    <n v="1966"/>
    <x v="0"/>
    <x v="2"/>
    <n v="44794"/>
    <n v="0"/>
    <d v="1899-12-31T00:00:00"/>
    <d v="2014-06-08T00:00:00"/>
    <n v="99"/>
    <n v="0"/>
    <n v="0"/>
    <n v="0"/>
    <n v="3"/>
    <n v="60"/>
    <s v="&gt;50"/>
    <n v="3"/>
    <m/>
    <m/>
    <m/>
    <x v="1"/>
    <m/>
    <n v="12"/>
  </r>
  <r>
    <n v="6086"/>
    <n v="1955"/>
    <x v="0"/>
    <x v="2"/>
    <n v="80395"/>
    <n v="0"/>
    <d v="1899-12-30T00:00:00"/>
    <d v="2013-11-23T00:00:00"/>
    <n v="62"/>
    <n v="25"/>
    <n v="76"/>
    <n v="76"/>
    <n v="12"/>
    <n v="71"/>
    <s v="&gt;50"/>
    <n v="88"/>
    <m/>
    <m/>
    <m/>
    <x v="3"/>
    <m/>
    <n v="13"/>
  </r>
  <r>
    <n v="437"/>
    <n v="1976"/>
    <x v="2"/>
    <x v="3"/>
    <n v="75012"/>
    <n v="0"/>
    <d v="1899-12-30T00:00:00"/>
    <d v="2014-01-25T00:00:00"/>
    <n v="41"/>
    <n v="142"/>
    <n v="58"/>
    <n v="58"/>
    <n v="11"/>
    <n v="50"/>
    <s v="30-50"/>
    <n v="69"/>
    <m/>
    <m/>
    <m/>
    <x v="3"/>
    <m/>
    <n v="12"/>
  </r>
  <r>
    <n v="11171"/>
    <n v="1965"/>
    <x v="2"/>
    <x v="2"/>
    <n v="56962"/>
    <n v="2"/>
    <d v="1899-12-31T00:00:00"/>
    <d v="2013-10-11T00:00:00"/>
    <n v="60"/>
    <n v="3"/>
    <n v="3"/>
    <n v="3"/>
    <n v="5"/>
    <n v="61"/>
    <s v="&gt;50"/>
    <n v="8"/>
    <m/>
    <m/>
    <m/>
    <x v="0"/>
    <m/>
    <n v="13"/>
  </r>
  <r>
    <n v="11101"/>
    <n v="1991"/>
    <x v="0"/>
    <x v="1"/>
    <n v="89891"/>
    <n v="0"/>
    <d v="1899-12-30T00:00:00"/>
    <d v="2013-04-15T00:00:00"/>
    <n v="17"/>
    <n v="22"/>
    <n v="28"/>
    <n v="28"/>
    <n v="8"/>
    <n v="35"/>
    <s v="30-50"/>
    <n v="36"/>
    <m/>
    <m/>
    <m/>
    <x v="3"/>
    <m/>
    <n v="13"/>
  </r>
  <r>
    <n v="5329"/>
    <n v="1949"/>
    <x v="1"/>
    <x v="3"/>
    <n v="35946"/>
    <n v="1"/>
    <d v="1899-12-31T00:00:00"/>
    <d v="2013-09-27T00:00:00"/>
    <n v="24"/>
    <n v="0"/>
    <n v="0"/>
    <n v="0"/>
    <n v="3"/>
    <n v="77"/>
    <s v="&gt;50"/>
    <n v="3"/>
    <m/>
    <m/>
    <m/>
    <x v="1"/>
    <m/>
    <n v="13"/>
  </r>
  <r>
    <n v="610"/>
    <n v="1953"/>
    <x v="1"/>
    <x v="1"/>
    <n v="53593"/>
    <n v="1"/>
    <d v="1899-12-31T00:00:00"/>
    <d v="2012-08-07T00:00:00"/>
    <n v="60"/>
    <n v="4"/>
    <n v="0"/>
    <n v="0"/>
    <n v="6"/>
    <n v="73"/>
    <s v="&gt;50"/>
    <n v="6"/>
    <m/>
    <m/>
    <m/>
    <x v="0"/>
    <m/>
    <n v="14"/>
  </r>
  <r>
    <n v="9384"/>
    <n v="1978"/>
    <x v="0"/>
    <x v="2"/>
    <n v="66373"/>
    <n v="1"/>
    <d v="1899-12-31T00:00:00"/>
    <d v="2013-06-12T00:00:00"/>
    <n v="57"/>
    <n v="9"/>
    <n v="24"/>
    <n v="24"/>
    <n v="10"/>
    <n v="48"/>
    <s v="30-50"/>
    <n v="34"/>
    <m/>
    <m/>
    <m/>
    <x v="0"/>
    <m/>
    <n v="13"/>
  </r>
  <r>
    <n v="5956"/>
    <n v="1948"/>
    <x v="1"/>
    <x v="3"/>
    <n v="45072"/>
    <n v="1"/>
    <d v="1900-01-01T00:00:00"/>
    <d v="2013-10-16T00:00:00"/>
    <n v="74"/>
    <n v="2"/>
    <n v="2"/>
    <n v="2"/>
    <n v="4"/>
    <n v="78"/>
    <s v="&gt;50"/>
    <n v="6"/>
    <m/>
    <m/>
    <m/>
    <x v="1"/>
    <m/>
    <n v="13"/>
  </r>
  <r>
    <n v="10430"/>
    <n v="1973"/>
    <x v="0"/>
    <x v="3"/>
    <n v="89694"/>
    <n v="1"/>
    <d v="1899-12-31T00:00:00"/>
    <d v="2013-10-09T00:00:00"/>
    <n v="22"/>
    <n v="28"/>
    <n v="28"/>
    <n v="28"/>
    <n v="4"/>
    <n v="53"/>
    <s v="&gt;50"/>
    <n v="32"/>
    <m/>
    <m/>
    <m/>
    <x v="3"/>
    <m/>
    <n v="13"/>
  </r>
  <r>
    <n v="7875"/>
    <n v="1949"/>
    <x v="0"/>
    <x v="2"/>
    <n v="72025"/>
    <n v="0"/>
    <d v="1899-12-30T00:00:00"/>
    <d v="2014-04-29T00:00:00"/>
    <n v="46"/>
    <n v="0"/>
    <n v="50"/>
    <n v="50"/>
    <n v="13"/>
    <n v="77"/>
    <s v="&gt;50"/>
    <n v="63"/>
    <m/>
    <m/>
    <m/>
    <x v="0"/>
    <m/>
    <n v="12"/>
  </r>
  <r>
    <n v="7072"/>
    <n v="1973"/>
    <x v="0"/>
    <x v="2"/>
    <n v="67432"/>
    <n v="0"/>
    <d v="1899-12-31T00:00:00"/>
    <d v="2013-03-29T00:00:00"/>
    <n v="69"/>
    <n v="79"/>
    <n v="136"/>
    <n v="136"/>
    <n v="4"/>
    <n v="53"/>
    <s v="&gt;50"/>
    <n v="140"/>
    <m/>
    <m/>
    <m/>
    <x v="0"/>
    <m/>
    <n v="13"/>
  </r>
  <r>
    <n v="6255"/>
    <n v="1952"/>
    <x v="2"/>
    <x v="1"/>
    <n v="70545"/>
    <n v="0"/>
    <d v="1899-12-31T00:00:00"/>
    <d v="2014-06-03T00:00:00"/>
    <n v="29"/>
    <n v="39"/>
    <n v="18"/>
    <n v="18"/>
    <n v="7"/>
    <n v="74"/>
    <s v="&gt;50"/>
    <n v="25"/>
    <m/>
    <m/>
    <m/>
    <x v="0"/>
    <m/>
    <n v="12"/>
  </r>
  <r>
    <n v="6516"/>
    <n v="1989"/>
    <x v="3"/>
    <x v="2"/>
    <n v="17487"/>
    <n v="1"/>
    <d v="1899-12-30T00:00:00"/>
    <d v="2013-03-18T00:00:00"/>
    <n v="37"/>
    <n v="0"/>
    <n v="4"/>
    <n v="4"/>
    <n v="2"/>
    <n v="37"/>
    <s v="30-50"/>
    <n v="6"/>
    <m/>
    <m/>
    <m/>
    <x v="2"/>
    <m/>
    <n v="13"/>
  </r>
  <r>
    <n v="5564"/>
    <n v="1969"/>
    <x v="0"/>
    <x v="1"/>
    <n v="62882"/>
    <n v="0"/>
    <d v="1899-12-31T00:00:00"/>
    <d v="2012-08-09T00:00:00"/>
    <n v="26"/>
    <n v="133"/>
    <n v="24"/>
    <n v="24"/>
    <n v="6"/>
    <n v="57"/>
    <s v="&gt;50"/>
    <n v="30"/>
    <m/>
    <m/>
    <m/>
    <x v="0"/>
    <m/>
    <n v="14"/>
  </r>
  <r>
    <n v="5682"/>
    <n v="1953"/>
    <x v="1"/>
    <x v="0"/>
    <n v="64108"/>
    <n v="0"/>
    <d v="1899-12-31T00:00:00"/>
    <d v="2013-03-23T00:00:00"/>
    <n v="8"/>
    <n v="10"/>
    <n v="21"/>
    <n v="21"/>
    <n v="11"/>
    <n v="73"/>
    <s v="&gt;50"/>
    <n v="32"/>
    <m/>
    <m/>
    <m/>
    <x v="0"/>
    <m/>
    <n v="13"/>
  </r>
  <r>
    <n v="7458"/>
    <n v="1956"/>
    <x v="2"/>
    <x v="1"/>
    <n v="34941"/>
    <n v="1"/>
    <d v="1899-12-31T00:00:00"/>
    <d v="2013-03-06T00:00:00"/>
    <n v="26"/>
    <n v="2"/>
    <n v="3"/>
    <n v="3"/>
    <n v="3"/>
    <n v="70"/>
    <s v="&gt;50"/>
    <n v="6"/>
    <m/>
    <m/>
    <m/>
    <x v="1"/>
    <m/>
    <n v="13"/>
  </r>
  <r>
    <n v="5237"/>
    <n v="1950"/>
    <x v="1"/>
    <x v="0"/>
    <n v="48767"/>
    <n v="1"/>
    <d v="1900-01-01T00:00:00"/>
    <d v="2014-01-01T00:00:00"/>
    <n v="79"/>
    <n v="1"/>
    <n v="0"/>
    <n v="0"/>
    <n v="3"/>
    <n v="76"/>
    <s v="&gt;50"/>
    <n v="3"/>
    <m/>
    <m/>
    <m/>
    <x v="1"/>
    <m/>
    <n v="12"/>
  </r>
  <r>
    <n v="7761"/>
    <n v="1978"/>
    <x v="4"/>
    <x v="1"/>
    <n v="38702"/>
    <n v="1"/>
    <d v="1899-12-30T00:00:00"/>
    <d v="2013-08-01T00:00:00"/>
    <n v="71"/>
    <n v="11"/>
    <n v="8"/>
    <n v="8"/>
    <n v="4"/>
    <n v="48"/>
    <s v="30-50"/>
    <n v="12"/>
    <m/>
    <m/>
    <m/>
    <x v="1"/>
    <m/>
    <n v="13"/>
  </r>
  <r>
    <n v="5278"/>
    <n v="1964"/>
    <x v="0"/>
    <x v="2"/>
    <n v="82224"/>
    <n v="0"/>
    <d v="1899-12-30T00:00:00"/>
    <d v="2014-01-25T00:00:00"/>
    <n v="83"/>
    <n v="26"/>
    <n v="31"/>
    <n v="31"/>
    <n v="5"/>
    <n v="62"/>
    <s v="&gt;50"/>
    <n v="36"/>
    <m/>
    <m/>
    <m/>
    <x v="3"/>
    <m/>
    <n v="12"/>
  </r>
  <r>
    <n v="3560"/>
    <n v="1952"/>
    <x v="0"/>
    <x v="1"/>
    <n v="83844"/>
    <n v="0"/>
    <d v="1899-12-30T00:00:00"/>
    <d v="2013-05-12T00:00:00"/>
    <n v="57"/>
    <n v="31"/>
    <n v="31"/>
    <n v="31"/>
    <n v="11"/>
    <n v="74"/>
    <s v="&gt;50"/>
    <n v="42"/>
    <m/>
    <m/>
    <m/>
    <x v="3"/>
    <m/>
    <n v="13"/>
  </r>
  <r>
    <n v="7235"/>
    <n v="1975"/>
    <x v="4"/>
    <x v="2"/>
    <n v="17003"/>
    <n v="1"/>
    <d v="1899-12-30T00:00:00"/>
    <d v="2013-12-09T00:00:00"/>
    <n v="37"/>
    <n v="5"/>
    <n v="8"/>
    <n v="8"/>
    <n v="4"/>
    <n v="51"/>
    <s v="&gt;50"/>
    <n v="12"/>
    <m/>
    <m/>
    <m/>
    <x v="2"/>
    <m/>
    <n v="13"/>
  </r>
  <r>
    <n v="10548"/>
    <n v="1995"/>
    <x v="0"/>
    <x v="0"/>
    <n v="71163"/>
    <n v="0"/>
    <d v="1899-12-30T00:00:00"/>
    <d v="2014-03-09T00:00:00"/>
    <n v="30"/>
    <n v="17"/>
    <n v="106"/>
    <n v="106"/>
    <n v="12"/>
    <n v="31"/>
    <s v="30-50"/>
    <n v="118"/>
    <m/>
    <m/>
    <m/>
    <x v="0"/>
    <m/>
    <n v="12"/>
  </r>
  <r>
    <n v="2281"/>
    <n v="1970"/>
    <x v="0"/>
    <x v="0"/>
    <n v="33697"/>
    <n v="1"/>
    <d v="1899-12-30T00:00:00"/>
    <d v="2013-09-15T00:00:00"/>
    <n v="34"/>
    <n v="3"/>
    <n v="3"/>
    <n v="3"/>
    <n v="2"/>
    <n v="56"/>
    <s v="&gt;50"/>
    <n v="5"/>
    <m/>
    <m/>
    <m/>
    <x v="1"/>
    <m/>
    <n v="13"/>
  </r>
  <r>
    <n v="4073"/>
    <n v="1954"/>
    <x v="4"/>
    <x v="2"/>
    <n v="63564"/>
    <n v="0"/>
    <d v="1899-12-30T00:00:00"/>
    <d v="2014-01-29T00:00:00"/>
    <n v="0"/>
    <n v="80"/>
    <n v="34"/>
    <n v="34"/>
    <n v="7"/>
    <n v="72"/>
    <s v="&gt;50"/>
    <n v="41"/>
    <m/>
    <m/>
    <m/>
    <x v="0"/>
    <m/>
    <n v="12"/>
  </r>
  <r>
    <n v="6974"/>
    <n v="1972"/>
    <x v="1"/>
    <x v="1"/>
    <n v="83443"/>
    <n v="0"/>
    <d v="1899-12-30T00:00:00"/>
    <d v="2013-12-31T00:00:00"/>
    <n v="89"/>
    <n v="42"/>
    <n v="56"/>
    <n v="56"/>
    <n v="5"/>
    <n v="54"/>
    <s v="&gt;50"/>
    <n v="61"/>
    <m/>
    <m/>
    <m/>
    <x v="3"/>
    <m/>
    <n v="13"/>
  </r>
  <r>
    <n v="7938"/>
    <n v="1958"/>
    <x v="1"/>
    <x v="1"/>
    <n v="51518"/>
    <n v="0"/>
    <d v="1899-12-31T00:00:00"/>
    <d v="2013-10-03T00:00:00"/>
    <n v="92"/>
    <n v="8"/>
    <n v="4"/>
    <n v="4"/>
    <n v="10"/>
    <n v="68"/>
    <s v="&gt;50"/>
    <n v="14"/>
    <m/>
    <m/>
    <m/>
    <x v="0"/>
    <m/>
    <n v="13"/>
  </r>
  <r>
    <n v="7094"/>
    <n v="1975"/>
    <x v="0"/>
    <x v="4"/>
    <n v="58330"/>
    <n v="0"/>
    <d v="1899-12-31T00:00:00"/>
    <d v="2013-12-25T00:00:00"/>
    <n v="87"/>
    <n v="53"/>
    <n v="98"/>
    <n v="98"/>
    <n v="13"/>
    <n v="51"/>
    <s v="&gt;50"/>
    <n v="111"/>
    <m/>
    <m/>
    <m/>
    <x v="0"/>
    <m/>
    <n v="13"/>
  </r>
  <r>
    <n v="3667"/>
    <n v="1969"/>
    <x v="0"/>
    <x v="2"/>
    <n v="80952"/>
    <n v="0"/>
    <d v="1899-12-30T00:00:00"/>
    <d v="2013-02-28T00:00:00"/>
    <n v="20"/>
    <n v="178"/>
    <n v="27"/>
    <n v="27"/>
    <n v="11"/>
    <n v="57"/>
    <s v="&gt;50"/>
    <n v="38"/>
    <m/>
    <m/>
    <m/>
    <x v="3"/>
    <m/>
    <n v="13"/>
  </r>
  <r>
    <n v="7723"/>
    <n v="1979"/>
    <x v="0"/>
    <x v="1"/>
    <n v="75507"/>
    <n v="0"/>
    <d v="1899-12-30T00:00:00"/>
    <d v="2014-05-02T00:00:00"/>
    <n v="56"/>
    <n v="93"/>
    <n v="80"/>
    <n v="80"/>
    <n v="6"/>
    <n v="47"/>
    <s v="30-50"/>
    <n v="86"/>
    <m/>
    <m/>
    <m/>
    <x v="3"/>
    <m/>
    <n v="12"/>
  </r>
  <r>
    <n v="3870"/>
    <n v="1978"/>
    <x v="4"/>
    <x v="1"/>
    <n v="63855"/>
    <n v="0"/>
    <d v="1899-12-30T00:00:00"/>
    <d v="2013-02-09T00:00:00"/>
    <n v="28"/>
    <n v="35"/>
    <n v="116"/>
    <n v="116"/>
    <n v="13"/>
    <n v="48"/>
    <s v="30-50"/>
    <n v="129"/>
    <m/>
    <m/>
    <m/>
    <x v="0"/>
    <m/>
    <n v="13"/>
  </r>
  <r>
    <n v="4012"/>
    <n v="1972"/>
    <x v="1"/>
    <x v="1"/>
    <n v="62220"/>
    <n v="0"/>
    <d v="1899-12-31T00:00:00"/>
    <d v="2012-08-11T00:00:00"/>
    <n v="55"/>
    <n v="12"/>
    <n v="12"/>
    <n v="12"/>
    <n v="5"/>
    <n v="54"/>
    <s v="&gt;50"/>
    <n v="17"/>
    <m/>
    <m/>
    <m/>
    <x v="0"/>
    <m/>
    <n v="14"/>
  </r>
  <r>
    <n v="5909"/>
    <n v="1964"/>
    <x v="0"/>
    <x v="2"/>
    <n v="58512"/>
    <n v="0"/>
    <d v="1899-12-31T00:00:00"/>
    <d v="2013-09-19T00:00:00"/>
    <n v="25"/>
    <n v="10"/>
    <n v="0"/>
    <n v="0"/>
    <n v="8"/>
    <n v="62"/>
    <s v="&gt;50"/>
    <n v="8"/>
    <m/>
    <m/>
    <m/>
    <x v="0"/>
    <m/>
    <n v="13"/>
  </r>
  <r>
    <n v="10470"/>
    <n v="1979"/>
    <x v="2"/>
    <x v="2"/>
    <n v="40662"/>
    <n v="1"/>
    <d v="1899-12-30T00:00:00"/>
    <d v="2013-03-15T00:00:00"/>
    <n v="0"/>
    <n v="2"/>
    <n v="4"/>
    <n v="4"/>
    <n v="3"/>
    <n v="47"/>
    <s v="30-50"/>
    <n v="7"/>
    <m/>
    <m/>
    <m/>
    <x v="1"/>
    <m/>
    <n v="13"/>
  </r>
  <r>
    <n v="6488"/>
    <n v="1959"/>
    <x v="1"/>
    <x v="2"/>
    <n v="38829"/>
    <n v="0"/>
    <d v="1899-12-31T00:00:00"/>
    <d v="2014-04-06T00:00:00"/>
    <n v="86"/>
    <n v="0"/>
    <n v="0"/>
    <n v="0"/>
    <n v="2"/>
    <n v="67"/>
    <s v="&gt;50"/>
    <n v="2"/>
    <m/>
    <m/>
    <m/>
    <x v="1"/>
    <m/>
    <n v="12"/>
  </r>
  <r>
    <n v="10270"/>
    <n v="1981"/>
    <x v="4"/>
    <x v="2"/>
    <n v="35523"/>
    <n v="1"/>
    <d v="1899-12-30T00:00:00"/>
    <d v="2013-10-03T00:00:00"/>
    <n v="8"/>
    <n v="5"/>
    <n v="5"/>
    <n v="5"/>
    <n v="3"/>
    <n v="45"/>
    <s v="30-50"/>
    <n v="8"/>
    <m/>
    <m/>
    <m/>
    <x v="1"/>
    <m/>
    <n v="13"/>
  </r>
  <r>
    <n v="6887"/>
    <n v="1967"/>
    <x v="0"/>
    <x v="0"/>
    <n v="79146"/>
    <n v="1"/>
    <d v="1899-12-31T00:00:00"/>
    <d v="2014-04-24T00:00:00"/>
    <n v="33"/>
    <n v="16"/>
    <n v="43"/>
    <n v="43"/>
    <n v="8"/>
    <n v="59"/>
    <s v="&gt;50"/>
    <n v="51"/>
    <m/>
    <m/>
    <m/>
    <x v="3"/>
    <m/>
    <n v="12"/>
  </r>
  <r>
    <n v="6406"/>
    <n v="1988"/>
    <x v="2"/>
    <x v="2"/>
    <n v="78285"/>
    <n v="0"/>
    <d v="1899-12-30T00:00:00"/>
    <d v="2013-10-28T00:00:00"/>
    <n v="13"/>
    <n v="107"/>
    <n v="67"/>
    <n v="67"/>
    <n v="10"/>
    <n v="38"/>
    <s v="30-50"/>
    <n v="77"/>
    <m/>
    <m/>
    <m/>
    <x v="3"/>
    <m/>
    <n v="13"/>
  </r>
  <r>
    <n v="7573"/>
    <n v="1978"/>
    <x v="1"/>
    <x v="0"/>
    <n v="31626"/>
    <n v="1"/>
    <d v="1899-12-30T00:00:00"/>
    <d v="2013-05-10T00:00:00"/>
    <n v="12"/>
    <n v="1"/>
    <n v="1"/>
    <n v="1"/>
    <n v="2"/>
    <n v="48"/>
    <s v="30-50"/>
    <n v="3"/>
    <m/>
    <m/>
    <m/>
    <x v="1"/>
    <m/>
    <n v="13"/>
  </r>
  <r>
    <n v="4508"/>
    <n v="1952"/>
    <x v="0"/>
    <x v="0"/>
    <n v="75127"/>
    <n v="0"/>
    <d v="1899-12-30T00:00:00"/>
    <d v="2014-05-22T00:00:00"/>
    <n v="92"/>
    <n v="35"/>
    <n v="17"/>
    <n v="17"/>
    <n v="5"/>
    <n v="74"/>
    <s v="&gt;50"/>
    <n v="22"/>
    <m/>
    <m/>
    <m/>
    <x v="3"/>
    <m/>
    <n v="12"/>
  </r>
  <r>
    <n v="221"/>
    <n v="1955"/>
    <x v="0"/>
    <x v="2"/>
    <n v="48726"/>
    <n v="0"/>
    <d v="1899-12-31T00:00:00"/>
    <d v="2013-04-27T00:00:00"/>
    <n v="90"/>
    <n v="3"/>
    <n v="0"/>
    <n v="0"/>
    <n v="4"/>
    <n v="71"/>
    <s v="&gt;50"/>
    <n v="4"/>
    <m/>
    <m/>
    <m/>
    <x v="1"/>
    <m/>
    <n v="13"/>
  </r>
  <r>
    <n v="5331"/>
    <n v="1977"/>
    <x v="0"/>
    <x v="2"/>
    <n v="74985"/>
    <n v="0"/>
    <d v="1899-12-30T00:00:00"/>
    <d v="2012-09-11T00:00:00"/>
    <n v="8"/>
    <n v="51"/>
    <n v="0"/>
    <n v="0"/>
    <n v="7"/>
    <n v="49"/>
    <s v="30-50"/>
    <n v="7"/>
    <m/>
    <m/>
    <m/>
    <x v="0"/>
    <m/>
    <n v="14"/>
  </r>
  <r>
    <n v="1911"/>
    <n v="1987"/>
    <x v="0"/>
    <x v="1"/>
    <n v="67430"/>
    <n v="0"/>
    <d v="1899-12-30T00:00:00"/>
    <d v="2012-09-05T00:00:00"/>
    <n v="6"/>
    <n v="97"/>
    <n v="133"/>
    <n v="133"/>
    <n v="12"/>
    <n v="39"/>
    <s v="30-50"/>
    <n v="145"/>
    <m/>
    <m/>
    <m/>
    <x v="0"/>
    <m/>
    <n v="14"/>
  </r>
  <r>
    <n v="20"/>
    <n v="1965"/>
    <x v="4"/>
    <x v="2"/>
    <n v="46891"/>
    <n v="0"/>
    <d v="1899-12-31T00:00:00"/>
    <d v="2013-09-01T00:00:00"/>
    <n v="91"/>
    <n v="12"/>
    <n v="15"/>
    <n v="15"/>
    <n v="4"/>
    <n v="61"/>
    <s v="&gt;50"/>
    <n v="19"/>
    <m/>
    <m/>
    <m/>
    <x v="1"/>
    <m/>
    <n v="13"/>
  </r>
  <r>
    <n v="8786"/>
    <n v="1956"/>
    <x v="2"/>
    <x v="2"/>
    <n v="62058"/>
    <n v="0"/>
    <d v="1899-12-31T00:00:00"/>
    <d v="2013-05-26T00:00:00"/>
    <n v="52"/>
    <n v="7"/>
    <n v="0"/>
    <n v="0"/>
    <n v="7"/>
    <n v="70"/>
    <s v="&gt;50"/>
    <n v="7"/>
    <m/>
    <m/>
    <m/>
    <x v="0"/>
    <m/>
    <n v="13"/>
  </r>
  <r>
    <n v="10582"/>
    <n v="1979"/>
    <x v="0"/>
    <x v="2"/>
    <n v="72063"/>
    <n v="0"/>
    <d v="1899-12-31T00:00:00"/>
    <d v="2013-07-03T00:00:00"/>
    <n v="3"/>
    <n v="32"/>
    <n v="32"/>
    <n v="32"/>
    <n v="12"/>
    <n v="47"/>
    <s v="30-50"/>
    <n v="44"/>
    <m/>
    <m/>
    <m/>
    <x v="0"/>
    <m/>
    <n v="13"/>
  </r>
  <r>
    <n v="1915"/>
    <n v="1951"/>
    <x v="1"/>
    <x v="2"/>
    <n v="78939"/>
    <n v="0"/>
    <d v="1899-12-30T00:00:00"/>
    <d v="2013-12-12T00:00:00"/>
    <n v="57"/>
    <n v="115"/>
    <n v="0"/>
    <n v="0"/>
    <n v="6"/>
    <n v="75"/>
    <s v="&gt;50"/>
    <n v="6"/>
    <m/>
    <m/>
    <m/>
    <x v="3"/>
    <m/>
    <n v="13"/>
  </r>
  <r>
    <n v="8897"/>
    <n v="1965"/>
    <x v="0"/>
    <x v="0"/>
    <n v="42720"/>
    <n v="1"/>
    <d v="1899-12-31T00:00:00"/>
    <d v="2013-04-24T00:00:00"/>
    <n v="9"/>
    <n v="5"/>
    <n v="26"/>
    <n v="26"/>
    <n v="7"/>
    <n v="61"/>
    <s v="&gt;50"/>
    <n v="33"/>
    <m/>
    <m/>
    <m/>
    <x v="1"/>
    <m/>
    <n v="13"/>
  </r>
  <r>
    <n v="2371"/>
    <n v="1972"/>
    <x v="0"/>
    <x v="2"/>
    <n v="33622"/>
    <n v="1"/>
    <d v="1899-12-31T00:00:00"/>
    <d v="2013-04-13T00:00:00"/>
    <n v="22"/>
    <n v="1"/>
    <n v="4"/>
    <n v="4"/>
    <n v="4"/>
    <n v="54"/>
    <s v="&gt;50"/>
    <n v="8"/>
    <m/>
    <m/>
    <m/>
    <x v="1"/>
    <m/>
    <n v="13"/>
  </r>
  <r>
    <n v="4303"/>
    <n v="1957"/>
    <x v="1"/>
    <x v="1"/>
    <n v="6835"/>
    <n v="0"/>
    <d v="1899-12-31T00:00:00"/>
    <d v="2012-12-08T00:00:00"/>
    <n v="76"/>
    <n v="2"/>
    <n v="2"/>
    <n v="2"/>
    <n v="1"/>
    <n v="69"/>
    <s v="&gt;50"/>
    <n v="3"/>
    <m/>
    <m/>
    <m/>
    <x v="2"/>
    <m/>
    <n v="14"/>
  </r>
  <r>
    <n v="6825"/>
    <n v="1953"/>
    <x v="0"/>
    <x v="1"/>
    <n v="41452"/>
    <n v="1"/>
    <d v="1899-12-31T00:00:00"/>
    <d v="2013-03-06T00:00:00"/>
    <n v="86"/>
    <n v="0"/>
    <n v="0"/>
    <n v="0"/>
    <n v="2"/>
    <n v="73"/>
    <s v="&gt;50"/>
    <n v="2"/>
    <m/>
    <m/>
    <m/>
    <x v="1"/>
    <m/>
    <n v="13"/>
  </r>
  <r>
    <n v="1072"/>
    <n v="1965"/>
    <x v="1"/>
    <x v="0"/>
    <n v="40760"/>
    <n v="0"/>
    <d v="1899-12-31T00:00:00"/>
    <d v="2013-08-30T00:00:00"/>
    <n v="64"/>
    <n v="0"/>
    <n v="0"/>
    <n v="0"/>
    <n v="3"/>
    <n v="61"/>
    <s v="&gt;50"/>
    <n v="3"/>
    <m/>
    <m/>
    <m/>
    <x v="1"/>
    <m/>
    <n v="13"/>
  </r>
  <r>
    <n v="4964"/>
    <n v="1958"/>
    <x v="1"/>
    <x v="1"/>
    <n v="74250"/>
    <n v="0"/>
    <d v="1899-12-30T00:00:00"/>
    <d v="2014-01-26T00:00:00"/>
    <n v="90"/>
    <n v="11"/>
    <n v="0"/>
    <n v="0"/>
    <n v="4"/>
    <n v="68"/>
    <s v="&gt;50"/>
    <n v="4"/>
    <m/>
    <m/>
    <m/>
    <x v="0"/>
    <m/>
    <n v="12"/>
  </r>
  <r>
    <n v="2461"/>
    <n v="1955"/>
    <x v="2"/>
    <x v="0"/>
    <n v="51124"/>
    <n v="1"/>
    <d v="1899-12-31T00:00:00"/>
    <d v="2013-12-18T00:00:00"/>
    <n v="79"/>
    <n v="1"/>
    <n v="1"/>
    <n v="1"/>
    <n v="3"/>
    <n v="71"/>
    <s v="&gt;50"/>
    <n v="4"/>
    <m/>
    <m/>
    <m/>
    <x v="0"/>
    <m/>
    <n v="13"/>
  </r>
  <r>
    <n v="10736"/>
    <n v="1971"/>
    <x v="0"/>
    <x v="0"/>
    <n v="72258"/>
    <n v="0"/>
    <d v="1899-12-31T00:00:00"/>
    <d v="2013-09-12T00:00:00"/>
    <n v="28"/>
    <n v="0"/>
    <n v="120"/>
    <n v="120"/>
    <n v="5"/>
    <n v="55"/>
    <s v="&gt;50"/>
    <n v="125"/>
    <m/>
    <m/>
    <m/>
    <x v="0"/>
    <m/>
    <n v="13"/>
  </r>
  <r>
    <n v="3194"/>
    <n v="1974"/>
    <x v="1"/>
    <x v="0"/>
    <n v="71466"/>
    <n v="0"/>
    <d v="1899-12-30T00:00:00"/>
    <d v="2014-04-05T00:00:00"/>
    <n v="86"/>
    <n v="12"/>
    <n v="182"/>
    <n v="182"/>
    <n v="10"/>
    <n v="52"/>
    <s v="&gt;50"/>
    <n v="192"/>
    <m/>
    <m/>
    <m/>
    <x v="0"/>
    <m/>
    <n v="12"/>
  </r>
  <r>
    <n v="10839"/>
    <n v="1976"/>
    <x v="0"/>
    <x v="1"/>
    <n v="36283"/>
    <n v="1"/>
    <d v="1899-12-31T00:00:00"/>
    <d v="2014-04-14T00:00:00"/>
    <n v="42"/>
    <n v="5"/>
    <n v="0"/>
    <n v="0"/>
    <n v="3"/>
    <n v="50"/>
    <s v="30-50"/>
    <n v="3"/>
    <m/>
    <m/>
    <m/>
    <x v="1"/>
    <m/>
    <n v="12"/>
  </r>
  <r>
    <n v="49"/>
    <n v="1970"/>
    <x v="0"/>
    <x v="0"/>
    <n v="20587"/>
    <n v="1"/>
    <d v="1899-12-30T00:00:00"/>
    <d v="2014-05-11T00:00:00"/>
    <n v="39"/>
    <n v="3"/>
    <n v="1"/>
    <n v="1"/>
    <n v="2"/>
    <n v="56"/>
    <s v="&gt;50"/>
    <n v="3"/>
    <m/>
    <m/>
    <m/>
    <x v="2"/>
    <m/>
    <n v="12"/>
  </r>
  <r>
    <n v="4290"/>
    <n v="1972"/>
    <x v="0"/>
    <x v="2"/>
    <n v="30467"/>
    <n v="1"/>
    <d v="1899-12-30T00:00:00"/>
    <d v="2014-03-19T00:00:00"/>
    <n v="8"/>
    <n v="3"/>
    <n v="5"/>
    <n v="5"/>
    <n v="2"/>
    <n v="54"/>
    <s v="&gt;50"/>
    <n v="7"/>
    <m/>
    <m/>
    <m/>
    <x v="1"/>
    <m/>
    <n v="12"/>
  </r>
  <r>
    <n v="10219"/>
    <n v="1972"/>
    <x v="0"/>
    <x v="1"/>
    <n v="31590"/>
    <n v="1"/>
    <d v="1899-12-30T00:00:00"/>
    <d v="2013-06-18T00:00:00"/>
    <n v="40"/>
    <n v="2"/>
    <n v="6"/>
    <n v="6"/>
    <n v="3"/>
    <n v="54"/>
    <s v="&gt;50"/>
    <n v="9"/>
    <m/>
    <m/>
    <m/>
    <x v="1"/>
    <m/>
    <n v="13"/>
  </r>
  <r>
    <n v="4211"/>
    <n v="1986"/>
    <x v="3"/>
    <x v="2"/>
    <n v="20425"/>
    <n v="1"/>
    <d v="1899-12-30T00:00:00"/>
    <d v="2012-10-29T00:00:00"/>
    <n v="5"/>
    <n v="12"/>
    <n v="16"/>
    <n v="16"/>
    <n v="3"/>
    <n v="40"/>
    <s v="30-50"/>
    <n v="19"/>
    <m/>
    <m/>
    <m/>
    <x v="2"/>
    <m/>
    <n v="14"/>
  </r>
  <r>
    <n v="1135"/>
    <n v="1960"/>
    <x v="2"/>
    <x v="1"/>
    <n v="17144"/>
    <n v="1"/>
    <d v="1899-12-31T00:00:00"/>
    <d v="2014-02-15T00:00:00"/>
    <n v="96"/>
    <n v="2"/>
    <n v="2"/>
    <n v="2"/>
    <n v="4"/>
    <n v="66"/>
    <s v="&gt;50"/>
    <n v="6"/>
    <m/>
    <m/>
    <m/>
    <x v="2"/>
    <m/>
    <n v="12"/>
  </r>
  <r>
    <n v="6299"/>
    <n v="1968"/>
    <x v="1"/>
    <x v="3"/>
    <n v="42564"/>
    <n v="0"/>
    <d v="1899-12-31T00:00:00"/>
    <d v="2013-01-02T00:00:00"/>
    <n v="28"/>
    <n v="48"/>
    <n v="18"/>
    <n v="18"/>
    <n v="4"/>
    <n v="58"/>
    <s v="&gt;50"/>
    <n v="22"/>
    <m/>
    <m/>
    <m/>
    <x v="1"/>
    <m/>
    <n v="13"/>
  </r>
  <r>
    <n v="10846"/>
    <n v="1978"/>
    <x v="2"/>
    <x v="2"/>
    <n v="43783"/>
    <n v="1"/>
    <d v="1899-12-30T00:00:00"/>
    <d v="2014-05-29T00:00:00"/>
    <n v="22"/>
    <n v="9"/>
    <n v="4"/>
    <n v="4"/>
    <n v="8"/>
    <n v="48"/>
    <s v="30-50"/>
    <n v="12"/>
    <m/>
    <m/>
    <m/>
    <x v="1"/>
    <m/>
    <n v="12"/>
  </r>
  <r>
    <n v="347"/>
    <n v="1976"/>
    <x v="0"/>
    <x v="3"/>
    <n v="40780"/>
    <n v="0"/>
    <d v="1899-12-31T00:00:00"/>
    <d v="2012-09-08T00:00:00"/>
    <n v="30"/>
    <n v="27"/>
    <n v="3"/>
    <n v="3"/>
    <n v="5"/>
    <n v="50"/>
    <s v="30-50"/>
    <n v="8"/>
    <m/>
    <m/>
    <m/>
    <x v="1"/>
    <m/>
    <n v="14"/>
  </r>
  <r>
    <n v="6543"/>
    <n v="1945"/>
    <x v="2"/>
    <x v="1"/>
    <n v="62847"/>
    <n v="0"/>
    <d v="1899-12-30T00:00:00"/>
    <d v="2013-01-15T00:00:00"/>
    <n v="45"/>
    <n v="168"/>
    <n v="76"/>
    <n v="76"/>
    <n v="4"/>
    <n v="81"/>
    <s v="&gt;50"/>
    <n v="80"/>
    <m/>
    <m/>
    <m/>
    <x v="0"/>
    <m/>
    <n v="13"/>
  </r>
  <r>
    <n v="10446"/>
    <n v="1957"/>
    <x v="1"/>
    <x v="2"/>
    <n v="82017"/>
    <n v="0"/>
    <d v="1899-12-30T00:00:00"/>
    <d v="2012-11-07T00:00:00"/>
    <n v="58"/>
    <n v="23"/>
    <n v="23"/>
    <n v="23"/>
    <n v="7"/>
    <n v="69"/>
    <s v="&gt;50"/>
    <n v="30"/>
    <m/>
    <m/>
    <m/>
    <x v="3"/>
    <m/>
    <n v="14"/>
  </r>
  <r>
    <n v="3479"/>
    <n v="1950"/>
    <x v="0"/>
    <x v="0"/>
    <n v="16813"/>
    <n v="0"/>
    <d v="1899-12-30T00:00:00"/>
    <d v="2013-07-19T00:00:00"/>
    <n v="49"/>
    <n v="8"/>
    <n v="2"/>
    <n v="2"/>
    <n v="3"/>
    <n v="76"/>
    <s v="&gt;50"/>
    <n v="5"/>
    <m/>
    <m/>
    <m/>
    <x v="2"/>
    <m/>
    <n v="13"/>
  </r>
  <r>
    <n v="11075"/>
    <n v="1978"/>
    <x v="0"/>
    <x v="2"/>
    <n v="51267"/>
    <n v="1"/>
    <d v="1899-12-31T00:00:00"/>
    <d v="2013-10-29T00:00:00"/>
    <n v="37"/>
    <n v="2"/>
    <n v="2"/>
    <n v="2"/>
    <n v="5"/>
    <n v="48"/>
    <s v="30-50"/>
    <n v="7"/>
    <m/>
    <m/>
    <m/>
    <x v="0"/>
    <m/>
    <n v="13"/>
  </r>
  <r>
    <n v="4442"/>
    <n v="1961"/>
    <x v="0"/>
    <x v="0"/>
    <n v="46524"/>
    <n v="0"/>
    <d v="1899-12-31T00:00:00"/>
    <d v="2013-04-05T00:00:00"/>
    <n v="70"/>
    <n v="19"/>
    <n v="14"/>
    <n v="14"/>
    <n v="5"/>
    <n v="65"/>
    <s v="&gt;50"/>
    <n v="19"/>
    <m/>
    <m/>
    <m/>
    <x v="1"/>
    <m/>
    <n v="13"/>
  </r>
  <r>
    <n v="199"/>
    <n v="1962"/>
    <x v="2"/>
    <x v="0"/>
    <n v="45183"/>
    <n v="0"/>
    <d v="1899-12-30T00:00:00"/>
    <d v="2013-01-20T00:00:00"/>
    <n v="33"/>
    <n v="3"/>
    <n v="9"/>
    <n v="9"/>
    <n v="7"/>
    <n v="64"/>
    <s v="&gt;50"/>
    <n v="16"/>
    <m/>
    <m/>
    <m/>
    <x v="1"/>
    <m/>
    <n v="13"/>
  </r>
  <r>
    <n v="6722"/>
    <n v="1954"/>
    <x v="1"/>
    <x v="2"/>
    <n v="70421"/>
    <n v="0"/>
    <d v="1899-12-31T00:00:00"/>
    <d v="2014-06-28T00:00:00"/>
    <n v="98"/>
    <n v="28"/>
    <n v="14"/>
    <n v="14"/>
    <n v="7"/>
    <n v="72"/>
    <s v="&gt;50"/>
    <n v="21"/>
    <m/>
    <m/>
    <m/>
    <x v="0"/>
    <m/>
    <n v="12"/>
  </r>
  <r>
    <n v="796"/>
    <n v="1965"/>
    <x v="4"/>
    <x v="3"/>
    <n v="60161"/>
    <n v="0"/>
    <d v="1899-12-31T00:00:00"/>
    <d v="2012-10-23T00:00:00"/>
    <n v="17"/>
    <n v="44"/>
    <n v="8"/>
    <n v="8"/>
    <n v="8"/>
    <n v="61"/>
    <s v="&gt;50"/>
    <n v="16"/>
    <m/>
    <m/>
    <m/>
    <x v="0"/>
    <m/>
    <n v="14"/>
  </r>
  <r>
    <n v="3749"/>
    <n v="1973"/>
    <x v="0"/>
    <x v="1"/>
    <n v="73926"/>
    <n v="0"/>
    <d v="1899-12-30T00:00:00"/>
    <d v="2013-03-02T00:00:00"/>
    <n v="54"/>
    <n v="91"/>
    <n v="91"/>
    <n v="91"/>
    <n v="12"/>
    <n v="53"/>
    <s v="&gt;50"/>
    <n v="103"/>
    <m/>
    <m/>
    <m/>
    <x v="0"/>
    <m/>
    <n v="13"/>
  </r>
  <r>
    <n v="8523"/>
    <n v="1968"/>
    <x v="0"/>
    <x v="2"/>
    <n v="19329"/>
    <n v="1"/>
    <d v="1899-12-30T00:00:00"/>
    <d v="2013-12-14T00:00:00"/>
    <n v="39"/>
    <n v="1"/>
    <n v="2"/>
    <n v="2"/>
    <n v="3"/>
    <n v="58"/>
    <s v="&gt;50"/>
    <n v="5"/>
    <m/>
    <m/>
    <m/>
    <x v="2"/>
    <m/>
    <n v="13"/>
  </r>
  <r>
    <n v="310"/>
    <n v="1970"/>
    <x v="2"/>
    <x v="2"/>
    <n v="61872"/>
    <n v="0"/>
    <d v="1899-12-31T00:00:00"/>
    <d v="2013-12-13T00:00:00"/>
    <n v="81"/>
    <n v="5"/>
    <n v="27"/>
    <n v="27"/>
    <n v="9"/>
    <n v="56"/>
    <s v="&gt;50"/>
    <n v="36"/>
    <m/>
    <m/>
    <m/>
    <x v="0"/>
    <m/>
    <n v="13"/>
  </r>
  <r>
    <n v="8629"/>
    <n v="1956"/>
    <x v="0"/>
    <x v="4"/>
    <n v="46984"/>
    <n v="1"/>
    <d v="1899-12-31T00:00:00"/>
    <d v="2013-03-26T00:00:00"/>
    <n v="71"/>
    <n v="1"/>
    <n v="1"/>
    <n v="1"/>
    <n v="3"/>
    <n v="70"/>
    <s v="&gt;50"/>
    <n v="4"/>
    <m/>
    <m/>
    <m/>
    <x v="1"/>
    <m/>
    <n v="13"/>
  </r>
  <r>
    <n v="236"/>
    <n v="1951"/>
    <x v="0"/>
    <x v="2"/>
    <n v="34838"/>
    <n v="1"/>
    <d v="1899-12-31T00:00:00"/>
    <d v="2013-01-19T00:00:00"/>
    <n v="62"/>
    <n v="23"/>
    <n v="14"/>
    <n v="14"/>
    <n v="4"/>
    <n v="75"/>
    <s v="&gt;50"/>
    <n v="18"/>
    <m/>
    <m/>
    <m/>
    <x v="1"/>
    <m/>
    <n v="13"/>
  </r>
  <r>
    <n v="9930"/>
    <n v="1944"/>
    <x v="1"/>
    <x v="0"/>
    <n v="82716"/>
    <n v="0"/>
    <d v="1899-12-30T00:00:00"/>
    <d v="2013-11-05T00:00:00"/>
    <n v="8"/>
    <n v="148"/>
    <n v="148"/>
    <n v="148"/>
    <n v="13"/>
    <n v="82"/>
    <s v="&gt;50"/>
    <n v="161"/>
    <m/>
    <m/>
    <m/>
    <x v="3"/>
    <m/>
    <n v="13"/>
  </r>
  <r>
    <n v="3483"/>
    <n v="1958"/>
    <x v="0"/>
    <x v="2"/>
    <n v="48192"/>
    <n v="0"/>
    <d v="1899-12-30T00:00:00"/>
    <d v="2013-04-06T00:00:00"/>
    <n v="76"/>
    <n v="43"/>
    <n v="58"/>
    <n v="58"/>
    <n v="12"/>
    <n v="68"/>
    <s v="&gt;50"/>
    <n v="70"/>
    <m/>
    <m/>
    <m/>
    <x v="1"/>
    <m/>
    <n v="13"/>
  </r>
  <r>
    <n v="4599"/>
    <n v="1976"/>
    <x v="2"/>
    <x v="2"/>
    <n v="49681"/>
    <n v="0"/>
    <d v="1900-01-01T00:00:00"/>
    <d v="2013-11-04T00:00:00"/>
    <n v="66"/>
    <n v="0"/>
    <n v="0"/>
    <n v="0"/>
    <n v="7"/>
    <n v="50"/>
    <s v="30-50"/>
    <n v="7"/>
    <m/>
    <m/>
    <m/>
    <x v="1"/>
    <m/>
    <n v="13"/>
  </r>
  <r>
    <n v="7326"/>
    <n v="1971"/>
    <x v="2"/>
    <x v="2"/>
    <n v="56850"/>
    <n v="0"/>
    <d v="1899-12-31T00:00:00"/>
    <d v="2014-03-23T00:00:00"/>
    <n v="83"/>
    <n v="1"/>
    <n v="7"/>
    <n v="7"/>
    <n v="3"/>
    <n v="55"/>
    <s v="&gt;50"/>
    <n v="10"/>
    <m/>
    <m/>
    <m/>
    <x v="0"/>
    <m/>
    <n v="12"/>
  </r>
  <r>
    <n v="7352"/>
    <n v="1957"/>
    <x v="0"/>
    <x v="2"/>
    <n v="55267"/>
    <n v="0"/>
    <d v="1899-12-31T00:00:00"/>
    <d v="2013-10-21T00:00:00"/>
    <n v="28"/>
    <n v="28"/>
    <n v="3"/>
    <n v="3"/>
    <n v="6"/>
    <n v="69"/>
    <s v="&gt;50"/>
    <n v="9"/>
    <m/>
    <m/>
    <m/>
    <x v="0"/>
    <m/>
    <n v="13"/>
  </r>
  <r>
    <n v="2350"/>
    <n v="1972"/>
    <x v="0"/>
    <x v="2"/>
    <n v="59666"/>
    <n v="1"/>
    <d v="1899-12-31T00:00:00"/>
    <d v="2013-03-22T00:00:00"/>
    <n v="87"/>
    <n v="53"/>
    <n v="17"/>
    <n v="17"/>
    <n v="8"/>
    <n v="54"/>
    <s v="&gt;50"/>
    <n v="25"/>
    <m/>
    <m/>
    <m/>
    <x v="0"/>
    <m/>
    <n v="13"/>
  </r>
  <r>
    <n v="9145"/>
    <n v="1972"/>
    <x v="0"/>
    <x v="0"/>
    <n v="72504"/>
    <n v="0"/>
    <d v="1899-12-31T00:00:00"/>
    <d v="2013-04-06T00:00:00"/>
    <n v="43"/>
    <n v="26"/>
    <n v="161"/>
    <n v="161"/>
    <n v="6"/>
    <n v="54"/>
    <s v="&gt;50"/>
    <n v="167"/>
    <m/>
    <m/>
    <m/>
    <x v="0"/>
    <m/>
    <n v="13"/>
  </r>
  <r>
    <n v="2964"/>
    <n v="1981"/>
    <x v="0"/>
    <x v="2"/>
    <n v="26872"/>
    <n v="0"/>
    <d v="1899-12-30T00:00:00"/>
    <d v="2013-10-16T00:00:00"/>
    <n v="0"/>
    <n v="10"/>
    <n v="16"/>
    <n v="16"/>
    <n v="2"/>
    <n v="45"/>
    <s v="30-50"/>
    <n v="18"/>
    <m/>
    <m/>
    <m/>
    <x v="2"/>
    <m/>
    <n v="13"/>
  </r>
  <r>
    <n v="5585"/>
    <n v="1972"/>
    <x v="0"/>
    <x v="0"/>
    <n v="21359"/>
    <n v="1"/>
    <d v="1899-12-30T00:00:00"/>
    <d v="2013-04-20T00:00:00"/>
    <n v="1"/>
    <n v="2"/>
    <n v="1"/>
    <n v="1"/>
    <n v="3"/>
    <n v="54"/>
    <s v="&gt;50"/>
    <n v="4"/>
    <m/>
    <m/>
    <m/>
    <x v="2"/>
    <m/>
    <n v="13"/>
  </r>
  <r>
    <n v="9687"/>
    <n v="1975"/>
    <x v="0"/>
    <x v="0"/>
    <n v="73170"/>
    <n v="0"/>
    <d v="1899-12-30T00:00:00"/>
    <d v="2014-05-31T00:00:00"/>
    <n v="1"/>
    <n v="174"/>
    <n v="30"/>
    <n v="30"/>
    <n v="6"/>
    <n v="51"/>
    <s v="&gt;50"/>
    <n v="36"/>
    <m/>
    <m/>
    <m/>
    <x v="0"/>
    <m/>
    <n v="12"/>
  </r>
  <r>
    <n v="3732"/>
    <n v="1955"/>
    <x v="2"/>
    <x v="2"/>
    <n v="52750"/>
    <n v="0"/>
    <d v="1899-12-31T00:00:00"/>
    <d v="2013-02-04T00:00:00"/>
    <n v="72"/>
    <n v="0"/>
    <n v="69"/>
    <n v="69"/>
    <n v="9"/>
    <n v="71"/>
    <s v="&gt;50"/>
    <n v="78"/>
    <m/>
    <m/>
    <m/>
    <x v="0"/>
    <m/>
    <n v="13"/>
  </r>
  <r>
    <n v="6303"/>
    <n v="1986"/>
    <x v="1"/>
    <x v="1"/>
    <n v="91820"/>
    <n v="0"/>
    <d v="1899-12-30T00:00:00"/>
    <d v="2013-11-23T00:00:00"/>
    <n v="72"/>
    <n v="73"/>
    <n v="161"/>
    <n v="161"/>
    <n v="12"/>
    <n v="40"/>
    <s v="30-50"/>
    <n v="173"/>
    <m/>
    <m/>
    <m/>
    <x v="3"/>
    <m/>
    <n v="13"/>
  </r>
  <r>
    <n v="11176"/>
    <n v="1970"/>
    <x v="1"/>
    <x v="1"/>
    <n v="65968"/>
    <n v="0"/>
    <d v="1899-12-31T00:00:00"/>
    <d v="2014-05-12T00:00:00"/>
    <n v="12"/>
    <n v="9"/>
    <n v="4"/>
    <n v="4"/>
    <n v="7"/>
    <n v="56"/>
    <s v="&gt;50"/>
    <n v="11"/>
    <m/>
    <m/>
    <m/>
    <x v="0"/>
    <m/>
    <n v="12"/>
  </r>
  <r>
    <n v="2986"/>
    <n v="1976"/>
    <x v="0"/>
    <x v="2"/>
    <n v="30772"/>
    <n v="1"/>
    <d v="1899-12-31T00:00:00"/>
    <d v="2014-03-12T00:00:00"/>
    <n v="89"/>
    <n v="2"/>
    <n v="1"/>
    <n v="1"/>
    <n v="2"/>
    <n v="50"/>
    <s v="30-50"/>
    <n v="3"/>
    <m/>
    <m/>
    <m/>
    <x v="1"/>
    <m/>
    <n v="12"/>
  </r>
  <r>
    <n v="7462"/>
    <n v="1954"/>
    <x v="0"/>
    <x v="0"/>
    <n v="22507"/>
    <n v="0"/>
    <d v="1899-12-30T00:00:00"/>
    <d v="2012-11-24T00:00:00"/>
    <n v="67"/>
    <n v="0"/>
    <n v="157"/>
    <n v="157"/>
    <n v="4"/>
    <n v="72"/>
    <s v="&gt;50"/>
    <n v="161"/>
    <m/>
    <m/>
    <m/>
    <x v="2"/>
    <m/>
    <n v="14"/>
  </r>
  <r>
    <n v="3900"/>
    <n v="1972"/>
    <x v="0"/>
    <x v="2"/>
    <n v="65685"/>
    <n v="0"/>
    <d v="1899-12-31T00:00:00"/>
    <d v="2014-03-29T00:00:00"/>
    <n v="54"/>
    <n v="14"/>
    <n v="7"/>
    <n v="7"/>
    <n v="9"/>
    <n v="54"/>
    <s v="&gt;50"/>
    <n v="16"/>
    <m/>
    <m/>
    <m/>
    <x v="0"/>
    <m/>
    <n v="12"/>
  </r>
  <r>
    <n v="7034"/>
    <n v="1978"/>
    <x v="4"/>
    <x v="2"/>
    <n v="25804"/>
    <n v="1"/>
    <d v="1899-12-30T00:00:00"/>
    <d v="2013-09-01T00:00:00"/>
    <n v="34"/>
    <n v="7"/>
    <n v="6"/>
    <n v="6"/>
    <n v="3"/>
    <n v="48"/>
    <s v="30-50"/>
    <n v="9"/>
    <m/>
    <m/>
    <m/>
    <x v="2"/>
    <m/>
    <n v="13"/>
  </r>
  <r>
    <n v="9493"/>
    <n v="1980"/>
    <x v="1"/>
    <x v="0"/>
    <n v="76412"/>
    <n v="0"/>
    <d v="1899-12-30T00:00:00"/>
    <d v="2013-05-05T00:00:00"/>
    <n v="15"/>
    <n v="53"/>
    <n v="71"/>
    <n v="71"/>
    <n v="8"/>
    <n v="46"/>
    <s v="30-50"/>
    <n v="79"/>
    <m/>
    <m/>
    <m/>
    <x v="3"/>
    <m/>
    <n v="13"/>
  </r>
  <r>
    <n v="1143"/>
    <n v="1972"/>
    <x v="0"/>
    <x v="2"/>
    <n v="22063"/>
    <n v="1"/>
    <d v="1899-12-30T00:00:00"/>
    <d v="2013-08-08T00:00:00"/>
    <n v="43"/>
    <n v="10"/>
    <n v="11"/>
    <n v="11"/>
    <n v="3"/>
    <n v="54"/>
    <s v="&gt;50"/>
    <n v="14"/>
    <m/>
    <m/>
    <m/>
    <x v="2"/>
    <m/>
    <n v="13"/>
  </r>
  <r>
    <n v="1"/>
    <n v="1961"/>
    <x v="0"/>
    <x v="0"/>
    <n v="57091"/>
    <n v="0"/>
    <d v="1899-12-30T00:00:00"/>
    <d v="2014-06-15T00:00:00"/>
    <n v="0"/>
    <n v="5"/>
    <n v="0"/>
    <n v="0"/>
    <n v="7"/>
    <n v="65"/>
    <s v="&gt;50"/>
    <n v="7"/>
    <m/>
    <m/>
    <m/>
    <x v="0"/>
    <m/>
    <n v="12"/>
  </r>
  <r>
    <n v="3855"/>
    <n v="1963"/>
    <x v="0"/>
    <x v="2"/>
    <n v="22419"/>
    <n v="0"/>
    <d v="1899-12-30T00:00:00"/>
    <d v="2013-04-18T00:00:00"/>
    <n v="74"/>
    <n v="3"/>
    <n v="21"/>
    <n v="21"/>
    <n v="2"/>
    <n v="63"/>
    <s v="&gt;50"/>
    <n v="23"/>
    <m/>
    <m/>
    <m/>
    <x v="2"/>
    <m/>
    <n v="13"/>
  </r>
  <r>
    <n v="5536"/>
    <n v="1959"/>
    <x v="0"/>
    <x v="1"/>
    <n v="87771"/>
    <n v="0"/>
    <d v="1899-12-31T00:00:00"/>
    <d v="2013-05-22T00:00:00"/>
    <n v="61"/>
    <n v="38"/>
    <n v="57"/>
    <n v="57"/>
    <n v="4"/>
    <n v="67"/>
    <s v="&gt;50"/>
    <n v="61"/>
    <m/>
    <m/>
    <m/>
    <x v="3"/>
    <m/>
    <n v="13"/>
  </r>
  <r>
    <n v="5989"/>
    <n v="1959"/>
    <x v="4"/>
    <x v="3"/>
    <n v="78353"/>
    <n v="0"/>
    <d v="1899-12-31T00:00:00"/>
    <d v="2013-04-16T00:00:00"/>
    <n v="51"/>
    <n v="122"/>
    <n v="153"/>
    <n v="153"/>
    <n v="11"/>
    <n v="67"/>
    <s v="&gt;50"/>
    <n v="164"/>
    <m/>
    <m/>
    <m/>
    <x v="3"/>
    <m/>
    <n v="13"/>
  </r>
  <r>
    <n v="9499"/>
    <n v="1954"/>
    <x v="0"/>
    <x v="2"/>
    <n v="93404"/>
    <n v="1"/>
    <d v="1900-01-01T00:00:00"/>
    <d v="2013-05-07T00:00:00"/>
    <n v="97"/>
    <n v="15"/>
    <n v="0"/>
    <n v="0"/>
    <n v="7"/>
    <n v="72"/>
    <s v="&gt;50"/>
    <n v="7"/>
    <m/>
    <m/>
    <m/>
    <x v="3"/>
    <m/>
    <n v="13"/>
  </r>
  <r>
    <n v="6768"/>
    <n v="1962"/>
    <x v="0"/>
    <x v="3"/>
    <n v="37859"/>
    <n v="1"/>
    <d v="1900-01-01T00:00:00"/>
    <d v="2013-01-12T00:00:00"/>
    <n v="75"/>
    <n v="1"/>
    <n v="1"/>
    <n v="1"/>
    <n v="3"/>
    <n v="64"/>
    <s v="&gt;50"/>
    <n v="4"/>
    <m/>
    <m/>
    <m/>
    <x v="1"/>
    <m/>
    <n v="13"/>
  </r>
  <r>
    <n v="2150"/>
    <n v="1958"/>
    <x v="1"/>
    <x v="4"/>
    <n v="80995"/>
    <n v="0"/>
    <d v="1899-12-31T00:00:00"/>
    <d v="2013-05-11T00:00:00"/>
    <n v="83"/>
    <n v="28"/>
    <n v="56"/>
    <n v="56"/>
    <n v="4"/>
    <n v="68"/>
    <s v="&gt;50"/>
    <n v="60"/>
    <m/>
    <m/>
    <m/>
    <x v="3"/>
    <m/>
    <n v="13"/>
  </r>
  <r>
    <n v="6646"/>
    <n v="1984"/>
    <x v="0"/>
    <x v="1"/>
    <n v="16529"/>
    <n v="1"/>
    <d v="1899-12-30T00:00:00"/>
    <d v="2014-03-01T00:00:00"/>
    <n v="23"/>
    <n v="0"/>
    <n v="0"/>
    <n v="0"/>
    <n v="3"/>
    <n v="42"/>
    <s v="30-50"/>
    <n v="3"/>
    <m/>
    <m/>
    <m/>
    <x v="2"/>
    <m/>
    <n v="12"/>
  </r>
  <r>
    <n v="4887"/>
    <n v="1976"/>
    <x v="1"/>
    <x v="3"/>
    <n v="55412"/>
    <n v="1"/>
    <d v="1899-12-31T00:00:00"/>
    <d v="2013-11-22T00:00:00"/>
    <n v="65"/>
    <n v="5"/>
    <n v="1"/>
    <n v="1"/>
    <n v="3"/>
    <n v="50"/>
    <s v="30-50"/>
    <n v="4"/>
    <m/>
    <m/>
    <m/>
    <x v="0"/>
    <m/>
    <n v="13"/>
  </r>
  <r>
    <n v="8560"/>
    <n v="1992"/>
    <x v="0"/>
    <x v="0"/>
    <n v="48789"/>
    <n v="0"/>
    <d v="1899-12-30T00:00:00"/>
    <d v="2012-09-10T00:00:00"/>
    <n v="94"/>
    <n v="16"/>
    <n v="5"/>
    <n v="5"/>
    <n v="7"/>
    <n v="34"/>
    <s v="30-50"/>
    <n v="12"/>
    <m/>
    <m/>
    <m/>
    <x v="1"/>
    <m/>
    <n v="14"/>
  </r>
  <r>
    <n v="3321"/>
    <n v="1967"/>
    <x v="1"/>
    <x v="1"/>
    <n v="56575"/>
    <n v="0"/>
    <d v="1900-01-01T00:00:00"/>
    <d v="2013-05-05T00:00:00"/>
    <n v="42"/>
    <n v="5"/>
    <n v="16"/>
    <n v="16"/>
    <n v="7"/>
    <n v="59"/>
    <s v="&gt;50"/>
    <n v="23"/>
    <m/>
    <m/>
    <m/>
    <x v="0"/>
    <m/>
    <n v="13"/>
  </r>
  <r>
    <n v="11003"/>
    <n v="1980"/>
    <x v="4"/>
    <x v="1"/>
    <n v="25130"/>
    <n v="1"/>
    <d v="1899-12-30T00:00:00"/>
    <d v="2013-10-02T00:00:00"/>
    <n v="10"/>
    <n v="5"/>
    <n v="18"/>
    <n v="18"/>
    <n v="3"/>
    <n v="46"/>
    <s v="30-50"/>
    <n v="21"/>
    <m/>
    <m/>
    <m/>
    <x v="2"/>
    <m/>
    <n v="13"/>
  </r>
  <r>
    <n v="10402"/>
    <n v="1967"/>
    <x v="0"/>
    <x v="2"/>
    <n v="35441"/>
    <n v="1"/>
    <d v="1899-12-31T00:00:00"/>
    <d v="2013-02-14T00:00:00"/>
    <n v="94"/>
    <n v="1"/>
    <n v="1"/>
    <n v="1"/>
    <n v="3"/>
    <n v="59"/>
    <s v="&gt;50"/>
    <n v="4"/>
    <m/>
    <m/>
    <m/>
    <x v="1"/>
    <m/>
    <n v="13"/>
  </r>
  <r>
    <n v="9904"/>
    <n v="1956"/>
    <x v="0"/>
    <x v="2"/>
    <n v="71391"/>
    <n v="0"/>
    <d v="1899-12-31T00:00:00"/>
    <d v="2013-03-29T00:00:00"/>
    <n v="50"/>
    <n v="123"/>
    <n v="123"/>
    <n v="123"/>
    <n v="12"/>
    <n v="70"/>
    <s v="&gt;50"/>
    <n v="135"/>
    <m/>
    <m/>
    <m/>
    <x v="0"/>
    <m/>
    <n v="13"/>
  </r>
  <r>
    <n v="6141"/>
    <n v="1972"/>
    <x v="2"/>
    <x v="0"/>
    <n v="49494"/>
    <n v="1"/>
    <d v="1899-12-30T00:00:00"/>
    <d v="2013-04-25T00:00:00"/>
    <n v="46"/>
    <n v="9"/>
    <n v="6"/>
    <n v="6"/>
    <n v="5"/>
    <n v="54"/>
    <s v="&gt;50"/>
    <n v="11"/>
    <m/>
    <m/>
    <m/>
    <x v="1"/>
    <m/>
    <n v="13"/>
  </r>
  <r>
    <n v="5687"/>
    <n v="1980"/>
    <x v="0"/>
    <x v="3"/>
    <n v="81702"/>
    <n v="0"/>
    <d v="1899-12-30T00:00:00"/>
    <d v="2012-09-23T00:00:00"/>
    <n v="98"/>
    <n v="50"/>
    <n v="31"/>
    <n v="31"/>
    <n v="12"/>
    <n v="46"/>
    <s v="30-50"/>
    <n v="43"/>
    <m/>
    <m/>
    <m/>
    <x v="3"/>
    <m/>
    <n v="14"/>
  </r>
  <r>
    <n v="10856"/>
    <n v="1980"/>
    <x v="4"/>
    <x v="0"/>
    <n v="45889"/>
    <n v="0"/>
    <d v="1899-12-31T00:00:00"/>
    <d v="2013-07-02T00:00:00"/>
    <n v="42"/>
    <n v="0"/>
    <n v="1"/>
    <n v="1"/>
    <n v="3"/>
    <n v="46"/>
    <s v="30-50"/>
    <n v="4"/>
    <m/>
    <m/>
    <m/>
    <x v="1"/>
    <m/>
    <n v="13"/>
  </r>
  <r>
    <n v="5121"/>
    <n v="1977"/>
    <x v="0"/>
    <x v="0"/>
    <n v="56628"/>
    <n v="0"/>
    <d v="1899-12-31T00:00:00"/>
    <d v="2014-03-21T00:00:00"/>
    <n v="30"/>
    <n v="5"/>
    <n v="17"/>
    <n v="17"/>
    <n v="5"/>
    <n v="49"/>
    <s v="30-50"/>
    <n v="22"/>
    <m/>
    <m/>
    <m/>
    <x v="0"/>
    <m/>
    <n v="12"/>
  </r>
  <r>
    <n v="4186"/>
    <n v="1950"/>
    <x v="0"/>
    <x v="1"/>
    <n v="34026"/>
    <n v="1"/>
    <d v="1899-12-31T00:00:00"/>
    <d v="2013-08-05T00:00:00"/>
    <n v="11"/>
    <n v="6"/>
    <n v="8"/>
    <n v="8"/>
    <n v="3"/>
    <n v="76"/>
    <s v="&gt;50"/>
    <n v="11"/>
    <m/>
    <m/>
    <m/>
    <x v="1"/>
    <m/>
    <n v="13"/>
  </r>
  <r>
    <n v="368"/>
    <n v="1974"/>
    <x v="0"/>
    <x v="2"/>
    <n v="40049"/>
    <n v="0"/>
    <d v="1899-12-31T00:00:00"/>
    <d v="2012-11-29T00:00:00"/>
    <n v="61"/>
    <n v="65"/>
    <n v="44"/>
    <n v="44"/>
    <n v="6"/>
    <n v="52"/>
    <s v="&gt;50"/>
    <n v="50"/>
    <m/>
    <m/>
    <m/>
    <x v="1"/>
    <m/>
    <n v="14"/>
  </r>
  <r>
    <n v="3312"/>
    <n v="1988"/>
    <x v="0"/>
    <x v="0"/>
    <n v="34176"/>
    <n v="1"/>
    <d v="1899-12-30T00:00:00"/>
    <d v="2014-05-12T00:00:00"/>
    <n v="12"/>
    <n v="7"/>
    <n v="14"/>
    <n v="14"/>
    <n v="4"/>
    <n v="38"/>
    <s v="30-50"/>
    <n v="18"/>
    <m/>
    <m/>
    <m/>
    <x v="1"/>
    <m/>
    <n v="12"/>
  </r>
  <r>
    <n v="11121"/>
    <n v="1981"/>
    <x v="0"/>
    <x v="2"/>
    <n v="19419"/>
    <n v="1"/>
    <d v="1899-12-30T00:00:00"/>
    <d v="2012-11-10T00:00:00"/>
    <n v="76"/>
    <n v="14"/>
    <n v="3"/>
    <n v="3"/>
    <n v="3"/>
    <n v="45"/>
    <s v="30-50"/>
    <n v="6"/>
    <m/>
    <m/>
    <m/>
    <x v="2"/>
    <m/>
    <n v="14"/>
  </r>
  <r>
    <n v="5332"/>
    <n v="1960"/>
    <x v="4"/>
    <x v="2"/>
    <n v="82504"/>
    <n v="0"/>
    <d v="1899-12-30T00:00:00"/>
    <d v="2013-07-27T00:00:00"/>
    <n v="2"/>
    <n v="50"/>
    <n v="35"/>
    <n v="35"/>
    <n v="7"/>
    <n v="66"/>
    <s v="&gt;50"/>
    <n v="42"/>
    <m/>
    <m/>
    <m/>
    <x v="3"/>
    <m/>
    <n v="13"/>
  </r>
  <r>
    <n v="5848"/>
    <n v="1970"/>
    <x v="0"/>
    <x v="1"/>
    <n v="81205"/>
    <n v="0"/>
    <d v="1899-12-30T00:00:00"/>
    <d v="2014-01-13T00:00:00"/>
    <n v="43"/>
    <n v="74"/>
    <n v="55"/>
    <n v="55"/>
    <n v="7"/>
    <n v="56"/>
    <s v="&gt;50"/>
    <n v="62"/>
    <m/>
    <m/>
    <m/>
    <x v="3"/>
    <m/>
    <n v="12"/>
  </r>
  <r>
    <n v="10343"/>
    <n v="1991"/>
    <x v="4"/>
    <x v="0"/>
    <n v="61618"/>
    <n v="0"/>
    <d v="1899-12-30T00:00:00"/>
    <d v="2012-09-29T00:00:00"/>
    <n v="27"/>
    <n v="91"/>
    <n v="45"/>
    <n v="45"/>
    <n v="8"/>
    <n v="35"/>
    <s v="30-50"/>
    <n v="53"/>
    <m/>
    <m/>
    <m/>
    <x v="0"/>
    <m/>
    <n v="14"/>
  </r>
  <r>
    <n v="5935"/>
    <n v="1956"/>
    <x v="2"/>
    <x v="0"/>
    <n v="55284"/>
    <n v="0"/>
    <d v="1899-12-31T00:00:00"/>
    <d v="2012-12-24T00:00:00"/>
    <n v="60"/>
    <n v="7"/>
    <n v="7"/>
    <n v="7"/>
    <n v="8"/>
    <n v="70"/>
    <s v="&gt;50"/>
    <n v="15"/>
    <m/>
    <m/>
    <m/>
    <x v="0"/>
    <m/>
    <n v="14"/>
  </r>
  <r>
    <n v="2895"/>
    <n v="1963"/>
    <x v="0"/>
    <x v="0"/>
    <n v="49980"/>
    <n v="0"/>
    <d v="1899-12-31T00:00:00"/>
    <d v="2013-10-23T00:00:00"/>
    <n v="79"/>
    <n v="1"/>
    <n v="9"/>
    <n v="9"/>
    <n v="5"/>
    <n v="63"/>
    <s v="&gt;50"/>
    <n v="14"/>
    <m/>
    <m/>
    <m/>
    <x v="1"/>
    <m/>
    <n v="13"/>
  </r>
  <r>
    <n v="10262"/>
    <n v="1980"/>
    <x v="0"/>
    <x v="2"/>
    <n v="15072"/>
    <n v="2"/>
    <d v="1899-12-30T00:00:00"/>
    <d v="2013-05-10T00:00:00"/>
    <n v="96"/>
    <n v="2"/>
    <n v="10"/>
    <n v="10"/>
    <n v="3"/>
    <n v="46"/>
    <s v="30-50"/>
    <n v="13"/>
    <m/>
    <m/>
    <m/>
    <x v="2"/>
    <m/>
    <n v="13"/>
  </r>
  <r>
    <n v="7848"/>
    <n v="1974"/>
    <x v="0"/>
    <x v="0"/>
    <n v="49166"/>
    <n v="0"/>
    <d v="1899-12-31T00:00:00"/>
    <d v="2013-06-13T00:00:00"/>
    <n v="17"/>
    <n v="2"/>
    <n v="0"/>
    <n v="0"/>
    <n v="3"/>
    <n v="52"/>
    <s v="&gt;50"/>
    <n v="3"/>
    <m/>
    <m/>
    <m/>
    <x v="1"/>
    <m/>
    <n v="13"/>
  </r>
  <r>
    <n v="9477"/>
    <n v="1954"/>
    <x v="1"/>
    <x v="2"/>
    <n v="65324"/>
    <n v="0"/>
    <d v="1899-12-31T00:00:00"/>
    <d v="2014-01-11T00:00:00"/>
    <n v="0"/>
    <n v="0"/>
    <n v="32"/>
    <n v="32"/>
    <n v="9"/>
    <n v="72"/>
    <s v="&gt;50"/>
    <n v="41"/>
    <m/>
    <m/>
    <m/>
    <x v="0"/>
    <m/>
    <n v="12"/>
  </r>
  <r>
    <n v="4856"/>
    <n v="1957"/>
    <x v="4"/>
    <x v="2"/>
    <n v="82347"/>
    <n v="0"/>
    <d v="1899-12-30T00:00:00"/>
    <d v="2012-11-06T00:00:00"/>
    <n v="38"/>
    <n v="54"/>
    <n v="133"/>
    <n v="133"/>
    <n v="10"/>
    <n v="69"/>
    <s v="&gt;50"/>
    <n v="143"/>
    <m/>
    <m/>
    <m/>
    <x v="3"/>
    <m/>
    <n v="14"/>
  </r>
  <r>
    <n v="7186"/>
    <n v="1966"/>
    <x v="1"/>
    <x v="1"/>
    <n v="30843"/>
    <n v="1"/>
    <d v="1899-12-31T00:00:00"/>
    <d v="2014-05-26T00:00:00"/>
    <n v="43"/>
    <n v="0"/>
    <n v="0"/>
    <n v="0"/>
    <n v="2"/>
    <n v="60"/>
    <s v="&gt;50"/>
    <n v="2"/>
    <m/>
    <m/>
    <m/>
    <x v="1"/>
    <m/>
    <n v="12"/>
  </r>
  <r>
    <n v="5794"/>
    <n v="1974"/>
    <x v="1"/>
    <x v="2"/>
    <n v="46374"/>
    <n v="0"/>
    <d v="1899-12-31T00:00:00"/>
    <d v="2014-03-17T00:00:00"/>
    <n v="1"/>
    <n v="0"/>
    <n v="0"/>
    <n v="0"/>
    <n v="7"/>
    <n v="52"/>
    <s v="&gt;50"/>
    <n v="7"/>
    <m/>
    <m/>
    <m/>
    <x v="1"/>
    <m/>
    <n v="12"/>
  </r>
  <r>
    <n v="1456"/>
    <n v="1979"/>
    <x v="0"/>
    <x v="0"/>
    <n v="60474"/>
    <n v="0"/>
    <d v="1899-12-31T00:00:00"/>
    <d v="2013-04-01T00:00:00"/>
    <n v="25"/>
    <n v="199"/>
    <n v="9"/>
    <n v="9"/>
    <n v="12"/>
    <n v="47"/>
    <s v="30-50"/>
    <n v="21"/>
    <m/>
    <m/>
    <m/>
    <x v="0"/>
    <m/>
    <n v="13"/>
  </r>
  <r>
    <n v="4877"/>
    <n v="1973"/>
    <x v="2"/>
    <x v="2"/>
    <n v="38576"/>
    <n v="0"/>
    <d v="1899-12-31T00:00:00"/>
    <d v="2014-03-04T00:00:00"/>
    <n v="2"/>
    <n v="0"/>
    <n v="0"/>
    <n v="0"/>
    <n v="3"/>
    <n v="53"/>
    <s v="&gt;50"/>
    <n v="3"/>
    <m/>
    <m/>
    <m/>
    <x v="1"/>
    <m/>
    <n v="12"/>
  </r>
  <r>
    <n v="425"/>
    <n v="1985"/>
    <x v="0"/>
    <x v="2"/>
    <n v="55357"/>
    <n v="2"/>
    <d v="1899-12-30T00:00:00"/>
    <d v="2013-02-19T00:00:00"/>
    <n v="66"/>
    <n v="64"/>
    <n v="25"/>
    <n v="25"/>
    <n v="11"/>
    <n v="41"/>
    <s v="30-50"/>
    <n v="36"/>
    <m/>
    <m/>
    <m/>
    <x v="0"/>
    <m/>
    <n v="13"/>
  </r>
  <r>
    <n v="3007"/>
    <n v="1966"/>
    <x v="0"/>
    <x v="1"/>
    <n v="37758"/>
    <n v="1"/>
    <d v="1899-12-31T00:00:00"/>
    <d v="2012-10-04T00:00:00"/>
    <n v="49"/>
    <n v="2"/>
    <n v="0"/>
    <n v="0"/>
    <n v="3"/>
    <n v="60"/>
    <s v="&gt;50"/>
    <n v="3"/>
    <m/>
    <m/>
    <m/>
    <x v="1"/>
    <m/>
    <n v="14"/>
  </r>
  <r>
    <n v="1031"/>
    <n v="1989"/>
    <x v="4"/>
    <x v="2"/>
    <n v="85710"/>
    <n v="0"/>
    <d v="1899-12-30T00:00:00"/>
    <d v="2013-05-05T00:00:00"/>
    <n v="5"/>
    <n v="20"/>
    <n v="30"/>
    <n v="30"/>
    <n v="10"/>
    <n v="37"/>
    <s v="30-50"/>
    <n v="40"/>
    <m/>
    <m/>
    <m/>
    <x v="3"/>
    <m/>
    <n v="13"/>
  </r>
  <r>
    <n v="4297"/>
    <n v="1969"/>
    <x v="0"/>
    <x v="1"/>
    <n v="23228"/>
    <n v="1"/>
    <d v="1899-12-30T00:00:00"/>
    <d v="2014-01-26T00:00:00"/>
    <n v="71"/>
    <n v="2"/>
    <n v="1"/>
    <n v="1"/>
    <n v="3"/>
    <n v="57"/>
    <s v="&gt;50"/>
    <n v="4"/>
    <m/>
    <m/>
    <m/>
    <x v="2"/>
    <m/>
    <n v="12"/>
  </r>
  <r>
    <n v="807"/>
    <n v="1969"/>
    <x v="2"/>
    <x v="1"/>
    <n v="44602"/>
    <n v="1"/>
    <d v="1899-12-31T00:00:00"/>
    <d v="2014-02-15T00:00:00"/>
    <n v="35"/>
    <n v="2"/>
    <n v="0"/>
    <n v="0"/>
    <n v="4"/>
    <n v="57"/>
    <s v="&gt;50"/>
    <n v="4"/>
    <m/>
    <m/>
    <m/>
    <x v="1"/>
    <m/>
    <n v="12"/>
  </r>
  <r>
    <n v="9553"/>
    <n v="1987"/>
    <x v="0"/>
    <x v="2"/>
    <n v="7500"/>
    <n v="0"/>
    <d v="1899-12-30T00:00:00"/>
    <d v="2013-01-09T00:00:00"/>
    <n v="94"/>
    <n v="2"/>
    <n v="1"/>
    <n v="1"/>
    <n v="3"/>
    <n v="39"/>
    <s v="30-50"/>
    <n v="4"/>
    <m/>
    <m/>
    <m/>
    <x v="2"/>
    <m/>
    <n v="13"/>
  </r>
  <r>
    <n v="4271"/>
    <n v="1989"/>
    <x v="4"/>
    <x v="1"/>
    <n v="38683"/>
    <n v="1"/>
    <d v="1899-12-30T00:00:00"/>
    <d v="2012-10-04T00:00:00"/>
    <n v="80"/>
    <n v="35"/>
    <n v="41"/>
    <n v="41"/>
    <n v="6"/>
    <n v="37"/>
    <s v="30-50"/>
    <n v="47"/>
    <m/>
    <m/>
    <m/>
    <x v="1"/>
    <m/>
    <n v="14"/>
  </r>
  <r>
    <n v="4120"/>
    <n v="1975"/>
    <x v="4"/>
    <x v="0"/>
    <n v="49514"/>
    <n v="1"/>
    <d v="1899-12-30T00:00:00"/>
    <d v="2013-12-17T00:00:00"/>
    <n v="61"/>
    <n v="39"/>
    <n v="13"/>
    <n v="13"/>
    <n v="4"/>
    <n v="51"/>
    <s v="&gt;50"/>
    <n v="17"/>
    <m/>
    <m/>
    <m/>
    <x v="1"/>
    <m/>
    <n v="13"/>
  </r>
  <r>
    <n v="2036"/>
    <n v="1973"/>
    <x v="1"/>
    <x v="1"/>
    <n v="57906"/>
    <n v="0"/>
    <d v="1899-12-31T00:00:00"/>
    <d v="2013-06-11T00:00:00"/>
    <n v="29"/>
    <n v="11"/>
    <n v="3"/>
    <n v="3"/>
    <n v="8"/>
    <n v="53"/>
    <s v="&gt;50"/>
    <n v="11"/>
    <m/>
    <m/>
    <m/>
    <x v="0"/>
    <m/>
    <n v="13"/>
  </r>
  <r>
    <n v="115"/>
    <n v="1966"/>
    <x v="2"/>
    <x v="0"/>
    <n v="43456"/>
    <n v="0"/>
    <d v="1899-12-31T00:00:00"/>
    <d v="2013-03-26T00:00:00"/>
    <n v="0"/>
    <n v="11"/>
    <n v="7"/>
    <n v="7"/>
    <n v="8"/>
    <n v="60"/>
    <s v="&gt;50"/>
    <n v="15"/>
    <m/>
    <m/>
    <m/>
    <x v="1"/>
    <m/>
    <n v="13"/>
  </r>
  <r>
    <n v="4259"/>
    <n v="1986"/>
    <x v="2"/>
    <x v="0"/>
    <n v="19485"/>
    <n v="2"/>
    <d v="1899-12-30T00:00:00"/>
    <d v="2013-09-24T00:00:00"/>
    <n v="80"/>
    <n v="0"/>
    <n v="0"/>
    <n v="0"/>
    <n v="2"/>
    <n v="40"/>
    <s v="30-50"/>
    <n v="2"/>
    <m/>
    <m/>
    <m/>
    <x v="2"/>
    <m/>
    <n v="13"/>
  </r>
  <r>
    <n v="8687"/>
    <n v="1978"/>
    <x v="0"/>
    <x v="1"/>
    <n v="53172"/>
    <n v="0"/>
    <d v="1899-12-31T00:00:00"/>
    <d v="2013-05-06T00:00:00"/>
    <n v="54"/>
    <n v="62"/>
    <n v="20"/>
    <n v="20"/>
    <n v="8"/>
    <n v="48"/>
    <s v="30-50"/>
    <n v="28"/>
    <m/>
    <m/>
    <m/>
    <x v="0"/>
    <m/>
    <n v="13"/>
  </r>
  <r>
    <n v="2447"/>
    <n v="1979"/>
    <x v="0"/>
    <x v="1"/>
    <n v="30545"/>
    <n v="1"/>
    <d v="1899-12-30T00:00:00"/>
    <d v="2012-10-17T00:00:00"/>
    <n v="71"/>
    <n v="12"/>
    <n v="7"/>
    <n v="7"/>
    <n v="3"/>
    <n v="47"/>
    <s v="30-50"/>
    <n v="10"/>
    <m/>
    <m/>
    <m/>
    <x v="1"/>
    <m/>
    <n v="14"/>
  </r>
  <r>
    <n v="10140"/>
    <n v="1983"/>
    <x v="1"/>
    <x v="1"/>
    <n v="70123"/>
    <n v="0"/>
    <d v="1899-12-30T00:00:00"/>
    <d v="2013-09-28T00:00:00"/>
    <n v="27"/>
    <n v="0"/>
    <n v="0"/>
    <n v="0"/>
    <n v="4"/>
    <n v="43"/>
    <s v="30-50"/>
    <n v="4"/>
    <m/>
    <m/>
    <m/>
    <x v="0"/>
    <m/>
    <n v="13"/>
  </r>
  <r>
    <n v="9353"/>
    <n v="1959"/>
    <x v="0"/>
    <x v="0"/>
    <n v="62450"/>
    <n v="0"/>
    <d v="1899-12-31T00:00:00"/>
    <d v="2014-01-06T00:00:00"/>
    <n v="61"/>
    <n v="47"/>
    <n v="66"/>
    <n v="66"/>
    <n v="4"/>
    <n v="67"/>
    <s v="&gt;50"/>
    <n v="70"/>
    <m/>
    <m/>
    <m/>
    <x v="0"/>
    <m/>
    <n v="12"/>
  </r>
  <r>
    <n v="3623"/>
    <n v="1976"/>
    <x v="0"/>
    <x v="1"/>
    <n v="21675"/>
    <n v="1"/>
    <d v="1899-12-30T00:00:00"/>
    <d v="2014-06-11T00:00:00"/>
    <n v="55"/>
    <n v="0"/>
    <n v="4"/>
    <n v="4"/>
    <n v="3"/>
    <n v="50"/>
    <s v="30-50"/>
    <n v="7"/>
    <m/>
    <m/>
    <m/>
    <x v="2"/>
    <m/>
    <n v="12"/>
  </r>
  <r>
    <n v="738"/>
    <n v="1981"/>
    <x v="4"/>
    <x v="0"/>
    <n v="42395"/>
    <n v="1"/>
    <d v="1899-12-31T00:00:00"/>
    <d v="2014-04-04T00:00:00"/>
    <n v="35"/>
    <n v="13"/>
    <n v="15"/>
    <n v="15"/>
    <n v="4"/>
    <n v="45"/>
    <s v="30-50"/>
    <n v="19"/>
    <m/>
    <m/>
    <m/>
    <x v="1"/>
    <m/>
    <n v="12"/>
  </r>
  <r>
    <n v="7631"/>
    <n v="1978"/>
    <x v="2"/>
    <x v="1"/>
    <n v="61346"/>
    <n v="1"/>
    <d v="1899-12-30T00:00:00"/>
    <d v="2013-10-06T00:00:00"/>
    <n v="34"/>
    <n v="58"/>
    <n v="16"/>
    <n v="16"/>
    <n v="10"/>
    <n v="48"/>
    <s v="30-50"/>
    <n v="26"/>
    <m/>
    <m/>
    <m/>
    <x v="0"/>
    <m/>
    <n v="13"/>
  </r>
  <r>
    <n v="4789"/>
    <n v="1953"/>
    <x v="0"/>
    <x v="1"/>
    <n v="80812"/>
    <n v="0"/>
    <d v="1899-12-30T00:00:00"/>
    <d v="2013-09-17T00:00:00"/>
    <n v="95"/>
    <n v="22"/>
    <n v="143"/>
    <n v="143"/>
    <n v="5"/>
    <n v="73"/>
    <s v="&gt;50"/>
    <n v="148"/>
    <m/>
    <m/>
    <m/>
    <x v="3"/>
    <m/>
    <n v="13"/>
  </r>
  <r>
    <n v="773"/>
    <n v="1971"/>
    <x v="2"/>
    <x v="3"/>
    <n v="42835"/>
    <n v="1"/>
    <d v="1899-12-31T00:00:00"/>
    <d v="2013-06-30T00:00:00"/>
    <n v="64"/>
    <n v="4"/>
    <n v="9"/>
    <n v="9"/>
    <n v="4"/>
    <n v="55"/>
    <s v="&gt;50"/>
    <n v="13"/>
    <m/>
    <m/>
    <m/>
    <x v="1"/>
    <m/>
    <n v="13"/>
  </r>
  <r>
    <n v="10602"/>
    <n v="1983"/>
    <x v="0"/>
    <x v="2"/>
    <n v="39922"/>
    <n v="1"/>
    <d v="1899-12-30T00:00:00"/>
    <d v="2013-02-14T00:00:00"/>
    <n v="30"/>
    <n v="12"/>
    <n v="1"/>
    <n v="1"/>
    <n v="4"/>
    <n v="43"/>
    <s v="30-50"/>
    <n v="5"/>
    <m/>
    <m/>
    <m/>
    <x v="1"/>
    <m/>
    <n v="13"/>
  </r>
  <r>
    <n v="1446"/>
    <n v="1956"/>
    <x v="2"/>
    <x v="0"/>
    <n v="86424"/>
    <n v="0"/>
    <d v="1899-12-30T00:00:00"/>
    <d v="2014-04-05T00:00:00"/>
    <n v="12"/>
    <n v="68"/>
    <n v="45"/>
    <n v="45"/>
    <n v="12"/>
    <n v="70"/>
    <s v="&gt;50"/>
    <n v="57"/>
    <m/>
    <m/>
    <m/>
    <x v="3"/>
    <m/>
    <n v="12"/>
  </r>
  <r>
    <n v="3270"/>
    <n v="1978"/>
    <x v="4"/>
    <x v="1"/>
    <n v="17117"/>
    <n v="1"/>
    <d v="1899-12-30T00:00:00"/>
    <d v="2013-01-17T00:00:00"/>
    <n v="96"/>
    <n v="23"/>
    <n v="18"/>
    <n v="18"/>
    <n v="3"/>
    <n v="48"/>
    <s v="30-50"/>
    <n v="21"/>
    <m/>
    <m/>
    <m/>
    <x v="2"/>
    <m/>
    <n v="13"/>
  </r>
  <r>
    <n v="8443"/>
    <n v="1972"/>
    <x v="0"/>
    <x v="0"/>
    <n v="24762"/>
    <n v="1"/>
    <d v="1899-12-30T00:00:00"/>
    <d v="2014-02-10T00:00:00"/>
    <n v="16"/>
    <n v="10"/>
    <n v="15"/>
    <n v="15"/>
    <n v="2"/>
    <n v="54"/>
    <s v="&gt;50"/>
    <n v="17"/>
    <m/>
    <m/>
    <m/>
    <x v="2"/>
    <m/>
    <n v="12"/>
  </r>
  <r>
    <n v="9653"/>
    <n v="1975"/>
    <x v="0"/>
    <x v="2"/>
    <n v="35797"/>
    <n v="0"/>
    <d v="1899-12-31T00:00:00"/>
    <d v="2012-10-16T00:00:00"/>
    <n v="16"/>
    <n v="1"/>
    <n v="1"/>
    <n v="1"/>
    <n v="3"/>
    <n v="51"/>
    <s v="&gt;50"/>
    <n v="4"/>
    <m/>
    <m/>
    <m/>
    <x v="1"/>
    <m/>
    <n v="14"/>
  </r>
  <r>
    <n v="8916"/>
    <n v="1975"/>
    <x v="0"/>
    <x v="3"/>
    <n v="36627"/>
    <n v="2"/>
    <d v="1899-12-30T00:00:00"/>
    <d v="2013-07-23T00:00:00"/>
    <n v="78"/>
    <n v="1"/>
    <n v="0"/>
    <n v="0"/>
    <n v="3"/>
    <n v="51"/>
    <s v="&gt;50"/>
    <n v="3"/>
    <m/>
    <m/>
    <m/>
    <x v="1"/>
    <m/>
    <n v="13"/>
  </r>
  <r>
    <n v="8017"/>
    <n v="1981"/>
    <x v="4"/>
    <x v="2"/>
    <n v="51111"/>
    <n v="1"/>
    <d v="1899-12-31T00:00:00"/>
    <d v="2014-06-19T00:00:00"/>
    <n v="83"/>
    <n v="0"/>
    <n v="5"/>
    <n v="5"/>
    <n v="3"/>
    <n v="45"/>
    <s v="30-50"/>
    <n v="8"/>
    <m/>
    <m/>
    <m/>
    <x v="0"/>
    <m/>
    <n v="12"/>
  </r>
  <r>
    <n v="5830"/>
    <n v="1972"/>
    <x v="1"/>
    <x v="0"/>
    <n v="86857"/>
    <n v="0"/>
    <d v="1899-12-30T00:00:00"/>
    <d v="2012-09-12T00:00:00"/>
    <n v="96"/>
    <n v="102"/>
    <n v="102"/>
    <n v="102"/>
    <n v="10"/>
    <n v="54"/>
    <s v="&gt;50"/>
    <n v="112"/>
    <m/>
    <m/>
    <m/>
    <x v="3"/>
    <m/>
    <n v="14"/>
  </r>
  <r>
    <n v="4597"/>
    <n v="1970"/>
    <x v="1"/>
    <x v="1"/>
    <n v="82072"/>
    <n v="0"/>
    <d v="1899-12-30T00:00:00"/>
    <d v="2013-07-02T00:00:00"/>
    <n v="67"/>
    <n v="55"/>
    <n v="92"/>
    <n v="92"/>
    <n v="13"/>
    <n v="56"/>
    <s v="&gt;50"/>
    <n v="105"/>
    <m/>
    <m/>
    <m/>
    <x v="3"/>
    <m/>
    <n v="13"/>
  </r>
  <r>
    <n v="7023"/>
    <n v="1953"/>
    <x v="1"/>
    <x v="0"/>
    <n v="46231"/>
    <n v="2"/>
    <d v="1899-12-31T00:00:00"/>
    <d v="2012-11-26T00:00:00"/>
    <n v="87"/>
    <n v="2"/>
    <n v="5"/>
    <n v="5"/>
    <n v="4"/>
    <n v="73"/>
    <s v="&gt;50"/>
    <n v="9"/>
    <m/>
    <m/>
    <m/>
    <x v="1"/>
    <m/>
    <n v="14"/>
  </r>
  <r>
    <n v="8086"/>
    <n v="1959"/>
    <x v="0"/>
    <x v="2"/>
    <n v="42243"/>
    <n v="1"/>
    <d v="1899-12-31T00:00:00"/>
    <d v="2013-12-11T00:00:00"/>
    <n v="34"/>
    <n v="0"/>
    <n v="0"/>
    <n v="0"/>
    <n v="3"/>
    <n v="67"/>
    <s v="&gt;50"/>
    <n v="3"/>
    <m/>
    <m/>
    <m/>
    <x v="1"/>
    <m/>
    <n v="13"/>
  </r>
  <r>
    <n v="8825"/>
    <n v="1962"/>
    <x v="0"/>
    <x v="1"/>
    <n v="51195"/>
    <n v="1"/>
    <d v="1899-12-31T00:00:00"/>
    <d v="2013-04-01T00:00:00"/>
    <n v="46"/>
    <n v="14"/>
    <n v="24"/>
    <n v="24"/>
    <n v="5"/>
    <n v="64"/>
    <s v="&gt;50"/>
    <n v="29"/>
    <m/>
    <m/>
    <m/>
    <x v="0"/>
    <m/>
    <n v="13"/>
  </r>
  <r>
    <n v="2930"/>
    <n v="1978"/>
    <x v="2"/>
    <x v="0"/>
    <n v="68092"/>
    <n v="0"/>
    <d v="1899-12-30T00:00:00"/>
    <d v="2013-12-16T00:00:00"/>
    <n v="7"/>
    <n v="60"/>
    <n v="36"/>
    <n v="36"/>
    <n v="10"/>
    <n v="48"/>
    <s v="30-50"/>
    <n v="46"/>
    <m/>
    <m/>
    <m/>
    <x v="0"/>
    <m/>
    <n v="13"/>
  </r>
  <r>
    <n v="1928"/>
    <n v="1973"/>
    <x v="0"/>
    <x v="2"/>
    <n v="31814"/>
    <n v="1"/>
    <d v="1899-12-30T00:00:00"/>
    <d v="2013-02-09T00:00:00"/>
    <n v="73"/>
    <n v="3"/>
    <n v="1"/>
    <n v="1"/>
    <n v="3"/>
    <n v="53"/>
    <s v="&gt;50"/>
    <n v="4"/>
    <m/>
    <m/>
    <m/>
    <x v="1"/>
    <m/>
    <n v="13"/>
  </r>
  <r>
    <n v="7108"/>
    <n v="1965"/>
    <x v="2"/>
    <x v="4"/>
    <n v="51390"/>
    <n v="1"/>
    <d v="1899-12-31T00:00:00"/>
    <d v="2012-09-08T00:00:00"/>
    <n v="54"/>
    <n v="20"/>
    <n v="2"/>
    <n v="2"/>
    <n v="5"/>
    <n v="61"/>
    <s v="&gt;50"/>
    <n v="7"/>
    <m/>
    <m/>
    <m/>
    <x v="0"/>
    <m/>
    <n v="14"/>
  </r>
  <r>
    <n v="10925"/>
    <n v="1983"/>
    <x v="0"/>
    <x v="2"/>
    <n v="76630"/>
    <n v="0"/>
    <d v="1899-12-30T00:00:00"/>
    <d v="2014-01-14T00:00:00"/>
    <n v="93"/>
    <n v="31"/>
    <n v="56"/>
    <n v="56"/>
    <n v="11"/>
    <n v="43"/>
    <s v="30-50"/>
    <n v="67"/>
    <m/>
    <m/>
    <m/>
    <x v="3"/>
    <m/>
    <n v="12"/>
  </r>
  <r>
    <n v="9960"/>
    <n v="1991"/>
    <x v="3"/>
    <x v="0"/>
    <n v="26868"/>
    <n v="1"/>
    <d v="1899-12-30T00:00:00"/>
    <d v="2014-04-30T00:00:00"/>
    <n v="52"/>
    <n v="0"/>
    <n v="3"/>
    <n v="3"/>
    <n v="2"/>
    <n v="35"/>
    <s v="30-50"/>
    <n v="5"/>
    <m/>
    <m/>
    <m/>
    <x v="2"/>
    <m/>
    <n v="12"/>
  </r>
  <r>
    <n v="8800"/>
    <n v="1943"/>
    <x v="1"/>
    <x v="3"/>
    <n v="48948"/>
    <n v="0"/>
    <d v="1899-12-30T00:00:00"/>
    <d v="2013-02-01T00:00:00"/>
    <n v="53"/>
    <n v="8"/>
    <n v="49"/>
    <n v="49"/>
    <n v="5"/>
    <n v="83"/>
    <s v="&gt;50"/>
    <n v="54"/>
    <m/>
    <m/>
    <m/>
    <x v="1"/>
    <m/>
    <n v="13"/>
  </r>
  <r>
    <n v="9224"/>
    <n v="1972"/>
    <x v="1"/>
    <x v="0"/>
    <n v="55260"/>
    <n v="0"/>
    <d v="1899-12-31T00:00:00"/>
    <d v="2012-12-12T00:00:00"/>
    <n v="81"/>
    <n v="8"/>
    <n v="0"/>
    <n v="0"/>
    <n v="5"/>
    <n v="54"/>
    <s v="&gt;50"/>
    <n v="5"/>
    <m/>
    <m/>
    <m/>
    <x v="0"/>
    <m/>
    <n v="14"/>
  </r>
  <r>
    <n v="5519"/>
    <n v="1956"/>
    <x v="0"/>
    <x v="1"/>
    <n v="64090"/>
    <n v="0"/>
    <d v="1899-12-31T00:00:00"/>
    <d v="2013-08-07T00:00:00"/>
    <n v="8"/>
    <n v="58"/>
    <n v="51"/>
    <n v="51"/>
    <n v="4"/>
    <n v="70"/>
    <s v="&gt;50"/>
    <n v="55"/>
    <m/>
    <m/>
    <m/>
    <x v="0"/>
    <m/>
    <n v="13"/>
  </r>
  <r>
    <n v="5046"/>
    <n v="1958"/>
    <x v="0"/>
    <x v="3"/>
    <n v="78331"/>
    <n v="0"/>
    <d v="1899-12-31T00:00:00"/>
    <d v="2014-01-23T00:00:00"/>
    <n v="97"/>
    <n v="138"/>
    <n v="169"/>
    <n v="169"/>
    <n v="7"/>
    <n v="68"/>
    <s v="&gt;50"/>
    <n v="176"/>
    <m/>
    <m/>
    <m/>
    <x v="3"/>
    <m/>
    <n v="12"/>
  </r>
  <r>
    <n v="7037"/>
    <n v="1974"/>
    <x v="1"/>
    <x v="2"/>
    <n v="37087"/>
    <n v="1"/>
    <d v="1899-12-30T00:00:00"/>
    <d v="2013-08-11T00:00:00"/>
    <n v="50"/>
    <n v="55"/>
    <n v="0"/>
    <n v="0"/>
    <n v="8"/>
    <n v="52"/>
    <s v="&gt;50"/>
    <n v="8"/>
    <m/>
    <m/>
    <m/>
    <x v="1"/>
    <m/>
    <n v="13"/>
  </r>
  <r>
    <n v="905"/>
    <n v="1986"/>
    <x v="0"/>
    <x v="3"/>
    <n v="21846"/>
    <n v="1"/>
    <d v="1899-12-30T00:00:00"/>
    <d v="2013-10-22T00:00:00"/>
    <n v="38"/>
    <n v="17"/>
    <n v="10"/>
    <n v="10"/>
    <n v="3"/>
    <n v="40"/>
    <s v="30-50"/>
    <n v="13"/>
    <m/>
    <m/>
    <m/>
    <x v="2"/>
    <m/>
    <n v="13"/>
  </r>
  <r>
    <n v="8624"/>
    <n v="1958"/>
    <x v="0"/>
    <x v="2"/>
    <n v="81320"/>
    <n v="0"/>
    <d v="1899-12-30T00:00:00"/>
    <d v="2013-02-06T00:00:00"/>
    <n v="61"/>
    <n v="33"/>
    <n v="103"/>
    <n v="103"/>
    <n v="10"/>
    <n v="68"/>
    <s v="&gt;50"/>
    <n v="113"/>
    <m/>
    <m/>
    <m/>
    <x v="3"/>
    <m/>
    <n v="13"/>
  </r>
  <r>
    <n v="8945"/>
    <n v="1970"/>
    <x v="0"/>
    <x v="3"/>
    <n v="54137"/>
    <n v="0"/>
    <d v="1899-12-31T00:00:00"/>
    <d v="2013-08-16T00:00:00"/>
    <n v="46"/>
    <n v="0"/>
    <n v="1"/>
    <n v="1"/>
    <n v="4"/>
    <n v="56"/>
    <s v="&gt;50"/>
    <n v="5"/>
    <m/>
    <m/>
    <m/>
    <x v="0"/>
    <m/>
    <n v="13"/>
  </r>
  <r>
    <n v="6445"/>
    <n v="1967"/>
    <x v="0"/>
    <x v="1"/>
    <n v="66825"/>
    <n v="0"/>
    <d v="1899-12-30T00:00:00"/>
    <d v="2013-07-14T00:00:00"/>
    <n v="73"/>
    <n v="101"/>
    <n v="40"/>
    <n v="40"/>
    <n v="6"/>
    <n v="59"/>
    <s v="&gt;50"/>
    <n v="46"/>
    <m/>
    <m/>
    <m/>
    <x v="0"/>
    <m/>
    <n v="13"/>
  </r>
  <r>
    <n v="2727"/>
    <n v="1973"/>
    <x v="0"/>
    <x v="1"/>
    <n v="57100"/>
    <n v="0"/>
    <d v="1899-12-30T00:00:00"/>
    <d v="2013-12-04T00:00:00"/>
    <n v="19"/>
    <n v="21"/>
    <n v="3"/>
    <n v="3"/>
    <n v="6"/>
    <n v="53"/>
    <s v="&gt;50"/>
    <n v="9"/>
    <m/>
    <m/>
    <m/>
    <x v="0"/>
    <m/>
    <n v="13"/>
  </r>
  <r>
    <n v="6404"/>
    <n v="1969"/>
    <x v="0"/>
    <x v="1"/>
    <n v="58917"/>
    <n v="1"/>
    <d v="1900-01-01T00:00:00"/>
    <d v="2013-03-24T00:00:00"/>
    <n v="10"/>
    <n v="7"/>
    <n v="7"/>
    <n v="7"/>
    <n v="6"/>
    <n v="57"/>
    <s v="&gt;50"/>
    <n v="13"/>
    <m/>
    <m/>
    <m/>
    <x v="0"/>
    <m/>
    <n v="13"/>
  </r>
  <r>
    <n v="11074"/>
    <n v="1977"/>
    <x v="0"/>
    <x v="0"/>
    <n v="85072"/>
    <n v="0"/>
    <d v="1899-12-30T00:00:00"/>
    <d v="2014-04-09T00:00:00"/>
    <n v="94"/>
    <n v="92"/>
    <n v="11"/>
    <n v="11"/>
    <n v="10"/>
    <n v="49"/>
    <s v="30-50"/>
    <n v="21"/>
    <m/>
    <m/>
    <m/>
    <x v="3"/>
    <m/>
    <n v="12"/>
  </r>
  <r>
    <n v="10150"/>
    <n v="1961"/>
    <x v="0"/>
    <x v="0"/>
    <n v="86429"/>
    <n v="0"/>
    <d v="1899-12-30T00:00:00"/>
    <d v="2013-11-21T00:00:00"/>
    <n v="10"/>
    <n v="28"/>
    <n v="18"/>
    <n v="18"/>
    <n v="7"/>
    <n v="65"/>
    <s v="&gt;50"/>
    <n v="25"/>
    <m/>
    <m/>
    <m/>
    <x v="3"/>
    <m/>
    <n v="13"/>
  </r>
  <r>
    <n v="1968"/>
    <n v="1971"/>
    <x v="0"/>
    <x v="4"/>
    <n v="45684"/>
    <n v="1"/>
    <d v="1899-12-30T00:00:00"/>
    <d v="2013-12-02T00:00:00"/>
    <n v="37"/>
    <n v="1"/>
    <n v="0"/>
    <n v="0"/>
    <n v="2"/>
    <n v="55"/>
    <s v="&gt;50"/>
    <n v="2"/>
    <m/>
    <m/>
    <m/>
    <x v="1"/>
    <m/>
    <n v="13"/>
  </r>
  <r>
    <n v="6534"/>
    <n v="1974"/>
    <x v="0"/>
    <x v="1"/>
    <n v="47889"/>
    <n v="1"/>
    <d v="1899-12-30T00:00:00"/>
    <d v="2014-01-04T00:00:00"/>
    <n v="94"/>
    <n v="0"/>
    <n v="5"/>
    <n v="5"/>
    <n v="3"/>
    <n v="52"/>
    <s v="&gt;50"/>
    <n v="8"/>
    <m/>
    <m/>
    <m/>
    <x v="1"/>
    <m/>
    <n v="12"/>
  </r>
  <r>
    <n v="9485"/>
    <n v="1986"/>
    <x v="1"/>
    <x v="2"/>
    <n v="45921"/>
    <n v="0"/>
    <d v="1899-12-30T00:00:00"/>
    <d v="2014-03-10T00:00:00"/>
    <n v="23"/>
    <n v="9"/>
    <n v="3"/>
    <n v="3"/>
    <n v="6"/>
    <n v="40"/>
    <s v="30-50"/>
    <n v="9"/>
    <m/>
    <m/>
    <m/>
    <x v="1"/>
    <m/>
    <n v="12"/>
  </r>
  <r>
    <n v="7053"/>
    <n v="1966"/>
    <x v="1"/>
    <x v="0"/>
    <n v="78420"/>
    <n v="0"/>
    <d v="1899-12-30T00:00:00"/>
    <d v="2013-06-29T00:00:00"/>
    <n v="75"/>
    <n v="28"/>
    <n v="28"/>
    <n v="28"/>
    <n v="8"/>
    <n v="60"/>
    <s v="&gt;50"/>
    <n v="36"/>
    <m/>
    <m/>
    <m/>
    <x v="3"/>
    <m/>
    <n v="13"/>
  </r>
  <r>
    <n v="4654"/>
    <n v="1992"/>
    <x v="0"/>
    <x v="1"/>
    <n v="75114"/>
    <n v="0"/>
    <d v="1899-12-30T00:00:00"/>
    <d v="2013-11-07T00:00:00"/>
    <n v="40"/>
    <n v="12"/>
    <n v="60"/>
    <n v="60"/>
    <n v="5"/>
    <n v="34"/>
    <s v="30-50"/>
    <n v="65"/>
    <m/>
    <m/>
    <m/>
    <x v="3"/>
    <m/>
    <n v="13"/>
  </r>
  <r>
    <n v="9760"/>
    <n v="1963"/>
    <x v="1"/>
    <x v="4"/>
    <n v="52278"/>
    <n v="0"/>
    <d v="1899-12-31T00:00:00"/>
    <d v="2013-01-25T00:00:00"/>
    <n v="24"/>
    <n v="0"/>
    <n v="0"/>
    <n v="0"/>
    <n v="10"/>
    <n v="63"/>
    <s v="&gt;50"/>
    <n v="10"/>
    <m/>
    <m/>
    <m/>
    <x v="0"/>
    <m/>
    <n v="13"/>
  </r>
  <r>
    <n v="1048"/>
    <n v="1972"/>
    <x v="2"/>
    <x v="2"/>
    <n v="35641"/>
    <n v="1"/>
    <d v="1899-12-30T00:00:00"/>
    <d v="2013-07-14T00:00:00"/>
    <n v="11"/>
    <n v="3"/>
    <n v="9"/>
    <n v="9"/>
    <n v="4"/>
    <n v="54"/>
    <s v="&gt;50"/>
    <n v="13"/>
    <m/>
    <m/>
    <m/>
    <x v="1"/>
    <m/>
    <n v="13"/>
  </r>
  <r>
    <n v="10619"/>
    <n v="1994"/>
    <x v="0"/>
    <x v="0"/>
    <n v="95529"/>
    <n v="0"/>
    <d v="1899-12-30T00:00:00"/>
    <d v="2012-12-03T00:00:00"/>
    <n v="29"/>
    <n v="29"/>
    <n v="27"/>
    <n v="27"/>
    <n v="7"/>
    <n v="32"/>
    <s v="30-50"/>
    <n v="34"/>
    <m/>
    <m/>
    <m/>
    <x v="3"/>
    <m/>
    <n v="14"/>
  </r>
  <r>
    <n v="9308"/>
    <n v="1954"/>
    <x v="0"/>
    <x v="2"/>
    <n v="62820"/>
    <n v="0"/>
    <d v="1899-12-30T00:00:00"/>
    <d v="2013-05-11T00:00:00"/>
    <n v="51"/>
    <n v="61"/>
    <n v="61"/>
    <n v="61"/>
    <n v="6"/>
    <n v="72"/>
    <s v="&gt;50"/>
    <n v="67"/>
    <m/>
    <m/>
    <m/>
    <x v="0"/>
    <m/>
    <n v="13"/>
  </r>
  <r>
    <n v="10505"/>
    <n v="1960"/>
    <x v="2"/>
    <x v="1"/>
    <n v="73113"/>
    <n v="0"/>
    <d v="1899-12-30T00:00:00"/>
    <d v="2013-12-26T00:00:00"/>
    <n v="86"/>
    <n v="19"/>
    <n v="9"/>
    <n v="9"/>
    <n v="7"/>
    <n v="66"/>
    <s v="&gt;50"/>
    <n v="16"/>
    <m/>
    <m/>
    <m/>
    <x v="0"/>
    <m/>
    <n v="13"/>
  </r>
  <r>
    <n v="8362"/>
    <n v="1982"/>
    <x v="1"/>
    <x v="2"/>
    <n v="84169"/>
    <n v="0"/>
    <d v="1899-12-30T00:00:00"/>
    <d v="2013-08-07T00:00:00"/>
    <n v="9"/>
    <n v="19"/>
    <n v="19"/>
    <n v="19"/>
    <n v="6"/>
    <n v="44"/>
    <s v="30-50"/>
    <n v="25"/>
    <m/>
    <m/>
    <m/>
    <x v="3"/>
    <m/>
    <n v="13"/>
  </r>
  <r>
    <n v="2625"/>
    <n v="1954"/>
    <x v="4"/>
    <x v="0"/>
    <n v="42607"/>
    <n v="0"/>
    <d v="1899-12-31T00:00:00"/>
    <d v="2013-11-17T00:00:00"/>
    <n v="30"/>
    <n v="29"/>
    <n v="32"/>
    <n v="32"/>
    <n v="7"/>
    <n v="72"/>
    <s v="&gt;50"/>
    <n v="39"/>
    <m/>
    <m/>
    <m/>
    <x v="1"/>
    <m/>
    <n v="13"/>
  </r>
  <r>
    <n v="4637"/>
    <n v="1954"/>
    <x v="1"/>
    <x v="0"/>
    <n v="74637"/>
    <n v="0"/>
    <d v="1899-12-30T00:00:00"/>
    <d v="2013-05-18T00:00:00"/>
    <n v="73"/>
    <n v="64"/>
    <n v="0"/>
    <n v="0"/>
    <n v="9"/>
    <n v="72"/>
    <s v="&gt;50"/>
    <n v="9"/>
    <m/>
    <m/>
    <m/>
    <x v="0"/>
    <m/>
    <n v="13"/>
  </r>
  <r>
    <n v="9972"/>
    <n v="1955"/>
    <x v="1"/>
    <x v="1"/>
    <n v="46015"/>
    <n v="1"/>
    <d v="1899-12-31T00:00:00"/>
    <d v="2014-04-13T00:00:00"/>
    <n v="25"/>
    <n v="0"/>
    <n v="0"/>
    <n v="0"/>
    <n v="3"/>
    <n v="71"/>
    <s v="&gt;50"/>
    <n v="3"/>
    <m/>
    <m/>
    <m/>
    <x v="1"/>
    <m/>
    <n v="12"/>
  </r>
  <r>
    <n v="4483"/>
    <n v="1993"/>
    <x v="0"/>
    <x v="0"/>
    <n v="72354"/>
    <n v="0"/>
    <d v="1899-12-30T00:00:00"/>
    <d v="2013-04-17T00:00:00"/>
    <n v="67"/>
    <n v="26"/>
    <n v="12"/>
    <n v="12"/>
    <n v="6"/>
    <n v="33"/>
    <s v="30-50"/>
    <n v="18"/>
    <m/>
    <m/>
    <m/>
    <x v="0"/>
    <m/>
    <n v="13"/>
  </r>
  <r>
    <n v="4487"/>
    <n v="1969"/>
    <x v="2"/>
    <x v="0"/>
    <n v="39858"/>
    <n v="1"/>
    <d v="1899-12-30T00:00:00"/>
    <d v="2013-01-24T00:00:00"/>
    <n v="67"/>
    <n v="20"/>
    <n v="7"/>
    <n v="7"/>
    <n v="4"/>
    <n v="57"/>
    <s v="&gt;50"/>
    <n v="11"/>
    <m/>
    <m/>
    <m/>
    <x v="1"/>
    <m/>
    <n v="13"/>
  </r>
  <r>
    <n v="4988"/>
    <n v="1948"/>
    <x v="1"/>
    <x v="2"/>
    <n v="34469"/>
    <n v="1"/>
    <d v="1899-12-31T00:00:00"/>
    <d v="2014-05-04T00:00:00"/>
    <n v="58"/>
    <n v="6"/>
    <n v="5"/>
    <n v="5"/>
    <n v="4"/>
    <n v="78"/>
    <s v="&gt;50"/>
    <n v="9"/>
    <m/>
    <m/>
    <m/>
    <x v="1"/>
    <m/>
    <n v="12"/>
  </r>
  <r>
    <n v="8931"/>
    <n v="1986"/>
    <x v="0"/>
    <x v="1"/>
    <n v="83033"/>
    <n v="1"/>
    <d v="1899-12-30T00:00:00"/>
    <d v="2014-05-18T00:00:00"/>
    <n v="82"/>
    <n v="99"/>
    <n v="149"/>
    <n v="149"/>
    <n v="10"/>
    <n v="40"/>
    <s v="30-50"/>
    <n v="159"/>
    <m/>
    <m/>
    <m/>
    <x v="3"/>
    <m/>
    <n v="12"/>
  </r>
  <r>
    <n v="5871"/>
    <n v="1979"/>
    <x v="2"/>
    <x v="1"/>
    <n v="24401"/>
    <n v="0"/>
    <d v="1899-12-30T00:00:00"/>
    <d v="2012-08-31T00:00:00"/>
    <n v="98"/>
    <n v="28"/>
    <n v="24"/>
    <n v="24"/>
    <n v="6"/>
    <n v="47"/>
    <s v="30-50"/>
    <n v="30"/>
    <m/>
    <m/>
    <m/>
    <x v="2"/>
    <m/>
    <n v="14"/>
  </r>
  <r>
    <n v="2008"/>
    <n v="1978"/>
    <x v="0"/>
    <x v="2"/>
    <n v="77583"/>
    <n v="0"/>
    <d v="1899-12-30T00:00:00"/>
    <d v="2014-02-10T00:00:00"/>
    <n v="93"/>
    <n v="23"/>
    <n v="12"/>
    <n v="12"/>
    <n v="9"/>
    <n v="48"/>
    <s v="30-50"/>
    <n v="21"/>
    <m/>
    <m/>
    <m/>
    <x v="3"/>
    <m/>
    <n v="12"/>
  </r>
  <r>
    <n v="3139"/>
    <n v="1982"/>
    <x v="4"/>
    <x v="0"/>
    <n v="74116"/>
    <n v="0"/>
    <d v="1899-12-30T00:00:00"/>
    <d v="2013-12-30T00:00:00"/>
    <n v="53"/>
    <n v="111"/>
    <n v="55"/>
    <n v="55"/>
    <n v="10"/>
    <n v="44"/>
    <s v="30-50"/>
    <n v="65"/>
    <m/>
    <m/>
    <m/>
    <x v="0"/>
    <m/>
    <n v="13"/>
  </r>
  <r>
    <n v="10037"/>
    <n v="1993"/>
    <x v="0"/>
    <x v="0"/>
    <n v="74293"/>
    <n v="0"/>
    <d v="1899-12-30T00:00:00"/>
    <d v="2014-05-04T00:00:00"/>
    <n v="66"/>
    <n v="152"/>
    <n v="91"/>
    <n v="91"/>
    <n v="6"/>
    <n v="33"/>
    <s v="30-50"/>
    <n v="97"/>
    <m/>
    <m/>
    <m/>
    <x v="0"/>
    <m/>
    <n v="12"/>
  </r>
  <r>
    <n v="10673"/>
    <n v="1976"/>
    <x v="1"/>
    <x v="2"/>
    <n v="68397"/>
    <n v="0"/>
    <d v="1899-12-31T00:00:00"/>
    <d v="2013-11-17T00:00:00"/>
    <n v="6"/>
    <n v="80"/>
    <n v="13"/>
    <n v="13"/>
    <n v="5"/>
    <n v="50"/>
    <s v="30-50"/>
    <n v="18"/>
    <m/>
    <m/>
    <m/>
    <x v="0"/>
    <m/>
    <n v="13"/>
  </r>
  <r>
    <n v="5303"/>
    <n v="1974"/>
    <x v="1"/>
    <x v="1"/>
    <n v="79632"/>
    <n v="0"/>
    <d v="1899-12-30T00:00:00"/>
    <d v="2014-04-08T00:00:00"/>
    <n v="42"/>
    <n v="0"/>
    <n v="21"/>
    <n v="21"/>
    <n v="9"/>
    <n v="52"/>
    <s v="&gt;50"/>
    <n v="30"/>
    <m/>
    <m/>
    <m/>
    <x v="3"/>
    <m/>
    <n v="12"/>
  </r>
  <r>
    <n v="538"/>
    <n v="1989"/>
    <x v="0"/>
    <x v="0"/>
    <n v="46107"/>
    <n v="1"/>
    <d v="1899-12-30T00:00:00"/>
    <d v="2014-02-10T00:00:00"/>
    <n v="78"/>
    <n v="9"/>
    <n v="9"/>
    <n v="9"/>
    <n v="4"/>
    <n v="37"/>
    <s v="30-50"/>
    <n v="13"/>
    <m/>
    <m/>
    <m/>
    <x v="1"/>
    <m/>
    <n v="12"/>
  </r>
  <r>
    <n v="7922"/>
    <n v="1951"/>
    <x v="1"/>
    <x v="0"/>
    <n v="64950"/>
    <n v="0"/>
    <d v="1899-12-31T00:00:00"/>
    <d v="2012-08-12T00:00:00"/>
    <n v="29"/>
    <n v="0"/>
    <n v="0"/>
    <n v="0"/>
    <n v="10"/>
    <n v="75"/>
    <s v="&gt;50"/>
    <n v="10"/>
    <m/>
    <m/>
    <m/>
    <x v="0"/>
    <m/>
    <n v="14"/>
  </r>
  <r>
    <n v="5692"/>
    <n v="1989"/>
    <x v="3"/>
    <x v="2"/>
    <n v="25443"/>
    <n v="1"/>
    <d v="1899-12-30T00:00:00"/>
    <d v="2012-12-22T00:00:00"/>
    <n v="82"/>
    <n v="4"/>
    <n v="9"/>
    <n v="9"/>
    <n v="3"/>
    <n v="37"/>
    <s v="30-50"/>
    <n v="12"/>
    <m/>
    <m/>
    <m/>
    <x v="2"/>
    <m/>
    <n v="14"/>
  </r>
  <r>
    <n v="4843"/>
    <n v="1952"/>
    <x v="0"/>
    <x v="0"/>
    <n v="75127"/>
    <n v="0"/>
    <d v="1899-12-30T00:00:00"/>
    <d v="2014-05-22T00:00:00"/>
    <n v="92"/>
    <n v="35"/>
    <n v="17"/>
    <n v="17"/>
    <n v="5"/>
    <n v="74"/>
    <s v="&gt;50"/>
    <n v="22"/>
    <m/>
    <m/>
    <m/>
    <x v="3"/>
    <m/>
    <n v="12"/>
  </r>
  <r>
    <n v="6383"/>
    <n v="1971"/>
    <x v="1"/>
    <x v="1"/>
    <n v="32892"/>
    <n v="1"/>
    <d v="1899-12-30T00:00:00"/>
    <d v="2014-05-25T00:00:00"/>
    <n v="78"/>
    <n v="0"/>
    <n v="1"/>
    <n v="1"/>
    <n v="3"/>
    <n v="55"/>
    <s v="&gt;50"/>
    <n v="4"/>
    <m/>
    <m/>
    <m/>
    <x v="1"/>
    <m/>
    <n v="12"/>
  </r>
  <r>
    <n v="1628"/>
    <n v="1971"/>
    <x v="0"/>
    <x v="1"/>
    <n v="71796"/>
    <n v="0"/>
    <d v="1899-12-30T00:00:00"/>
    <d v="2013-10-24T00:00:00"/>
    <n v="54"/>
    <n v="21"/>
    <n v="75"/>
    <n v="75"/>
    <n v="4"/>
    <n v="55"/>
    <s v="&gt;50"/>
    <n v="79"/>
    <m/>
    <m/>
    <m/>
    <x v="0"/>
    <m/>
    <n v="13"/>
  </r>
  <r>
    <n v="1204"/>
    <n v="1970"/>
    <x v="1"/>
    <x v="2"/>
    <n v="67536"/>
    <n v="0"/>
    <d v="1899-12-31T00:00:00"/>
    <d v="2013-05-22T00:00:00"/>
    <n v="45"/>
    <n v="0"/>
    <n v="71"/>
    <n v="71"/>
    <n v="11"/>
    <n v="56"/>
    <s v="&gt;50"/>
    <n v="82"/>
    <m/>
    <m/>
    <m/>
    <x v="0"/>
    <m/>
    <n v="13"/>
  </r>
  <r>
    <n v="3673"/>
    <n v="1971"/>
    <x v="0"/>
    <x v="0"/>
    <n v="55239"/>
    <n v="0"/>
    <d v="1899-12-31T00:00:00"/>
    <d v="2013-07-14T00:00:00"/>
    <n v="59"/>
    <n v="17"/>
    <n v="24"/>
    <n v="24"/>
    <n v="11"/>
    <n v="55"/>
    <s v="&gt;50"/>
    <n v="35"/>
    <m/>
    <m/>
    <m/>
    <x v="0"/>
    <m/>
    <n v="13"/>
  </r>
  <r>
    <n v="760"/>
    <n v="1975"/>
    <x v="1"/>
    <x v="3"/>
    <n v="60554"/>
    <n v="1"/>
    <d v="1899-12-30T00:00:00"/>
    <d v="2013-08-09T00:00:00"/>
    <n v="8"/>
    <n v="7"/>
    <n v="15"/>
    <n v="15"/>
    <n v="9"/>
    <n v="51"/>
    <s v="&gt;50"/>
    <n v="24"/>
    <m/>
    <m/>
    <m/>
    <x v="0"/>
    <m/>
    <n v="13"/>
  </r>
  <r>
    <n v="8957"/>
    <n v="1952"/>
    <x v="4"/>
    <x v="0"/>
    <n v="64831"/>
    <n v="1"/>
    <d v="1899-12-31T00:00:00"/>
    <d v="2013-06-10T00:00:00"/>
    <n v="51"/>
    <n v="86"/>
    <n v="86"/>
    <n v="86"/>
    <n v="5"/>
    <n v="74"/>
    <s v="&gt;50"/>
    <n v="91"/>
    <m/>
    <m/>
    <m/>
    <x v="0"/>
    <m/>
    <n v="13"/>
  </r>
  <r>
    <n v="4128"/>
    <n v="1962"/>
    <x v="1"/>
    <x v="1"/>
    <n v="56067"/>
    <n v="0"/>
    <d v="1899-12-31T00:00:00"/>
    <d v="2013-07-20T00:00:00"/>
    <n v="51"/>
    <n v="12"/>
    <n v="6"/>
    <n v="6"/>
    <n v="7"/>
    <n v="64"/>
    <s v="&gt;50"/>
    <n v="13"/>
    <m/>
    <m/>
    <m/>
    <x v="0"/>
    <m/>
    <n v="13"/>
  </r>
  <r>
    <n v="6810"/>
    <n v="1983"/>
    <x v="0"/>
    <x v="3"/>
    <n v="82025"/>
    <n v="0"/>
    <d v="1899-12-30T00:00:00"/>
    <d v="2013-05-28T00:00:00"/>
    <n v="76"/>
    <n v="98"/>
    <n v="70"/>
    <n v="70"/>
    <n v="6"/>
    <n v="43"/>
    <s v="30-50"/>
    <n v="76"/>
    <m/>
    <m/>
    <m/>
    <x v="3"/>
    <m/>
    <n v="13"/>
  </r>
  <r>
    <n v="5386"/>
    <n v="1953"/>
    <x v="0"/>
    <x v="1"/>
    <n v="94384"/>
    <n v="0"/>
    <d v="1899-12-30T00:00:00"/>
    <d v="2013-03-04T00:00:00"/>
    <n v="62"/>
    <n v="24"/>
    <n v="45"/>
    <n v="45"/>
    <n v="5"/>
    <n v="73"/>
    <s v="&gt;50"/>
    <n v="50"/>
    <m/>
    <m/>
    <m/>
    <x v="3"/>
    <m/>
    <n v="13"/>
  </r>
  <r>
    <n v="8700"/>
    <n v="1986"/>
    <x v="3"/>
    <x v="0"/>
    <n v="14906"/>
    <n v="0"/>
    <d v="1899-12-30T00:00:00"/>
    <d v="2012-12-22T00:00:00"/>
    <n v="86"/>
    <n v="7"/>
    <n v="16"/>
    <n v="16"/>
    <n v="3"/>
    <n v="40"/>
    <s v="30-50"/>
    <n v="19"/>
    <m/>
    <m/>
    <m/>
    <x v="2"/>
    <m/>
    <n v="14"/>
  </r>
  <r>
    <n v="3202"/>
    <n v="1987"/>
    <x v="1"/>
    <x v="2"/>
    <n v="51563"/>
    <n v="0"/>
    <d v="1899-12-30T00:00:00"/>
    <d v="2012-10-01T00:00:00"/>
    <n v="60"/>
    <n v="0"/>
    <n v="0"/>
    <n v="0"/>
    <n v="10"/>
    <n v="39"/>
    <s v="30-50"/>
    <n v="10"/>
    <m/>
    <m/>
    <m/>
    <x v="0"/>
    <m/>
    <n v="14"/>
  </r>
  <r>
    <n v="1328"/>
    <n v="1982"/>
    <x v="4"/>
    <x v="2"/>
    <n v="57937"/>
    <n v="0"/>
    <d v="1899-12-31T00:00:00"/>
    <d v="2014-02-16T00:00:00"/>
    <n v="56"/>
    <n v="42"/>
    <n v="48"/>
    <n v="48"/>
    <n v="9"/>
    <n v="44"/>
    <s v="30-50"/>
    <n v="57"/>
    <m/>
    <m/>
    <m/>
    <x v="0"/>
    <m/>
    <n v="12"/>
  </r>
  <r>
    <n v="8405"/>
    <n v="1979"/>
    <x v="0"/>
    <x v="3"/>
    <n v="68274"/>
    <n v="1"/>
    <d v="1899-12-31T00:00:00"/>
    <d v="2013-09-30T00:00:00"/>
    <n v="83"/>
    <n v="25"/>
    <n v="25"/>
    <n v="25"/>
    <n v="5"/>
    <n v="47"/>
    <s v="30-50"/>
    <n v="30"/>
    <m/>
    <m/>
    <m/>
    <x v="0"/>
    <m/>
    <n v="13"/>
  </r>
  <r>
    <n v="6515"/>
    <n v="1977"/>
    <x v="0"/>
    <x v="1"/>
    <n v="39771"/>
    <n v="1"/>
    <d v="1899-12-30T00:00:00"/>
    <d v="2013-12-06T00:00:00"/>
    <n v="92"/>
    <n v="2"/>
    <n v="8"/>
    <n v="8"/>
    <n v="3"/>
    <n v="49"/>
    <s v="30-50"/>
    <n v="11"/>
    <m/>
    <m/>
    <m/>
    <x v="1"/>
    <m/>
    <n v="13"/>
  </r>
  <r>
    <n v="2882"/>
    <n v="1975"/>
    <x v="4"/>
    <x v="3"/>
    <n v="67893"/>
    <n v="0"/>
    <d v="1899-12-31T00:00:00"/>
    <d v="2012-10-01T00:00:00"/>
    <n v="31"/>
    <n v="28"/>
    <n v="18"/>
    <n v="18"/>
    <n v="9"/>
    <n v="51"/>
    <s v="&gt;50"/>
    <n v="27"/>
    <m/>
    <m/>
    <m/>
    <x v="0"/>
    <m/>
    <n v="14"/>
  </r>
  <r>
    <n v="7574"/>
    <n v="1979"/>
    <x v="1"/>
    <x v="1"/>
    <n v="27922"/>
    <n v="1"/>
    <d v="1899-12-30T00:00:00"/>
    <d v="2014-05-10T00:00:00"/>
    <n v="80"/>
    <n v="0"/>
    <n v="4"/>
    <n v="4"/>
    <n v="3"/>
    <n v="47"/>
    <s v="30-50"/>
    <n v="7"/>
    <m/>
    <m/>
    <m/>
    <x v="2"/>
    <m/>
    <n v="12"/>
  </r>
  <r>
    <n v="6387"/>
    <n v="1976"/>
    <x v="1"/>
    <x v="1"/>
    <n v="52190"/>
    <n v="1"/>
    <d v="1899-12-31T00:00:00"/>
    <d v="2014-05-08T00:00:00"/>
    <n v="39"/>
    <n v="0"/>
    <n v="0"/>
    <n v="0"/>
    <n v="3"/>
    <n v="50"/>
    <s v="30-50"/>
    <n v="3"/>
    <m/>
    <m/>
    <m/>
    <x v="0"/>
    <m/>
    <n v="12"/>
  </r>
  <r>
    <n v="5320"/>
    <n v="1973"/>
    <x v="2"/>
    <x v="3"/>
    <n v="44051"/>
    <n v="1"/>
    <d v="1899-12-31T00:00:00"/>
    <d v="2013-01-29T00:00:00"/>
    <n v="20"/>
    <n v="7"/>
    <n v="3"/>
    <n v="3"/>
    <n v="4"/>
    <n v="53"/>
    <s v="&gt;50"/>
    <n v="7"/>
    <m/>
    <m/>
    <m/>
    <x v="1"/>
    <m/>
    <n v="13"/>
  </r>
  <r>
    <n v="5048"/>
    <n v="1971"/>
    <x v="1"/>
    <x v="0"/>
    <n v="42767"/>
    <n v="2"/>
    <d v="1899-12-30T00:00:00"/>
    <d v="2013-05-11T00:00:00"/>
    <n v="53"/>
    <n v="6"/>
    <n v="5"/>
    <n v="5"/>
    <n v="2"/>
    <n v="55"/>
    <s v="&gt;50"/>
    <n v="7"/>
    <m/>
    <m/>
    <m/>
    <x v="1"/>
    <m/>
    <n v="13"/>
  </r>
  <r>
    <n v="8146"/>
    <n v="1976"/>
    <x v="2"/>
    <x v="1"/>
    <n v="46106"/>
    <n v="1"/>
    <d v="1899-12-31T00:00:00"/>
    <d v="2014-05-11T00:00:00"/>
    <n v="84"/>
    <n v="0"/>
    <n v="0"/>
    <n v="0"/>
    <n v="2"/>
    <n v="50"/>
    <s v="30-50"/>
    <n v="2"/>
    <m/>
    <m/>
    <m/>
    <x v="1"/>
    <m/>
    <n v="12"/>
  </r>
  <r>
    <n v="10031"/>
    <n v="1976"/>
    <x v="1"/>
    <x v="2"/>
    <n v="16927"/>
    <n v="1"/>
    <d v="1899-12-31T00:00:00"/>
    <d v="2013-02-10T00:00:00"/>
    <n v="50"/>
    <n v="2"/>
    <n v="1"/>
    <n v="1"/>
    <n v="4"/>
    <n v="50"/>
    <s v="30-50"/>
    <n v="5"/>
    <m/>
    <m/>
    <m/>
    <x v="2"/>
    <m/>
    <n v="13"/>
  </r>
  <r>
    <n v="5748"/>
    <n v="1965"/>
    <x v="0"/>
    <x v="2"/>
    <n v="59754"/>
    <n v="0"/>
    <d v="1899-12-31T00:00:00"/>
    <d v="2012-12-01T00:00:00"/>
    <n v="96"/>
    <n v="27"/>
    <n v="146"/>
    <n v="146"/>
    <n v="6"/>
    <n v="61"/>
    <s v="&gt;50"/>
    <n v="152"/>
    <m/>
    <m/>
    <m/>
    <x v="0"/>
    <m/>
    <n v="14"/>
  </r>
  <r>
    <n v="2134"/>
    <n v="1952"/>
    <x v="0"/>
    <x v="0"/>
    <n v="53700"/>
    <n v="0"/>
    <d v="1899-12-31T00:00:00"/>
    <d v="2012-08-17T00:00:00"/>
    <n v="94"/>
    <n v="5"/>
    <n v="41"/>
    <n v="41"/>
    <n v="8"/>
    <n v="74"/>
    <s v="&gt;50"/>
    <n v="49"/>
    <m/>
    <m/>
    <m/>
    <x v="0"/>
    <m/>
    <n v="14"/>
  </r>
  <r>
    <n v="1523"/>
    <n v="1973"/>
    <x v="0"/>
    <x v="2"/>
    <n v="59041"/>
    <n v="1"/>
    <d v="1899-12-31T00:00:00"/>
    <d v="2014-05-07T00:00:00"/>
    <n v="25"/>
    <n v="2"/>
    <n v="2"/>
    <n v="2"/>
    <n v="4"/>
    <n v="53"/>
    <s v="&gt;50"/>
    <n v="6"/>
    <m/>
    <m/>
    <m/>
    <x v="0"/>
    <m/>
    <n v="12"/>
  </r>
  <r>
    <n v="9665"/>
    <n v="1957"/>
    <x v="1"/>
    <x v="3"/>
    <n v="54237"/>
    <n v="0"/>
    <d v="1899-12-31T00:00:00"/>
    <d v="2013-04-27T00:00:00"/>
    <n v="48"/>
    <n v="3"/>
    <n v="0"/>
    <n v="0"/>
    <n v="5"/>
    <n v="69"/>
    <s v="&gt;50"/>
    <n v="5"/>
    <m/>
    <m/>
    <m/>
    <x v="0"/>
    <m/>
    <n v="13"/>
  </r>
  <r>
    <n v="4640"/>
    <n v="1967"/>
    <x v="0"/>
    <x v="3"/>
    <n v="70647"/>
    <n v="0"/>
    <d v="1899-12-31T00:00:00"/>
    <d v="2012-09-21T00:00:00"/>
    <n v="65"/>
    <n v="85"/>
    <n v="123"/>
    <n v="123"/>
    <n v="13"/>
    <n v="59"/>
    <s v="&gt;50"/>
    <n v="136"/>
    <m/>
    <m/>
    <m/>
    <x v="0"/>
    <m/>
    <n v="14"/>
  </r>
  <r>
    <n v="3635"/>
    <n v="1962"/>
    <x v="1"/>
    <x v="0"/>
    <n v="52597"/>
    <n v="0"/>
    <d v="1899-12-31T00:00:00"/>
    <d v="2014-05-07T00:00:00"/>
    <n v="69"/>
    <n v="0"/>
    <n v="0"/>
    <n v="0"/>
    <n v="8"/>
    <n v="64"/>
    <s v="&gt;50"/>
    <n v="8"/>
    <m/>
    <m/>
    <m/>
    <x v="0"/>
    <m/>
    <n v="12"/>
  </r>
  <r>
    <n v="3547"/>
    <n v="1969"/>
    <x v="2"/>
    <x v="1"/>
    <n v="41021"/>
    <n v="1"/>
    <d v="1899-12-30T00:00:00"/>
    <d v="2012-12-30T00:00:00"/>
    <n v="12"/>
    <n v="7"/>
    <n v="16"/>
    <n v="16"/>
    <n v="3"/>
    <n v="57"/>
    <s v="&gt;50"/>
    <n v="19"/>
    <m/>
    <m/>
    <m/>
    <x v="1"/>
    <m/>
    <n v="14"/>
  </r>
  <r>
    <n v="2456"/>
    <n v="1975"/>
    <x v="1"/>
    <x v="2"/>
    <n v="40233"/>
    <n v="0"/>
    <d v="1899-12-31T00:00:00"/>
    <d v="2013-10-14T00:00:00"/>
    <n v="84"/>
    <n v="4"/>
    <n v="17"/>
    <n v="17"/>
    <n v="5"/>
    <n v="51"/>
    <s v="&gt;50"/>
    <n v="22"/>
    <m/>
    <m/>
    <m/>
    <x v="1"/>
    <m/>
    <n v="13"/>
  </r>
  <r>
    <n v="5633"/>
    <n v="1980"/>
    <x v="0"/>
    <x v="2"/>
    <n v="50183"/>
    <n v="1"/>
    <d v="1899-12-31T00:00:00"/>
    <d v="2014-06-25T00:00:00"/>
    <n v="47"/>
    <n v="12"/>
    <n v="10"/>
    <n v="10"/>
    <n v="6"/>
    <n v="46"/>
    <s v="30-50"/>
    <n v="16"/>
    <m/>
    <m/>
    <m/>
    <x v="0"/>
    <m/>
    <n v="12"/>
  </r>
  <r>
    <n v="7801"/>
    <n v="1959"/>
    <x v="0"/>
    <x v="1"/>
    <n v="54753"/>
    <n v="0"/>
    <d v="1899-12-31T00:00:00"/>
    <d v="2013-09-12T00:00:00"/>
    <n v="87"/>
    <n v="107"/>
    <n v="59"/>
    <n v="59"/>
    <n v="11"/>
    <n v="67"/>
    <s v="&gt;50"/>
    <n v="70"/>
    <m/>
    <m/>
    <m/>
    <x v="0"/>
    <m/>
    <n v="13"/>
  </r>
  <r>
    <n v="10489"/>
    <n v="1973"/>
    <x v="0"/>
    <x v="2"/>
    <n v="92955"/>
    <n v="0"/>
    <d v="1899-12-30T00:00:00"/>
    <d v="2013-08-19T00:00:00"/>
    <n v="35"/>
    <n v="21"/>
    <n v="24"/>
    <n v="24"/>
    <n v="9"/>
    <n v="53"/>
    <s v="&gt;50"/>
    <n v="33"/>
    <m/>
    <m/>
    <m/>
    <x v="3"/>
    <m/>
    <n v="13"/>
  </r>
  <r>
    <n v="7011"/>
    <n v="1973"/>
    <x v="0"/>
    <x v="2"/>
    <n v="33471"/>
    <n v="1"/>
    <d v="1899-12-30T00:00:00"/>
    <d v="2012-10-12T00:00:00"/>
    <n v="47"/>
    <n v="2"/>
    <n v="9"/>
    <n v="9"/>
    <n v="4"/>
    <n v="53"/>
    <s v="&gt;50"/>
    <n v="13"/>
    <m/>
    <m/>
    <m/>
    <x v="1"/>
    <m/>
    <n v="14"/>
  </r>
  <r>
    <n v="2620"/>
    <n v="1974"/>
    <x v="1"/>
    <x v="2"/>
    <n v="34596"/>
    <n v="1"/>
    <d v="1899-12-30T00:00:00"/>
    <d v="2013-04-13T00:00:00"/>
    <n v="48"/>
    <n v="0"/>
    <n v="0"/>
    <n v="0"/>
    <n v="2"/>
    <n v="52"/>
    <s v="&gt;50"/>
    <n v="2"/>
    <m/>
    <m/>
    <m/>
    <x v="1"/>
    <m/>
    <n v="13"/>
  </r>
  <r>
    <n v="3933"/>
    <n v="1980"/>
    <x v="0"/>
    <x v="1"/>
    <n v="44010"/>
    <n v="1"/>
    <d v="1899-12-30T00:00:00"/>
    <d v="2012-10-13T00:00:00"/>
    <n v="46"/>
    <n v="36"/>
    <n v="72"/>
    <n v="72"/>
    <n v="6"/>
    <n v="46"/>
    <s v="30-50"/>
    <n v="78"/>
    <m/>
    <m/>
    <m/>
    <x v="1"/>
    <m/>
    <n v="14"/>
  </r>
  <r>
    <n v="10981"/>
    <n v="1988"/>
    <x v="0"/>
    <x v="2"/>
    <n v="84219"/>
    <n v="0"/>
    <d v="1899-12-30T00:00:00"/>
    <d v="2014-02-02T00:00:00"/>
    <n v="27"/>
    <n v="137"/>
    <n v="137"/>
    <n v="137"/>
    <n v="10"/>
    <n v="38"/>
    <s v="30-50"/>
    <n v="147"/>
    <m/>
    <m/>
    <m/>
    <x v="3"/>
    <m/>
    <n v="12"/>
  </r>
  <r>
    <n v="1734"/>
    <n v="1968"/>
    <x v="1"/>
    <x v="1"/>
    <n v="40706"/>
    <n v="2"/>
    <d v="1899-12-31T00:00:00"/>
    <d v="2013-01-17T00:00:00"/>
    <n v="37"/>
    <n v="0"/>
    <n v="2"/>
    <n v="2"/>
    <n v="4"/>
    <n v="58"/>
    <s v="&gt;50"/>
    <n v="6"/>
    <m/>
    <m/>
    <m/>
    <x v="1"/>
    <m/>
    <n v="13"/>
  </r>
  <r>
    <n v="10995"/>
    <n v="1988"/>
    <x v="4"/>
    <x v="2"/>
    <n v="15716"/>
    <n v="1"/>
    <d v="1899-12-30T00:00:00"/>
    <d v="2012-11-12T00:00:00"/>
    <n v="8"/>
    <n v="5"/>
    <n v="7"/>
    <n v="7"/>
    <n v="4"/>
    <n v="38"/>
    <s v="30-50"/>
    <n v="11"/>
    <m/>
    <m/>
    <m/>
    <x v="2"/>
    <m/>
    <n v="14"/>
  </r>
  <r>
    <n v="6357"/>
    <n v="1959"/>
    <x v="4"/>
    <x v="3"/>
    <n v="59052"/>
    <n v="0"/>
    <d v="1899-12-31T00:00:00"/>
    <d v="2013-11-17T00:00:00"/>
    <n v="29"/>
    <n v="35"/>
    <n v="57"/>
    <n v="57"/>
    <n v="7"/>
    <n v="67"/>
    <s v="&gt;50"/>
    <n v="64"/>
    <m/>
    <m/>
    <m/>
    <x v="0"/>
    <m/>
    <n v="13"/>
  </r>
  <r>
    <n v="9209"/>
    <n v="1971"/>
    <x v="2"/>
    <x v="1"/>
    <n v="80573"/>
    <n v="0"/>
    <d v="1899-12-30T00:00:00"/>
    <d v="2012-10-14T00:00:00"/>
    <n v="85"/>
    <n v="138"/>
    <n v="92"/>
    <n v="92"/>
    <n v="13"/>
    <n v="55"/>
    <s v="&gt;50"/>
    <n v="105"/>
    <m/>
    <m/>
    <m/>
    <x v="3"/>
    <m/>
    <n v="14"/>
  </r>
  <r>
    <n v="10286"/>
    <n v="1962"/>
    <x v="0"/>
    <x v="2"/>
    <n v="83715"/>
    <n v="0"/>
    <d v="1899-12-30T00:00:00"/>
    <d v="2014-02-03T00:00:00"/>
    <n v="2"/>
    <n v="8"/>
    <n v="35"/>
    <n v="35"/>
    <n v="13"/>
    <n v="64"/>
    <s v="&gt;50"/>
    <n v="48"/>
    <m/>
    <m/>
    <m/>
    <x v="3"/>
    <m/>
    <n v="12"/>
  </r>
  <r>
    <n v="2611"/>
    <n v="1959"/>
    <x v="2"/>
    <x v="1"/>
    <n v="82576"/>
    <n v="0"/>
    <d v="1899-12-30T00:00:00"/>
    <d v="2012-08-01T00:00:00"/>
    <n v="66"/>
    <n v="55"/>
    <n v="18"/>
    <n v="18"/>
    <n v="12"/>
    <n v="67"/>
    <s v="&gt;50"/>
    <n v="30"/>
    <m/>
    <m/>
    <m/>
    <x v="3"/>
    <m/>
    <n v="14"/>
  </r>
  <r>
    <n v="1600"/>
    <n v="1965"/>
    <x v="2"/>
    <x v="2"/>
    <n v="56962"/>
    <n v="2"/>
    <d v="1899-12-31T00:00:00"/>
    <d v="2013-10-11T00:00:00"/>
    <n v="60"/>
    <n v="3"/>
    <n v="3"/>
    <n v="3"/>
    <n v="5"/>
    <n v="61"/>
    <s v="&gt;50"/>
    <n v="8"/>
    <m/>
    <m/>
    <m/>
    <x v="0"/>
    <m/>
    <n v="13"/>
  </r>
  <r>
    <n v="3308"/>
    <n v="1952"/>
    <x v="0"/>
    <x v="2"/>
    <n v="35704"/>
    <n v="1"/>
    <d v="1899-12-31T00:00:00"/>
    <d v="2014-01-03T00:00:00"/>
    <n v="54"/>
    <n v="9"/>
    <n v="11"/>
    <n v="11"/>
    <n v="4"/>
    <n v="74"/>
    <s v="&gt;50"/>
    <n v="15"/>
    <m/>
    <m/>
    <m/>
    <x v="1"/>
    <m/>
    <n v="12"/>
  </r>
  <r>
    <n v="5407"/>
    <n v="1954"/>
    <x v="0"/>
    <x v="1"/>
    <n v="53103"/>
    <n v="0"/>
    <d v="1899-12-31T00:00:00"/>
    <d v="2013-09-12T00:00:00"/>
    <n v="70"/>
    <n v="17"/>
    <n v="0"/>
    <n v="0"/>
    <n v="7"/>
    <n v="72"/>
    <s v="&gt;50"/>
    <n v="7"/>
    <m/>
    <m/>
    <m/>
    <x v="0"/>
    <m/>
    <n v="13"/>
  </r>
  <r>
    <n v="2166"/>
    <n v="1960"/>
    <x v="4"/>
    <x v="4"/>
    <n v="46779"/>
    <n v="1"/>
    <d v="1899-12-31T00:00:00"/>
    <d v="2013-07-12T00:00:00"/>
    <n v="55"/>
    <n v="1"/>
    <n v="0"/>
    <n v="0"/>
    <n v="2"/>
    <n v="66"/>
    <s v="&gt;50"/>
    <n v="2"/>
    <m/>
    <m/>
    <m/>
    <x v="1"/>
    <m/>
    <n v="13"/>
  </r>
  <r>
    <n v="3955"/>
    <n v="1965"/>
    <x v="0"/>
    <x v="3"/>
    <n v="4861"/>
    <n v="0"/>
    <d v="1899-12-30T00:00:00"/>
    <d v="2014-06-22T00:00:00"/>
    <n v="20"/>
    <n v="1"/>
    <n v="0"/>
    <n v="0"/>
    <n v="0"/>
    <n v="61"/>
    <s v="&gt;50"/>
    <n v="0"/>
    <m/>
    <m/>
    <m/>
    <x v="2"/>
    <m/>
    <n v="12"/>
  </r>
  <r>
    <n v="6634"/>
    <n v="1979"/>
    <x v="2"/>
    <x v="3"/>
    <n v="33462"/>
    <n v="1"/>
    <d v="1899-12-30T00:00:00"/>
    <d v="2013-08-07T00:00:00"/>
    <n v="78"/>
    <n v="3"/>
    <n v="0"/>
    <n v="0"/>
    <n v="3"/>
    <n v="47"/>
    <s v="30-50"/>
    <n v="3"/>
    <m/>
    <m/>
    <m/>
    <x v="1"/>
    <m/>
    <n v="13"/>
  </r>
  <r>
    <n v="3056"/>
    <n v="1978"/>
    <x v="0"/>
    <x v="3"/>
    <n v="63693"/>
    <n v="0"/>
    <d v="1899-12-31T00:00:00"/>
    <d v="2013-10-14T00:00:00"/>
    <n v="63"/>
    <n v="43"/>
    <n v="87"/>
    <n v="87"/>
    <n v="9"/>
    <n v="48"/>
    <s v="30-50"/>
    <n v="96"/>
    <m/>
    <m/>
    <m/>
    <x v="0"/>
    <m/>
    <n v="13"/>
  </r>
  <r>
    <n v="5718"/>
    <n v="1950"/>
    <x v="0"/>
    <x v="2"/>
    <n v="80763"/>
    <n v="0"/>
    <d v="1899-12-30T00:00:00"/>
    <d v="2013-08-15T00:00:00"/>
    <n v="17"/>
    <n v="168"/>
    <n v="42"/>
    <n v="42"/>
    <n v="6"/>
    <n v="76"/>
    <s v="&gt;50"/>
    <n v="48"/>
    <m/>
    <m/>
    <m/>
    <x v="3"/>
    <m/>
    <n v="13"/>
  </r>
  <r>
    <n v="6872"/>
    <n v="1974"/>
    <x v="1"/>
    <x v="2"/>
    <n v="65352"/>
    <n v="0"/>
    <d v="1899-12-31T00:00:00"/>
    <d v="2013-08-21T00:00:00"/>
    <n v="43"/>
    <n v="3"/>
    <n v="7"/>
    <n v="7"/>
    <n v="8"/>
    <n v="52"/>
    <s v="&gt;50"/>
    <n v="15"/>
    <m/>
    <m/>
    <m/>
    <x v="0"/>
    <m/>
    <n v="13"/>
  </r>
  <r>
    <n v="8164"/>
    <n v="1978"/>
    <x v="1"/>
    <x v="2"/>
    <n v="82170"/>
    <n v="0"/>
    <d v="1899-12-30T00:00:00"/>
    <d v="2013-11-25T00:00:00"/>
    <n v="13"/>
    <n v="93"/>
    <n v="55"/>
    <n v="55"/>
    <n v="7"/>
    <n v="48"/>
    <s v="30-50"/>
    <n v="62"/>
    <m/>
    <m/>
    <m/>
    <x v="3"/>
    <m/>
    <n v="13"/>
  </r>
  <r>
    <n v="4580"/>
    <n v="1969"/>
    <x v="0"/>
    <x v="2"/>
    <n v="75759"/>
    <n v="0"/>
    <d v="1899-12-30T00:00:00"/>
    <d v="2013-10-25T00:00:00"/>
    <n v="46"/>
    <n v="22"/>
    <n v="91"/>
    <n v="91"/>
    <n v="9"/>
    <n v="57"/>
    <s v="&gt;50"/>
    <n v="100"/>
    <m/>
    <m/>
    <m/>
    <x v="3"/>
    <m/>
    <n v="13"/>
  </r>
  <r>
    <n v="9305"/>
    <n v="1976"/>
    <x v="4"/>
    <x v="0"/>
    <n v="79689"/>
    <n v="0"/>
    <d v="1899-12-30T00:00:00"/>
    <d v="2013-05-12T00:00:00"/>
    <n v="65"/>
    <n v="26"/>
    <n v="37"/>
    <n v="37"/>
    <n v="13"/>
    <n v="50"/>
    <s v="30-50"/>
    <n v="50"/>
    <m/>
    <m/>
    <m/>
    <x v="3"/>
    <m/>
    <n v="13"/>
  </r>
  <r>
    <n v="453"/>
    <n v="1956"/>
    <x v="1"/>
    <x v="4"/>
    <n v="35340"/>
    <n v="1"/>
    <d v="1899-12-31T00:00:00"/>
    <d v="2014-06-29T00:00:00"/>
    <n v="1"/>
    <n v="0"/>
    <n v="1"/>
    <n v="1"/>
    <n v="3"/>
    <n v="70"/>
    <s v="&gt;50"/>
    <n v="4"/>
    <m/>
    <m/>
    <m/>
    <x v="1"/>
    <m/>
    <n v="12"/>
  </r>
  <r>
    <n v="8545"/>
    <n v="1954"/>
    <x v="0"/>
    <x v="3"/>
    <n v="85683"/>
    <n v="0"/>
    <d v="1899-12-30T00:00:00"/>
    <d v="2014-03-21T00:00:00"/>
    <n v="6"/>
    <n v="17"/>
    <n v="69"/>
    <n v="69"/>
    <n v="10"/>
    <n v="72"/>
    <s v="&gt;50"/>
    <n v="79"/>
    <m/>
    <m/>
    <m/>
    <x v="3"/>
    <m/>
    <n v="12"/>
  </r>
  <r>
    <n v="9850"/>
    <n v="1972"/>
    <x v="4"/>
    <x v="2"/>
    <n v="24884"/>
    <n v="1"/>
    <d v="1899-12-30T00:00:00"/>
    <d v="2012-11-29T00:00:00"/>
    <n v="32"/>
    <n v="6"/>
    <n v="0"/>
    <n v="0"/>
    <n v="3"/>
    <n v="54"/>
    <s v="&gt;50"/>
    <n v="3"/>
    <m/>
    <m/>
    <m/>
    <x v="2"/>
    <m/>
    <n v="14"/>
  </r>
  <r>
    <n v="7378"/>
    <n v="1981"/>
    <x v="2"/>
    <x v="1"/>
    <n v="42021"/>
    <n v="1"/>
    <d v="1899-12-30T00:00:00"/>
    <d v="2012-08-31T00:00:00"/>
    <n v="34"/>
    <n v="5"/>
    <n v="5"/>
    <n v="5"/>
    <n v="6"/>
    <n v="45"/>
    <s v="30-50"/>
    <n v="11"/>
    <m/>
    <m/>
    <m/>
    <x v="1"/>
    <m/>
    <n v="14"/>
  </r>
  <r>
    <n v="7646"/>
    <n v="1989"/>
    <x v="0"/>
    <x v="0"/>
    <n v="64449"/>
    <n v="1"/>
    <d v="1899-12-30T00:00:00"/>
    <d v="2014-02-18T00:00:00"/>
    <n v="70"/>
    <n v="63"/>
    <n v="35"/>
    <n v="35"/>
    <n v="12"/>
    <n v="37"/>
    <s v="30-50"/>
    <n v="47"/>
    <m/>
    <m/>
    <m/>
    <x v="0"/>
    <m/>
    <n v="12"/>
  </r>
  <r>
    <n v="1640"/>
    <n v="1954"/>
    <x v="0"/>
    <x v="3"/>
    <n v="64587"/>
    <n v="1"/>
    <d v="1899-12-31T00:00:00"/>
    <d v="2014-06-22T00:00:00"/>
    <n v="49"/>
    <n v="0"/>
    <n v="6"/>
    <n v="6"/>
    <n v="4"/>
    <n v="72"/>
    <s v="&gt;50"/>
    <n v="10"/>
    <m/>
    <m/>
    <m/>
    <x v="0"/>
    <m/>
    <n v="12"/>
  </r>
  <r>
    <n v="5184"/>
    <n v="1995"/>
    <x v="0"/>
    <x v="0"/>
    <n v="34824"/>
    <n v="0"/>
    <d v="1899-12-30T00:00:00"/>
    <d v="2014-03-26T00:00:00"/>
    <n v="65"/>
    <n v="2"/>
    <n v="0"/>
    <n v="0"/>
    <n v="2"/>
    <n v="31"/>
    <s v="30-50"/>
    <n v="2"/>
    <m/>
    <m/>
    <m/>
    <x v="1"/>
    <m/>
    <n v="12"/>
  </r>
  <r>
    <n v="8492"/>
    <n v="1978"/>
    <x v="0"/>
    <x v="1"/>
    <n v="75437"/>
    <n v="0"/>
    <d v="1899-12-30T00:00:00"/>
    <d v="2013-11-09T00:00:00"/>
    <n v="25"/>
    <n v="0"/>
    <n v="58"/>
    <n v="58"/>
    <n v="10"/>
    <n v="48"/>
    <s v="30-50"/>
    <n v="68"/>
    <m/>
    <m/>
    <m/>
    <x v="3"/>
    <m/>
    <n v="13"/>
  </r>
  <r>
    <n v="11188"/>
    <n v="1957"/>
    <x v="0"/>
    <x v="1"/>
    <n v="26091"/>
    <n v="1"/>
    <d v="1899-12-31T00:00:00"/>
    <d v="2014-02-25T00:00:00"/>
    <n v="84"/>
    <n v="10"/>
    <n v="17"/>
    <n v="17"/>
    <n v="3"/>
    <n v="69"/>
    <s v="&gt;50"/>
    <n v="20"/>
    <m/>
    <m/>
    <m/>
    <x v="2"/>
    <m/>
    <n v="12"/>
  </r>
  <r>
    <n v="1212"/>
    <n v="1973"/>
    <x v="0"/>
    <x v="2"/>
    <n v="52845"/>
    <n v="1"/>
    <d v="1899-12-30T00:00:00"/>
    <d v="2013-08-13T00:00:00"/>
    <n v="7"/>
    <n v="25"/>
    <n v="41"/>
    <n v="41"/>
    <n v="6"/>
    <n v="53"/>
    <s v="&gt;50"/>
    <n v="47"/>
    <m/>
    <m/>
    <m/>
    <x v="0"/>
    <m/>
    <n v="13"/>
  </r>
  <r>
    <n v="9097"/>
    <n v="1956"/>
    <x v="0"/>
    <x v="3"/>
    <n v="46086"/>
    <n v="0"/>
    <d v="1899-12-31T00:00:00"/>
    <d v="2013-11-03T00:00:00"/>
    <n v="34"/>
    <n v="8"/>
    <n v="2"/>
    <n v="2"/>
    <n v="8"/>
    <n v="70"/>
    <s v="&gt;50"/>
    <n v="10"/>
    <m/>
    <m/>
    <m/>
    <x v="1"/>
    <m/>
    <n v="13"/>
  </r>
  <r>
    <n v="10473"/>
    <n v="1956"/>
    <x v="1"/>
    <x v="4"/>
    <n v="78028"/>
    <n v="0"/>
    <d v="1899-12-31T00:00:00"/>
    <d v="2012-09-10T00:00:00"/>
    <n v="38"/>
    <n v="19"/>
    <n v="0"/>
    <n v="0"/>
    <n v="9"/>
    <n v="70"/>
    <s v="&gt;50"/>
    <n v="9"/>
    <m/>
    <m/>
    <m/>
    <x v="3"/>
    <m/>
    <n v="14"/>
  </r>
  <r>
    <n v="7962"/>
    <n v="1987"/>
    <x v="1"/>
    <x v="0"/>
    <n v="95169"/>
    <n v="0"/>
    <d v="1899-12-30T00:00:00"/>
    <d v="2013-10-09T00:00:00"/>
    <n v="1"/>
    <n v="21"/>
    <n v="20"/>
    <n v="20"/>
    <n v="4"/>
    <n v="39"/>
    <s v="30-50"/>
    <n v="24"/>
    <m/>
    <m/>
    <m/>
    <x v="3"/>
    <m/>
    <n v="13"/>
  </r>
  <r>
    <n v="9984"/>
    <n v="1981"/>
    <x v="4"/>
    <x v="2"/>
    <n v="56337"/>
    <n v="1"/>
    <d v="1899-12-31T00:00:00"/>
    <d v="2013-03-27T00:00:00"/>
    <n v="25"/>
    <n v="16"/>
    <n v="5"/>
    <n v="5"/>
    <n v="4"/>
    <n v="45"/>
    <s v="30-50"/>
    <n v="9"/>
    <m/>
    <m/>
    <m/>
    <x v="0"/>
    <m/>
    <n v="13"/>
  </r>
  <r>
    <n v="5527"/>
    <n v="1987"/>
    <x v="0"/>
    <x v="1"/>
    <n v="22434"/>
    <n v="1"/>
    <d v="1899-12-30T00:00:00"/>
    <d v="2013-02-13T00:00:00"/>
    <n v="25"/>
    <n v="12"/>
    <n v="13"/>
    <n v="13"/>
    <n v="3"/>
    <n v="39"/>
    <s v="30-50"/>
    <n v="16"/>
    <m/>
    <m/>
    <m/>
    <x v="2"/>
    <m/>
    <n v="13"/>
  </r>
  <r>
    <n v="6374"/>
    <n v="1954"/>
    <x v="1"/>
    <x v="2"/>
    <n v="36930"/>
    <n v="0"/>
    <d v="1899-12-31T00:00:00"/>
    <d v="2013-05-17T00:00:00"/>
    <n v="50"/>
    <n v="2"/>
    <n v="2"/>
    <n v="2"/>
    <n v="4"/>
    <n v="72"/>
    <s v="&gt;50"/>
    <n v="6"/>
    <m/>
    <m/>
    <m/>
    <x v="1"/>
    <m/>
    <n v="13"/>
  </r>
  <r>
    <n v="7453"/>
    <n v="1954"/>
    <x v="0"/>
    <x v="0"/>
    <n v="36130"/>
    <n v="0"/>
    <d v="1899-12-31T00:00:00"/>
    <d v="2013-02-02T00:00:00"/>
    <n v="46"/>
    <n v="43"/>
    <n v="56"/>
    <n v="56"/>
    <n v="4"/>
    <n v="72"/>
    <s v="&gt;50"/>
    <n v="60"/>
    <m/>
    <m/>
    <m/>
    <x v="1"/>
    <m/>
    <n v="13"/>
  </r>
  <r>
    <n v="8952"/>
    <n v="1953"/>
    <x v="2"/>
    <x v="2"/>
    <n v="65569"/>
    <n v="0"/>
    <d v="1899-12-31T00:00:00"/>
    <d v="2012-11-05T00:00:00"/>
    <n v="96"/>
    <n v="46"/>
    <n v="38"/>
    <n v="38"/>
    <n v="10"/>
    <n v="73"/>
    <s v="&gt;50"/>
    <n v="48"/>
    <m/>
    <m/>
    <m/>
    <x v="0"/>
    <m/>
    <n v="14"/>
  </r>
  <r>
    <n v="241"/>
    <n v="1952"/>
    <x v="0"/>
    <x v="1"/>
    <n v="83844"/>
    <n v="0"/>
    <d v="1899-12-30T00:00:00"/>
    <d v="2013-05-12T00:00:00"/>
    <n v="57"/>
    <n v="31"/>
    <n v="31"/>
    <n v="31"/>
    <n v="11"/>
    <n v="74"/>
    <s v="&gt;50"/>
    <n v="42"/>
    <m/>
    <m/>
    <m/>
    <x v="3"/>
    <m/>
    <n v="13"/>
  </r>
  <r>
    <n v="8975"/>
    <n v="1968"/>
    <x v="0"/>
    <x v="2"/>
    <n v="19514"/>
    <n v="1"/>
    <d v="1899-12-31T00:00:00"/>
    <d v="2014-01-26T00:00:00"/>
    <n v="47"/>
    <n v="3"/>
    <n v="1"/>
    <n v="1"/>
    <n v="2"/>
    <n v="58"/>
    <s v="&gt;50"/>
    <n v="3"/>
    <m/>
    <m/>
    <m/>
    <x v="2"/>
    <m/>
    <n v="12"/>
  </r>
  <r>
    <n v="6119"/>
    <n v="1963"/>
    <x v="1"/>
    <x v="0"/>
    <n v="36736"/>
    <n v="1"/>
    <d v="1899-12-31T00:00:00"/>
    <d v="2013-05-10T00:00:00"/>
    <n v="52"/>
    <n v="0"/>
    <n v="0"/>
    <n v="0"/>
    <n v="2"/>
    <n v="63"/>
    <s v="&gt;50"/>
    <n v="2"/>
    <m/>
    <m/>
    <m/>
    <x v="1"/>
    <m/>
    <n v="13"/>
  </r>
  <r>
    <n v="5236"/>
    <n v="1979"/>
    <x v="0"/>
    <x v="1"/>
    <n v="77568"/>
    <n v="0"/>
    <d v="1899-12-31T00:00:00"/>
    <d v="2012-08-25T00:00:00"/>
    <n v="30"/>
    <n v="0"/>
    <n v="178"/>
    <n v="178"/>
    <n v="8"/>
    <n v="47"/>
    <s v="30-50"/>
    <n v="186"/>
    <m/>
    <m/>
    <m/>
    <x v="3"/>
    <m/>
    <n v="14"/>
  </r>
  <r>
    <n v="5723"/>
    <n v="1976"/>
    <x v="1"/>
    <x v="1"/>
    <n v="49187"/>
    <n v="0"/>
    <d v="1899-12-31T00:00:00"/>
    <d v="2014-01-11T00:00:00"/>
    <n v="63"/>
    <n v="1"/>
    <n v="1"/>
    <n v="1"/>
    <n v="5"/>
    <n v="50"/>
    <s v="30-50"/>
    <n v="6"/>
    <m/>
    <m/>
    <m/>
    <x v="1"/>
    <m/>
    <n v="12"/>
  </r>
  <r>
    <n v="1710"/>
    <n v="1978"/>
    <x v="0"/>
    <x v="0"/>
    <n v="30168"/>
    <n v="1"/>
    <d v="1899-12-30T00:00:00"/>
    <d v="2013-03-07T00:00:00"/>
    <n v="51"/>
    <n v="20"/>
    <n v="12"/>
    <n v="12"/>
    <n v="4"/>
    <n v="48"/>
    <s v="30-50"/>
    <n v="16"/>
    <m/>
    <m/>
    <m/>
    <x v="1"/>
    <m/>
    <n v="13"/>
  </r>
  <r>
    <n v="1970"/>
    <n v="1968"/>
    <x v="2"/>
    <x v="1"/>
    <n v="34053"/>
    <n v="0"/>
    <d v="1899-12-31T00:00:00"/>
    <d v="2012-09-10T00:00:00"/>
    <n v="14"/>
    <n v="0"/>
    <n v="0"/>
    <n v="0"/>
    <n v="3"/>
    <n v="58"/>
    <s v="&gt;50"/>
    <n v="3"/>
    <m/>
    <m/>
    <m/>
    <x v="1"/>
    <m/>
    <n v="14"/>
  </r>
  <r>
    <n v="5313"/>
    <n v="1971"/>
    <x v="2"/>
    <x v="2"/>
    <n v="38196"/>
    <n v="1"/>
    <d v="1899-12-31T00:00:00"/>
    <d v="2014-04-18T00:00:00"/>
    <n v="20"/>
    <n v="0"/>
    <n v="0"/>
    <n v="0"/>
    <n v="4"/>
    <n v="55"/>
    <s v="&gt;50"/>
    <n v="4"/>
    <m/>
    <m/>
    <m/>
    <x v="1"/>
    <m/>
    <n v="12"/>
  </r>
  <r>
    <n v="10634"/>
    <n v="1951"/>
    <x v="2"/>
    <x v="2"/>
    <n v="59412"/>
    <n v="0"/>
    <d v="1899-12-30T00:00:00"/>
    <d v="2014-04-19T00:00:00"/>
    <n v="56"/>
    <n v="67"/>
    <n v="43"/>
    <n v="43"/>
    <n v="8"/>
    <n v="75"/>
    <s v="&gt;50"/>
    <n v="51"/>
    <m/>
    <m/>
    <m/>
    <x v="0"/>
    <m/>
    <n v="12"/>
  </r>
  <r>
    <n v="7010"/>
    <n v="1965"/>
    <x v="4"/>
    <x v="2"/>
    <n v="70924"/>
    <n v="0"/>
    <d v="1899-12-30T00:00:00"/>
    <d v="2014-04-07T00:00:00"/>
    <n v="41"/>
    <n v="114"/>
    <n v="152"/>
    <n v="152"/>
    <n v="7"/>
    <n v="61"/>
    <s v="&gt;50"/>
    <n v="159"/>
    <m/>
    <m/>
    <m/>
    <x v="0"/>
    <m/>
    <n v="12"/>
  </r>
  <r>
    <n v="8562"/>
    <n v="1969"/>
    <x v="0"/>
    <x v="1"/>
    <n v="54165"/>
    <n v="0"/>
    <d v="1899-12-30T00:00:00"/>
    <d v="2013-05-28T00:00:00"/>
    <n v="72"/>
    <n v="4"/>
    <n v="6"/>
    <n v="6"/>
    <n v="7"/>
    <n v="57"/>
    <s v="&gt;50"/>
    <n v="13"/>
    <m/>
    <m/>
    <m/>
    <x v="0"/>
    <m/>
    <n v="13"/>
  </r>
  <r>
    <n v="3158"/>
    <n v="1973"/>
    <x v="0"/>
    <x v="2"/>
    <n v="32300"/>
    <n v="1"/>
    <d v="1899-12-30T00:00:00"/>
    <d v="2013-01-03T00:00:00"/>
    <n v="1"/>
    <n v="3"/>
    <n v="5"/>
    <n v="5"/>
    <n v="3"/>
    <n v="53"/>
    <s v="&gt;50"/>
    <n v="8"/>
    <m/>
    <m/>
    <m/>
    <x v="1"/>
    <m/>
    <n v="13"/>
  </r>
  <r>
    <n v="4436"/>
    <n v="1976"/>
    <x v="0"/>
    <x v="0"/>
    <n v="20180"/>
    <n v="0"/>
    <d v="1899-12-30T00:00:00"/>
    <d v="2013-02-20T00:00:00"/>
    <n v="27"/>
    <n v="42"/>
    <n v="20"/>
    <n v="20"/>
    <n v="4"/>
    <n v="50"/>
    <s v="30-50"/>
    <n v="24"/>
    <m/>
    <m/>
    <m/>
    <x v="2"/>
    <m/>
    <n v="13"/>
  </r>
  <r>
    <n v="5287"/>
    <n v="1973"/>
    <x v="0"/>
    <x v="2"/>
    <n v="34961"/>
    <n v="1"/>
    <d v="1899-12-30T00:00:00"/>
    <d v="2014-06-19T00:00:00"/>
    <n v="77"/>
    <n v="2"/>
    <n v="1"/>
    <n v="1"/>
    <n v="3"/>
    <n v="53"/>
    <s v="&gt;50"/>
    <n v="4"/>
    <m/>
    <m/>
    <m/>
    <x v="1"/>
    <m/>
    <n v="12"/>
  </r>
  <r>
    <n v="2445"/>
    <n v="1974"/>
    <x v="1"/>
    <x v="1"/>
    <n v="28440"/>
    <n v="1"/>
    <d v="1899-12-30T00:00:00"/>
    <d v="2013-07-07T00:00:00"/>
    <n v="87"/>
    <n v="1"/>
    <n v="0"/>
    <n v="0"/>
    <n v="3"/>
    <n v="52"/>
    <s v="&gt;50"/>
    <n v="3"/>
    <m/>
    <m/>
    <m/>
    <x v="2"/>
    <m/>
    <n v="13"/>
  </r>
  <r>
    <n v="6059"/>
    <n v="1953"/>
    <x v="1"/>
    <x v="1"/>
    <n v="64504"/>
    <n v="1"/>
    <d v="1900-01-01T00:00:00"/>
    <d v="2013-03-04T00:00:00"/>
    <n v="81"/>
    <n v="36"/>
    <n v="0"/>
    <n v="0"/>
    <n v="4"/>
    <n v="73"/>
    <s v="&gt;50"/>
    <n v="4"/>
    <m/>
    <m/>
    <m/>
    <x v="0"/>
    <m/>
    <n v="13"/>
  </r>
  <r>
    <n v="4550"/>
    <n v="1966"/>
    <x v="2"/>
    <x v="1"/>
    <n v="33564"/>
    <n v="0"/>
    <d v="1899-12-31T00:00:00"/>
    <d v="2014-06-24T00:00:00"/>
    <n v="51"/>
    <n v="0"/>
    <n v="0"/>
    <n v="0"/>
    <n v="3"/>
    <n v="60"/>
    <s v="&gt;50"/>
    <n v="3"/>
    <m/>
    <m/>
    <m/>
    <x v="1"/>
    <m/>
    <n v="12"/>
  </r>
  <r>
    <n v="4240"/>
    <n v="1978"/>
    <x v="0"/>
    <x v="2"/>
    <n v="17345"/>
    <n v="1"/>
    <d v="1899-12-30T00:00:00"/>
    <d v="2012-11-03T00:00:00"/>
    <n v="79"/>
    <n v="9"/>
    <n v="0"/>
    <n v="0"/>
    <n v="2"/>
    <n v="48"/>
    <s v="30-50"/>
    <n v="2"/>
    <m/>
    <m/>
    <m/>
    <x v="2"/>
    <m/>
    <n v="14"/>
  </r>
  <r>
    <n v="8911"/>
    <n v="1967"/>
    <x v="1"/>
    <x v="2"/>
    <n v="56320"/>
    <n v="0"/>
    <d v="1899-12-31T00:00:00"/>
    <d v="2013-04-08T00:00:00"/>
    <n v="11"/>
    <n v="53"/>
    <n v="77"/>
    <n v="77"/>
    <n v="9"/>
    <n v="59"/>
    <s v="&gt;50"/>
    <n v="86"/>
    <m/>
    <m/>
    <m/>
    <x v="0"/>
    <m/>
    <n v="13"/>
  </r>
  <r>
    <n v="3706"/>
    <n v="1978"/>
    <x v="0"/>
    <x v="0"/>
    <n v="28647"/>
    <n v="1"/>
    <d v="1899-12-30T00:00:00"/>
    <d v="2013-08-21T00:00:00"/>
    <n v="54"/>
    <n v="8"/>
    <n v="12"/>
    <n v="12"/>
    <n v="2"/>
    <n v="48"/>
    <s v="30-50"/>
    <n v="14"/>
    <m/>
    <m/>
    <m/>
    <x v="2"/>
    <m/>
    <n v="13"/>
  </r>
  <r>
    <n v="3628"/>
    <n v="1987"/>
    <x v="3"/>
    <x v="0"/>
    <n v="15038"/>
    <n v="1"/>
    <d v="1899-12-30T00:00:00"/>
    <d v="2013-01-29T00:00:00"/>
    <n v="93"/>
    <n v="8"/>
    <n v="12"/>
    <n v="12"/>
    <n v="2"/>
    <n v="39"/>
    <s v="30-50"/>
    <n v="14"/>
    <m/>
    <m/>
    <m/>
    <x v="2"/>
    <m/>
    <n v="13"/>
  </r>
  <r>
    <n v="10175"/>
    <n v="1958"/>
    <x v="1"/>
    <x v="3"/>
    <n v="32173"/>
    <n v="0"/>
    <d v="1899-12-31T00:00:00"/>
    <d v="2013-08-01T00:00:00"/>
    <n v="0"/>
    <n v="0"/>
    <n v="0"/>
    <n v="0"/>
    <n v="3"/>
    <n v="68"/>
    <s v="&gt;50"/>
    <n v="3"/>
    <m/>
    <m/>
    <m/>
    <x v="1"/>
    <m/>
    <n v="13"/>
  </r>
  <r>
    <n v="8985"/>
    <n v="1964"/>
    <x v="4"/>
    <x v="1"/>
    <n v="68316"/>
    <n v="0"/>
    <d v="1899-12-31T00:00:00"/>
    <d v="2012-11-04T00:00:00"/>
    <n v="54"/>
    <n v="80"/>
    <n v="11"/>
    <n v="11"/>
    <n v="10"/>
    <n v="62"/>
    <s v="&gt;50"/>
    <n v="21"/>
    <m/>
    <m/>
    <m/>
    <x v="0"/>
    <m/>
    <n v="14"/>
  </r>
  <r>
    <n v="5204"/>
    <n v="1971"/>
    <x v="0"/>
    <x v="1"/>
    <n v="74538"/>
    <n v="0"/>
    <d v="1899-12-30T00:00:00"/>
    <d v="2013-06-29T00:00:00"/>
    <n v="21"/>
    <n v="98"/>
    <n v="112"/>
    <n v="112"/>
    <n v="5"/>
    <n v="55"/>
    <s v="&gt;50"/>
    <n v="117"/>
    <m/>
    <m/>
    <m/>
    <x v="0"/>
    <m/>
    <n v="13"/>
  </r>
  <r>
    <n v="9220"/>
    <n v="1971"/>
    <x v="0"/>
    <x v="0"/>
    <n v="91700"/>
    <n v="0"/>
    <d v="1899-12-30T00:00:00"/>
    <d v="2013-01-17T00:00:00"/>
    <n v="58"/>
    <n v="172"/>
    <n v="115"/>
    <n v="115"/>
    <n v="5"/>
    <n v="55"/>
    <s v="&gt;50"/>
    <n v="120"/>
    <m/>
    <m/>
    <m/>
    <x v="3"/>
    <m/>
    <n v="13"/>
  </r>
  <r>
    <n v="9888"/>
    <n v="1969"/>
    <x v="0"/>
    <x v="1"/>
    <n v="68695"/>
    <n v="0"/>
    <d v="1899-12-30T00:00:00"/>
    <d v="2014-06-25T00:00:00"/>
    <n v="3"/>
    <n v="81"/>
    <n v="50"/>
    <n v="50"/>
    <n v="7"/>
    <n v="57"/>
    <s v="&gt;50"/>
    <n v="57"/>
    <m/>
    <m/>
    <m/>
    <x v="0"/>
    <m/>
    <n v="12"/>
  </r>
  <r>
    <n v="5263"/>
    <n v="1977"/>
    <x v="4"/>
    <x v="2"/>
    <n v="31056"/>
    <n v="1"/>
    <d v="1899-12-30T00:00:00"/>
    <d v="2013-01-22T00:00:00"/>
    <n v="99"/>
    <n v="10"/>
    <n v="8"/>
    <n v="8"/>
    <n v="3"/>
    <n v="49"/>
    <s v="30-50"/>
    <n v="11"/>
    <m/>
    <m/>
    <m/>
    <x v="1"/>
    <m/>
    <n v="13"/>
  </r>
  <r>
    <n v="1020"/>
    <n v="1973"/>
    <x v="0"/>
    <x v="2"/>
    <n v="79593"/>
    <n v="0"/>
    <d v="1899-12-30T00:00:00"/>
    <d v="2014-05-12T00:00:00"/>
    <n v="70"/>
    <n v="60"/>
    <n v="133"/>
    <n v="133"/>
    <n v="7"/>
    <n v="53"/>
    <s v="&gt;50"/>
    <n v="140"/>
    <m/>
    <m/>
    <m/>
    <x v="3"/>
    <m/>
    <n v="12"/>
  </r>
  <r>
    <n v="9503"/>
    <n v="1980"/>
    <x v="0"/>
    <x v="0"/>
    <n v="28071"/>
    <n v="0"/>
    <d v="1899-12-30T00:00:00"/>
    <d v="2012-08-29T00:00:00"/>
    <n v="65"/>
    <n v="33"/>
    <n v="26"/>
    <n v="26"/>
    <n v="5"/>
    <n v="46"/>
    <s v="30-50"/>
    <n v="31"/>
    <m/>
    <m/>
    <m/>
    <x v="2"/>
    <m/>
    <n v="14"/>
  </r>
  <r>
    <n v="10613"/>
    <n v="1958"/>
    <x v="1"/>
    <x v="1"/>
    <n v="37334"/>
    <n v="1"/>
    <d v="1899-12-31T00:00:00"/>
    <d v="2014-02-26T00:00:00"/>
    <n v="44"/>
    <n v="1"/>
    <n v="2"/>
    <n v="2"/>
    <n v="4"/>
    <n v="68"/>
    <s v="&gt;50"/>
    <n v="6"/>
    <m/>
    <m/>
    <m/>
    <x v="1"/>
    <m/>
    <n v="12"/>
  </r>
  <r>
    <n v="67"/>
    <n v="1972"/>
    <x v="2"/>
    <x v="0"/>
    <n v="46423"/>
    <n v="1"/>
    <d v="1899-12-31T00:00:00"/>
    <d v="2013-09-18T00:00:00"/>
    <n v="6"/>
    <n v="0"/>
    <n v="0"/>
    <n v="0"/>
    <n v="4"/>
    <n v="54"/>
    <s v="&gt;50"/>
    <n v="4"/>
    <m/>
    <m/>
    <m/>
    <x v="1"/>
    <m/>
    <n v="13"/>
  </r>
  <r>
    <n v="6019"/>
    <n v="1971"/>
    <x v="1"/>
    <x v="2"/>
    <n v="37126"/>
    <n v="1"/>
    <d v="1899-12-30T00:00:00"/>
    <d v="2014-03-30T00:00:00"/>
    <n v="9"/>
    <n v="3"/>
    <n v="4"/>
    <n v="4"/>
    <n v="2"/>
    <n v="55"/>
    <s v="&gt;50"/>
    <n v="6"/>
    <m/>
    <m/>
    <m/>
    <x v="1"/>
    <m/>
    <n v="12"/>
  </r>
  <r>
    <n v="5863"/>
    <n v="1953"/>
    <x v="0"/>
    <x v="2"/>
    <n v="47703"/>
    <n v="0"/>
    <d v="1899-12-31T00:00:00"/>
    <d v="2013-05-29T00:00:00"/>
    <n v="95"/>
    <n v="0"/>
    <n v="26"/>
    <n v="26"/>
    <n v="8"/>
    <n v="73"/>
    <s v="&gt;50"/>
    <n v="34"/>
    <m/>
    <m/>
    <m/>
    <x v="1"/>
    <m/>
    <n v="13"/>
  </r>
  <r>
    <n v="3717"/>
    <n v="1959"/>
    <x v="0"/>
    <x v="2"/>
    <n v="61180"/>
    <n v="0"/>
    <d v="1899-12-31T00:00:00"/>
    <d v="2014-04-23T00:00:00"/>
    <n v="70"/>
    <n v="24"/>
    <n v="24"/>
    <n v="24"/>
    <n v="6"/>
    <n v="67"/>
    <s v="&gt;50"/>
    <n v="30"/>
    <m/>
    <m/>
    <m/>
    <x v="0"/>
    <m/>
    <n v="12"/>
  </r>
  <r>
    <n v="6730"/>
    <n v="1954"/>
    <x v="0"/>
    <x v="2"/>
    <n v="38998"/>
    <n v="1"/>
    <d v="1899-12-31T00:00:00"/>
    <d v="2012-11-03T00:00:00"/>
    <n v="92"/>
    <n v="1"/>
    <n v="0"/>
    <n v="0"/>
    <n v="3"/>
    <n v="72"/>
    <s v="&gt;50"/>
    <n v="3"/>
    <m/>
    <m/>
    <m/>
    <x v="1"/>
    <m/>
    <n v="14"/>
  </r>
  <r>
    <n v="10749"/>
    <n v="1991"/>
    <x v="0"/>
    <x v="0"/>
    <n v="8028"/>
    <n v="0"/>
    <d v="1899-12-30T00:00:00"/>
    <d v="2012-09-18T00:00:00"/>
    <n v="62"/>
    <n v="18"/>
    <n v="12"/>
    <n v="12"/>
    <n v="0"/>
    <n v="35"/>
    <s v="30-50"/>
    <n v="12"/>
    <m/>
    <m/>
    <m/>
    <x v="2"/>
    <m/>
    <n v="14"/>
  </r>
  <r>
    <n v="4998"/>
    <n v="1962"/>
    <x v="0"/>
    <x v="1"/>
    <n v="76081"/>
    <n v="0"/>
    <d v="1899-12-30T00:00:00"/>
    <d v="2014-05-23T00:00:00"/>
    <n v="85"/>
    <n v="30"/>
    <n v="33"/>
    <n v="33"/>
    <n v="4"/>
    <n v="64"/>
    <s v="&gt;50"/>
    <n v="37"/>
    <m/>
    <m/>
    <m/>
    <x v="3"/>
    <m/>
    <n v="12"/>
  </r>
  <r>
    <n v="6287"/>
    <n v="1986"/>
    <x v="0"/>
    <x v="1"/>
    <n v="34728"/>
    <n v="1"/>
    <d v="1899-12-30T00:00:00"/>
    <d v="2013-07-30T00:00:00"/>
    <n v="2"/>
    <n v="0"/>
    <n v="0"/>
    <n v="0"/>
    <n v="2"/>
    <n v="40"/>
    <s v="30-50"/>
    <n v="2"/>
    <m/>
    <m/>
    <m/>
    <x v="1"/>
    <m/>
    <n v="13"/>
  </r>
  <r>
    <n v="5985"/>
    <n v="1965"/>
    <x v="2"/>
    <x v="0"/>
    <n v="33168"/>
    <n v="0"/>
    <d v="1899-12-31T00:00:00"/>
    <d v="2012-10-13T00:00:00"/>
    <n v="0"/>
    <n v="1"/>
    <n v="1"/>
    <n v="1"/>
    <n v="4"/>
    <n v="61"/>
    <s v="&gt;50"/>
    <n v="5"/>
    <m/>
    <m/>
    <m/>
    <x v="1"/>
    <m/>
    <n v="14"/>
  </r>
  <r>
    <n v="4754"/>
    <n v="1966"/>
    <x v="2"/>
    <x v="2"/>
    <n v="33585"/>
    <n v="0"/>
    <d v="1899-12-31T00:00:00"/>
    <d v="2013-09-25T00:00:00"/>
    <n v="91"/>
    <n v="11"/>
    <n v="6"/>
    <n v="6"/>
    <n v="4"/>
    <n v="60"/>
    <s v="&gt;50"/>
    <n v="10"/>
    <m/>
    <m/>
    <m/>
    <x v="1"/>
    <m/>
    <n v="13"/>
  </r>
  <r>
    <n v="4002"/>
    <n v="1960"/>
    <x v="1"/>
    <x v="2"/>
    <n v="77037"/>
    <n v="0"/>
    <d v="1899-12-31T00:00:00"/>
    <d v="2013-10-13T00:00:00"/>
    <n v="3"/>
    <n v="96"/>
    <n v="53"/>
    <n v="53"/>
    <n v="12"/>
    <n v="66"/>
    <s v="&gt;50"/>
    <n v="65"/>
    <m/>
    <m/>
    <m/>
    <x v="3"/>
    <m/>
    <n v="13"/>
  </r>
  <r>
    <n v="8870"/>
    <n v="1984"/>
    <x v="0"/>
    <x v="1"/>
    <n v="35196"/>
    <n v="1"/>
    <d v="1899-12-30T00:00:00"/>
    <d v="2012-11-13T00:00:00"/>
    <n v="68"/>
    <n v="12"/>
    <n v="39"/>
    <n v="39"/>
    <n v="5"/>
    <n v="42"/>
    <s v="30-50"/>
    <n v="44"/>
    <m/>
    <m/>
    <m/>
    <x v="1"/>
    <m/>
    <n v="14"/>
  </r>
  <r>
    <n v="966"/>
    <n v="1966"/>
    <x v="0"/>
    <x v="2"/>
    <n v="44529"/>
    <n v="0"/>
    <d v="1899-12-31T00:00:00"/>
    <d v="2013-07-05T00:00:00"/>
    <n v="98"/>
    <n v="13"/>
    <n v="6"/>
    <n v="6"/>
    <n v="11"/>
    <n v="60"/>
    <s v="&gt;50"/>
    <n v="17"/>
    <m/>
    <m/>
    <m/>
    <x v="1"/>
    <m/>
    <n v="13"/>
  </r>
  <r>
    <n v="4767"/>
    <n v="1965"/>
    <x v="4"/>
    <x v="2"/>
    <n v="70924"/>
    <n v="0"/>
    <d v="1899-12-30T00:00:00"/>
    <d v="2014-04-07T00:00:00"/>
    <n v="41"/>
    <n v="114"/>
    <n v="152"/>
    <n v="152"/>
    <n v="7"/>
    <n v="61"/>
    <s v="&gt;50"/>
    <n v="159"/>
    <m/>
    <m/>
    <m/>
    <x v="0"/>
    <m/>
    <n v="12"/>
  </r>
  <r>
    <n v="9725"/>
    <n v="1966"/>
    <x v="1"/>
    <x v="1"/>
    <n v="28764"/>
    <n v="1"/>
    <d v="1899-12-31T00:00:00"/>
    <d v="2014-06-05T00:00:00"/>
    <n v="16"/>
    <n v="0"/>
    <n v="0"/>
    <n v="0"/>
    <n v="2"/>
    <n v="60"/>
    <s v="&gt;50"/>
    <n v="2"/>
    <m/>
    <m/>
    <m/>
    <x v="2"/>
    <m/>
    <n v="12"/>
  </r>
  <r>
    <n v="4475"/>
    <n v="1949"/>
    <x v="1"/>
    <x v="2"/>
    <n v="69098"/>
    <n v="0"/>
    <d v="1899-12-30T00:00:00"/>
    <d v="2013-02-16T00:00:00"/>
    <n v="82"/>
    <n v="22"/>
    <n v="0"/>
    <n v="0"/>
    <n v="9"/>
    <n v="77"/>
    <s v="&gt;50"/>
    <n v="9"/>
    <m/>
    <m/>
    <m/>
    <x v="0"/>
    <m/>
    <n v="13"/>
  </r>
  <r>
    <n v="5740"/>
    <n v="1970"/>
    <x v="4"/>
    <x v="3"/>
    <n v="25959"/>
    <n v="1"/>
    <d v="1899-12-31T00:00:00"/>
    <d v="2013-02-14T00:00:00"/>
    <n v="1"/>
    <n v="2"/>
    <n v="5"/>
    <n v="5"/>
    <n v="2"/>
    <n v="56"/>
    <s v="&gt;50"/>
    <n v="7"/>
    <m/>
    <m/>
    <m/>
    <x v="2"/>
    <m/>
    <n v="13"/>
  </r>
  <r>
    <n v="5731"/>
    <n v="1983"/>
    <x v="2"/>
    <x v="2"/>
    <n v="27100"/>
    <n v="1"/>
    <d v="1899-12-30T00:00:00"/>
    <d v="2013-04-05T00:00:00"/>
    <n v="64"/>
    <n v="0"/>
    <n v="0"/>
    <n v="0"/>
    <n v="3"/>
    <n v="43"/>
    <s v="30-50"/>
    <n v="3"/>
    <m/>
    <m/>
    <m/>
    <x v="2"/>
    <m/>
    <n v="13"/>
  </r>
  <r>
    <n v="7290"/>
    <n v="1985"/>
    <x v="0"/>
    <x v="0"/>
    <n v="70596"/>
    <n v="0"/>
    <d v="1899-12-30T00:00:00"/>
    <d v="2012-10-05T00:00:00"/>
    <n v="68"/>
    <n v="44"/>
    <n v="0"/>
    <n v="0"/>
    <n v="12"/>
    <n v="41"/>
    <s v="30-50"/>
    <n v="12"/>
    <m/>
    <m/>
    <m/>
    <x v="0"/>
    <m/>
    <n v="14"/>
  </r>
  <r>
    <n v="3846"/>
    <n v="1974"/>
    <x v="0"/>
    <x v="2"/>
    <n v="42557"/>
    <n v="0"/>
    <d v="1899-12-31T00:00:00"/>
    <d v="2012-08-29T00:00:00"/>
    <n v="98"/>
    <n v="5"/>
    <n v="5"/>
    <n v="5"/>
    <n v="4"/>
    <n v="52"/>
    <s v="&gt;50"/>
    <n v="9"/>
    <m/>
    <m/>
    <m/>
    <x v="1"/>
    <m/>
    <n v="14"/>
  </r>
  <r>
    <n v="8104"/>
    <n v="1951"/>
    <x v="1"/>
    <x v="2"/>
    <n v="53312"/>
    <n v="0"/>
    <d v="1899-12-30T00:00:00"/>
    <d v="2013-08-09T00:00:00"/>
    <n v="32"/>
    <n v="0"/>
    <n v="0"/>
    <n v="0"/>
    <n v="5"/>
    <n v="75"/>
    <s v="&gt;50"/>
    <n v="5"/>
    <m/>
    <m/>
    <m/>
    <x v="0"/>
    <m/>
    <n v="13"/>
  </r>
  <r>
    <n v="4507"/>
    <n v="1952"/>
    <x v="0"/>
    <x v="0"/>
    <n v="72228"/>
    <n v="0"/>
    <d v="1899-12-30T00:00:00"/>
    <d v="2012-11-27T00:00:00"/>
    <n v="87"/>
    <n v="28"/>
    <n v="14"/>
    <n v="14"/>
    <n v="8"/>
    <n v="74"/>
    <s v="&gt;50"/>
    <n v="22"/>
    <m/>
    <m/>
    <m/>
    <x v="0"/>
    <m/>
    <n v="14"/>
  </r>
  <r>
    <n v="11013"/>
    <n v="1987"/>
    <x v="0"/>
    <x v="1"/>
    <n v="67605"/>
    <n v="0"/>
    <d v="1899-12-30T00:00:00"/>
    <d v="2013-03-31T00:00:00"/>
    <n v="84"/>
    <n v="28"/>
    <n v="54"/>
    <n v="54"/>
    <n v="6"/>
    <n v="39"/>
    <s v="30-50"/>
    <n v="60"/>
    <m/>
    <m/>
    <m/>
    <x v="0"/>
    <m/>
    <n v="13"/>
  </r>
  <r>
    <n v="4491"/>
    <n v="1949"/>
    <x v="2"/>
    <x v="2"/>
    <n v="62845"/>
    <n v="1"/>
    <d v="1899-12-31T00:00:00"/>
    <d v="2012-10-01T00:00:00"/>
    <n v="3"/>
    <n v="0"/>
    <n v="0"/>
    <n v="0"/>
    <n v="10"/>
    <n v="77"/>
    <s v="&gt;50"/>
    <n v="10"/>
    <m/>
    <m/>
    <m/>
    <x v="0"/>
    <m/>
    <n v="14"/>
  </r>
  <r>
    <n v="3759"/>
    <n v="1958"/>
    <x v="0"/>
    <x v="1"/>
    <n v="65196"/>
    <n v="0"/>
    <d v="1900-01-01T00:00:00"/>
    <d v="2013-07-25T00:00:00"/>
    <n v="34"/>
    <n v="19"/>
    <n v="0"/>
    <n v="0"/>
    <n v="11"/>
    <n v="68"/>
    <s v="&gt;50"/>
    <n v="11"/>
    <m/>
    <m/>
    <m/>
    <x v="0"/>
    <m/>
    <n v="13"/>
  </r>
  <r>
    <n v="1162"/>
    <n v="1987"/>
    <x v="1"/>
    <x v="0"/>
    <n v="42000"/>
    <n v="0"/>
    <d v="1899-12-30T00:00:00"/>
    <d v="2013-01-10T00:00:00"/>
    <n v="23"/>
    <n v="83"/>
    <n v="59"/>
    <n v="59"/>
    <n v="11"/>
    <n v="39"/>
    <s v="30-50"/>
    <n v="70"/>
    <m/>
    <m/>
    <m/>
    <x v="1"/>
    <m/>
    <n v="13"/>
  </r>
  <r>
    <n v="2055"/>
    <n v="1973"/>
    <x v="1"/>
    <x v="3"/>
    <n v="35860"/>
    <n v="1"/>
    <d v="1899-12-31T00:00:00"/>
    <d v="2014-05-19T00:00:00"/>
    <n v="37"/>
    <n v="0"/>
    <n v="2"/>
    <n v="2"/>
    <n v="2"/>
    <n v="53"/>
    <s v="&gt;50"/>
    <n v="4"/>
    <m/>
    <m/>
    <m/>
    <x v="1"/>
    <m/>
    <n v="12"/>
  </r>
  <r>
    <n v="10766"/>
    <n v="1964"/>
    <x v="1"/>
    <x v="2"/>
    <n v="65526"/>
    <n v="0"/>
    <d v="1899-12-31T00:00:00"/>
    <d v="2014-04-11T00:00:00"/>
    <n v="22"/>
    <n v="19"/>
    <n v="0"/>
    <n v="0"/>
    <n v="8"/>
    <n v="62"/>
    <s v="&gt;50"/>
    <n v="8"/>
    <m/>
    <m/>
    <m/>
    <x v="0"/>
    <m/>
    <n v="12"/>
  </r>
  <r>
    <n v="4415"/>
    <n v="1961"/>
    <x v="0"/>
    <x v="2"/>
    <n v="16860"/>
    <n v="1"/>
    <d v="1899-12-31T00:00:00"/>
    <d v="2012-09-12T00:00:00"/>
    <n v="19"/>
    <n v="4"/>
    <n v="3"/>
    <n v="3"/>
    <n v="3"/>
    <n v="65"/>
    <s v="&gt;50"/>
    <n v="6"/>
    <m/>
    <m/>
    <m/>
    <x v="2"/>
    <m/>
    <n v="14"/>
  </r>
  <r>
    <n v="3005"/>
    <n v="1992"/>
    <x v="0"/>
    <x v="0"/>
    <n v="83528"/>
    <n v="0"/>
    <d v="1899-12-30T00:00:00"/>
    <d v="2014-05-01T00:00:00"/>
    <n v="7"/>
    <n v="117"/>
    <n v="44"/>
    <n v="44"/>
    <n v="8"/>
    <n v="34"/>
    <s v="30-50"/>
    <n v="52"/>
    <m/>
    <m/>
    <m/>
    <x v="3"/>
    <m/>
    <n v="12"/>
  </r>
  <r>
    <n v="2223"/>
    <n v="1965"/>
    <x v="4"/>
    <x v="3"/>
    <n v="64176"/>
    <n v="0"/>
    <d v="1899-12-31T00:00:00"/>
    <d v="2012-08-03T00:00:00"/>
    <n v="52"/>
    <n v="33"/>
    <n v="116"/>
    <n v="116"/>
    <n v="8"/>
    <n v="61"/>
    <s v="&gt;50"/>
    <n v="124"/>
    <m/>
    <m/>
    <m/>
    <x v="0"/>
    <m/>
    <n v="14"/>
  </r>
  <r>
    <n v="4817"/>
    <n v="1956"/>
    <x v="0"/>
    <x v="3"/>
    <n v="22304"/>
    <n v="0"/>
    <d v="1899-12-30T00:00:00"/>
    <d v="2012-08-04T00:00:00"/>
    <n v="91"/>
    <n v="2"/>
    <n v="4"/>
    <n v="4"/>
    <n v="2"/>
    <n v="70"/>
    <s v="&gt;50"/>
    <n v="6"/>
    <m/>
    <m/>
    <m/>
    <x v="2"/>
    <m/>
    <n v="14"/>
  </r>
  <r>
    <n v="2875"/>
    <n v="1978"/>
    <x v="0"/>
    <x v="2"/>
    <n v="67023"/>
    <n v="0"/>
    <d v="1899-12-30T00:00:00"/>
    <d v="2014-03-04T00:00:00"/>
    <n v="93"/>
    <n v="44"/>
    <n v="8"/>
    <n v="8"/>
    <n v="13"/>
    <n v="48"/>
    <s v="30-50"/>
    <n v="21"/>
    <m/>
    <m/>
    <m/>
    <x v="0"/>
    <m/>
    <n v="12"/>
  </r>
  <r>
    <n v="10536"/>
    <n v="1971"/>
    <x v="1"/>
    <x v="1"/>
    <n v="32892"/>
    <n v="1"/>
    <d v="1899-12-30T00:00:00"/>
    <d v="2014-05-25T00:00:00"/>
    <n v="78"/>
    <n v="0"/>
    <n v="1"/>
    <n v="1"/>
    <n v="3"/>
    <n v="55"/>
    <s v="&gt;50"/>
    <n v="4"/>
    <m/>
    <m/>
    <m/>
    <x v="1"/>
    <m/>
    <n v="12"/>
  </r>
  <r>
    <n v="11112"/>
    <n v="1966"/>
    <x v="0"/>
    <x v="1"/>
    <n v="70713"/>
    <n v="0"/>
    <d v="1899-12-31T00:00:00"/>
    <d v="2012-12-03T00:00:00"/>
    <n v="23"/>
    <n v="114"/>
    <n v="76"/>
    <n v="76"/>
    <n v="8"/>
    <n v="60"/>
    <s v="&gt;50"/>
    <n v="84"/>
    <m/>
    <m/>
    <m/>
    <x v="0"/>
    <m/>
    <n v="14"/>
  </r>
  <r>
    <n v="3807"/>
    <n v="1955"/>
    <x v="0"/>
    <x v="1"/>
    <n v="59925"/>
    <n v="0"/>
    <d v="1899-12-31T00:00:00"/>
    <d v="2012-11-30T00:00:00"/>
    <n v="83"/>
    <n v="21"/>
    <n v="21"/>
    <n v="21"/>
    <n v="9"/>
    <n v="71"/>
    <s v="&gt;50"/>
    <n v="30"/>
    <m/>
    <m/>
    <m/>
    <x v="0"/>
    <m/>
    <n v="14"/>
  </r>
  <r>
    <n v="9197"/>
    <n v="1953"/>
    <x v="0"/>
    <x v="2"/>
    <n v="39722"/>
    <n v="0"/>
    <d v="1899-12-31T00:00:00"/>
    <d v="2014-02-24T00:00:00"/>
    <n v="92"/>
    <n v="0"/>
    <n v="0"/>
    <n v="0"/>
    <n v="3"/>
    <n v="73"/>
    <s v="&gt;50"/>
    <n v="3"/>
    <m/>
    <m/>
    <m/>
    <x v="1"/>
    <m/>
    <n v="12"/>
  </r>
  <r>
    <n v="10832"/>
    <n v="1958"/>
    <x v="0"/>
    <x v="1"/>
    <n v="46610"/>
    <n v="0"/>
    <d v="1899-12-30T00:00:00"/>
    <d v="2013-07-18T00:00:00"/>
    <n v="4"/>
    <n v="10"/>
    <n v="10"/>
    <n v="10"/>
    <n v="6"/>
    <n v="68"/>
    <s v="&gt;50"/>
    <n v="16"/>
    <m/>
    <m/>
    <m/>
    <x v="1"/>
    <m/>
    <n v="13"/>
  </r>
  <r>
    <n v="6421"/>
    <n v="1961"/>
    <x v="0"/>
    <x v="1"/>
    <n v="88347"/>
    <n v="0"/>
    <d v="1899-12-30T00:00:00"/>
    <d v="2013-07-03T00:00:00"/>
    <n v="32"/>
    <n v="178"/>
    <n v="138"/>
    <n v="138"/>
    <n v="9"/>
    <n v="65"/>
    <s v="&gt;50"/>
    <n v="147"/>
    <m/>
    <m/>
    <m/>
    <x v="3"/>
    <m/>
    <n v="13"/>
  </r>
  <r>
    <n v="4207"/>
    <n v="1981"/>
    <x v="1"/>
    <x v="2"/>
    <n v="87171"/>
    <n v="0"/>
    <d v="1899-12-30T00:00:00"/>
    <d v="2013-05-01T00:00:00"/>
    <n v="27"/>
    <n v="44"/>
    <n v="44"/>
    <n v="44"/>
    <n v="11"/>
    <n v="45"/>
    <s v="30-50"/>
    <n v="55"/>
    <m/>
    <m/>
    <m/>
    <x v="3"/>
    <m/>
    <n v="13"/>
  </r>
  <r>
    <n v="577"/>
    <n v="1976"/>
    <x v="4"/>
    <x v="1"/>
    <n v="26907"/>
    <n v="1"/>
    <d v="1899-12-31T00:00:00"/>
    <d v="2013-08-20T00:00:00"/>
    <n v="10"/>
    <n v="1"/>
    <n v="3"/>
    <n v="3"/>
    <n v="3"/>
    <n v="50"/>
    <s v="30-50"/>
    <n v="6"/>
    <m/>
    <m/>
    <m/>
    <x v="2"/>
    <m/>
    <n v="13"/>
  </r>
  <r>
    <n v="10855"/>
    <n v="1968"/>
    <x v="2"/>
    <x v="0"/>
    <n v="50014"/>
    <n v="1"/>
    <d v="1899-12-30T00:00:00"/>
    <d v="2014-01-22T00:00:00"/>
    <n v="9"/>
    <n v="14"/>
    <n v="10"/>
    <n v="10"/>
    <n v="8"/>
    <n v="58"/>
    <s v="&gt;50"/>
    <n v="18"/>
    <m/>
    <m/>
    <m/>
    <x v="0"/>
    <m/>
    <n v="12"/>
  </r>
  <r>
    <n v="3081"/>
    <n v="1978"/>
    <x v="1"/>
    <x v="2"/>
    <n v="41014"/>
    <n v="1"/>
    <d v="1899-12-30T00:00:00"/>
    <d v="2013-04-22T00:00:00"/>
    <n v="65"/>
    <n v="2"/>
    <n v="0"/>
    <n v="0"/>
    <n v="2"/>
    <n v="48"/>
    <s v="30-50"/>
    <n v="2"/>
    <m/>
    <m/>
    <m/>
    <x v="1"/>
    <m/>
    <n v="13"/>
  </r>
  <r>
    <n v="3535"/>
    <n v="1965"/>
    <x v="0"/>
    <x v="0"/>
    <n v="66294"/>
    <n v="0"/>
    <d v="1899-12-30T00:00:00"/>
    <d v="2014-03-17T00:00:00"/>
    <n v="68"/>
    <n v="108"/>
    <n v="92"/>
    <n v="92"/>
    <n v="5"/>
    <n v="61"/>
    <s v="&gt;50"/>
    <n v="97"/>
    <m/>
    <m/>
    <m/>
    <x v="0"/>
    <m/>
    <n v="12"/>
  </r>
  <r>
    <n v="247"/>
    <n v="1971"/>
    <x v="0"/>
    <x v="2"/>
    <n v="36715"/>
    <n v="1"/>
    <d v="1899-12-30T00:00:00"/>
    <d v="2012-11-17T00:00:00"/>
    <n v="16"/>
    <n v="10"/>
    <n v="13"/>
    <n v="13"/>
    <n v="4"/>
    <n v="55"/>
    <s v="&gt;50"/>
    <n v="17"/>
    <m/>
    <m/>
    <m/>
    <x v="1"/>
    <m/>
    <n v="14"/>
  </r>
  <r>
    <n v="8707"/>
    <n v="1956"/>
    <x v="0"/>
    <x v="2"/>
    <n v="79456"/>
    <n v="0"/>
    <d v="1899-12-30T00:00:00"/>
    <d v="2012-08-22T00:00:00"/>
    <n v="12"/>
    <n v="42"/>
    <n v="83"/>
    <n v="83"/>
    <n v="4"/>
    <n v="70"/>
    <s v="&gt;50"/>
    <n v="87"/>
    <m/>
    <m/>
    <m/>
    <x v="3"/>
    <m/>
    <n v="14"/>
  </r>
  <r>
    <n v="9523"/>
    <n v="1982"/>
    <x v="0"/>
    <x v="1"/>
    <n v="40479"/>
    <n v="1"/>
    <d v="1899-12-30T00:00:00"/>
    <d v="2013-08-17T00:00:00"/>
    <n v="95"/>
    <n v="0"/>
    <n v="0"/>
    <n v="0"/>
    <n v="3"/>
    <n v="44"/>
    <s v="30-50"/>
    <n v="3"/>
    <m/>
    <m/>
    <m/>
    <x v="1"/>
    <m/>
    <n v="13"/>
  </r>
  <r>
    <n v="6072"/>
    <n v="1970"/>
    <x v="2"/>
    <x v="0"/>
    <n v="75345"/>
    <n v="0"/>
    <d v="1899-12-30T00:00:00"/>
    <d v="2013-02-02T00:00:00"/>
    <n v="16"/>
    <n v="57"/>
    <n v="38"/>
    <n v="38"/>
    <n v="6"/>
    <n v="56"/>
    <s v="&gt;50"/>
    <n v="44"/>
    <m/>
    <m/>
    <m/>
    <x v="3"/>
    <m/>
    <n v="13"/>
  </r>
  <r>
    <n v="6295"/>
    <n v="1977"/>
    <x v="0"/>
    <x v="2"/>
    <n v="54233"/>
    <n v="0"/>
    <d v="1899-12-31T00:00:00"/>
    <d v="2013-02-04T00:00:00"/>
    <n v="46"/>
    <n v="8"/>
    <n v="0"/>
    <n v="0"/>
    <n v="5"/>
    <n v="49"/>
    <s v="30-50"/>
    <n v="5"/>
    <m/>
    <m/>
    <m/>
    <x v="0"/>
    <m/>
    <n v="13"/>
  </r>
  <r>
    <n v="10914"/>
    <n v="1970"/>
    <x v="0"/>
    <x v="0"/>
    <n v="24163"/>
    <n v="1"/>
    <d v="1899-12-31T00:00:00"/>
    <d v="2013-10-12T00:00:00"/>
    <n v="3"/>
    <n v="1"/>
    <n v="1"/>
    <n v="1"/>
    <n v="3"/>
    <n v="56"/>
    <s v="&gt;50"/>
    <n v="4"/>
    <m/>
    <m/>
    <m/>
    <x v="2"/>
    <m/>
    <n v="13"/>
  </r>
  <r>
    <n v="1509"/>
    <n v="1958"/>
    <x v="1"/>
    <x v="1"/>
    <n v="84460"/>
    <n v="0"/>
    <d v="1899-12-30T00:00:00"/>
    <d v="2013-01-04T00:00:00"/>
    <n v="80"/>
    <n v="27"/>
    <n v="54"/>
    <n v="54"/>
    <n v="4"/>
    <n v="68"/>
    <s v="&gt;50"/>
    <n v="58"/>
    <m/>
    <m/>
    <m/>
    <x v="3"/>
    <m/>
    <n v="13"/>
  </r>
  <r>
    <n v="5577"/>
    <n v="1983"/>
    <x v="0"/>
    <x v="1"/>
    <n v="43776"/>
    <n v="1"/>
    <d v="1899-12-30T00:00:00"/>
    <d v="2014-05-03T00:00:00"/>
    <n v="77"/>
    <n v="0"/>
    <n v="1"/>
    <n v="1"/>
    <n v="2"/>
    <n v="43"/>
    <s v="30-50"/>
    <n v="3"/>
    <m/>
    <m/>
    <m/>
    <x v="1"/>
    <m/>
    <n v="12"/>
  </r>
  <r>
    <n v="7348"/>
    <n v="1958"/>
    <x v="1"/>
    <x v="0"/>
    <n v="71691"/>
    <n v="0"/>
    <d v="1899-12-30T00:00:00"/>
    <d v="2014-03-17T00:00:00"/>
    <n v="0"/>
    <n v="130"/>
    <n v="32"/>
    <n v="32"/>
    <n v="5"/>
    <n v="68"/>
    <s v="&gt;50"/>
    <n v="37"/>
    <m/>
    <m/>
    <m/>
    <x v="0"/>
    <m/>
    <n v="12"/>
  </r>
  <r>
    <n v="1127"/>
    <n v="1973"/>
    <x v="1"/>
    <x v="2"/>
    <n v="85844"/>
    <n v="0"/>
    <d v="1899-12-30T00:00:00"/>
    <d v="2014-05-29T00:00:00"/>
    <n v="62"/>
    <n v="19"/>
    <n v="95"/>
    <n v="95"/>
    <n v="7"/>
    <n v="53"/>
    <s v="&gt;50"/>
    <n v="102"/>
    <m/>
    <m/>
    <m/>
    <x v="3"/>
    <m/>
    <n v="12"/>
  </r>
  <r>
    <n v="1833"/>
    <n v="1974"/>
    <x v="1"/>
    <x v="0"/>
    <n v="39190"/>
    <n v="1"/>
    <d v="1899-12-30T00:00:00"/>
    <d v="2014-04-26T00:00:00"/>
    <n v="91"/>
    <n v="8"/>
    <n v="8"/>
    <n v="8"/>
    <n v="4"/>
    <n v="52"/>
    <s v="&gt;50"/>
    <n v="12"/>
    <m/>
    <m/>
    <m/>
    <x v="1"/>
    <m/>
    <n v="12"/>
  </r>
  <r>
    <n v="4944"/>
    <n v="1959"/>
    <x v="0"/>
    <x v="1"/>
    <n v="71367"/>
    <n v="0"/>
    <d v="1899-12-30T00:00:00"/>
    <d v="2013-08-23T00:00:00"/>
    <n v="24"/>
    <n v="23"/>
    <n v="21"/>
    <n v="21"/>
    <n v="7"/>
    <n v="67"/>
    <s v="&gt;50"/>
    <n v="28"/>
    <m/>
    <m/>
    <m/>
    <x v="0"/>
    <m/>
    <n v="13"/>
  </r>
  <r>
    <n v="9080"/>
    <n v="1972"/>
    <x v="1"/>
    <x v="0"/>
    <n v="38578"/>
    <n v="1"/>
    <d v="1899-12-31T00:00:00"/>
    <d v="2013-06-22T00:00:00"/>
    <n v="2"/>
    <n v="4"/>
    <n v="3"/>
    <n v="3"/>
    <n v="3"/>
    <n v="54"/>
    <s v="&gt;50"/>
    <n v="6"/>
    <m/>
    <m/>
    <m/>
    <x v="1"/>
    <m/>
    <n v="13"/>
  </r>
  <r>
    <n v="6466"/>
    <n v="1965"/>
    <x v="1"/>
    <x v="2"/>
    <n v="57236"/>
    <n v="1"/>
    <d v="1899-12-31T00:00:00"/>
    <d v="2014-03-12T00:00:00"/>
    <n v="22"/>
    <n v="0"/>
    <n v="1"/>
    <n v="1"/>
    <n v="4"/>
    <n v="61"/>
    <s v="&gt;50"/>
    <n v="5"/>
    <m/>
    <m/>
    <m/>
    <x v="0"/>
    <m/>
    <n v="12"/>
  </r>
  <r>
    <n v="9964"/>
    <n v="1979"/>
    <x v="0"/>
    <x v="0"/>
    <n v="61825"/>
    <n v="0"/>
    <d v="1899-12-31T00:00:00"/>
    <d v="2013-08-07T00:00:00"/>
    <n v="56"/>
    <n v="50"/>
    <n v="30"/>
    <n v="30"/>
    <n v="8"/>
    <n v="47"/>
    <s v="30-50"/>
    <n v="38"/>
    <m/>
    <m/>
    <m/>
    <x v="0"/>
    <m/>
    <n v="13"/>
  </r>
  <r>
    <n v="4790"/>
    <n v="1958"/>
    <x v="0"/>
    <x v="3"/>
    <n v="79803"/>
    <n v="0"/>
    <d v="1899-12-31T00:00:00"/>
    <d v="2014-06-02T00:00:00"/>
    <n v="54"/>
    <n v="8"/>
    <n v="16"/>
    <n v="16"/>
    <n v="5"/>
    <n v="68"/>
    <s v="&gt;50"/>
    <n v="21"/>
    <m/>
    <m/>
    <m/>
    <x v="3"/>
    <m/>
    <n v="12"/>
  </r>
  <r>
    <n v="10245"/>
    <n v="1986"/>
    <x v="4"/>
    <x v="0"/>
    <n v="80910"/>
    <n v="0"/>
    <d v="1899-12-30T00:00:00"/>
    <d v="2012-10-31T00:00:00"/>
    <n v="71"/>
    <n v="80"/>
    <n v="39"/>
    <n v="39"/>
    <n v="8"/>
    <n v="40"/>
    <s v="30-50"/>
    <n v="47"/>
    <m/>
    <m/>
    <m/>
    <x v="3"/>
    <m/>
    <n v="14"/>
  </r>
  <r>
    <n v="1109"/>
    <n v="1982"/>
    <x v="2"/>
    <x v="1"/>
    <n v="27590"/>
    <n v="1"/>
    <d v="1899-12-30T00:00:00"/>
    <d v="2013-04-23T00:00:00"/>
    <n v="38"/>
    <n v="0"/>
    <n v="0"/>
    <n v="0"/>
    <n v="2"/>
    <n v="44"/>
    <s v="30-50"/>
    <n v="2"/>
    <m/>
    <m/>
    <m/>
    <x v="2"/>
    <m/>
    <n v="13"/>
  </r>
  <r>
    <n v="6001"/>
    <n v="1979"/>
    <x v="0"/>
    <x v="2"/>
    <n v="56775"/>
    <n v="0"/>
    <d v="1899-12-31T00:00:00"/>
    <d v="2013-01-02T00:00:00"/>
    <n v="62"/>
    <n v="35"/>
    <n v="35"/>
    <n v="35"/>
    <n v="10"/>
    <n v="47"/>
    <s v="30-50"/>
    <n v="45"/>
    <m/>
    <m/>
    <m/>
    <x v="0"/>
    <m/>
    <n v="13"/>
  </r>
  <r>
    <n v="5538"/>
    <n v="1975"/>
    <x v="0"/>
    <x v="3"/>
    <n v="83829"/>
    <n v="0"/>
    <d v="1899-12-30T00:00:00"/>
    <d v="2013-10-08T00:00:00"/>
    <n v="78"/>
    <n v="161"/>
    <n v="161"/>
    <n v="161"/>
    <n v="6"/>
    <n v="51"/>
    <s v="&gt;50"/>
    <n v="167"/>
    <m/>
    <m/>
    <m/>
    <x v="3"/>
    <m/>
    <n v="13"/>
  </r>
  <r>
    <n v="10552"/>
    <n v="1979"/>
    <x v="4"/>
    <x v="2"/>
    <n v="54210"/>
    <n v="0"/>
    <d v="1899-12-31T00:00:00"/>
    <d v="2013-05-20T00:00:00"/>
    <n v="18"/>
    <n v="54"/>
    <n v="9"/>
    <n v="9"/>
    <n v="7"/>
    <n v="47"/>
    <s v="30-50"/>
    <n v="16"/>
    <m/>
    <m/>
    <m/>
    <x v="0"/>
    <m/>
    <n v="13"/>
  </r>
  <r>
    <n v="1545"/>
    <n v="1986"/>
    <x v="0"/>
    <x v="2"/>
    <n v="38508"/>
    <n v="1"/>
    <d v="1899-12-30T00:00:00"/>
    <d v="2013-08-02T00:00:00"/>
    <n v="95"/>
    <n v="19"/>
    <n v="19"/>
    <n v="19"/>
    <n v="5"/>
    <n v="40"/>
    <s v="30-50"/>
    <n v="24"/>
    <m/>
    <m/>
    <m/>
    <x v="1"/>
    <m/>
    <n v="13"/>
  </r>
  <r>
    <n v="7409"/>
    <n v="1970"/>
    <x v="0"/>
    <x v="1"/>
    <n v="53187"/>
    <n v="1"/>
    <d v="1899-12-30T00:00:00"/>
    <d v="2013-10-26T00:00:00"/>
    <n v="66"/>
    <n v="2"/>
    <n v="7"/>
    <n v="7"/>
    <n v="6"/>
    <n v="56"/>
    <s v="&gt;50"/>
    <n v="13"/>
    <m/>
    <m/>
    <m/>
    <x v="0"/>
    <m/>
    <n v="13"/>
  </r>
  <r>
    <n v="4444"/>
    <n v="1972"/>
    <x v="0"/>
    <x v="2"/>
    <n v="30023"/>
    <n v="1"/>
    <d v="1899-12-30T00:00:00"/>
    <d v="2014-03-24T00:00:00"/>
    <n v="28"/>
    <n v="0"/>
    <n v="6"/>
    <n v="6"/>
    <n v="3"/>
    <n v="54"/>
    <s v="&gt;50"/>
    <n v="9"/>
    <m/>
    <m/>
    <m/>
    <x v="1"/>
    <m/>
    <n v="12"/>
  </r>
  <r>
    <n v="146"/>
    <n v="1960"/>
    <x v="1"/>
    <x v="0"/>
    <n v="76045"/>
    <n v="0"/>
    <d v="1899-12-30T00:00:00"/>
    <d v="2013-11-15T00:00:00"/>
    <n v="78"/>
    <n v="53"/>
    <n v="93"/>
    <n v="93"/>
    <n v="11"/>
    <n v="66"/>
    <s v="&gt;50"/>
    <n v="104"/>
    <m/>
    <m/>
    <m/>
    <x v="3"/>
    <m/>
    <n v="13"/>
  </r>
  <r>
    <n v="6271"/>
    <n v="1952"/>
    <x v="1"/>
    <x v="2"/>
    <n v="50870"/>
    <n v="0"/>
    <d v="1899-12-31T00:00:00"/>
    <d v="2014-06-19T00:00:00"/>
    <n v="13"/>
    <n v="0"/>
    <n v="0"/>
    <n v="0"/>
    <n v="3"/>
    <n v="74"/>
    <s v="&gt;50"/>
    <n v="3"/>
    <m/>
    <m/>
    <m/>
    <x v="0"/>
    <m/>
    <n v="12"/>
  </r>
  <r>
    <n v="10065"/>
    <n v="1970"/>
    <x v="4"/>
    <x v="2"/>
    <n v="15315"/>
    <n v="0"/>
    <d v="1899-12-30T00:00:00"/>
    <d v="2013-08-03T00:00:00"/>
    <n v="27"/>
    <n v="4"/>
    <n v="8"/>
    <n v="8"/>
    <n v="4"/>
    <n v="56"/>
    <s v="&gt;50"/>
    <n v="12"/>
    <m/>
    <m/>
    <m/>
    <x v="2"/>
    <m/>
    <n v="13"/>
  </r>
  <r>
    <n v="4741"/>
    <n v="1974"/>
    <x v="4"/>
    <x v="2"/>
    <n v="65463"/>
    <n v="1"/>
    <d v="1899-12-30T00:00:00"/>
    <d v="2014-01-30T00:00:00"/>
    <n v="17"/>
    <n v="32"/>
    <n v="32"/>
    <n v="32"/>
    <n v="9"/>
    <n v="52"/>
    <s v="&gt;50"/>
    <n v="41"/>
    <m/>
    <m/>
    <m/>
    <x v="0"/>
    <m/>
    <n v="12"/>
  </r>
  <r>
    <n v="246"/>
    <n v="1965"/>
    <x v="0"/>
    <x v="2"/>
    <n v="66480"/>
    <n v="1"/>
    <d v="1899-12-31T00:00:00"/>
    <d v="2014-05-31T00:00:00"/>
    <n v="71"/>
    <n v="9"/>
    <n v="21"/>
    <n v="21"/>
    <n v="7"/>
    <n v="61"/>
    <s v="&gt;50"/>
    <n v="28"/>
    <m/>
    <m/>
    <m/>
    <x v="0"/>
    <m/>
    <n v="12"/>
  </r>
  <r>
    <n v="375"/>
    <n v="1954"/>
    <x v="0"/>
    <x v="3"/>
    <n v="76773"/>
    <n v="0"/>
    <d v="1899-12-30T00:00:00"/>
    <d v="2013-02-25T00:00:00"/>
    <n v="79"/>
    <n v="56"/>
    <n v="33"/>
    <n v="33"/>
    <n v="11"/>
    <n v="72"/>
    <s v="&gt;50"/>
    <n v="44"/>
    <m/>
    <m/>
    <m/>
    <x v="3"/>
    <m/>
    <n v="13"/>
  </r>
  <r>
    <n v="1524"/>
    <n v="1983"/>
    <x v="4"/>
    <x v="0"/>
    <n v="81698"/>
    <n v="0"/>
    <d v="1899-12-30T00:00:00"/>
    <d v="2013-03-01T00:00:00"/>
    <n v="1"/>
    <n v="45"/>
    <n v="160"/>
    <n v="160"/>
    <n v="5"/>
    <n v="43"/>
    <s v="30-50"/>
    <n v="165"/>
    <m/>
    <m/>
    <m/>
    <x v="3"/>
    <m/>
    <n v="13"/>
  </r>
  <r>
    <n v="10022"/>
    <n v="1973"/>
    <x v="1"/>
    <x v="0"/>
    <n v="54466"/>
    <n v="1"/>
    <d v="1899-12-31T00:00:00"/>
    <d v="2014-02-09T00:00:00"/>
    <n v="78"/>
    <n v="0"/>
    <n v="0"/>
    <n v="0"/>
    <n v="2"/>
    <n v="53"/>
    <s v="&gt;50"/>
    <n v="2"/>
    <m/>
    <m/>
    <m/>
    <x v="0"/>
    <m/>
    <n v="12"/>
  </r>
  <r>
    <n v="7451"/>
    <n v="1960"/>
    <x v="2"/>
    <x v="0"/>
    <n v="98777"/>
    <n v="0"/>
    <d v="1899-12-30T00:00:00"/>
    <d v="2014-02-17T00:00:00"/>
    <n v="23"/>
    <n v="19"/>
    <n v="115"/>
    <n v="115"/>
    <n v="9"/>
    <n v="66"/>
    <s v="&gt;50"/>
    <n v="124"/>
    <m/>
    <m/>
    <m/>
    <x v="3"/>
    <m/>
    <n v="12"/>
  </r>
  <r>
    <n v="11010"/>
    <n v="1984"/>
    <x v="1"/>
    <x v="0"/>
    <n v="16269"/>
    <n v="1"/>
    <d v="1899-12-30T00:00:00"/>
    <d v="2013-08-30T00:00:00"/>
    <n v="75"/>
    <n v="3"/>
    <n v="1"/>
    <n v="1"/>
    <n v="3"/>
    <n v="42"/>
    <s v="30-50"/>
    <n v="4"/>
    <m/>
    <m/>
    <m/>
    <x v="2"/>
    <m/>
    <n v="13"/>
  </r>
  <r>
    <n v="4356"/>
    <n v="1971"/>
    <x v="0"/>
    <x v="1"/>
    <n v="71819"/>
    <n v="0"/>
    <d v="1899-12-31T00:00:00"/>
    <d v="2013-08-28T00:00:00"/>
    <n v="70"/>
    <n v="28"/>
    <n v="14"/>
    <n v="14"/>
    <n v="5"/>
    <n v="55"/>
    <s v="&gt;50"/>
    <n v="19"/>
    <m/>
    <m/>
    <m/>
    <x v="0"/>
    <m/>
    <n v="13"/>
  </r>
  <r>
    <n v="3885"/>
    <n v="1983"/>
    <x v="1"/>
    <x v="2"/>
    <n v="33569"/>
    <n v="1"/>
    <d v="1899-12-30T00:00:00"/>
    <d v="2013-10-16T00:00:00"/>
    <n v="10"/>
    <n v="2"/>
    <n v="0"/>
    <n v="0"/>
    <n v="2"/>
    <n v="43"/>
    <s v="30-50"/>
    <n v="2"/>
    <m/>
    <m/>
    <m/>
    <x v="1"/>
    <m/>
    <n v="13"/>
  </r>
  <r>
    <n v="1175"/>
    <n v="1983"/>
    <x v="2"/>
    <x v="2"/>
    <n v="36262"/>
    <n v="0"/>
    <d v="1899-12-30T00:00:00"/>
    <d v="2013-09-20T00:00:00"/>
    <n v="24"/>
    <n v="39"/>
    <n v="28"/>
    <n v="28"/>
    <n v="3"/>
    <n v="43"/>
    <s v="30-50"/>
    <n v="31"/>
    <m/>
    <m/>
    <m/>
    <x v="1"/>
    <m/>
    <n v="13"/>
  </r>
  <r>
    <n v="880"/>
    <n v="1966"/>
    <x v="3"/>
    <x v="1"/>
    <n v="22634"/>
    <n v="0"/>
    <d v="1899-12-30T00:00:00"/>
    <d v="2013-01-16T00:00:00"/>
    <n v="47"/>
    <n v="23"/>
    <n v="6"/>
    <n v="6"/>
    <n v="2"/>
    <n v="60"/>
    <s v="&gt;50"/>
    <n v="8"/>
    <m/>
    <m/>
    <m/>
    <x v="2"/>
    <m/>
    <n v="13"/>
  </r>
  <r>
    <n v="2320"/>
    <n v="1978"/>
    <x v="4"/>
    <x v="2"/>
    <n v="47025"/>
    <n v="0"/>
    <d v="1899-12-31T00:00:00"/>
    <d v="2013-09-12T00:00:00"/>
    <n v="98"/>
    <n v="11"/>
    <n v="5"/>
    <n v="5"/>
    <n v="6"/>
    <n v="48"/>
    <s v="30-50"/>
    <n v="11"/>
    <m/>
    <m/>
    <m/>
    <x v="1"/>
    <m/>
    <n v="13"/>
  </r>
  <r>
    <n v="850"/>
    <n v="1968"/>
    <x v="0"/>
    <x v="0"/>
    <n v="70566"/>
    <n v="0"/>
    <d v="1899-12-31T00:00:00"/>
    <d v="2013-10-06T00:00:00"/>
    <n v="4"/>
    <n v="28"/>
    <n v="28"/>
    <n v="28"/>
    <n v="9"/>
    <n v="58"/>
    <s v="&gt;50"/>
    <n v="37"/>
    <m/>
    <m/>
    <m/>
    <x v="0"/>
    <m/>
    <n v="13"/>
  </r>
  <r>
    <n v="4713"/>
    <n v="1979"/>
    <x v="1"/>
    <x v="2"/>
    <n v="31605"/>
    <n v="1"/>
    <d v="1899-12-30T00:00:00"/>
    <d v="2012-11-22T00:00:00"/>
    <n v="15"/>
    <n v="0"/>
    <n v="1"/>
    <n v="1"/>
    <n v="4"/>
    <n v="47"/>
    <s v="30-50"/>
    <n v="5"/>
    <m/>
    <m/>
    <m/>
    <x v="1"/>
    <m/>
    <n v="14"/>
  </r>
  <r>
    <n v="675"/>
    <n v="1973"/>
    <x v="2"/>
    <x v="3"/>
    <n v="52034"/>
    <n v="1"/>
    <d v="1899-12-31T00:00:00"/>
    <d v="2013-05-17T00:00:00"/>
    <n v="67"/>
    <n v="0"/>
    <n v="13"/>
    <n v="13"/>
    <n v="5"/>
    <n v="53"/>
    <s v="&gt;50"/>
    <n v="18"/>
    <m/>
    <m/>
    <m/>
    <x v="0"/>
    <m/>
    <n v="13"/>
  </r>
  <r>
    <n v="5025"/>
    <n v="1979"/>
    <x v="0"/>
    <x v="0"/>
    <n v="48526"/>
    <n v="1"/>
    <d v="1899-12-30T00:00:00"/>
    <d v="2013-12-24T00:00:00"/>
    <n v="32"/>
    <n v="17"/>
    <n v="20"/>
    <n v="20"/>
    <n v="4"/>
    <n v="47"/>
    <s v="30-50"/>
    <n v="24"/>
    <m/>
    <m/>
    <m/>
    <x v="1"/>
    <m/>
    <n v="13"/>
  </r>
  <r>
    <n v="2308"/>
    <n v="1954"/>
    <x v="0"/>
    <x v="2"/>
    <n v="46734"/>
    <n v="0"/>
    <d v="1899-12-31T00:00:00"/>
    <d v="2012-11-18T00:00:00"/>
    <n v="40"/>
    <n v="5"/>
    <n v="23"/>
    <n v="23"/>
    <n v="5"/>
    <n v="72"/>
    <s v="&gt;50"/>
    <n v="28"/>
    <m/>
    <m/>
    <m/>
    <x v="1"/>
    <m/>
    <n v="14"/>
  </r>
  <r>
    <n v="5995"/>
    <n v="1962"/>
    <x v="0"/>
    <x v="3"/>
    <n v="39552"/>
    <n v="1"/>
    <d v="1899-12-31T00:00:00"/>
    <d v="2012-12-18T00:00:00"/>
    <n v="54"/>
    <n v="3"/>
    <n v="24"/>
    <n v="24"/>
    <n v="5"/>
    <n v="64"/>
    <s v="&gt;50"/>
    <n v="29"/>
    <m/>
    <m/>
    <m/>
    <x v="1"/>
    <m/>
    <n v="14"/>
  </r>
  <r>
    <n v="6749"/>
    <n v="1966"/>
    <x v="0"/>
    <x v="0"/>
    <n v="86358"/>
    <n v="1"/>
    <d v="1899-12-31T00:00:00"/>
    <d v="2012-08-08T00:00:00"/>
    <n v="78"/>
    <n v="47"/>
    <n v="47"/>
    <n v="47"/>
    <n v="6"/>
    <n v="60"/>
    <s v="&gt;50"/>
    <n v="53"/>
    <m/>
    <m/>
    <m/>
    <x v="3"/>
    <m/>
    <n v="14"/>
  </r>
  <r>
    <n v="1010"/>
    <n v="1977"/>
    <x v="0"/>
    <x v="1"/>
    <n v="46931"/>
    <n v="2"/>
    <d v="1899-12-31T00:00:00"/>
    <d v="2014-04-24T00:00:00"/>
    <n v="94"/>
    <n v="0"/>
    <n v="1"/>
    <n v="1"/>
    <n v="3"/>
    <n v="49"/>
    <s v="30-50"/>
    <n v="4"/>
    <m/>
    <m/>
    <m/>
    <x v="1"/>
    <m/>
    <n v="12"/>
  </r>
  <r>
    <n v="8977"/>
    <n v="1985"/>
    <x v="3"/>
    <x v="0"/>
    <n v="16581"/>
    <n v="0"/>
    <d v="1899-12-30T00:00:00"/>
    <d v="2013-01-12T00:00:00"/>
    <n v="51"/>
    <n v="3"/>
    <n v="3"/>
    <n v="3"/>
    <n v="3"/>
    <n v="41"/>
    <s v="30-50"/>
    <n v="6"/>
    <m/>
    <m/>
    <m/>
    <x v="2"/>
    <m/>
    <n v="13"/>
  </r>
  <r>
    <n v="4756"/>
    <n v="1952"/>
    <x v="4"/>
    <x v="3"/>
    <n v="63998"/>
    <n v="0"/>
    <d v="1899-12-30T00:00:00"/>
    <d v="2013-12-20T00:00:00"/>
    <n v="42"/>
    <n v="29"/>
    <n v="33"/>
    <n v="33"/>
    <n v="11"/>
    <n v="74"/>
    <s v="&gt;50"/>
    <n v="44"/>
    <m/>
    <m/>
    <m/>
    <x v="0"/>
    <m/>
    <n v="13"/>
  </r>
  <r>
    <n v="3412"/>
    <n v="1951"/>
    <x v="2"/>
    <x v="2"/>
    <n v="67381"/>
    <n v="0"/>
    <d v="1899-12-31T00:00:00"/>
    <d v="2013-01-15T00:00:00"/>
    <n v="67"/>
    <n v="8"/>
    <n v="0"/>
    <n v="0"/>
    <n v="9"/>
    <n v="75"/>
    <s v="&gt;50"/>
    <n v="9"/>
    <m/>
    <m/>
    <m/>
    <x v="0"/>
    <m/>
    <n v="13"/>
  </r>
  <r>
    <n v="606"/>
    <n v="1967"/>
    <x v="0"/>
    <x v="0"/>
    <n v="25930"/>
    <n v="1"/>
    <d v="1899-12-31T00:00:00"/>
    <d v="2013-10-10T00:00:00"/>
    <n v="87"/>
    <n v="1"/>
    <n v="0"/>
    <n v="0"/>
    <n v="2"/>
    <n v="59"/>
    <s v="&gt;50"/>
    <n v="2"/>
    <m/>
    <m/>
    <m/>
    <x v="2"/>
    <m/>
    <n v="13"/>
  </r>
  <r>
    <n v="5961"/>
    <n v="1978"/>
    <x v="0"/>
    <x v="2"/>
    <n v="42693"/>
    <n v="1"/>
    <d v="1899-12-30T00:00:00"/>
    <d v="2014-06-07T00:00:00"/>
    <n v="29"/>
    <n v="4"/>
    <n v="3"/>
    <n v="3"/>
    <n v="3"/>
    <n v="48"/>
    <s v="30-50"/>
    <n v="6"/>
    <m/>
    <m/>
    <m/>
    <x v="1"/>
    <m/>
    <n v="12"/>
  </r>
  <r>
    <n v="2975"/>
    <n v="1976"/>
    <x v="0"/>
    <x v="1"/>
    <n v="85606"/>
    <n v="0"/>
    <d v="1899-12-31T00:00:00"/>
    <d v="2012-11-12T00:00:00"/>
    <n v="89"/>
    <n v="42"/>
    <n v="30"/>
    <n v="30"/>
    <n v="9"/>
    <n v="50"/>
    <s v="30-50"/>
    <n v="39"/>
    <m/>
    <m/>
    <m/>
    <x v="3"/>
    <m/>
    <n v="14"/>
  </r>
  <r>
    <n v="2894"/>
    <n v="1985"/>
    <x v="0"/>
    <x v="0"/>
    <n v="72903"/>
    <n v="0"/>
    <d v="1899-12-30T00:00:00"/>
    <d v="2013-10-29T00:00:00"/>
    <n v="74"/>
    <n v="138"/>
    <n v="19"/>
    <n v="19"/>
    <n v="8"/>
    <n v="41"/>
    <s v="30-50"/>
    <n v="27"/>
    <m/>
    <m/>
    <m/>
    <x v="0"/>
    <m/>
    <n v="13"/>
  </r>
  <r>
    <n v="7613"/>
    <n v="1974"/>
    <x v="4"/>
    <x v="1"/>
    <n v="49669"/>
    <n v="1"/>
    <d v="1899-12-30T00:00:00"/>
    <d v="2014-05-24T00:00:00"/>
    <n v="97"/>
    <n v="5"/>
    <n v="8"/>
    <n v="8"/>
    <n v="6"/>
    <n v="52"/>
    <s v="&gt;50"/>
    <n v="14"/>
    <m/>
    <m/>
    <m/>
    <x v="1"/>
    <m/>
    <n v="12"/>
  </r>
  <r>
    <n v="10542"/>
    <n v="1968"/>
    <x v="1"/>
    <x v="2"/>
    <n v="36778"/>
    <n v="1"/>
    <d v="1899-12-31T00:00:00"/>
    <d v="2012-08-05T00:00:00"/>
    <n v="63"/>
    <n v="4"/>
    <n v="4"/>
    <n v="4"/>
    <n v="3"/>
    <n v="58"/>
    <s v="&gt;50"/>
    <n v="7"/>
    <m/>
    <m/>
    <m/>
    <x v="1"/>
    <m/>
    <n v="14"/>
  </r>
  <r>
    <n v="8015"/>
    <n v="1962"/>
    <x v="1"/>
    <x v="3"/>
    <n v="85696"/>
    <n v="0"/>
    <d v="1899-12-30T00:00:00"/>
    <d v="2013-05-03T00:00:00"/>
    <n v="88"/>
    <n v="76"/>
    <n v="0"/>
    <n v="0"/>
    <n v="9"/>
    <n v="64"/>
    <s v="&gt;50"/>
    <n v="9"/>
    <m/>
    <m/>
    <m/>
    <x v="3"/>
    <m/>
    <n v="13"/>
  </r>
  <r>
    <n v="10617"/>
    <n v="1989"/>
    <x v="2"/>
    <x v="3"/>
    <n v="10979"/>
    <n v="0"/>
    <d v="1899-12-30T00:00:00"/>
    <d v="2014-05-22T00:00:00"/>
    <n v="34"/>
    <n v="4"/>
    <n v="2"/>
    <n v="2"/>
    <n v="3"/>
    <n v="37"/>
    <s v="30-50"/>
    <n v="5"/>
    <m/>
    <m/>
    <m/>
    <x v="2"/>
    <m/>
    <n v="12"/>
  </r>
  <r>
    <n v="11166"/>
    <n v="1961"/>
    <x v="0"/>
    <x v="2"/>
    <n v="49678"/>
    <n v="0"/>
    <d v="1899-12-31T00:00:00"/>
    <d v="2013-02-02T00:00:00"/>
    <n v="81"/>
    <n v="5"/>
    <n v="2"/>
    <n v="2"/>
    <n v="4"/>
    <n v="65"/>
    <s v="&gt;50"/>
    <n v="6"/>
    <m/>
    <m/>
    <m/>
    <x v="1"/>
    <m/>
    <n v="13"/>
  </r>
  <r>
    <n v="849"/>
    <n v="1953"/>
    <x v="2"/>
    <x v="1"/>
    <n v="56129"/>
    <n v="0"/>
    <d v="1899-12-31T00:00:00"/>
    <d v="2013-06-20T00:00:00"/>
    <n v="65"/>
    <n v="48"/>
    <n v="72"/>
    <n v="72"/>
    <n v="10"/>
    <n v="73"/>
    <s v="&gt;50"/>
    <n v="82"/>
    <m/>
    <m/>
    <m/>
    <x v="0"/>
    <m/>
    <n v="13"/>
  </r>
  <r>
    <n v="523"/>
    <n v="1989"/>
    <x v="0"/>
    <x v="2"/>
    <n v="37155"/>
    <n v="1"/>
    <d v="1899-12-30T00:00:00"/>
    <d v="2013-01-31T00:00:00"/>
    <n v="51"/>
    <n v="0"/>
    <n v="15"/>
    <n v="15"/>
    <n v="4"/>
    <n v="37"/>
    <s v="30-50"/>
    <n v="19"/>
    <m/>
    <m/>
    <m/>
    <x v="1"/>
    <m/>
    <n v="13"/>
  </r>
  <r>
    <n v="4066"/>
    <n v="1978"/>
    <x v="4"/>
    <x v="3"/>
    <n v="21282"/>
    <n v="1"/>
    <d v="1899-12-30T00:00:00"/>
    <d v="2014-05-11T00:00:00"/>
    <n v="76"/>
    <n v="5"/>
    <n v="8"/>
    <n v="8"/>
    <n v="2"/>
    <n v="48"/>
    <s v="30-50"/>
    <n v="10"/>
    <m/>
    <m/>
    <m/>
    <x v="2"/>
    <m/>
    <n v="12"/>
  </r>
  <r>
    <n v="8414"/>
    <n v="1962"/>
    <x v="1"/>
    <x v="0"/>
    <n v="33419"/>
    <n v="0"/>
    <d v="1899-12-31T00:00:00"/>
    <d v="2013-08-17T00:00:00"/>
    <n v="76"/>
    <n v="0"/>
    <n v="0"/>
    <n v="0"/>
    <n v="4"/>
    <n v="64"/>
    <s v="&gt;50"/>
    <n v="4"/>
    <m/>
    <m/>
    <m/>
    <x v="1"/>
    <m/>
    <n v="13"/>
  </r>
  <r>
    <n v="819"/>
    <n v="1945"/>
    <x v="0"/>
    <x v="4"/>
    <n v="63285"/>
    <n v="0"/>
    <d v="1899-12-30T00:00:00"/>
    <d v="2013-11-05T00:00:00"/>
    <n v="84"/>
    <n v="124"/>
    <n v="38"/>
    <n v="38"/>
    <n v="13"/>
    <n v="81"/>
    <s v="&gt;50"/>
    <n v="51"/>
    <m/>
    <m/>
    <m/>
    <x v="0"/>
    <m/>
    <n v="13"/>
  </r>
  <r>
    <n v="4961"/>
    <n v="1974"/>
    <x v="2"/>
    <x v="1"/>
    <n v="21255"/>
    <n v="1"/>
    <d v="1899-12-30T00:00:00"/>
    <d v="2014-01-21T00:00:00"/>
    <n v="56"/>
    <n v="0"/>
    <n v="2"/>
    <n v="2"/>
    <n v="4"/>
    <n v="52"/>
    <s v="&gt;50"/>
    <n v="6"/>
    <m/>
    <m/>
    <m/>
    <x v="2"/>
    <m/>
    <n v="12"/>
  </r>
  <r>
    <n v="749"/>
    <n v="1981"/>
    <x v="0"/>
    <x v="1"/>
    <n v="42162"/>
    <n v="1"/>
    <d v="1899-12-30T00:00:00"/>
    <d v="2013-11-19T00:00:00"/>
    <n v="31"/>
    <n v="7"/>
    <n v="4"/>
    <n v="4"/>
    <n v="3"/>
    <n v="45"/>
    <s v="30-50"/>
    <n v="7"/>
    <m/>
    <m/>
    <m/>
    <x v="1"/>
    <m/>
    <n v="13"/>
  </r>
  <r>
    <n v="5430"/>
    <n v="1956"/>
    <x v="0"/>
    <x v="1"/>
    <n v="54450"/>
    <n v="1"/>
    <d v="1899-12-31T00:00:00"/>
    <d v="2012-09-14T00:00:00"/>
    <n v="0"/>
    <n v="0"/>
    <n v="19"/>
    <n v="19"/>
    <n v="8"/>
    <n v="70"/>
    <s v="&gt;50"/>
    <n v="27"/>
    <m/>
    <m/>
    <m/>
    <x v="0"/>
    <m/>
    <n v="14"/>
  </r>
  <r>
    <n v="7755"/>
    <n v="1954"/>
    <x v="1"/>
    <x v="2"/>
    <n v="57744"/>
    <n v="0"/>
    <d v="1899-12-31T00:00:00"/>
    <d v="2013-11-12T00:00:00"/>
    <n v="91"/>
    <n v="3"/>
    <n v="0"/>
    <n v="0"/>
    <n v="4"/>
    <n v="72"/>
    <s v="&gt;50"/>
    <n v="4"/>
    <m/>
    <m/>
    <m/>
    <x v="0"/>
    <m/>
    <n v="13"/>
  </r>
  <r>
    <n v="10525"/>
    <n v="1986"/>
    <x v="0"/>
    <x v="0"/>
    <n v="26576"/>
    <n v="1"/>
    <d v="1899-12-30T00:00:00"/>
    <d v="2012-10-13T00:00:00"/>
    <n v="40"/>
    <n v="0"/>
    <n v="0"/>
    <n v="0"/>
    <n v="2"/>
    <n v="40"/>
    <s v="30-50"/>
    <n v="2"/>
    <m/>
    <m/>
    <m/>
    <x v="2"/>
    <m/>
    <n v="14"/>
  </r>
  <r>
    <n v="1453"/>
    <n v="1943"/>
    <x v="1"/>
    <x v="4"/>
    <n v="57513"/>
    <n v="0"/>
    <d v="1899-12-30T00:00:00"/>
    <d v="2013-07-06T00:00:00"/>
    <n v="59"/>
    <n v="40"/>
    <n v="20"/>
    <n v="20"/>
    <n v="13"/>
    <n v="83"/>
    <s v="&gt;50"/>
    <n v="33"/>
    <m/>
    <m/>
    <m/>
    <x v="0"/>
    <m/>
    <n v="13"/>
  </r>
  <r>
    <n v="8310"/>
    <n v="1964"/>
    <x v="0"/>
    <x v="1"/>
    <n v="68142"/>
    <n v="0"/>
    <d v="1899-12-31T00:00:00"/>
    <d v="2012-08-29T00:00:00"/>
    <n v="96"/>
    <n v="126"/>
    <n v="112"/>
    <n v="112"/>
    <n v="7"/>
    <n v="62"/>
    <s v="&gt;50"/>
    <n v="119"/>
    <m/>
    <m/>
    <m/>
    <x v="0"/>
    <m/>
    <n v="14"/>
  </r>
  <r>
    <n v="10710"/>
    <n v="1979"/>
    <x v="0"/>
    <x v="2"/>
    <n v="7500"/>
    <n v="0"/>
    <d v="1899-12-31T00:00:00"/>
    <d v="2012-08-29T00:00:00"/>
    <n v="61"/>
    <n v="2"/>
    <n v="0"/>
    <n v="0"/>
    <n v="2"/>
    <n v="47"/>
    <s v="30-50"/>
    <n v="2"/>
    <m/>
    <m/>
    <m/>
    <x v="2"/>
    <m/>
    <n v="14"/>
  </r>
  <r>
    <n v="5031"/>
    <n v="1974"/>
    <x v="0"/>
    <x v="1"/>
    <n v="83145"/>
    <n v="0"/>
    <d v="1899-12-30T00:00:00"/>
    <d v="2012-09-22T00:00:00"/>
    <n v="14"/>
    <n v="35"/>
    <n v="137"/>
    <n v="137"/>
    <n v="11"/>
    <n v="52"/>
    <s v="&gt;50"/>
    <n v="148"/>
    <m/>
    <m/>
    <m/>
    <x v="3"/>
    <m/>
    <n v="14"/>
  </r>
  <r>
    <n v="2613"/>
    <n v="1960"/>
    <x v="2"/>
    <x v="2"/>
    <n v="54197"/>
    <n v="0"/>
    <d v="1899-12-31T00:00:00"/>
    <d v="2014-04-03T00:00:00"/>
    <n v="16"/>
    <n v="6"/>
    <n v="13"/>
    <n v="13"/>
    <n v="6"/>
    <n v="66"/>
    <s v="&gt;50"/>
    <n v="19"/>
    <m/>
    <m/>
    <m/>
    <x v="0"/>
    <m/>
    <n v="12"/>
  </r>
  <r>
    <n v="213"/>
    <n v="1963"/>
    <x v="1"/>
    <x v="0"/>
    <n v="23091"/>
    <n v="1"/>
    <d v="1899-12-31T00:00:00"/>
    <d v="2014-05-28T00:00:00"/>
    <n v="98"/>
    <n v="0"/>
    <n v="0"/>
    <n v="0"/>
    <n v="3"/>
    <n v="63"/>
    <s v="&gt;50"/>
    <n v="3"/>
    <m/>
    <m/>
    <m/>
    <x v="2"/>
    <m/>
    <n v="12"/>
  </r>
  <r>
    <n v="967"/>
    <n v="1976"/>
    <x v="0"/>
    <x v="2"/>
    <n v="46049"/>
    <n v="1"/>
    <d v="1899-12-31T00:00:00"/>
    <d v="2013-07-21T00:00:00"/>
    <n v="11"/>
    <n v="9"/>
    <n v="14"/>
    <n v="14"/>
    <n v="9"/>
    <n v="50"/>
    <s v="30-50"/>
    <n v="23"/>
    <m/>
    <m/>
    <m/>
    <x v="1"/>
    <m/>
    <n v="13"/>
  </r>
  <r>
    <n v="1077"/>
    <n v="1974"/>
    <x v="0"/>
    <x v="1"/>
    <n v="56715"/>
    <n v="0"/>
    <d v="1899-12-30T00:00:00"/>
    <d v="2012-12-05T00:00:00"/>
    <n v="52"/>
    <n v="105"/>
    <n v="172"/>
    <n v="172"/>
    <n v="4"/>
    <n v="52"/>
    <s v="&gt;50"/>
    <n v="176"/>
    <m/>
    <m/>
    <m/>
    <x v="0"/>
    <m/>
    <n v="14"/>
  </r>
  <r>
    <n v="7959"/>
    <n v="1961"/>
    <x v="0"/>
    <x v="2"/>
    <n v="79410"/>
    <n v="0"/>
    <d v="1899-12-30T00:00:00"/>
    <d v="2014-05-29T00:00:00"/>
    <n v="19"/>
    <n v="80"/>
    <n v="13"/>
    <n v="13"/>
    <n v="5"/>
    <n v="65"/>
    <s v="&gt;50"/>
    <n v="18"/>
    <m/>
    <m/>
    <m/>
    <x v="3"/>
    <m/>
    <n v="12"/>
  </r>
  <r>
    <n v="640"/>
    <n v="1951"/>
    <x v="0"/>
    <x v="2"/>
    <n v="57304"/>
    <n v="0"/>
    <d v="1899-12-31T00:00:00"/>
    <d v="2013-03-11T00:00:00"/>
    <n v="61"/>
    <n v="80"/>
    <n v="17"/>
    <n v="17"/>
    <n v="10"/>
    <n v="75"/>
    <s v="&gt;50"/>
    <n v="27"/>
    <m/>
    <m/>
    <m/>
    <x v="0"/>
    <m/>
    <n v="13"/>
  </r>
  <r>
    <n v="4252"/>
    <n v="1965"/>
    <x v="0"/>
    <x v="2"/>
    <n v="44375"/>
    <n v="0"/>
    <d v="1899-12-31T00:00:00"/>
    <d v="2014-03-23T00:00:00"/>
    <n v="73"/>
    <n v="5"/>
    <n v="7"/>
    <n v="7"/>
    <n v="6"/>
    <n v="61"/>
    <s v="&gt;50"/>
    <n v="13"/>
    <m/>
    <m/>
    <m/>
    <x v="1"/>
    <m/>
    <n v="12"/>
  </r>
  <r>
    <n v="8432"/>
    <n v="1956"/>
    <x v="0"/>
    <x v="1"/>
    <n v="54450"/>
    <n v="1"/>
    <d v="1899-12-31T00:00:00"/>
    <d v="2012-09-14T00:00:00"/>
    <n v="0"/>
    <n v="0"/>
    <n v="19"/>
    <n v="19"/>
    <n v="8"/>
    <n v="70"/>
    <s v="&gt;50"/>
    <n v="27"/>
    <m/>
    <m/>
    <m/>
    <x v="0"/>
    <m/>
    <n v="14"/>
  </r>
  <r>
    <n v="6218"/>
    <n v="1965"/>
    <x v="0"/>
    <x v="2"/>
    <n v="59594"/>
    <n v="0"/>
    <d v="1899-12-31T00:00:00"/>
    <d v="2012-10-20T00:00:00"/>
    <n v="74"/>
    <n v="4"/>
    <n v="0"/>
    <n v="0"/>
    <n v="7"/>
    <n v="61"/>
    <s v="&gt;50"/>
    <n v="7"/>
    <m/>
    <m/>
    <m/>
    <x v="0"/>
    <m/>
    <n v="14"/>
  </r>
  <r>
    <n v="6905"/>
    <n v="1994"/>
    <x v="0"/>
    <x v="1"/>
    <n v="80685"/>
    <n v="0"/>
    <d v="1899-12-30T00:00:00"/>
    <d v="2012-08-22T00:00:00"/>
    <n v="55"/>
    <n v="45"/>
    <n v="26"/>
    <n v="26"/>
    <n v="10"/>
    <n v="32"/>
    <s v="30-50"/>
    <n v="36"/>
    <m/>
    <m/>
    <m/>
    <x v="3"/>
    <m/>
    <n v="14"/>
  </r>
  <r>
    <n v="5922"/>
    <n v="1974"/>
    <x v="1"/>
    <x v="2"/>
    <n v="40344"/>
    <n v="0"/>
    <d v="1899-12-31T00:00:00"/>
    <d v="2013-10-13T00:00:00"/>
    <n v="48"/>
    <n v="0"/>
    <n v="0"/>
    <n v="0"/>
    <n v="5"/>
    <n v="52"/>
    <s v="&gt;50"/>
    <n v="5"/>
    <m/>
    <m/>
    <m/>
    <x v="1"/>
    <m/>
    <n v="13"/>
  </r>
  <r>
    <n v="3598"/>
    <n v="1972"/>
    <x v="0"/>
    <x v="2"/>
    <n v="62710"/>
    <n v="0"/>
    <d v="1899-12-31T00:00:00"/>
    <d v="2013-05-23T00:00:00"/>
    <n v="53"/>
    <n v="35"/>
    <n v="29"/>
    <n v="29"/>
    <n v="12"/>
    <n v="54"/>
    <s v="&gt;50"/>
    <n v="41"/>
    <m/>
    <m/>
    <m/>
    <x v="0"/>
    <m/>
    <n v="13"/>
  </r>
  <r>
    <n v="6116"/>
    <n v="1968"/>
    <x v="4"/>
    <x v="2"/>
    <n v="48985"/>
    <n v="0"/>
    <d v="1899-12-31T00:00:00"/>
    <d v="2013-07-05T00:00:00"/>
    <n v="13"/>
    <n v="13"/>
    <n v="7"/>
    <n v="7"/>
    <n v="3"/>
    <n v="58"/>
    <s v="&gt;50"/>
    <n v="10"/>
    <m/>
    <m/>
    <m/>
    <x v="1"/>
    <m/>
    <n v="13"/>
  </r>
  <r>
    <n v="6263"/>
    <n v="1968"/>
    <x v="0"/>
    <x v="1"/>
    <n v="35322"/>
    <n v="1"/>
    <d v="1900-01-01T00:00:00"/>
    <d v="2012-08-22T00:00:00"/>
    <n v="34"/>
    <n v="9"/>
    <n v="7"/>
    <n v="7"/>
    <n v="4"/>
    <n v="58"/>
    <s v="&gt;50"/>
    <n v="11"/>
    <m/>
    <m/>
    <m/>
    <x v="1"/>
    <m/>
    <n v="14"/>
  </r>
  <r>
    <n v="10486"/>
    <n v="1948"/>
    <x v="0"/>
    <x v="2"/>
    <n v="77142"/>
    <n v="0"/>
    <d v="1899-12-30T00:00:00"/>
    <d v="2013-05-29T00:00:00"/>
    <n v="54"/>
    <n v="75"/>
    <n v="151"/>
    <n v="151"/>
    <n v="8"/>
    <n v="78"/>
    <s v="&gt;50"/>
    <n v="159"/>
    <m/>
    <m/>
    <m/>
    <x v="3"/>
    <m/>
    <n v="13"/>
  </r>
  <r>
    <n v="2410"/>
    <n v="1969"/>
    <x v="0"/>
    <x v="0"/>
    <n v="81657"/>
    <n v="0"/>
    <d v="1899-12-30T00:00:00"/>
    <d v="2014-01-22T00:00:00"/>
    <n v="69"/>
    <n v="40"/>
    <n v="60"/>
    <n v="60"/>
    <n v="8"/>
    <n v="57"/>
    <s v="&gt;50"/>
    <n v="68"/>
    <m/>
    <m/>
    <m/>
    <x v="3"/>
    <m/>
    <n v="12"/>
  </r>
  <r>
    <n v="193"/>
    <n v="1996"/>
    <x v="3"/>
    <x v="2"/>
    <n v="14421"/>
    <n v="0"/>
    <d v="1899-12-30T00:00:00"/>
    <d v="2014-02-17T00:00:00"/>
    <n v="81"/>
    <n v="0"/>
    <n v="3"/>
    <n v="3"/>
    <n v="2"/>
    <n v="30"/>
    <s v="30-50"/>
    <n v="5"/>
    <m/>
    <m/>
    <m/>
    <x v="2"/>
    <m/>
    <n v="12"/>
  </r>
  <r>
    <n v="3363"/>
    <n v="1974"/>
    <x v="4"/>
    <x v="2"/>
    <n v="20130"/>
    <n v="0"/>
    <d v="1899-12-30T00:00:00"/>
    <d v="2014-03-17T00:00:00"/>
    <n v="99"/>
    <n v="6"/>
    <n v="6"/>
    <n v="6"/>
    <n v="3"/>
    <n v="52"/>
    <s v="&gt;50"/>
    <n v="9"/>
    <m/>
    <m/>
    <m/>
    <x v="2"/>
    <m/>
    <n v="12"/>
  </r>
  <r>
    <n v="8278"/>
    <n v="1990"/>
    <x v="1"/>
    <x v="2"/>
    <n v="74214"/>
    <n v="0"/>
    <d v="1899-12-30T00:00:00"/>
    <d v="2012-08-26T00:00:00"/>
    <n v="3"/>
    <n v="83"/>
    <n v="99"/>
    <n v="99"/>
    <n v="5"/>
    <n v="36"/>
    <s v="30-50"/>
    <n v="104"/>
    <m/>
    <m/>
    <m/>
    <x v="0"/>
    <m/>
    <n v="14"/>
  </r>
  <r>
    <n v="10660"/>
    <n v="1957"/>
    <x v="2"/>
    <x v="2"/>
    <n v="66726"/>
    <n v="1"/>
    <d v="1899-12-31T00:00:00"/>
    <d v="2014-01-12T00:00:00"/>
    <n v="61"/>
    <n v="7"/>
    <n v="0"/>
    <n v="0"/>
    <n v="4"/>
    <n v="69"/>
    <s v="&gt;50"/>
    <n v="4"/>
    <m/>
    <m/>
    <m/>
    <x v="0"/>
    <m/>
    <n v="12"/>
  </r>
  <r>
    <n v="8686"/>
    <n v="1979"/>
    <x v="3"/>
    <x v="1"/>
    <n v="23724"/>
    <n v="1"/>
    <d v="1899-12-30T00:00:00"/>
    <d v="2013-01-08T00:00:00"/>
    <n v="65"/>
    <n v="23"/>
    <n v="18"/>
    <n v="18"/>
    <n v="3"/>
    <n v="47"/>
    <s v="30-50"/>
    <n v="21"/>
    <m/>
    <m/>
    <m/>
    <x v="2"/>
    <m/>
    <n v="13"/>
  </r>
  <r>
    <n v="1604"/>
    <n v="1960"/>
    <x v="2"/>
    <x v="2"/>
    <n v="47353"/>
    <n v="0"/>
    <d v="1899-12-31T00:00:00"/>
    <d v="2013-11-13T00:00:00"/>
    <n v="93"/>
    <n v="2"/>
    <n v="8"/>
    <n v="8"/>
    <n v="6"/>
    <n v="66"/>
    <s v="&gt;50"/>
    <n v="14"/>
    <m/>
    <m/>
    <m/>
    <x v="1"/>
    <m/>
    <n v="13"/>
  </r>
  <r>
    <n v="5907"/>
    <n v="1952"/>
    <x v="2"/>
    <x v="2"/>
    <n v="33444"/>
    <n v="1"/>
    <d v="1899-12-31T00:00:00"/>
    <d v="2012-11-03T00:00:00"/>
    <n v="24"/>
    <n v="0"/>
    <n v="0"/>
    <n v="0"/>
    <n v="2"/>
    <n v="74"/>
    <s v="&gt;50"/>
    <n v="2"/>
    <m/>
    <m/>
    <m/>
    <x v="1"/>
    <m/>
    <n v="14"/>
  </r>
  <r>
    <n v="10669"/>
    <n v="1981"/>
    <x v="0"/>
    <x v="2"/>
    <n v="54386"/>
    <n v="0"/>
    <d v="1899-12-31T00:00:00"/>
    <d v="2013-05-17T00:00:00"/>
    <n v="8"/>
    <n v="21"/>
    <n v="21"/>
    <n v="21"/>
    <n v="10"/>
    <n v="45"/>
    <s v="30-50"/>
    <n v="31"/>
    <m/>
    <m/>
    <m/>
    <x v="0"/>
    <m/>
    <n v="13"/>
  </r>
  <r>
    <n v="2918"/>
    <n v="1981"/>
    <x v="0"/>
    <x v="3"/>
    <n v="28510"/>
    <n v="1"/>
    <d v="1899-12-31T00:00:00"/>
    <d v="2013-04-13T00:00:00"/>
    <n v="72"/>
    <n v="5"/>
    <n v="4"/>
    <n v="4"/>
    <n v="4"/>
    <n v="45"/>
    <s v="30-50"/>
    <n v="8"/>
    <m/>
    <m/>
    <m/>
    <x v="2"/>
    <m/>
    <n v="13"/>
  </r>
  <r>
    <n v="5735"/>
    <n v="1991"/>
    <x v="2"/>
    <x v="0"/>
    <n v="90638"/>
    <n v="0"/>
    <d v="1899-12-30T00:00:00"/>
    <d v="2014-02-13T00:00:00"/>
    <n v="29"/>
    <n v="120"/>
    <n v="144"/>
    <n v="144"/>
    <n v="10"/>
    <n v="35"/>
    <s v="30-50"/>
    <n v="154"/>
    <m/>
    <m/>
    <m/>
    <x v="3"/>
    <m/>
    <n v="12"/>
  </r>
  <r>
    <n v="359"/>
    <n v="1950"/>
    <x v="0"/>
    <x v="1"/>
    <n v="48070"/>
    <n v="0"/>
    <d v="1899-12-31T00:00:00"/>
    <d v="2013-01-13T00:00:00"/>
    <n v="33"/>
    <n v="14"/>
    <n v="9"/>
    <n v="9"/>
    <n v="6"/>
    <n v="76"/>
    <s v="&gt;50"/>
    <n v="15"/>
    <m/>
    <m/>
    <m/>
    <x v="1"/>
    <m/>
    <n v="13"/>
  </r>
  <r>
    <n v="8387"/>
    <n v="1957"/>
    <x v="0"/>
    <x v="2"/>
    <n v="43140"/>
    <n v="0"/>
    <d v="1899-12-31T00:00:00"/>
    <d v="2013-01-05T00:00:00"/>
    <n v="68"/>
    <n v="8"/>
    <n v="0"/>
    <n v="0"/>
    <n v="5"/>
    <n v="69"/>
    <s v="&gt;50"/>
    <n v="5"/>
    <m/>
    <m/>
    <m/>
    <x v="1"/>
    <m/>
    <n v="13"/>
  </r>
  <r>
    <n v="1829"/>
    <n v="1961"/>
    <x v="1"/>
    <x v="3"/>
    <n v="54959"/>
    <n v="0"/>
    <d v="1899-12-31T00:00:00"/>
    <d v="2013-01-19T00:00:00"/>
    <n v="55"/>
    <n v="0"/>
    <n v="0"/>
    <n v="0"/>
    <n v="4"/>
    <n v="65"/>
    <s v="&gt;50"/>
    <n v="4"/>
    <m/>
    <m/>
    <m/>
    <x v="0"/>
    <m/>
    <n v="13"/>
  </r>
  <r>
    <n v="3839"/>
    <n v="1958"/>
    <x v="3"/>
    <x v="0"/>
    <n v="15056"/>
    <n v="1"/>
    <d v="1899-12-31T00:00:00"/>
    <d v="2013-05-03T00:00:00"/>
    <n v="76"/>
    <n v="12"/>
    <n v="6"/>
    <n v="6"/>
    <n v="3"/>
    <n v="68"/>
    <s v="&gt;50"/>
    <n v="9"/>
    <m/>
    <m/>
    <m/>
    <x v="2"/>
    <m/>
    <n v="13"/>
  </r>
  <r>
    <n v="9392"/>
    <n v="1971"/>
    <x v="0"/>
    <x v="0"/>
    <n v="26954"/>
    <n v="1"/>
    <d v="1899-12-30T00:00:00"/>
    <d v="2014-05-08T00:00:00"/>
    <n v="17"/>
    <n v="1"/>
    <n v="0"/>
    <n v="0"/>
    <n v="2"/>
    <n v="55"/>
    <s v="&gt;50"/>
    <n v="2"/>
    <m/>
    <m/>
    <m/>
    <x v="2"/>
    <m/>
    <n v="12"/>
  </r>
  <r>
    <n v="2292"/>
    <n v="1985"/>
    <x v="0"/>
    <x v="0"/>
    <n v="22327"/>
    <n v="1"/>
    <d v="1899-12-30T00:00:00"/>
    <d v="2013-08-02T00:00:00"/>
    <n v="94"/>
    <n v="4"/>
    <n v="0"/>
    <n v="0"/>
    <n v="3"/>
    <n v="41"/>
    <s v="30-50"/>
    <n v="3"/>
    <m/>
    <m/>
    <m/>
    <x v="2"/>
    <m/>
    <n v="13"/>
  </r>
  <r>
    <n v="10466"/>
    <n v="1965"/>
    <x v="0"/>
    <x v="2"/>
    <n v="44393"/>
    <n v="1"/>
    <d v="1899-12-31T00:00:00"/>
    <d v="2013-08-22T00:00:00"/>
    <n v="86"/>
    <n v="2"/>
    <n v="2"/>
    <n v="2"/>
    <n v="4"/>
    <n v="61"/>
    <s v="&gt;50"/>
    <n v="6"/>
    <m/>
    <m/>
    <m/>
    <x v="1"/>
    <m/>
    <n v="13"/>
  </r>
  <r>
    <n v="9855"/>
    <n v="1952"/>
    <x v="1"/>
    <x v="0"/>
    <n v="62000"/>
    <n v="0"/>
    <d v="1899-12-31T00:00:00"/>
    <d v="2013-08-25T00:00:00"/>
    <n v="25"/>
    <n v="0"/>
    <n v="0"/>
    <n v="0"/>
    <n v="13"/>
    <n v="74"/>
    <s v="&gt;50"/>
    <n v="13"/>
    <m/>
    <m/>
    <m/>
    <x v="0"/>
    <m/>
    <n v="13"/>
  </r>
  <r>
    <n v="4088"/>
    <n v="1962"/>
    <x v="1"/>
    <x v="1"/>
    <n v="31497"/>
    <n v="0"/>
    <d v="1899-12-31T00:00:00"/>
    <d v="2012-12-06T00:00:00"/>
    <n v="22"/>
    <n v="1"/>
    <n v="1"/>
    <n v="1"/>
    <n v="4"/>
    <n v="64"/>
    <s v="&gt;50"/>
    <n v="5"/>
    <m/>
    <m/>
    <m/>
    <x v="1"/>
    <m/>
    <n v="14"/>
  </r>
  <r>
    <n v="5231"/>
    <n v="1974"/>
    <x v="4"/>
    <x v="2"/>
    <n v="45894"/>
    <n v="0"/>
    <d v="1900-01-01T00:00:00"/>
    <d v="2014-02-27T00:00:00"/>
    <n v="15"/>
    <n v="2"/>
    <n v="2"/>
    <n v="2"/>
    <n v="3"/>
    <n v="52"/>
    <s v="&gt;50"/>
    <n v="5"/>
    <m/>
    <m/>
    <m/>
    <x v="1"/>
    <m/>
    <n v="12"/>
  </r>
  <r>
    <n v="590"/>
    <n v="1970"/>
    <x v="2"/>
    <x v="3"/>
    <n v="78579"/>
    <n v="0"/>
    <d v="1899-12-30T00:00:00"/>
    <d v="2012-12-22T00:00:00"/>
    <n v="35"/>
    <n v="66"/>
    <n v="66"/>
    <n v="66"/>
    <n v="4"/>
    <n v="56"/>
    <s v="&gt;50"/>
    <n v="70"/>
    <m/>
    <m/>
    <m/>
    <x v="3"/>
    <m/>
    <n v="14"/>
  </r>
  <r>
    <n v="8732"/>
    <n v="1969"/>
    <x v="2"/>
    <x v="4"/>
    <n v="67369"/>
    <n v="0"/>
    <d v="1899-12-31T00:00:00"/>
    <d v="2012-11-17T00:00:00"/>
    <n v="81"/>
    <n v="0"/>
    <n v="14"/>
    <n v="14"/>
    <n v="10"/>
    <n v="57"/>
    <s v="&gt;50"/>
    <n v="24"/>
    <m/>
    <m/>
    <m/>
    <x v="0"/>
    <m/>
    <n v="14"/>
  </r>
  <r>
    <n v="2315"/>
    <n v="1960"/>
    <x v="0"/>
    <x v="3"/>
    <n v="58401"/>
    <n v="0"/>
    <d v="1899-12-31T00:00:00"/>
    <d v="2014-04-20T00:00:00"/>
    <n v="55"/>
    <n v="0"/>
    <n v="29"/>
    <n v="29"/>
    <n v="2"/>
    <n v="66"/>
    <s v="&gt;50"/>
    <n v="31"/>
    <m/>
    <m/>
    <m/>
    <x v="0"/>
    <m/>
    <n v="12"/>
  </r>
  <r>
    <n v="3515"/>
    <n v="1952"/>
    <x v="0"/>
    <x v="0"/>
    <n v="62307"/>
    <n v="0"/>
    <d v="1899-12-31T00:00:00"/>
    <d v="2014-02-17T00:00:00"/>
    <n v="94"/>
    <n v="13"/>
    <n v="6"/>
    <n v="6"/>
    <n v="4"/>
    <n v="74"/>
    <s v="&gt;50"/>
    <n v="10"/>
    <m/>
    <m/>
    <m/>
    <x v="0"/>
    <m/>
    <n v="12"/>
  </r>
  <r>
    <n v="2245"/>
    <n v="1969"/>
    <x v="2"/>
    <x v="2"/>
    <n v="43641"/>
    <n v="1"/>
    <d v="1899-12-31T00:00:00"/>
    <d v="2013-04-22T00:00:00"/>
    <n v="50"/>
    <n v="2"/>
    <n v="2"/>
    <n v="2"/>
    <n v="4"/>
    <n v="57"/>
    <s v="&gt;50"/>
    <n v="6"/>
    <m/>
    <m/>
    <m/>
    <x v="1"/>
    <m/>
    <n v="13"/>
  </r>
  <r>
    <n v="6283"/>
    <n v="1968"/>
    <x v="2"/>
    <x v="3"/>
    <n v="63841"/>
    <n v="0"/>
    <d v="1899-12-31T00:00:00"/>
    <d v="2013-04-21T00:00:00"/>
    <n v="64"/>
    <n v="15"/>
    <n v="7"/>
    <n v="7"/>
    <n v="9"/>
    <n v="58"/>
    <s v="&gt;50"/>
    <n v="16"/>
    <m/>
    <m/>
    <m/>
    <x v="0"/>
    <m/>
    <n v="13"/>
  </r>
  <r>
    <n v="2246"/>
    <n v="1965"/>
    <x v="4"/>
    <x v="2"/>
    <n v="46891"/>
    <n v="0"/>
    <d v="1899-12-31T00:00:00"/>
    <d v="2013-09-01T00:00:00"/>
    <n v="91"/>
    <n v="12"/>
    <n v="15"/>
    <n v="15"/>
    <n v="4"/>
    <n v="61"/>
    <s v="&gt;50"/>
    <n v="19"/>
    <m/>
    <m/>
    <m/>
    <x v="1"/>
    <m/>
    <n v="13"/>
  </r>
  <r>
    <n v="6606"/>
    <n v="1969"/>
    <x v="2"/>
    <x v="2"/>
    <n v="70091"/>
    <n v="1"/>
    <d v="1899-12-30T00:00:00"/>
    <d v="2013-03-31T00:00:00"/>
    <n v="11"/>
    <n v="34"/>
    <n v="0"/>
    <n v="0"/>
    <n v="10"/>
    <n v="57"/>
    <s v="&gt;50"/>
    <n v="10"/>
    <m/>
    <m/>
    <m/>
    <x v="0"/>
    <m/>
    <n v="13"/>
  </r>
  <r>
    <n v="5545"/>
    <n v="1972"/>
    <x v="1"/>
    <x v="2"/>
    <n v="78075"/>
    <n v="0"/>
    <d v="1899-12-30T00:00:00"/>
    <d v="2014-04-05T00:00:00"/>
    <n v="72"/>
    <n v="8"/>
    <n v="35"/>
    <n v="35"/>
    <n v="5"/>
    <n v="54"/>
    <s v="&gt;50"/>
    <n v="40"/>
    <m/>
    <m/>
    <m/>
    <x v="3"/>
    <m/>
    <n v="12"/>
  </r>
  <r>
    <n v="7342"/>
    <n v="1961"/>
    <x v="4"/>
    <x v="4"/>
    <n v="59184"/>
    <n v="0"/>
    <d v="1899-12-31T00:00:00"/>
    <d v="2012-09-09T00:00:00"/>
    <n v="6"/>
    <n v="142"/>
    <n v="151"/>
    <n v="151"/>
    <n v="12"/>
    <n v="65"/>
    <s v="&gt;50"/>
    <n v="163"/>
    <m/>
    <m/>
    <m/>
    <x v="0"/>
    <m/>
    <n v="14"/>
  </r>
  <r>
    <n v="837"/>
    <n v="1977"/>
    <x v="0"/>
    <x v="2"/>
    <n v="54809"/>
    <n v="1"/>
    <d v="1899-12-31T00:00:00"/>
    <d v="2013-09-11T00:00:00"/>
    <n v="0"/>
    <n v="6"/>
    <n v="13"/>
    <n v="13"/>
    <n v="5"/>
    <n v="49"/>
    <s v="30-50"/>
    <n v="18"/>
    <m/>
    <m/>
    <m/>
    <x v="0"/>
    <m/>
    <n v="13"/>
  </r>
  <r>
    <n v="9500"/>
    <n v="1959"/>
    <x v="0"/>
    <x v="2"/>
    <n v="58113"/>
    <n v="0"/>
    <d v="1899-12-31T00:00:00"/>
    <d v="2013-01-25T00:00:00"/>
    <n v="66"/>
    <n v="104"/>
    <n v="78"/>
    <n v="78"/>
    <n v="8"/>
    <n v="67"/>
    <s v="&gt;50"/>
    <n v="86"/>
    <m/>
    <m/>
    <m/>
    <x v="0"/>
    <m/>
    <n v="13"/>
  </r>
  <r>
    <n v="3602"/>
    <n v="1958"/>
    <x v="2"/>
    <x v="2"/>
    <n v="51412"/>
    <n v="0"/>
    <d v="1899-12-31T00:00:00"/>
    <d v="2013-12-31T00:00:00"/>
    <n v="42"/>
    <n v="3"/>
    <n v="5"/>
    <n v="5"/>
    <n v="4"/>
    <n v="68"/>
    <s v="&gt;50"/>
    <n v="9"/>
    <m/>
    <m/>
    <m/>
    <x v="0"/>
    <m/>
    <n v="13"/>
  </r>
  <r>
    <n v="234"/>
    <n v="1979"/>
    <x v="0"/>
    <x v="3"/>
    <n v="15287"/>
    <n v="1"/>
    <d v="1899-12-30T00:00:00"/>
    <d v="2012-10-10T00:00:00"/>
    <n v="60"/>
    <n v="2"/>
    <n v="3"/>
    <n v="3"/>
    <n v="2"/>
    <n v="47"/>
    <s v="30-50"/>
    <n v="5"/>
    <m/>
    <m/>
    <m/>
    <x v="2"/>
    <m/>
    <n v="14"/>
  </r>
  <r>
    <n v="2995"/>
    <n v="1957"/>
    <x v="2"/>
    <x v="1"/>
    <n v="66636"/>
    <n v="0"/>
    <d v="1899-12-30T00:00:00"/>
    <d v="2013-08-17T00:00:00"/>
    <n v="64"/>
    <n v="10"/>
    <n v="10"/>
    <n v="10"/>
    <n v="9"/>
    <n v="69"/>
    <s v="&gt;50"/>
    <n v="19"/>
    <m/>
    <m/>
    <m/>
    <x v="0"/>
    <m/>
    <n v="13"/>
  </r>
  <r>
    <n v="1118"/>
    <n v="1956"/>
    <x v="2"/>
    <x v="2"/>
    <n v="50965"/>
    <n v="0"/>
    <d v="1899-12-31T00:00:00"/>
    <d v="2013-02-20T00:00:00"/>
    <n v="87"/>
    <n v="13"/>
    <n v="6"/>
    <n v="6"/>
    <n v="5"/>
    <n v="70"/>
    <s v="&gt;50"/>
    <n v="11"/>
    <m/>
    <m/>
    <m/>
    <x v="0"/>
    <m/>
    <n v="13"/>
  </r>
  <r>
    <n v="7789"/>
    <n v="1965"/>
    <x v="1"/>
    <x v="2"/>
    <n v="84618"/>
    <n v="0"/>
    <d v="1899-12-30T00:00:00"/>
    <d v="2013-11-22T00:00:00"/>
    <n v="96"/>
    <n v="100"/>
    <n v="66"/>
    <n v="66"/>
    <n v="10"/>
    <n v="61"/>
    <s v="&gt;50"/>
    <n v="76"/>
    <m/>
    <m/>
    <m/>
    <x v="3"/>
    <m/>
    <n v="13"/>
  </r>
  <r>
    <n v="3068"/>
    <n v="1990"/>
    <x v="0"/>
    <x v="2"/>
    <n v="18351"/>
    <n v="0"/>
    <d v="1899-12-30T00:00:00"/>
    <d v="2013-10-29T00:00:00"/>
    <n v="1"/>
    <n v="12"/>
    <n v="14"/>
    <n v="14"/>
    <n v="3"/>
    <n v="36"/>
    <s v="30-50"/>
    <n v="17"/>
    <m/>
    <m/>
    <m/>
    <x v="2"/>
    <m/>
    <n v="13"/>
  </r>
  <r>
    <n v="8955"/>
    <n v="1957"/>
    <x v="1"/>
    <x v="1"/>
    <n v="40451"/>
    <n v="0"/>
    <d v="1900-01-01T00:00:00"/>
    <d v="2014-02-16T00:00:00"/>
    <n v="54"/>
    <n v="0"/>
    <n v="0"/>
    <n v="0"/>
    <n v="2"/>
    <n v="69"/>
    <s v="&gt;50"/>
    <n v="2"/>
    <m/>
    <m/>
    <m/>
    <x v="1"/>
    <m/>
    <n v="12"/>
  </r>
  <r>
    <n v="945"/>
    <n v="1965"/>
    <x v="0"/>
    <x v="1"/>
    <n v="36317"/>
    <n v="0"/>
    <d v="1899-12-31T00:00:00"/>
    <d v="2013-05-22T00:00:00"/>
    <n v="53"/>
    <n v="3"/>
    <n v="2"/>
    <n v="2"/>
    <n v="4"/>
    <n v="61"/>
    <s v="&gt;50"/>
    <n v="6"/>
    <m/>
    <m/>
    <m/>
    <x v="1"/>
    <m/>
    <n v="13"/>
  </r>
  <r>
    <n v="5644"/>
    <n v="1957"/>
    <x v="0"/>
    <x v="1"/>
    <n v="42213"/>
    <n v="0"/>
    <d v="1899-12-31T00:00:00"/>
    <d v="2013-10-12T00:00:00"/>
    <n v="96"/>
    <n v="3"/>
    <n v="3"/>
    <n v="3"/>
    <n v="7"/>
    <n v="69"/>
    <s v="&gt;50"/>
    <n v="10"/>
    <m/>
    <m/>
    <m/>
    <x v="1"/>
    <m/>
    <n v="13"/>
  </r>
  <r>
    <n v="7192"/>
    <n v="1955"/>
    <x v="0"/>
    <x v="1"/>
    <n v="65748"/>
    <n v="0"/>
    <d v="1899-12-31T00:00:00"/>
    <d v="2013-04-15T00:00:00"/>
    <n v="58"/>
    <n v="73"/>
    <n v="78"/>
    <n v="78"/>
    <n v="10"/>
    <n v="71"/>
    <s v="&gt;50"/>
    <n v="88"/>
    <m/>
    <m/>
    <m/>
    <x v="0"/>
    <m/>
    <n v="13"/>
  </r>
  <r>
    <n v="2324"/>
    <n v="1972"/>
    <x v="0"/>
    <x v="1"/>
    <n v="77044"/>
    <n v="0"/>
    <d v="1899-12-31T00:00:00"/>
    <d v="2013-10-27T00:00:00"/>
    <n v="12"/>
    <n v="38"/>
    <n v="34"/>
    <n v="34"/>
    <n v="11"/>
    <n v="54"/>
    <s v="&gt;50"/>
    <n v="45"/>
    <m/>
    <m/>
    <m/>
    <x v="3"/>
    <m/>
    <n v="13"/>
  </r>
  <r>
    <n v="697"/>
    <n v="1969"/>
    <x v="0"/>
    <x v="1"/>
    <n v="74918"/>
    <n v="0"/>
    <d v="1899-12-30T00:00:00"/>
    <d v="2013-03-12T00:00:00"/>
    <n v="78"/>
    <n v="59"/>
    <n v="19"/>
    <n v="19"/>
    <n v="6"/>
    <n v="57"/>
    <s v="&gt;50"/>
    <n v="25"/>
    <m/>
    <m/>
    <m/>
    <x v="0"/>
    <m/>
    <n v="13"/>
  </r>
  <r>
    <n v="3439"/>
    <n v="1972"/>
    <x v="0"/>
    <x v="2"/>
    <n v="56721"/>
    <n v="1"/>
    <d v="1899-12-31T00:00:00"/>
    <d v="2012-10-31T00:00:00"/>
    <n v="64"/>
    <n v="6"/>
    <n v="13"/>
    <n v="13"/>
    <n v="5"/>
    <n v="54"/>
    <s v="&gt;50"/>
    <n v="18"/>
    <m/>
    <m/>
    <m/>
    <x v="0"/>
    <m/>
    <n v="14"/>
  </r>
  <r>
    <n v="1506"/>
    <n v="1975"/>
    <x v="0"/>
    <x v="0"/>
    <n v="42160"/>
    <n v="1"/>
    <d v="1899-12-31T00:00:00"/>
    <d v="2013-06-28T00:00:00"/>
    <n v="26"/>
    <n v="9"/>
    <n v="15"/>
    <n v="15"/>
    <n v="4"/>
    <n v="51"/>
    <s v="&gt;50"/>
    <n v="19"/>
    <m/>
    <m/>
    <m/>
    <x v="1"/>
    <m/>
    <n v="13"/>
  </r>
  <r>
    <n v="232"/>
    <n v="1965"/>
    <x v="0"/>
    <x v="0"/>
    <n v="61559"/>
    <n v="0"/>
    <d v="1899-12-31T00:00:00"/>
    <d v="2013-07-17T00:00:00"/>
    <n v="8"/>
    <n v="83"/>
    <n v="14"/>
    <n v="14"/>
    <n v="10"/>
    <n v="61"/>
    <s v="&gt;50"/>
    <n v="24"/>
    <m/>
    <m/>
    <m/>
    <x v="0"/>
    <m/>
    <n v="13"/>
  </r>
  <r>
    <n v="8876"/>
    <n v="1963"/>
    <x v="1"/>
    <x v="1"/>
    <n v="33629"/>
    <n v="1"/>
    <d v="1899-12-31T00:00:00"/>
    <d v="2012-08-08T00:00:00"/>
    <n v="49"/>
    <n v="0"/>
    <n v="0"/>
    <n v="0"/>
    <n v="4"/>
    <n v="63"/>
    <s v="&gt;50"/>
    <n v="4"/>
    <m/>
    <m/>
    <m/>
    <x v="1"/>
    <m/>
    <n v="14"/>
  </r>
  <r>
    <n v="4500"/>
    <n v="1991"/>
    <x v="1"/>
    <x v="1"/>
    <n v="68682"/>
    <n v="0"/>
    <d v="1899-12-30T00:00:00"/>
    <d v="2013-10-06T00:00:00"/>
    <n v="56"/>
    <n v="0"/>
    <n v="30"/>
    <n v="30"/>
    <n v="10"/>
    <n v="35"/>
    <s v="30-50"/>
    <n v="40"/>
    <m/>
    <m/>
    <m/>
    <x v="0"/>
    <m/>
    <n v="13"/>
  </r>
  <r>
    <n v="9739"/>
    <n v="1963"/>
    <x v="0"/>
    <x v="0"/>
    <n v="34377"/>
    <n v="0"/>
    <d v="1899-12-31T00:00:00"/>
    <d v="2013-01-19T00:00:00"/>
    <n v="55"/>
    <n v="0"/>
    <n v="1"/>
    <n v="1"/>
    <n v="2"/>
    <n v="63"/>
    <s v="&gt;50"/>
    <n v="3"/>
    <m/>
    <m/>
    <m/>
    <x v="1"/>
    <m/>
    <n v="13"/>
  </r>
  <r>
    <n v="10395"/>
    <n v="1986"/>
    <x v="3"/>
    <x v="0"/>
    <n v="8940"/>
    <n v="1"/>
    <d v="1899-12-30T00:00:00"/>
    <d v="2012-08-22T00:00:00"/>
    <n v="25"/>
    <n v="45"/>
    <n v="6"/>
    <n v="6"/>
    <n v="3"/>
    <n v="40"/>
    <s v="30-50"/>
    <n v="9"/>
    <m/>
    <m/>
    <m/>
    <x v="2"/>
    <m/>
    <n v="14"/>
  </r>
  <r>
    <n v="1176"/>
    <n v="1973"/>
    <x v="0"/>
    <x v="2"/>
    <n v="26228"/>
    <n v="1"/>
    <d v="1899-12-30T00:00:00"/>
    <d v="2013-09-22T00:00:00"/>
    <n v="50"/>
    <n v="6"/>
    <n v="1"/>
    <n v="1"/>
    <n v="2"/>
    <n v="53"/>
    <s v="&gt;50"/>
    <n v="3"/>
    <m/>
    <m/>
    <m/>
    <x v="2"/>
    <m/>
    <n v="13"/>
  </r>
  <r>
    <n v="1627"/>
    <n v="1957"/>
    <x v="4"/>
    <x v="3"/>
    <n v="77297"/>
    <n v="0"/>
    <d v="1899-12-30T00:00:00"/>
    <d v="2013-01-26T00:00:00"/>
    <n v="84"/>
    <n v="61"/>
    <n v="122"/>
    <n v="122"/>
    <n v="9"/>
    <n v="69"/>
    <s v="&gt;50"/>
    <n v="131"/>
    <m/>
    <m/>
    <m/>
    <x v="3"/>
    <m/>
    <n v="13"/>
  </r>
  <r>
    <n v="938"/>
    <n v="1981"/>
    <x v="0"/>
    <x v="2"/>
    <n v="40211"/>
    <n v="1"/>
    <d v="1899-12-31T00:00:00"/>
    <d v="2013-07-30T00:00:00"/>
    <n v="30"/>
    <n v="1"/>
    <n v="1"/>
    <n v="1"/>
    <n v="2"/>
    <n v="45"/>
    <s v="30-50"/>
    <n v="3"/>
    <m/>
    <m/>
    <m/>
    <x v="1"/>
    <m/>
    <n v="13"/>
  </r>
  <r>
    <n v="2740"/>
    <n v="1958"/>
    <x v="1"/>
    <x v="4"/>
    <n v="33438"/>
    <n v="1"/>
    <d v="1899-12-31T00:00:00"/>
    <d v="2013-09-22T00:00:00"/>
    <n v="81"/>
    <n v="1"/>
    <n v="2"/>
    <n v="2"/>
    <n v="4"/>
    <n v="68"/>
    <s v="&gt;50"/>
    <n v="6"/>
    <m/>
    <m/>
    <m/>
    <x v="1"/>
    <m/>
    <n v="13"/>
  </r>
  <r>
    <n v="257"/>
    <n v="1959"/>
    <x v="1"/>
    <x v="2"/>
    <n v="75032"/>
    <n v="0"/>
    <d v="1899-12-31T00:00:00"/>
    <d v="2013-04-28T00:00:00"/>
    <n v="74"/>
    <n v="12"/>
    <n v="12"/>
    <n v="12"/>
    <n v="9"/>
    <n v="67"/>
    <s v="&gt;50"/>
    <n v="21"/>
    <m/>
    <m/>
    <m/>
    <x v="3"/>
    <m/>
    <n v="13"/>
  </r>
  <r>
    <n v="4058"/>
    <n v="1955"/>
    <x v="1"/>
    <x v="0"/>
    <n v="61284"/>
    <n v="0"/>
    <d v="1899-12-30T00:00:00"/>
    <d v="2013-10-12T00:00:00"/>
    <n v="76"/>
    <n v="15"/>
    <n v="7"/>
    <n v="7"/>
    <n v="8"/>
    <n v="71"/>
    <s v="&gt;50"/>
    <n v="15"/>
    <m/>
    <m/>
    <m/>
    <x v="0"/>
    <m/>
    <n v="13"/>
  </r>
  <r>
    <n v="7736"/>
    <n v="1986"/>
    <x v="0"/>
    <x v="2"/>
    <n v="22518"/>
    <n v="1"/>
    <d v="1899-12-30T00:00:00"/>
    <d v="2012-10-22T00:00:00"/>
    <n v="36"/>
    <n v="7"/>
    <n v="2"/>
    <n v="2"/>
    <n v="2"/>
    <n v="40"/>
    <s v="30-50"/>
    <n v="4"/>
    <m/>
    <m/>
    <m/>
    <x v="2"/>
    <m/>
    <n v="14"/>
  </r>
  <r>
    <n v="8210"/>
    <n v="1975"/>
    <x v="2"/>
    <x v="2"/>
    <n v="54730"/>
    <n v="0"/>
    <d v="1899-12-31T00:00:00"/>
    <d v="2013-08-15T00:00:00"/>
    <n v="64"/>
    <n v="3"/>
    <n v="7"/>
    <n v="7"/>
    <n v="8"/>
    <n v="51"/>
    <s v="&gt;50"/>
    <n v="15"/>
    <m/>
    <m/>
    <m/>
    <x v="0"/>
    <m/>
    <n v="13"/>
  </r>
  <r>
    <n v="833"/>
    <n v="1955"/>
    <x v="2"/>
    <x v="2"/>
    <n v="38452"/>
    <n v="1"/>
    <d v="1899-12-31T00:00:00"/>
    <d v="2014-03-30T00:00:00"/>
    <n v="62"/>
    <n v="0"/>
    <n v="0"/>
    <n v="0"/>
    <n v="3"/>
    <n v="71"/>
    <s v="&gt;50"/>
    <n v="3"/>
    <m/>
    <m/>
    <m/>
    <x v="1"/>
    <m/>
    <n v="12"/>
  </r>
  <r>
    <n v="6230"/>
    <n v="1971"/>
    <x v="0"/>
    <x v="3"/>
    <n v="44421"/>
    <n v="1"/>
    <d v="1899-12-31T00:00:00"/>
    <d v="2013-02-15T00:00:00"/>
    <n v="53"/>
    <n v="5"/>
    <n v="1"/>
    <n v="1"/>
    <n v="4"/>
    <n v="55"/>
    <s v="&gt;50"/>
    <n v="5"/>
    <m/>
    <m/>
    <m/>
    <x v="1"/>
    <m/>
    <n v="13"/>
  </r>
  <r>
    <n v="7325"/>
    <n v="1986"/>
    <x v="1"/>
    <x v="1"/>
    <n v="38197"/>
    <n v="1"/>
    <d v="1899-12-30T00:00:00"/>
    <d v="2013-06-29T00:00:00"/>
    <n v="86"/>
    <n v="0"/>
    <n v="1"/>
    <n v="1"/>
    <n v="3"/>
    <n v="40"/>
    <s v="30-50"/>
    <n v="4"/>
    <m/>
    <m/>
    <m/>
    <x v="1"/>
    <m/>
    <n v="13"/>
  </r>
  <r>
    <n v="1307"/>
    <n v="1978"/>
    <x v="0"/>
    <x v="3"/>
    <n v="41986"/>
    <n v="0"/>
    <d v="1899-12-31T00:00:00"/>
    <d v="2014-02-09T00:00:00"/>
    <n v="15"/>
    <n v="5"/>
    <n v="3"/>
    <n v="3"/>
    <n v="4"/>
    <n v="48"/>
    <s v="30-50"/>
    <n v="7"/>
    <m/>
    <m/>
    <m/>
    <x v="1"/>
    <m/>
    <n v="12"/>
  </r>
  <r>
    <n v="1502"/>
    <n v="1983"/>
    <x v="0"/>
    <x v="1"/>
    <n v="28427"/>
    <n v="1"/>
    <d v="1899-12-30T00:00:00"/>
    <d v="2013-03-21T00:00:00"/>
    <n v="67"/>
    <n v="3"/>
    <n v="3"/>
    <n v="3"/>
    <n v="3"/>
    <n v="43"/>
    <s v="30-50"/>
    <n v="6"/>
    <m/>
    <m/>
    <m/>
    <x v="2"/>
    <m/>
    <n v="13"/>
  </r>
  <r>
    <n v="6211"/>
    <n v="1976"/>
    <x v="1"/>
    <x v="1"/>
    <n v="37395"/>
    <n v="1"/>
    <d v="1899-12-30T00:00:00"/>
    <d v="2014-05-02T00:00:00"/>
    <n v="47"/>
    <n v="0"/>
    <n v="1"/>
    <n v="1"/>
    <n v="3"/>
    <n v="50"/>
    <s v="30-50"/>
    <n v="4"/>
    <m/>
    <m/>
    <m/>
    <x v="1"/>
    <m/>
    <n v="12"/>
  </r>
  <r>
    <n v="843"/>
    <n v="1971"/>
    <x v="0"/>
    <x v="2"/>
    <n v="64722"/>
    <n v="1"/>
    <d v="1899-12-30T00:00:00"/>
    <d v="2014-05-26T00:00:00"/>
    <n v="47"/>
    <n v="0"/>
    <n v="147"/>
    <n v="147"/>
    <n v="11"/>
    <n v="55"/>
    <s v="&gt;50"/>
    <n v="158"/>
    <m/>
    <m/>
    <m/>
    <x v="0"/>
    <m/>
    <n v="12"/>
  </r>
  <r>
    <n v="4174"/>
    <n v="1956"/>
    <x v="2"/>
    <x v="1"/>
    <n v="55249"/>
    <n v="0"/>
    <d v="1899-12-31T00:00:00"/>
    <d v="2014-04-17T00:00:00"/>
    <n v="81"/>
    <n v="1"/>
    <n v="0"/>
    <n v="0"/>
    <n v="4"/>
    <n v="70"/>
    <s v="&gt;50"/>
    <n v="4"/>
    <m/>
    <m/>
    <m/>
    <x v="0"/>
    <m/>
    <n v="12"/>
  </r>
  <r>
    <n v="9757"/>
    <n v="1972"/>
    <x v="0"/>
    <x v="1"/>
    <n v="84906"/>
    <n v="0"/>
    <d v="1899-12-30T00:00:00"/>
    <d v="2013-10-04T00:00:00"/>
    <n v="98"/>
    <n v="15"/>
    <n v="30"/>
    <n v="30"/>
    <n v="12"/>
    <n v="54"/>
    <s v="&gt;50"/>
    <n v="42"/>
    <m/>
    <m/>
    <m/>
    <x v="3"/>
    <m/>
    <n v="13"/>
  </r>
  <r>
    <n v="6918"/>
    <n v="1989"/>
    <x v="0"/>
    <x v="2"/>
    <n v="28691"/>
    <n v="1"/>
    <d v="1899-12-30T00:00:00"/>
    <d v="2013-07-04T00:00:00"/>
    <n v="56"/>
    <n v="4"/>
    <n v="0"/>
    <n v="0"/>
    <n v="3"/>
    <n v="37"/>
    <s v="30-50"/>
    <n v="3"/>
    <m/>
    <m/>
    <m/>
    <x v="2"/>
    <m/>
    <n v="13"/>
  </r>
  <r>
    <n v="286"/>
    <n v="1952"/>
    <x v="0"/>
    <x v="0"/>
    <n v="44213"/>
    <n v="1"/>
    <d v="1899-12-31T00:00:00"/>
    <d v="2013-11-29T00:00:00"/>
    <n v="48"/>
    <n v="11"/>
    <n v="4"/>
    <n v="4"/>
    <n v="5"/>
    <n v="74"/>
    <s v="&gt;50"/>
    <n v="9"/>
    <m/>
    <m/>
    <m/>
    <x v="1"/>
    <m/>
    <n v="13"/>
  </r>
  <r>
    <n v="11086"/>
    <n v="1984"/>
    <x v="3"/>
    <x v="0"/>
    <n v="25707"/>
    <n v="1"/>
    <d v="1899-12-30T00:00:00"/>
    <d v="2014-01-18T00:00:00"/>
    <n v="18"/>
    <n v="6"/>
    <n v="6"/>
    <n v="6"/>
    <n v="3"/>
    <n v="42"/>
    <s v="30-50"/>
    <n v="9"/>
    <m/>
    <m/>
    <m/>
    <x v="2"/>
    <m/>
    <n v="12"/>
  </r>
  <r>
    <n v="1921"/>
    <n v="1967"/>
    <x v="1"/>
    <x v="2"/>
    <n v="59062"/>
    <n v="2"/>
    <d v="1899-12-31T00:00:00"/>
    <d v="2013-10-03T00:00:00"/>
    <n v="74"/>
    <n v="1"/>
    <n v="0"/>
    <n v="0"/>
    <n v="3"/>
    <n v="59"/>
    <s v="&gt;50"/>
    <n v="3"/>
    <m/>
    <m/>
    <m/>
    <x v="0"/>
    <m/>
    <n v="13"/>
  </r>
  <r>
    <n v="4138"/>
    <n v="1962"/>
    <x v="0"/>
    <x v="0"/>
    <n v="76624"/>
    <n v="0"/>
    <d v="1899-12-31T00:00:00"/>
    <d v="2014-05-24T00:00:00"/>
    <n v="68"/>
    <n v="106"/>
    <n v="115"/>
    <n v="115"/>
    <n v="7"/>
    <n v="64"/>
    <s v="&gt;50"/>
    <n v="122"/>
    <m/>
    <m/>
    <m/>
    <x v="3"/>
    <m/>
    <n v="12"/>
  </r>
  <r>
    <n v="7718"/>
    <n v="1947"/>
    <x v="2"/>
    <x v="1"/>
    <n v="66000"/>
    <n v="0"/>
    <d v="1899-12-30T00:00:00"/>
    <d v="2014-04-20T00:00:00"/>
    <n v="36"/>
    <n v="51"/>
    <n v="0"/>
    <n v="0"/>
    <n v="5"/>
    <n v="79"/>
    <s v="&gt;50"/>
    <n v="5"/>
    <m/>
    <m/>
    <m/>
    <x v="0"/>
    <m/>
    <n v="12"/>
  </r>
  <r>
    <n v="1291"/>
    <n v="1978"/>
    <x v="1"/>
    <x v="1"/>
    <n v="27683"/>
    <n v="1"/>
    <d v="1899-12-30T00:00:00"/>
    <d v="2012-08-04T00:00:00"/>
    <n v="90"/>
    <n v="9"/>
    <n v="12"/>
    <n v="12"/>
    <n v="4"/>
    <n v="48"/>
    <s v="30-50"/>
    <n v="16"/>
    <m/>
    <m/>
    <m/>
    <x v="2"/>
    <m/>
    <n v="14"/>
  </r>
  <r>
    <n v="6862"/>
    <n v="1971"/>
    <x v="0"/>
    <x v="3"/>
    <n v="1730"/>
    <n v="0"/>
    <d v="1899-12-30T00:00:00"/>
    <d v="2014-05-18T00:00:00"/>
    <n v="65"/>
    <n v="1"/>
    <n v="1"/>
    <n v="1"/>
    <n v="0"/>
    <n v="55"/>
    <s v="&gt;50"/>
    <n v="1"/>
    <m/>
    <m/>
    <m/>
    <x v="2"/>
    <m/>
    <n v="12"/>
  </r>
  <r>
    <n v="4136"/>
    <n v="1992"/>
    <x v="3"/>
    <x v="0"/>
    <n v="7500"/>
    <n v="1"/>
    <d v="1899-12-30T00:00:00"/>
    <d v="2012-12-03T00:00:00"/>
    <n v="63"/>
    <n v="17"/>
    <n v="26"/>
    <n v="26"/>
    <n v="2"/>
    <n v="34"/>
    <s v="30-50"/>
    <n v="28"/>
    <m/>
    <m/>
    <m/>
    <x v="2"/>
    <m/>
    <n v="14"/>
  </r>
  <r>
    <n v="803"/>
    <n v="1968"/>
    <x v="0"/>
    <x v="1"/>
    <n v="40521"/>
    <n v="1"/>
    <d v="1899-12-31T00:00:00"/>
    <d v="2013-04-05T00:00:00"/>
    <n v="82"/>
    <n v="0"/>
    <n v="0"/>
    <n v="0"/>
    <n v="2"/>
    <n v="58"/>
    <s v="&gt;50"/>
    <n v="2"/>
    <m/>
    <m/>
    <m/>
    <x v="1"/>
    <m/>
    <n v="13"/>
  </r>
  <r>
    <n v="4298"/>
    <n v="1973"/>
    <x v="1"/>
    <x v="1"/>
    <n v="20427"/>
    <n v="1"/>
    <d v="1899-12-30T00:00:00"/>
    <d v="2014-03-24T00:00:00"/>
    <n v="63"/>
    <n v="0"/>
    <n v="0"/>
    <n v="0"/>
    <n v="2"/>
    <n v="53"/>
    <s v="&gt;50"/>
    <n v="2"/>
    <m/>
    <m/>
    <m/>
    <x v="2"/>
    <m/>
    <n v="12"/>
  </r>
  <r>
    <n v="10833"/>
    <n v="1975"/>
    <x v="0"/>
    <x v="2"/>
    <n v="65106"/>
    <n v="0"/>
    <d v="1899-12-31T00:00:00"/>
    <d v="2014-05-24T00:00:00"/>
    <n v="55"/>
    <n v="19"/>
    <n v="0"/>
    <n v="0"/>
    <n v="13"/>
    <n v="51"/>
    <s v="&gt;50"/>
    <n v="13"/>
    <m/>
    <m/>
    <m/>
    <x v="0"/>
    <m/>
    <n v="12"/>
  </r>
  <r>
    <n v="9606"/>
    <n v="1965"/>
    <x v="1"/>
    <x v="2"/>
    <n v="69969"/>
    <n v="0"/>
    <d v="1899-12-30T00:00:00"/>
    <d v="2013-08-27T00:00:00"/>
    <n v="64"/>
    <n v="29"/>
    <n v="29"/>
    <n v="29"/>
    <n v="6"/>
    <n v="61"/>
    <s v="&gt;50"/>
    <n v="35"/>
    <m/>
    <m/>
    <m/>
    <x v="0"/>
    <m/>
    <n v="13"/>
  </r>
  <r>
    <n v="8534"/>
    <n v="1952"/>
    <x v="0"/>
    <x v="2"/>
    <n v="67433"/>
    <n v="0"/>
    <d v="1900-01-01T00:00:00"/>
    <d v="2013-07-16T00:00:00"/>
    <n v="51"/>
    <n v="28"/>
    <n v="48"/>
    <n v="48"/>
    <n v="13"/>
    <n v="74"/>
    <s v="&gt;50"/>
    <n v="61"/>
    <m/>
    <m/>
    <m/>
    <x v="0"/>
    <m/>
    <n v="13"/>
  </r>
  <r>
    <n v="5153"/>
    <n v="1967"/>
    <x v="1"/>
    <x v="2"/>
    <n v="77766"/>
    <n v="0"/>
    <d v="1899-12-31T00:00:00"/>
    <d v="2013-02-22T00:00:00"/>
    <n v="97"/>
    <n v="59"/>
    <n v="59"/>
    <n v="59"/>
    <n v="11"/>
    <n v="59"/>
    <s v="&gt;50"/>
    <n v="70"/>
    <m/>
    <m/>
    <m/>
    <x v="3"/>
    <m/>
    <n v="13"/>
  </r>
  <r>
    <n v="961"/>
    <n v="1972"/>
    <x v="0"/>
    <x v="2"/>
    <n v="74716"/>
    <n v="0"/>
    <d v="1899-12-31T00:00:00"/>
    <d v="2013-09-12T00:00:00"/>
    <n v="92"/>
    <n v="27"/>
    <n v="195"/>
    <n v="195"/>
    <n v="5"/>
    <n v="54"/>
    <s v="&gt;50"/>
    <n v="200"/>
    <m/>
    <m/>
    <m/>
    <x v="0"/>
    <m/>
    <n v="13"/>
  </r>
  <r>
    <n v="5011"/>
    <n v="1963"/>
    <x v="0"/>
    <x v="3"/>
    <n v="68118"/>
    <n v="0"/>
    <d v="1899-12-31T00:00:00"/>
    <d v="2013-10-18T00:00:00"/>
    <n v="51"/>
    <n v="23"/>
    <n v="23"/>
    <n v="23"/>
    <n v="4"/>
    <n v="63"/>
    <s v="&gt;50"/>
    <n v="27"/>
    <m/>
    <m/>
    <m/>
    <x v="0"/>
    <m/>
    <n v="13"/>
  </r>
  <r>
    <n v="6653"/>
    <n v="1970"/>
    <x v="1"/>
    <x v="2"/>
    <n v="55158"/>
    <n v="1"/>
    <d v="1899-12-31T00:00:00"/>
    <d v="2012-07-30T00:00:00"/>
    <n v="72"/>
    <n v="0"/>
    <n v="11"/>
    <n v="11"/>
    <n v="5"/>
    <n v="56"/>
    <s v="&gt;50"/>
    <n v="16"/>
    <m/>
    <m/>
    <m/>
    <x v="0"/>
    <m/>
    <n v="14"/>
  </r>
  <r>
    <n v="9094"/>
    <n v="1955"/>
    <x v="4"/>
    <x v="2"/>
    <n v="62972"/>
    <n v="0"/>
    <d v="1899-12-31T00:00:00"/>
    <d v="2012-08-03T00:00:00"/>
    <n v="39"/>
    <n v="15"/>
    <n v="0"/>
    <n v="0"/>
    <n v="3"/>
    <n v="71"/>
    <s v="&gt;50"/>
    <n v="3"/>
    <m/>
    <m/>
    <m/>
    <x v="0"/>
    <m/>
    <n v="14"/>
  </r>
  <r>
    <n v="810"/>
    <n v="1975"/>
    <x v="0"/>
    <x v="2"/>
    <n v="74190"/>
    <n v="0"/>
    <d v="1899-12-31T00:00:00"/>
    <d v="2014-05-12T00:00:00"/>
    <n v="49"/>
    <n v="81"/>
    <n v="91"/>
    <n v="91"/>
    <n v="11"/>
    <n v="51"/>
    <s v="&gt;50"/>
    <n v="102"/>
    <m/>
    <m/>
    <m/>
    <x v="0"/>
    <m/>
    <n v="12"/>
  </r>
  <r>
    <n v="5493"/>
    <n v="1976"/>
    <x v="0"/>
    <x v="2"/>
    <n v="39356"/>
    <n v="1"/>
    <d v="1899-12-31T00:00:00"/>
    <d v="2014-03-19T00:00:00"/>
    <n v="21"/>
    <n v="0"/>
    <n v="0"/>
    <n v="0"/>
    <n v="2"/>
    <n v="50"/>
    <s v="30-50"/>
    <n v="2"/>
    <m/>
    <m/>
    <m/>
    <x v="1"/>
    <m/>
    <n v="12"/>
  </r>
  <r>
    <n v="2147"/>
    <n v="1969"/>
    <x v="0"/>
    <x v="1"/>
    <n v="76653"/>
    <n v="0"/>
    <d v="1899-12-30T00:00:00"/>
    <d v="2013-08-16T00:00:00"/>
    <n v="91"/>
    <n v="63"/>
    <n v="189"/>
    <n v="189"/>
    <n v="11"/>
    <n v="57"/>
    <s v="&gt;50"/>
    <n v="200"/>
    <m/>
    <m/>
    <m/>
    <x v="3"/>
    <m/>
    <n v="13"/>
  </r>
  <r>
    <n v="5107"/>
    <n v="1973"/>
    <x v="1"/>
    <x v="3"/>
    <n v="35860"/>
    <n v="1"/>
    <d v="1899-12-31T00:00:00"/>
    <d v="2014-05-19T00:00:00"/>
    <n v="37"/>
    <n v="0"/>
    <n v="2"/>
    <n v="2"/>
    <n v="2"/>
    <n v="53"/>
    <s v="&gt;50"/>
    <n v="4"/>
    <m/>
    <m/>
    <m/>
    <x v="1"/>
    <m/>
    <n v="12"/>
  </r>
  <r>
    <n v="3979"/>
    <n v="1983"/>
    <x v="1"/>
    <x v="3"/>
    <n v="90687"/>
    <n v="0"/>
    <d v="1899-12-30T00:00:00"/>
    <d v="2013-05-22T00:00:00"/>
    <n v="98"/>
    <n v="17"/>
    <n v="34"/>
    <n v="34"/>
    <n v="8"/>
    <n v="43"/>
    <s v="30-50"/>
    <n v="42"/>
    <m/>
    <m/>
    <m/>
    <x v="3"/>
    <m/>
    <n v="13"/>
  </r>
  <r>
    <n v="6049"/>
    <n v="1982"/>
    <x v="2"/>
    <x v="1"/>
    <n v="73450"/>
    <n v="0"/>
    <d v="1899-12-30T00:00:00"/>
    <d v="2013-12-05T00:00:00"/>
    <n v="85"/>
    <n v="51"/>
    <n v="69"/>
    <n v="69"/>
    <n v="11"/>
    <n v="44"/>
    <s v="30-50"/>
    <n v="80"/>
    <m/>
    <m/>
    <m/>
    <x v="0"/>
    <m/>
    <n v="13"/>
  </r>
  <r>
    <n v="8147"/>
    <n v="1960"/>
    <x v="0"/>
    <x v="2"/>
    <n v="31454"/>
    <n v="1"/>
    <d v="1899-12-31T00:00:00"/>
    <d v="2013-07-06T00:00:00"/>
    <n v="40"/>
    <n v="0"/>
    <n v="0"/>
    <n v="0"/>
    <n v="3"/>
    <n v="66"/>
    <s v="&gt;50"/>
    <n v="3"/>
    <m/>
    <m/>
    <m/>
    <x v="1"/>
    <m/>
    <n v="13"/>
  </r>
  <r>
    <n v="1857"/>
    <n v="1952"/>
    <x v="0"/>
    <x v="0"/>
    <n v="47139"/>
    <n v="1"/>
    <d v="1899-12-31T00:00:00"/>
    <d v="2014-03-06T00:00:00"/>
    <n v="2"/>
    <n v="0"/>
    <n v="2"/>
    <n v="2"/>
    <n v="2"/>
    <n v="74"/>
    <s v="&gt;50"/>
    <n v="4"/>
    <m/>
    <m/>
    <m/>
    <x v="1"/>
    <m/>
    <n v="12"/>
  </r>
  <r>
    <n v="3910"/>
    <n v="1975"/>
    <x v="0"/>
    <x v="3"/>
    <n v="83829"/>
    <n v="0"/>
    <d v="1899-12-30T00:00:00"/>
    <d v="2013-10-08T00:00:00"/>
    <n v="78"/>
    <n v="161"/>
    <n v="161"/>
    <n v="161"/>
    <n v="6"/>
    <n v="51"/>
    <s v="&gt;50"/>
    <n v="167"/>
    <m/>
    <m/>
    <m/>
    <x v="3"/>
    <m/>
    <n v="13"/>
  </r>
  <r>
    <n v="5207"/>
    <n v="1963"/>
    <x v="1"/>
    <x v="2"/>
    <n v="53378"/>
    <n v="1"/>
    <d v="1899-12-31T00:00:00"/>
    <d v="2012-09-24T00:00:00"/>
    <n v="41"/>
    <n v="6"/>
    <n v="6"/>
    <n v="6"/>
    <n v="6"/>
    <n v="63"/>
    <s v="&gt;50"/>
    <n v="12"/>
    <m/>
    <m/>
    <m/>
    <x v="0"/>
    <m/>
    <n v="14"/>
  </r>
  <r>
    <n v="11114"/>
    <n v="1970"/>
    <x v="0"/>
    <x v="1"/>
    <n v="19656"/>
    <n v="1"/>
    <d v="1899-12-30T00:00:00"/>
    <d v="2013-02-08T00:00:00"/>
    <n v="94"/>
    <n v="4"/>
    <n v="8"/>
    <n v="8"/>
    <n v="3"/>
    <n v="56"/>
    <s v="&gt;50"/>
    <n v="11"/>
    <m/>
    <m/>
    <m/>
    <x v="2"/>
    <m/>
    <n v="13"/>
  </r>
  <r>
    <n v="5429"/>
    <n v="1948"/>
    <x v="1"/>
    <x v="2"/>
    <n v="45579"/>
    <n v="0"/>
    <d v="1899-12-31T00:00:00"/>
    <d v="2013-08-20T00:00:00"/>
    <n v="10"/>
    <n v="1"/>
    <n v="1"/>
    <n v="1"/>
    <n v="4"/>
    <n v="78"/>
    <s v="&gt;50"/>
    <n v="5"/>
    <m/>
    <m/>
    <m/>
    <x v="1"/>
    <m/>
    <n v="13"/>
  </r>
  <r>
    <n v="9400"/>
    <n v="1958"/>
    <x v="4"/>
    <x v="0"/>
    <n v="85485"/>
    <n v="0"/>
    <d v="1899-12-30T00:00:00"/>
    <d v="2014-06-21T00:00:00"/>
    <n v="73"/>
    <n v="26"/>
    <n v="18"/>
    <n v="18"/>
    <n v="6"/>
    <n v="68"/>
    <s v="&gt;50"/>
    <n v="24"/>
    <m/>
    <m/>
    <m/>
    <x v="3"/>
    <m/>
    <n v="12"/>
  </r>
  <r>
    <n v="1740"/>
    <n v="1944"/>
    <x v="0"/>
    <x v="2"/>
    <n v="55956"/>
    <n v="0"/>
    <d v="1899-12-30T00:00:00"/>
    <d v="2014-04-07T00:00:00"/>
    <n v="22"/>
    <n v="38"/>
    <n v="9"/>
    <n v="9"/>
    <n v="4"/>
    <n v="82"/>
    <s v="&gt;50"/>
    <n v="13"/>
    <m/>
    <m/>
    <m/>
    <x v="0"/>
    <m/>
    <n v="12"/>
  </r>
  <r>
    <n v="7488"/>
    <n v="1963"/>
    <x v="2"/>
    <x v="0"/>
    <n v="64191"/>
    <n v="0"/>
    <d v="1899-12-31T00:00:00"/>
    <d v="2013-01-22T00:00:00"/>
    <n v="30"/>
    <n v="15"/>
    <n v="38"/>
    <n v="38"/>
    <n v="13"/>
    <n v="63"/>
    <s v="&gt;50"/>
    <n v="51"/>
    <m/>
    <m/>
    <m/>
    <x v="0"/>
    <m/>
    <n v="13"/>
  </r>
  <r>
    <n v="195"/>
    <n v="1972"/>
    <x v="0"/>
    <x v="0"/>
    <n v="38808"/>
    <n v="1"/>
    <d v="1899-12-30T00:00:00"/>
    <d v="2012-08-26T00:00:00"/>
    <n v="21"/>
    <n v="17"/>
    <n v="19"/>
    <n v="19"/>
    <n v="4"/>
    <n v="54"/>
    <s v="&gt;50"/>
    <n v="23"/>
    <m/>
    <m/>
    <m/>
    <x v="1"/>
    <m/>
    <n v="14"/>
  </r>
  <r>
    <n v="635"/>
    <n v="1966"/>
    <x v="2"/>
    <x v="2"/>
    <n v="57183"/>
    <n v="1"/>
    <d v="1899-12-31T00:00:00"/>
    <d v="2013-03-19T00:00:00"/>
    <n v="51"/>
    <n v="5"/>
    <n v="0"/>
    <n v="0"/>
    <n v="7"/>
    <n v="60"/>
    <s v="&gt;50"/>
    <n v="7"/>
    <m/>
    <m/>
    <m/>
    <x v="0"/>
    <m/>
    <n v="13"/>
  </r>
  <r>
    <n v="7527"/>
    <n v="1968"/>
    <x v="2"/>
    <x v="3"/>
    <n v="23748"/>
    <n v="1"/>
    <d v="1899-12-30T00:00:00"/>
    <d v="2012-11-21T00:00:00"/>
    <n v="97"/>
    <n v="6"/>
    <n v="15"/>
    <n v="15"/>
    <n v="3"/>
    <n v="58"/>
    <s v="&gt;50"/>
    <n v="18"/>
    <m/>
    <m/>
    <m/>
    <x v="2"/>
    <m/>
    <n v="14"/>
  </r>
  <r>
    <n v="10319"/>
    <n v="1971"/>
    <x v="0"/>
    <x v="2"/>
    <n v="66303"/>
    <n v="0"/>
    <d v="1899-12-31T00:00:00"/>
    <d v="2013-02-26T00:00:00"/>
    <n v="56"/>
    <n v="12"/>
    <n v="12"/>
    <n v="12"/>
    <n v="11"/>
    <n v="55"/>
    <s v="&gt;50"/>
    <n v="23"/>
    <m/>
    <m/>
    <m/>
    <x v="0"/>
    <m/>
    <n v="13"/>
  </r>
  <r>
    <n v="2296"/>
    <n v="1975"/>
    <x v="2"/>
    <x v="2"/>
    <n v="37368"/>
    <n v="1"/>
    <d v="1899-12-30T00:00:00"/>
    <d v="2013-12-16T00:00:00"/>
    <n v="4"/>
    <n v="2"/>
    <n v="2"/>
    <n v="2"/>
    <n v="2"/>
    <n v="51"/>
    <s v="&gt;50"/>
    <n v="4"/>
    <m/>
    <m/>
    <m/>
    <x v="1"/>
    <m/>
    <n v="13"/>
  </r>
  <r>
    <n v="10637"/>
    <n v="1964"/>
    <x v="0"/>
    <x v="2"/>
    <n v="40800"/>
    <n v="1"/>
    <d v="1900-01-01T00:00:00"/>
    <d v="2013-01-01T00:00:00"/>
    <n v="77"/>
    <n v="0"/>
    <n v="30"/>
    <n v="30"/>
    <n v="3"/>
    <n v="62"/>
    <s v="&gt;50"/>
    <n v="33"/>
    <m/>
    <m/>
    <m/>
    <x v="1"/>
    <m/>
    <n v="13"/>
  </r>
  <r>
    <n v="2931"/>
    <n v="1978"/>
    <x v="0"/>
    <x v="3"/>
    <n v="71847"/>
    <n v="0"/>
    <d v="1899-12-30T00:00:00"/>
    <d v="2012-09-21T00:00:00"/>
    <n v="95"/>
    <n v="21"/>
    <n v="63"/>
    <n v="63"/>
    <n v="9"/>
    <n v="48"/>
    <s v="30-50"/>
    <n v="72"/>
    <m/>
    <m/>
    <m/>
    <x v="0"/>
    <m/>
    <n v="14"/>
  </r>
  <r>
    <n v="907"/>
    <n v="1975"/>
    <x v="0"/>
    <x v="2"/>
    <n v="46149"/>
    <n v="0"/>
    <d v="1899-12-31T00:00:00"/>
    <d v="2013-11-29T00:00:00"/>
    <n v="36"/>
    <n v="6"/>
    <n v="0"/>
    <n v="0"/>
    <n v="7"/>
    <n v="51"/>
    <s v="&gt;50"/>
    <n v="7"/>
    <m/>
    <m/>
    <m/>
    <x v="1"/>
    <m/>
    <n v="13"/>
  </r>
  <r>
    <n v="3698"/>
    <n v="1983"/>
    <x v="0"/>
    <x v="1"/>
    <n v="78687"/>
    <n v="0"/>
    <d v="1899-12-30T00:00:00"/>
    <d v="2012-08-09T00:00:00"/>
    <n v="13"/>
    <n v="185"/>
    <n v="55"/>
    <n v="55"/>
    <n v="8"/>
    <n v="43"/>
    <s v="30-50"/>
    <n v="63"/>
    <m/>
    <m/>
    <m/>
    <x v="3"/>
    <m/>
    <n v="14"/>
  </r>
  <r>
    <n v="9516"/>
    <n v="1971"/>
    <x v="4"/>
    <x v="3"/>
    <n v="49118"/>
    <n v="0"/>
    <d v="1899-12-30T00:00:00"/>
    <d v="2012-08-18T00:00:00"/>
    <n v="90"/>
    <n v="54"/>
    <n v="98"/>
    <n v="98"/>
    <n v="10"/>
    <n v="55"/>
    <s v="&gt;50"/>
    <n v="108"/>
    <m/>
    <m/>
    <m/>
    <x v="1"/>
    <m/>
    <n v="14"/>
  </r>
  <r>
    <n v="679"/>
    <n v="1957"/>
    <x v="1"/>
    <x v="2"/>
    <n v="37633"/>
    <n v="1"/>
    <d v="1899-12-31T00:00:00"/>
    <d v="2012-09-20T00:00:00"/>
    <n v="49"/>
    <n v="4"/>
    <n v="0"/>
    <n v="0"/>
    <n v="3"/>
    <n v="69"/>
    <s v="&gt;50"/>
    <n v="3"/>
    <m/>
    <m/>
    <m/>
    <x v="1"/>
    <m/>
    <n v="14"/>
  </r>
  <r>
    <n v="7384"/>
    <n v="1951"/>
    <x v="2"/>
    <x v="1"/>
    <n v="39767"/>
    <n v="0"/>
    <d v="1899-12-30T00:00:00"/>
    <d v="2013-07-21T00:00:00"/>
    <n v="18"/>
    <n v="61"/>
    <n v="26"/>
    <n v="26"/>
    <n v="7"/>
    <n v="75"/>
    <s v="&gt;50"/>
    <n v="33"/>
    <m/>
    <m/>
    <m/>
    <x v="1"/>
    <m/>
    <n v="13"/>
  </r>
  <r>
    <n v="5043"/>
    <n v="1951"/>
    <x v="3"/>
    <x v="2"/>
    <n v="26997"/>
    <n v="0"/>
    <d v="1899-12-30T00:00:00"/>
    <d v="2012-11-05T00:00:00"/>
    <n v="89"/>
    <n v="23"/>
    <n v="49"/>
    <n v="49"/>
    <n v="5"/>
    <n v="75"/>
    <s v="&gt;50"/>
    <n v="54"/>
    <m/>
    <m/>
    <m/>
    <x v="2"/>
    <m/>
    <n v="14"/>
  </r>
  <r>
    <n v="5267"/>
    <n v="1970"/>
    <x v="0"/>
    <x v="3"/>
    <n v="33986"/>
    <n v="1"/>
    <d v="1899-12-30T00:00:00"/>
    <d v="2013-03-14T00:00:00"/>
    <n v="43"/>
    <n v="2"/>
    <n v="1"/>
    <n v="1"/>
    <n v="3"/>
    <n v="56"/>
    <s v="&gt;50"/>
    <n v="4"/>
    <m/>
    <m/>
    <m/>
    <x v="1"/>
    <m/>
    <n v="13"/>
  </r>
  <r>
    <n v="339"/>
    <n v="1972"/>
    <x v="1"/>
    <x v="2"/>
    <n v="57091"/>
    <n v="0"/>
    <d v="1899-12-31T00:00:00"/>
    <d v="2012-11-23T00:00:00"/>
    <n v="82"/>
    <n v="0"/>
    <n v="0"/>
    <n v="0"/>
    <n v="5"/>
    <n v="54"/>
    <s v="&gt;50"/>
    <n v="5"/>
    <m/>
    <m/>
    <m/>
    <x v="0"/>
    <m/>
    <n v="14"/>
  </r>
  <r>
    <n v="2516"/>
    <n v="1969"/>
    <x v="4"/>
    <x v="2"/>
    <n v="46831"/>
    <n v="1"/>
    <d v="1899-12-31T00:00:00"/>
    <d v="2013-06-08T00:00:00"/>
    <n v="84"/>
    <n v="2"/>
    <n v="4"/>
    <n v="4"/>
    <n v="2"/>
    <n v="57"/>
    <s v="&gt;50"/>
    <n v="6"/>
    <m/>
    <m/>
    <m/>
    <x v="1"/>
    <m/>
    <n v="13"/>
  </r>
  <r>
    <n v="9010"/>
    <n v="1972"/>
    <x v="2"/>
    <x v="2"/>
    <n v="83151"/>
    <n v="0"/>
    <d v="1899-12-30T00:00:00"/>
    <d v="2013-02-10T00:00:00"/>
    <n v="80"/>
    <n v="147"/>
    <n v="42"/>
    <n v="42"/>
    <n v="10"/>
    <n v="54"/>
    <s v="&gt;50"/>
    <n v="52"/>
    <m/>
    <m/>
    <m/>
    <x v="3"/>
    <m/>
    <n v="13"/>
  </r>
  <r>
    <n v="378"/>
    <n v="1971"/>
    <x v="0"/>
    <x v="2"/>
    <n v="52531"/>
    <n v="0"/>
    <d v="1899-12-30T00:00:00"/>
    <d v="2012-12-30T00:00:00"/>
    <n v="68"/>
    <n v="112"/>
    <n v="72"/>
    <n v="72"/>
    <n v="10"/>
    <n v="55"/>
    <s v="&gt;50"/>
    <n v="82"/>
    <m/>
    <m/>
    <m/>
    <x v="0"/>
    <m/>
    <n v="14"/>
  </r>
  <r>
    <n v="4808"/>
    <n v="1956"/>
    <x v="0"/>
    <x v="2"/>
    <n v="15759"/>
    <n v="0"/>
    <d v="1899-12-30T00:00:00"/>
    <d v="2013-09-05T00:00:00"/>
    <n v="12"/>
    <n v="2"/>
    <n v="0"/>
    <n v="0"/>
    <n v="2"/>
    <n v="70"/>
    <s v="&gt;50"/>
    <n v="2"/>
    <m/>
    <m/>
    <m/>
    <x v="2"/>
    <m/>
    <n v="13"/>
  </r>
  <r>
    <n v="5068"/>
    <n v="1971"/>
    <x v="0"/>
    <x v="0"/>
    <n v="22804"/>
    <n v="1"/>
    <d v="1899-12-30T00:00:00"/>
    <d v="2013-07-31T00:00:00"/>
    <n v="75"/>
    <n v="1"/>
    <n v="1"/>
    <n v="1"/>
    <n v="2"/>
    <n v="55"/>
    <s v="&gt;50"/>
    <n v="3"/>
    <m/>
    <m/>
    <m/>
    <x v="2"/>
    <m/>
    <n v="13"/>
  </r>
  <r>
    <n v="7628"/>
    <n v="1973"/>
    <x v="4"/>
    <x v="2"/>
    <n v="43050"/>
    <n v="1"/>
    <d v="1899-12-30T00:00:00"/>
    <d v="2014-03-18T00:00:00"/>
    <n v="10"/>
    <n v="5"/>
    <n v="3"/>
    <n v="3"/>
    <n v="4"/>
    <n v="53"/>
    <s v="&gt;50"/>
    <n v="7"/>
    <m/>
    <m/>
    <m/>
    <x v="1"/>
    <m/>
    <n v="12"/>
  </r>
  <r>
    <n v="7128"/>
    <n v="1977"/>
    <x v="1"/>
    <x v="0"/>
    <n v="42997"/>
    <n v="1"/>
    <d v="1899-12-31T00:00:00"/>
    <d v="2013-12-07T00:00:00"/>
    <n v="91"/>
    <n v="0"/>
    <n v="1"/>
    <n v="1"/>
    <n v="2"/>
    <n v="49"/>
    <s v="30-50"/>
    <n v="3"/>
    <m/>
    <m/>
    <m/>
    <x v="1"/>
    <m/>
    <n v="13"/>
  </r>
  <r>
    <n v="2811"/>
    <n v="1963"/>
    <x v="1"/>
    <x v="0"/>
    <n v="48918"/>
    <n v="1"/>
    <d v="1899-12-31T00:00:00"/>
    <d v="2014-04-12T00:00:00"/>
    <n v="21"/>
    <n v="0"/>
    <n v="0"/>
    <n v="0"/>
    <n v="4"/>
    <n v="63"/>
    <s v="&gt;50"/>
    <n v="4"/>
    <m/>
    <m/>
    <m/>
    <x v="1"/>
    <m/>
    <n v="12"/>
  </r>
  <r>
    <n v="3551"/>
    <n v="1954"/>
    <x v="2"/>
    <x v="1"/>
    <n v="60033"/>
    <n v="0"/>
    <d v="1899-12-31T00:00:00"/>
    <d v="2014-03-29T00:00:00"/>
    <n v="28"/>
    <n v="1"/>
    <n v="11"/>
    <n v="11"/>
    <n v="5"/>
    <n v="72"/>
    <s v="&gt;50"/>
    <n v="16"/>
    <m/>
    <m/>
    <m/>
    <x v="0"/>
    <m/>
    <n v="12"/>
  </r>
  <r>
    <n v="1663"/>
    <n v="1978"/>
    <x v="1"/>
    <x v="1"/>
    <n v="34043"/>
    <n v="1"/>
    <d v="1899-12-30T00:00:00"/>
    <d v="2013-10-25T00:00:00"/>
    <n v="97"/>
    <n v="2"/>
    <n v="0"/>
    <n v="0"/>
    <n v="2"/>
    <n v="48"/>
    <s v="30-50"/>
    <n v="2"/>
    <m/>
    <m/>
    <m/>
    <x v="1"/>
    <m/>
    <n v="13"/>
  </r>
  <r>
    <n v="5543"/>
    <n v="1966"/>
    <x v="0"/>
    <x v="1"/>
    <n v="57811"/>
    <n v="0"/>
    <d v="1899-12-31T00:00:00"/>
    <d v="2013-06-24T00:00:00"/>
    <n v="49"/>
    <n v="7"/>
    <n v="21"/>
    <n v="21"/>
    <n v="11"/>
    <n v="60"/>
    <s v="&gt;50"/>
    <n v="32"/>
    <m/>
    <m/>
    <m/>
    <x v="0"/>
    <m/>
    <n v="13"/>
  </r>
  <r>
    <n v="1577"/>
    <n v="1946"/>
    <x v="0"/>
    <x v="2"/>
    <n v="78569"/>
    <n v="0"/>
    <d v="1899-12-30T00:00:00"/>
    <d v="2014-02-19T00:00:00"/>
    <n v="14"/>
    <n v="79"/>
    <n v="175"/>
    <n v="175"/>
    <n v="4"/>
    <n v="80"/>
    <s v="&gt;50"/>
    <n v="179"/>
    <m/>
    <m/>
    <m/>
    <x v="3"/>
    <m/>
    <n v="12"/>
  </r>
  <r>
    <n v="10641"/>
    <n v="1978"/>
    <x v="0"/>
    <x v="0"/>
    <n v="7500"/>
    <n v="1"/>
    <d v="1899-12-31T00:00:00"/>
    <d v="2012-12-27T00:00:00"/>
    <n v="5"/>
    <n v="5"/>
    <n v="4"/>
    <n v="4"/>
    <n v="3"/>
    <n v="48"/>
    <s v="30-50"/>
    <n v="7"/>
    <m/>
    <m/>
    <m/>
    <x v="2"/>
    <m/>
    <n v="14"/>
  </r>
  <r>
    <n v="5336"/>
    <n v="1971"/>
    <x v="2"/>
    <x v="1"/>
    <n v="157733"/>
    <n v="1"/>
    <d v="1899-12-30T00:00:00"/>
    <d v="2013-06-04T00:00:00"/>
    <n v="37"/>
    <n v="1"/>
    <n v="0"/>
    <n v="0"/>
    <n v="1"/>
    <n v="55"/>
    <s v="&gt;50"/>
    <n v="1"/>
    <m/>
    <m/>
    <m/>
    <x v="4"/>
    <m/>
    <n v="13"/>
  </r>
  <r>
    <n v="6024"/>
    <n v="1953"/>
    <x v="0"/>
    <x v="1"/>
    <n v="94384"/>
    <n v="0"/>
    <d v="1899-12-30T00:00:00"/>
    <d v="2013-03-04T00:00:00"/>
    <n v="62"/>
    <n v="24"/>
    <n v="45"/>
    <n v="45"/>
    <n v="5"/>
    <n v="73"/>
    <s v="&gt;50"/>
    <n v="50"/>
    <m/>
    <m/>
    <m/>
    <x v="3"/>
    <m/>
    <n v="13"/>
  </r>
  <r>
    <n v="1878"/>
    <n v="1985"/>
    <x v="4"/>
    <x v="2"/>
    <n v="23148"/>
    <n v="0"/>
    <d v="1899-12-30T00:00:00"/>
    <d v="2014-02-18T00:00:00"/>
    <n v="83"/>
    <n v="6"/>
    <n v="3"/>
    <n v="3"/>
    <n v="3"/>
    <n v="41"/>
    <s v="30-50"/>
    <n v="6"/>
    <m/>
    <m/>
    <m/>
    <x v="2"/>
    <m/>
    <n v="12"/>
  </r>
  <r>
    <n v="3099"/>
    <n v="1970"/>
    <x v="0"/>
    <x v="3"/>
    <n v="44267"/>
    <n v="1"/>
    <d v="1899-12-31T00:00:00"/>
    <d v="2013-02-25T00:00:00"/>
    <n v="48"/>
    <n v="5"/>
    <n v="5"/>
    <n v="5"/>
    <n v="4"/>
    <n v="56"/>
    <s v="&gt;50"/>
    <n v="9"/>
    <m/>
    <m/>
    <m/>
    <x v="1"/>
    <m/>
    <n v="13"/>
  </r>
  <r>
    <n v="6055"/>
    <n v="1979"/>
    <x v="0"/>
    <x v="2"/>
    <n v="71626"/>
    <n v="0"/>
    <d v="1899-12-30T00:00:00"/>
    <d v="2012-11-01T00:00:00"/>
    <n v="94"/>
    <n v="72"/>
    <n v="145"/>
    <n v="145"/>
    <n v="8"/>
    <n v="47"/>
    <s v="30-50"/>
    <n v="153"/>
    <m/>
    <m/>
    <m/>
    <x v="0"/>
    <m/>
    <n v="14"/>
  </r>
  <r>
    <n v="5841"/>
    <n v="1966"/>
    <x v="0"/>
    <x v="1"/>
    <n v="60894"/>
    <n v="0"/>
    <d v="1899-12-31T00:00:00"/>
    <d v="2013-06-28T00:00:00"/>
    <n v="61"/>
    <n v="7"/>
    <n v="0"/>
    <n v="0"/>
    <n v="8"/>
    <n v="60"/>
    <s v="&gt;50"/>
    <n v="8"/>
    <m/>
    <m/>
    <m/>
    <x v="0"/>
    <m/>
    <n v="13"/>
  </r>
  <r>
    <n v="3972"/>
    <n v="1976"/>
    <x v="0"/>
    <x v="1"/>
    <n v="50200"/>
    <n v="1"/>
    <d v="1899-12-31T00:00:00"/>
    <d v="2013-04-03T00:00:00"/>
    <n v="70"/>
    <n v="6"/>
    <n v="6"/>
    <n v="6"/>
    <n v="5"/>
    <n v="50"/>
    <s v="30-50"/>
    <n v="11"/>
    <m/>
    <m/>
    <m/>
    <x v="0"/>
    <m/>
    <n v="13"/>
  </r>
  <r>
    <n v="4394"/>
    <n v="1965"/>
    <x v="1"/>
    <x v="2"/>
    <n v="81051"/>
    <n v="0"/>
    <d v="1899-12-30T00:00:00"/>
    <d v="2014-05-23T00:00:00"/>
    <n v="43"/>
    <n v="29"/>
    <n v="29"/>
    <n v="29"/>
    <n v="12"/>
    <n v="61"/>
    <s v="&gt;50"/>
    <n v="41"/>
    <m/>
    <m/>
    <m/>
    <x v="3"/>
    <m/>
    <n v="12"/>
  </r>
  <r>
    <n v="5758"/>
    <n v="1982"/>
    <x v="0"/>
    <x v="2"/>
    <n v="65169"/>
    <n v="0"/>
    <d v="1899-12-30T00:00:00"/>
    <d v="2014-01-14T00:00:00"/>
    <n v="23"/>
    <n v="0"/>
    <n v="0"/>
    <n v="0"/>
    <n v="13"/>
    <n v="44"/>
    <s v="30-50"/>
    <n v="13"/>
    <m/>
    <m/>
    <m/>
    <x v="0"/>
    <m/>
    <n v="12"/>
  </r>
  <r>
    <n v="6658"/>
    <n v="1972"/>
    <x v="0"/>
    <x v="1"/>
    <n v="59868"/>
    <n v="0"/>
    <d v="1899-12-31T00:00:00"/>
    <d v="2013-07-22T00:00:00"/>
    <n v="37"/>
    <n v="51"/>
    <n v="10"/>
    <n v="10"/>
    <n v="12"/>
    <n v="54"/>
    <s v="&gt;50"/>
    <n v="22"/>
    <m/>
    <m/>
    <m/>
    <x v="0"/>
    <m/>
    <n v="13"/>
  </r>
  <r>
    <n v="4603"/>
    <n v="1960"/>
    <x v="1"/>
    <x v="2"/>
    <n v="65695"/>
    <n v="0"/>
    <d v="1899-12-31T00:00:00"/>
    <d v="2014-01-31T00:00:00"/>
    <n v="50"/>
    <n v="32"/>
    <n v="58"/>
    <n v="58"/>
    <n v="10"/>
    <n v="66"/>
    <s v="&gt;50"/>
    <n v="68"/>
    <m/>
    <m/>
    <m/>
    <x v="0"/>
    <m/>
    <n v="12"/>
  </r>
  <r>
    <n v="8427"/>
    <n v="1956"/>
    <x v="2"/>
    <x v="0"/>
    <n v="64857"/>
    <n v="0"/>
    <d v="1899-12-30T00:00:00"/>
    <d v="2012-11-23T00:00:00"/>
    <n v="78"/>
    <n v="14"/>
    <n v="0"/>
    <n v="0"/>
    <n v="10"/>
    <n v="70"/>
    <s v="&gt;50"/>
    <n v="10"/>
    <m/>
    <m/>
    <m/>
    <x v="0"/>
    <m/>
    <n v="14"/>
  </r>
  <r>
    <n v="10260"/>
    <n v="1965"/>
    <x v="2"/>
    <x v="1"/>
    <n v="45143"/>
    <n v="0"/>
    <d v="1899-12-31T00:00:00"/>
    <d v="2013-08-26T00:00:00"/>
    <n v="74"/>
    <n v="5"/>
    <n v="5"/>
    <n v="5"/>
    <n v="5"/>
    <n v="61"/>
    <s v="&gt;50"/>
    <n v="10"/>
    <m/>
    <m/>
    <m/>
    <x v="1"/>
    <m/>
    <n v="13"/>
  </r>
  <r>
    <n v="7143"/>
    <n v="1955"/>
    <x v="4"/>
    <x v="1"/>
    <n v="74805"/>
    <n v="0"/>
    <d v="1899-12-31T00:00:00"/>
    <d v="2013-11-06T00:00:00"/>
    <n v="14"/>
    <n v="162"/>
    <n v="162"/>
    <n v="162"/>
    <n v="10"/>
    <n v="71"/>
    <s v="&gt;50"/>
    <n v="172"/>
    <m/>
    <m/>
    <m/>
    <x v="0"/>
    <m/>
    <n v="13"/>
  </r>
  <r>
    <n v="8789"/>
    <n v="1989"/>
    <x v="4"/>
    <x v="2"/>
    <n v="59060"/>
    <n v="1"/>
    <d v="1899-12-30T00:00:00"/>
    <d v="2014-01-11T00:00:00"/>
    <n v="77"/>
    <n v="40"/>
    <n v="40"/>
    <n v="40"/>
    <n v="7"/>
    <n v="37"/>
    <s v="30-50"/>
    <n v="47"/>
    <m/>
    <m/>
    <m/>
    <x v="0"/>
    <m/>
    <n v="12"/>
  </r>
  <r>
    <n v="6197"/>
    <n v="1962"/>
    <x v="1"/>
    <x v="0"/>
    <n v="27238"/>
    <n v="1"/>
    <d v="1899-12-31T00:00:00"/>
    <d v="2013-04-20T00:00:00"/>
    <n v="39"/>
    <n v="0"/>
    <n v="0"/>
    <n v="0"/>
    <n v="3"/>
    <n v="64"/>
    <s v="&gt;50"/>
    <n v="3"/>
    <m/>
    <m/>
    <m/>
    <x v="2"/>
    <m/>
    <n v="13"/>
  </r>
  <r>
    <n v="4554"/>
    <n v="1965"/>
    <x v="0"/>
    <x v="1"/>
    <n v="47009"/>
    <n v="0"/>
    <d v="1899-12-31T00:00:00"/>
    <d v="2013-10-01T00:00:00"/>
    <n v="89"/>
    <n v="45"/>
    <n v="10"/>
    <n v="10"/>
    <n v="8"/>
    <n v="61"/>
    <s v="&gt;50"/>
    <n v="18"/>
    <m/>
    <m/>
    <m/>
    <x v="1"/>
    <m/>
    <n v="13"/>
  </r>
  <r>
    <n v="4937"/>
    <n v="1973"/>
    <x v="4"/>
    <x v="2"/>
    <n v="46094"/>
    <n v="1"/>
    <d v="1899-12-31T00:00:00"/>
    <d v="2014-06-10T00:00:00"/>
    <n v="62"/>
    <n v="2"/>
    <n v="2"/>
    <n v="2"/>
    <n v="3"/>
    <n v="53"/>
    <s v="&gt;50"/>
    <n v="5"/>
    <m/>
    <m/>
    <m/>
    <x v="1"/>
    <m/>
    <n v="12"/>
  </r>
  <r>
    <n v="1920"/>
    <n v="1972"/>
    <x v="0"/>
    <x v="2"/>
    <n v="40321"/>
    <n v="1"/>
    <d v="1899-12-31T00:00:00"/>
    <d v="2013-07-29T00:00:00"/>
    <n v="59"/>
    <n v="4"/>
    <n v="0"/>
    <n v="0"/>
    <n v="3"/>
    <n v="54"/>
    <s v="&gt;50"/>
    <n v="3"/>
    <m/>
    <m/>
    <m/>
    <x v="1"/>
    <m/>
    <n v="13"/>
  </r>
  <r>
    <n v="8749"/>
    <n v="1984"/>
    <x v="0"/>
    <x v="1"/>
    <n v="37235"/>
    <n v="1"/>
    <d v="1899-12-30T00:00:00"/>
    <d v="2014-02-01T00:00:00"/>
    <n v="68"/>
    <n v="2"/>
    <n v="6"/>
    <n v="6"/>
    <n v="2"/>
    <n v="42"/>
    <s v="30-50"/>
    <n v="8"/>
    <m/>
    <m/>
    <m/>
    <x v="1"/>
    <m/>
    <n v="12"/>
  </r>
  <r>
    <n v="1650"/>
    <n v="1960"/>
    <x v="2"/>
    <x v="2"/>
    <n v="81843"/>
    <n v="0"/>
    <d v="1899-12-30T00:00:00"/>
    <d v="2013-04-22T00:00:00"/>
    <n v="13"/>
    <n v="86"/>
    <n v="69"/>
    <n v="69"/>
    <n v="12"/>
    <n v="66"/>
    <s v="&gt;50"/>
    <n v="81"/>
    <m/>
    <m/>
    <m/>
    <x v="3"/>
    <m/>
    <n v="13"/>
  </r>
  <r>
    <n v="10377"/>
    <n v="1958"/>
    <x v="2"/>
    <x v="1"/>
    <n v="46692"/>
    <n v="0"/>
    <d v="1899-12-31T00:00:00"/>
    <d v="2013-06-06T00:00:00"/>
    <n v="37"/>
    <n v="6"/>
    <n v="12"/>
    <n v="12"/>
    <n v="5"/>
    <n v="68"/>
    <s v="&gt;50"/>
    <n v="17"/>
    <m/>
    <m/>
    <m/>
    <x v="1"/>
    <m/>
    <n v="13"/>
  </r>
  <r>
    <n v="9206"/>
    <n v="1968"/>
    <x v="0"/>
    <x v="1"/>
    <n v="77382"/>
    <n v="0"/>
    <d v="1899-12-31T00:00:00"/>
    <d v="2014-01-07T00:00:00"/>
    <n v="36"/>
    <n v="48"/>
    <n v="105"/>
    <n v="105"/>
    <n v="12"/>
    <n v="58"/>
    <s v="&gt;50"/>
    <n v="117"/>
    <m/>
    <m/>
    <m/>
    <x v="3"/>
    <m/>
    <n v="12"/>
  </r>
  <r>
    <n v="10971"/>
    <n v="1977"/>
    <x v="0"/>
    <x v="0"/>
    <n v="37774"/>
    <n v="2"/>
    <d v="1899-12-30T00:00:00"/>
    <d v="2012-09-03T00:00:00"/>
    <n v="28"/>
    <n v="8"/>
    <n v="2"/>
    <n v="2"/>
    <n v="3"/>
    <n v="49"/>
    <s v="30-50"/>
    <n v="5"/>
    <m/>
    <m/>
    <m/>
    <x v="1"/>
    <m/>
    <n v="14"/>
  </r>
  <r>
    <n v="6398"/>
    <n v="1974"/>
    <x v="3"/>
    <x v="2"/>
    <n v="18393"/>
    <n v="1"/>
    <d v="1899-12-30T00:00:00"/>
    <d v="2014-03-29T00:00:00"/>
    <n v="2"/>
    <n v="10"/>
    <n v="0"/>
    <n v="0"/>
    <n v="3"/>
    <n v="52"/>
    <s v="&gt;50"/>
    <n v="3"/>
    <m/>
    <m/>
    <m/>
    <x v="2"/>
    <m/>
    <n v="12"/>
  </r>
  <r>
    <n v="9212"/>
    <n v="1962"/>
    <x v="2"/>
    <x v="2"/>
    <n v="72828"/>
    <n v="0"/>
    <d v="1899-12-31T00:00:00"/>
    <d v="2013-02-14T00:00:00"/>
    <n v="17"/>
    <n v="0"/>
    <n v="14"/>
    <n v="14"/>
    <n v="13"/>
    <n v="64"/>
    <s v="&gt;50"/>
    <n v="27"/>
    <m/>
    <m/>
    <m/>
    <x v="0"/>
    <m/>
    <n v="13"/>
  </r>
  <r>
    <n v="7937"/>
    <n v="1982"/>
    <x v="0"/>
    <x v="2"/>
    <n v="24711"/>
    <n v="0"/>
    <d v="1899-12-30T00:00:00"/>
    <d v="2014-04-18T00:00:00"/>
    <n v="86"/>
    <n v="7"/>
    <n v="3"/>
    <n v="3"/>
    <n v="3"/>
    <n v="44"/>
    <s v="30-50"/>
    <n v="6"/>
    <m/>
    <m/>
    <m/>
    <x v="2"/>
    <m/>
    <n v="12"/>
  </r>
  <r>
    <n v="839"/>
    <n v="1975"/>
    <x v="1"/>
    <x v="2"/>
    <n v="45503"/>
    <n v="1"/>
    <d v="1899-12-30T00:00:00"/>
    <d v="2013-09-25T00:00:00"/>
    <n v="54"/>
    <n v="4"/>
    <n v="1"/>
    <n v="1"/>
    <n v="4"/>
    <n v="51"/>
    <s v="&gt;50"/>
    <n v="5"/>
    <m/>
    <m/>
    <m/>
    <x v="1"/>
    <m/>
    <n v="13"/>
  </r>
  <r>
    <n v="4246"/>
    <n v="1982"/>
    <x v="2"/>
    <x v="0"/>
    <n v="6560"/>
    <n v="0"/>
    <d v="1899-12-30T00:00:00"/>
    <d v="2013-12-12T00:00:00"/>
    <n v="2"/>
    <n v="11"/>
    <n v="3"/>
    <n v="3"/>
    <n v="1"/>
    <n v="44"/>
    <s v="30-50"/>
    <n v="4"/>
    <m/>
    <m/>
    <m/>
    <x v="2"/>
    <m/>
    <n v="13"/>
  </r>
  <r>
    <n v="158"/>
    <n v="1945"/>
    <x v="1"/>
    <x v="1"/>
    <n v="71604"/>
    <n v="0"/>
    <d v="1899-12-30T00:00:00"/>
    <d v="2013-11-17T00:00:00"/>
    <n v="3"/>
    <n v="53"/>
    <n v="75"/>
    <n v="75"/>
    <n v="5"/>
    <n v="81"/>
    <s v="&gt;50"/>
    <n v="80"/>
    <m/>
    <m/>
    <m/>
    <x v="0"/>
    <m/>
    <n v="13"/>
  </r>
  <r>
    <n v="4832"/>
    <n v="1979"/>
    <x v="0"/>
    <x v="2"/>
    <n v="27244"/>
    <n v="1"/>
    <d v="1899-12-30T00:00:00"/>
    <d v="2014-03-07T00:00:00"/>
    <n v="84"/>
    <n v="5"/>
    <n v="24"/>
    <n v="24"/>
    <n v="2"/>
    <n v="47"/>
    <s v="30-50"/>
    <n v="26"/>
    <m/>
    <m/>
    <m/>
    <x v="2"/>
    <m/>
    <n v="12"/>
  </r>
  <r>
    <n v="5621"/>
    <n v="1969"/>
    <x v="0"/>
    <x v="2"/>
    <n v="48752"/>
    <n v="1"/>
    <d v="1899-12-31T00:00:00"/>
    <d v="2012-12-12T00:00:00"/>
    <n v="8"/>
    <n v="57"/>
    <n v="15"/>
    <n v="15"/>
    <n v="5"/>
    <n v="57"/>
    <s v="&gt;50"/>
    <n v="20"/>
    <m/>
    <m/>
    <m/>
    <x v="1"/>
    <m/>
    <n v="14"/>
  </r>
  <r>
    <n v="1945"/>
    <n v="1962"/>
    <x v="0"/>
    <x v="2"/>
    <n v="71434"/>
    <n v="0"/>
    <d v="1899-12-31T00:00:00"/>
    <d v="2013-09-18T00:00:00"/>
    <n v="4"/>
    <n v="36"/>
    <n v="96"/>
    <n v="96"/>
    <n v="7"/>
    <n v="64"/>
    <s v="&gt;50"/>
    <n v="103"/>
    <m/>
    <m/>
    <m/>
    <x v="0"/>
    <m/>
    <n v="13"/>
  </r>
  <r>
    <n v="5147"/>
    <n v="1948"/>
    <x v="0"/>
    <x v="0"/>
    <n v="90842"/>
    <n v="0"/>
    <d v="1899-12-30T00:00:00"/>
    <d v="2013-07-29T00:00:00"/>
    <n v="57"/>
    <n v="70"/>
    <n v="187"/>
    <n v="187"/>
    <n v="13"/>
    <n v="78"/>
    <s v="&gt;50"/>
    <n v="200"/>
    <m/>
    <m/>
    <m/>
    <x v="3"/>
    <m/>
    <n v="13"/>
  </r>
  <r>
    <n v="2535"/>
    <n v="1978"/>
    <x v="2"/>
    <x v="2"/>
    <n v="88097"/>
    <n v="1"/>
    <d v="1899-12-30T00:00:00"/>
    <d v="2012-08-18T00:00:00"/>
    <n v="24"/>
    <n v="0"/>
    <n v="126"/>
    <n v="126"/>
    <n v="8"/>
    <n v="48"/>
    <s v="30-50"/>
    <n v="134"/>
    <m/>
    <m/>
    <m/>
    <x v="3"/>
    <m/>
    <n v="14"/>
  </r>
  <r>
    <n v="11039"/>
    <n v="1975"/>
    <x v="0"/>
    <x v="2"/>
    <n v="51948"/>
    <n v="0"/>
    <d v="1899-12-31T00:00:00"/>
    <d v="2013-09-17T00:00:00"/>
    <n v="51"/>
    <n v="33"/>
    <n v="30"/>
    <n v="30"/>
    <n v="4"/>
    <n v="51"/>
    <s v="&gt;50"/>
    <n v="34"/>
    <m/>
    <m/>
    <m/>
    <x v="0"/>
    <m/>
    <n v="13"/>
  </r>
  <r>
    <n v="9495"/>
    <n v="1982"/>
    <x v="0"/>
    <x v="1"/>
    <n v="71853"/>
    <n v="0"/>
    <d v="1899-12-30T00:00:00"/>
    <d v="2013-05-08T00:00:00"/>
    <n v="29"/>
    <n v="108"/>
    <n v="97"/>
    <n v="97"/>
    <n v="6"/>
    <n v="44"/>
    <s v="30-50"/>
    <n v="103"/>
    <m/>
    <m/>
    <m/>
    <x v="0"/>
    <m/>
    <n v="13"/>
  </r>
  <r>
    <n v="9635"/>
    <n v="1983"/>
    <x v="2"/>
    <x v="2"/>
    <n v="35876"/>
    <n v="0"/>
    <d v="1899-12-30T00:00:00"/>
    <d v="2014-04-20T00:00:00"/>
    <n v="13"/>
    <n v="2"/>
    <n v="3"/>
    <n v="3"/>
    <n v="3"/>
    <n v="43"/>
    <s v="30-50"/>
    <n v="6"/>
    <m/>
    <m/>
    <m/>
    <x v="1"/>
    <m/>
    <n v="12"/>
  </r>
  <r>
    <n v="2173"/>
    <n v="1952"/>
    <x v="0"/>
    <x v="4"/>
    <n v="40049"/>
    <n v="0"/>
    <d v="1899-12-31T00:00:00"/>
    <d v="2013-10-16T00:00:00"/>
    <n v="23"/>
    <n v="6"/>
    <n v="3"/>
    <n v="3"/>
    <n v="3"/>
    <n v="74"/>
    <s v="&gt;50"/>
    <n v="6"/>
    <m/>
    <m/>
    <m/>
    <x v="1"/>
    <m/>
    <n v="13"/>
  </r>
  <r>
    <n v="942"/>
    <n v="1982"/>
    <x v="0"/>
    <x v="0"/>
    <n v="39660"/>
    <n v="1"/>
    <d v="1899-12-30T00:00:00"/>
    <d v="2012-08-08T00:00:00"/>
    <n v="36"/>
    <n v="13"/>
    <n v="13"/>
    <n v="13"/>
    <n v="3"/>
    <n v="44"/>
    <s v="30-50"/>
    <n v="16"/>
    <m/>
    <m/>
    <m/>
    <x v="1"/>
    <m/>
    <n v="14"/>
  </r>
  <r>
    <n v="9386"/>
    <n v="1962"/>
    <x v="0"/>
    <x v="1"/>
    <n v="50127"/>
    <n v="0"/>
    <d v="1899-12-31T00:00:00"/>
    <d v="2014-05-29T00:00:00"/>
    <n v="88"/>
    <n v="0"/>
    <n v="6"/>
    <n v="6"/>
    <n v="6"/>
    <n v="64"/>
    <s v="&gt;50"/>
    <n v="12"/>
    <m/>
    <m/>
    <m/>
    <x v="0"/>
    <m/>
    <n v="12"/>
  </r>
  <r>
    <n v="5510"/>
    <n v="1977"/>
    <x v="2"/>
    <x v="2"/>
    <n v="43263"/>
    <n v="0"/>
    <d v="1899-12-31T00:00:00"/>
    <d v="2012-11-21T00:00:00"/>
    <n v="2"/>
    <n v="6"/>
    <n v="10"/>
    <n v="10"/>
    <n v="6"/>
    <n v="49"/>
    <s v="30-50"/>
    <n v="16"/>
    <m/>
    <m/>
    <m/>
    <x v="1"/>
    <m/>
    <n v="14"/>
  </r>
  <r>
    <n v="873"/>
    <n v="1949"/>
    <x v="2"/>
    <x v="2"/>
    <n v="62845"/>
    <n v="1"/>
    <d v="1899-12-31T00:00:00"/>
    <d v="2012-10-01T00:00:00"/>
    <n v="3"/>
    <n v="0"/>
    <n v="0"/>
    <n v="0"/>
    <n v="10"/>
    <n v="77"/>
    <s v="&gt;50"/>
    <n v="10"/>
    <m/>
    <m/>
    <m/>
    <x v="0"/>
    <m/>
    <n v="14"/>
  </r>
  <r>
    <n v="2253"/>
    <n v="1990"/>
    <x v="0"/>
    <x v="2"/>
    <n v="18929"/>
    <n v="0"/>
    <d v="1899-12-30T00:00:00"/>
    <d v="2013-02-16T00:00:00"/>
    <n v="15"/>
    <n v="0"/>
    <n v="4"/>
    <n v="4"/>
    <n v="4"/>
    <n v="36"/>
    <s v="30-50"/>
    <n v="8"/>
    <m/>
    <m/>
    <m/>
    <x v="2"/>
    <m/>
    <n v="13"/>
  </r>
  <r>
    <n v="5181"/>
    <n v="1982"/>
    <x v="3"/>
    <x v="0"/>
    <n v="24367"/>
    <n v="1"/>
    <d v="1899-12-30T00:00:00"/>
    <d v="2013-03-20T00:00:00"/>
    <n v="58"/>
    <n v="4"/>
    <n v="11"/>
    <n v="11"/>
    <n v="2"/>
    <n v="44"/>
    <s v="30-50"/>
    <n v="13"/>
    <m/>
    <m/>
    <m/>
    <x v="2"/>
    <m/>
    <n v="13"/>
  </r>
  <r>
    <n v="979"/>
    <n v="1975"/>
    <x v="0"/>
    <x v="0"/>
    <n v="33249"/>
    <n v="1"/>
    <d v="1899-12-30T00:00:00"/>
    <d v="2013-02-20T00:00:00"/>
    <n v="11"/>
    <n v="10"/>
    <n v="14"/>
    <n v="14"/>
    <n v="3"/>
    <n v="51"/>
    <s v="&gt;50"/>
    <n v="17"/>
    <m/>
    <m/>
    <m/>
    <x v="1"/>
    <m/>
    <n v="13"/>
  </r>
  <r>
    <n v="10390"/>
    <n v="1959"/>
    <x v="4"/>
    <x v="2"/>
    <n v="26887"/>
    <n v="0"/>
    <d v="1899-12-31T00:00:00"/>
    <d v="2013-02-10T00:00:00"/>
    <n v="27"/>
    <n v="7"/>
    <n v="4"/>
    <n v="4"/>
    <n v="3"/>
    <n v="67"/>
    <s v="&gt;50"/>
    <n v="7"/>
    <m/>
    <m/>
    <m/>
    <x v="2"/>
    <m/>
    <n v="13"/>
  </r>
  <r>
    <n v="4698"/>
    <n v="1983"/>
    <x v="1"/>
    <x v="2"/>
    <n v="50150"/>
    <n v="0"/>
    <d v="1899-12-30T00:00:00"/>
    <d v="2013-06-20T00:00:00"/>
    <n v="32"/>
    <n v="46"/>
    <n v="61"/>
    <n v="61"/>
    <n v="7"/>
    <n v="43"/>
    <s v="30-50"/>
    <n v="68"/>
    <m/>
    <m/>
    <m/>
    <x v="0"/>
    <m/>
    <n v="13"/>
  </r>
  <r>
    <n v="7793"/>
    <n v="1976"/>
    <x v="0"/>
    <x v="1"/>
    <n v="62061"/>
    <n v="0"/>
    <d v="1899-12-31T00:00:00"/>
    <d v="2013-08-31T00:00:00"/>
    <n v="12"/>
    <n v="7"/>
    <n v="30"/>
    <n v="30"/>
    <n v="7"/>
    <n v="50"/>
    <s v="30-50"/>
    <n v="37"/>
    <m/>
    <m/>
    <m/>
    <x v="0"/>
    <m/>
    <n v="13"/>
  </r>
  <r>
    <n v="1745"/>
    <n v="1962"/>
    <x v="1"/>
    <x v="3"/>
    <n v="85696"/>
    <n v="0"/>
    <d v="1899-12-30T00:00:00"/>
    <d v="2013-05-03T00:00:00"/>
    <n v="88"/>
    <n v="76"/>
    <n v="0"/>
    <n v="0"/>
    <n v="9"/>
    <n v="64"/>
    <s v="&gt;50"/>
    <n v="9"/>
    <m/>
    <m/>
    <m/>
    <x v="3"/>
    <m/>
    <n v="13"/>
  </r>
  <r>
    <n v="10590"/>
    <n v="1956"/>
    <x v="1"/>
    <x v="1"/>
    <n v="76542"/>
    <n v="0"/>
    <d v="1899-12-30T00:00:00"/>
    <d v="2013-03-30T00:00:00"/>
    <n v="91"/>
    <n v="73"/>
    <n v="29"/>
    <n v="29"/>
    <n v="10"/>
    <n v="70"/>
    <s v="&gt;50"/>
    <n v="39"/>
    <m/>
    <m/>
    <m/>
    <x v="3"/>
    <m/>
    <n v="13"/>
  </r>
  <r>
    <n v="5080"/>
    <n v="1993"/>
    <x v="0"/>
    <x v="0"/>
    <n v="70515"/>
    <n v="0"/>
    <d v="1899-12-30T00:00:00"/>
    <d v="2013-10-21T00:00:00"/>
    <n v="12"/>
    <n v="0"/>
    <n v="64"/>
    <n v="64"/>
    <n v="4"/>
    <n v="33"/>
    <s v="30-50"/>
    <n v="68"/>
    <m/>
    <m/>
    <m/>
    <x v="0"/>
    <m/>
    <n v="13"/>
  </r>
  <r>
    <n v="8369"/>
    <n v="1987"/>
    <x v="0"/>
    <x v="1"/>
    <n v="18227"/>
    <n v="1"/>
    <d v="1899-12-30T00:00:00"/>
    <d v="2012-11-08T00:00:00"/>
    <n v="21"/>
    <n v="2"/>
    <n v="3"/>
    <n v="3"/>
    <n v="2"/>
    <n v="39"/>
    <s v="30-50"/>
    <n v="5"/>
    <m/>
    <m/>
    <m/>
    <x v="2"/>
    <m/>
    <n v="14"/>
  </r>
  <r>
    <n v="5232"/>
    <n v="1965"/>
    <x v="0"/>
    <x v="2"/>
    <n v="69139"/>
    <n v="0"/>
    <d v="1899-12-31T00:00:00"/>
    <d v="2014-01-27T00:00:00"/>
    <n v="23"/>
    <n v="12"/>
    <n v="15"/>
    <n v="15"/>
    <n v="5"/>
    <n v="61"/>
    <s v="&gt;50"/>
    <n v="20"/>
    <m/>
    <m/>
    <m/>
    <x v="0"/>
    <m/>
    <n v="12"/>
  </r>
  <r>
    <n v="2407"/>
    <n v="1982"/>
    <x v="0"/>
    <x v="2"/>
    <n v="69109"/>
    <n v="0"/>
    <d v="1899-12-30T00:00:00"/>
    <d v="2012-11-09T00:00:00"/>
    <n v="10"/>
    <n v="25"/>
    <n v="29"/>
    <n v="29"/>
    <n v="7"/>
    <n v="44"/>
    <s v="30-50"/>
    <n v="36"/>
    <m/>
    <m/>
    <m/>
    <x v="0"/>
    <m/>
    <n v="14"/>
  </r>
  <r>
    <n v="3834"/>
    <n v="1962"/>
    <x v="0"/>
    <x v="0"/>
    <n v="69627"/>
    <n v="0"/>
    <d v="1899-12-31T00:00:00"/>
    <d v="2013-03-17T00:00:00"/>
    <n v="35"/>
    <n v="161"/>
    <n v="30"/>
    <n v="30"/>
    <n v="11"/>
    <n v="64"/>
    <s v="&gt;50"/>
    <n v="41"/>
    <m/>
    <m/>
    <m/>
    <x v="0"/>
    <m/>
    <n v="13"/>
  </r>
  <r>
    <n v="7912"/>
    <n v="1978"/>
    <x v="0"/>
    <x v="2"/>
    <n v="38136"/>
    <n v="1"/>
    <d v="1899-12-30T00:00:00"/>
    <d v="2013-04-22T00:00:00"/>
    <n v="69"/>
    <n v="15"/>
    <n v="20"/>
    <n v="20"/>
    <n v="2"/>
    <n v="48"/>
    <s v="30-50"/>
    <n v="22"/>
    <m/>
    <m/>
    <m/>
    <x v="1"/>
    <m/>
    <n v="13"/>
  </r>
  <r>
    <n v="7712"/>
    <n v="1946"/>
    <x v="1"/>
    <x v="0"/>
    <n v="62159"/>
    <n v="0"/>
    <d v="1899-12-30T00:00:00"/>
    <d v="2014-04-28T00:00:00"/>
    <n v="68"/>
    <n v="17"/>
    <n v="70"/>
    <n v="70"/>
    <n v="10"/>
    <n v="80"/>
    <s v="&gt;50"/>
    <n v="80"/>
    <m/>
    <m/>
    <m/>
    <x v="0"/>
    <m/>
    <n v="12"/>
  </r>
  <r>
    <n v="1065"/>
    <n v="1963"/>
    <x v="0"/>
    <x v="0"/>
    <n v="80695"/>
    <n v="0"/>
    <d v="1899-12-30T00:00:00"/>
    <d v="2013-12-29T00:00:00"/>
    <n v="85"/>
    <n v="129"/>
    <n v="37"/>
    <n v="37"/>
    <n v="5"/>
    <n v="63"/>
    <s v="&gt;50"/>
    <n v="42"/>
    <m/>
    <m/>
    <m/>
    <x v="3"/>
    <m/>
    <n v="13"/>
  </r>
  <r>
    <n v="7275"/>
    <n v="1971"/>
    <x v="2"/>
    <x v="0"/>
    <n v="33316"/>
    <n v="1"/>
    <d v="1899-12-31T00:00:00"/>
    <d v="2013-10-04T00:00:00"/>
    <n v="34"/>
    <n v="1"/>
    <n v="4"/>
    <n v="4"/>
    <n v="4"/>
    <n v="55"/>
    <s v="&gt;50"/>
    <n v="8"/>
    <m/>
    <m/>
    <m/>
    <x v="1"/>
    <m/>
    <n v="13"/>
  </r>
  <r>
    <n v="1343"/>
    <n v="1968"/>
    <x v="0"/>
    <x v="1"/>
    <n v="58554"/>
    <n v="1"/>
    <d v="1899-12-31T00:00:00"/>
    <d v="2012-09-26T00:00:00"/>
    <n v="55"/>
    <n v="24"/>
    <n v="0"/>
    <n v="0"/>
    <n v="6"/>
    <n v="58"/>
    <s v="&gt;50"/>
    <n v="6"/>
    <m/>
    <m/>
    <m/>
    <x v="0"/>
    <m/>
    <n v="14"/>
  </r>
  <r>
    <n v="1384"/>
    <n v="1992"/>
    <x v="3"/>
    <x v="2"/>
    <n v="17256"/>
    <n v="1"/>
    <d v="1899-12-30T00:00:00"/>
    <d v="2013-11-23T00:00:00"/>
    <n v="10"/>
    <n v="4"/>
    <n v="8"/>
    <n v="8"/>
    <n v="2"/>
    <n v="34"/>
    <s v="30-50"/>
    <n v="10"/>
    <m/>
    <m/>
    <m/>
    <x v="2"/>
    <m/>
    <n v="13"/>
  </r>
  <r>
    <n v="9967"/>
    <n v="1974"/>
    <x v="0"/>
    <x v="3"/>
    <n v="53034"/>
    <n v="1"/>
    <d v="1899-12-31T00:00:00"/>
    <d v="2013-05-30T00:00:00"/>
    <n v="30"/>
    <n v="15"/>
    <n v="11"/>
    <n v="11"/>
    <n v="7"/>
    <n v="52"/>
    <s v="&gt;50"/>
    <n v="18"/>
    <m/>
    <m/>
    <m/>
    <x v="0"/>
    <m/>
    <n v="13"/>
  </r>
  <r>
    <n v="6181"/>
    <n v="1950"/>
    <x v="4"/>
    <x v="1"/>
    <n v="52203"/>
    <n v="0"/>
    <d v="1899-12-30T00:00:00"/>
    <d v="2012-07-31T00:00:00"/>
    <n v="36"/>
    <n v="21"/>
    <n v="108"/>
    <n v="108"/>
    <n v="11"/>
    <n v="76"/>
    <s v="&gt;50"/>
    <n v="119"/>
    <m/>
    <m/>
    <m/>
    <x v="0"/>
    <m/>
    <n v="14"/>
  </r>
  <r>
    <n v="10507"/>
    <n v="1977"/>
    <x v="4"/>
    <x v="3"/>
    <n v="59601"/>
    <n v="0"/>
    <d v="1899-12-31T00:00:00"/>
    <d v="2013-07-25T00:00:00"/>
    <n v="14"/>
    <n v="7"/>
    <n v="7"/>
    <n v="7"/>
    <n v="7"/>
    <n v="49"/>
    <s v="30-50"/>
    <n v="14"/>
    <m/>
    <m/>
    <m/>
    <x v="0"/>
    <m/>
    <n v="13"/>
  </r>
  <r>
    <n v="2674"/>
    <n v="1958"/>
    <x v="2"/>
    <x v="0"/>
    <n v="75154"/>
    <n v="0"/>
    <d v="1899-12-31T00:00:00"/>
    <d v="2012-09-04T00:00:00"/>
    <n v="79"/>
    <n v="10"/>
    <n v="143"/>
    <n v="143"/>
    <n v="6"/>
    <n v="68"/>
    <s v="&gt;50"/>
    <n v="149"/>
    <m/>
    <m/>
    <m/>
    <x v="3"/>
    <m/>
    <n v="14"/>
  </r>
  <r>
    <n v="2698"/>
    <n v="1976"/>
    <x v="0"/>
    <x v="0"/>
    <n v="47025"/>
    <n v="0"/>
    <d v="1899-12-31T00:00:00"/>
    <d v="2013-11-07T00:00:00"/>
    <n v="52"/>
    <n v="7"/>
    <n v="0"/>
    <n v="0"/>
    <n v="5"/>
    <n v="50"/>
    <s v="30-50"/>
    <n v="5"/>
    <m/>
    <m/>
    <m/>
    <x v="1"/>
    <m/>
    <n v="13"/>
  </r>
  <r>
    <n v="3231"/>
    <n v="1973"/>
    <x v="0"/>
    <x v="2"/>
    <n v="37971"/>
    <n v="1"/>
    <d v="1899-12-30T00:00:00"/>
    <d v="2013-11-25T00:00:00"/>
    <n v="97"/>
    <n v="4"/>
    <n v="2"/>
    <n v="2"/>
    <n v="3"/>
    <n v="53"/>
    <s v="&gt;50"/>
    <n v="5"/>
    <m/>
    <m/>
    <m/>
    <x v="1"/>
    <m/>
    <n v="13"/>
  </r>
  <r>
    <n v="4096"/>
    <n v="1968"/>
    <x v="2"/>
    <x v="3"/>
    <n v="41335"/>
    <n v="1"/>
    <d v="1899-12-30T00:00:00"/>
    <d v="2013-12-26T00:00:00"/>
    <n v="24"/>
    <n v="19"/>
    <n v="14"/>
    <n v="14"/>
    <n v="4"/>
    <n v="58"/>
    <s v="&gt;50"/>
    <n v="18"/>
    <m/>
    <m/>
    <m/>
    <x v="1"/>
    <m/>
    <n v="13"/>
  </r>
  <r>
    <n v="10476"/>
    <n v="1958"/>
    <x v="0"/>
    <x v="2"/>
    <n v="67267"/>
    <n v="0"/>
    <d v="1899-12-31T00:00:00"/>
    <d v="2014-05-13T00:00:00"/>
    <n v="0"/>
    <n v="11"/>
    <n v="2"/>
    <n v="2"/>
    <n v="5"/>
    <n v="68"/>
    <s v="&gt;50"/>
    <n v="7"/>
    <m/>
    <m/>
    <m/>
    <x v="0"/>
    <m/>
    <n v="12"/>
  </r>
  <r>
    <n v="5948"/>
    <n v="1975"/>
    <x v="0"/>
    <x v="0"/>
    <n v="57338"/>
    <n v="0"/>
    <d v="1899-12-31T00:00:00"/>
    <d v="2014-04-29T00:00:00"/>
    <n v="96"/>
    <n v="6"/>
    <n v="8"/>
    <n v="8"/>
    <n v="5"/>
    <n v="51"/>
    <s v="&gt;50"/>
    <n v="13"/>
    <m/>
    <m/>
    <m/>
    <x v="0"/>
    <m/>
    <n v="12"/>
  </r>
  <r>
    <n v="9140"/>
    <n v="1960"/>
    <x v="4"/>
    <x v="1"/>
    <n v="50523"/>
    <n v="1"/>
    <d v="1899-12-31T00:00:00"/>
    <d v="2013-12-25T00:00:00"/>
    <n v="89"/>
    <n v="4"/>
    <n v="7"/>
    <n v="7"/>
    <n v="4"/>
    <n v="66"/>
    <s v="&gt;50"/>
    <n v="11"/>
    <m/>
    <m/>
    <m/>
    <x v="0"/>
    <m/>
    <n v="13"/>
  </r>
  <r>
    <n v="10258"/>
    <n v="1965"/>
    <x v="2"/>
    <x v="0"/>
    <n v="35791"/>
    <n v="2"/>
    <d v="1899-12-31T00:00:00"/>
    <d v="2013-05-06T00:00:00"/>
    <n v="94"/>
    <n v="0"/>
    <n v="0"/>
    <n v="0"/>
    <n v="3"/>
    <n v="61"/>
    <s v="&gt;50"/>
    <n v="3"/>
    <m/>
    <m/>
    <m/>
    <x v="1"/>
    <m/>
    <n v="13"/>
  </r>
  <r>
    <n v="5675"/>
    <n v="1960"/>
    <x v="1"/>
    <x v="3"/>
    <n v="50611"/>
    <n v="0"/>
    <d v="1899-12-31T00:00:00"/>
    <d v="2012-10-04T00:00:00"/>
    <n v="98"/>
    <n v="0"/>
    <n v="0"/>
    <n v="0"/>
    <n v="7"/>
    <n v="66"/>
    <s v="&gt;50"/>
    <n v="7"/>
    <m/>
    <m/>
    <m/>
    <x v="0"/>
    <m/>
    <n v="14"/>
  </r>
  <r>
    <n v="4743"/>
    <n v="1969"/>
    <x v="1"/>
    <x v="2"/>
    <n v="56242"/>
    <n v="0"/>
    <d v="1899-12-31T00:00:00"/>
    <d v="2013-03-03T00:00:00"/>
    <n v="72"/>
    <n v="8"/>
    <n v="8"/>
    <n v="8"/>
    <n v="11"/>
    <n v="57"/>
    <s v="&gt;50"/>
    <n v="19"/>
    <m/>
    <m/>
    <m/>
    <x v="0"/>
    <m/>
    <n v="13"/>
  </r>
  <r>
    <n v="8805"/>
    <n v="1960"/>
    <x v="0"/>
    <x v="0"/>
    <n v="48904"/>
    <n v="0"/>
    <d v="1899-12-31T00:00:00"/>
    <d v="2012-12-02T00:00:00"/>
    <n v="1"/>
    <n v="10"/>
    <n v="13"/>
    <n v="13"/>
    <n v="4"/>
    <n v="66"/>
    <s v="&gt;50"/>
    <n v="17"/>
    <m/>
    <m/>
    <m/>
    <x v="1"/>
    <m/>
    <n v="14"/>
  </r>
  <r>
    <n v="1542"/>
    <n v="1975"/>
    <x v="0"/>
    <x v="0"/>
    <n v="56243"/>
    <n v="1"/>
    <d v="1900-01-01T00:00:00"/>
    <d v="2013-12-30T00:00:00"/>
    <n v="26"/>
    <n v="0"/>
    <n v="3"/>
    <n v="3"/>
    <n v="8"/>
    <n v="51"/>
    <s v="&gt;50"/>
    <n v="11"/>
    <m/>
    <m/>
    <m/>
    <x v="0"/>
    <m/>
    <n v="13"/>
  </r>
  <r>
    <n v="6770"/>
    <n v="1985"/>
    <x v="0"/>
    <x v="2"/>
    <n v="21355"/>
    <n v="1"/>
    <d v="1899-12-30T00:00:00"/>
    <d v="2013-08-20T00:00:00"/>
    <n v="5"/>
    <n v="13"/>
    <n v="5"/>
    <n v="5"/>
    <n v="2"/>
    <n v="41"/>
    <s v="30-50"/>
    <n v="7"/>
    <m/>
    <m/>
    <m/>
    <x v="2"/>
    <m/>
    <n v="13"/>
  </r>
  <r>
    <n v="8773"/>
    <n v="1971"/>
    <x v="2"/>
    <x v="1"/>
    <n v="57420"/>
    <n v="0"/>
    <d v="1899-12-31T00:00:00"/>
    <d v="2013-06-25T00:00:00"/>
    <n v="22"/>
    <n v="0"/>
    <n v="0"/>
    <n v="0"/>
    <n v="6"/>
    <n v="55"/>
    <s v="&gt;50"/>
    <n v="6"/>
    <m/>
    <m/>
    <m/>
    <x v="0"/>
    <m/>
    <n v="13"/>
  </r>
  <r>
    <n v="10475"/>
    <n v="1970"/>
    <x v="2"/>
    <x v="1"/>
    <m/>
    <n v="0"/>
    <d v="1899-12-31T00:00:00"/>
    <d v="2013-04-01T00:00:00"/>
    <n v="39"/>
    <n v="5"/>
    <n v="20"/>
    <n v="20"/>
    <n v="6"/>
    <n v="56"/>
    <s v="&gt;50"/>
    <n v="26"/>
    <m/>
    <m/>
    <m/>
    <x v="2"/>
    <m/>
    <n v="13"/>
  </r>
  <r>
    <n v="10420"/>
    <n v="1955"/>
    <x v="2"/>
    <x v="3"/>
    <n v="46390"/>
    <n v="0"/>
    <d v="1899-12-31T00:00:00"/>
    <d v="2014-05-05T00:00:00"/>
    <n v="56"/>
    <n v="14"/>
    <n v="9"/>
    <n v="9"/>
    <n v="3"/>
    <n v="71"/>
    <s v="&gt;50"/>
    <n v="12"/>
    <m/>
    <m/>
    <m/>
    <x v="1"/>
    <m/>
    <n v="12"/>
  </r>
  <r>
    <n v="7514"/>
    <n v="1956"/>
    <x v="4"/>
    <x v="1"/>
    <n v="54342"/>
    <n v="1"/>
    <d v="1899-12-31T00:00:00"/>
    <d v="2013-07-03T00:00:00"/>
    <n v="74"/>
    <n v="10"/>
    <n v="10"/>
    <n v="10"/>
    <n v="4"/>
    <n v="70"/>
    <s v="&gt;50"/>
    <n v="14"/>
    <m/>
    <m/>
    <m/>
    <x v="0"/>
    <m/>
    <n v="13"/>
  </r>
  <r>
    <n v="2902"/>
    <n v="1958"/>
    <x v="0"/>
    <x v="1"/>
    <m/>
    <n v="1"/>
    <d v="1899-12-31T00:00:00"/>
    <d v="2012-09-03T00:00:00"/>
    <n v="87"/>
    <n v="4"/>
    <n v="2"/>
    <n v="2"/>
    <n v="3"/>
    <n v="68"/>
    <s v="&gt;50"/>
    <n v="5"/>
    <m/>
    <m/>
    <m/>
    <x v="2"/>
    <m/>
    <n v="14"/>
  </r>
  <r>
    <n v="4345"/>
    <n v="1964"/>
    <x v="4"/>
    <x v="0"/>
    <m/>
    <n v="1"/>
    <d v="1899-12-31T00:00:00"/>
    <d v="2014-01-12T00:00:00"/>
    <n v="49"/>
    <n v="1"/>
    <n v="0"/>
    <n v="0"/>
    <n v="2"/>
    <n v="62"/>
    <s v="&gt;50"/>
    <n v="2"/>
    <m/>
    <m/>
    <m/>
    <x v="2"/>
    <m/>
    <n v="12"/>
  </r>
  <r>
    <n v="793"/>
    <n v="1973"/>
    <x v="0"/>
    <x v="2"/>
    <n v="20895"/>
    <n v="1"/>
    <d v="1899-12-30T00:00:00"/>
    <d v="2012-10-06T00:00:00"/>
    <n v="24"/>
    <n v="3"/>
    <n v="0"/>
    <n v="0"/>
    <n v="3"/>
    <n v="53"/>
    <s v="&gt;50"/>
    <n v="3"/>
    <m/>
    <m/>
    <m/>
    <x v="2"/>
    <m/>
    <n v="14"/>
  </r>
  <r>
    <n v="10909"/>
    <n v="1948"/>
    <x v="0"/>
    <x v="2"/>
    <n v="92344"/>
    <n v="0"/>
    <d v="1899-12-30T00:00:00"/>
    <d v="2014-01-15T00:00:00"/>
    <n v="9"/>
    <n v="24"/>
    <n v="19"/>
    <n v="19"/>
    <n v="5"/>
    <n v="78"/>
    <s v="&gt;50"/>
    <n v="24"/>
    <m/>
    <m/>
    <m/>
    <x v="3"/>
    <m/>
    <n v="12"/>
  </r>
  <r>
    <n v="3769"/>
    <n v="1972"/>
    <x v="1"/>
    <x v="1"/>
    <m/>
    <n v="1"/>
    <d v="1899-12-30T00:00:00"/>
    <d v="2014-03-02T00:00:00"/>
    <n v="17"/>
    <n v="1"/>
    <n v="0"/>
    <n v="0"/>
    <n v="3"/>
    <n v="54"/>
    <s v="&gt;50"/>
    <n v="3"/>
    <m/>
    <m/>
    <m/>
    <x v="2"/>
    <m/>
    <n v="12"/>
  </r>
  <r>
    <n v="8702"/>
    <n v="1976"/>
    <x v="4"/>
    <x v="1"/>
    <n v="26907"/>
    <n v="1"/>
    <d v="1899-12-31T00:00:00"/>
    <d v="2013-08-20T00:00:00"/>
    <n v="10"/>
    <n v="1"/>
    <n v="3"/>
    <n v="3"/>
    <n v="3"/>
    <n v="50"/>
    <s v="30-50"/>
    <n v="6"/>
    <m/>
    <m/>
    <m/>
    <x v="2"/>
    <m/>
    <n v="13"/>
  </r>
  <r>
    <n v="4791"/>
    <n v="1980"/>
    <x v="0"/>
    <x v="1"/>
    <n v="44964"/>
    <n v="1"/>
    <d v="1899-12-31T00:00:00"/>
    <d v="2012-12-16T00:00:00"/>
    <n v="35"/>
    <n v="1"/>
    <n v="0"/>
    <n v="0"/>
    <n v="3"/>
    <n v="46"/>
    <s v="30-50"/>
    <n v="3"/>
    <m/>
    <m/>
    <m/>
    <x v="1"/>
    <m/>
    <n v="14"/>
  </r>
  <r>
    <n v="2963"/>
    <n v="1979"/>
    <x v="0"/>
    <x v="1"/>
    <n v="75507"/>
    <n v="0"/>
    <d v="1899-12-30T00:00:00"/>
    <d v="2014-05-02T00:00:00"/>
    <n v="56"/>
    <n v="93"/>
    <n v="80"/>
    <n v="80"/>
    <n v="6"/>
    <n v="47"/>
    <s v="30-50"/>
    <n v="86"/>
    <m/>
    <m/>
    <m/>
    <x v="3"/>
    <m/>
    <n v="12"/>
  </r>
  <r>
    <n v="8216"/>
    <n v="1972"/>
    <x v="2"/>
    <x v="2"/>
    <n v="53761"/>
    <n v="1"/>
    <d v="1899-12-31T00:00:00"/>
    <d v="2013-10-11T00:00:00"/>
    <n v="7"/>
    <n v="0"/>
    <n v="7"/>
    <n v="7"/>
    <n v="3"/>
    <n v="54"/>
    <s v="&gt;50"/>
    <n v="10"/>
    <m/>
    <m/>
    <m/>
    <x v="0"/>
    <m/>
    <n v="13"/>
  </r>
  <r>
    <n v="8140"/>
    <n v="1973"/>
    <x v="0"/>
    <x v="1"/>
    <n v="22682"/>
    <n v="1"/>
    <d v="1899-12-30T00:00:00"/>
    <d v="2013-10-03T00:00:00"/>
    <n v="51"/>
    <n v="14"/>
    <n v="2"/>
    <n v="2"/>
    <n v="4"/>
    <n v="53"/>
    <s v="&gt;50"/>
    <n v="6"/>
    <m/>
    <m/>
    <m/>
    <x v="2"/>
    <m/>
    <n v="13"/>
  </r>
  <r>
    <n v="10146"/>
    <n v="1972"/>
    <x v="1"/>
    <x v="1"/>
    <n v="38887"/>
    <n v="1"/>
    <d v="1899-12-30T00:00:00"/>
    <d v="2014-03-02T00:00:00"/>
    <n v="17"/>
    <n v="1"/>
    <n v="0"/>
    <n v="0"/>
    <n v="3"/>
    <n v="54"/>
    <s v="&gt;50"/>
    <n v="3"/>
    <m/>
    <m/>
    <m/>
    <x v="1"/>
    <m/>
    <n v="12"/>
  </r>
  <r>
    <n v="5289"/>
    <n v="1975"/>
    <x v="4"/>
    <x v="0"/>
    <n v="41658"/>
    <n v="1"/>
    <d v="1899-12-31T00:00:00"/>
    <d v="2012-11-09T00:00:00"/>
    <n v="30"/>
    <n v="4"/>
    <n v="4"/>
    <n v="4"/>
    <n v="2"/>
    <n v="51"/>
    <s v="&gt;50"/>
    <n v="6"/>
    <m/>
    <m/>
    <m/>
    <x v="1"/>
    <m/>
    <n v="14"/>
  </r>
  <r>
    <n v="2587"/>
    <n v="1972"/>
    <x v="1"/>
    <x v="2"/>
    <n v="29791"/>
    <n v="1"/>
    <d v="1899-12-30T00:00:00"/>
    <d v="2014-05-15T00:00:00"/>
    <n v="21"/>
    <n v="0"/>
    <n v="0"/>
    <n v="0"/>
    <n v="3"/>
    <n v="54"/>
    <s v="&gt;50"/>
    <n v="3"/>
    <m/>
    <m/>
    <m/>
    <x v="2"/>
    <m/>
    <n v="12"/>
  </r>
  <r>
    <n v="4405"/>
    <n v="1956"/>
    <x v="2"/>
    <x v="2"/>
    <n v="63915"/>
    <n v="0"/>
    <d v="1900-01-01T00:00:00"/>
    <d v="2013-07-30T00:00:00"/>
    <n v="2"/>
    <n v="7"/>
    <n v="0"/>
    <n v="0"/>
    <n v="12"/>
    <n v="70"/>
    <s v="&gt;50"/>
    <n v="12"/>
    <m/>
    <m/>
    <m/>
    <x v="0"/>
    <m/>
    <n v="13"/>
  </r>
  <r>
    <n v="8663"/>
    <n v="1974"/>
    <x v="0"/>
    <x v="3"/>
    <n v="39996"/>
    <n v="1"/>
    <d v="1899-12-31T00:00:00"/>
    <d v="2014-05-22T00:00:00"/>
    <n v="85"/>
    <n v="0"/>
    <n v="0"/>
    <n v="0"/>
    <n v="2"/>
    <n v="52"/>
    <s v="&gt;50"/>
    <n v="2"/>
    <m/>
    <m/>
    <m/>
    <x v="1"/>
    <m/>
    <n v="12"/>
  </r>
  <r>
    <n v="2589"/>
    <n v="1972"/>
    <x v="0"/>
    <x v="3"/>
    <n v="26759"/>
    <n v="1"/>
    <d v="1899-12-30T00:00:00"/>
    <d v="2014-02-07T00:00:00"/>
    <n v="65"/>
    <n v="3"/>
    <n v="5"/>
    <n v="5"/>
    <n v="3"/>
    <n v="54"/>
    <s v="&gt;50"/>
    <n v="8"/>
    <m/>
    <m/>
    <m/>
    <x v="2"/>
    <m/>
    <n v="12"/>
  </r>
  <r>
    <n v="3421"/>
    <n v="1968"/>
    <x v="2"/>
    <x v="3"/>
    <n v="63841"/>
    <n v="0"/>
    <d v="1899-12-31T00:00:00"/>
    <d v="2013-04-21T00:00:00"/>
    <n v="64"/>
    <n v="15"/>
    <n v="7"/>
    <n v="7"/>
    <n v="9"/>
    <n v="58"/>
    <s v="&gt;50"/>
    <n v="16"/>
    <m/>
    <m/>
    <m/>
    <x v="0"/>
    <m/>
    <n v="13"/>
  </r>
  <r>
    <n v="10490"/>
    <n v="1969"/>
    <x v="1"/>
    <x v="2"/>
    <n v="51039"/>
    <n v="1"/>
    <d v="1899-12-31T00:00:00"/>
    <d v="2012-12-10T00:00:00"/>
    <n v="11"/>
    <n v="64"/>
    <n v="0"/>
    <n v="0"/>
    <n v="4"/>
    <n v="57"/>
    <s v="&gt;50"/>
    <n v="4"/>
    <m/>
    <m/>
    <m/>
    <x v="0"/>
    <m/>
    <n v="14"/>
  </r>
  <r>
    <n v="4094"/>
    <n v="1961"/>
    <x v="0"/>
    <x v="2"/>
    <n v="60544"/>
    <n v="1"/>
    <d v="1899-12-31T00:00:00"/>
    <d v="2012-08-25T00:00:00"/>
    <n v="92"/>
    <n v="2"/>
    <n v="5"/>
    <n v="5"/>
    <n v="5"/>
    <n v="65"/>
    <s v="&gt;50"/>
    <n v="10"/>
    <m/>
    <m/>
    <m/>
    <x v="0"/>
    <m/>
    <n v="14"/>
  </r>
  <r>
    <n v="9958"/>
    <n v="1972"/>
    <x v="0"/>
    <x v="2"/>
    <n v="65685"/>
    <n v="0"/>
    <d v="1899-12-31T00:00:00"/>
    <d v="2014-03-29T00:00:00"/>
    <n v="54"/>
    <n v="14"/>
    <n v="7"/>
    <n v="7"/>
    <n v="9"/>
    <n v="54"/>
    <s v="&gt;50"/>
    <n v="16"/>
    <m/>
    <m/>
    <m/>
    <x v="0"/>
    <m/>
    <n v="12"/>
  </r>
  <r>
    <n v="2534"/>
    <n v="1953"/>
    <x v="0"/>
    <x v="2"/>
    <n v="37716"/>
    <n v="0"/>
    <d v="1899-12-31T00:00:00"/>
    <d v="2014-04-21T00:00:00"/>
    <n v="4"/>
    <n v="1"/>
    <n v="2"/>
    <n v="2"/>
    <n v="3"/>
    <n v="73"/>
    <s v="&gt;50"/>
    <n v="5"/>
    <m/>
    <m/>
    <m/>
    <x v="1"/>
    <m/>
    <n v="12"/>
  </r>
  <r>
    <n v="4188"/>
    <n v="1957"/>
    <x v="0"/>
    <x v="0"/>
    <n v="36864"/>
    <n v="0"/>
    <d v="1899-12-31T00:00:00"/>
    <d v="2012-08-13T00:00:00"/>
    <n v="53"/>
    <n v="5"/>
    <n v="0"/>
    <n v="0"/>
    <n v="4"/>
    <n v="69"/>
    <s v="&gt;50"/>
    <n v="4"/>
    <m/>
    <m/>
    <m/>
    <x v="1"/>
    <m/>
    <n v="14"/>
  </r>
  <r>
    <n v="6613"/>
    <n v="1970"/>
    <x v="2"/>
    <x v="2"/>
    <n v="44511"/>
    <n v="1"/>
    <d v="1899-12-30T00:00:00"/>
    <d v="2012-10-12T00:00:00"/>
    <n v="39"/>
    <n v="7"/>
    <n v="14"/>
    <n v="14"/>
    <n v="8"/>
    <n v="56"/>
    <s v="&gt;50"/>
    <n v="22"/>
    <m/>
    <m/>
    <m/>
    <x v="1"/>
    <m/>
    <n v="14"/>
  </r>
  <r>
    <n v="10827"/>
    <n v="1967"/>
    <x v="1"/>
    <x v="2"/>
    <n v="36947"/>
    <n v="1"/>
    <d v="1899-12-31T00:00:00"/>
    <d v="2012-08-07T00:00:00"/>
    <n v="49"/>
    <n v="3"/>
    <n v="1"/>
    <n v="1"/>
    <n v="4"/>
    <n v="59"/>
    <s v="&gt;50"/>
    <n v="5"/>
    <m/>
    <m/>
    <m/>
    <x v="1"/>
    <m/>
    <n v="14"/>
  </r>
  <r>
    <n v="5491"/>
    <n v="1951"/>
    <x v="2"/>
    <x v="1"/>
    <n v="47352"/>
    <n v="0"/>
    <d v="1899-12-31T00:00:00"/>
    <d v="2013-04-11T00:00:00"/>
    <n v="70"/>
    <n v="12"/>
    <n v="0"/>
    <n v="0"/>
    <n v="5"/>
    <n v="75"/>
    <s v="&gt;50"/>
    <n v="5"/>
    <m/>
    <m/>
    <m/>
    <x v="1"/>
    <m/>
    <n v="13"/>
  </r>
  <r>
    <n v="8402"/>
    <n v="1953"/>
    <x v="2"/>
    <x v="2"/>
    <n v="67087"/>
    <n v="0"/>
    <d v="1899-12-31T00:00:00"/>
    <d v="2013-12-17T00:00:00"/>
    <n v="40"/>
    <n v="35"/>
    <n v="35"/>
    <n v="35"/>
    <n v="8"/>
    <n v="73"/>
    <s v="&gt;50"/>
    <n v="43"/>
    <m/>
    <m/>
    <m/>
    <x v="0"/>
    <m/>
    <n v="13"/>
  </r>
  <r>
    <n v="8783"/>
    <n v="1950"/>
    <x v="0"/>
    <x v="2"/>
    <n v="57045"/>
    <n v="0"/>
    <d v="1899-12-31T00:00:00"/>
    <d v="2012-09-08T00:00:00"/>
    <n v="40"/>
    <n v="13"/>
    <n v="13"/>
    <n v="13"/>
    <n v="9"/>
    <n v="76"/>
    <s v="&gt;50"/>
    <n v="22"/>
    <m/>
    <m/>
    <m/>
    <x v="0"/>
    <m/>
    <n v="14"/>
  </r>
  <r>
    <n v="10010"/>
    <n v="1953"/>
    <x v="1"/>
    <x v="3"/>
    <n v="36957"/>
    <n v="1"/>
    <d v="1899-12-31T00:00:00"/>
    <d v="2012-09-06T00:00:00"/>
    <n v="43"/>
    <n v="2"/>
    <n v="1"/>
    <n v="1"/>
    <n v="2"/>
    <n v="73"/>
    <s v="&gt;50"/>
    <n v="3"/>
    <m/>
    <m/>
    <m/>
    <x v="1"/>
    <m/>
    <n v="14"/>
  </r>
  <r>
    <n v="618"/>
    <n v="1977"/>
    <x v="1"/>
    <x v="2"/>
    <n v="69389"/>
    <n v="0"/>
    <d v="1899-12-31T00:00:00"/>
    <d v="2012-09-28T00:00:00"/>
    <n v="17"/>
    <n v="7"/>
    <n v="46"/>
    <n v="46"/>
    <n v="12"/>
    <n v="49"/>
    <s v="30-50"/>
    <n v="58"/>
    <m/>
    <m/>
    <m/>
    <x v="0"/>
    <m/>
    <n v="14"/>
  </r>
  <r>
    <n v="9121"/>
    <n v="1972"/>
    <x v="0"/>
    <x v="2"/>
    <n v="80134"/>
    <n v="1"/>
    <d v="1899-12-30T00:00:00"/>
    <d v="2013-05-20T00:00:00"/>
    <n v="40"/>
    <n v="16"/>
    <n v="0"/>
    <n v="0"/>
    <n v="6"/>
    <n v="54"/>
    <s v="&gt;50"/>
    <n v="6"/>
    <m/>
    <m/>
    <m/>
    <x v="3"/>
    <m/>
    <n v="13"/>
  </r>
  <r>
    <n v="361"/>
    <n v="1969"/>
    <x v="2"/>
    <x v="2"/>
    <n v="43142"/>
    <n v="1"/>
    <d v="1899-12-31T00:00:00"/>
    <d v="2014-02-18T00:00:00"/>
    <n v="84"/>
    <n v="1"/>
    <n v="1"/>
    <n v="1"/>
    <n v="2"/>
    <n v="57"/>
    <s v="&gt;50"/>
    <n v="3"/>
    <m/>
    <m/>
    <m/>
    <x v="1"/>
    <m/>
    <n v="12"/>
  </r>
  <r>
    <n v="4310"/>
    <n v="1944"/>
    <x v="0"/>
    <x v="2"/>
    <n v="80589"/>
    <n v="0"/>
    <d v="1899-12-30T00:00:00"/>
    <d v="2014-01-22T00:00:00"/>
    <n v="25"/>
    <n v="93"/>
    <n v="40"/>
    <n v="40"/>
    <n v="5"/>
    <n v="82"/>
    <s v="&gt;50"/>
    <n v="45"/>
    <m/>
    <m/>
    <m/>
    <x v="3"/>
    <m/>
    <n v="12"/>
  </r>
  <r>
    <n v="2678"/>
    <n v="1990"/>
    <x v="0"/>
    <x v="0"/>
    <n v="34412"/>
    <n v="1"/>
    <d v="1899-12-30T00:00:00"/>
    <d v="2013-02-13T00:00:00"/>
    <n v="62"/>
    <n v="12"/>
    <n v="36"/>
    <n v="36"/>
    <n v="3"/>
    <n v="36"/>
    <s v="30-50"/>
    <n v="39"/>
    <m/>
    <m/>
    <m/>
    <x v="1"/>
    <m/>
    <n v="13"/>
  </r>
  <r>
    <n v="6376"/>
    <n v="1979"/>
    <x v="0"/>
    <x v="0"/>
    <n v="57537"/>
    <n v="1"/>
    <d v="1899-12-30T00:00:00"/>
    <d v="2013-06-10T00:00:00"/>
    <n v="83"/>
    <n v="56"/>
    <n v="8"/>
    <n v="8"/>
    <n v="8"/>
    <n v="47"/>
    <s v="30-50"/>
    <n v="16"/>
    <m/>
    <m/>
    <m/>
    <x v="0"/>
    <m/>
    <n v="13"/>
  </r>
  <r>
    <n v="524"/>
    <n v="1966"/>
    <x v="3"/>
    <x v="1"/>
    <n v="22634"/>
    <n v="0"/>
    <d v="1899-12-30T00:00:00"/>
    <d v="2013-01-16T00:00:00"/>
    <n v="47"/>
    <n v="23"/>
    <n v="6"/>
    <n v="6"/>
    <n v="2"/>
    <n v="60"/>
    <s v="&gt;50"/>
    <n v="8"/>
    <m/>
    <m/>
    <m/>
    <x v="2"/>
    <m/>
    <n v="13"/>
  </r>
  <r>
    <n v="10341"/>
    <n v="1948"/>
    <x v="0"/>
    <x v="1"/>
    <n v="51315"/>
    <n v="0"/>
    <d v="1899-12-30T00:00:00"/>
    <d v="2014-02-23T00:00:00"/>
    <n v="45"/>
    <n v="28"/>
    <n v="30"/>
    <n v="30"/>
    <n v="5"/>
    <n v="78"/>
    <s v="&gt;50"/>
    <n v="35"/>
    <m/>
    <m/>
    <m/>
    <x v="0"/>
    <m/>
    <n v="12"/>
  </r>
  <r>
    <n v="5654"/>
    <n v="1972"/>
    <x v="0"/>
    <x v="2"/>
    <n v="36026"/>
    <n v="2"/>
    <d v="1899-12-31T00:00:00"/>
    <d v="2014-03-16T00:00:00"/>
    <n v="34"/>
    <n v="4"/>
    <n v="4"/>
    <n v="4"/>
    <n v="3"/>
    <n v="54"/>
    <s v="&gt;50"/>
    <n v="7"/>
    <m/>
    <m/>
    <m/>
    <x v="1"/>
    <m/>
    <n v="12"/>
  </r>
  <r>
    <n v="4098"/>
    <n v="1973"/>
    <x v="0"/>
    <x v="2"/>
    <n v="24639"/>
    <n v="1"/>
    <d v="1899-12-31T00:00:00"/>
    <d v="2014-01-28T00:00:00"/>
    <n v="3"/>
    <n v="3"/>
    <n v="4"/>
    <n v="4"/>
    <n v="4"/>
    <n v="53"/>
    <s v="&gt;50"/>
    <n v="8"/>
    <m/>
    <m/>
    <m/>
    <x v="2"/>
    <m/>
    <n v="12"/>
  </r>
  <r>
    <n v="5824"/>
    <n v="1972"/>
    <x v="1"/>
    <x v="1"/>
    <n v="34578"/>
    <n v="2"/>
    <d v="1899-12-31T00:00:00"/>
    <d v="2014-04-11T00:00:00"/>
    <n v="1"/>
    <n v="0"/>
    <n v="0"/>
    <n v="0"/>
    <n v="2"/>
    <n v="54"/>
    <s v="&gt;50"/>
    <n v="2"/>
    <m/>
    <m/>
    <m/>
    <x v="1"/>
    <m/>
    <n v="12"/>
  </r>
  <r>
    <n v="7000"/>
    <n v="1972"/>
    <x v="4"/>
    <x v="0"/>
    <n v="65704"/>
    <n v="0"/>
    <d v="1899-12-30T00:00:00"/>
    <d v="2013-10-13T00:00:00"/>
    <n v="18"/>
    <n v="172"/>
    <n v="8"/>
    <n v="8"/>
    <n v="10"/>
    <n v="54"/>
    <s v="&gt;50"/>
    <n v="18"/>
    <m/>
    <m/>
    <m/>
    <x v="0"/>
    <m/>
    <n v="13"/>
  </r>
  <r>
    <n v="2561"/>
    <n v="1966"/>
    <x v="0"/>
    <x v="0"/>
    <n v="63810"/>
    <n v="0"/>
    <d v="1899-12-31T00:00:00"/>
    <d v="2012-11-11T00:00:00"/>
    <n v="45"/>
    <n v="12"/>
    <n v="12"/>
    <n v="12"/>
    <n v="12"/>
    <n v="60"/>
    <s v="&gt;50"/>
    <n v="24"/>
    <m/>
    <m/>
    <m/>
    <x v="0"/>
    <m/>
    <n v="14"/>
  </r>
  <r>
    <n v="5229"/>
    <n v="1969"/>
    <x v="1"/>
    <x v="1"/>
    <n v="54132"/>
    <n v="0"/>
    <d v="1899-12-31T00:00:00"/>
    <d v="2014-02-16T00:00:00"/>
    <n v="81"/>
    <n v="1"/>
    <n v="0"/>
    <n v="0"/>
    <n v="3"/>
    <n v="57"/>
    <s v="&gt;50"/>
    <n v="3"/>
    <m/>
    <m/>
    <m/>
    <x v="0"/>
    <m/>
    <n v="12"/>
  </r>
  <r>
    <n v="4086"/>
    <n v="1959"/>
    <x v="0"/>
    <x v="2"/>
    <n v="18690"/>
    <n v="0"/>
    <d v="1899-12-30T00:00:00"/>
    <d v="2012-12-28T00:00:00"/>
    <n v="77"/>
    <n v="1"/>
    <n v="4"/>
    <n v="4"/>
    <n v="2"/>
    <n v="67"/>
    <s v="&gt;50"/>
    <n v="6"/>
    <m/>
    <m/>
    <m/>
    <x v="2"/>
    <m/>
    <n v="14"/>
  </r>
  <r>
    <n v="2428"/>
    <n v="1970"/>
    <x v="0"/>
    <x v="2"/>
    <n v="28164"/>
    <n v="1"/>
    <d v="1899-12-30T00:00:00"/>
    <d v="2013-05-04T00:00:00"/>
    <n v="23"/>
    <n v="18"/>
    <n v="8"/>
    <n v="8"/>
    <n v="4"/>
    <n v="56"/>
    <s v="&gt;50"/>
    <n v="12"/>
    <m/>
    <m/>
    <m/>
    <x v="2"/>
    <m/>
    <n v="13"/>
  </r>
  <r>
    <n v="8254"/>
    <n v="1974"/>
    <x v="1"/>
    <x v="2"/>
    <n v="34596"/>
    <n v="1"/>
    <d v="1899-12-30T00:00:00"/>
    <d v="2013-04-13T00:00:00"/>
    <n v="48"/>
    <n v="0"/>
    <n v="0"/>
    <n v="0"/>
    <n v="2"/>
    <n v="52"/>
    <s v="&gt;50"/>
    <n v="2"/>
    <m/>
    <m/>
    <m/>
    <x v="1"/>
    <m/>
    <n v="13"/>
  </r>
  <r>
    <n v="2836"/>
    <n v="1972"/>
    <x v="1"/>
    <x v="2"/>
    <n v="43269"/>
    <n v="1"/>
    <d v="1899-12-30T00:00:00"/>
    <d v="2013-09-16T00:00:00"/>
    <n v="61"/>
    <n v="1"/>
    <n v="0"/>
    <n v="0"/>
    <n v="2"/>
    <n v="54"/>
    <s v="&gt;50"/>
    <n v="2"/>
    <m/>
    <m/>
    <m/>
    <x v="1"/>
    <m/>
    <n v="13"/>
  </r>
  <r>
    <n v="8418"/>
    <n v="1958"/>
    <x v="4"/>
    <x v="0"/>
    <n v="38741"/>
    <n v="1"/>
    <d v="1899-12-31T00:00:00"/>
    <d v="2014-03-30T00:00:00"/>
    <n v="60"/>
    <n v="10"/>
    <n v="6"/>
    <n v="6"/>
    <n v="3"/>
    <n v="68"/>
    <s v="&gt;50"/>
    <n v="9"/>
    <m/>
    <m/>
    <m/>
    <x v="1"/>
    <m/>
    <n v="12"/>
  </r>
  <r>
    <n v="1362"/>
    <n v="1972"/>
    <x v="0"/>
    <x v="0"/>
    <n v="31907"/>
    <n v="0"/>
    <d v="1899-12-30T00:00:00"/>
    <d v="2013-03-04T00:00:00"/>
    <n v="75"/>
    <n v="87"/>
    <n v="16"/>
    <n v="16"/>
    <n v="6"/>
    <n v="54"/>
    <s v="&gt;50"/>
    <n v="22"/>
    <m/>
    <m/>
    <m/>
    <x v="1"/>
    <m/>
    <n v="13"/>
  </r>
  <r>
    <n v="7152"/>
    <n v="1983"/>
    <x v="2"/>
    <x v="2"/>
    <n v="27100"/>
    <n v="1"/>
    <d v="1899-12-30T00:00:00"/>
    <d v="2013-04-05T00:00:00"/>
    <n v="64"/>
    <n v="0"/>
    <n v="0"/>
    <n v="0"/>
    <n v="3"/>
    <n v="43"/>
    <s v="30-50"/>
    <n v="3"/>
    <m/>
    <m/>
    <m/>
    <x v="2"/>
    <m/>
    <n v="13"/>
  </r>
  <r>
    <n v="10033"/>
    <n v="1973"/>
    <x v="4"/>
    <x v="3"/>
    <n v="31163"/>
    <n v="1"/>
    <d v="1899-12-30T00:00:00"/>
    <d v="2014-02-13T00:00:00"/>
    <n v="54"/>
    <n v="3"/>
    <n v="2"/>
    <n v="2"/>
    <n v="3"/>
    <n v="53"/>
    <s v="&gt;50"/>
    <n v="5"/>
    <m/>
    <m/>
    <m/>
    <x v="1"/>
    <m/>
    <n v="12"/>
  </r>
  <r>
    <n v="9349"/>
    <n v="1985"/>
    <x v="0"/>
    <x v="2"/>
    <n v="92533"/>
    <n v="0"/>
    <d v="1899-12-30T00:00:00"/>
    <d v="2013-12-19T00:00:00"/>
    <n v="84"/>
    <n v="21"/>
    <n v="147"/>
    <n v="147"/>
    <n v="11"/>
    <n v="41"/>
    <s v="30-50"/>
    <n v="158"/>
    <m/>
    <m/>
    <m/>
    <x v="3"/>
    <m/>
    <n v="13"/>
  </r>
  <r>
    <n v="274"/>
    <n v="1973"/>
    <x v="0"/>
    <x v="0"/>
    <n v="34853"/>
    <n v="1"/>
    <d v="1899-12-31T00:00:00"/>
    <d v="2013-12-23T00:00:00"/>
    <n v="75"/>
    <n v="3"/>
    <n v="3"/>
    <n v="3"/>
    <n v="3"/>
    <n v="53"/>
    <s v="&gt;50"/>
    <n v="6"/>
    <m/>
    <m/>
    <m/>
    <x v="1"/>
    <m/>
    <n v="13"/>
  </r>
  <r>
    <n v="3388"/>
    <n v="1967"/>
    <x v="0"/>
    <x v="3"/>
    <n v="70844"/>
    <n v="1"/>
    <d v="1899-12-31T00:00:00"/>
    <d v="2013-10-30T00:00:00"/>
    <n v="16"/>
    <n v="26"/>
    <n v="67"/>
    <n v="67"/>
    <n v="5"/>
    <n v="59"/>
    <s v="&gt;50"/>
    <n v="72"/>
    <m/>
    <m/>
    <m/>
    <x v="0"/>
    <m/>
    <n v="13"/>
  </r>
  <r>
    <n v="922"/>
    <n v="1979"/>
    <x v="4"/>
    <x v="2"/>
    <n v="31086"/>
    <n v="1"/>
    <d v="1899-12-31T00:00:00"/>
    <d v="2013-05-04T00:00:00"/>
    <n v="79"/>
    <n v="2"/>
    <n v="0"/>
    <n v="0"/>
    <n v="2"/>
    <n v="47"/>
    <s v="30-50"/>
    <n v="2"/>
    <m/>
    <m/>
    <m/>
    <x v="1"/>
    <m/>
    <n v="13"/>
  </r>
  <r>
    <n v="8588"/>
    <n v="1961"/>
    <x v="0"/>
    <x v="2"/>
    <n v="60544"/>
    <n v="1"/>
    <d v="1899-12-31T00:00:00"/>
    <d v="2012-08-25T00:00:00"/>
    <n v="92"/>
    <n v="2"/>
    <n v="5"/>
    <n v="5"/>
    <n v="5"/>
    <n v="65"/>
    <s v="&gt;50"/>
    <n v="10"/>
    <m/>
    <m/>
    <m/>
    <x v="0"/>
    <m/>
    <n v="14"/>
  </r>
  <r>
    <n v="2518"/>
    <n v="1986"/>
    <x v="4"/>
    <x v="1"/>
    <n v="20491"/>
    <n v="0"/>
    <d v="1899-12-30T00:00:00"/>
    <d v="2013-01-25T00:00:00"/>
    <n v="16"/>
    <n v="4"/>
    <n v="2"/>
    <n v="2"/>
    <n v="2"/>
    <n v="40"/>
    <s v="30-50"/>
    <n v="4"/>
    <m/>
    <m/>
    <m/>
    <x v="2"/>
    <m/>
    <n v="13"/>
  </r>
  <r>
    <n v="574"/>
    <n v="1964"/>
    <x v="0"/>
    <x v="2"/>
    <n v="42523"/>
    <n v="0"/>
    <d v="1899-12-30T00:00:00"/>
    <d v="2014-04-23T00:00:00"/>
    <n v="96"/>
    <n v="36"/>
    <n v="26"/>
    <n v="26"/>
    <n v="4"/>
    <n v="62"/>
    <s v="&gt;50"/>
    <n v="30"/>
    <m/>
    <m/>
    <m/>
    <x v="1"/>
    <m/>
    <n v="12"/>
  </r>
  <r>
    <n v="3220"/>
    <n v="1983"/>
    <x v="0"/>
    <x v="2"/>
    <n v="39922"/>
    <n v="1"/>
    <d v="1899-12-30T00:00:00"/>
    <d v="2013-02-14T00:00:00"/>
    <n v="30"/>
    <n v="12"/>
    <n v="1"/>
    <n v="1"/>
    <n v="4"/>
    <n v="43"/>
    <s v="30-50"/>
    <n v="5"/>
    <m/>
    <m/>
    <m/>
    <x v="1"/>
    <m/>
    <n v="13"/>
  </r>
  <r>
    <n v="5967"/>
    <n v="1952"/>
    <x v="0"/>
    <x v="1"/>
    <n v="33402"/>
    <n v="1"/>
    <d v="1899-12-31T00:00:00"/>
    <d v="2013-07-18T00:00:00"/>
    <n v="60"/>
    <n v="2"/>
    <n v="5"/>
    <n v="5"/>
    <n v="3"/>
    <n v="74"/>
    <s v="&gt;50"/>
    <n v="8"/>
    <m/>
    <m/>
    <m/>
    <x v="1"/>
    <m/>
    <n v="13"/>
  </r>
  <r>
    <n v="1183"/>
    <n v="1949"/>
    <x v="2"/>
    <x v="2"/>
    <n v="36408"/>
    <n v="1"/>
    <d v="1899-12-31T00:00:00"/>
    <d v="2013-09-21T00:00:00"/>
    <n v="11"/>
    <n v="1"/>
    <n v="2"/>
    <n v="2"/>
    <n v="2"/>
    <n v="77"/>
    <s v="&gt;50"/>
    <n v="4"/>
    <m/>
    <m/>
    <m/>
    <x v="1"/>
    <m/>
    <n v="13"/>
  </r>
  <r>
    <n v="6856"/>
    <n v="1979"/>
    <x v="0"/>
    <x v="1"/>
    <n v="21645"/>
    <n v="1"/>
    <d v="1899-12-30T00:00:00"/>
    <d v="2012-09-03T00:00:00"/>
    <n v="75"/>
    <n v="0"/>
    <n v="5"/>
    <n v="5"/>
    <n v="3"/>
    <n v="47"/>
    <s v="30-50"/>
    <n v="8"/>
    <m/>
    <m/>
    <m/>
    <x v="2"/>
    <m/>
    <n v="14"/>
  </r>
  <r>
    <n v="4530"/>
    <n v="1948"/>
    <x v="2"/>
    <x v="4"/>
    <n v="78427"/>
    <n v="0"/>
    <d v="1899-12-30T00:00:00"/>
    <d v="2012-10-24T00:00:00"/>
    <n v="36"/>
    <n v="19"/>
    <n v="26"/>
    <n v="26"/>
    <n v="10"/>
    <n v="78"/>
    <s v="&gt;50"/>
    <n v="36"/>
    <m/>
    <m/>
    <m/>
    <x v="3"/>
    <m/>
    <n v="14"/>
  </r>
  <r>
    <n v="1553"/>
    <n v="1946"/>
    <x v="0"/>
    <x v="1"/>
    <n v="82657"/>
    <n v="0"/>
    <d v="1899-12-30T00:00:00"/>
    <d v="2013-09-27T00:00:00"/>
    <n v="71"/>
    <n v="168"/>
    <n v="105"/>
    <n v="105"/>
    <n v="10"/>
    <n v="80"/>
    <s v="&gt;50"/>
    <n v="115"/>
    <m/>
    <m/>
    <m/>
    <x v="3"/>
    <m/>
    <n v="13"/>
  </r>
  <r>
    <n v="4682"/>
    <n v="1958"/>
    <x v="0"/>
    <x v="2"/>
    <n v="51876"/>
    <n v="0"/>
    <d v="1899-12-30T00:00:00"/>
    <d v="2013-10-15T00:00:00"/>
    <n v="88"/>
    <n v="27"/>
    <n v="48"/>
    <n v="48"/>
    <n v="8"/>
    <n v="68"/>
    <s v="&gt;50"/>
    <n v="56"/>
    <m/>
    <m/>
    <m/>
    <x v="0"/>
    <m/>
    <n v="13"/>
  </r>
  <r>
    <n v="8204"/>
    <n v="1971"/>
    <x v="4"/>
    <x v="2"/>
    <n v="78041"/>
    <n v="0"/>
    <d v="1899-12-30T00:00:00"/>
    <d v="2012-12-16T00:00:00"/>
    <n v="93"/>
    <n v="35"/>
    <n v="160"/>
    <n v="160"/>
    <n v="9"/>
    <n v="55"/>
    <s v="&gt;50"/>
    <n v="169"/>
    <m/>
    <m/>
    <m/>
    <x v="3"/>
    <m/>
    <n v="14"/>
  </r>
  <r>
    <n v="5221"/>
    <n v="1957"/>
    <x v="0"/>
    <x v="2"/>
    <n v="52852"/>
    <n v="0"/>
    <d v="1899-12-31T00:00:00"/>
    <d v="2012-12-01T00:00:00"/>
    <n v="93"/>
    <n v="8"/>
    <n v="0"/>
    <n v="0"/>
    <n v="5"/>
    <n v="69"/>
    <s v="&gt;50"/>
    <n v="5"/>
    <m/>
    <m/>
    <m/>
    <x v="0"/>
    <m/>
    <n v="14"/>
  </r>
  <r>
    <n v="1232"/>
    <n v="1982"/>
    <x v="1"/>
    <x v="1"/>
    <n v="70038"/>
    <n v="0"/>
    <d v="1899-12-30T00:00:00"/>
    <d v="2013-10-25T00:00:00"/>
    <n v="54"/>
    <n v="54"/>
    <n v="54"/>
    <n v="54"/>
    <n v="8"/>
    <n v="44"/>
    <s v="30-50"/>
    <n v="62"/>
    <m/>
    <m/>
    <m/>
    <x v="0"/>
    <m/>
    <n v="13"/>
  </r>
  <r>
    <n v="1927"/>
    <n v="1973"/>
    <x v="4"/>
    <x v="1"/>
    <n v="69401"/>
    <n v="0"/>
    <d v="1899-12-31T00:00:00"/>
    <d v="2014-03-23T00:00:00"/>
    <n v="41"/>
    <n v="27"/>
    <n v="8"/>
    <n v="8"/>
    <n v="5"/>
    <n v="53"/>
    <s v="&gt;50"/>
    <n v="13"/>
    <m/>
    <m/>
    <m/>
    <x v="0"/>
    <m/>
    <n v="12"/>
  </r>
  <r>
    <n v="5788"/>
    <n v="1972"/>
    <x v="0"/>
    <x v="1"/>
    <n v="46053"/>
    <n v="1"/>
    <d v="1899-12-30T00:00:00"/>
    <d v="2013-02-17T00:00:00"/>
    <n v="46"/>
    <n v="10"/>
    <n v="7"/>
    <n v="7"/>
    <n v="4"/>
    <n v="54"/>
    <s v="&gt;50"/>
    <n v="11"/>
    <m/>
    <m/>
    <m/>
    <x v="1"/>
    <m/>
    <n v="13"/>
  </r>
  <r>
    <n v="6652"/>
    <n v="1965"/>
    <x v="0"/>
    <x v="2"/>
    <n v="77343"/>
    <n v="0"/>
    <d v="1899-12-30T00:00:00"/>
    <d v="2014-06-09T00:00:00"/>
    <n v="28"/>
    <n v="151"/>
    <n v="54"/>
    <n v="54"/>
    <n v="9"/>
    <n v="61"/>
    <s v="&gt;50"/>
    <n v="63"/>
    <m/>
    <m/>
    <m/>
    <x v="3"/>
    <m/>
    <n v="12"/>
  </r>
  <r>
    <n v="6246"/>
    <n v="1953"/>
    <x v="0"/>
    <x v="0"/>
    <n v="73892"/>
    <n v="0"/>
    <d v="1899-12-30T00:00:00"/>
    <d v="2013-11-13T00:00:00"/>
    <n v="40"/>
    <n v="102"/>
    <n v="58"/>
    <n v="58"/>
    <n v="8"/>
    <n v="73"/>
    <s v="&gt;50"/>
    <n v="66"/>
    <m/>
    <m/>
    <m/>
    <x v="0"/>
    <m/>
    <n v="13"/>
  </r>
  <r>
    <n v="5975"/>
    <n v="1967"/>
    <x v="1"/>
    <x v="0"/>
    <n v="40304"/>
    <n v="1"/>
    <d v="1899-12-30T00:00:00"/>
    <d v="2013-09-30T00:00:00"/>
    <n v="82"/>
    <n v="0"/>
    <n v="0"/>
    <n v="0"/>
    <n v="3"/>
    <n v="59"/>
    <s v="&gt;50"/>
    <n v="3"/>
    <m/>
    <m/>
    <m/>
    <x v="1"/>
    <m/>
    <n v="13"/>
  </r>
  <r>
    <n v="6875"/>
    <n v="1965"/>
    <x v="1"/>
    <x v="1"/>
    <n v="32727"/>
    <n v="0"/>
    <d v="1899-12-30T00:00:00"/>
    <d v="2012-08-28T00:00:00"/>
    <n v="38"/>
    <n v="13"/>
    <n v="13"/>
    <n v="13"/>
    <n v="5"/>
    <n v="61"/>
    <s v="&gt;50"/>
    <n v="18"/>
    <m/>
    <m/>
    <m/>
    <x v="1"/>
    <m/>
    <n v="14"/>
  </r>
  <r>
    <n v="4399"/>
    <n v="1969"/>
    <x v="0"/>
    <x v="1"/>
    <n v="68695"/>
    <n v="0"/>
    <d v="1899-12-30T00:00:00"/>
    <d v="2014-06-25T00:00:00"/>
    <n v="3"/>
    <n v="81"/>
    <n v="50"/>
    <n v="50"/>
    <n v="7"/>
    <n v="57"/>
    <s v="&gt;50"/>
    <n v="57"/>
    <m/>
    <m/>
    <m/>
    <x v="0"/>
    <m/>
    <n v="12"/>
  </r>
  <r>
    <n v="4042"/>
    <n v="1971"/>
    <x v="0"/>
    <x v="3"/>
    <n v="43300"/>
    <n v="0"/>
    <d v="1899-12-31T00:00:00"/>
    <d v="2012-10-13T00:00:00"/>
    <n v="87"/>
    <n v="3"/>
    <n v="1"/>
    <n v="1"/>
    <n v="4"/>
    <n v="55"/>
    <s v="&gt;50"/>
    <n v="5"/>
    <m/>
    <m/>
    <m/>
    <x v="1"/>
    <m/>
    <n v="14"/>
  </r>
  <r>
    <n v="2157"/>
    <n v="1972"/>
    <x v="0"/>
    <x v="1"/>
    <n v="26290"/>
    <n v="1"/>
    <d v="1899-12-31T00:00:00"/>
    <d v="2013-01-12T00:00:00"/>
    <n v="49"/>
    <n v="8"/>
    <n v="5"/>
    <n v="5"/>
    <n v="4"/>
    <n v="54"/>
    <s v="&gt;50"/>
    <n v="9"/>
    <m/>
    <m/>
    <m/>
    <x v="2"/>
    <m/>
    <n v="13"/>
  </r>
  <r>
    <n v="10133"/>
    <n v="1970"/>
    <x v="0"/>
    <x v="0"/>
    <n v="93790"/>
    <n v="0"/>
    <d v="1899-12-30T00:00:00"/>
    <d v="2014-02-12T00:00:00"/>
    <n v="16"/>
    <n v="68"/>
    <n v="114"/>
    <n v="114"/>
    <n v="12"/>
    <n v="56"/>
    <s v="&gt;50"/>
    <n v="126"/>
    <m/>
    <m/>
    <m/>
    <x v="3"/>
    <m/>
    <n v="12"/>
  </r>
  <r>
    <n v="2525"/>
    <n v="1974"/>
    <x v="1"/>
    <x v="2"/>
    <n v="38410"/>
    <n v="0"/>
    <d v="1899-12-30T00:00:00"/>
    <d v="2012-09-14T00:00:00"/>
    <n v="65"/>
    <n v="64"/>
    <n v="64"/>
    <n v="64"/>
    <n v="9"/>
    <n v="52"/>
    <s v="&gt;50"/>
    <n v="73"/>
    <m/>
    <m/>
    <m/>
    <x v="1"/>
    <m/>
    <n v="14"/>
  </r>
  <r>
    <n v="8233"/>
    <n v="1950"/>
    <x v="2"/>
    <x v="4"/>
    <n v="64866"/>
    <n v="0"/>
    <d v="1899-12-31T00:00:00"/>
    <d v="2014-01-26T00:00:00"/>
    <n v="9"/>
    <n v="5"/>
    <n v="5"/>
    <n v="5"/>
    <n v="7"/>
    <n v="76"/>
    <s v="&gt;50"/>
    <n v="12"/>
    <m/>
    <m/>
    <m/>
    <x v="0"/>
    <m/>
    <n v="12"/>
  </r>
  <r>
    <n v="9483"/>
    <n v="1959"/>
    <x v="0"/>
    <x v="1"/>
    <n v="57957"/>
    <n v="0"/>
    <d v="1899-12-31T00:00:00"/>
    <d v="2013-08-19T00:00:00"/>
    <n v="24"/>
    <n v="59"/>
    <n v="5"/>
    <n v="5"/>
    <n v="8"/>
    <n v="67"/>
    <s v="&gt;50"/>
    <n v="13"/>
    <m/>
    <m/>
    <m/>
    <x v="0"/>
    <m/>
    <n v="13"/>
  </r>
  <r>
    <n v="2945"/>
    <n v="1955"/>
    <x v="1"/>
    <x v="1"/>
    <n v="46015"/>
    <n v="1"/>
    <d v="1899-12-31T00:00:00"/>
    <d v="2014-04-13T00:00:00"/>
    <n v="25"/>
    <n v="0"/>
    <n v="0"/>
    <n v="0"/>
    <n v="3"/>
    <n v="71"/>
    <s v="&gt;50"/>
    <n v="3"/>
    <m/>
    <m/>
    <m/>
    <x v="1"/>
    <m/>
    <n v="12"/>
  </r>
  <r>
    <n v="10403"/>
    <n v="1978"/>
    <x v="0"/>
    <x v="1"/>
    <n v="16531"/>
    <n v="1"/>
    <d v="1899-12-30T00:00:00"/>
    <d v="2014-06-18T00:00:00"/>
    <n v="43"/>
    <n v="13"/>
    <n v="5"/>
    <n v="5"/>
    <n v="3"/>
    <n v="48"/>
    <s v="30-50"/>
    <n v="8"/>
    <m/>
    <m/>
    <m/>
    <x v="2"/>
    <m/>
    <n v="12"/>
  </r>
  <r>
    <n v="5074"/>
    <n v="1986"/>
    <x v="2"/>
    <x v="2"/>
    <n v="28072"/>
    <n v="1"/>
    <d v="1899-12-30T00:00:00"/>
    <d v="2013-07-08T00:00:00"/>
    <n v="10"/>
    <n v="0"/>
    <n v="0"/>
    <n v="0"/>
    <n v="3"/>
    <n v="40"/>
    <s v="30-50"/>
    <n v="3"/>
    <m/>
    <m/>
    <m/>
    <x v="2"/>
    <m/>
    <n v="13"/>
  </r>
  <r>
    <n v="10524"/>
    <n v="1963"/>
    <x v="2"/>
    <x v="3"/>
    <n v="49476"/>
    <n v="0"/>
    <d v="1899-12-31T00:00:00"/>
    <d v="2013-06-20T00:00:00"/>
    <n v="29"/>
    <n v="23"/>
    <n v="41"/>
    <n v="41"/>
    <n v="5"/>
    <n v="63"/>
    <s v="&gt;50"/>
    <n v="46"/>
    <m/>
    <m/>
    <m/>
    <x v="1"/>
    <m/>
    <n v="13"/>
  </r>
  <r>
    <n v="4690"/>
    <n v="1953"/>
    <x v="0"/>
    <x v="2"/>
    <n v="50725"/>
    <n v="0"/>
    <d v="1899-12-31T00:00:00"/>
    <d v="2013-02-13T00:00:00"/>
    <n v="45"/>
    <n v="10"/>
    <n v="10"/>
    <n v="10"/>
    <n v="8"/>
    <n v="73"/>
    <s v="&gt;50"/>
    <n v="18"/>
    <m/>
    <m/>
    <m/>
    <x v="0"/>
    <m/>
    <n v="13"/>
  </r>
  <r>
    <n v="7521"/>
    <n v="1952"/>
    <x v="0"/>
    <x v="1"/>
    <n v="83844"/>
    <n v="0"/>
    <d v="1899-12-30T00:00:00"/>
    <d v="2013-05-12T00:00:00"/>
    <n v="57"/>
    <n v="31"/>
    <n v="31"/>
    <n v="31"/>
    <n v="11"/>
    <n v="74"/>
    <s v="&gt;50"/>
    <n v="42"/>
    <m/>
    <m/>
    <m/>
    <x v="3"/>
    <m/>
    <n v="13"/>
  </r>
  <r>
    <n v="7196"/>
    <n v="1950"/>
    <x v="1"/>
    <x v="2"/>
    <n v="41145"/>
    <n v="1"/>
    <d v="1899-12-31T00:00:00"/>
    <d v="2014-02-08T00:00:00"/>
    <n v="20"/>
    <n v="0"/>
    <n v="0"/>
    <n v="0"/>
    <n v="3"/>
    <n v="76"/>
    <s v="&gt;50"/>
    <n v="3"/>
    <m/>
    <m/>
    <m/>
    <x v="1"/>
    <m/>
    <n v="12"/>
  </r>
  <r>
    <n v="4406"/>
    <n v="1970"/>
    <x v="0"/>
    <x v="1"/>
    <n v="67419"/>
    <n v="0"/>
    <d v="1899-12-31T00:00:00"/>
    <d v="2013-01-16T00:00:00"/>
    <n v="29"/>
    <n v="84"/>
    <n v="56"/>
    <n v="56"/>
    <n v="8"/>
    <n v="56"/>
    <s v="&gt;50"/>
    <n v="64"/>
    <m/>
    <m/>
    <m/>
    <x v="0"/>
    <m/>
    <n v="13"/>
  </r>
  <r>
    <n v="9672"/>
    <n v="1970"/>
    <x v="4"/>
    <x v="2"/>
    <n v="23162"/>
    <n v="1"/>
    <d v="1899-12-31T00:00:00"/>
    <d v="2013-12-21T00:00:00"/>
    <n v="82"/>
    <n v="3"/>
    <n v="4"/>
    <n v="4"/>
    <n v="3"/>
    <n v="56"/>
    <s v="&gt;50"/>
    <n v="7"/>
    <m/>
    <m/>
    <m/>
    <x v="2"/>
    <m/>
    <n v="13"/>
  </r>
  <r>
    <n v="4864"/>
    <n v="1977"/>
    <x v="0"/>
    <x v="2"/>
    <n v="34380"/>
    <n v="1"/>
    <d v="1899-12-30T00:00:00"/>
    <d v="2013-05-02T00:00:00"/>
    <n v="68"/>
    <n v="7"/>
    <n v="1"/>
    <n v="1"/>
    <n v="3"/>
    <n v="49"/>
    <s v="30-50"/>
    <n v="4"/>
    <m/>
    <m/>
    <m/>
    <x v="1"/>
    <m/>
    <n v="13"/>
  </r>
  <r>
    <n v="4706"/>
    <n v="1966"/>
    <x v="0"/>
    <x v="0"/>
    <n v="34704"/>
    <n v="0"/>
    <d v="1899-12-31T00:00:00"/>
    <d v="2013-04-27T00:00:00"/>
    <n v="65"/>
    <n v="0"/>
    <n v="1"/>
    <n v="1"/>
    <n v="3"/>
    <n v="60"/>
    <s v="&gt;50"/>
    <n v="4"/>
    <m/>
    <m/>
    <m/>
    <x v="1"/>
    <m/>
    <n v="13"/>
  </r>
  <r>
    <n v="4070"/>
    <n v="1969"/>
    <x v="1"/>
    <x v="2"/>
    <n v="94871"/>
    <n v="0"/>
    <d v="1900-01-01T00:00:00"/>
    <d v="2012-09-01T00:00:00"/>
    <n v="99"/>
    <n v="24"/>
    <n v="0"/>
    <n v="0"/>
    <n v="4"/>
    <n v="57"/>
    <s v="&gt;50"/>
    <n v="4"/>
    <m/>
    <m/>
    <m/>
    <x v="3"/>
    <m/>
    <n v="14"/>
  </r>
  <r>
    <n v="25"/>
    <n v="1958"/>
    <x v="0"/>
    <x v="2"/>
    <n v="65148"/>
    <n v="0"/>
    <d v="1899-12-31T00:00:00"/>
    <d v="2012-11-16T00:00:00"/>
    <n v="9"/>
    <n v="35"/>
    <n v="12"/>
    <n v="12"/>
    <n v="7"/>
    <n v="68"/>
    <s v="&gt;50"/>
    <n v="19"/>
    <m/>
    <m/>
    <m/>
    <x v="0"/>
    <m/>
    <n v="14"/>
  </r>
  <r>
    <n v="3697"/>
    <n v="1954"/>
    <x v="0"/>
    <x v="1"/>
    <n v="39898"/>
    <n v="0"/>
    <d v="1899-12-31T00:00:00"/>
    <d v="2013-02-12T00:00:00"/>
    <n v="20"/>
    <n v="8"/>
    <n v="7"/>
    <n v="7"/>
    <n v="4"/>
    <n v="72"/>
    <s v="&gt;50"/>
    <n v="11"/>
    <m/>
    <m/>
    <m/>
    <x v="1"/>
    <m/>
    <n v="13"/>
  </r>
  <r>
    <n v="217"/>
    <n v="1956"/>
    <x v="2"/>
    <x v="0"/>
    <n v="64857"/>
    <n v="0"/>
    <d v="1899-12-30T00:00:00"/>
    <d v="2012-11-23T00:00:00"/>
    <n v="78"/>
    <n v="14"/>
    <n v="0"/>
    <n v="0"/>
    <n v="10"/>
    <n v="70"/>
    <s v="&gt;50"/>
    <n v="10"/>
    <m/>
    <m/>
    <m/>
    <x v="0"/>
    <m/>
    <n v="14"/>
  </r>
  <r>
    <n v="4220"/>
    <n v="1970"/>
    <x v="1"/>
    <x v="2"/>
    <n v="59892"/>
    <n v="0"/>
    <d v="1899-12-31T00:00:00"/>
    <d v="2013-11-02T00:00:00"/>
    <n v="26"/>
    <n v="0"/>
    <n v="1"/>
    <n v="1"/>
    <n v="3"/>
    <n v="56"/>
    <s v="&gt;50"/>
    <n v="4"/>
    <m/>
    <m/>
    <m/>
    <x v="0"/>
    <m/>
    <n v="13"/>
  </r>
  <r>
    <n v="5286"/>
    <n v="1987"/>
    <x v="2"/>
    <x v="0"/>
    <n v="41020"/>
    <n v="0"/>
    <d v="1899-12-30T00:00:00"/>
    <d v="2013-10-28T00:00:00"/>
    <n v="68"/>
    <n v="1"/>
    <n v="7"/>
    <n v="7"/>
    <n v="4"/>
    <n v="39"/>
    <s v="30-50"/>
    <n v="11"/>
    <m/>
    <m/>
    <m/>
    <x v="1"/>
    <m/>
    <n v="13"/>
  </r>
  <r>
    <n v="9559"/>
    <n v="1961"/>
    <x v="1"/>
    <x v="2"/>
    <n v="57072"/>
    <n v="0"/>
    <d v="1899-12-31T00:00:00"/>
    <d v="2014-01-24T00:00:00"/>
    <n v="79"/>
    <n v="0"/>
    <n v="0"/>
    <n v="0"/>
    <n v="13"/>
    <n v="65"/>
    <s v="&gt;50"/>
    <n v="13"/>
    <m/>
    <m/>
    <m/>
    <x v="0"/>
    <m/>
    <n v="12"/>
  </r>
  <r>
    <n v="2849"/>
    <n v="1979"/>
    <x v="0"/>
    <x v="0"/>
    <n v="60474"/>
    <n v="0"/>
    <d v="1899-12-31T00:00:00"/>
    <d v="2013-04-01T00:00:00"/>
    <n v="25"/>
    <n v="199"/>
    <n v="9"/>
    <n v="9"/>
    <n v="12"/>
    <n v="47"/>
    <s v="30-50"/>
    <n v="21"/>
    <m/>
    <m/>
    <m/>
    <x v="0"/>
    <m/>
    <n v="13"/>
  </r>
  <r>
    <n v="7787"/>
    <n v="1960"/>
    <x v="0"/>
    <x v="1"/>
    <n v="62807"/>
    <n v="0"/>
    <d v="1899-12-31T00:00:00"/>
    <d v="2012-08-31T00:00:00"/>
    <n v="83"/>
    <n v="28"/>
    <n v="21"/>
    <n v="21"/>
    <n v="12"/>
    <n v="66"/>
    <s v="&gt;50"/>
    <n v="33"/>
    <m/>
    <m/>
    <m/>
    <x v="0"/>
    <m/>
    <n v="14"/>
  </r>
  <r>
    <n v="3102"/>
    <n v="1981"/>
    <x v="4"/>
    <x v="1"/>
    <n v="19414"/>
    <n v="1"/>
    <d v="1899-12-30T00:00:00"/>
    <d v="2013-10-16T00:00:00"/>
    <n v="32"/>
    <n v="3"/>
    <n v="5"/>
    <n v="5"/>
    <n v="3"/>
    <n v="45"/>
    <s v="30-50"/>
    <n v="8"/>
    <m/>
    <m/>
    <m/>
    <x v="2"/>
    <m/>
    <n v="13"/>
  </r>
  <r>
    <n v="5868"/>
    <n v="1980"/>
    <x v="0"/>
    <x v="2"/>
    <n v="19107"/>
    <n v="1"/>
    <d v="1899-12-30T00:00:00"/>
    <d v="2013-08-22T00:00:00"/>
    <n v="49"/>
    <n v="4"/>
    <n v="5"/>
    <n v="5"/>
    <n v="3"/>
    <n v="46"/>
    <s v="30-50"/>
    <n v="8"/>
    <m/>
    <m/>
    <m/>
    <x v="2"/>
    <m/>
    <n v="13"/>
  </r>
  <r>
    <n v="8370"/>
    <n v="1976"/>
    <x v="4"/>
    <x v="1"/>
    <n v="75484"/>
    <n v="0"/>
    <d v="1899-12-31T00:00:00"/>
    <d v="2012-08-02T00:00:00"/>
    <n v="50"/>
    <n v="97"/>
    <n v="194"/>
    <n v="194"/>
    <n v="6"/>
    <n v="50"/>
    <s v="30-50"/>
    <n v="200"/>
    <m/>
    <m/>
    <m/>
    <x v="3"/>
    <m/>
    <n v="14"/>
  </r>
  <r>
    <n v="9988"/>
    <n v="1976"/>
    <x v="2"/>
    <x v="0"/>
    <n v="70379"/>
    <n v="0"/>
    <d v="1899-12-31T00:00:00"/>
    <d v="2013-03-03T00:00:00"/>
    <n v="84"/>
    <n v="25"/>
    <n v="67"/>
    <n v="67"/>
    <n v="13"/>
    <n v="50"/>
    <s v="30-50"/>
    <n v="80"/>
    <m/>
    <m/>
    <m/>
    <x v="0"/>
    <m/>
    <n v="13"/>
  </r>
  <r>
    <n v="2939"/>
    <n v="1970"/>
    <x v="2"/>
    <x v="1"/>
    <n v="79419"/>
    <n v="0"/>
    <d v="1899-12-30T00:00:00"/>
    <d v="2014-06-22T00:00:00"/>
    <n v="96"/>
    <n v="127"/>
    <n v="15"/>
    <n v="15"/>
    <n v="4"/>
    <n v="56"/>
    <s v="&gt;50"/>
    <n v="19"/>
    <m/>
    <m/>
    <m/>
    <x v="3"/>
    <m/>
    <n v="12"/>
  </r>
  <r>
    <n v="5529"/>
    <n v="1946"/>
    <x v="1"/>
    <x v="1"/>
    <n v="64014"/>
    <n v="2"/>
    <d v="1899-12-31T00:00:00"/>
    <d v="2014-06-10T00:00:00"/>
    <n v="56"/>
    <n v="0"/>
    <n v="0"/>
    <n v="0"/>
    <n v="5"/>
    <n v="80"/>
    <s v="&gt;50"/>
    <n v="5"/>
    <m/>
    <m/>
    <m/>
    <x v="0"/>
    <m/>
    <n v="12"/>
  </r>
  <r>
    <n v="9743"/>
    <n v="1955"/>
    <x v="0"/>
    <x v="2"/>
    <n v="76998"/>
    <n v="0"/>
    <d v="1899-12-31T00:00:00"/>
    <d v="2013-01-11T00:00:00"/>
    <n v="85"/>
    <n v="89"/>
    <n v="35"/>
    <n v="35"/>
    <n v="8"/>
    <n v="71"/>
    <s v="&gt;50"/>
    <n v="43"/>
    <m/>
    <m/>
    <m/>
    <x v="3"/>
    <m/>
    <n v="13"/>
  </r>
  <r>
    <n v="5763"/>
    <n v="1972"/>
    <x v="2"/>
    <x v="1"/>
    <n v="49854"/>
    <n v="1"/>
    <d v="1899-12-30T00:00:00"/>
    <d v="2013-11-10T00:00:00"/>
    <n v="63"/>
    <n v="17"/>
    <n v="0"/>
    <n v="0"/>
    <n v="5"/>
    <n v="54"/>
    <s v="&gt;50"/>
    <n v="5"/>
    <m/>
    <m/>
    <m/>
    <x v="1"/>
    <m/>
    <n v="13"/>
  </r>
  <r>
    <n v="3478"/>
    <n v="1971"/>
    <x v="1"/>
    <x v="2"/>
    <n v="60585"/>
    <n v="1"/>
    <d v="1899-12-31T00:00:00"/>
    <d v="2013-06-24T00:00:00"/>
    <n v="17"/>
    <n v="42"/>
    <n v="42"/>
    <n v="42"/>
    <n v="9"/>
    <n v="55"/>
    <s v="&gt;50"/>
    <n v="51"/>
    <m/>
    <m/>
    <m/>
    <x v="0"/>
    <m/>
    <n v="13"/>
  </r>
  <r>
    <n v="7494"/>
    <n v="1950"/>
    <x v="1"/>
    <x v="3"/>
    <n v="42873"/>
    <n v="1"/>
    <d v="1899-12-31T00:00:00"/>
    <d v="2013-01-21T00:00:00"/>
    <n v="11"/>
    <n v="0"/>
    <n v="2"/>
    <n v="2"/>
    <n v="4"/>
    <n v="76"/>
    <s v="&gt;50"/>
    <n v="6"/>
    <m/>
    <m/>
    <m/>
    <x v="1"/>
    <m/>
    <n v="13"/>
  </r>
  <r>
    <n v="1763"/>
    <n v="1988"/>
    <x v="0"/>
    <x v="1"/>
    <n v="87679"/>
    <n v="0"/>
    <d v="1899-12-30T00:00:00"/>
    <d v="2013-07-27T00:00:00"/>
    <n v="62"/>
    <n v="172"/>
    <n v="148"/>
    <n v="148"/>
    <n v="10"/>
    <n v="38"/>
    <s v="30-50"/>
    <n v="158"/>
    <m/>
    <m/>
    <m/>
    <x v="3"/>
    <m/>
    <n v="13"/>
  </r>
  <r>
    <n v="7250"/>
    <n v="1978"/>
    <x v="0"/>
    <x v="1"/>
    <n v="57867"/>
    <n v="1"/>
    <d v="1899-12-30T00:00:00"/>
    <d v="2013-10-01T00:00:00"/>
    <n v="48"/>
    <n v="35"/>
    <n v="23"/>
    <n v="23"/>
    <n v="9"/>
    <n v="48"/>
    <s v="30-50"/>
    <n v="32"/>
    <m/>
    <m/>
    <m/>
    <x v="0"/>
    <m/>
    <n v="13"/>
  </r>
  <r>
    <n v="2005"/>
    <n v="1990"/>
    <x v="0"/>
    <x v="2"/>
    <n v="35765"/>
    <n v="1"/>
    <d v="1899-12-30T00:00:00"/>
    <d v="2013-12-11T00:00:00"/>
    <n v="86"/>
    <n v="3"/>
    <n v="5"/>
    <n v="5"/>
    <n v="4"/>
    <n v="36"/>
    <s v="30-50"/>
    <n v="9"/>
    <m/>
    <m/>
    <m/>
    <x v="1"/>
    <m/>
    <n v="13"/>
  </r>
  <r>
    <n v="10770"/>
    <n v="1959"/>
    <x v="0"/>
    <x v="2"/>
    <n v="65492"/>
    <n v="0"/>
    <d v="1899-12-30T00:00:00"/>
    <d v="2014-01-26T00:00:00"/>
    <n v="73"/>
    <n v="161"/>
    <n v="85"/>
    <n v="85"/>
    <n v="13"/>
    <n v="67"/>
    <s v="&gt;50"/>
    <n v="98"/>
    <m/>
    <m/>
    <m/>
    <x v="0"/>
    <m/>
    <n v="12"/>
  </r>
  <r>
    <n v="6885"/>
    <n v="1977"/>
    <x v="0"/>
    <x v="3"/>
    <n v="32952"/>
    <n v="1"/>
    <d v="1899-12-30T00:00:00"/>
    <d v="2013-12-01T00:00:00"/>
    <n v="36"/>
    <n v="0"/>
    <n v="1"/>
    <n v="1"/>
    <n v="3"/>
    <n v="49"/>
    <s v="30-50"/>
    <n v="4"/>
    <m/>
    <m/>
    <m/>
    <x v="1"/>
    <m/>
    <n v="13"/>
  </r>
  <r>
    <n v="2072"/>
    <n v="1969"/>
    <x v="1"/>
    <x v="1"/>
    <n v="53374"/>
    <n v="0"/>
    <d v="1899-12-31T00:00:00"/>
    <d v="2012-08-16T00:00:00"/>
    <n v="34"/>
    <n v="10"/>
    <n v="10"/>
    <n v="10"/>
    <n v="9"/>
    <n v="57"/>
    <s v="&gt;50"/>
    <n v="19"/>
    <m/>
    <m/>
    <m/>
    <x v="0"/>
    <m/>
    <n v="14"/>
  </r>
  <r>
    <n v="9463"/>
    <n v="1959"/>
    <x v="0"/>
    <x v="1"/>
    <n v="71706"/>
    <n v="0"/>
    <d v="1899-12-31T00:00:00"/>
    <d v="2012-11-13T00:00:00"/>
    <n v="16"/>
    <n v="56"/>
    <n v="98"/>
    <n v="98"/>
    <n v="7"/>
    <n v="67"/>
    <s v="&gt;50"/>
    <n v="105"/>
    <m/>
    <m/>
    <m/>
    <x v="0"/>
    <m/>
    <n v="14"/>
  </r>
  <r>
    <n v="6318"/>
    <n v="1988"/>
    <x v="0"/>
    <x v="2"/>
    <n v="68487"/>
    <n v="0"/>
    <d v="1899-12-30T00:00:00"/>
    <d v="2013-01-13T00:00:00"/>
    <n v="48"/>
    <n v="12"/>
    <n v="89"/>
    <n v="89"/>
    <n v="13"/>
    <n v="38"/>
    <s v="30-50"/>
    <n v="102"/>
    <m/>
    <m/>
    <m/>
    <x v="0"/>
    <m/>
    <n v="13"/>
  </r>
  <r>
    <n v="4093"/>
    <n v="1975"/>
    <x v="2"/>
    <x v="1"/>
    <n v="53253"/>
    <n v="1"/>
    <d v="1899-12-31T00:00:00"/>
    <d v="2013-02-11T00:00:00"/>
    <n v="61"/>
    <n v="9"/>
    <n v="9"/>
    <n v="9"/>
    <n v="5"/>
    <n v="51"/>
    <s v="&gt;50"/>
    <n v="14"/>
    <m/>
    <m/>
    <m/>
    <x v="0"/>
    <m/>
    <n v="13"/>
  </r>
  <r>
    <n v="5751"/>
    <n v="1973"/>
    <x v="4"/>
    <x v="3"/>
    <n v="31163"/>
    <n v="1"/>
    <d v="1899-12-30T00:00:00"/>
    <d v="2014-02-13T00:00:00"/>
    <n v="54"/>
    <n v="3"/>
    <n v="2"/>
    <n v="2"/>
    <n v="3"/>
    <n v="53"/>
    <s v="&gt;50"/>
    <n v="5"/>
    <m/>
    <m/>
    <m/>
    <x v="1"/>
    <m/>
    <n v="12"/>
  </r>
  <r>
    <n v="3340"/>
    <n v="1977"/>
    <x v="0"/>
    <x v="2"/>
    <n v="42014"/>
    <n v="1"/>
    <d v="1899-12-30T00:00:00"/>
    <d v="2012-08-17T00:00:00"/>
    <n v="56"/>
    <n v="15"/>
    <n v="15"/>
    <n v="15"/>
    <n v="6"/>
    <n v="49"/>
    <s v="30-50"/>
    <n v="21"/>
    <m/>
    <m/>
    <m/>
    <x v="1"/>
    <m/>
    <n v="14"/>
  </r>
  <r>
    <n v="3594"/>
    <n v="1973"/>
    <x v="2"/>
    <x v="2"/>
    <n v="54108"/>
    <n v="1"/>
    <d v="1899-12-31T00:00:00"/>
    <d v="2012-11-05T00:00:00"/>
    <n v="74"/>
    <n v="6"/>
    <n v="6"/>
    <n v="6"/>
    <n v="9"/>
    <n v="53"/>
    <s v="&gt;50"/>
    <n v="15"/>
    <m/>
    <m/>
    <m/>
    <x v="0"/>
    <m/>
    <n v="14"/>
  </r>
  <r>
    <n v="3584"/>
    <n v="1955"/>
    <x v="1"/>
    <x v="0"/>
    <n v="49667"/>
    <n v="0"/>
    <d v="1899-12-30T00:00:00"/>
    <d v="2012-08-20T00:00:00"/>
    <n v="35"/>
    <n v="26"/>
    <n v="13"/>
    <n v="13"/>
    <n v="5"/>
    <n v="71"/>
    <s v="&gt;50"/>
    <n v="18"/>
    <m/>
    <m/>
    <m/>
    <x v="1"/>
    <m/>
    <n v="14"/>
  </r>
  <r>
    <n v="3643"/>
    <n v="1974"/>
    <x v="2"/>
    <x v="2"/>
    <n v="63206"/>
    <n v="0"/>
    <d v="1899-12-30T00:00:00"/>
    <d v="2014-03-20T00:00:00"/>
    <n v="65"/>
    <n v="8"/>
    <n v="8"/>
    <n v="8"/>
    <n v="6"/>
    <n v="52"/>
    <s v="&gt;50"/>
    <n v="14"/>
    <m/>
    <m/>
    <m/>
    <x v="0"/>
    <m/>
    <n v="12"/>
  </r>
  <r>
    <n v="851"/>
    <n v="1972"/>
    <x v="2"/>
    <x v="2"/>
    <n v="57136"/>
    <n v="1"/>
    <d v="1899-12-31T00:00:00"/>
    <d v="2013-07-09T00:00:00"/>
    <n v="48"/>
    <n v="5"/>
    <n v="109"/>
    <n v="109"/>
    <n v="10"/>
    <n v="54"/>
    <s v="&gt;50"/>
    <n v="119"/>
    <m/>
    <m/>
    <m/>
    <x v="0"/>
    <m/>
    <n v="13"/>
  </r>
  <r>
    <n v="7706"/>
    <n v="1975"/>
    <x v="4"/>
    <x v="1"/>
    <n v="46772"/>
    <n v="0"/>
    <d v="1899-12-31T00:00:00"/>
    <d v="2012-11-07T00:00:00"/>
    <n v="88"/>
    <n v="104"/>
    <n v="151"/>
    <n v="151"/>
    <n v="5"/>
    <n v="51"/>
    <s v="&gt;50"/>
    <n v="156"/>
    <m/>
    <m/>
    <m/>
    <x v="1"/>
    <m/>
    <n v="14"/>
  </r>
  <r>
    <n v="3967"/>
    <n v="1971"/>
    <x v="1"/>
    <x v="2"/>
    <n v="78931"/>
    <n v="0"/>
    <d v="1899-12-30T00:00:00"/>
    <d v="2013-10-25T00:00:00"/>
    <n v="19"/>
    <n v="197"/>
    <n v="152"/>
    <n v="152"/>
    <n v="13"/>
    <n v="55"/>
    <s v="&gt;50"/>
    <n v="165"/>
    <m/>
    <m/>
    <m/>
    <x v="3"/>
    <m/>
    <n v="13"/>
  </r>
  <r>
    <n v="10128"/>
    <n v="1958"/>
    <x v="0"/>
    <x v="1"/>
    <n v="53977"/>
    <n v="0"/>
    <d v="1899-12-31T00:00:00"/>
    <d v="2013-06-08T00:00:00"/>
    <n v="21"/>
    <n v="16"/>
    <n v="24"/>
    <n v="24"/>
    <n v="12"/>
    <n v="68"/>
    <s v="&gt;50"/>
    <n v="36"/>
    <m/>
    <m/>
    <m/>
    <x v="0"/>
    <m/>
    <n v="13"/>
  </r>
  <r>
    <n v="486"/>
    <n v="1988"/>
    <x v="0"/>
    <x v="2"/>
    <n v="84219"/>
    <n v="0"/>
    <d v="1899-12-30T00:00:00"/>
    <d v="2014-02-02T00:00:00"/>
    <n v="27"/>
    <n v="137"/>
    <n v="137"/>
    <n v="137"/>
    <n v="10"/>
    <n v="38"/>
    <s v="30-50"/>
    <n v="147"/>
    <m/>
    <m/>
    <m/>
    <x v="3"/>
    <m/>
    <n v="12"/>
  </r>
  <r>
    <n v="9"/>
    <n v="1975"/>
    <x v="2"/>
    <x v="0"/>
    <n v="46098"/>
    <n v="1"/>
    <d v="1899-12-31T00:00:00"/>
    <d v="2012-08-18T00:00:00"/>
    <n v="86"/>
    <n v="0"/>
    <n v="0"/>
    <n v="0"/>
    <n v="2"/>
    <n v="51"/>
    <s v="&gt;50"/>
    <n v="2"/>
    <m/>
    <m/>
    <m/>
    <x v="1"/>
    <m/>
    <n v="14"/>
  </r>
  <r>
    <n v="9451"/>
    <n v="1965"/>
    <x v="0"/>
    <x v="2"/>
    <n v="73538"/>
    <n v="0"/>
    <d v="1899-12-31T00:00:00"/>
    <d v="2012-11-25T00:00:00"/>
    <n v="92"/>
    <n v="76"/>
    <n v="137"/>
    <n v="137"/>
    <n v="9"/>
    <n v="61"/>
    <s v="&gt;50"/>
    <n v="146"/>
    <m/>
    <m/>
    <m/>
    <x v="0"/>
    <m/>
    <n v="14"/>
  </r>
  <r>
    <n v="9264"/>
    <n v="1986"/>
    <x v="0"/>
    <x v="2"/>
    <n v="79529"/>
    <n v="0"/>
    <d v="1899-12-30T00:00:00"/>
    <d v="2014-04-27T00:00:00"/>
    <n v="1"/>
    <n v="42"/>
    <n v="197"/>
    <n v="197"/>
    <n v="9"/>
    <n v="40"/>
    <s v="30-50"/>
    <n v="206"/>
    <m/>
    <m/>
    <m/>
    <x v="3"/>
    <m/>
    <n v="12"/>
  </r>
  <r>
    <n v="3865"/>
    <n v="1977"/>
    <x v="4"/>
    <x v="1"/>
    <n v="20981"/>
    <n v="0"/>
    <d v="1899-12-30T00:00:00"/>
    <d v="2013-04-30T00:00:00"/>
    <n v="14"/>
    <n v="12"/>
    <n v="13"/>
    <n v="13"/>
    <n v="2"/>
    <n v="49"/>
    <s v="30-50"/>
    <n v="15"/>
    <m/>
    <m/>
    <m/>
    <x v="2"/>
    <m/>
    <n v="13"/>
  </r>
  <r>
    <n v="2853"/>
    <n v="1980"/>
    <x v="0"/>
    <x v="0"/>
    <n v="51766"/>
    <n v="1"/>
    <d v="1899-12-30T00:00:00"/>
    <d v="2014-03-11T00:00:00"/>
    <n v="74"/>
    <n v="51"/>
    <n v="20"/>
    <n v="20"/>
    <n v="4"/>
    <n v="46"/>
    <s v="30-50"/>
    <n v="24"/>
    <m/>
    <m/>
    <m/>
    <x v="0"/>
    <m/>
    <n v="12"/>
  </r>
  <r>
    <n v="1490"/>
    <n v="1962"/>
    <x v="0"/>
    <x v="2"/>
    <n v="55759"/>
    <n v="0"/>
    <d v="1899-12-31T00:00:00"/>
    <d v="2012-11-28T00:00:00"/>
    <n v="84"/>
    <n v="0"/>
    <n v="7"/>
    <n v="7"/>
    <n v="8"/>
    <n v="64"/>
    <s v="&gt;50"/>
    <n v="15"/>
    <m/>
    <m/>
    <m/>
    <x v="0"/>
    <m/>
    <n v="14"/>
  </r>
  <r>
    <n v="6310"/>
    <n v="1978"/>
    <x v="0"/>
    <x v="2"/>
    <n v="33039"/>
    <n v="1"/>
    <d v="1899-12-30T00:00:00"/>
    <d v="2013-09-09T00:00:00"/>
    <n v="4"/>
    <n v="8"/>
    <n v="8"/>
    <n v="8"/>
    <n v="4"/>
    <n v="48"/>
    <s v="30-50"/>
    <n v="12"/>
    <m/>
    <m/>
    <m/>
    <x v="1"/>
    <m/>
    <n v="13"/>
  </r>
  <r>
    <n v="10380"/>
    <n v="1972"/>
    <x v="2"/>
    <x v="2"/>
    <n v="37787"/>
    <n v="1"/>
    <d v="1899-12-30T00:00:00"/>
    <d v="2013-09-20T00:00:00"/>
    <n v="50"/>
    <n v="1"/>
    <n v="3"/>
    <n v="3"/>
    <n v="3"/>
    <n v="54"/>
    <s v="&gt;50"/>
    <n v="6"/>
    <m/>
    <m/>
    <m/>
    <x v="1"/>
    <m/>
    <n v="13"/>
  </r>
  <r>
    <n v="3887"/>
    <n v="1970"/>
    <x v="0"/>
    <x v="0"/>
    <n v="27242"/>
    <n v="1"/>
    <d v="1899-12-30T00:00:00"/>
    <d v="2012-11-11T00:00:00"/>
    <n v="2"/>
    <n v="17"/>
    <n v="1"/>
    <n v="1"/>
    <n v="3"/>
    <n v="56"/>
    <s v="&gt;50"/>
    <n v="4"/>
    <m/>
    <m/>
    <m/>
    <x v="2"/>
    <m/>
    <n v="14"/>
  </r>
  <r>
    <n v="4278"/>
    <n v="1983"/>
    <x v="1"/>
    <x v="0"/>
    <n v="87188"/>
    <n v="0"/>
    <d v="1899-12-30T00:00:00"/>
    <d v="2013-06-03T00:00:00"/>
    <n v="73"/>
    <n v="111"/>
    <n v="74"/>
    <n v="74"/>
    <n v="6"/>
    <n v="43"/>
    <s v="30-50"/>
    <n v="80"/>
    <m/>
    <m/>
    <m/>
    <x v="3"/>
    <m/>
    <n v="13"/>
  </r>
  <r>
    <n v="8643"/>
    <n v="1971"/>
    <x v="0"/>
    <x v="1"/>
    <n v="69930"/>
    <n v="0"/>
    <d v="1899-12-30T00:00:00"/>
    <d v="2013-05-26T00:00:00"/>
    <n v="21"/>
    <n v="98"/>
    <n v="70"/>
    <n v="70"/>
    <n v="12"/>
    <n v="55"/>
    <s v="&gt;50"/>
    <n v="82"/>
    <m/>
    <m/>
    <m/>
    <x v="0"/>
    <m/>
    <n v="13"/>
  </r>
  <r>
    <n v="1998"/>
    <n v="1976"/>
    <x v="0"/>
    <x v="0"/>
    <n v="37697"/>
    <n v="1"/>
    <d v="1899-12-30T00:00:00"/>
    <d v="2014-02-07T00:00:00"/>
    <n v="82"/>
    <n v="6"/>
    <n v="4"/>
    <n v="4"/>
    <n v="3"/>
    <n v="50"/>
    <s v="30-50"/>
    <n v="7"/>
    <m/>
    <m/>
    <m/>
    <x v="1"/>
    <m/>
    <n v="12"/>
  </r>
  <r>
    <n v="10795"/>
    <n v="1973"/>
    <x v="1"/>
    <x v="2"/>
    <n v="37401"/>
    <n v="1"/>
    <d v="1899-12-30T00:00:00"/>
    <d v="2014-05-06T00:00:00"/>
    <n v="14"/>
    <n v="3"/>
    <n v="1"/>
    <n v="1"/>
    <n v="3"/>
    <n v="53"/>
    <s v="&gt;50"/>
    <n v="4"/>
    <m/>
    <m/>
    <m/>
    <x v="1"/>
    <m/>
    <n v="12"/>
  </r>
  <r>
    <n v="11110"/>
    <n v="1973"/>
    <x v="0"/>
    <x v="0"/>
    <n v="3502"/>
    <n v="1"/>
    <d v="1899-12-30T00:00:00"/>
    <d v="2013-04-13T00:00:00"/>
    <n v="56"/>
    <n v="1"/>
    <n v="0"/>
    <n v="0"/>
    <n v="0"/>
    <n v="53"/>
    <s v="&gt;50"/>
    <n v="0"/>
    <m/>
    <m/>
    <m/>
    <x v="2"/>
    <m/>
    <n v="13"/>
  </r>
  <r>
    <n v="2408"/>
    <n v="1976"/>
    <x v="0"/>
    <x v="2"/>
    <n v="58597"/>
    <n v="1"/>
    <d v="1899-12-31T00:00:00"/>
    <d v="2012-11-20T00:00:00"/>
    <n v="20"/>
    <n v="0"/>
    <n v="28"/>
    <n v="28"/>
    <n v="9"/>
    <n v="50"/>
    <s v="30-50"/>
    <n v="37"/>
    <m/>
    <m/>
    <m/>
    <x v="0"/>
    <m/>
    <n v="14"/>
  </r>
  <r>
    <n v="202"/>
    <n v="1948"/>
    <x v="1"/>
    <x v="4"/>
    <n v="82032"/>
    <n v="0"/>
    <d v="1899-12-30T00:00:00"/>
    <d v="2014-04-05T00:00:00"/>
    <n v="54"/>
    <n v="194"/>
    <n v="125"/>
    <n v="125"/>
    <n v="7"/>
    <n v="78"/>
    <s v="&gt;50"/>
    <n v="132"/>
    <m/>
    <m/>
    <m/>
    <x v="3"/>
    <m/>
    <n v="12"/>
  </r>
  <r>
    <n v="7998"/>
    <n v="1958"/>
    <x v="0"/>
    <x v="1"/>
    <n v="28087"/>
    <n v="1"/>
    <d v="1899-12-31T00:00:00"/>
    <d v="2012-12-11T00:00:00"/>
    <n v="77"/>
    <n v="8"/>
    <n v="0"/>
    <n v="0"/>
    <n v="2"/>
    <n v="68"/>
    <s v="&gt;50"/>
    <n v="2"/>
    <m/>
    <m/>
    <m/>
    <x v="2"/>
    <m/>
    <n v="14"/>
  </r>
  <r>
    <n v="830"/>
    <n v="1987"/>
    <x v="1"/>
    <x v="0"/>
    <n v="74004"/>
    <n v="0"/>
    <d v="1899-12-30T00:00:00"/>
    <d v="2014-02-24T00:00:00"/>
    <n v="5"/>
    <n v="48"/>
    <n v="176"/>
    <n v="176"/>
    <n v="4"/>
    <n v="39"/>
    <s v="30-50"/>
    <n v="180"/>
    <m/>
    <m/>
    <m/>
    <x v="0"/>
    <m/>
    <n v="12"/>
  </r>
  <r>
    <n v="3536"/>
    <n v="1960"/>
    <x v="0"/>
    <x v="1"/>
    <n v="19740"/>
    <n v="0"/>
    <d v="1899-12-31T00:00:00"/>
    <d v="2013-03-24T00:00:00"/>
    <n v="65"/>
    <n v="11"/>
    <n v="4"/>
    <n v="4"/>
    <n v="3"/>
    <n v="66"/>
    <s v="&gt;50"/>
    <n v="7"/>
    <m/>
    <m/>
    <m/>
    <x v="2"/>
    <m/>
    <n v="13"/>
  </r>
  <r>
    <n v="6050"/>
    <n v="1975"/>
    <x v="4"/>
    <x v="2"/>
    <n v="57036"/>
    <n v="0"/>
    <d v="1899-12-31T00:00:00"/>
    <d v="2012-12-11T00:00:00"/>
    <n v="33"/>
    <n v="43"/>
    <n v="14"/>
    <n v="14"/>
    <n v="13"/>
    <n v="51"/>
    <s v="&gt;50"/>
    <n v="27"/>
    <m/>
    <m/>
    <m/>
    <x v="0"/>
    <m/>
    <n v="14"/>
  </r>
  <r>
    <n v="125"/>
    <n v="1958"/>
    <x v="4"/>
    <x v="1"/>
    <n v="53083"/>
    <n v="1"/>
    <d v="1899-12-31T00:00:00"/>
    <d v="2013-05-15T00:00:00"/>
    <n v="65"/>
    <n v="7"/>
    <n v="0"/>
    <n v="0"/>
    <n v="5"/>
    <n v="68"/>
    <s v="&gt;50"/>
    <n v="5"/>
    <m/>
    <m/>
    <m/>
    <x v="0"/>
    <m/>
    <n v="13"/>
  </r>
  <r>
    <n v="3463"/>
    <n v="1975"/>
    <x v="1"/>
    <x v="2"/>
    <n v="69283"/>
    <n v="0"/>
    <d v="1899-12-31T00:00:00"/>
    <d v="2014-06-14T00:00:00"/>
    <n v="41"/>
    <n v="62"/>
    <n v="26"/>
    <n v="26"/>
    <n v="13"/>
    <n v="51"/>
    <s v="&gt;50"/>
    <n v="39"/>
    <m/>
    <m/>
    <m/>
    <x v="0"/>
    <m/>
    <n v="12"/>
  </r>
  <r>
    <n v="2804"/>
    <n v="1975"/>
    <x v="2"/>
    <x v="0"/>
    <n v="46098"/>
    <n v="1"/>
    <d v="1899-12-31T00:00:00"/>
    <d v="2012-08-18T00:00:00"/>
    <n v="86"/>
    <n v="0"/>
    <n v="0"/>
    <n v="0"/>
    <n v="2"/>
    <n v="51"/>
    <s v="&gt;50"/>
    <n v="2"/>
    <m/>
    <m/>
    <m/>
    <x v="1"/>
    <m/>
    <n v="14"/>
  </r>
  <r>
    <n v="3745"/>
    <n v="1988"/>
    <x v="4"/>
    <x v="2"/>
    <n v="23331"/>
    <n v="1"/>
    <d v="1899-12-30T00:00:00"/>
    <d v="2012-09-04T00:00:00"/>
    <n v="92"/>
    <n v="36"/>
    <n v="10"/>
    <n v="10"/>
    <n v="3"/>
    <n v="38"/>
    <s v="30-50"/>
    <n v="13"/>
    <m/>
    <m/>
    <m/>
    <x v="2"/>
    <m/>
    <n v="14"/>
  </r>
  <r>
    <n v="9771"/>
    <n v="1988"/>
    <x v="4"/>
    <x v="0"/>
    <n v="23331"/>
    <n v="1"/>
    <d v="1899-12-30T00:00:00"/>
    <d v="2012-10-05T00:00:00"/>
    <n v="97"/>
    <n v="20"/>
    <n v="15"/>
    <n v="15"/>
    <n v="5"/>
    <n v="38"/>
    <s v="30-50"/>
    <n v="20"/>
    <m/>
    <m/>
    <m/>
    <x v="2"/>
    <m/>
    <n v="14"/>
  </r>
  <r>
    <n v="451"/>
    <n v="1989"/>
    <x v="0"/>
    <x v="0"/>
    <n v="9255"/>
    <n v="1"/>
    <d v="1899-12-30T00:00:00"/>
    <d v="2013-12-20T00:00:00"/>
    <n v="91"/>
    <n v="0"/>
    <n v="0"/>
    <n v="0"/>
    <n v="2"/>
    <n v="37"/>
    <s v="30-50"/>
    <n v="2"/>
    <m/>
    <m/>
    <m/>
    <x v="2"/>
    <m/>
    <n v="13"/>
  </r>
  <r>
    <n v="10530"/>
    <n v="1959"/>
    <x v="1"/>
    <x v="4"/>
    <n v="67786"/>
    <n v="0"/>
    <d v="1899-12-30T00:00:00"/>
    <d v="2013-12-07T00:00:00"/>
    <n v="0"/>
    <n v="82"/>
    <n v="20"/>
    <n v="20"/>
    <n v="6"/>
    <n v="67"/>
    <s v="&gt;50"/>
    <n v="26"/>
    <m/>
    <m/>
    <m/>
    <x v="0"/>
    <m/>
    <n v="13"/>
  </r>
  <r>
    <n v="1079"/>
    <n v="1971"/>
    <x v="1"/>
    <x v="2"/>
    <n v="71969"/>
    <n v="0"/>
    <d v="1899-12-31T00:00:00"/>
    <d v="2012-10-16T00:00:00"/>
    <n v="59"/>
    <n v="0"/>
    <n v="0"/>
    <n v="0"/>
    <n v="9"/>
    <n v="55"/>
    <s v="&gt;50"/>
    <n v="9"/>
    <m/>
    <m/>
    <m/>
    <x v="0"/>
    <m/>
    <n v="14"/>
  </r>
  <r>
    <n v="8920"/>
    <n v="1967"/>
    <x v="2"/>
    <x v="0"/>
    <n v="59235"/>
    <n v="1"/>
    <d v="1899-12-30T00:00:00"/>
    <d v="2013-01-12T00:00:00"/>
    <n v="4"/>
    <n v="40"/>
    <n v="0"/>
    <n v="0"/>
    <n v="12"/>
    <n v="59"/>
    <s v="&gt;50"/>
    <n v="12"/>
    <m/>
    <m/>
    <m/>
    <x v="0"/>
    <m/>
    <n v="13"/>
  </r>
  <r>
    <n v="6678"/>
    <n v="1989"/>
    <x v="0"/>
    <x v="1"/>
    <n v="31928"/>
    <n v="1"/>
    <d v="1899-12-30T00:00:00"/>
    <d v="2014-03-28T00:00:00"/>
    <n v="5"/>
    <n v="4"/>
    <n v="2"/>
    <n v="2"/>
    <n v="4"/>
    <n v="37"/>
    <s v="30-50"/>
    <n v="6"/>
    <m/>
    <m/>
    <m/>
    <x v="1"/>
    <m/>
    <n v="12"/>
  </r>
  <r>
    <n v="3852"/>
    <n v="1961"/>
    <x v="2"/>
    <x v="1"/>
    <n v="74881"/>
    <n v="1"/>
    <d v="1899-12-31T00:00:00"/>
    <d v="2013-03-08T00:00:00"/>
    <n v="48"/>
    <n v="72"/>
    <n v="27"/>
    <n v="27"/>
    <n v="12"/>
    <n v="65"/>
    <s v="&gt;50"/>
    <n v="39"/>
    <m/>
    <m/>
    <m/>
    <x v="0"/>
    <m/>
    <n v="13"/>
  </r>
  <r>
    <n v="528"/>
    <n v="1978"/>
    <x v="0"/>
    <x v="2"/>
    <n v="65819"/>
    <n v="0"/>
    <d v="1899-12-30T00:00:00"/>
    <d v="2012-11-29T00:00:00"/>
    <n v="99"/>
    <n v="38"/>
    <n v="165"/>
    <n v="165"/>
    <n v="10"/>
    <n v="48"/>
    <s v="30-50"/>
    <n v="175"/>
    <m/>
    <m/>
    <m/>
    <x v="0"/>
    <m/>
    <n v="14"/>
  </r>
  <r>
    <n v="73"/>
    <n v="1953"/>
    <x v="1"/>
    <x v="0"/>
    <n v="51411"/>
    <n v="1"/>
    <d v="1900-01-01T00:00:00"/>
    <d v="2013-05-26T00:00:00"/>
    <n v="81"/>
    <n v="0"/>
    <n v="0"/>
    <n v="0"/>
    <n v="3"/>
    <n v="73"/>
    <s v="&gt;50"/>
    <n v="3"/>
    <m/>
    <m/>
    <m/>
    <x v="0"/>
    <m/>
    <n v="13"/>
  </r>
  <r>
    <n v="5589"/>
    <n v="1964"/>
    <x v="0"/>
    <x v="3"/>
    <n v="51983"/>
    <n v="0"/>
    <d v="1899-12-31T00:00:00"/>
    <d v="2012-08-31T00:00:00"/>
    <n v="95"/>
    <n v="0"/>
    <n v="7"/>
    <n v="7"/>
    <n v="10"/>
    <n v="62"/>
    <s v="&gt;50"/>
    <n v="17"/>
    <m/>
    <m/>
    <m/>
    <x v="0"/>
    <m/>
    <n v="14"/>
  </r>
  <r>
    <n v="10212"/>
    <n v="1986"/>
    <x v="2"/>
    <x v="1"/>
    <n v="42386"/>
    <n v="1"/>
    <d v="1899-12-30T00:00:00"/>
    <d v="2013-01-13T00:00:00"/>
    <n v="43"/>
    <n v="4"/>
    <n v="4"/>
    <n v="4"/>
    <n v="3"/>
    <n v="40"/>
    <s v="30-50"/>
    <n v="7"/>
    <m/>
    <m/>
    <m/>
    <x v="1"/>
    <m/>
    <n v="13"/>
  </r>
  <r>
    <n v="6365"/>
    <n v="1987"/>
    <x v="4"/>
    <x v="2"/>
    <n v="30390"/>
    <n v="0"/>
    <d v="1899-12-30T00:00:00"/>
    <d v="2013-09-02T00:00:00"/>
    <n v="5"/>
    <n v="12"/>
    <n v="1"/>
    <n v="1"/>
    <n v="3"/>
    <n v="39"/>
    <s v="30-50"/>
    <n v="4"/>
    <m/>
    <m/>
    <m/>
    <x v="1"/>
    <m/>
    <n v="13"/>
  </r>
  <r>
    <n v="5636"/>
    <n v="1963"/>
    <x v="0"/>
    <x v="0"/>
    <n v="30983"/>
    <n v="0"/>
    <d v="1899-12-30T00:00:00"/>
    <d v="2012-11-09T00:00:00"/>
    <n v="50"/>
    <n v="4"/>
    <n v="1"/>
    <n v="1"/>
    <n v="3"/>
    <n v="63"/>
    <s v="&gt;50"/>
    <n v="4"/>
    <m/>
    <m/>
    <m/>
    <x v="1"/>
    <m/>
    <n v="14"/>
  </r>
  <r>
    <n v="591"/>
    <n v="1957"/>
    <x v="0"/>
    <x v="4"/>
    <n v="66033"/>
    <n v="0"/>
    <d v="1899-12-31T00:00:00"/>
    <d v="2013-01-20T00:00:00"/>
    <n v="76"/>
    <n v="35"/>
    <n v="59"/>
    <n v="59"/>
    <n v="7"/>
    <n v="69"/>
    <s v="&gt;50"/>
    <n v="66"/>
    <m/>
    <m/>
    <m/>
    <x v="0"/>
    <m/>
    <n v="13"/>
  </r>
  <r>
    <n v="2217"/>
    <n v="1975"/>
    <x v="4"/>
    <x v="2"/>
    <n v="37284"/>
    <n v="1"/>
    <d v="1899-12-31T00:00:00"/>
    <d v="2013-03-29T00:00:00"/>
    <n v="46"/>
    <n v="1"/>
    <n v="1"/>
    <n v="1"/>
    <n v="3"/>
    <n v="51"/>
    <s v="&gt;50"/>
    <n v="4"/>
    <m/>
    <m/>
    <m/>
    <x v="1"/>
    <m/>
    <n v="13"/>
  </r>
  <r>
    <n v="2544"/>
    <n v="1951"/>
    <x v="2"/>
    <x v="3"/>
    <n v="57530"/>
    <n v="0"/>
    <d v="1899-12-31T00:00:00"/>
    <d v="2013-10-12T00:00:00"/>
    <n v="68"/>
    <n v="1"/>
    <n v="7"/>
    <n v="7"/>
    <n v="4"/>
    <n v="75"/>
    <s v="&gt;50"/>
    <n v="11"/>
    <m/>
    <m/>
    <m/>
    <x v="0"/>
    <m/>
    <n v="13"/>
  </r>
  <r>
    <n v="7725"/>
    <n v="1965"/>
    <x v="4"/>
    <x v="2"/>
    <n v="76800"/>
    <n v="0"/>
    <d v="1899-12-30T00:00:00"/>
    <d v="2014-03-08T00:00:00"/>
    <n v="33"/>
    <n v="26"/>
    <n v="71"/>
    <n v="71"/>
    <n v="7"/>
    <n v="61"/>
    <s v="&gt;50"/>
    <n v="78"/>
    <m/>
    <m/>
    <m/>
    <x v="3"/>
    <m/>
    <n v="12"/>
  </r>
  <r>
    <n v="8091"/>
    <n v="1956"/>
    <x v="0"/>
    <x v="2"/>
    <n v="63943"/>
    <n v="0"/>
    <d v="1899-12-31T00:00:00"/>
    <d v="2012-09-02T00:00:00"/>
    <n v="50"/>
    <n v="184"/>
    <n v="97"/>
    <n v="97"/>
    <n v="6"/>
    <n v="70"/>
    <s v="&gt;50"/>
    <n v="103"/>
    <m/>
    <m/>
    <m/>
    <x v="0"/>
    <m/>
    <n v="14"/>
  </r>
  <r>
    <n v="7321"/>
    <n v="1962"/>
    <x v="0"/>
    <x v="1"/>
    <n v="76081"/>
    <n v="0"/>
    <d v="1899-12-30T00:00:00"/>
    <d v="2014-05-23T00:00:00"/>
    <n v="85"/>
    <n v="30"/>
    <n v="33"/>
    <n v="33"/>
    <n v="4"/>
    <n v="64"/>
    <s v="&gt;50"/>
    <n v="37"/>
    <m/>
    <m/>
    <m/>
    <x v="3"/>
    <m/>
    <n v="12"/>
  </r>
  <r>
    <n v="5462"/>
    <n v="1974"/>
    <x v="0"/>
    <x v="2"/>
    <n v="67445"/>
    <n v="0"/>
    <d v="1899-12-31T00:00:00"/>
    <d v="2012-08-12T00:00:00"/>
    <n v="63"/>
    <n v="80"/>
    <n v="80"/>
    <n v="80"/>
    <n v="12"/>
    <n v="52"/>
    <s v="&gt;50"/>
    <n v="92"/>
    <m/>
    <m/>
    <m/>
    <x v="0"/>
    <m/>
    <n v="14"/>
  </r>
  <r>
    <n v="7791"/>
    <n v="1967"/>
    <x v="2"/>
    <x v="2"/>
    <n v="37054"/>
    <n v="1"/>
    <d v="1899-12-31T00:00:00"/>
    <d v="2013-09-15T00:00:00"/>
    <n v="89"/>
    <n v="1"/>
    <n v="1"/>
    <n v="1"/>
    <n v="3"/>
    <n v="59"/>
    <s v="&gt;50"/>
    <n v="4"/>
    <m/>
    <m/>
    <m/>
    <x v="1"/>
    <m/>
    <n v="13"/>
  </r>
  <r>
    <n v="955"/>
    <n v="1962"/>
    <x v="2"/>
    <x v="1"/>
    <n v="47175"/>
    <n v="1"/>
    <d v="1899-12-31T00:00:00"/>
    <d v="2012-10-28T00:00:00"/>
    <n v="81"/>
    <n v="2"/>
    <n v="2"/>
    <n v="2"/>
    <n v="4"/>
    <n v="64"/>
    <s v="&gt;50"/>
    <n v="6"/>
    <m/>
    <m/>
    <m/>
    <x v="1"/>
    <m/>
    <n v="14"/>
  </r>
  <r>
    <n v="4037"/>
    <n v="1976"/>
    <x v="0"/>
    <x v="3"/>
    <n v="31859"/>
    <n v="1"/>
    <d v="1899-12-30T00:00:00"/>
    <d v="2013-06-14T00:00:00"/>
    <n v="77"/>
    <n v="1"/>
    <n v="0"/>
    <n v="0"/>
    <n v="2"/>
    <n v="50"/>
    <s v="30-50"/>
    <n v="2"/>
    <m/>
    <m/>
    <m/>
    <x v="1"/>
    <m/>
    <n v="13"/>
  </r>
  <r>
    <n v="6642"/>
    <n v="1961"/>
    <x v="0"/>
    <x v="3"/>
    <n v="27215"/>
    <n v="2"/>
    <d v="1899-12-31T00:00:00"/>
    <d v="2013-01-23T00:00:00"/>
    <n v="50"/>
    <n v="5"/>
    <n v="9"/>
    <n v="9"/>
    <n v="4"/>
    <n v="65"/>
    <s v="&gt;50"/>
    <n v="13"/>
    <m/>
    <m/>
    <m/>
    <x v="2"/>
    <m/>
    <n v="13"/>
  </r>
  <r>
    <n v="2793"/>
    <n v="1976"/>
    <x v="1"/>
    <x v="3"/>
    <n v="70179"/>
    <n v="0"/>
    <d v="1899-12-31T00:00:00"/>
    <d v="2013-07-21T00:00:00"/>
    <n v="10"/>
    <n v="88"/>
    <n v="44"/>
    <n v="44"/>
    <n v="13"/>
    <n v="50"/>
    <s v="30-50"/>
    <n v="57"/>
    <m/>
    <m/>
    <m/>
    <x v="0"/>
    <m/>
    <n v="13"/>
  </r>
  <r>
    <n v="5424"/>
    <n v="1983"/>
    <x v="0"/>
    <x v="2"/>
    <n v="39922"/>
    <n v="1"/>
    <d v="1899-12-30T00:00:00"/>
    <d v="2013-02-14T00:00:00"/>
    <n v="30"/>
    <n v="12"/>
    <n v="1"/>
    <n v="1"/>
    <n v="4"/>
    <n v="43"/>
    <s v="30-50"/>
    <n v="5"/>
    <m/>
    <m/>
    <m/>
    <x v="1"/>
    <m/>
    <n v="13"/>
  </r>
  <r>
    <n v="879"/>
    <n v="1976"/>
    <x v="2"/>
    <x v="2"/>
    <n v="49681"/>
    <n v="0"/>
    <d v="1900-01-01T00:00:00"/>
    <d v="2013-11-04T00:00:00"/>
    <n v="66"/>
    <n v="0"/>
    <n v="0"/>
    <n v="0"/>
    <n v="7"/>
    <n v="50"/>
    <s v="30-50"/>
    <n v="7"/>
    <m/>
    <m/>
    <m/>
    <x v="1"/>
    <m/>
    <n v="13"/>
  </r>
  <r>
    <n v="9530"/>
    <n v="1988"/>
    <x v="0"/>
    <x v="2"/>
    <n v="24645"/>
    <n v="1"/>
    <d v="1899-12-30T00:00:00"/>
    <d v="2012-11-01T00:00:00"/>
    <n v="16"/>
    <n v="3"/>
    <n v="1"/>
    <n v="1"/>
    <n v="2"/>
    <n v="38"/>
    <s v="30-50"/>
    <n v="3"/>
    <m/>
    <m/>
    <m/>
    <x v="2"/>
    <m/>
    <n v="14"/>
  </r>
  <r>
    <n v="4828"/>
    <n v="1954"/>
    <x v="0"/>
    <x v="3"/>
    <n v="79865"/>
    <n v="0"/>
    <d v="1899-12-31T00:00:00"/>
    <d v="2014-06-18T00:00:00"/>
    <n v="12"/>
    <n v="99"/>
    <n v="121"/>
    <n v="121"/>
    <n v="5"/>
    <n v="72"/>
    <s v="&gt;50"/>
    <n v="126"/>
    <m/>
    <m/>
    <m/>
    <x v="3"/>
    <m/>
    <n v="12"/>
  </r>
  <r>
    <n v="10699"/>
    <n v="1985"/>
    <x v="0"/>
    <x v="2"/>
    <n v="44322"/>
    <n v="1"/>
    <d v="1899-12-30T00:00:00"/>
    <d v="2014-06-16T00:00:00"/>
    <n v="30"/>
    <n v="0"/>
    <n v="0"/>
    <n v="0"/>
    <n v="3"/>
    <n v="41"/>
    <s v="30-50"/>
    <n v="3"/>
    <m/>
    <m/>
    <m/>
    <x v="1"/>
    <m/>
    <n v="12"/>
  </r>
  <r>
    <n v="1497"/>
    <n v="1952"/>
    <x v="0"/>
    <x v="0"/>
    <n v="47958"/>
    <n v="0"/>
    <d v="1899-12-31T00:00:00"/>
    <d v="2013-01-19T00:00:00"/>
    <n v="8"/>
    <n v="11"/>
    <n v="3"/>
    <n v="3"/>
    <n v="5"/>
    <n v="74"/>
    <s v="&gt;50"/>
    <n v="8"/>
    <m/>
    <m/>
    <m/>
    <x v="1"/>
    <m/>
    <n v="13"/>
  </r>
  <r>
    <n v="7476"/>
    <n v="1964"/>
    <x v="2"/>
    <x v="0"/>
    <n v="63972"/>
    <n v="0"/>
    <d v="1899-12-31T00:00:00"/>
    <d v="2012-12-02T00:00:00"/>
    <n v="93"/>
    <n v="63"/>
    <n v="12"/>
    <n v="12"/>
    <n v="10"/>
    <n v="62"/>
    <s v="&gt;50"/>
    <n v="22"/>
    <m/>
    <m/>
    <m/>
    <x v="0"/>
    <m/>
    <n v="14"/>
  </r>
  <r>
    <n v="4390"/>
    <n v="1954"/>
    <x v="0"/>
    <x v="1"/>
    <n v="75315"/>
    <n v="0"/>
    <d v="1899-12-31T00:00:00"/>
    <d v="2014-04-15T00:00:00"/>
    <n v="14"/>
    <n v="15"/>
    <n v="23"/>
    <n v="23"/>
    <n v="12"/>
    <n v="72"/>
    <s v="&gt;50"/>
    <n v="35"/>
    <m/>
    <m/>
    <m/>
    <x v="3"/>
    <m/>
    <n v="12"/>
  </r>
  <r>
    <n v="10478"/>
    <n v="1950"/>
    <x v="1"/>
    <x v="2"/>
    <n v="55517"/>
    <n v="1"/>
    <d v="1899-12-31T00:00:00"/>
    <d v="2012-09-27T00:00:00"/>
    <n v="53"/>
    <n v="0"/>
    <n v="6"/>
    <n v="6"/>
    <n v="6"/>
    <n v="76"/>
    <s v="&gt;50"/>
    <n v="12"/>
    <m/>
    <m/>
    <m/>
    <x v="0"/>
    <m/>
    <n v="14"/>
  </r>
  <r>
    <n v="1081"/>
    <n v="1957"/>
    <x v="1"/>
    <x v="2"/>
    <n v="75283"/>
    <n v="1"/>
    <d v="1900-01-01T00:00:00"/>
    <d v="2013-03-27T00:00:00"/>
    <n v="26"/>
    <n v="9"/>
    <n v="19"/>
    <n v="19"/>
    <n v="5"/>
    <n v="69"/>
    <s v="&gt;50"/>
    <n v="24"/>
    <m/>
    <m/>
    <m/>
    <x v="3"/>
    <m/>
    <n v="13"/>
  </r>
  <r>
    <n v="4261"/>
    <n v="1946"/>
    <x v="1"/>
    <x v="0"/>
    <n v="82800"/>
    <n v="0"/>
    <d v="1899-12-30T00:00:00"/>
    <d v="2012-11-24T00:00:00"/>
    <n v="23"/>
    <n v="22"/>
    <n v="68"/>
    <n v="68"/>
    <n v="12"/>
    <n v="80"/>
    <s v="&gt;50"/>
    <n v="80"/>
    <m/>
    <m/>
    <m/>
    <x v="3"/>
    <m/>
    <n v="14"/>
  </r>
  <r>
    <n v="9916"/>
    <n v="1954"/>
    <x v="0"/>
    <x v="2"/>
    <n v="38998"/>
    <n v="1"/>
    <d v="1899-12-31T00:00:00"/>
    <d v="2012-11-03T00:00:00"/>
    <n v="92"/>
    <n v="1"/>
    <n v="0"/>
    <n v="0"/>
    <n v="3"/>
    <n v="72"/>
    <s v="&gt;50"/>
    <n v="3"/>
    <m/>
    <m/>
    <m/>
    <x v="1"/>
    <m/>
    <n v="14"/>
  </r>
  <r>
    <n v="5350"/>
    <n v="1991"/>
    <x v="2"/>
    <x v="0"/>
    <n v="90638"/>
    <n v="0"/>
    <d v="1899-12-30T00:00:00"/>
    <d v="2014-02-13T00:00:00"/>
    <n v="29"/>
    <n v="120"/>
    <n v="144"/>
    <n v="144"/>
    <n v="10"/>
    <n v="35"/>
    <s v="30-50"/>
    <n v="154"/>
    <m/>
    <m/>
    <m/>
    <x v="3"/>
    <m/>
    <n v="12"/>
  </r>
  <r>
    <n v="8135"/>
    <n v="1986"/>
    <x v="2"/>
    <x v="2"/>
    <n v="27161"/>
    <n v="1"/>
    <d v="1899-12-30T00:00:00"/>
    <d v="2013-10-28T00:00:00"/>
    <n v="41"/>
    <n v="4"/>
    <n v="0"/>
    <n v="0"/>
    <n v="3"/>
    <n v="40"/>
    <s v="30-50"/>
    <n v="3"/>
    <m/>
    <m/>
    <m/>
    <x v="2"/>
    <m/>
    <n v="13"/>
  </r>
  <r>
    <n v="8685"/>
    <n v="1977"/>
    <x v="0"/>
    <x v="2"/>
    <n v="42014"/>
    <n v="1"/>
    <d v="1899-12-30T00:00:00"/>
    <d v="2012-08-17T00:00:00"/>
    <n v="56"/>
    <n v="15"/>
    <n v="15"/>
    <n v="15"/>
    <n v="6"/>
    <n v="49"/>
    <s v="30-50"/>
    <n v="21"/>
    <m/>
    <m/>
    <m/>
    <x v="1"/>
    <m/>
    <n v="14"/>
  </r>
  <r>
    <n v="4967"/>
    <n v="1960"/>
    <x v="1"/>
    <x v="1"/>
    <n v="38201"/>
    <n v="0"/>
    <d v="1899-12-31T00:00:00"/>
    <d v="2013-03-29T00:00:00"/>
    <n v="19"/>
    <n v="0"/>
    <n v="0"/>
    <n v="0"/>
    <n v="5"/>
    <n v="66"/>
    <s v="&gt;50"/>
    <n v="5"/>
    <m/>
    <m/>
    <m/>
    <x v="1"/>
    <m/>
    <n v="13"/>
  </r>
  <r>
    <n v="2130"/>
    <n v="1982"/>
    <x v="0"/>
    <x v="1"/>
    <n v="45203"/>
    <n v="2"/>
    <d v="1899-12-30T00:00:00"/>
    <d v="2014-03-23T00:00:00"/>
    <n v="4"/>
    <n v="3"/>
    <n v="8"/>
    <n v="8"/>
    <n v="3"/>
    <n v="44"/>
    <s v="30-50"/>
    <n v="11"/>
    <m/>
    <m/>
    <m/>
    <x v="1"/>
    <m/>
    <n v="12"/>
  </r>
  <r>
    <n v="9298"/>
    <n v="1947"/>
    <x v="1"/>
    <x v="1"/>
    <n v="81574"/>
    <n v="0"/>
    <d v="1899-12-30T00:00:00"/>
    <d v="2014-04-28T00:00:00"/>
    <n v="89"/>
    <n v="0"/>
    <n v="35"/>
    <n v="35"/>
    <n v="8"/>
    <n v="79"/>
    <s v="&gt;50"/>
    <n v="43"/>
    <m/>
    <m/>
    <m/>
    <x v="3"/>
    <m/>
    <n v="12"/>
  </r>
  <r>
    <n v="8175"/>
    <n v="1992"/>
    <x v="0"/>
    <x v="2"/>
    <n v="34935"/>
    <n v="0"/>
    <d v="1899-12-30T00:00:00"/>
    <d v="2013-06-21T00:00:00"/>
    <n v="71"/>
    <n v="4"/>
    <n v="10"/>
    <n v="10"/>
    <n v="4"/>
    <n v="34"/>
    <s v="30-50"/>
    <n v="14"/>
    <m/>
    <m/>
    <m/>
    <x v="1"/>
    <m/>
    <n v="13"/>
  </r>
  <r>
    <n v="6257"/>
    <n v="1976"/>
    <x v="2"/>
    <x v="0"/>
    <n v="60482"/>
    <n v="0"/>
    <d v="1899-12-31T00:00:00"/>
    <d v="2013-01-23T00:00:00"/>
    <n v="81"/>
    <n v="43"/>
    <n v="14"/>
    <n v="14"/>
    <n v="7"/>
    <n v="50"/>
    <s v="30-50"/>
    <n v="21"/>
    <m/>
    <m/>
    <m/>
    <x v="0"/>
    <m/>
    <n v="13"/>
  </r>
  <r>
    <n v="3790"/>
    <n v="1956"/>
    <x v="0"/>
    <x v="1"/>
    <n v="34633"/>
    <n v="2"/>
    <d v="1899-12-31T00:00:00"/>
    <d v="2014-01-23T00:00:00"/>
    <n v="31"/>
    <n v="1"/>
    <n v="0"/>
    <n v="0"/>
    <n v="2"/>
    <n v="70"/>
    <s v="&gt;50"/>
    <n v="2"/>
    <m/>
    <m/>
    <m/>
    <x v="1"/>
    <m/>
    <n v="12"/>
  </r>
  <r>
    <n v="9952"/>
    <n v="1947"/>
    <x v="2"/>
    <x v="1"/>
    <n v="78093"/>
    <n v="0"/>
    <d v="1899-12-30T00:00:00"/>
    <d v="2013-12-11T00:00:00"/>
    <n v="53"/>
    <n v="32"/>
    <n v="43"/>
    <n v="43"/>
    <n v="5"/>
    <n v="79"/>
    <s v="&gt;50"/>
    <n v="48"/>
    <m/>
    <m/>
    <m/>
    <x v="3"/>
    <m/>
    <n v="13"/>
  </r>
  <r>
    <n v="3503"/>
    <n v="1950"/>
    <x v="0"/>
    <x v="3"/>
    <n v="82460"/>
    <n v="0"/>
    <d v="1899-12-30T00:00:00"/>
    <d v="2013-12-02T00:00:00"/>
    <n v="78"/>
    <n v="47"/>
    <n v="32"/>
    <n v="32"/>
    <n v="6"/>
    <n v="76"/>
    <s v="&gt;50"/>
    <n v="38"/>
    <m/>
    <m/>
    <m/>
    <x v="3"/>
    <m/>
    <n v="13"/>
  </r>
  <r>
    <n v="5223"/>
    <n v="1966"/>
    <x v="2"/>
    <x v="1"/>
    <n v="45903"/>
    <n v="0"/>
    <d v="1899-12-31T00:00:00"/>
    <d v="2014-04-23T00:00:00"/>
    <n v="80"/>
    <n v="8"/>
    <n v="10"/>
    <n v="10"/>
    <n v="3"/>
    <n v="60"/>
    <s v="&gt;50"/>
    <n v="13"/>
    <m/>
    <m/>
    <m/>
    <x v="1"/>
    <m/>
    <n v="12"/>
  </r>
  <r>
    <n v="4608"/>
    <n v="1987"/>
    <x v="0"/>
    <x v="3"/>
    <n v="81361"/>
    <n v="0"/>
    <d v="1899-12-30T00:00:00"/>
    <d v="2014-02-25T00:00:00"/>
    <n v="18"/>
    <n v="23"/>
    <n v="65"/>
    <n v="65"/>
    <n v="13"/>
    <n v="39"/>
    <s v="30-50"/>
    <n v="78"/>
    <m/>
    <m/>
    <m/>
    <x v="3"/>
    <m/>
    <n v="12"/>
  </r>
  <r>
    <n v="1626"/>
    <n v="1973"/>
    <x v="1"/>
    <x v="3"/>
    <n v="35860"/>
    <n v="1"/>
    <d v="1899-12-31T00:00:00"/>
    <d v="2014-05-19T00:00:00"/>
    <n v="37"/>
    <n v="0"/>
    <n v="2"/>
    <n v="2"/>
    <n v="2"/>
    <n v="53"/>
    <s v="&gt;50"/>
    <n v="4"/>
    <m/>
    <m/>
    <m/>
    <x v="1"/>
    <m/>
    <n v="12"/>
  </r>
  <r>
    <n v="4764"/>
    <n v="1952"/>
    <x v="2"/>
    <x v="1"/>
    <n v="40442"/>
    <n v="1"/>
    <d v="1899-12-31T00:00:00"/>
    <d v="2012-08-19T00:00:00"/>
    <n v="52"/>
    <n v="12"/>
    <n v="22"/>
    <n v="22"/>
    <n v="4"/>
    <n v="74"/>
    <s v="&gt;50"/>
    <n v="26"/>
    <m/>
    <m/>
    <m/>
    <x v="1"/>
    <m/>
    <n v="14"/>
  </r>
  <r>
    <n v="2471"/>
    <n v="1965"/>
    <x v="0"/>
    <x v="2"/>
    <n v="61482"/>
    <n v="0"/>
    <d v="1899-12-30T00:00:00"/>
    <d v="2014-06-27T00:00:00"/>
    <n v="39"/>
    <n v="58"/>
    <n v="66"/>
    <n v="66"/>
    <n v="6"/>
    <n v="61"/>
    <s v="&gt;50"/>
    <n v="72"/>
    <m/>
    <m/>
    <m/>
    <x v="0"/>
    <m/>
    <n v="12"/>
  </r>
  <r>
    <n v="5892"/>
    <n v="1980"/>
    <x v="0"/>
    <x v="2"/>
    <n v="34968"/>
    <n v="1"/>
    <d v="1899-12-30T00:00:00"/>
    <d v="2013-04-10T00:00:00"/>
    <n v="11"/>
    <n v="6"/>
    <n v="2"/>
    <n v="2"/>
    <n v="5"/>
    <n v="46"/>
    <s v="30-50"/>
    <n v="7"/>
    <m/>
    <m/>
    <m/>
    <x v="1"/>
    <m/>
    <n v="13"/>
  </r>
  <r>
    <n v="2612"/>
    <n v="1987"/>
    <x v="0"/>
    <x v="2"/>
    <n v="75794"/>
    <n v="0"/>
    <d v="1899-12-30T00:00:00"/>
    <d v="2013-12-24T00:00:00"/>
    <n v="33"/>
    <n v="160"/>
    <n v="32"/>
    <n v="32"/>
    <n v="12"/>
    <n v="39"/>
    <s v="30-50"/>
    <n v="44"/>
    <m/>
    <m/>
    <m/>
    <x v="3"/>
    <m/>
    <n v="13"/>
  </r>
  <r>
    <n v="4971"/>
    <n v="1962"/>
    <x v="1"/>
    <x v="1"/>
    <n v="31497"/>
    <n v="0"/>
    <d v="1899-12-31T00:00:00"/>
    <d v="2012-12-06T00:00:00"/>
    <n v="22"/>
    <n v="1"/>
    <n v="1"/>
    <n v="1"/>
    <n v="4"/>
    <n v="64"/>
    <s v="&gt;50"/>
    <n v="5"/>
    <m/>
    <m/>
    <m/>
    <x v="1"/>
    <m/>
    <n v="14"/>
  </r>
  <r>
    <n v="5185"/>
    <n v="1955"/>
    <x v="0"/>
    <x v="2"/>
    <n v="74268"/>
    <n v="0"/>
    <d v="1899-12-30T00:00:00"/>
    <d v="2013-02-14T00:00:00"/>
    <n v="83"/>
    <n v="66"/>
    <n v="174"/>
    <n v="174"/>
    <n v="5"/>
    <n v="71"/>
    <s v="&gt;50"/>
    <n v="179"/>
    <m/>
    <m/>
    <m/>
    <x v="0"/>
    <m/>
    <n v="13"/>
  </r>
  <r>
    <n v="10069"/>
    <n v="1988"/>
    <x v="3"/>
    <x v="1"/>
    <n v="13724"/>
    <n v="1"/>
    <d v="1899-12-30T00:00:00"/>
    <d v="2012-08-31T00:00:00"/>
    <n v="43"/>
    <n v="7"/>
    <n v="15"/>
    <n v="15"/>
    <n v="2"/>
    <n v="38"/>
    <s v="30-50"/>
    <n v="17"/>
    <m/>
    <m/>
    <m/>
    <x v="2"/>
    <m/>
    <n v="14"/>
  </r>
  <r>
    <n v="2262"/>
    <n v="1965"/>
    <x v="2"/>
    <x v="1"/>
    <n v="45143"/>
    <n v="0"/>
    <d v="1899-12-31T00:00:00"/>
    <d v="2013-08-26T00:00:00"/>
    <n v="74"/>
    <n v="5"/>
    <n v="5"/>
    <n v="5"/>
    <n v="5"/>
    <n v="61"/>
    <s v="&gt;50"/>
    <n v="10"/>
    <m/>
    <m/>
    <m/>
    <x v="1"/>
    <m/>
    <n v="13"/>
  </r>
  <r>
    <n v="1131"/>
    <n v="1967"/>
    <x v="1"/>
    <x v="0"/>
    <n v="52569"/>
    <n v="0"/>
    <d v="1899-12-31T00:00:00"/>
    <d v="2014-04-05T00:00:00"/>
    <n v="54"/>
    <n v="0"/>
    <n v="0"/>
    <n v="0"/>
    <n v="4"/>
    <n v="59"/>
    <s v="&gt;50"/>
    <n v="4"/>
    <m/>
    <m/>
    <m/>
    <x v="0"/>
    <m/>
    <n v="12"/>
  </r>
  <r>
    <n v="1041"/>
    <n v="1973"/>
    <x v="1"/>
    <x v="0"/>
    <n v="48432"/>
    <n v="0"/>
    <d v="1899-12-31T00:00:00"/>
    <d v="2012-10-18T00:00:00"/>
    <n v="3"/>
    <n v="3"/>
    <n v="3"/>
    <n v="3"/>
    <n v="6"/>
    <n v="53"/>
    <s v="&gt;50"/>
    <n v="9"/>
    <m/>
    <m/>
    <m/>
    <x v="1"/>
    <m/>
    <n v="14"/>
  </r>
  <r>
    <n v="24"/>
    <n v="1960"/>
    <x v="2"/>
    <x v="1"/>
    <n v="17144"/>
    <n v="1"/>
    <d v="1899-12-31T00:00:00"/>
    <d v="2014-02-15T00:00:00"/>
    <n v="96"/>
    <n v="2"/>
    <n v="2"/>
    <n v="2"/>
    <n v="4"/>
    <n v="66"/>
    <s v="&gt;50"/>
    <n v="6"/>
    <m/>
    <m/>
    <m/>
    <x v="2"/>
    <m/>
    <n v="12"/>
  </r>
  <r>
    <n v="3409"/>
    <n v="1984"/>
    <x v="0"/>
    <x v="0"/>
    <n v="36108"/>
    <n v="1"/>
    <d v="1899-12-30T00:00:00"/>
    <d v="2013-10-15T00:00:00"/>
    <n v="68"/>
    <n v="8"/>
    <n v="11"/>
    <n v="11"/>
    <n v="4"/>
    <n v="42"/>
    <s v="30-50"/>
    <n v="15"/>
    <m/>
    <m/>
    <m/>
    <x v="1"/>
    <m/>
    <n v="13"/>
  </r>
  <r>
    <n v="7022"/>
    <n v="1971"/>
    <x v="0"/>
    <x v="2"/>
    <n v="76445"/>
    <n v="1"/>
    <d v="1899-12-30T00:00:00"/>
    <d v="2012-09-28T00:00:00"/>
    <n v="2"/>
    <n v="107"/>
    <n v="80"/>
    <n v="80"/>
    <n v="13"/>
    <n v="55"/>
    <s v="&gt;50"/>
    <n v="93"/>
    <m/>
    <m/>
    <m/>
    <x v="3"/>
    <m/>
    <n v="14"/>
  </r>
  <r>
    <n v="7943"/>
    <n v="1975"/>
    <x v="1"/>
    <x v="2"/>
    <n v="36663"/>
    <n v="1"/>
    <d v="1899-12-30T00:00:00"/>
    <d v="2014-04-25T00:00:00"/>
    <n v="40"/>
    <n v="0"/>
    <n v="3"/>
    <n v="3"/>
    <n v="3"/>
    <n v="51"/>
    <s v="&gt;50"/>
    <n v="6"/>
    <m/>
    <m/>
    <m/>
    <x v="1"/>
    <m/>
    <n v="12"/>
  </r>
  <r>
    <n v="5272"/>
    <n v="1965"/>
    <x v="2"/>
    <x v="2"/>
    <n v="53843"/>
    <n v="0"/>
    <d v="1899-12-31T00:00:00"/>
    <d v="2013-06-27T00:00:00"/>
    <n v="64"/>
    <n v="0"/>
    <n v="4"/>
    <n v="4"/>
    <n v="3"/>
    <n v="61"/>
    <s v="&gt;50"/>
    <n v="7"/>
    <m/>
    <m/>
    <m/>
    <x v="0"/>
    <m/>
    <n v="13"/>
  </r>
  <r>
    <n v="5453"/>
    <n v="1956"/>
    <x v="2"/>
    <x v="2"/>
    <n v="90226"/>
    <n v="0"/>
    <d v="1899-12-30T00:00:00"/>
    <d v="2012-09-26T00:00:00"/>
    <n v="26"/>
    <n v="108"/>
    <n v="151"/>
    <n v="151"/>
    <n v="12"/>
    <n v="70"/>
    <s v="&gt;50"/>
    <n v="163"/>
    <m/>
    <m/>
    <m/>
    <x v="3"/>
    <m/>
    <n v="14"/>
  </r>
  <r>
    <n v="2565"/>
    <n v="1955"/>
    <x v="2"/>
    <x v="3"/>
    <n v="70638"/>
    <n v="0"/>
    <d v="1899-12-30T00:00:00"/>
    <d v="2013-06-01T00:00:00"/>
    <n v="69"/>
    <n v="12"/>
    <n v="12"/>
    <n v="12"/>
    <n v="10"/>
    <n v="71"/>
    <s v="&gt;50"/>
    <n v="22"/>
    <m/>
    <m/>
    <m/>
    <x v="0"/>
    <m/>
    <n v="13"/>
  </r>
  <r>
    <n v="800"/>
    <n v="1960"/>
    <x v="0"/>
    <x v="1"/>
    <n v="44512"/>
    <n v="1"/>
    <d v="1899-12-31T00:00:00"/>
    <d v="2013-08-30T00:00:00"/>
    <n v="57"/>
    <n v="1"/>
    <n v="0"/>
    <n v="0"/>
    <n v="3"/>
    <n v="66"/>
    <s v="&gt;50"/>
    <n v="3"/>
    <m/>
    <m/>
    <m/>
    <x v="1"/>
    <m/>
    <n v="13"/>
  </r>
  <r>
    <n v="11092"/>
    <n v="1961"/>
    <x v="0"/>
    <x v="2"/>
    <n v="27116"/>
    <n v="1"/>
    <d v="1899-12-31T00:00:00"/>
    <d v="2014-03-02T00:00:00"/>
    <n v="78"/>
    <n v="1"/>
    <n v="2"/>
    <n v="2"/>
    <n v="3"/>
    <n v="65"/>
    <s v="&gt;50"/>
    <n v="5"/>
    <m/>
    <m/>
    <m/>
    <x v="2"/>
    <m/>
    <n v="12"/>
  </r>
  <r>
    <n v="5062"/>
    <n v="1963"/>
    <x v="1"/>
    <x v="2"/>
    <n v="54072"/>
    <n v="1"/>
    <d v="1899-12-31T00:00:00"/>
    <d v="2013-07-27T00:00:00"/>
    <n v="71"/>
    <n v="0"/>
    <n v="0"/>
    <n v="0"/>
    <n v="2"/>
    <n v="63"/>
    <s v="&gt;50"/>
    <n v="2"/>
    <m/>
    <m/>
    <m/>
    <x v="0"/>
    <m/>
    <n v="13"/>
  </r>
  <r>
    <n v="8969"/>
    <n v="1977"/>
    <x v="0"/>
    <x v="2"/>
    <n v="71855"/>
    <n v="0"/>
    <d v="1899-12-31T00:00:00"/>
    <d v="2013-01-16T00:00:00"/>
    <n v="59"/>
    <n v="31"/>
    <n v="112"/>
    <n v="112"/>
    <n v="11"/>
    <n v="49"/>
    <s v="30-50"/>
    <n v="123"/>
    <m/>
    <m/>
    <m/>
    <x v="0"/>
    <m/>
    <n v="13"/>
  </r>
  <r>
    <n v="4656"/>
    <n v="1990"/>
    <x v="4"/>
    <x v="0"/>
    <n v="51250"/>
    <n v="1"/>
    <d v="1899-12-30T00:00:00"/>
    <d v="2013-03-30T00:00:00"/>
    <n v="28"/>
    <n v="32"/>
    <n v="32"/>
    <n v="32"/>
    <n v="4"/>
    <n v="36"/>
    <s v="30-50"/>
    <n v="36"/>
    <m/>
    <m/>
    <m/>
    <x v="0"/>
    <m/>
    <n v="13"/>
  </r>
  <r>
    <n v="4480"/>
    <n v="1973"/>
    <x v="2"/>
    <x v="2"/>
    <n v="60432"/>
    <n v="0"/>
    <d v="1899-12-31T00:00:00"/>
    <d v="2014-03-09T00:00:00"/>
    <n v="61"/>
    <n v="3"/>
    <n v="3"/>
    <n v="3"/>
    <n v="5"/>
    <n v="53"/>
    <s v="&gt;50"/>
    <n v="8"/>
    <m/>
    <m/>
    <m/>
    <x v="0"/>
    <m/>
    <n v="12"/>
  </r>
  <r>
    <n v="9971"/>
    <n v="1964"/>
    <x v="1"/>
    <x v="2"/>
    <n v="65526"/>
    <n v="0"/>
    <d v="1899-12-31T00:00:00"/>
    <d v="2014-04-11T00:00:00"/>
    <n v="22"/>
    <n v="19"/>
    <n v="0"/>
    <n v="0"/>
    <n v="8"/>
    <n v="62"/>
    <s v="&gt;50"/>
    <n v="8"/>
    <m/>
    <m/>
    <m/>
    <x v="0"/>
    <m/>
    <n v="12"/>
  </r>
  <r>
    <n v="6729"/>
    <n v="1988"/>
    <x v="0"/>
    <x v="0"/>
    <n v="68655"/>
    <n v="0"/>
    <d v="1899-12-30T00:00:00"/>
    <d v="2012-08-10T00:00:00"/>
    <n v="95"/>
    <n v="19"/>
    <n v="118"/>
    <n v="118"/>
    <n v="11"/>
    <n v="38"/>
    <s v="30-50"/>
    <n v="129"/>
    <m/>
    <m/>
    <m/>
    <x v="0"/>
    <m/>
    <n v="14"/>
  </r>
  <r>
    <n v="1773"/>
    <n v="1978"/>
    <x v="4"/>
    <x v="2"/>
    <n v="12393"/>
    <n v="0"/>
    <d v="1899-12-30T00:00:00"/>
    <d v="2012-12-04T00:00:00"/>
    <n v="38"/>
    <n v="6"/>
    <n v="7"/>
    <n v="7"/>
    <n v="3"/>
    <n v="48"/>
    <s v="30-50"/>
    <n v="10"/>
    <m/>
    <m/>
    <m/>
    <x v="2"/>
    <m/>
    <n v="14"/>
  </r>
  <r>
    <n v="9242"/>
    <n v="1990"/>
    <x v="0"/>
    <x v="0"/>
    <n v="64509"/>
    <n v="0"/>
    <d v="1899-12-30T00:00:00"/>
    <d v="2013-08-17T00:00:00"/>
    <n v="19"/>
    <n v="185"/>
    <n v="25"/>
    <n v="25"/>
    <n v="9"/>
    <n v="36"/>
    <s v="30-50"/>
    <n v="34"/>
    <m/>
    <m/>
    <m/>
    <x v="0"/>
    <m/>
    <n v="13"/>
  </r>
  <r>
    <n v="1764"/>
    <n v="1975"/>
    <x v="0"/>
    <x v="0"/>
    <n v="33955"/>
    <n v="1"/>
    <d v="1899-12-30T00:00:00"/>
    <d v="2013-08-09T00:00:00"/>
    <n v="92"/>
    <n v="2"/>
    <n v="7"/>
    <n v="7"/>
    <n v="5"/>
    <n v="51"/>
    <s v="&gt;50"/>
    <n v="12"/>
    <m/>
    <m/>
    <m/>
    <x v="1"/>
    <m/>
    <n v="13"/>
  </r>
  <r>
    <n v="6215"/>
    <n v="1977"/>
    <x v="0"/>
    <x v="2"/>
    <n v="31353"/>
    <n v="1"/>
    <d v="1899-12-31T00:00:00"/>
    <d v="2013-12-29T00:00:00"/>
    <n v="24"/>
    <n v="0"/>
    <n v="1"/>
    <n v="1"/>
    <n v="2"/>
    <n v="49"/>
    <s v="30-50"/>
    <n v="3"/>
    <m/>
    <m/>
    <m/>
    <x v="1"/>
    <m/>
    <n v="13"/>
  </r>
  <r>
    <n v="10099"/>
    <n v="1984"/>
    <x v="0"/>
    <x v="2"/>
    <n v="55434"/>
    <n v="1"/>
    <d v="1899-12-30T00:00:00"/>
    <d v="2013-10-05T00:00:00"/>
    <n v="21"/>
    <n v="115"/>
    <n v="69"/>
    <n v="69"/>
    <n v="13"/>
    <n v="42"/>
    <s v="30-50"/>
    <n v="82"/>
    <m/>
    <m/>
    <m/>
    <x v="0"/>
    <m/>
    <n v="13"/>
  </r>
  <r>
    <n v="5423"/>
    <n v="1983"/>
    <x v="0"/>
    <x v="1"/>
    <n v="28359"/>
    <n v="1"/>
    <d v="1899-12-30T00:00:00"/>
    <d v="2013-10-27T00:00:00"/>
    <n v="35"/>
    <n v="0"/>
    <n v="1"/>
    <n v="1"/>
    <n v="2"/>
    <n v="43"/>
    <s v="30-50"/>
    <n v="3"/>
    <m/>
    <m/>
    <m/>
    <x v="2"/>
    <m/>
    <n v="13"/>
  </r>
  <r>
    <n v="940"/>
    <n v="1987"/>
    <x v="0"/>
    <x v="0"/>
    <n v="57100"/>
    <n v="1"/>
    <d v="1899-12-30T00:00:00"/>
    <d v="2014-05-18T00:00:00"/>
    <n v="9"/>
    <n v="11"/>
    <n v="11"/>
    <n v="11"/>
    <n v="7"/>
    <n v="39"/>
    <s v="30-50"/>
    <n v="18"/>
    <m/>
    <m/>
    <m/>
    <x v="0"/>
    <m/>
    <n v="12"/>
  </r>
  <r>
    <n v="3011"/>
    <n v="1965"/>
    <x v="0"/>
    <x v="2"/>
    <n v="69139"/>
    <n v="0"/>
    <d v="1899-12-31T00:00:00"/>
    <d v="2014-01-27T00:00:00"/>
    <n v="23"/>
    <n v="12"/>
    <n v="15"/>
    <n v="15"/>
    <n v="5"/>
    <n v="61"/>
    <s v="&gt;50"/>
    <n v="20"/>
    <m/>
    <m/>
    <m/>
    <x v="0"/>
    <m/>
    <n v="12"/>
  </r>
  <r>
    <n v="3298"/>
    <n v="1956"/>
    <x v="2"/>
    <x v="2"/>
    <n v="52973"/>
    <n v="0"/>
    <d v="1899-12-31T00:00:00"/>
    <d v="2012-11-08T00:00:00"/>
    <n v="92"/>
    <n v="0"/>
    <n v="9"/>
    <n v="9"/>
    <n v="9"/>
    <n v="70"/>
    <s v="&gt;50"/>
    <n v="18"/>
    <m/>
    <m/>
    <m/>
    <x v="0"/>
    <m/>
    <n v="14"/>
  </r>
  <r>
    <n v="8286"/>
    <n v="1965"/>
    <x v="1"/>
    <x v="1"/>
    <n v="51717"/>
    <n v="0"/>
    <d v="1899-12-31T00:00:00"/>
    <d v="2013-08-20T00:00:00"/>
    <n v="55"/>
    <n v="1"/>
    <n v="1"/>
    <n v="1"/>
    <n v="4"/>
    <n v="61"/>
    <s v="&gt;50"/>
    <n v="5"/>
    <m/>
    <m/>
    <m/>
    <x v="0"/>
    <m/>
    <n v="13"/>
  </r>
  <r>
    <n v="9668"/>
    <n v="1971"/>
    <x v="0"/>
    <x v="2"/>
    <n v="18793"/>
    <n v="1"/>
    <d v="1899-12-30T00:00:00"/>
    <d v="2013-01-12T00:00:00"/>
    <n v="14"/>
    <n v="16"/>
    <n v="17"/>
    <n v="17"/>
    <n v="4"/>
    <n v="55"/>
    <s v="&gt;50"/>
    <n v="21"/>
    <m/>
    <m/>
    <m/>
    <x v="2"/>
    <m/>
    <n v="13"/>
  </r>
  <r>
    <n v="5120"/>
    <n v="1982"/>
    <x v="4"/>
    <x v="1"/>
    <n v="66664"/>
    <n v="0"/>
    <d v="1899-12-30T00:00:00"/>
    <d v="2012-09-25T00:00:00"/>
    <n v="78"/>
    <n v="96"/>
    <n v="96"/>
    <n v="96"/>
    <n v="6"/>
    <n v="44"/>
    <s v="30-50"/>
    <n v="102"/>
    <m/>
    <m/>
    <m/>
    <x v="0"/>
    <m/>
    <n v="14"/>
  </r>
  <r>
    <n v="6097"/>
    <n v="1959"/>
    <x v="0"/>
    <x v="0"/>
    <n v="50664"/>
    <n v="1"/>
    <d v="1899-12-31T00:00:00"/>
    <d v="2013-01-16T00:00:00"/>
    <n v="64"/>
    <n v="8"/>
    <n v="4"/>
    <n v="4"/>
    <n v="6"/>
    <n v="67"/>
    <s v="&gt;50"/>
    <n v="10"/>
    <m/>
    <m/>
    <m/>
    <x v="0"/>
    <m/>
    <n v="13"/>
  </r>
  <r>
    <n v="7019"/>
    <n v="1963"/>
    <x v="0"/>
    <x v="1"/>
    <n v="54414"/>
    <n v="1"/>
    <d v="1899-12-31T00:00:00"/>
    <d v="2013-01-23T00:00:00"/>
    <n v="49"/>
    <n v="18"/>
    <n v="26"/>
    <n v="26"/>
    <n v="5"/>
    <n v="63"/>
    <s v="&gt;50"/>
    <n v="31"/>
    <m/>
    <m/>
    <m/>
    <x v="0"/>
    <m/>
    <n v="13"/>
  </r>
  <r>
    <n v="7408"/>
    <n v="1952"/>
    <x v="1"/>
    <x v="2"/>
    <n v="54549"/>
    <n v="0"/>
    <d v="1899-12-31T00:00:00"/>
    <d v="2014-03-03T00:00:00"/>
    <n v="8"/>
    <n v="2"/>
    <n v="0"/>
    <n v="0"/>
    <n v="4"/>
    <n v="74"/>
    <s v="&gt;50"/>
    <n v="4"/>
    <m/>
    <m/>
    <m/>
    <x v="0"/>
    <m/>
    <n v="12"/>
  </r>
  <r>
    <n v="8041"/>
    <n v="1971"/>
    <x v="1"/>
    <x v="4"/>
    <n v="47111"/>
    <n v="0"/>
    <d v="1899-12-31T00:00:00"/>
    <d v="2012-09-08T00:00:00"/>
    <n v="35"/>
    <n v="71"/>
    <n v="112"/>
    <n v="112"/>
    <n v="10"/>
    <n v="55"/>
    <s v="&gt;50"/>
    <n v="122"/>
    <m/>
    <m/>
    <m/>
    <x v="1"/>
    <m/>
    <n v="14"/>
  </r>
  <r>
    <n v="252"/>
    <n v="1963"/>
    <x v="1"/>
    <x v="3"/>
    <n v="41003"/>
    <n v="0"/>
    <d v="1899-12-30T00:00:00"/>
    <d v="2013-03-17T00:00:00"/>
    <n v="11"/>
    <n v="133"/>
    <n v="44"/>
    <n v="44"/>
    <n v="8"/>
    <n v="63"/>
    <s v="&gt;50"/>
    <n v="52"/>
    <m/>
    <m/>
    <m/>
    <x v="1"/>
    <m/>
    <n v="13"/>
  </r>
  <r>
    <n v="9986"/>
    <n v="1982"/>
    <x v="0"/>
    <x v="1"/>
    <n v="19444"/>
    <n v="1"/>
    <d v="1899-12-30T00:00:00"/>
    <d v="2014-02-22T00:00:00"/>
    <n v="8"/>
    <n v="0"/>
    <n v="2"/>
    <n v="2"/>
    <n v="2"/>
    <n v="44"/>
    <s v="30-50"/>
    <n v="4"/>
    <m/>
    <m/>
    <m/>
    <x v="2"/>
    <m/>
    <n v="12"/>
  </r>
  <r>
    <n v="3276"/>
    <n v="1976"/>
    <x v="4"/>
    <x v="1"/>
    <n v="36301"/>
    <n v="1"/>
    <d v="1899-12-30T00:00:00"/>
    <d v="2013-10-25T00:00:00"/>
    <n v="53"/>
    <n v="12"/>
    <n v="5"/>
    <n v="5"/>
    <n v="3"/>
    <n v="50"/>
    <s v="30-50"/>
    <n v="8"/>
    <m/>
    <m/>
    <m/>
    <x v="1"/>
    <m/>
    <n v="13"/>
  </r>
  <r>
    <n v="3859"/>
    <n v="1947"/>
    <x v="1"/>
    <x v="1"/>
    <n v="73059"/>
    <n v="0"/>
    <d v="1899-12-31T00:00:00"/>
    <d v="2013-08-31T00:00:00"/>
    <n v="36"/>
    <n v="112"/>
    <n v="82"/>
    <n v="82"/>
    <n v="13"/>
    <n v="79"/>
    <s v="&gt;50"/>
    <n v="95"/>
    <m/>
    <m/>
    <m/>
    <x v="0"/>
    <m/>
    <n v="13"/>
  </r>
  <r>
    <n v="3570"/>
    <n v="1969"/>
    <x v="1"/>
    <x v="1"/>
    <n v="42731"/>
    <n v="1"/>
    <d v="1899-12-30T00:00:00"/>
    <d v="2013-10-21T00:00:00"/>
    <n v="64"/>
    <n v="2"/>
    <n v="2"/>
    <n v="2"/>
    <n v="5"/>
    <n v="57"/>
    <s v="&gt;50"/>
    <n v="7"/>
    <m/>
    <m/>
    <m/>
    <x v="1"/>
    <m/>
    <n v="13"/>
  </r>
  <r>
    <n v="3783"/>
    <n v="1959"/>
    <x v="1"/>
    <x v="2"/>
    <n v="52854"/>
    <n v="1"/>
    <d v="1899-12-31T00:00:00"/>
    <d v="2014-03-24T00:00:00"/>
    <n v="43"/>
    <n v="0"/>
    <n v="1"/>
    <n v="1"/>
    <n v="4"/>
    <n v="67"/>
    <s v="&gt;50"/>
    <n v="5"/>
    <m/>
    <m/>
    <m/>
    <x v="0"/>
    <m/>
    <n v="12"/>
  </r>
  <r>
    <n v="10207"/>
    <n v="1978"/>
    <x v="0"/>
    <x v="1"/>
    <n v="22775"/>
    <n v="1"/>
    <d v="1899-12-30T00:00:00"/>
    <d v="2013-06-19T00:00:00"/>
    <n v="40"/>
    <n v="1"/>
    <n v="0"/>
    <n v="0"/>
    <n v="2"/>
    <n v="48"/>
    <s v="30-50"/>
    <n v="2"/>
    <m/>
    <m/>
    <m/>
    <x v="2"/>
    <m/>
    <n v="13"/>
  </r>
  <r>
    <n v="10906"/>
    <n v="1948"/>
    <x v="1"/>
    <x v="1"/>
    <n v="46681"/>
    <n v="0"/>
    <d v="1900-01-01T00:00:00"/>
    <d v="2013-10-08T00:00:00"/>
    <n v="52"/>
    <n v="15"/>
    <n v="19"/>
    <n v="19"/>
    <n v="4"/>
    <n v="78"/>
    <s v="&gt;50"/>
    <n v="23"/>
    <m/>
    <m/>
    <m/>
    <x v="1"/>
    <m/>
    <n v="13"/>
  </r>
  <r>
    <n v="3427"/>
    <n v="1955"/>
    <x v="1"/>
    <x v="2"/>
    <n v="59821"/>
    <n v="0"/>
    <d v="1899-12-31T00:00:00"/>
    <d v="2013-04-12T00:00:00"/>
    <n v="11"/>
    <n v="0"/>
    <n v="0"/>
    <n v="0"/>
    <n v="7"/>
    <n v="71"/>
    <s v="&gt;50"/>
    <n v="7"/>
    <m/>
    <m/>
    <m/>
    <x v="0"/>
    <m/>
    <n v="13"/>
  </r>
  <r>
    <n v="5209"/>
    <n v="1954"/>
    <x v="0"/>
    <x v="3"/>
    <n v="50002"/>
    <n v="0"/>
    <d v="1899-12-31T00:00:00"/>
    <d v="2013-06-17T00:00:00"/>
    <n v="21"/>
    <n v="5"/>
    <n v="16"/>
    <n v="16"/>
    <n v="7"/>
    <n v="72"/>
    <s v="&gt;50"/>
    <n v="23"/>
    <m/>
    <m/>
    <m/>
    <x v="0"/>
    <m/>
    <n v="13"/>
  </r>
  <r>
    <n v="10711"/>
    <n v="1945"/>
    <x v="0"/>
    <x v="2"/>
    <n v="69755"/>
    <n v="0"/>
    <d v="1899-12-30T00:00:00"/>
    <d v="2013-10-02T00:00:00"/>
    <n v="23"/>
    <n v="77"/>
    <n v="23"/>
    <n v="23"/>
    <n v="12"/>
    <n v="81"/>
    <s v="&gt;50"/>
    <n v="35"/>
    <m/>
    <m/>
    <m/>
    <x v="0"/>
    <m/>
    <n v="13"/>
  </r>
  <r>
    <n v="10785"/>
    <n v="1969"/>
    <x v="0"/>
    <x v="2"/>
    <n v="44078"/>
    <n v="1"/>
    <d v="1899-12-31T00:00:00"/>
    <d v="2014-06-19T00:00:00"/>
    <n v="17"/>
    <n v="1"/>
    <n v="0"/>
    <n v="0"/>
    <n v="3"/>
    <n v="57"/>
    <s v="&gt;50"/>
    <n v="3"/>
    <m/>
    <m/>
    <m/>
    <x v="1"/>
    <m/>
    <n v="12"/>
  </r>
  <r>
    <n v="2814"/>
    <n v="1976"/>
    <x v="2"/>
    <x v="1"/>
    <n v="30560"/>
    <n v="1"/>
    <d v="1899-12-30T00:00:00"/>
    <d v="2013-06-27T00:00:00"/>
    <n v="6"/>
    <n v="1"/>
    <n v="5"/>
    <n v="5"/>
    <n v="3"/>
    <n v="50"/>
    <s v="30-50"/>
    <n v="8"/>
    <m/>
    <m/>
    <m/>
    <x v="1"/>
    <m/>
    <n v="13"/>
  </r>
  <r>
    <n v="6866"/>
    <n v="1969"/>
    <x v="2"/>
    <x v="1"/>
    <n v="35924"/>
    <n v="1"/>
    <d v="1899-12-31T00:00:00"/>
    <d v="2014-03-23T00:00:00"/>
    <n v="56"/>
    <n v="0"/>
    <n v="3"/>
    <n v="3"/>
    <n v="3"/>
    <n v="57"/>
    <s v="&gt;50"/>
    <n v="6"/>
    <m/>
    <m/>
    <m/>
    <x v="1"/>
    <m/>
    <n v="12"/>
  </r>
  <r>
    <n v="1665"/>
    <n v="1964"/>
    <x v="1"/>
    <x v="3"/>
    <n v="64140"/>
    <n v="0"/>
    <d v="1900-01-01T00:00:00"/>
    <d v="2013-09-23T00:00:00"/>
    <n v="71"/>
    <n v="0"/>
    <n v="15"/>
    <n v="15"/>
    <n v="6"/>
    <n v="62"/>
    <s v="&gt;50"/>
    <n v="21"/>
    <m/>
    <m/>
    <m/>
    <x v="0"/>
    <m/>
    <n v="13"/>
  </r>
  <r>
    <n v="6575"/>
    <n v="1981"/>
    <x v="0"/>
    <x v="1"/>
    <n v="56386"/>
    <n v="1"/>
    <d v="1899-12-31T00:00:00"/>
    <d v="2012-10-27T00:00:00"/>
    <n v="51"/>
    <n v="48"/>
    <n v="32"/>
    <n v="32"/>
    <n v="7"/>
    <n v="45"/>
    <s v="30-50"/>
    <n v="39"/>
    <m/>
    <m/>
    <m/>
    <x v="0"/>
    <m/>
    <n v="14"/>
  </r>
  <r>
    <n v="3829"/>
    <n v="1979"/>
    <x v="3"/>
    <x v="1"/>
    <n v="24594"/>
    <n v="1"/>
    <d v="1899-12-30T00:00:00"/>
    <d v="2013-12-10T00:00:00"/>
    <n v="94"/>
    <n v="3"/>
    <n v="0"/>
    <n v="0"/>
    <n v="3"/>
    <n v="47"/>
    <s v="30-50"/>
    <n v="3"/>
    <m/>
    <m/>
    <m/>
    <x v="2"/>
    <m/>
    <n v="13"/>
  </r>
  <r>
    <n v="3091"/>
    <n v="1981"/>
    <x v="4"/>
    <x v="1"/>
    <n v="75774"/>
    <n v="1"/>
    <d v="1899-12-30T00:00:00"/>
    <d v="2014-05-02T00:00:00"/>
    <n v="27"/>
    <n v="21"/>
    <n v="14"/>
    <n v="14"/>
    <n v="8"/>
    <n v="45"/>
    <s v="30-50"/>
    <n v="22"/>
    <m/>
    <m/>
    <m/>
    <x v="3"/>
    <m/>
    <n v="12"/>
  </r>
  <r>
    <n v="10141"/>
    <n v="1960"/>
    <x v="2"/>
    <x v="3"/>
    <n v="39228"/>
    <n v="0"/>
    <d v="1899-12-30T00:00:00"/>
    <d v="2013-05-10T00:00:00"/>
    <n v="1"/>
    <n v="1"/>
    <n v="3"/>
    <n v="3"/>
    <n v="3"/>
    <n v="66"/>
    <s v="&gt;50"/>
    <n v="6"/>
    <m/>
    <m/>
    <m/>
    <x v="1"/>
    <m/>
    <n v="13"/>
  </r>
  <r>
    <n v="5177"/>
    <n v="1974"/>
    <x v="2"/>
    <x v="2"/>
    <n v="58494"/>
    <n v="0"/>
    <d v="1899-12-31T00:00:00"/>
    <d v="2013-12-12T00:00:00"/>
    <n v="56"/>
    <n v="7"/>
    <n v="0"/>
    <n v="0"/>
    <n v="6"/>
    <n v="52"/>
    <s v="&gt;50"/>
    <n v="6"/>
    <m/>
    <m/>
    <m/>
    <x v="0"/>
    <m/>
    <n v="13"/>
  </r>
  <r>
    <n v="7005"/>
    <n v="1981"/>
    <x v="0"/>
    <x v="0"/>
    <n v="58684"/>
    <n v="0"/>
    <d v="1899-12-30T00:00:00"/>
    <d v="2014-06-16T00:00:00"/>
    <n v="71"/>
    <n v="35"/>
    <n v="7"/>
    <n v="7"/>
    <n v="12"/>
    <n v="45"/>
    <s v="30-50"/>
    <n v="19"/>
    <m/>
    <m/>
    <m/>
    <x v="0"/>
    <m/>
    <n v="12"/>
  </r>
  <r>
    <n v="6409"/>
    <n v="1967"/>
    <x v="0"/>
    <x v="3"/>
    <n v="57136"/>
    <n v="0"/>
    <d v="1899-12-30T00:00:00"/>
    <d v="2013-05-18T00:00:00"/>
    <n v="18"/>
    <n v="140"/>
    <n v="12"/>
    <n v="12"/>
    <n v="7"/>
    <n v="59"/>
    <s v="&gt;50"/>
    <n v="19"/>
    <m/>
    <m/>
    <m/>
    <x v="0"/>
    <m/>
    <n v="13"/>
  </r>
  <r>
    <n v="7485"/>
    <n v="1950"/>
    <x v="1"/>
    <x v="4"/>
    <n v="56551"/>
    <n v="1"/>
    <d v="1899-12-31T00:00:00"/>
    <d v="2014-05-07T00:00:00"/>
    <n v="48"/>
    <n v="4"/>
    <n v="2"/>
    <n v="2"/>
    <n v="4"/>
    <n v="76"/>
    <s v="&gt;50"/>
    <n v="6"/>
    <m/>
    <m/>
    <m/>
    <x v="0"/>
    <m/>
    <n v="12"/>
  </r>
  <r>
    <n v="8079"/>
    <n v="1982"/>
    <x v="0"/>
    <x v="2"/>
    <n v="22448"/>
    <n v="1"/>
    <d v="1899-12-30T00:00:00"/>
    <d v="2014-02-26T00:00:00"/>
    <n v="86"/>
    <n v="1"/>
    <n v="2"/>
    <n v="2"/>
    <n v="3"/>
    <n v="44"/>
    <s v="30-50"/>
    <n v="5"/>
    <m/>
    <m/>
    <m/>
    <x v="2"/>
    <m/>
    <n v="12"/>
  </r>
  <r>
    <n v="8395"/>
    <n v="1961"/>
    <x v="0"/>
    <x v="0"/>
    <n v="82014"/>
    <n v="0"/>
    <d v="1899-12-30T00:00:00"/>
    <d v="2012-08-20T00:00:00"/>
    <n v="48"/>
    <n v="37"/>
    <n v="163"/>
    <n v="163"/>
    <n v="12"/>
    <n v="65"/>
    <s v="&gt;50"/>
    <n v="175"/>
    <m/>
    <m/>
    <m/>
    <x v="3"/>
    <m/>
    <n v="14"/>
  </r>
  <r>
    <n v="10352"/>
    <n v="1963"/>
    <x v="0"/>
    <x v="4"/>
    <n v="34213"/>
    <n v="1"/>
    <d v="1899-12-31T00:00:00"/>
    <d v="2012-09-07T00:00:00"/>
    <n v="2"/>
    <n v="4"/>
    <n v="3"/>
    <n v="3"/>
    <n v="2"/>
    <n v="63"/>
    <s v="&gt;50"/>
    <n v="5"/>
    <m/>
    <m/>
    <m/>
    <x v="1"/>
    <m/>
    <n v="14"/>
  </r>
  <r>
    <n v="4931"/>
    <n v="1977"/>
    <x v="0"/>
    <x v="1"/>
    <n v="157146"/>
    <n v="0"/>
    <d v="1899-12-30T00:00:00"/>
    <d v="2013-04-29T00:00:00"/>
    <n v="13"/>
    <n v="0"/>
    <n v="1"/>
    <n v="1"/>
    <n v="0"/>
    <n v="49"/>
    <s v="30-50"/>
    <n v="1"/>
    <m/>
    <m/>
    <m/>
    <x v="4"/>
    <m/>
    <n v="13"/>
  </r>
  <r>
    <n v="13"/>
    <n v="1947"/>
    <x v="1"/>
    <x v="4"/>
    <n v="25358"/>
    <n v="0"/>
    <d v="1899-12-31T00:00:00"/>
    <d v="2013-07-22T00:00:00"/>
    <n v="57"/>
    <n v="0"/>
    <n v="0"/>
    <n v="0"/>
    <n v="3"/>
    <n v="79"/>
    <s v="&gt;50"/>
    <n v="3"/>
    <m/>
    <m/>
    <m/>
    <x v="2"/>
    <m/>
    <n v="13"/>
  </r>
  <r>
    <n v="1834"/>
    <n v="1978"/>
    <x v="2"/>
    <x v="0"/>
    <n v="35544"/>
    <n v="1"/>
    <d v="1899-12-30T00:00:00"/>
    <d v="2014-03-08T00:00:00"/>
    <n v="77"/>
    <n v="5"/>
    <n v="1"/>
    <n v="1"/>
    <n v="3"/>
    <n v="48"/>
    <s v="30-50"/>
    <n v="4"/>
    <m/>
    <m/>
    <m/>
    <x v="1"/>
    <m/>
    <n v="12"/>
  </r>
  <r>
    <n v="2285"/>
    <n v="1954"/>
    <x v="2"/>
    <x v="1"/>
    <n v="36634"/>
    <n v="0"/>
    <d v="1899-12-31T00:00:00"/>
    <d v="2013-05-28T00:00:00"/>
    <n v="0"/>
    <n v="9"/>
    <n v="3"/>
    <n v="3"/>
    <n v="5"/>
    <n v="72"/>
    <s v="&gt;50"/>
    <n v="8"/>
    <m/>
    <m/>
    <m/>
    <x v="1"/>
    <m/>
    <n v="13"/>
  </r>
  <r>
    <n v="2295"/>
    <n v="1954"/>
    <x v="1"/>
    <x v="2"/>
    <n v="62670"/>
    <n v="0"/>
    <d v="1899-12-31T00:00:00"/>
    <d v="2014-02-02T00:00:00"/>
    <n v="57"/>
    <n v="30"/>
    <n v="46"/>
    <n v="46"/>
    <n v="13"/>
    <n v="72"/>
    <s v="&gt;50"/>
    <n v="59"/>
    <m/>
    <m/>
    <m/>
    <x v="0"/>
    <m/>
    <n v="12"/>
  </r>
  <r>
    <n v="1378"/>
    <n v="1972"/>
    <x v="4"/>
    <x v="1"/>
    <n v="50334"/>
    <n v="0"/>
    <d v="1899-12-31T00:00:00"/>
    <d v="2013-07-24T00:00:00"/>
    <n v="24"/>
    <n v="16"/>
    <n v="16"/>
    <n v="16"/>
    <n v="6"/>
    <n v="54"/>
    <s v="&gt;50"/>
    <n v="22"/>
    <m/>
    <m/>
    <m/>
    <x v="0"/>
    <m/>
    <n v="13"/>
  </r>
  <r>
    <n v="2781"/>
    <n v="1981"/>
    <x v="0"/>
    <x v="0"/>
    <n v="72066"/>
    <n v="0"/>
    <d v="1899-12-30T00:00:00"/>
    <d v="2014-06-23T00:00:00"/>
    <n v="55"/>
    <n v="34"/>
    <n v="51"/>
    <n v="51"/>
    <n v="6"/>
    <n v="45"/>
    <s v="30-50"/>
    <n v="57"/>
    <m/>
    <m/>
    <m/>
    <x v="0"/>
    <m/>
    <n v="12"/>
  </r>
  <r>
    <n v="1165"/>
    <n v="1958"/>
    <x v="1"/>
    <x v="0"/>
    <n v="50729"/>
    <n v="1"/>
    <d v="1899-12-31T00:00:00"/>
    <d v="2013-05-02T00:00:00"/>
    <n v="62"/>
    <n v="13"/>
    <n v="4"/>
    <n v="4"/>
    <n v="7"/>
    <n v="68"/>
    <s v="&gt;50"/>
    <n v="11"/>
    <m/>
    <m/>
    <m/>
    <x v="0"/>
    <m/>
    <n v="13"/>
  </r>
  <r>
    <n v="1404"/>
    <n v="1968"/>
    <x v="0"/>
    <x v="1"/>
    <n v="34916"/>
    <n v="2"/>
    <d v="1899-12-30T00:00:00"/>
    <d v="2013-05-15T00:00:00"/>
    <n v="89"/>
    <n v="23"/>
    <n v="0"/>
    <n v="0"/>
    <n v="3"/>
    <n v="58"/>
    <s v="&gt;50"/>
    <n v="3"/>
    <m/>
    <m/>
    <m/>
    <x v="1"/>
    <m/>
    <n v="13"/>
  </r>
  <r>
    <n v="6457"/>
    <n v="1976"/>
    <x v="0"/>
    <x v="3"/>
    <n v="64892"/>
    <n v="0"/>
    <d v="1899-12-31T00:00:00"/>
    <d v="2014-05-29T00:00:00"/>
    <n v="77"/>
    <n v="24"/>
    <n v="24"/>
    <n v="24"/>
    <n v="12"/>
    <n v="50"/>
    <s v="30-50"/>
    <n v="36"/>
    <m/>
    <m/>
    <m/>
    <x v="0"/>
    <m/>
    <n v="12"/>
  </r>
  <r>
    <n v="2639"/>
    <n v="1966"/>
    <x v="0"/>
    <x v="0"/>
    <n v="43602"/>
    <n v="1"/>
    <d v="1899-12-31T00:00:00"/>
    <d v="2014-01-10T00:00:00"/>
    <n v="45"/>
    <n v="5"/>
    <n v="3"/>
    <n v="3"/>
    <n v="2"/>
    <n v="60"/>
    <s v="&gt;50"/>
    <n v="5"/>
    <m/>
    <m/>
    <m/>
    <x v="1"/>
    <m/>
    <n v="12"/>
  </r>
  <r>
    <n v="8299"/>
    <n v="1989"/>
    <x v="1"/>
    <x v="0"/>
    <n v="33996"/>
    <n v="0"/>
    <d v="1899-12-30T00:00:00"/>
    <d v="2013-09-11T00:00:00"/>
    <n v="46"/>
    <n v="2"/>
    <n v="0"/>
    <n v="0"/>
    <n v="3"/>
    <n v="37"/>
    <s v="30-50"/>
    <n v="3"/>
    <m/>
    <m/>
    <m/>
    <x v="1"/>
    <m/>
    <n v="13"/>
  </r>
  <r>
    <n v="6437"/>
    <n v="1985"/>
    <x v="4"/>
    <x v="0"/>
    <n v="41473"/>
    <n v="1"/>
    <d v="1899-12-30T00:00:00"/>
    <d v="2013-06-19T00:00:00"/>
    <n v="80"/>
    <n v="8"/>
    <n v="3"/>
    <n v="3"/>
    <n v="3"/>
    <n v="41"/>
    <s v="30-50"/>
    <n v="6"/>
    <m/>
    <m/>
    <m/>
    <x v="1"/>
    <m/>
    <n v="13"/>
  </r>
  <r>
    <n v="6912"/>
    <n v="1967"/>
    <x v="1"/>
    <x v="2"/>
    <n v="63246"/>
    <n v="0"/>
    <d v="1900-01-01T00:00:00"/>
    <d v="2013-08-20T00:00:00"/>
    <n v="60"/>
    <n v="30"/>
    <n v="22"/>
    <n v="22"/>
    <n v="12"/>
    <n v="59"/>
    <s v="&gt;50"/>
    <n v="34"/>
    <m/>
    <m/>
    <m/>
    <x v="0"/>
    <m/>
    <n v="13"/>
  </r>
  <r>
    <n v="7327"/>
    <n v="1959"/>
    <x v="1"/>
    <x v="2"/>
    <n v="36732"/>
    <n v="1"/>
    <d v="1899-12-31T00:00:00"/>
    <d v="2013-12-29T00:00:00"/>
    <n v="71"/>
    <n v="5"/>
    <n v="1"/>
    <n v="1"/>
    <n v="4"/>
    <n v="67"/>
    <s v="&gt;50"/>
    <n v="5"/>
    <m/>
    <m/>
    <m/>
    <x v="1"/>
    <m/>
    <n v="13"/>
  </r>
  <r>
    <n v="5299"/>
    <n v="1970"/>
    <x v="1"/>
    <x v="2"/>
    <n v="69084"/>
    <n v="1"/>
    <d v="1899-12-30T00:00:00"/>
    <d v="2013-11-19T00:00:00"/>
    <n v="43"/>
    <n v="107"/>
    <n v="30"/>
    <n v="30"/>
    <n v="13"/>
    <n v="56"/>
    <s v="&gt;50"/>
    <n v="43"/>
    <m/>
    <m/>
    <m/>
    <x v="0"/>
    <m/>
    <n v="13"/>
  </r>
  <r>
    <n v="4127"/>
    <n v="1967"/>
    <x v="1"/>
    <x v="2"/>
    <n v="77766"/>
    <n v="0"/>
    <d v="1899-12-31T00:00:00"/>
    <d v="2013-02-22T00:00:00"/>
    <n v="97"/>
    <n v="59"/>
    <n v="59"/>
    <n v="59"/>
    <n v="11"/>
    <n v="59"/>
    <s v="&gt;50"/>
    <n v="70"/>
    <m/>
    <m/>
    <m/>
    <x v="3"/>
    <m/>
    <n v="13"/>
  </r>
  <r>
    <n v="8143"/>
    <n v="1985"/>
    <x v="1"/>
    <x v="0"/>
    <n v="37929"/>
    <n v="0"/>
    <d v="1899-12-30T00:00:00"/>
    <d v="2013-07-30T00:00:00"/>
    <n v="49"/>
    <n v="2"/>
    <n v="2"/>
    <n v="2"/>
    <n v="5"/>
    <n v="41"/>
    <s v="30-50"/>
    <n v="7"/>
    <m/>
    <m/>
    <m/>
    <x v="1"/>
    <m/>
    <n v="13"/>
  </r>
  <r>
    <n v="1964"/>
    <n v="1951"/>
    <x v="0"/>
    <x v="1"/>
    <n v="86610"/>
    <n v="0"/>
    <d v="1899-12-30T00:00:00"/>
    <d v="2013-09-05T00:00:00"/>
    <n v="66"/>
    <n v="107"/>
    <n v="196"/>
    <n v="196"/>
    <n v="6"/>
    <n v="75"/>
    <s v="&gt;50"/>
    <n v="202"/>
    <m/>
    <m/>
    <m/>
    <x v="3"/>
    <m/>
    <n v="13"/>
  </r>
  <r>
    <n v="3690"/>
    <n v="1986"/>
    <x v="2"/>
    <x v="2"/>
    <n v="80141"/>
    <n v="0"/>
    <d v="1899-12-30T00:00:00"/>
    <d v="2013-01-11T00:00:00"/>
    <n v="20"/>
    <n v="102"/>
    <n v="40"/>
    <n v="40"/>
    <n v="10"/>
    <n v="40"/>
    <s v="30-50"/>
    <n v="50"/>
    <m/>
    <m/>
    <m/>
    <x v="3"/>
    <m/>
    <n v="13"/>
  </r>
  <r>
    <n v="3433"/>
    <n v="1955"/>
    <x v="4"/>
    <x v="2"/>
    <n v="72635"/>
    <n v="0"/>
    <d v="1899-12-30T00:00:00"/>
    <d v="2013-06-03T00:00:00"/>
    <n v="54"/>
    <n v="22"/>
    <n v="35"/>
    <n v="35"/>
    <n v="6"/>
    <n v="71"/>
    <s v="&gt;50"/>
    <n v="41"/>
    <m/>
    <m/>
    <m/>
    <x v="0"/>
    <m/>
    <n v="13"/>
  </r>
  <r>
    <n v="3389"/>
    <n v="1970"/>
    <x v="0"/>
    <x v="2"/>
    <n v="69016"/>
    <n v="0"/>
    <d v="1899-12-31T00:00:00"/>
    <d v="2012-11-22T00:00:00"/>
    <n v="61"/>
    <n v="53"/>
    <n v="107"/>
    <n v="107"/>
    <n v="13"/>
    <n v="56"/>
    <s v="&gt;50"/>
    <n v="120"/>
    <m/>
    <m/>
    <m/>
    <x v="0"/>
    <m/>
    <n v="14"/>
  </r>
  <r>
    <n v="4712"/>
    <n v="1991"/>
    <x v="4"/>
    <x v="1"/>
    <n v="20193"/>
    <n v="0"/>
    <d v="1899-12-30T00:00:00"/>
    <d v="2012-11-28T00:00:00"/>
    <n v="18"/>
    <n v="8"/>
    <n v="11"/>
    <n v="11"/>
    <n v="4"/>
    <n v="35"/>
    <s v="30-50"/>
    <n v="15"/>
    <m/>
    <m/>
    <m/>
    <x v="2"/>
    <m/>
    <n v="14"/>
  </r>
  <r>
    <n v="1170"/>
    <n v="1975"/>
    <x v="0"/>
    <x v="2"/>
    <n v="27573"/>
    <n v="1"/>
    <d v="1899-12-30T00:00:00"/>
    <d v="2013-03-25T00:00:00"/>
    <n v="45"/>
    <n v="15"/>
    <n v="15"/>
    <n v="15"/>
    <n v="4"/>
    <n v="51"/>
    <s v="&gt;50"/>
    <n v="19"/>
    <m/>
    <m/>
    <m/>
    <x v="2"/>
    <m/>
    <n v="13"/>
  </r>
  <r>
    <n v="6347"/>
    <n v="1979"/>
    <x v="3"/>
    <x v="0"/>
    <n v="15862"/>
    <n v="1"/>
    <d v="1899-12-30T00:00:00"/>
    <d v="2013-06-27T00:00:00"/>
    <n v="26"/>
    <n v="1"/>
    <n v="9"/>
    <n v="9"/>
    <n v="3"/>
    <n v="47"/>
    <s v="30-50"/>
    <n v="12"/>
    <m/>
    <m/>
    <m/>
    <x v="2"/>
    <m/>
    <n v="13"/>
  </r>
  <r>
    <n v="4065"/>
    <n v="1976"/>
    <x v="1"/>
    <x v="2"/>
    <n v="49544"/>
    <n v="1"/>
    <d v="1899-12-30T00:00:00"/>
    <d v="2013-02-12T00:00:00"/>
    <n v="0"/>
    <n v="0"/>
    <n v="0"/>
    <n v="0"/>
    <n v="8"/>
    <n v="50"/>
    <s v="30-50"/>
    <n v="8"/>
    <m/>
    <m/>
    <m/>
    <x v="1"/>
    <m/>
    <n v="13"/>
  </r>
  <r>
    <n v="8230"/>
    <n v="1980"/>
    <x v="0"/>
    <x v="2"/>
    <n v="33228"/>
    <n v="1"/>
    <d v="1899-12-30T00:00:00"/>
    <d v="2014-01-23T00:00:00"/>
    <n v="28"/>
    <n v="2"/>
    <n v="4"/>
    <n v="4"/>
    <n v="3"/>
    <n v="46"/>
    <s v="30-50"/>
    <n v="7"/>
    <m/>
    <m/>
    <m/>
    <x v="1"/>
    <m/>
    <n v="12"/>
  </r>
  <r>
    <n v="1215"/>
    <n v="1978"/>
    <x v="0"/>
    <x v="1"/>
    <n v="70440"/>
    <n v="0"/>
    <d v="1899-12-30T00:00:00"/>
    <d v="2013-10-08T00:00:00"/>
    <n v="49"/>
    <n v="117"/>
    <n v="102"/>
    <n v="102"/>
    <n v="7"/>
    <n v="48"/>
    <s v="30-50"/>
    <n v="109"/>
    <m/>
    <m/>
    <m/>
    <x v="0"/>
    <m/>
    <n v="13"/>
  </r>
  <r>
    <n v="5939"/>
    <n v="1971"/>
    <x v="0"/>
    <x v="1"/>
    <n v="38232"/>
    <n v="1"/>
    <d v="1899-12-31T00:00:00"/>
    <d v="2014-01-17T00:00:00"/>
    <n v="84"/>
    <n v="5"/>
    <n v="6"/>
    <n v="6"/>
    <n v="3"/>
    <n v="55"/>
    <s v="&gt;50"/>
    <n v="9"/>
    <m/>
    <m/>
    <m/>
    <x v="1"/>
    <m/>
    <n v="12"/>
  </r>
  <r>
    <n v="2156"/>
    <n v="1955"/>
    <x v="1"/>
    <x v="2"/>
    <n v="22554"/>
    <n v="1"/>
    <d v="1899-12-31T00:00:00"/>
    <d v="2012-11-03T00:00:00"/>
    <n v="38"/>
    <n v="0"/>
    <n v="0"/>
    <n v="0"/>
    <n v="4"/>
    <n v="71"/>
    <s v="&gt;50"/>
    <n v="4"/>
    <m/>
    <m/>
    <m/>
    <x v="2"/>
    <m/>
    <n v="14"/>
  </r>
  <r>
    <n v="7788"/>
    <n v="1983"/>
    <x v="1"/>
    <x v="2"/>
    <n v="23536"/>
    <n v="1"/>
    <d v="1899-12-30T00:00:00"/>
    <d v="2014-06-04T00:00:00"/>
    <n v="53"/>
    <n v="0"/>
    <n v="0"/>
    <n v="0"/>
    <n v="3"/>
    <n v="43"/>
    <s v="30-50"/>
    <n v="3"/>
    <m/>
    <m/>
    <m/>
    <x v="2"/>
    <m/>
    <n v="12"/>
  </r>
  <r>
    <n v="10323"/>
    <n v="1952"/>
    <x v="0"/>
    <x v="2"/>
    <n v="49413"/>
    <n v="0"/>
    <d v="1899-12-31T00:00:00"/>
    <d v="2013-10-25T00:00:00"/>
    <n v="88"/>
    <n v="7"/>
    <n v="2"/>
    <n v="2"/>
    <n v="5"/>
    <n v="74"/>
    <s v="&gt;50"/>
    <n v="7"/>
    <m/>
    <m/>
    <m/>
    <x v="1"/>
    <m/>
    <n v="13"/>
  </r>
  <r>
    <n v="7947"/>
    <n v="1969"/>
    <x v="0"/>
    <x v="2"/>
    <n v="42231"/>
    <n v="1"/>
    <d v="1899-12-31T00:00:00"/>
    <d v="2014-03-25T00:00:00"/>
    <n v="99"/>
    <n v="0"/>
    <n v="1"/>
    <n v="1"/>
    <n v="3"/>
    <n v="57"/>
    <s v="&gt;50"/>
    <n v="4"/>
    <m/>
    <m/>
    <m/>
    <x v="1"/>
    <m/>
    <n v="12"/>
  </r>
  <r>
    <n v="1891"/>
    <n v="1980"/>
    <x v="2"/>
    <x v="3"/>
    <n v="78789"/>
    <n v="0"/>
    <d v="1899-12-30T00:00:00"/>
    <d v="2012-08-08T00:00:00"/>
    <n v="12"/>
    <n v="50"/>
    <n v="83"/>
    <n v="83"/>
    <n v="5"/>
    <n v="46"/>
    <s v="30-50"/>
    <n v="88"/>
    <m/>
    <m/>
    <m/>
    <x v="3"/>
    <m/>
    <n v="14"/>
  </r>
  <r>
    <n v="2570"/>
    <n v="1968"/>
    <x v="0"/>
    <x v="1"/>
    <n v="56534"/>
    <n v="0"/>
    <d v="1899-12-31T00:00:00"/>
    <d v="2013-07-23T00:00:00"/>
    <n v="35"/>
    <n v="7"/>
    <n v="0"/>
    <n v="0"/>
    <n v="7"/>
    <n v="58"/>
    <s v="&gt;50"/>
    <n v="7"/>
    <m/>
    <m/>
    <m/>
    <x v="0"/>
    <m/>
    <n v="13"/>
  </r>
  <r>
    <n v="9256"/>
    <n v="1971"/>
    <x v="0"/>
    <x v="0"/>
    <n v="58350"/>
    <n v="0"/>
    <d v="1899-12-31T00:00:00"/>
    <d v="2013-01-04T00:00:00"/>
    <n v="5"/>
    <n v="26"/>
    <n v="80"/>
    <n v="80"/>
    <n v="12"/>
    <n v="55"/>
    <s v="&gt;50"/>
    <n v="92"/>
    <m/>
    <m/>
    <m/>
    <x v="0"/>
    <m/>
    <n v="13"/>
  </r>
  <r>
    <n v="295"/>
    <n v="1989"/>
    <x v="0"/>
    <x v="0"/>
    <n v="81217"/>
    <n v="0"/>
    <d v="1899-12-30T00:00:00"/>
    <d v="2013-07-19T00:00:00"/>
    <n v="77"/>
    <n v="70"/>
    <n v="40"/>
    <n v="40"/>
    <n v="11"/>
    <n v="37"/>
    <s v="30-50"/>
    <n v="51"/>
    <m/>
    <m/>
    <m/>
    <x v="3"/>
    <m/>
    <n v="13"/>
  </r>
  <r>
    <n v="7397"/>
    <n v="1951"/>
    <x v="0"/>
    <x v="0"/>
    <n v="49090"/>
    <n v="0"/>
    <d v="1899-12-31T00:00:00"/>
    <d v="2013-07-19T00:00:00"/>
    <n v="45"/>
    <n v="5"/>
    <n v="0"/>
    <n v="0"/>
    <n v="9"/>
    <n v="75"/>
    <s v="&gt;50"/>
    <n v="9"/>
    <m/>
    <m/>
    <m/>
    <x v="1"/>
    <m/>
    <n v="13"/>
  </r>
  <r>
    <n v="6349"/>
    <n v="1987"/>
    <x v="2"/>
    <x v="3"/>
    <n v="61787"/>
    <n v="0"/>
    <d v="1899-12-30T00:00:00"/>
    <d v="2013-07-06T00:00:00"/>
    <n v="71"/>
    <n v="73"/>
    <n v="48"/>
    <n v="48"/>
    <n v="6"/>
    <n v="39"/>
    <s v="30-50"/>
    <n v="54"/>
    <m/>
    <m/>
    <m/>
    <x v="0"/>
    <m/>
    <n v="13"/>
  </r>
  <r>
    <n v="10790"/>
    <n v="1985"/>
    <x v="1"/>
    <x v="2"/>
    <n v="18169"/>
    <n v="1"/>
    <d v="1899-12-30T00:00:00"/>
    <d v="2013-02-19T00:00:00"/>
    <n v="40"/>
    <n v="0"/>
    <n v="0"/>
    <n v="0"/>
    <n v="2"/>
    <n v="41"/>
    <s v="30-50"/>
    <n v="2"/>
    <m/>
    <m/>
    <m/>
    <x v="2"/>
    <m/>
    <n v="13"/>
  </r>
  <r>
    <n v="10398"/>
    <n v="1981"/>
    <x v="4"/>
    <x v="0"/>
    <n v="24336"/>
    <n v="1"/>
    <d v="1899-12-30T00:00:00"/>
    <d v="2012-08-27T00:00:00"/>
    <n v="82"/>
    <n v="6"/>
    <n v="2"/>
    <n v="2"/>
    <n v="2"/>
    <n v="45"/>
    <s v="30-50"/>
    <n v="4"/>
    <m/>
    <m/>
    <m/>
    <x v="2"/>
    <m/>
    <n v="14"/>
  </r>
  <r>
    <n v="2431"/>
    <n v="1990"/>
    <x v="0"/>
    <x v="2"/>
    <n v="18222"/>
    <n v="0"/>
    <d v="1899-12-30T00:00:00"/>
    <d v="2012-12-31T00:00:00"/>
    <n v="70"/>
    <n v="4"/>
    <n v="6"/>
    <n v="6"/>
    <n v="3"/>
    <n v="36"/>
    <s v="30-50"/>
    <n v="9"/>
    <m/>
    <m/>
    <m/>
    <x v="2"/>
    <m/>
    <n v="14"/>
  </r>
  <r>
    <n v="550"/>
    <n v="1952"/>
    <x v="0"/>
    <x v="3"/>
    <n v="62335"/>
    <n v="0"/>
    <d v="1899-12-31T00:00:00"/>
    <d v="2013-05-23T00:00:00"/>
    <n v="87"/>
    <n v="131"/>
    <n v="6"/>
    <n v="6"/>
    <n v="13"/>
    <n v="74"/>
    <s v="&gt;50"/>
    <n v="19"/>
    <m/>
    <m/>
    <m/>
    <x v="0"/>
    <m/>
    <n v="13"/>
  </r>
  <r>
    <n v="1890"/>
    <n v="1971"/>
    <x v="4"/>
    <x v="1"/>
    <n v="42033"/>
    <n v="1"/>
    <d v="1899-12-31T00:00:00"/>
    <d v="2012-09-19T00:00:00"/>
    <n v="95"/>
    <n v="1"/>
    <n v="0"/>
    <n v="0"/>
    <n v="2"/>
    <n v="55"/>
    <s v="&gt;50"/>
    <n v="2"/>
    <m/>
    <m/>
    <m/>
    <x v="1"/>
    <m/>
    <n v="14"/>
  </r>
  <r>
    <n v="10742"/>
    <n v="1983"/>
    <x v="1"/>
    <x v="2"/>
    <n v="86580"/>
    <n v="0"/>
    <d v="1899-12-30T00:00:00"/>
    <d v="2013-02-27T00:00:00"/>
    <n v="72"/>
    <n v="21"/>
    <n v="20"/>
    <n v="20"/>
    <n v="5"/>
    <n v="43"/>
    <s v="30-50"/>
    <n v="25"/>
    <m/>
    <m/>
    <m/>
    <x v="3"/>
    <m/>
    <n v="13"/>
  </r>
  <r>
    <n v="10356"/>
    <n v="1957"/>
    <x v="1"/>
    <x v="3"/>
    <n v="41437"/>
    <n v="1"/>
    <d v="1899-12-31T00:00:00"/>
    <d v="2012-09-22T00:00:00"/>
    <n v="5"/>
    <n v="0"/>
    <n v="0"/>
    <n v="0"/>
    <n v="3"/>
    <n v="69"/>
    <s v="&gt;50"/>
    <n v="3"/>
    <m/>
    <m/>
    <m/>
    <x v="1"/>
    <m/>
    <n v="14"/>
  </r>
  <r>
    <n v="4676"/>
    <n v="1951"/>
    <x v="2"/>
    <x v="4"/>
    <n v="73705"/>
    <n v="0"/>
    <d v="1900-01-01T00:00:00"/>
    <d v="2014-03-05T00:00:00"/>
    <n v="86"/>
    <n v="91"/>
    <n v="107"/>
    <n v="107"/>
    <n v="8"/>
    <n v="75"/>
    <s v="&gt;50"/>
    <n v="115"/>
    <m/>
    <m/>
    <m/>
    <x v="0"/>
    <m/>
    <n v="12"/>
  </r>
  <r>
    <n v="8852"/>
    <n v="1976"/>
    <x v="0"/>
    <x v="2"/>
    <n v="61064"/>
    <n v="0"/>
    <d v="1899-12-31T00:00:00"/>
    <d v="2012-08-31T00:00:00"/>
    <n v="80"/>
    <n v="126"/>
    <n v="45"/>
    <n v="45"/>
    <n v="11"/>
    <n v="50"/>
    <s v="30-50"/>
    <n v="56"/>
    <m/>
    <m/>
    <m/>
    <x v="0"/>
    <m/>
    <n v="14"/>
  </r>
  <r>
    <n v="3565"/>
    <n v="1955"/>
    <x v="2"/>
    <x v="2"/>
    <n v="38452"/>
    <n v="1"/>
    <d v="1899-12-31T00:00:00"/>
    <d v="2014-03-30T00:00:00"/>
    <n v="62"/>
    <n v="0"/>
    <n v="0"/>
    <n v="0"/>
    <n v="3"/>
    <n v="71"/>
    <s v="&gt;50"/>
    <n v="3"/>
    <m/>
    <m/>
    <m/>
    <x v="1"/>
    <m/>
    <n v="12"/>
  </r>
  <r>
    <n v="5294"/>
    <n v="1989"/>
    <x v="0"/>
    <x v="0"/>
    <n v="18358"/>
    <n v="1"/>
    <d v="1899-12-30T00:00:00"/>
    <d v="2013-11-20T00:00:00"/>
    <n v="49"/>
    <n v="8"/>
    <n v="4"/>
    <n v="4"/>
    <n v="4"/>
    <n v="37"/>
    <s v="30-50"/>
    <n v="8"/>
    <m/>
    <m/>
    <m/>
    <x v="2"/>
    <m/>
    <n v="13"/>
  </r>
  <r>
    <n v="1958"/>
    <n v="1973"/>
    <x v="1"/>
    <x v="1"/>
    <n v="55012"/>
    <n v="0"/>
    <d v="1899-12-31T00:00:00"/>
    <d v="2014-03-21T00:00:00"/>
    <n v="85"/>
    <n v="0"/>
    <n v="0"/>
    <n v="0"/>
    <n v="9"/>
    <n v="53"/>
    <s v="&gt;50"/>
    <n v="9"/>
    <m/>
    <m/>
    <m/>
    <x v="0"/>
    <m/>
    <n v="12"/>
  </r>
  <r>
    <n v="7349"/>
    <n v="1973"/>
    <x v="3"/>
    <x v="1"/>
    <n v="9722"/>
    <n v="1"/>
    <d v="1899-12-30T00:00:00"/>
    <d v="2012-10-02T00:00:00"/>
    <n v="7"/>
    <n v="17"/>
    <n v="16"/>
    <n v="16"/>
    <n v="3"/>
    <n v="53"/>
    <s v="&gt;50"/>
    <n v="19"/>
    <m/>
    <m/>
    <m/>
    <x v="2"/>
    <m/>
    <n v="14"/>
  </r>
  <r>
    <n v="8799"/>
    <n v="1984"/>
    <x v="1"/>
    <x v="2"/>
    <n v="38175"/>
    <n v="1"/>
    <d v="1899-12-30T00:00:00"/>
    <d v="2013-09-23T00:00:00"/>
    <n v="6"/>
    <n v="6"/>
    <n v="3"/>
    <n v="3"/>
    <n v="4"/>
    <n v="42"/>
    <s v="30-50"/>
    <n v="7"/>
    <m/>
    <m/>
    <m/>
    <x v="1"/>
    <m/>
    <n v="13"/>
  </r>
  <r>
    <n v="1351"/>
    <n v="1956"/>
    <x v="2"/>
    <x v="1"/>
    <n v="58656"/>
    <n v="0"/>
    <d v="1899-12-31T00:00:00"/>
    <d v="2012-09-20T00:00:00"/>
    <n v="25"/>
    <n v="12"/>
    <n v="24"/>
    <n v="24"/>
    <n v="13"/>
    <n v="70"/>
    <s v="&gt;50"/>
    <n v="37"/>
    <m/>
    <m/>
    <m/>
    <x v="0"/>
    <m/>
    <n v="14"/>
  </r>
  <r>
    <n v="1045"/>
    <n v="1965"/>
    <x v="0"/>
    <x v="1"/>
    <n v="52117"/>
    <n v="0"/>
    <d v="1899-12-31T00:00:00"/>
    <d v="2012-08-16T00:00:00"/>
    <n v="55"/>
    <n v="10"/>
    <n v="0"/>
    <n v="0"/>
    <n v="4"/>
    <n v="61"/>
    <s v="&gt;50"/>
    <n v="4"/>
    <m/>
    <m/>
    <m/>
    <x v="0"/>
    <m/>
    <n v="14"/>
  </r>
  <r>
    <n v="7732"/>
    <n v="1978"/>
    <x v="0"/>
    <x v="2"/>
    <n v="64813"/>
    <n v="1"/>
    <d v="1899-12-30T00:00:00"/>
    <d v="2014-01-02T00:00:00"/>
    <n v="81"/>
    <n v="0"/>
    <n v="97"/>
    <n v="97"/>
    <n v="10"/>
    <n v="48"/>
    <s v="30-50"/>
    <n v="107"/>
    <m/>
    <m/>
    <m/>
    <x v="0"/>
    <m/>
    <n v="12"/>
  </r>
  <r>
    <n v="8070"/>
    <n v="1973"/>
    <x v="1"/>
    <x v="2"/>
    <n v="54222"/>
    <n v="0"/>
    <d v="1899-12-31T00:00:00"/>
    <d v="2014-03-01T00:00:00"/>
    <n v="98"/>
    <n v="12"/>
    <n v="12"/>
    <n v="12"/>
    <n v="5"/>
    <n v="53"/>
    <s v="&gt;50"/>
    <n v="17"/>
    <m/>
    <m/>
    <m/>
    <x v="0"/>
    <m/>
    <n v="12"/>
  </r>
  <r>
    <n v="477"/>
    <n v="1986"/>
    <x v="0"/>
    <x v="2"/>
    <n v="83512"/>
    <n v="0"/>
    <d v="1899-12-30T00:00:00"/>
    <d v="2014-06-17T00:00:00"/>
    <n v="31"/>
    <n v="61"/>
    <n v="20"/>
    <n v="20"/>
    <n v="10"/>
    <n v="40"/>
    <s v="30-50"/>
    <n v="30"/>
    <m/>
    <m/>
    <m/>
    <x v="3"/>
    <m/>
    <n v="12"/>
  </r>
  <r>
    <n v="7832"/>
    <n v="1959"/>
    <x v="2"/>
    <x v="2"/>
    <n v="77520"/>
    <n v="0"/>
    <d v="1899-12-31T00:00:00"/>
    <d v="2013-08-28T00:00:00"/>
    <n v="30"/>
    <n v="44"/>
    <n v="88"/>
    <n v="88"/>
    <n v="7"/>
    <n v="67"/>
    <s v="&gt;50"/>
    <n v="95"/>
    <m/>
    <m/>
    <m/>
    <x v="3"/>
    <m/>
    <n v="13"/>
  </r>
  <r>
    <n v="2202"/>
    <n v="1978"/>
    <x v="0"/>
    <x v="1"/>
    <n v="41154"/>
    <n v="0"/>
    <d v="1899-12-31T00:00:00"/>
    <d v="2013-04-09T00:00:00"/>
    <n v="98"/>
    <n v="2"/>
    <n v="3"/>
    <n v="3"/>
    <n v="4"/>
    <n v="48"/>
    <s v="30-50"/>
    <n v="7"/>
    <m/>
    <m/>
    <m/>
    <x v="1"/>
    <m/>
    <n v="13"/>
  </r>
  <r>
    <n v="7396"/>
    <n v="1966"/>
    <x v="0"/>
    <x v="2"/>
    <n v="80398"/>
    <n v="0"/>
    <d v="1899-12-30T00:00:00"/>
    <d v="2012-11-10T00:00:00"/>
    <n v="92"/>
    <n v="51"/>
    <n v="35"/>
    <n v="35"/>
    <n v="12"/>
    <n v="60"/>
    <s v="&gt;50"/>
    <n v="47"/>
    <m/>
    <m/>
    <m/>
    <x v="3"/>
    <m/>
    <n v="14"/>
  </r>
  <r>
    <n v="4055"/>
    <n v="1992"/>
    <x v="3"/>
    <x v="0"/>
    <n v="18746"/>
    <n v="1"/>
    <d v="1899-12-30T00:00:00"/>
    <d v="2014-05-29T00:00:00"/>
    <n v="41"/>
    <n v="10"/>
    <n v="9"/>
    <n v="9"/>
    <n v="3"/>
    <n v="34"/>
    <s v="30-50"/>
    <n v="12"/>
    <m/>
    <m/>
    <m/>
    <x v="2"/>
    <m/>
    <n v="12"/>
  </r>
  <r>
    <n v="10340"/>
    <n v="1984"/>
    <x v="0"/>
    <x v="1"/>
    <n v="35196"/>
    <n v="1"/>
    <d v="1899-12-30T00:00:00"/>
    <d v="2012-11-13T00:00:00"/>
    <n v="68"/>
    <n v="12"/>
    <n v="39"/>
    <n v="39"/>
    <n v="5"/>
    <n v="42"/>
    <s v="30-50"/>
    <n v="44"/>
    <m/>
    <m/>
    <m/>
    <x v="1"/>
    <m/>
    <n v="14"/>
  </r>
  <r>
    <n v="10091"/>
    <n v="1956"/>
    <x v="0"/>
    <x v="0"/>
    <n v="60230"/>
    <n v="0"/>
    <d v="1899-12-31T00:00:00"/>
    <d v="2013-05-20T00:00:00"/>
    <n v="78"/>
    <n v="20"/>
    <n v="81"/>
    <n v="81"/>
    <n v="6"/>
    <n v="70"/>
    <s v="&gt;50"/>
    <n v="87"/>
    <m/>
    <m/>
    <m/>
    <x v="0"/>
    <m/>
    <n v="13"/>
  </r>
  <r>
    <n v="7629"/>
    <n v="1977"/>
    <x v="0"/>
    <x v="2"/>
    <n v="22108"/>
    <n v="1"/>
    <d v="1899-12-31T00:00:00"/>
    <d v="2014-05-08T00:00:00"/>
    <n v="46"/>
    <n v="3"/>
    <n v="2"/>
    <n v="2"/>
    <n v="3"/>
    <n v="49"/>
    <s v="30-50"/>
    <n v="5"/>
    <m/>
    <m/>
    <m/>
    <x v="2"/>
    <m/>
    <n v="12"/>
  </r>
  <r>
    <n v="10640"/>
    <n v="1974"/>
    <x v="0"/>
    <x v="1"/>
    <n v="44392"/>
    <n v="1"/>
    <d v="1899-12-31T00:00:00"/>
    <d v="2013-09-05T00:00:00"/>
    <n v="71"/>
    <n v="5"/>
    <n v="12"/>
    <n v="12"/>
    <n v="4"/>
    <n v="52"/>
    <s v="&gt;50"/>
    <n v="16"/>
    <m/>
    <m/>
    <m/>
    <x v="1"/>
    <m/>
    <n v="13"/>
  </r>
  <r>
    <n v="3498"/>
    <n v="1976"/>
    <x v="1"/>
    <x v="2"/>
    <n v="55424"/>
    <n v="0"/>
    <d v="1899-12-31T00:00:00"/>
    <d v="2012-11-25T00:00:00"/>
    <n v="6"/>
    <n v="61"/>
    <n v="53"/>
    <n v="53"/>
    <n v="9"/>
    <n v="50"/>
    <s v="30-50"/>
    <n v="62"/>
    <m/>
    <m/>
    <m/>
    <x v="0"/>
    <m/>
    <n v="14"/>
  </r>
  <r>
    <n v="6742"/>
    <n v="1979"/>
    <x v="0"/>
    <x v="2"/>
    <n v="17688"/>
    <n v="1"/>
    <d v="1899-12-30T00:00:00"/>
    <d v="2013-01-13T00:00:00"/>
    <n v="82"/>
    <n v="2"/>
    <n v="1"/>
    <n v="1"/>
    <n v="2"/>
    <n v="47"/>
    <s v="30-50"/>
    <n v="3"/>
    <m/>
    <m/>
    <m/>
    <x v="2"/>
    <m/>
    <n v="13"/>
  </r>
  <r>
    <n v="1172"/>
    <n v="1983"/>
    <x v="1"/>
    <x v="2"/>
    <n v="92491"/>
    <n v="0"/>
    <d v="1899-12-30T00:00:00"/>
    <d v="2013-05-01T00:00:00"/>
    <n v="71"/>
    <n v="44"/>
    <n v="25"/>
    <n v="25"/>
    <n v="12"/>
    <n v="43"/>
    <s v="30-50"/>
    <n v="37"/>
    <m/>
    <m/>
    <m/>
    <x v="3"/>
    <m/>
    <n v="13"/>
  </r>
  <r>
    <n v="569"/>
    <n v="1991"/>
    <x v="0"/>
    <x v="0"/>
    <n v="90273"/>
    <n v="0"/>
    <d v="1899-12-30T00:00:00"/>
    <d v="2013-12-14T00:00:00"/>
    <n v="32"/>
    <n v="129"/>
    <n v="74"/>
    <n v="74"/>
    <n v="7"/>
    <n v="35"/>
    <s v="30-50"/>
    <n v="81"/>
    <m/>
    <m/>
    <m/>
    <x v="3"/>
    <m/>
    <n v="13"/>
  </r>
  <r>
    <n v="4686"/>
    <n v="1962"/>
    <x v="1"/>
    <x v="4"/>
    <n v="82571"/>
    <n v="0"/>
    <d v="1899-12-30T00:00:00"/>
    <d v="2014-04-02T00:00:00"/>
    <n v="28"/>
    <n v="31"/>
    <n v="95"/>
    <n v="95"/>
    <n v="13"/>
    <n v="64"/>
    <s v="&gt;50"/>
    <n v="108"/>
    <m/>
    <m/>
    <m/>
    <x v="3"/>
    <m/>
    <n v="12"/>
  </r>
  <r>
    <n v="1381"/>
    <n v="1982"/>
    <x v="1"/>
    <x v="0"/>
    <n v="38513"/>
    <n v="1"/>
    <d v="1899-12-30T00:00:00"/>
    <d v="2014-01-28T00:00:00"/>
    <n v="20"/>
    <n v="3"/>
    <n v="0"/>
    <n v="0"/>
    <n v="5"/>
    <n v="44"/>
    <s v="30-50"/>
    <n v="5"/>
    <m/>
    <m/>
    <m/>
    <x v="1"/>
    <m/>
    <n v="12"/>
  </r>
  <r>
    <n v="2634"/>
    <n v="1979"/>
    <x v="2"/>
    <x v="0"/>
    <n v="16653"/>
    <n v="1"/>
    <d v="1899-12-30T00:00:00"/>
    <d v="2014-04-18T00:00:00"/>
    <n v="10"/>
    <n v="7"/>
    <n v="4"/>
    <n v="4"/>
    <n v="3"/>
    <n v="47"/>
    <s v="30-50"/>
    <n v="7"/>
    <m/>
    <m/>
    <m/>
    <x v="2"/>
    <m/>
    <n v="12"/>
  </r>
  <r>
    <n v="10905"/>
    <n v="1955"/>
    <x v="0"/>
    <x v="1"/>
    <n v="42586"/>
    <n v="1"/>
    <d v="1899-12-31T00:00:00"/>
    <d v="2012-10-29T00:00:00"/>
    <n v="7"/>
    <n v="2"/>
    <n v="0"/>
    <n v="0"/>
    <n v="6"/>
    <n v="71"/>
    <s v="&gt;50"/>
    <n v="6"/>
    <m/>
    <m/>
    <m/>
    <x v="1"/>
    <m/>
    <n v="14"/>
  </r>
  <r>
    <n v="1744"/>
    <n v="1965"/>
    <x v="3"/>
    <x v="0"/>
    <n v="23529"/>
    <n v="0"/>
    <d v="1899-12-31T00:00:00"/>
    <d v="2013-01-07T00:00:00"/>
    <n v="67"/>
    <n v="7"/>
    <n v="2"/>
    <n v="2"/>
    <n v="2"/>
    <n v="61"/>
    <s v="&gt;50"/>
    <n v="4"/>
    <m/>
    <m/>
    <m/>
    <x v="2"/>
    <m/>
    <n v="13"/>
  </r>
  <r>
    <n v="1000"/>
    <n v="1961"/>
    <x v="2"/>
    <x v="1"/>
    <n v="74881"/>
    <n v="1"/>
    <d v="1899-12-31T00:00:00"/>
    <d v="2013-03-08T00:00:00"/>
    <n v="48"/>
    <n v="72"/>
    <n v="27"/>
    <n v="27"/>
    <n v="12"/>
    <n v="65"/>
    <s v="&gt;50"/>
    <n v="39"/>
    <m/>
    <m/>
    <m/>
    <x v="0"/>
    <m/>
    <n v="13"/>
  </r>
  <r>
    <n v="3828"/>
    <n v="1951"/>
    <x v="0"/>
    <x v="2"/>
    <n v="71107"/>
    <n v="0"/>
    <d v="1899-12-31T00:00:00"/>
    <d v="2013-02-17T00:00:00"/>
    <n v="61"/>
    <n v="10"/>
    <n v="174"/>
    <n v="174"/>
    <n v="13"/>
    <n v="75"/>
    <s v="&gt;50"/>
    <n v="187"/>
    <m/>
    <m/>
    <m/>
    <x v="0"/>
    <m/>
    <n v="13"/>
  </r>
  <r>
    <n v="8605"/>
    <n v="1964"/>
    <x v="1"/>
    <x v="1"/>
    <n v="46910"/>
    <n v="1"/>
    <d v="1899-12-31T00:00:00"/>
    <d v="2014-03-23T00:00:00"/>
    <n v="36"/>
    <n v="0"/>
    <n v="0"/>
    <n v="0"/>
    <n v="3"/>
    <n v="62"/>
    <s v="&gt;50"/>
    <n v="3"/>
    <m/>
    <m/>
    <m/>
    <x v="1"/>
    <m/>
    <n v="12"/>
  </r>
  <r>
    <n v="10304"/>
    <n v="1959"/>
    <x v="0"/>
    <x v="2"/>
    <n v="18690"/>
    <n v="0"/>
    <d v="1899-12-30T00:00:00"/>
    <d v="2012-12-28T00:00:00"/>
    <n v="77"/>
    <n v="1"/>
    <n v="4"/>
    <n v="4"/>
    <n v="2"/>
    <n v="67"/>
    <s v="&gt;50"/>
    <n v="6"/>
    <m/>
    <m/>
    <m/>
    <x v="2"/>
    <m/>
    <n v="14"/>
  </r>
  <r>
    <n v="4351"/>
    <n v="1955"/>
    <x v="0"/>
    <x v="3"/>
    <n v="37244"/>
    <n v="1"/>
    <d v="1899-12-31T00:00:00"/>
    <d v="2013-04-27T00:00:00"/>
    <n v="90"/>
    <n v="2"/>
    <n v="0"/>
    <n v="0"/>
    <n v="2"/>
    <n v="71"/>
    <s v="&gt;50"/>
    <n v="2"/>
    <m/>
    <m/>
    <m/>
    <x v="1"/>
    <m/>
    <n v="13"/>
  </r>
  <r>
    <n v="10129"/>
    <n v="1966"/>
    <x v="0"/>
    <x v="1"/>
    <n v="82427"/>
    <n v="0"/>
    <d v="1899-12-30T00:00:00"/>
    <d v="2014-03-12T00:00:00"/>
    <n v="35"/>
    <n v="147"/>
    <n v="107"/>
    <n v="107"/>
    <n v="12"/>
    <n v="60"/>
    <s v="&gt;50"/>
    <n v="119"/>
    <m/>
    <m/>
    <m/>
    <x v="3"/>
    <m/>
    <n v="12"/>
  </r>
  <r>
    <n v="2499"/>
    <n v="1958"/>
    <x v="4"/>
    <x v="0"/>
    <n v="75342"/>
    <n v="0"/>
    <d v="1899-12-31T00:00:00"/>
    <d v="2013-05-06T00:00:00"/>
    <n v="38"/>
    <n v="97"/>
    <n v="118"/>
    <n v="118"/>
    <n v="10"/>
    <n v="68"/>
    <s v="&gt;50"/>
    <n v="128"/>
    <m/>
    <m/>
    <m/>
    <x v="3"/>
    <m/>
    <n v="13"/>
  </r>
  <r>
    <n v="10092"/>
    <n v="1954"/>
    <x v="0"/>
    <x v="3"/>
    <n v="70044"/>
    <n v="0"/>
    <d v="1899-12-31T00:00:00"/>
    <d v="2013-02-18T00:00:00"/>
    <n v="46"/>
    <n v="0"/>
    <n v="14"/>
    <n v="14"/>
    <n v="5"/>
    <n v="72"/>
    <s v="&gt;50"/>
    <n v="19"/>
    <m/>
    <m/>
    <m/>
    <x v="0"/>
    <m/>
    <n v="13"/>
  </r>
  <r>
    <n v="7500"/>
    <n v="1967"/>
    <x v="0"/>
    <x v="0"/>
    <n v="79146"/>
    <n v="1"/>
    <d v="1899-12-31T00:00:00"/>
    <d v="2014-04-24T00:00:00"/>
    <n v="33"/>
    <n v="16"/>
    <n v="43"/>
    <n v="43"/>
    <n v="8"/>
    <n v="59"/>
    <s v="&gt;50"/>
    <n v="51"/>
    <m/>
    <m/>
    <m/>
    <x v="3"/>
    <m/>
    <n v="12"/>
  </r>
  <r>
    <n v="5796"/>
    <n v="1963"/>
    <x v="0"/>
    <x v="2"/>
    <n v="77437"/>
    <n v="0"/>
    <d v="1899-12-30T00:00:00"/>
    <d v="2013-11-26T00:00:00"/>
    <n v="70"/>
    <n v="21"/>
    <n v="44"/>
    <n v="44"/>
    <n v="13"/>
    <n v="63"/>
    <s v="&gt;50"/>
    <n v="57"/>
    <m/>
    <m/>
    <m/>
    <x v="3"/>
    <m/>
    <n v="13"/>
  </r>
  <r>
    <n v="10556"/>
    <n v="1959"/>
    <x v="0"/>
    <x v="2"/>
    <n v="54984"/>
    <n v="0"/>
    <d v="1899-12-31T00:00:00"/>
    <d v="2014-05-24T00:00:00"/>
    <n v="51"/>
    <n v="13"/>
    <n v="3"/>
    <n v="3"/>
    <n v="6"/>
    <n v="67"/>
    <s v="&gt;50"/>
    <n v="9"/>
    <m/>
    <m/>
    <m/>
    <x v="0"/>
    <m/>
    <n v="12"/>
  </r>
  <r>
    <n v="1064"/>
    <n v="1971"/>
    <x v="1"/>
    <x v="2"/>
    <n v="42403"/>
    <n v="1"/>
    <d v="1899-12-30T00:00:00"/>
    <d v="2013-12-11T00:00:00"/>
    <n v="18"/>
    <n v="1"/>
    <n v="5"/>
    <n v="5"/>
    <n v="3"/>
    <n v="55"/>
    <s v="&gt;50"/>
    <n v="8"/>
    <m/>
    <m/>
    <m/>
    <x v="1"/>
    <m/>
    <n v="13"/>
  </r>
  <r>
    <n v="48"/>
    <n v="1964"/>
    <x v="0"/>
    <x v="1"/>
    <n v="55761"/>
    <n v="0"/>
    <d v="1899-12-31T00:00:00"/>
    <d v="2014-04-24T00:00:00"/>
    <n v="97"/>
    <n v="1"/>
    <n v="3"/>
    <n v="3"/>
    <n v="3"/>
    <n v="62"/>
    <s v="&gt;50"/>
    <n v="6"/>
    <m/>
    <m/>
    <m/>
    <x v="0"/>
    <m/>
    <n v="12"/>
  </r>
  <r>
    <n v="7610"/>
    <n v="1983"/>
    <x v="0"/>
    <x v="1"/>
    <n v="37292"/>
    <n v="1"/>
    <d v="1899-12-30T00:00:00"/>
    <d v="2013-04-18T00:00:00"/>
    <n v="32"/>
    <n v="0"/>
    <n v="23"/>
    <n v="23"/>
    <n v="5"/>
    <n v="43"/>
    <s v="30-50"/>
    <n v="28"/>
    <m/>
    <m/>
    <m/>
    <x v="1"/>
    <m/>
    <n v="13"/>
  </r>
  <r>
    <n v="263"/>
    <n v="1945"/>
    <x v="1"/>
    <x v="0"/>
    <n v="45576"/>
    <n v="0"/>
    <d v="1899-12-30T00:00:00"/>
    <d v="2014-05-28T00:00:00"/>
    <n v="9"/>
    <n v="19"/>
    <n v="14"/>
    <n v="14"/>
    <n v="3"/>
    <n v="81"/>
    <s v="&gt;50"/>
    <n v="17"/>
    <m/>
    <m/>
    <m/>
    <x v="1"/>
    <m/>
    <n v="12"/>
  </r>
  <r>
    <n v="10814"/>
    <n v="1947"/>
    <x v="0"/>
    <x v="1"/>
    <n v="70321"/>
    <n v="0"/>
    <d v="1899-12-30T00:00:00"/>
    <d v="2013-01-16T00:00:00"/>
    <n v="6"/>
    <n v="23"/>
    <n v="26"/>
    <n v="26"/>
    <n v="13"/>
    <n v="79"/>
    <s v="&gt;50"/>
    <n v="39"/>
    <m/>
    <m/>
    <m/>
    <x v="0"/>
    <m/>
    <n v="13"/>
  </r>
  <r>
    <n v="9710"/>
    <n v="1969"/>
    <x v="1"/>
    <x v="3"/>
    <n v="58086"/>
    <n v="0"/>
    <d v="1899-12-31T00:00:00"/>
    <d v="2013-01-20T00:00:00"/>
    <n v="80"/>
    <n v="7"/>
    <n v="0"/>
    <n v="0"/>
    <n v="7"/>
    <n v="57"/>
    <s v="&gt;50"/>
    <n v="7"/>
    <m/>
    <m/>
    <m/>
    <x v="0"/>
    <m/>
    <n v="13"/>
  </r>
  <r>
    <n v="9292"/>
    <n v="1952"/>
    <x v="0"/>
    <x v="2"/>
    <n v="81795"/>
    <n v="0"/>
    <d v="1899-12-30T00:00:00"/>
    <d v="2012-10-26T00:00:00"/>
    <n v="74"/>
    <n v="132"/>
    <n v="118"/>
    <n v="118"/>
    <n v="7"/>
    <n v="74"/>
    <s v="&gt;50"/>
    <n v="125"/>
    <m/>
    <m/>
    <m/>
    <x v="3"/>
    <m/>
    <n v="14"/>
  </r>
  <r>
    <n v="10250"/>
    <n v="1947"/>
    <x v="3"/>
    <x v="1"/>
    <n v="28389"/>
    <n v="0"/>
    <d v="1899-12-30T00:00:00"/>
    <d v="2012-11-20T00:00:00"/>
    <n v="49"/>
    <n v="5"/>
    <n v="4"/>
    <n v="4"/>
    <n v="2"/>
    <n v="79"/>
    <s v="&gt;50"/>
    <n v="6"/>
    <m/>
    <m/>
    <m/>
    <x v="2"/>
    <m/>
    <n v="14"/>
  </r>
  <r>
    <n v="7881"/>
    <n v="1946"/>
    <x v="2"/>
    <x v="2"/>
    <n v="66835"/>
    <n v="0"/>
    <d v="1899-12-30T00:00:00"/>
    <d v="2013-09-28T00:00:00"/>
    <n v="21"/>
    <n v="26"/>
    <n v="17"/>
    <n v="17"/>
    <n v="13"/>
    <n v="80"/>
    <s v="&gt;50"/>
    <n v="30"/>
    <m/>
    <m/>
    <m/>
    <x v="0"/>
    <m/>
    <n v="13"/>
  </r>
  <r>
    <n v="5847"/>
    <n v="1969"/>
    <x v="0"/>
    <x v="3"/>
    <n v="69901"/>
    <n v="0"/>
    <d v="1899-12-31T00:00:00"/>
    <d v="2013-05-29T00:00:00"/>
    <n v="95"/>
    <n v="21"/>
    <n v="92"/>
    <n v="92"/>
    <n v="10"/>
    <n v="57"/>
    <s v="&gt;50"/>
    <n v="102"/>
    <m/>
    <m/>
    <m/>
    <x v="0"/>
    <m/>
    <n v="13"/>
  </r>
  <r>
    <n v="737"/>
    <n v="1949"/>
    <x v="1"/>
    <x v="2"/>
    <n v="80360"/>
    <n v="0"/>
    <d v="1899-12-30T00:00:00"/>
    <d v="2013-03-03T00:00:00"/>
    <n v="56"/>
    <n v="86"/>
    <n v="43"/>
    <n v="43"/>
    <n v="5"/>
    <n v="77"/>
    <s v="&gt;50"/>
    <n v="48"/>
    <m/>
    <m/>
    <m/>
    <x v="3"/>
    <m/>
    <n v="13"/>
  </r>
  <r>
    <n v="3571"/>
    <n v="1961"/>
    <x v="1"/>
    <x v="1"/>
    <n v="63342"/>
    <n v="0"/>
    <d v="1899-12-31T00:00:00"/>
    <d v="2012-10-16T00:00:00"/>
    <n v="48"/>
    <n v="21"/>
    <n v="10"/>
    <n v="10"/>
    <n v="5"/>
    <n v="65"/>
    <s v="&gt;50"/>
    <n v="15"/>
    <m/>
    <m/>
    <m/>
    <x v="0"/>
    <m/>
    <n v="14"/>
  </r>
  <r>
    <n v="7807"/>
    <n v="1974"/>
    <x v="0"/>
    <x v="2"/>
    <n v="44989"/>
    <n v="0"/>
    <d v="1899-12-31T00:00:00"/>
    <d v="2012-09-12T00:00:00"/>
    <n v="26"/>
    <n v="0"/>
    <n v="10"/>
    <n v="10"/>
    <n v="5"/>
    <n v="52"/>
    <s v="&gt;50"/>
    <n v="15"/>
    <m/>
    <m/>
    <m/>
    <x v="1"/>
    <m/>
    <n v="14"/>
  </r>
  <r>
    <n v="3878"/>
    <n v="1980"/>
    <x v="4"/>
    <x v="0"/>
    <n v="31859"/>
    <n v="1"/>
    <d v="1899-12-30T00:00:00"/>
    <d v="2014-02-27T00:00:00"/>
    <n v="3"/>
    <n v="4"/>
    <n v="8"/>
    <n v="8"/>
    <n v="3"/>
    <n v="46"/>
    <s v="30-50"/>
    <n v="11"/>
    <m/>
    <m/>
    <m/>
    <x v="1"/>
    <m/>
    <n v="12"/>
  </r>
  <r>
    <n v="5092"/>
    <n v="1949"/>
    <x v="1"/>
    <x v="4"/>
    <n v="51569"/>
    <n v="0"/>
    <d v="1899-12-31T00:00:00"/>
    <d v="2013-02-12T00:00:00"/>
    <n v="39"/>
    <n v="0"/>
    <n v="0"/>
    <n v="0"/>
    <n v="7"/>
    <n v="77"/>
    <s v="&gt;50"/>
    <n v="7"/>
    <m/>
    <m/>
    <m/>
    <x v="0"/>
    <m/>
    <n v="13"/>
  </r>
  <r>
    <n v="2154"/>
    <n v="1971"/>
    <x v="0"/>
    <x v="4"/>
    <n v="30372"/>
    <n v="1"/>
    <d v="1899-12-31T00:00:00"/>
    <d v="2012-12-25T00:00:00"/>
    <n v="33"/>
    <n v="0"/>
    <n v="3"/>
    <n v="3"/>
    <n v="3"/>
    <n v="55"/>
    <s v="&gt;50"/>
    <n v="6"/>
    <m/>
    <m/>
    <m/>
    <x v="1"/>
    <m/>
    <n v="14"/>
  </r>
  <r>
    <n v="5394"/>
    <n v="1979"/>
    <x v="3"/>
    <x v="0"/>
    <n v="16014"/>
    <n v="1"/>
    <d v="1899-12-31T00:00:00"/>
    <d v="2013-03-17T00:00:00"/>
    <n v="42"/>
    <n v="9"/>
    <n v="8"/>
    <n v="8"/>
    <n v="4"/>
    <n v="47"/>
    <s v="30-50"/>
    <n v="12"/>
    <m/>
    <m/>
    <m/>
    <x v="2"/>
    <m/>
    <n v="13"/>
  </r>
  <r>
    <n v="3798"/>
    <n v="1968"/>
    <x v="0"/>
    <x v="2"/>
    <n v="41120"/>
    <n v="1"/>
    <d v="1899-12-31T00:00:00"/>
    <d v="2013-11-06T00:00:00"/>
    <n v="80"/>
    <n v="2"/>
    <n v="8"/>
    <n v="8"/>
    <n v="3"/>
    <n v="58"/>
    <s v="&gt;50"/>
    <n v="11"/>
    <m/>
    <m/>
    <m/>
    <x v="1"/>
    <m/>
    <n v="13"/>
  </r>
  <r>
    <n v="3524"/>
    <n v="1971"/>
    <x v="2"/>
    <x v="0"/>
    <n v="39763"/>
    <n v="1"/>
    <d v="1899-12-30T00:00:00"/>
    <d v="2013-08-04T00:00:00"/>
    <n v="9"/>
    <n v="1"/>
    <n v="6"/>
    <n v="6"/>
    <n v="2"/>
    <n v="55"/>
    <s v="&gt;50"/>
    <n v="8"/>
    <m/>
    <m/>
    <m/>
    <x v="1"/>
    <m/>
    <n v="13"/>
  </r>
  <r>
    <n v="5247"/>
    <n v="1955"/>
    <x v="1"/>
    <x v="2"/>
    <n v="38725"/>
    <n v="1"/>
    <d v="1899-12-31T00:00:00"/>
    <d v="2014-05-10T00:00:00"/>
    <n v="52"/>
    <n v="0"/>
    <n v="1"/>
    <n v="1"/>
    <n v="4"/>
    <n v="71"/>
    <s v="&gt;50"/>
    <n v="5"/>
    <m/>
    <m/>
    <m/>
    <x v="1"/>
    <m/>
    <n v="12"/>
  </r>
  <r>
    <n v="5883"/>
    <n v="1972"/>
    <x v="0"/>
    <x v="2"/>
    <n v="77981"/>
    <n v="1"/>
    <d v="1899-12-30T00:00:00"/>
    <d v="2013-05-26T00:00:00"/>
    <n v="78"/>
    <n v="120"/>
    <n v="126"/>
    <n v="126"/>
    <n v="7"/>
    <n v="54"/>
    <s v="&gt;50"/>
    <n v="133"/>
    <m/>
    <m/>
    <m/>
    <x v="3"/>
    <m/>
    <n v="13"/>
  </r>
  <r>
    <n v="2118"/>
    <n v="1964"/>
    <x v="4"/>
    <x v="2"/>
    <n v="62905"/>
    <n v="0"/>
    <d v="1899-12-31T00:00:00"/>
    <d v="2013-09-10T00:00:00"/>
    <n v="68"/>
    <n v="75"/>
    <n v="107"/>
    <n v="107"/>
    <n v="8"/>
    <n v="62"/>
    <s v="&gt;50"/>
    <n v="115"/>
    <m/>
    <m/>
    <m/>
    <x v="0"/>
    <m/>
    <n v="13"/>
  </r>
  <r>
    <n v="8812"/>
    <n v="1979"/>
    <x v="4"/>
    <x v="3"/>
    <n v="13533"/>
    <n v="1"/>
    <d v="1899-12-30T00:00:00"/>
    <d v="2013-03-10T00:00:00"/>
    <n v="45"/>
    <n v="3"/>
    <n v="0"/>
    <n v="0"/>
    <n v="3"/>
    <n v="47"/>
    <s v="30-50"/>
    <n v="3"/>
    <m/>
    <m/>
    <m/>
    <x v="2"/>
    <m/>
    <n v="13"/>
  </r>
  <r>
    <n v="6616"/>
    <n v="1975"/>
    <x v="0"/>
    <x v="1"/>
    <n v="59481"/>
    <n v="0"/>
    <d v="1899-12-31T00:00:00"/>
    <d v="2013-10-23T00:00:00"/>
    <n v="47"/>
    <n v="3"/>
    <n v="66"/>
    <n v="66"/>
    <n v="8"/>
    <n v="51"/>
    <s v="&gt;50"/>
    <n v="74"/>
    <m/>
    <m/>
    <m/>
    <x v="0"/>
    <m/>
    <n v="13"/>
  </r>
  <r>
    <n v="2797"/>
    <n v="1977"/>
    <x v="0"/>
    <x v="2"/>
    <n v="72117"/>
    <n v="0"/>
    <d v="1899-12-31T00:00:00"/>
    <d v="2013-08-20T00:00:00"/>
    <n v="34"/>
    <n v="20"/>
    <n v="60"/>
    <n v="60"/>
    <n v="9"/>
    <n v="49"/>
    <s v="30-50"/>
    <n v="69"/>
    <m/>
    <m/>
    <m/>
    <x v="0"/>
    <m/>
    <n v="13"/>
  </r>
  <r>
    <n v="4328"/>
    <n v="1986"/>
    <x v="4"/>
    <x v="2"/>
    <n v="21955"/>
    <n v="1"/>
    <d v="1899-12-30T00:00:00"/>
    <d v="2013-09-07T00:00:00"/>
    <n v="81"/>
    <n v="1"/>
    <n v="14"/>
    <n v="14"/>
    <n v="3"/>
    <n v="40"/>
    <s v="30-50"/>
    <n v="17"/>
    <m/>
    <m/>
    <m/>
    <x v="2"/>
    <m/>
    <n v="13"/>
  </r>
  <r>
    <n v="9167"/>
    <n v="1956"/>
    <x v="0"/>
    <x v="2"/>
    <n v="67131"/>
    <n v="0"/>
    <d v="1899-12-31T00:00:00"/>
    <d v="2013-03-26T00:00:00"/>
    <n v="72"/>
    <n v="71"/>
    <n v="35"/>
    <n v="35"/>
    <n v="12"/>
    <n v="70"/>
    <s v="&gt;50"/>
    <n v="47"/>
    <m/>
    <m/>
    <m/>
    <x v="0"/>
    <m/>
    <n v="13"/>
  </r>
  <r>
    <n v="10560"/>
    <n v="1980"/>
    <x v="1"/>
    <x v="0"/>
    <n v="36802"/>
    <n v="1"/>
    <d v="1899-12-30T00:00:00"/>
    <d v="2014-06-16T00:00:00"/>
    <n v="23"/>
    <n v="1"/>
    <n v="0"/>
    <n v="0"/>
    <n v="3"/>
    <n v="46"/>
    <s v="30-50"/>
    <n v="3"/>
    <m/>
    <m/>
    <m/>
    <x v="1"/>
    <m/>
    <n v="12"/>
  </r>
  <r>
    <n v="2631"/>
    <n v="1982"/>
    <x v="0"/>
    <x v="1"/>
    <n v="71853"/>
    <n v="0"/>
    <d v="1899-12-30T00:00:00"/>
    <d v="2013-05-08T00:00:00"/>
    <n v="29"/>
    <n v="108"/>
    <n v="97"/>
    <n v="97"/>
    <n v="6"/>
    <n v="44"/>
    <s v="30-50"/>
    <n v="103"/>
    <m/>
    <m/>
    <m/>
    <x v="0"/>
    <m/>
    <n v="13"/>
  </r>
  <r>
    <n v="8312"/>
    <n v="1961"/>
    <x v="3"/>
    <x v="2"/>
    <n v="28249"/>
    <n v="0"/>
    <d v="1899-12-30T00:00:00"/>
    <d v="2014-06-15T00:00:00"/>
    <n v="80"/>
    <n v="9"/>
    <n v="14"/>
    <n v="14"/>
    <n v="3"/>
    <n v="65"/>
    <s v="&gt;50"/>
    <n v="17"/>
    <m/>
    <m/>
    <m/>
    <x v="2"/>
    <m/>
    <n v="12"/>
  </r>
  <r>
    <n v="5534"/>
    <n v="1975"/>
    <x v="2"/>
    <x v="2"/>
    <n v="47808"/>
    <n v="0"/>
    <d v="1899-12-31T00:00:00"/>
    <d v="2013-10-20T00:00:00"/>
    <n v="30"/>
    <n v="1"/>
    <n v="0"/>
    <n v="0"/>
    <n v="3"/>
    <n v="51"/>
    <s v="&gt;50"/>
    <n v="3"/>
    <m/>
    <m/>
    <m/>
    <x v="1"/>
    <m/>
    <n v="13"/>
  </r>
  <r>
    <n v="5093"/>
    <n v="1974"/>
    <x v="1"/>
    <x v="3"/>
    <n v="25509"/>
    <n v="1"/>
    <d v="1899-12-30T00:00:00"/>
    <d v="2012-09-18T00:00:00"/>
    <n v="15"/>
    <n v="3"/>
    <n v="7"/>
    <n v="7"/>
    <n v="3"/>
    <n v="52"/>
    <s v="&gt;50"/>
    <n v="10"/>
    <m/>
    <m/>
    <m/>
    <x v="2"/>
    <m/>
    <n v="14"/>
  </r>
  <r>
    <n v="7592"/>
    <n v="1946"/>
    <x v="1"/>
    <x v="2"/>
    <n v="51012"/>
    <n v="0"/>
    <d v="1899-12-30T00:00:00"/>
    <d v="2013-04-18T00:00:00"/>
    <n v="86"/>
    <n v="9"/>
    <n v="9"/>
    <n v="9"/>
    <n v="4"/>
    <n v="80"/>
    <s v="&gt;50"/>
    <n v="13"/>
    <m/>
    <m/>
    <m/>
    <x v="0"/>
    <m/>
    <n v="13"/>
  </r>
  <r>
    <n v="8895"/>
    <n v="1985"/>
    <x v="0"/>
    <x v="0"/>
    <n v="70596"/>
    <n v="0"/>
    <d v="1899-12-30T00:00:00"/>
    <d v="2012-10-05T00:00:00"/>
    <n v="68"/>
    <n v="44"/>
    <n v="0"/>
    <n v="0"/>
    <n v="12"/>
    <n v="41"/>
    <s v="30-50"/>
    <n v="12"/>
    <m/>
    <m/>
    <m/>
    <x v="0"/>
    <m/>
    <n v="14"/>
  </r>
  <r>
    <n v="8584"/>
    <n v="1952"/>
    <x v="1"/>
    <x v="1"/>
    <n v="85431"/>
    <n v="0"/>
    <d v="1899-12-30T00:00:00"/>
    <d v="2013-06-08T00:00:00"/>
    <n v="54"/>
    <n v="53"/>
    <n v="53"/>
    <n v="53"/>
    <n v="7"/>
    <n v="74"/>
    <s v="&gt;50"/>
    <n v="60"/>
    <m/>
    <m/>
    <m/>
    <x v="3"/>
    <m/>
    <n v="13"/>
  </r>
  <r>
    <n v="2694"/>
    <n v="1967"/>
    <x v="0"/>
    <x v="2"/>
    <n v="42664"/>
    <n v="0"/>
    <d v="1899-12-31T00:00:00"/>
    <d v="2014-03-18T00:00:00"/>
    <n v="44"/>
    <n v="0"/>
    <n v="0"/>
    <n v="0"/>
    <n v="3"/>
    <n v="59"/>
    <s v="&gt;50"/>
    <n v="3"/>
    <m/>
    <m/>
    <m/>
    <x v="1"/>
    <m/>
    <n v="12"/>
  </r>
  <r>
    <n v="8910"/>
    <n v="1955"/>
    <x v="0"/>
    <x v="1"/>
    <n v="42586"/>
    <n v="1"/>
    <d v="1899-12-31T00:00:00"/>
    <d v="2012-10-29T00:00:00"/>
    <n v="7"/>
    <n v="2"/>
    <n v="0"/>
    <n v="0"/>
    <n v="6"/>
    <n v="71"/>
    <s v="&gt;50"/>
    <n v="6"/>
    <m/>
    <m/>
    <m/>
    <x v="1"/>
    <m/>
    <n v="14"/>
  </r>
  <r>
    <n v="7433"/>
    <n v="1985"/>
    <x v="0"/>
    <x v="0"/>
    <n v="29760"/>
    <n v="1"/>
    <d v="1899-12-30T00:00:00"/>
    <d v="2012-08-29T00:00:00"/>
    <n v="87"/>
    <n v="4"/>
    <n v="5"/>
    <n v="5"/>
    <n v="4"/>
    <n v="41"/>
    <s v="30-50"/>
    <n v="9"/>
    <m/>
    <m/>
    <m/>
    <x v="2"/>
    <m/>
    <n v="14"/>
  </r>
  <r>
    <n v="164"/>
    <n v="1977"/>
    <x v="1"/>
    <x v="2"/>
    <n v="28973"/>
    <n v="0"/>
    <d v="1899-12-30T00:00:00"/>
    <d v="2012-10-13T00:00:00"/>
    <n v="59"/>
    <n v="0"/>
    <n v="2"/>
    <n v="2"/>
    <n v="5"/>
    <n v="49"/>
    <s v="30-50"/>
    <n v="7"/>
    <m/>
    <m/>
    <m/>
    <x v="2"/>
    <m/>
    <n v="14"/>
  </r>
  <r>
    <n v="10477"/>
    <n v="1973"/>
    <x v="1"/>
    <x v="1"/>
    <n v="39435"/>
    <n v="1"/>
    <d v="1899-12-30T00:00:00"/>
    <d v="2013-08-06T00:00:00"/>
    <n v="16"/>
    <n v="0"/>
    <n v="0"/>
    <n v="0"/>
    <n v="2"/>
    <n v="53"/>
    <s v="&gt;50"/>
    <n v="2"/>
    <m/>
    <m/>
    <m/>
    <x v="1"/>
    <m/>
    <n v="13"/>
  </r>
  <r>
    <n v="2681"/>
    <n v="1984"/>
    <x v="4"/>
    <x v="2"/>
    <n v="65370"/>
    <n v="0"/>
    <d v="1899-12-30T00:00:00"/>
    <d v="2013-08-01T00:00:00"/>
    <n v="1"/>
    <n v="22"/>
    <n v="89"/>
    <n v="89"/>
    <n v="13"/>
    <n v="42"/>
    <s v="30-50"/>
    <n v="102"/>
    <m/>
    <m/>
    <m/>
    <x v="0"/>
    <m/>
    <n v="13"/>
  </r>
  <r>
    <n v="5150"/>
    <n v="1979"/>
    <x v="3"/>
    <x v="0"/>
    <n v="20194"/>
    <n v="1"/>
    <d v="1899-12-30T00:00:00"/>
    <d v="2012-12-17T00:00:00"/>
    <n v="64"/>
    <n v="4"/>
    <n v="10"/>
    <n v="10"/>
    <n v="3"/>
    <n v="47"/>
    <s v="30-50"/>
    <n v="13"/>
    <m/>
    <m/>
    <m/>
    <x v="2"/>
    <m/>
    <n v="14"/>
  </r>
  <r>
    <n v="5283"/>
    <n v="1976"/>
    <x v="1"/>
    <x v="0"/>
    <n v="42473"/>
    <n v="1"/>
    <d v="1899-12-31T00:00:00"/>
    <d v="2014-02-17T00:00:00"/>
    <n v="72"/>
    <n v="1"/>
    <n v="4"/>
    <n v="4"/>
    <n v="4"/>
    <n v="50"/>
    <s v="30-50"/>
    <n v="8"/>
    <m/>
    <m/>
    <m/>
    <x v="1"/>
    <m/>
    <n v="12"/>
  </r>
  <r>
    <n v="9645"/>
    <n v="1968"/>
    <x v="0"/>
    <x v="2"/>
    <n v="64590"/>
    <n v="0"/>
    <d v="1899-12-30T00:00:00"/>
    <d v="2012-10-14T00:00:00"/>
    <n v="98"/>
    <n v="138"/>
    <n v="46"/>
    <n v="46"/>
    <n v="10"/>
    <n v="58"/>
    <s v="&gt;50"/>
    <n v="56"/>
    <m/>
    <m/>
    <m/>
    <x v="0"/>
    <m/>
    <n v="14"/>
  </r>
  <r>
    <n v="10678"/>
    <n v="1959"/>
    <x v="0"/>
    <x v="1"/>
    <n v="71232"/>
    <n v="0"/>
    <d v="1899-12-31T00:00:00"/>
    <d v="2013-11-28T00:00:00"/>
    <n v="91"/>
    <n v="17"/>
    <n v="26"/>
    <n v="26"/>
    <n v="10"/>
    <n v="67"/>
    <s v="&gt;50"/>
    <n v="36"/>
    <m/>
    <m/>
    <m/>
    <x v="0"/>
    <m/>
    <n v="13"/>
  </r>
  <r>
    <n v="7261"/>
    <n v="1971"/>
    <x v="0"/>
    <x v="1"/>
    <n v="34600"/>
    <n v="1"/>
    <d v="1899-12-31T00:00:00"/>
    <d v="2013-01-01T00:00:00"/>
    <n v="8"/>
    <n v="33"/>
    <n v="3"/>
    <n v="3"/>
    <n v="5"/>
    <n v="55"/>
    <s v="&gt;50"/>
    <n v="8"/>
    <m/>
    <m/>
    <m/>
    <x v="1"/>
    <m/>
    <n v="13"/>
  </r>
  <r>
    <n v="9648"/>
    <n v="1967"/>
    <x v="0"/>
    <x v="0"/>
    <n v="46904"/>
    <n v="1"/>
    <d v="1899-12-31T00:00:00"/>
    <d v="2012-11-03T00:00:00"/>
    <n v="20"/>
    <n v="4"/>
    <n v="9"/>
    <n v="9"/>
    <n v="4"/>
    <n v="59"/>
    <s v="&gt;50"/>
    <n v="13"/>
    <m/>
    <m/>
    <m/>
    <x v="1"/>
    <m/>
    <n v="14"/>
  </r>
  <r>
    <n v="2870"/>
    <n v="1973"/>
    <x v="0"/>
    <x v="2"/>
    <n v="49094"/>
    <n v="0"/>
    <d v="1899-12-31T00:00:00"/>
    <d v="2012-09-21T00:00:00"/>
    <n v="6"/>
    <n v="0"/>
    <n v="8"/>
    <n v="8"/>
    <n v="6"/>
    <n v="53"/>
    <s v="&gt;50"/>
    <n v="14"/>
    <m/>
    <m/>
    <m/>
    <x v="1"/>
    <m/>
    <n v="14"/>
  </r>
  <r>
    <n v="8008"/>
    <n v="1983"/>
    <x v="0"/>
    <x v="1"/>
    <n v="36075"/>
    <n v="1"/>
    <d v="1899-12-30T00:00:00"/>
    <d v="2013-12-09T00:00:00"/>
    <n v="54"/>
    <n v="0"/>
    <n v="1"/>
    <n v="1"/>
    <n v="4"/>
    <n v="43"/>
    <s v="30-50"/>
    <n v="5"/>
    <m/>
    <m/>
    <m/>
    <x v="1"/>
    <m/>
    <n v="13"/>
  </r>
  <r>
    <n v="1513"/>
    <n v="1979"/>
    <x v="4"/>
    <x v="1"/>
    <n v="60839"/>
    <n v="1"/>
    <d v="1899-12-31T00:00:00"/>
    <d v="2012-08-28T00:00:00"/>
    <n v="72"/>
    <n v="21"/>
    <n v="150"/>
    <n v="150"/>
    <n v="12"/>
    <n v="47"/>
    <s v="30-50"/>
    <n v="162"/>
    <m/>
    <m/>
    <m/>
    <x v="0"/>
    <m/>
    <n v="14"/>
  </r>
  <r>
    <n v="6173"/>
    <n v="1979"/>
    <x v="0"/>
    <x v="1"/>
    <n v="77298"/>
    <n v="0"/>
    <d v="1899-12-31T00:00:00"/>
    <d v="2013-11-02T00:00:00"/>
    <n v="46"/>
    <n v="115"/>
    <n v="35"/>
    <n v="35"/>
    <n v="11"/>
    <n v="47"/>
    <s v="30-50"/>
    <n v="46"/>
    <m/>
    <m/>
    <m/>
    <x v="3"/>
    <m/>
    <n v="13"/>
  </r>
  <r>
    <n v="1419"/>
    <n v="1950"/>
    <x v="0"/>
    <x v="1"/>
    <n v="34026"/>
    <n v="1"/>
    <d v="1899-12-31T00:00:00"/>
    <d v="2013-08-05T00:00:00"/>
    <n v="11"/>
    <n v="6"/>
    <n v="8"/>
    <n v="8"/>
    <n v="3"/>
    <n v="76"/>
    <s v="&gt;50"/>
    <n v="11"/>
    <m/>
    <m/>
    <m/>
    <x v="1"/>
    <m/>
    <n v="13"/>
  </r>
  <r>
    <n v="9150"/>
    <n v="1963"/>
    <x v="1"/>
    <x v="0"/>
    <n v="48918"/>
    <n v="1"/>
    <d v="1899-12-31T00:00:00"/>
    <d v="2014-04-12T00:00:00"/>
    <n v="21"/>
    <n v="0"/>
    <n v="0"/>
    <n v="0"/>
    <n v="4"/>
    <n v="63"/>
    <s v="&gt;50"/>
    <n v="4"/>
    <m/>
    <m/>
    <m/>
    <x v="1"/>
    <m/>
    <n v="12"/>
  </r>
  <r>
    <n v="7960"/>
    <n v="1962"/>
    <x v="4"/>
    <x v="1"/>
    <n v="82122"/>
    <n v="0"/>
    <d v="1899-12-30T00:00:00"/>
    <d v="2013-08-15T00:00:00"/>
    <n v="89"/>
    <n v="22"/>
    <n v="25"/>
    <n v="25"/>
    <n v="13"/>
    <n v="64"/>
    <s v="&gt;50"/>
    <n v="38"/>
    <m/>
    <m/>
    <m/>
    <x v="3"/>
    <m/>
    <n v="13"/>
  </r>
  <r>
    <n v="1250"/>
    <n v="1976"/>
    <x v="0"/>
    <x v="0"/>
    <n v="37697"/>
    <n v="1"/>
    <d v="1899-12-30T00:00:00"/>
    <d v="2014-02-07T00:00:00"/>
    <n v="82"/>
    <n v="6"/>
    <n v="4"/>
    <n v="4"/>
    <n v="3"/>
    <n v="50"/>
    <s v="30-50"/>
    <n v="7"/>
    <m/>
    <m/>
    <m/>
    <x v="1"/>
    <m/>
    <n v="12"/>
  </r>
  <r>
    <n v="9905"/>
    <n v="1952"/>
    <x v="0"/>
    <x v="1"/>
    <n v="34074"/>
    <n v="1"/>
    <d v="1899-12-31T00:00:00"/>
    <d v="2013-07-13T00:00:00"/>
    <n v="69"/>
    <n v="1"/>
    <n v="1"/>
    <n v="1"/>
    <n v="3"/>
    <n v="74"/>
    <s v="&gt;50"/>
    <n v="4"/>
    <m/>
    <m/>
    <m/>
    <x v="1"/>
    <m/>
    <n v="13"/>
  </r>
  <r>
    <n v="10691"/>
    <n v="1960"/>
    <x v="2"/>
    <x v="2"/>
    <n v="28520"/>
    <n v="1"/>
    <d v="1899-12-31T00:00:00"/>
    <d v="2013-06-14T00:00:00"/>
    <n v="55"/>
    <n v="0"/>
    <n v="2"/>
    <n v="2"/>
    <n v="2"/>
    <n v="66"/>
    <s v="&gt;50"/>
    <n v="4"/>
    <m/>
    <m/>
    <m/>
    <x v="2"/>
    <m/>
    <n v="13"/>
  </r>
  <r>
    <n v="7002"/>
    <n v="1955"/>
    <x v="0"/>
    <x v="0"/>
    <n v="62535"/>
    <n v="0"/>
    <d v="1899-12-31T00:00:00"/>
    <d v="2013-10-03T00:00:00"/>
    <n v="13"/>
    <n v="48"/>
    <n v="45"/>
    <n v="45"/>
    <n v="8"/>
    <n v="71"/>
    <s v="&gt;50"/>
    <n v="53"/>
    <m/>
    <m/>
    <m/>
    <x v="0"/>
    <m/>
    <n v="13"/>
  </r>
  <r>
    <n v="2952"/>
    <n v="1977"/>
    <x v="2"/>
    <x v="0"/>
    <n v="36273"/>
    <n v="1"/>
    <d v="1899-12-30T00:00:00"/>
    <d v="2014-04-16T00:00:00"/>
    <n v="80"/>
    <n v="3"/>
    <n v="2"/>
    <n v="2"/>
    <n v="3"/>
    <n v="49"/>
    <s v="30-50"/>
    <n v="5"/>
    <m/>
    <m/>
    <m/>
    <x v="1"/>
    <m/>
    <n v="12"/>
  </r>
  <r>
    <n v="8439"/>
    <n v="1964"/>
    <x v="0"/>
    <x v="1"/>
    <n v="63404"/>
    <n v="0"/>
    <d v="1900-01-01T00:00:00"/>
    <d v="2014-06-06T00:00:00"/>
    <n v="97"/>
    <n v="26"/>
    <n v="44"/>
    <n v="44"/>
    <n v="4"/>
    <n v="62"/>
    <s v="&gt;50"/>
    <n v="48"/>
    <m/>
    <m/>
    <m/>
    <x v="0"/>
    <m/>
    <n v="12"/>
  </r>
  <r>
    <n v="762"/>
    <n v="1981"/>
    <x v="4"/>
    <x v="1"/>
    <n v="75774"/>
    <n v="1"/>
    <d v="1899-12-30T00:00:00"/>
    <d v="2014-05-02T00:00:00"/>
    <n v="27"/>
    <n v="21"/>
    <n v="14"/>
    <n v="14"/>
    <n v="8"/>
    <n v="45"/>
    <s v="30-50"/>
    <n v="22"/>
    <m/>
    <m/>
    <m/>
    <x v="3"/>
    <m/>
    <n v="12"/>
  </r>
  <r>
    <n v="2831"/>
    <n v="1976"/>
    <x v="0"/>
    <x v="1"/>
    <n v="78416"/>
    <n v="0"/>
    <d v="1899-12-31T00:00:00"/>
    <d v="2014-06-27T00:00:00"/>
    <n v="99"/>
    <n v="38"/>
    <n v="38"/>
    <n v="38"/>
    <n v="10"/>
    <n v="50"/>
    <s v="30-50"/>
    <n v="48"/>
    <m/>
    <m/>
    <m/>
    <x v="3"/>
    <m/>
    <n v="12"/>
  </r>
  <r>
    <n v="6977"/>
    <n v="1974"/>
    <x v="0"/>
    <x v="1"/>
    <n v="75702"/>
    <n v="0"/>
    <d v="1899-12-31T00:00:00"/>
    <d v="2012-10-14T00:00:00"/>
    <n v="87"/>
    <n v="0"/>
    <n v="37"/>
    <n v="37"/>
    <n v="13"/>
    <n v="52"/>
    <s v="&gt;50"/>
    <n v="50"/>
    <m/>
    <m/>
    <m/>
    <x v="3"/>
    <m/>
    <n v="14"/>
  </r>
  <r>
    <n v="6289"/>
    <n v="1951"/>
    <x v="2"/>
    <x v="1"/>
    <n v="59385"/>
    <n v="1"/>
    <d v="1899-12-31T00:00:00"/>
    <d v="2013-04-28T00:00:00"/>
    <n v="85"/>
    <n v="0"/>
    <n v="4"/>
    <n v="4"/>
    <n v="4"/>
    <n v="75"/>
    <s v="&gt;50"/>
    <n v="8"/>
    <m/>
    <m/>
    <m/>
    <x v="0"/>
    <m/>
    <n v="13"/>
  </r>
  <r>
    <n v="4168"/>
    <n v="1966"/>
    <x v="0"/>
    <x v="0"/>
    <n v="37070"/>
    <n v="1"/>
    <d v="1899-12-31T00:00:00"/>
    <d v="2013-03-20T00:00:00"/>
    <n v="30"/>
    <n v="7"/>
    <n v="15"/>
    <n v="15"/>
    <n v="8"/>
    <n v="60"/>
    <s v="&gt;50"/>
    <n v="23"/>
    <m/>
    <m/>
    <m/>
    <x v="1"/>
    <m/>
    <n v="13"/>
  </r>
  <r>
    <n v="8397"/>
    <n v="1951"/>
    <x v="0"/>
    <x v="2"/>
    <n v="44689"/>
    <n v="1"/>
    <d v="1899-12-31T00:00:00"/>
    <d v="2014-01-10T00:00:00"/>
    <n v="82"/>
    <n v="0"/>
    <n v="0"/>
    <n v="0"/>
    <n v="2"/>
    <n v="75"/>
    <s v="&gt;50"/>
    <n v="2"/>
    <m/>
    <m/>
    <m/>
    <x v="1"/>
    <m/>
    <n v="12"/>
  </r>
  <r>
    <n v="9284"/>
    <n v="1958"/>
    <x v="0"/>
    <x v="1"/>
    <n v="53977"/>
    <n v="0"/>
    <d v="1899-12-31T00:00:00"/>
    <d v="2013-06-08T00:00:00"/>
    <n v="21"/>
    <n v="16"/>
    <n v="24"/>
    <n v="24"/>
    <n v="12"/>
    <n v="68"/>
    <s v="&gt;50"/>
    <n v="36"/>
    <m/>
    <m/>
    <m/>
    <x v="0"/>
    <m/>
    <n v="13"/>
  </r>
  <r>
    <n v="6237"/>
    <n v="1966"/>
    <x v="1"/>
    <x v="0"/>
    <n v="7144"/>
    <n v="0"/>
    <d v="1900-01-01T00:00:00"/>
    <d v="2013-12-07T00:00:00"/>
    <n v="92"/>
    <n v="4"/>
    <n v="2"/>
    <n v="2"/>
    <n v="1"/>
    <n v="60"/>
    <s v="&gt;50"/>
    <n v="3"/>
    <m/>
    <m/>
    <m/>
    <x v="2"/>
    <m/>
    <n v="13"/>
  </r>
  <r>
    <n v="3130"/>
    <n v="1964"/>
    <x v="0"/>
    <x v="0"/>
    <n v="18701"/>
    <n v="1"/>
    <d v="1899-12-31T00:00:00"/>
    <d v="2013-06-04T00:00:00"/>
    <n v="95"/>
    <n v="4"/>
    <n v="6"/>
    <n v="6"/>
    <n v="4"/>
    <n v="62"/>
    <s v="&gt;50"/>
    <n v="10"/>
    <m/>
    <m/>
    <m/>
    <x v="2"/>
    <m/>
    <n v="13"/>
  </r>
  <r>
    <n v="1619"/>
    <n v="1956"/>
    <x v="0"/>
    <x v="2"/>
    <n v="90369"/>
    <n v="0"/>
    <d v="1899-12-30T00:00:00"/>
    <d v="2014-04-28T00:00:00"/>
    <n v="2"/>
    <n v="51"/>
    <n v="23"/>
    <n v="23"/>
    <n v="6"/>
    <n v="70"/>
    <s v="&gt;50"/>
    <n v="29"/>
    <m/>
    <m/>
    <m/>
    <x v="3"/>
    <m/>
    <n v="12"/>
  </r>
  <r>
    <n v="1990"/>
    <n v="1974"/>
    <x v="1"/>
    <x v="0"/>
    <n v="63159"/>
    <n v="0"/>
    <d v="1899-12-30T00:00:00"/>
    <d v="2012-11-05T00:00:00"/>
    <n v="74"/>
    <n v="34"/>
    <n v="86"/>
    <n v="86"/>
    <n v="8"/>
    <n v="52"/>
    <s v="&gt;50"/>
    <n v="94"/>
    <m/>
    <m/>
    <m/>
    <x v="0"/>
    <m/>
    <n v="14"/>
  </r>
  <r>
    <n v="5513"/>
    <n v="1966"/>
    <x v="0"/>
    <x v="1"/>
    <n v="37758"/>
    <n v="1"/>
    <d v="1899-12-31T00:00:00"/>
    <d v="2012-10-04T00:00:00"/>
    <n v="49"/>
    <n v="2"/>
    <n v="0"/>
    <n v="0"/>
    <n v="3"/>
    <n v="60"/>
    <s v="&gt;50"/>
    <n v="3"/>
    <m/>
    <m/>
    <m/>
    <x v="1"/>
    <m/>
    <n v="14"/>
  </r>
  <r>
    <n v="269"/>
    <n v="1963"/>
    <x v="1"/>
    <x v="0"/>
    <n v="46757"/>
    <n v="0"/>
    <d v="1899-12-31T00:00:00"/>
    <d v="2012-11-16T00:00:00"/>
    <n v="71"/>
    <n v="30"/>
    <n v="51"/>
    <n v="51"/>
    <n v="7"/>
    <n v="63"/>
    <s v="&gt;50"/>
    <n v="58"/>
    <m/>
    <m/>
    <m/>
    <x v="1"/>
    <m/>
    <n v="14"/>
  </r>
  <r>
    <n v="8093"/>
    <n v="1969"/>
    <x v="2"/>
    <x v="2"/>
    <n v="79734"/>
    <n v="0"/>
    <d v="1899-12-30T00:00:00"/>
    <d v="2014-06-28T00:00:00"/>
    <n v="72"/>
    <n v="8"/>
    <n v="62"/>
    <n v="62"/>
    <n v="6"/>
    <n v="57"/>
    <s v="&gt;50"/>
    <n v="68"/>
    <m/>
    <m/>
    <m/>
    <x v="3"/>
    <m/>
    <n v="12"/>
  </r>
  <r>
    <n v="10513"/>
    <n v="1992"/>
    <x v="0"/>
    <x v="1"/>
    <n v="63207"/>
    <n v="0"/>
    <d v="1899-12-30T00:00:00"/>
    <d v="2013-01-20T00:00:00"/>
    <n v="68"/>
    <n v="169"/>
    <n v="169"/>
    <n v="169"/>
    <n v="6"/>
    <n v="34"/>
    <s v="30-50"/>
    <n v="175"/>
    <m/>
    <m/>
    <m/>
    <x v="0"/>
    <m/>
    <n v="13"/>
  </r>
  <r>
    <n v="10177"/>
    <n v="1954"/>
    <x v="0"/>
    <x v="3"/>
    <n v="72071"/>
    <n v="0"/>
    <d v="1899-12-31T00:00:00"/>
    <d v="2013-02-14T00:00:00"/>
    <n v="4"/>
    <n v="69"/>
    <n v="138"/>
    <n v="138"/>
    <n v="8"/>
    <n v="72"/>
    <s v="&gt;50"/>
    <n v="146"/>
    <m/>
    <m/>
    <m/>
    <x v="0"/>
    <m/>
    <n v="13"/>
  </r>
  <r>
    <n v="2549"/>
    <n v="1983"/>
    <x v="1"/>
    <x v="1"/>
    <n v="21840"/>
    <n v="1"/>
    <d v="1899-12-30T00:00:00"/>
    <d v="2013-07-21T00:00:00"/>
    <n v="80"/>
    <n v="0"/>
    <n v="0"/>
    <n v="0"/>
    <n v="3"/>
    <n v="43"/>
    <s v="30-50"/>
    <n v="3"/>
    <m/>
    <m/>
    <m/>
    <x v="2"/>
    <m/>
    <n v="13"/>
  </r>
  <r>
    <n v="5782"/>
    <n v="1982"/>
    <x v="4"/>
    <x v="1"/>
    <n v="58582"/>
    <n v="0"/>
    <d v="1899-12-31T00:00:00"/>
    <d v="2013-09-28T00:00:00"/>
    <n v="15"/>
    <n v="35"/>
    <n v="77"/>
    <n v="77"/>
    <n v="9"/>
    <n v="44"/>
    <s v="30-50"/>
    <n v="86"/>
    <m/>
    <m/>
    <m/>
    <x v="0"/>
    <m/>
    <n v="13"/>
  </r>
  <r>
    <n v="10057"/>
    <n v="1951"/>
    <x v="0"/>
    <x v="0"/>
    <n v="72282"/>
    <n v="0"/>
    <d v="1899-12-30T00:00:00"/>
    <d v="2013-07-19T00:00:00"/>
    <n v="70"/>
    <n v="27"/>
    <n v="139"/>
    <n v="139"/>
    <n v="9"/>
    <n v="75"/>
    <s v="&gt;50"/>
    <n v="148"/>
    <m/>
    <m/>
    <m/>
    <x v="0"/>
    <m/>
    <n v="13"/>
  </r>
  <r>
    <n v="10307"/>
    <n v="1956"/>
    <x v="0"/>
    <x v="2"/>
    <n v="50387"/>
    <n v="0"/>
    <d v="1900-01-01T00:00:00"/>
    <d v="2013-08-31T00:00:00"/>
    <n v="91"/>
    <n v="9"/>
    <n v="14"/>
    <n v="14"/>
    <n v="8"/>
    <n v="70"/>
    <s v="&gt;50"/>
    <n v="22"/>
    <m/>
    <m/>
    <m/>
    <x v="0"/>
    <m/>
    <n v="13"/>
  </r>
  <r>
    <n v="8566"/>
    <n v="1961"/>
    <x v="1"/>
    <x v="1"/>
    <n v="32583"/>
    <n v="1"/>
    <d v="1899-12-31T00:00:00"/>
    <d v="2014-06-15T00:00:00"/>
    <n v="10"/>
    <n v="0"/>
    <n v="0"/>
    <n v="0"/>
    <n v="2"/>
    <n v="65"/>
    <s v="&gt;50"/>
    <n v="2"/>
    <m/>
    <m/>
    <m/>
    <x v="1"/>
    <m/>
    <n v="12"/>
  </r>
  <r>
    <n v="2415"/>
    <n v="1962"/>
    <x v="0"/>
    <x v="1"/>
    <n v="62568"/>
    <n v="0"/>
    <d v="1899-12-31T00:00:00"/>
    <d v="2014-04-07T00:00:00"/>
    <n v="99"/>
    <n v="17"/>
    <n v="35"/>
    <n v="35"/>
    <n v="5"/>
    <n v="64"/>
    <s v="&gt;50"/>
    <n v="40"/>
    <m/>
    <m/>
    <m/>
    <x v="0"/>
    <m/>
    <n v="12"/>
  </r>
  <r>
    <n v="5684"/>
    <n v="1971"/>
    <x v="2"/>
    <x v="3"/>
    <n v="44635"/>
    <n v="1"/>
    <d v="1899-12-31T00:00:00"/>
    <d v="2013-10-11T00:00:00"/>
    <n v="25"/>
    <n v="0"/>
    <n v="0"/>
    <n v="0"/>
    <n v="3"/>
    <n v="55"/>
    <s v="&gt;50"/>
    <n v="3"/>
    <m/>
    <m/>
    <m/>
    <x v="1"/>
    <m/>
    <n v="13"/>
  </r>
  <r>
    <n v="8334"/>
    <n v="1971"/>
    <x v="2"/>
    <x v="0"/>
    <n v="33316"/>
    <n v="1"/>
    <d v="1899-12-31T00:00:00"/>
    <d v="2013-10-04T00:00:00"/>
    <n v="34"/>
    <n v="1"/>
    <n v="4"/>
    <n v="4"/>
    <n v="4"/>
    <n v="55"/>
    <s v="&gt;50"/>
    <n v="8"/>
    <m/>
    <m/>
    <m/>
    <x v="1"/>
    <m/>
    <n v="13"/>
  </r>
  <r>
    <n v="9166"/>
    <n v="1968"/>
    <x v="0"/>
    <x v="2"/>
    <n v="63967"/>
    <n v="0"/>
    <d v="1899-12-31T00:00:00"/>
    <d v="2013-08-09T00:00:00"/>
    <n v="57"/>
    <n v="84"/>
    <n v="35"/>
    <n v="35"/>
    <n v="12"/>
    <n v="58"/>
    <s v="&gt;50"/>
    <n v="47"/>
    <m/>
    <m/>
    <m/>
    <x v="0"/>
    <m/>
    <n v="13"/>
  </r>
  <r>
    <n v="1440"/>
    <n v="1978"/>
    <x v="4"/>
    <x v="1"/>
    <n v="52513"/>
    <n v="0"/>
    <d v="1899-12-30T00:00:00"/>
    <d v="2012-09-04T00:00:00"/>
    <n v="84"/>
    <n v="17"/>
    <n v="188"/>
    <n v="188"/>
    <n v="9"/>
    <n v="48"/>
    <s v="30-50"/>
    <n v="197"/>
    <m/>
    <m/>
    <m/>
    <x v="0"/>
    <m/>
    <n v="14"/>
  </r>
  <r>
    <n v="78"/>
    <n v="1969"/>
    <x v="0"/>
    <x v="2"/>
    <n v="25293"/>
    <n v="1"/>
    <d v="1899-12-30T00:00:00"/>
    <d v="2013-09-15T00:00:00"/>
    <n v="51"/>
    <n v="0"/>
    <n v="2"/>
    <n v="2"/>
    <n v="2"/>
    <n v="57"/>
    <s v="&gt;50"/>
    <n v="4"/>
    <m/>
    <m/>
    <m/>
    <x v="2"/>
    <m/>
    <n v="13"/>
  </r>
  <r>
    <n v="5441"/>
    <n v="1965"/>
    <x v="1"/>
    <x v="4"/>
    <n v="54111"/>
    <n v="0"/>
    <d v="1899-12-31T00:00:00"/>
    <d v="2013-08-25T00:00:00"/>
    <n v="97"/>
    <n v="6"/>
    <n v="3"/>
    <n v="3"/>
    <n v="6"/>
    <n v="61"/>
    <s v="&gt;50"/>
    <n v="9"/>
    <m/>
    <m/>
    <m/>
    <x v="0"/>
    <m/>
    <n v="13"/>
  </r>
  <r>
    <n v="5302"/>
    <n v="1986"/>
    <x v="0"/>
    <x v="1"/>
    <n v="78394"/>
    <n v="0"/>
    <d v="1899-12-30T00:00:00"/>
    <d v="2013-02-15T00:00:00"/>
    <n v="13"/>
    <n v="27"/>
    <n v="24"/>
    <n v="24"/>
    <n v="5"/>
    <n v="40"/>
    <s v="30-50"/>
    <n v="29"/>
    <m/>
    <m/>
    <m/>
    <x v="3"/>
    <m/>
    <n v="13"/>
  </r>
  <r>
    <n v="4687"/>
    <n v="1958"/>
    <x v="2"/>
    <x v="2"/>
    <n v="80739"/>
    <n v="0"/>
    <d v="1899-12-30T00:00:00"/>
    <d v="2013-05-23T00:00:00"/>
    <n v="92"/>
    <n v="92"/>
    <n v="0"/>
    <n v="0"/>
    <n v="9"/>
    <n v="68"/>
    <s v="&gt;50"/>
    <n v="9"/>
    <m/>
    <m/>
    <m/>
    <x v="3"/>
    <m/>
    <n v="13"/>
  </r>
  <r>
    <n v="1087"/>
    <n v="1975"/>
    <x v="2"/>
    <x v="1"/>
    <n v="22669"/>
    <n v="1"/>
    <d v="1899-12-30T00:00:00"/>
    <d v="2013-05-22T00:00:00"/>
    <n v="30"/>
    <n v="14"/>
    <n v="22"/>
    <n v="22"/>
    <n v="2"/>
    <n v="51"/>
    <s v="&gt;50"/>
    <n v="24"/>
    <m/>
    <m/>
    <m/>
    <x v="2"/>
    <m/>
    <n v="13"/>
  </r>
  <r>
    <n v="6859"/>
    <n v="1987"/>
    <x v="0"/>
    <x v="0"/>
    <n v="29236"/>
    <n v="1"/>
    <d v="1899-12-30T00:00:00"/>
    <d v="2013-10-08T00:00:00"/>
    <n v="30"/>
    <n v="4"/>
    <n v="9"/>
    <n v="9"/>
    <n v="3"/>
    <n v="39"/>
    <s v="30-50"/>
    <n v="12"/>
    <m/>
    <m/>
    <m/>
    <x v="2"/>
    <m/>
    <n v="13"/>
  </r>
  <r>
    <n v="9860"/>
    <n v="1959"/>
    <x v="0"/>
    <x v="1"/>
    <n v="44911"/>
    <n v="0"/>
    <d v="1899-12-31T00:00:00"/>
    <d v="2013-03-15T00:00:00"/>
    <n v="11"/>
    <n v="0"/>
    <n v="1"/>
    <n v="1"/>
    <n v="4"/>
    <n v="67"/>
    <s v="&gt;50"/>
    <n v="5"/>
    <m/>
    <m/>
    <m/>
    <x v="1"/>
    <m/>
    <n v="13"/>
  </r>
  <r>
    <n v="7129"/>
    <n v="1962"/>
    <x v="1"/>
    <x v="2"/>
    <n v="54693"/>
    <n v="0"/>
    <d v="1899-12-31T00:00:00"/>
    <d v="2013-02-17T00:00:00"/>
    <n v="72"/>
    <n v="17"/>
    <n v="26"/>
    <n v="26"/>
    <n v="13"/>
    <n v="64"/>
    <s v="&gt;50"/>
    <n v="39"/>
    <m/>
    <m/>
    <m/>
    <x v="0"/>
    <m/>
    <n v="13"/>
  </r>
  <r>
    <n v="5866"/>
    <n v="1974"/>
    <x v="0"/>
    <x v="1"/>
    <n v="48186"/>
    <n v="1"/>
    <d v="1899-12-30T00:00:00"/>
    <d v="2014-03-20T00:00:00"/>
    <n v="39"/>
    <n v="3"/>
    <n v="7"/>
    <n v="7"/>
    <n v="4"/>
    <n v="52"/>
    <s v="&gt;50"/>
    <n v="11"/>
    <m/>
    <m/>
    <m/>
    <x v="1"/>
    <m/>
    <n v="12"/>
  </r>
  <r>
    <n v="10521"/>
    <n v="1977"/>
    <x v="0"/>
    <x v="2"/>
    <n v="54809"/>
    <n v="1"/>
    <d v="1899-12-31T00:00:00"/>
    <d v="2013-09-11T00:00:00"/>
    <n v="0"/>
    <n v="6"/>
    <n v="13"/>
    <n v="13"/>
    <n v="5"/>
    <n v="49"/>
    <s v="30-50"/>
    <n v="18"/>
    <m/>
    <m/>
    <m/>
    <x v="0"/>
    <m/>
    <n v="13"/>
  </r>
  <r>
    <n v="7393"/>
    <n v="1978"/>
    <x v="0"/>
    <x v="1"/>
    <n v="41580"/>
    <n v="1"/>
    <d v="1899-12-31T00:00:00"/>
    <d v="2012-12-10T00:00:00"/>
    <n v="15"/>
    <n v="5"/>
    <n v="0"/>
    <n v="0"/>
    <n v="3"/>
    <n v="48"/>
    <s v="30-50"/>
    <n v="3"/>
    <m/>
    <m/>
    <m/>
    <x v="1"/>
    <m/>
    <n v="14"/>
  </r>
  <r>
    <n v="7849"/>
    <n v="1970"/>
    <x v="1"/>
    <x v="2"/>
    <n v="80336"/>
    <n v="0"/>
    <d v="1899-12-30T00:00:00"/>
    <d v="2013-09-09T00:00:00"/>
    <n v="12"/>
    <n v="19"/>
    <n v="142"/>
    <n v="142"/>
    <n v="13"/>
    <n v="56"/>
    <s v="&gt;50"/>
    <n v="155"/>
    <m/>
    <m/>
    <m/>
    <x v="3"/>
    <m/>
    <n v="13"/>
  </r>
  <r>
    <n v="332"/>
    <n v="1957"/>
    <x v="0"/>
    <x v="2"/>
    <n v="47743"/>
    <n v="0"/>
    <d v="1899-12-31T00:00:00"/>
    <d v="2013-03-22T00:00:00"/>
    <n v="56"/>
    <n v="2"/>
    <n v="12"/>
    <n v="12"/>
    <n v="6"/>
    <n v="69"/>
    <s v="&gt;50"/>
    <n v="18"/>
    <m/>
    <m/>
    <m/>
    <x v="1"/>
    <m/>
    <n v="13"/>
  </r>
  <r>
    <n v="9847"/>
    <n v="1955"/>
    <x v="4"/>
    <x v="2"/>
    <n v="62972"/>
    <n v="0"/>
    <d v="1899-12-31T00:00:00"/>
    <d v="2012-08-03T00:00:00"/>
    <n v="39"/>
    <n v="15"/>
    <n v="0"/>
    <n v="0"/>
    <n v="3"/>
    <n v="71"/>
    <s v="&gt;50"/>
    <n v="3"/>
    <m/>
    <m/>
    <m/>
    <x v="0"/>
    <m/>
    <n v="14"/>
  </r>
  <r>
    <n v="531"/>
    <n v="1954"/>
    <x v="1"/>
    <x v="3"/>
    <n v="57333"/>
    <n v="0"/>
    <d v="1899-12-31T00:00:00"/>
    <d v="2012-09-22T00:00:00"/>
    <n v="55"/>
    <n v="14"/>
    <n v="58"/>
    <n v="58"/>
    <n v="9"/>
    <n v="72"/>
    <s v="&gt;50"/>
    <n v="67"/>
    <m/>
    <m/>
    <m/>
    <x v="0"/>
    <m/>
    <n v="14"/>
  </r>
  <r>
    <n v="9576"/>
    <n v="1982"/>
    <x v="1"/>
    <x v="1"/>
    <n v="32313"/>
    <n v="1"/>
    <d v="1899-12-30T00:00:00"/>
    <d v="2013-02-11T00:00:00"/>
    <n v="60"/>
    <n v="4"/>
    <n v="4"/>
    <n v="4"/>
    <n v="4"/>
    <n v="44"/>
    <s v="30-50"/>
    <n v="8"/>
    <m/>
    <m/>
    <m/>
    <x v="1"/>
    <m/>
    <n v="13"/>
  </r>
  <r>
    <n v="6906"/>
    <n v="1953"/>
    <x v="2"/>
    <x v="4"/>
    <n v="84953"/>
    <n v="0"/>
    <d v="1899-12-30T00:00:00"/>
    <d v="2013-06-03T00:00:00"/>
    <n v="73"/>
    <n v="48"/>
    <n v="72"/>
    <n v="72"/>
    <n v="4"/>
    <n v="73"/>
    <s v="&gt;50"/>
    <n v="76"/>
    <m/>
    <m/>
    <m/>
    <x v="3"/>
    <m/>
    <n v="13"/>
  </r>
  <r>
    <n v="7419"/>
    <n v="1968"/>
    <x v="2"/>
    <x v="3"/>
    <n v="27071"/>
    <n v="1"/>
    <d v="1899-12-30T00:00:00"/>
    <d v="2014-04-23T00:00:00"/>
    <n v="90"/>
    <n v="3"/>
    <n v="2"/>
    <n v="2"/>
    <n v="3"/>
    <n v="58"/>
    <s v="&gt;50"/>
    <n v="5"/>
    <m/>
    <m/>
    <m/>
    <x v="2"/>
    <m/>
    <n v="12"/>
  </r>
  <r>
    <n v="3170"/>
    <n v="1957"/>
    <x v="2"/>
    <x v="1"/>
    <n v="68148"/>
    <n v="0"/>
    <d v="1899-12-30T00:00:00"/>
    <d v="2013-08-31T00:00:00"/>
    <n v="86"/>
    <n v="66"/>
    <n v="57"/>
    <n v="57"/>
    <n v="6"/>
    <n v="69"/>
    <s v="&gt;50"/>
    <n v="63"/>
    <m/>
    <m/>
    <m/>
    <x v="0"/>
    <m/>
    <n v="13"/>
  </r>
  <r>
    <n v="8527"/>
    <n v="1965"/>
    <x v="2"/>
    <x v="1"/>
    <n v="65735"/>
    <n v="1"/>
    <d v="1899-12-31T00:00:00"/>
    <d v="2013-12-07T00:00:00"/>
    <n v="37"/>
    <n v="7"/>
    <n v="15"/>
    <n v="15"/>
    <n v="6"/>
    <n v="61"/>
    <s v="&gt;50"/>
    <n v="21"/>
    <m/>
    <m/>
    <m/>
    <x v="0"/>
    <m/>
    <n v="13"/>
  </r>
  <r>
    <n v="7872"/>
    <n v="1975"/>
    <x v="1"/>
    <x v="2"/>
    <n v="86836"/>
    <n v="0"/>
    <d v="1899-12-30T00:00:00"/>
    <d v="2012-09-12T00:00:00"/>
    <n v="7"/>
    <n v="21"/>
    <n v="21"/>
    <n v="21"/>
    <n v="6"/>
    <n v="51"/>
    <s v="&gt;50"/>
    <n v="27"/>
    <m/>
    <m/>
    <m/>
    <x v="3"/>
    <m/>
    <n v="14"/>
  </r>
  <r>
    <n v="9931"/>
    <n v="1963"/>
    <x v="1"/>
    <x v="2"/>
    <n v="4023"/>
    <n v="1"/>
    <d v="1899-12-31T00:00:00"/>
    <d v="2014-06-23T00:00:00"/>
    <n v="29"/>
    <n v="0"/>
    <n v="1"/>
    <n v="1"/>
    <n v="0"/>
    <n v="63"/>
    <s v="&gt;50"/>
    <n v="1"/>
    <m/>
    <m/>
    <m/>
    <x v="2"/>
    <m/>
    <n v="12"/>
  </r>
  <r>
    <n v="10595"/>
    <n v="1990"/>
    <x v="0"/>
    <x v="2"/>
    <n v="30093"/>
    <n v="0"/>
    <d v="1899-12-30T00:00:00"/>
    <d v="2013-07-08T00:00:00"/>
    <n v="19"/>
    <n v="6"/>
    <n v="4"/>
    <n v="4"/>
    <n v="3"/>
    <n v="36"/>
    <s v="30-50"/>
    <n v="7"/>
    <m/>
    <m/>
    <m/>
    <x v="1"/>
    <m/>
    <n v="13"/>
  </r>
  <r>
    <n v="4609"/>
    <n v="1966"/>
    <x v="1"/>
    <x v="2"/>
    <n v="57705"/>
    <n v="0"/>
    <d v="1899-12-31T00:00:00"/>
    <d v="2014-01-11T00:00:00"/>
    <n v="14"/>
    <n v="0"/>
    <n v="4"/>
    <n v="4"/>
    <n v="6"/>
    <n v="60"/>
    <s v="&gt;50"/>
    <n v="10"/>
    <m/>
    <m/>
    <m/>
    <x v="0"/>
    <m/>
    <n v="12"/>
  </r>
  <r>
    <n v="5010"/>
    <n v="1988"/>
    <x v="0"/>
    <x v="0"/>
    <n v="25008"/>
    <n v="1"/>
    <d v="1899-12-30T00:00:00"/>
    <d v="2014-02-02T00:00:00"/>
    <n v="72"/>
    <n v="8"/>
    <n v="1"/>
    <n v="1"/>
    <n v="3"/>
    <n v="38"/>
    <s v="30-50"/>
    <n v="4"/>
    <m/>
    <m/>
    <m/>
    <x v="2"/>
    <m/>
    <n v="12"/>
  </r>
  <r>
    <n v="4427"/>
    <n v="1995"/>
    <x v="4"/>
    <x v="0"/>
    <n v="83257"/>
    <n v="0"/>
    <d v="1899-12-30T00:00:00"/>
    <d v="2012-09-18T00:00:00"/>
    <n v="56"/>
    <n v="27"/>
    <n v="107"/>
    <n v="107"/>
    <n v="12"/>
    <n v="31"/>
    <s v="30-50"/>
    <n v="119"/>
    <m/>
    <m/>
    <m/>
    <x v="3"/>
    <m/>
    <n v="14"/>
  </r>
  <r>
    <n v="11148"/>
    <n v="1975"/>
    <x v="0"/>
    <x v="1"/>
    <n v="22280"/>
    <n v="1"/>
    <d v="1899-12-30T00:00:00"/>
    <d v="2013-05-19T00:00:00"/>
    <n v="85"/>
    <n v="1"/>
    <n v="1"/>
    <n v="1"/>
    <n v="2"/>
    <n v="51"/>
    <s v="&gt;50"/>
    <n v="3"/>
    <m/>
    <m/>
    <m/>
    <x v="2"/>
    <m/>
    <n v="13"/>
  </r>
  <r>
    <n v="1168"/>
    <n v="1978"/>
    <x v="1"/>
    <x v="2"/>
    <n v="72159"/>
    <n v="0"/>
    <d v="1899-12-30T00:00:00"/>
    <d v="2012-10-29T00:00:00"/>
    <n v="62"/>
    <n v="53"/>
    <n v="40"/>
    <n v="40"/>
    <n v="10"/>
    <n v="48"/>
    <s v="30-50"/>
    <n v="50"/>
    <m/>
    <m/>
    <m/>
    <x v="0"/>
    <m/>
    <n v="14"/>
  </r>
  <r>
    <n v="9595"/>
    <n v="1961"/>
    <x v="0"/>
    <x v="1"/>
    <n v="64260"/>
    <n v="0"/>
    <d v="1899-12-30T00:00:00"/>
    <d v="2013-01-11T00:00:00"/>
    <n v="1"/>
    <n v="169"/>
    <n v="0"/>
    <n v="0"/>
    <n v="4"/>
    <n v="65"/>
    <s v="&gt;50"/>
    <n v="4"/>
    <m/>
    <m/>
    <m/>
    <x v="0"/>
    <m/>
    <n v="13"/>
  </r>
  <r>
    <n v="10163"/>
    <n v="1984"/>
    <x v="1"/>
    <x v="0"/>
    <n v="82733"/>
    <n v="0"/>
    <d v="1899-12-30T00:00:00"/>
    <d v="2013-09-10T00:00:00"/>
    <n v="28"/>
    <n v="50"/>
    <n v="38"/>
    <n v="38"/>
    <n v="7"/>
    <n v="42"/>
    <s v="30-50"/>
    <n v="45"/>
    <m/>
    <m/>
    <m/>
    <x v="3"/>
    <m/>
    <n v="13"/>
  </r>
  <r>
    <n v="2886"/>
    <n v="1971"/>
    <x v="2"/>
    <x v="3"/>
    <n v="74290"/>
    <n v="0"/>
    <d v="1899-12-31T00:00:00"/>
    <d v="2013-08-12T00:00:00"/>
    <n v="70"/>
    <n v="0"/>
    <n v="12"/>
    <n v="12"/>
    <n v="10"/>
    <n v="55"/>
    <s v="&gt;50"/>
    <n v="22"/>
    <m/>
    <m/>
    <m/>
    <x v="0"/>
    <m/>
    <n v="13"/>
  </r>
  <r>
    <n v="6710"/>
    <n v="1951"/>
    <x v="2"/>
    <x v="0"/>
    <n v="58217"/>
    <n v="2"/>
    <d v="1899-12-31T00:00:00"/>
    <d v="2012-11-17T00:00:00"/>
    <n v="84"/>
    <n v="1"/>
    <n v="5"/>
    <n v="5"/>
    <n v="4"/>
    <n v="75"/>
    <s v="&gt;50"/>
    <n v="9"/>
    <m/>
    <m/>
    <m/>
    <x v="0"/>
    <m/>
    <n v="14"/>
  </r>
  <r>
    <n v="5316"/>
    <n v="1976"/>
    <x v="2"/>
    <x v="1"/>
    <n v="21024"/>
    <n v="0"/>
    <d v="1899-12-30T00:00:00"/>
    <d v="2013-07-04T00:00:00"/>
    <n v="89"/>
    <n v="4"/>
    <n v="2"/>
    <n v="2"/>
    <n v="4"/>
    <n v="50"/>
    <s v="30-50"/>
    <n v="6"/>
    <m/>
    <m/>
    <m/>
    <x v="2"/>
    <m/>
    <n v="13"/>
  </r>
  <r>
    <n v="9029"/>
    <n v="1972"/>
    <x v="1"/>
    <x v="2"/>
    <n v="70116"/>
    <n v="0"/>
    <d v="1899-12-30T00:00:00"/>
    <d v="2013-01-26T00:00:00"/>
    <n v="73"/>
    <n v="44"/>
    <n v="58"/>
    <n v="58"/>
    <n v="12"/>
    <n v="54"/>
    <s v="&gt;50"/>
    <n v="70"/>
    <m/>
    <m/>
    <m/>
    <x v="0"/>
    <m/>
    <n v="13"/>
  </r>
  <r>
    <n v="521"/>
    <n v="1985"/>
    <x v="0"/>
    <x v="1"/>
    <n v="54006"/>
    <n v="1"/>
    <d v="1899-12-30T00:00:00"/>
    <d v="2012-09-18T00:00:00"/>
    <n v="42"/>
    <n v="77"/>
    <n v="24"/>
    <n v="24"/>
    <n v="7"/>
    <n v="41"/>
    <s v="30-50"/>
    <n v="31"/>
    <m/>
    <m/>
    <m/>
    <x v="0"/>
    <m/>
    <n v="14"/>
  </r>
  <r>
    <n v="1459"/>
    <n v="1966"/>
    <x v="1"/>
    <x v="2"/>
    <n v="69063"/>
    <n v="0"/>
    <d v="1899-12-31T00:00:00"/>
    <d v="2012-11-07T00:00:00"/>
    <n v="16"/>
    <n v="35"/>
    <n v="8"/>
    <n v="8"/>
    <n v="5"/>
    <n v="60"/>
    <s v="&gt;50"/>
    <n v="13"/>
    <m/>
    <m/>
    <m/>
    <x v="0"/>
    <m/>
    <n v="14"/>
  </r>
  <r>
    <n v="10241"/>
    <n v="1975"/>
    <x v="4"/>
    <x v="3"/>
    <n v="11448"/>
    <n v="0"/>
    <d v="1899-12-30T00:00:00"/>
    <d v="2013-12-15T00:00:00"/>
    <n v="16"/>
    <n v="0"/>
    <n v="2"/>
    <n v="2"/>
    <n v="2"/>
    <n v="51"/>
    <s v="&gt;50"/>
    <n v="4"/>
    <m/>
    <m/>
    <m/>
    <x v="2"/>
    <m/>
    <n v="13"/>
  </r>
  <r>
    <n v="1630"/>
    <n v="1979"/>
    <x v="0"/>
    <x v="0"/>
    <n v="61825"/>
    <n v="0"/>
    <d v="1899-12-31T00:00:00"/>
    <d v="2013-08-07T00:00:00"/>
    <n v="56"/>
    <n v="50"/>
    <n v="30"/>
    <n v="30"/>
    <n v="8"/>
    <n v="47"/>
    <s v="30-50"/>
    <n v="38"/>
    <m/>
    <m/>
    <m/>
    <x v="0"/>
    <m/>
    <n v="13"/>
  </r>
  <r>
    <n v="3254"/>
    <n v="1971"/>
    <x v="0"/>
    <x v="2"/>
    <n v="70886"/>
    <n v="1"/>
    <d v="1899-12-30T00:00:00"/>
    <d v="2013-10-14T00:00:00"/>
    <n v="65"/>
    <n v="70"/>
    <n v="88"/>
    <n v="88"/>
    <n v="4"/>
    <n v="55"/>
    <s v="&gt;50"/>
    <n v="92"/>
    <m/>
    <m/>
    <m/>
    <x v="0"/>
    <m/>
    <n v="13"/>
  </r>
  <r>
    <n v="9064"/>
    <n v="1982"/>
    <x v="0"/>
    <x v="2"/>
    <n v="69109"/>
    <n v="0"/>
    <d v="1899-12-30T00:00:00"/>
    <d v="2012-11-09T00:00:00"/>
    <n v="10"/>
    <n v="25"/>
    <n v="29"/>
    <n v="29"/>
    <n v="7"/>
    <n v="44"/>
    <s v="30-50"/>
    <n v="36"/>
    <m/>
    <m/>
    <m/>
    <x v="0"/>
    <m/>
    <n v="14"/>
  </r>
  <r>
    <n v="3678"/>
    <n v="1973"/>
    <x v="0"/>
    <x v="4"/>
    <n v="60208"/>
    <n v="1"/>
    <d v="1899-12-31T00:00:00"/>
    <d v="2012-10-07T00:00:00"/>
    <n v="13"/>
    <n v="23"/>
    <n v="0"/>
    <n v="0"/>
    <n v="7"/>
    <n v="53"/>
    <s v="&gt;50"/>
    <n v="7"/>
    <m/>
    <m/>
    <m/>
    <x v="0"/>
    <m/>
    <n v="14"/>
  </r>
  <r>
    <n v="4227"/>
    <n v="1968"/>
    <x v="2"/>
    <x v="1"/>
    <n v="32889"/>
    <n v="1"/>
    <d v="1899-12-31T00:00:00"/>
    <d v="2013-09-06T00:00:00"/>
    <n v="78"/>
    <n v="0"/>
    <n v="2"/>
    <n v="2"/>
    <n v="3"/>
    <n v="58"/>
    <s v="&gt;50"/>
    <n v="5"/>
    <m/>
    <m/>
    <m/>
    <x v="1"/>
    <m/>
    <n v="13"/>
  </r>
  <r>
    <n v="9467"/>
    <n v="1984"/>
    <x v="0"/>
    <x v="0"/>
    <n v="34738"/>
    <n v="1"/>
    <d v="1899-12-30T00:00:00"/>
    <d v="2014-05-11T00:00:00"/>
    <n v="51"/>
    <n v="2"/>
    <n v="0"/>
    <n v="0"/>
    <n v="3"/>
    <n v="42"/>
    <s v="30-50"/>
    <n v="3"/>
    <m/>
    <m/>
    <m/>
    <x v="1"/>
    <m/>
    <n v="12"/>
  </r>
  <r>
    <n v="8486"/>
    <n v="1971"/>
    <x v="2"/>
    <x v="1"/>
    <n v="30538"/>
    <n v="1"/>
    <d v="1899-12-30T00:00:00"/>
    <d v="2012-10-01T00:00:00"/>
    <n v="27"/>
    <n v="0"/>
    <n v="3"/>
    <n v="3"/>
    <n v="4"/>
    <n v="55"/>
    <s v="&gt;50"/>
    <n v="7"/>
    <m/>
    <m/>
    <m/>
    <x v="1"/>
    <m/>
    <n v="14"/>
  </r>
  <r>
    <n v="2186"/>
    <n v="1977"/>
    <x v="4"/>
    <x v="1"/>
    <n v="82326"/>
    <n v="0"/>
    <d v="1899-12-30T00:00:00"/>
    <d v="2014-03-10T00:00:00"/>
    <n v="30"/>
    <n v="142"/>
    <n v="81"/>
    <n v="81"/>
    <n v="6"/>
    <n v="49"/>
    <s v="30-50"/>
    <n v="87"/>
    <m/>
    <m/>
    <m/>
    <x v="3"/>
    <m/>
    <n v="12"/>
  </r>
  <r>
    <n v="3286"/>
    <n v="1967"/>
    <x v="1"/>
    <x v="3"/>
    <n v="26642"/>
    <n v="1"/>
    <d v="1899-12-30T00:00:00"/>
    <d v="2014-03-01T00:00:00"/>
    <n v="71"/>
    <n v="2"/>
    <n v="2"/>
    <n v="2"/>
    <n v="3"/>
    <n v="59"/>
    <s v="&gt;50"/>
    <n v="5"/>
    <m/>
    <m/>
    <m/>
    <x v="2"/>
    <m/>
    <n v="12"/>
  </r>
  <r>
    <n v="8602"/>
    <n v="1964"/>
    <x v="0"/>
    <x v="3"/>
    <n v="69932"/>
    <n v="0"/>
    <d v="1899-12-31T00:00:00"/>
    <d v="2013-06-12T00:00:00"/>
    <n v="97"/>
    <n v="172"/>
    <n v="105"/>
    <n v="105"/>
    <n v="11"/>
    <n v="62"/>
    <s v="&gt;50"/>
    <n v="116"/>
    <m/>
    <m/>
    <m/>
    <x v="0"/>
    <m/>
    <n v="13"/>
  </r>
  <r>
    <n v="3722"/>
    <n v="1972"/>
    <x v="0"/>
    <x v="0"/>
    <n v="44503"/>
    <n v="1"/>
    <d v="1899-12-31T00:00:00"/>
    <d v="2014-04-16T00:00:00"/>
    <n v="83"/>
    <n v="1"/>
    <n v="0"/>
    <n v="0"/>
    <n v="3"/>
    <n v="54"/>
    <s v="&gt;50"/>
    <n v="3"/>
    <m/>
    <m/>
    <m/>
    <x v="1"/>
    <m/>
    <n v="12"/>
  </r>
  <r>
    <n v="6715"/>
    <n v="1948"/>
    <x v="1"/>
    <x v="0"/>
    <n v="60200"/>
    <n v="0"/>
    <d v="1899-12-31T00:00:00"/>
    <d v="2013-01-02T00:00:00"/>
    <n v="3"/>
    <n v="19"/>
    <n v="6"/>
    <n v="6"/>
    <n v="11"/>
    <n v="78"/>
    <s v="&gt;50"/>
    <n v="17"/>
    <m/>
    <m/>
    <m/>
    <x v="0"/>
    <m/>
    <n v="13"/>
  </r>
  <r>
    <n v="4796"/>
    <n v="1952"/>
    <x v="0"/>
    <x v="3"/>
    <n v="49638"/>
    <n v="0"/>
    <d v="1899-12-31T00:00:00"/>
    <d v="2014-04-19T00:00:00"/>
    <n v="71"/>
    <n v="10"/>
    <n v="5"/>
    <n v="5"/>
    <n v="3"/>
    <n v="74"/>
    <s v="&gt;50"/>
    <n v="8"/>
    <m/>
    <m/>
    <m/>
    <x v="1"/>
    <m/>
    <n v="12"/>
  </r>
  <r>
    <n v="9612"/>
    <n v="1987"/>
    <x v="4"/>
    <x v="0"/>
    <n v="23830"/>
    <n v="0"/>
    <d v="1899-12-30T00:00:00"/>
    <d v="2014-02-07T00:00:00"/>
    <n v="3"/>
    <n v="8"/>
    <n v="8"/>
    <n v="8"/>
    <n v="3"/>
    <n v="39"/>
    <s v="30-50"/>
    <n v="11"/>
    <m/>
    <m/>
    <m/>
    <x v="2"/>
    <m/>
    <n v="12"/>
  </r>
  <r>
    <n v="3766"/>
    <n v="1959"/>
    <x v="2"/>
    <x v="4"/>
    <n v="33051"/>
    <n v="0"/>
    <d v="1899-12-30T00:00:00"/>
    <d v="2012-08-16T00:00:00"/>
    <n v="15"/>
    <n v="71"/>
    <n v="94"/>
    <n v="94"/>
    <n v="8"/>
    <n v="67"/>
    <s v="&gt;50"/>
    <n v="102"/>
    <m/>
    <m/>
    <m/>
    <x v="1"/>
    <m/>
    <n v="14"/>
  </r>
  <r>
    <n v="1399"/>
    <n v="1958"/>
    <x v="0"/>
    <x v="2"/>
    <n v="72905"/>
    <n v="0"/>
    <d v="1899-12-30T00:00:00"/>
    <d v="2014-01-21T00:00:00"/>
    <n v="52"/>
    <n v="114"/>
    <n v="165"/>
    <n v="165"/>
    <n v="9"/>
    <n v="68"/>
    <s v="&gt;50"/>
    <n v="174"/>
    <m/>
    <m/>
    <m/>
    <x v="0"/>
    <m/>
    <n v="12"/>
  </r>
  <r>
    <n v="1570"/>
    <n v="1951"/>
    <x v="1"/>
    <x v="1"/>
    <n v="69702"/>
    <n v="0"/>
    <d v="1899-12-31T00:00:00"/>
    <d v="2013-02-19T00:00:00"/>
    <n v="8"/>
    <n v="9"/>
    <n v="19"/>
    <n v="19"/>
    <n v="10"/>
    <n v="75"/>
    <s v="&gt;50"/>
    <n v="29"/>
    <m/>
    <m/>
    <m/>
    <x v="0"/>
    <m/>
    <n v="13"/>
  </r>
  <r>
    <n v="3426"/>
    <n v="1975"/>
    <x v="0"/>
    <x v="3"/>
    <n v="70300"/>
    <n v="1"/>
    <d v="1899-12-30T00:00:00"/>
    <d v="2013-07-15T00:00:00"/>
    <n v="89"/>
    <n v="61"/>
    <n v="46"/>
    <n v="46"/>
    <n v="13"/>
    <n v="51"/>
    <s v="&gt;50"/>
    <n v="59"/>
    <m/>
    <m/>
    <m/>
    <x v="0"/>
    <m/>
    <n v="13"/>
  </r>
  <r>
    <n v="3074"/>
    <n v="1984"/>
    <x v="1"/>
    <x v="2"/>
    <n v="70643"/>
    <n v="0"/>
    <d v="1899-12-30T00:00:00"/>
    <d v="2012-10-15T00:00:00"/>
    <n v="66"/>
    <n v="107"/>
    <n v="143"/>
    <n v="143"/>
    <n v="4"/>
    <n v="42"/>
    <s v="30-50"/>
    <n v="147"/>
    <m/>
    <m/>
    <m/>
    <x v="0"/>
    <m/>
    <n v="14"/>
  </r>
  <r>
    <n v="8341"/>
    <n v="1969"/>
    <x v="1"/>
    <x v="2"/>
    <n v="30396"/>
    <n v="1"/>
    <d v="1899-12-30T00:00:00"/>
    <d v="2014-04-30T00:00:00"/>
    <n v="22"/>
    <n v="0"/>
    <n v="1"/>
    <n v="1"/>
    <n v="2"/>
    <n v="57"/>
    <s v="&gt;50"/>
    <n v="3"/>
    <m/>
    <m/>
    <m/>
    <x v="1"/>
    <m/>
    <n v="12"/>
  </r>
  <r>
    <n v="5180"/>
    <n v="1968"/>
    <x v="1"/>
    <x v="3"/>
    <n v="50616"/>
    <n v="0"/>
    <d v="1899-12-31T00:00:00"/>
    <d v="2014-04-18T00:00:00"/>
    <n v="56"/>
    <n v="0"/>
    <n v="1"/>
    <n v="1"/>
    <n v="4"/>
    <n v="58"/>
    <s v="&gt;50"/>
    <n v="5"/>
    <m/>
    <m/>
    <m/>
    <x v="0"/>
    <m/>
    <n v="12"/>
  </r>
  <r>
    <n v="6461"/>
    <n v="1969"/>
    <x v="2"/>
    <x v="0"/>
    <n v="62772"/>
    <n v="0"/>
    <d v="1899-12-31T00:00:00"/>
    <d v="2013-05-19T00:00:00"/>
    <n v="74"/>
    <n v="49"/>
    <n v="8"/>
    <n v="8"/>
    <n v="11"/>
    <n v="57"/>
    <s v="&gt;50"/>
    <n v="19"/>
    <m/>
    <m/>
    <m/>
    <x v="0"/>
    <m/>
    <n v="13"/>
  </r>
  <r>
    <n v="7679"/>
    <n v="1985"/>
    <x v="1"/>
    <x v="0"/>
    <n v="30298"/>
    <n v="0"/>
    <d v="1899-12-30T00:00:00"/>
    <d v="2014-05-19T00:00:00"/>
    <n v="48"/>
    <n v="3"/>
    <n v="1"/>
    <n v="1"/>
    <n v="3"/>
    <n v="41"/>
    <s v="30-50"/>
    <n v="4"/>
    <m/>
    <m/>
    <m/>
    <x v="1"/>
    <m/>
    <n v="12"/>
  </r>
  <r>
    <n v="10702"/>
    <n v="1984"/>
    <x v="0"/>
    <x v="0"/>
    <n v="52413"/>
    <n v="1"/>
    <d v="1899-12-30T00:00:00"/>
    <d v="2012-11-03T00:00:00"/>
    <n v="67"/>
    <n v="8"/>
    <n v="56"/>
    <n v="56"/>
    <n v="7"/>
    <n v="42"/>
    <s v="30-50"/>
    <n v="63"/>
    <m/>
    <m/>
    <m/>
    <x v="0"/>
    <m/>
    <n v="14"/>
  </r>
  <r>
    <n v="7505"/>
    <n v="1957"/>
    <x v="1"/>
    <x v="2"/>
    <n v="44155"/>
    <n v="1"/>
    <d v="1899-12-31T00:00:00"/>
    <d v="2014-01-19T00:00:00"/>
    <n v="24"/>
    <n v="1"/>
    <n v="0"/>
    <n v="0"/>
    <n v="2"/>
    <n v="69"/>
    <s v="&gt;50"/>
    <n v="2"/>
    <m/>
    <m/>
    <m/>
    <x v="1"/>
    <m/>
    <n v="12"/>
  </r>
  <r>
    <n v="5113"/>
    <n v="1971"/>
    <x v="1"/>
    <x v="3"/>
    <n v="86979"/>
    <n v="0"/>
    <d v="1899-12-30T00:00:00"/>
    <d v="2013-11-07T00:00:00"/>
    <n v="67"/>
    <n v="100"/>
    <n v="83"/>
    <n v="83"/>
    <n v="5"/>
    <n v="55"/>
    <s v="&gt;50"/>
    <n v="88"/>
    <m/>
    <m/>
    <m/>
    <x v="3"/>
    <m/>
    <n v="13"/>
  </r>
  <r>
    <n v="10858"/>
    <n v="1975"/>
    <x v="0"/>
    <x v="1"/>
    <n v="76532"/>
    <n v="1"/>
    <d v="1899-12-31T00:00:00"/>
    <d v="2013-09-09T00:00:00"/>
    <n v="38"/>
    <n v="30"/>
    <n v="138"/>
    <n v="138"/>
    <n v="7"/>
    <n v="51"/>
    <s v="&gt;50"/>
    <n v="145"/>
    <m/>
    <m/>
    <m/>
    <x v="3"/>
    <m/>
    <n v="13"/>
  </r>
  <r>
    <n v="2961"/>
    <n v="1982"/>
    <x v="0"/>
    <x v="2"/>
    <n v="42081"/>
    <n v="1"/>
    <d v="1899-12-30T00:00:00"/>
    <d v="2013-02-26T00:00:00"/>
    <n v="86"/>
    <n v="10"/>
    <n v="6"/>
    <n v="6"/>
    <n v="4"/>
    <n v="44"/>
    <s v="30-50"/>
    <n v="10"/>
    <m/>
    <m/>
    <m/>
    <x v="1"/>
    <m/>
    <n v="13"/>
  </r>
  <r>
    <n v="2747"/>
    <n v="1988"/>
    <x v="1"/>
    <x v="2"/>
    <n v="67546"/>
    <n v="0"/>
    <d v="1899-12-30T00:00:00"/>
    <d v="2012-08-31T00:00:00"/>
    <n v="90"/>
    <n v="134"/>
    <n v="38"/>
    <n v="38"/>
    <n v="5"/>
    <n v="38"/>
    <s v="30-50"/>
    <n v="43"/>
    <m/>
    <m/>
    <m/>
    <x v="0"/>
    <m/>
    <n v="14"/>
  </r>
  <r>
    <n v="3010"/>
    <n v="1989"/>
    <x v="2"/>
    <x v="1"/>
    <n v="88420"/>
    <n v="0"/>
    <d v="1899-12-30T00:00:00"/>
    <d v="2014-05-02T00:00:00"/>
    <n v="87"/>
    <n v="153"/>
    <n v="95"/>
    <n v="95"/>
    <n v="8"/>
    <n v="37"/>
    <s v="30-50"/>
    <n v="103"/>
    <m/>
    <m/>
    <m/>
    <x v="3"/>
    <m/>
    <n v="12"/>
  </r>
  <r>
    <n v="5790"/>
    <n v="1985"/>
    <x v="0"/>
    <x v="2"/>
    <n v="31158"/>
    <n v="1"/>
    <d v="1899-12-30T00:00:00"/>
    <d v="2013-01-27T00:00:00"/>
    <n v="62"/>
    <n v="6"/>
    <n v="0"/>
    <n v="0"/>
    <n v="3"/>
    <n v="41"/>
    <s v="30-50"/>
    <n v="3"/>
    <m/>
    <m/>
    <m/>
    <x v="1"/>
    <m/>
    <n v="13"/>
  </r>
  <r>
    <n v="6892"/>
    <n v="1968"/>
    <x v="0"/>
    <x v="3"/>
    <n v="61671"/>
    <n v="0"/>
    <d v="1899-12-31T00:00:00"/>
    <d v="2014-06-03T00:00:00"/>
    <n v="23"/>
    <n v="7"/>
    <n v="0"/>
    <n v="0"/>
    <n v="6"/>
    <n v="58"/>
    <s v="&gt;50"/>
    <n v="6"/>
    <m/>
    <m/>
    <m/>
    <x v="0"/>
    <m/>
    <n v="12"/>
  </r>
  <r>
    <n v="1743"/>
    <n v="1974"/>
    <x v="0"/>
    <x v="0"/>
    <n v="69719"/>
    <n v="0"/>
    <d v="1899-12-30T00:00:00"/>
    <d v="2014-05-26T00:00:00"/>
    <n v="99"/>
    <n v="86"/>
    <n v="14"/>
    <n v="14"/>
    <n v="5"/>
    <n v="52"/>
    <s v="&gt;50"/>
    <n v="19"/>
    <m/>
    <m/>
    <m/>
    <x v="0"/>
    <m/>
    <n v="12"/>
  </r>
  <r>
    <n v="3578"/>
    <n v="1949"/>
    <x v="0"/>
    <x v="3"/>
    <n v="49160"/>
    <n v="0"/>
    <d v="1899-12-31T00:00:00"/>
    <d v="2013-10-20T00:00:00"/>
    <n v="29"/>
    <n v="21"/>
    <n v="10"/>
    <n v="10"/>
    <n v="6"/>
    <n v="77"/>
    <s v="&gt;50"/>
    <n v="16"/>
    <m/>
    <m/>
    <m/>
    <x v="1"/>
    <m/>
    <n v="13"/>
  </r>
  <r>
    <n v="8462"/>
    <n v="1978"/>
    <x v="3"/>
    <x v="1"/>
    <n v="24882"/>
    <n v="1"/>
    <d v="1899-12-30T00:00:00"/>
    <d v="2012-09-09T00:00:00"/>
    <n v="52"/>
    <n v="4"/>
    <n v="0"/>
    <n v="0"/>
    <n v="2"/>
    <n v="48"/>
    <s v="30-50"/>
    <n v="2"/>
    <m/>
    <m/>
    <m/>
    <x v="2"/>
    <m/>
    <n v="14"/>
  </r>
  <r>
    <n v="5558"/>
    <n v="1954"/>
    <x v="1"/>
    <x v="0"/>
    <n v="90933"/>
    <n v="0"/>
    <d v="1899-12-30T00:00:00"/>
    <d v="2014-03-31T00:00:00"/>
    <n v="90"/>
    <n v="31"/>
    <n v="63"/>
    <n v="63"/>
    <n v="4"/>
    <n v="72"/>
    <s v="&gt;50"/>
    <n v="67"/>
    <m/>
    <m/>
    <m/>
    <x v="3"/>
    <m/>
    <n v="12"/>
  </r>
  <r>
    <n v="4619"/>
    <n v="1945"/>
    <x v="1"/>
    <x v="0"/>
    <n v="113734"/>
    <n v="0"/>
    <d v="1899-12-30T00:00:00"/>
    <d v="2014-05-28T00:00:00"/>
    <n v="9"/>
    <n v="2"/>
    <n v="262"/>
    <n v="262"/>
    <n v="0"/>
    <n v="81"/>
    <s v="&gt;50"/>
    <n v="262"/>
    <m/>
    <m/>
    <m/>
    <x v="4"/>
    <m/>
    <n v="12"/>
  </r>
  <r>
    <n v="8780"/>
    <n v="1950"/>
    <x v="1"/>
    <x v="1"/>
    <n v="59292"/>
    <n v="0"/>
    <d v="1899-12-31T00:00:00"/>
    <d v="2013-06-13T00:00:00"/>
    <n v="71"/>
    <n v="14"/>
    <n v="14"/>
    <n v="14"/>
    <n v="8"/>
    <n v="76"/>
    <s v="&gt;50"/>
    <n v="22"/>
    <m/>
    <m/>
    <m/>
    <x v="0"/>
    <m/>
    <n v="13"/>
  </r>
  <r>
    <n v="10789"/>
    <n v="1964"/>
    <x v="1"/>
    <x v="2"/>
    <n v="45759"/>
    <n v="1"/>
    <d v="1899-12-31T00:00:00"/>
    <d v="2013-02-23T00:00:00"/>
    <n v="13"/>
    <n v="1"/>
    <n v="0"/>
    <n v="0"/>
    <n v="3"/>
    <n v="62"/>
    <s v="&gt;50"/>
    <n v="3"/>
    <m/>
    <m/>
    <m/>
    <x v="1"/>
    <m/>
    <n v="13"/>
  </r>
  <r>
    <n v="10779"/>
    <n v="1983"/>
    <x v="0"/>
    <x v="0"/>
    <n v="22148"/>
    <n v="0"/>
    <d v="1899-12-30T00:00:00"/>
    <d v="2014-04-13T00:00:00"/>
    <n v="16"/>
    <n v="5"/>
    <n v="4"/>
    <n v="4"/>
    <n v="3"/>
    <n v="43"/>
    <s v="30-50"/>
    <n v="7"/>
    <m/>
    <m/>
    <m/>
    <x v="2"/>
    <m/>
    <n v="12"/>
  </r>
  <r>
    <n v="5896"/>
    <n v="1987"/>
    <x v="2"/>
    <x v="2"/>
    <n v="73395"/>
    <n v="0"/>
    <d v="1899-12-30T00:00:00"/>
    <d v="2014-03-18T00:00:00"/>
    <n v="94"/>
    <n v="7"/>
    <n v="7"/>
    <n v="7"/>
    <n v="6"/>
    <n v="39"/>
    <s v="30-50"/>
    <n v="13"/>
    <m/>
    <m/>
    <m/>
    <x v="0"/>
    <m/>
    <n v="12"/>
  </r>
  <r>
    <n v="2337"/>
    <n v="1971"/>
    <x v="0"/>
    <x v="3"/>
    <n v="29819"/>
    <n v="1"/>
    <d v="1899-12-30T00:00:00"/>
    <d v="2013-10-24T00:00:00"/>
    <n v="77"/>
    <n v="1"/>
    <n v="1"/>
    <n v="1"/>
    <n v="3"/>
    <n v="55"/>
    <s v="&gt;50"/>
    <n v="4"/>
    <m/>
    <m/>
    <m/>
    <x v="2"/>
    <m/>
    <n v="13"/>
  </r>
  <r>
    <n v="10951"/>
    <n v="1968"/>
    <x v="0"/>
    <x v="2"/>
    <n v="45688"/>
    <n v="0"/>
    <d v="1899-12-31T00:00:00"/>
    <d v="2014-01-25T00:00:00"/>
    <n v="20"/>
    <n v="0"/>
    <n v="0"/>
    <n v="0"/>
    <n v="8"/>
    <n v="58"/>
    <s v="&gt;50"/>
    <n v="8"/>
    <m/>
    <m/>
    <m/>
    <x v="1"/>
    <m/>
    <n v="12"/>
  </r>
  <r>
    <n v="544"/>
    <n v="1954"/>
    <x v="0"/>
    <x v="2"/>
    <n v="62820"/>
    <n v="0"/>
    <d v="1899-12-30T00:00:00"/>
    <d v="2013-05-11T00:00:00"/>
    <n v="51"/>
    <n v="61"/>
    <n v="61"/>
    <n v="61"/>
    <n v="6"/>
    <n v="72"/>
    <s v="&gt;50"/>
    <n v="67"/>
    <m/>
    <m/>
    <m/>
    <x v="0"/>
    <m/>
    <n v="13"/>
  </r>
  <r>
    <n v="17"/>
    <n v="1971"/>
    <x v="1"/>
    <x v="2"/>
    <n v="60491"/>
    <n v="0"/>
    <d v="1899-12-31T00:00:00"/>
    <d v="2013-09-06T00:00:00"/>
    <n v="81"/>
    <n v="47"/>
    <n v="19"/>
    <n v="19"/>
    <n v="7"/>
    <n v="55"/>
    <s v="&gt;50"/>
    <n v="26"/>
    <m/>
    <m/>
    <m/>
    <x v="0"/>
    <m/>
    <n v="13"/>
  </r>
  <r>
    <n v="10680"/>
    <n v="1986"/>
    <x v="0"/>
    <x v="1"/>
    <n v="33235"/>
    <n v="1"/>
    <d v="1899-12-30T00:00:00"/>
    <d v="2014-02-05T00:00:00"/>
    <n v="71"/>
    <n v="0"/>
    <n v="1"/>
    <n v="1"/>
    <n v="3"/>
    <n v="40"/>
    <s v="30-50"/>
    <n v="4"/>
    <m/>
    <m/>
    <m/>
    <x v="1"/>
    <m/>
    <n v="12"/>
  </r>
  <r>
    <n v="3265"/>
    <n v="1959"/>
    <x v="0"/>
    <x v="2"/>
    <n v="35701"/>
    <n v="0"/>
    <d v="1899-12-30T00:00:00"/>
    <d v="2013-03-19T00:00:00"/>
    <n v="36"/>
    <n v="1"/>
    <n v="3"/>
    <n v="3"/>
    <n v="3"/>
    <n v="67"/>
    <s v="&gt;50"/>
    <n v="6"/>
    <m/>
    <m/>
    <m/>
    <x v="1"/>
    <m/>
    <n v="13"/>
  </r>
  <r>
    <n v="5623"/>
    <n v="1980"/>
    <x v="2"/>
    <x v="2"/>
    <n v="31535"/>
    <n v="1"/>
    <d v="1899-12-30T00:00:00"/>
    <d v="2013-09-26T00:00:00"/>
    <n v="95"/>
    <n v="4"/>
    <n v="0"/>
    <n v="0"/>
    <n v="2"/>
    <n v="46"/>
    <s v="30-50"/>
    <n v="2"/>
    <m/>
    <m/>
    <m/>
    <x v="1"/>
    <m/>
    <n v="13"/>
  </r>
  <r>
    <n v="5832"/>
    <n v="1960"/>
    <x v="4"/>
    <x v="1"/>
    <n v="92556"/>
    <n v="0"/>
    <d v="1899-12-30T00:00:00"/>
    <d v="2014-04-20T00:00:00"/>
    <n v="32"/>
    <n v="183"/>
    <n v="23"/>
    <n v="23"/>
    <n v="13"/>
    <n v="66"/>
    <s v="&gt;50"/>
    <n v="36"/>
    <m/>
    <m/>
    <m/>
    <x v="3"/>
    <m/>
    <n v="12"/>
  </r>
  <r>
    <n v="5544"/>
    <n v="1970"/>
    <x v="0"/>
    <x v="0"/>
    <n v="67384"/>
    <n v="0"/>
    <d v="1899-12-31T00:00:00"/>
    <d v="2012-11-10T00:00:00"/>
    <n v="32"/>
    <n v="40"/>
    <n v="53"/>
    <n v="53"/>
    <n v="5"/>
    <n v="56"/>
    <s v="&gt;50"/>
    <n v="58"/>
    <m/>
    <m/>
    <m/>
    <x v="0"/>
    <m/>
    <n v="14"/>
  </r>
  <r>
    <n v="6417"/>
    <n v="1971"/>
    <x v="2"/>
    <x v="1"/>
    <n v="80573"/>
    <n v="0"/>
    <d v="1899-12-30T00:00:00"/>
    <d v="2012-10-14T00:00:00"/>
    <n v="85"/>
    <n v="138"/>
    <n v="92"/>
    <n v="92"/>
    <n v="13"/>
    <n v="55"/>
    <s v="&gt;50"/>
    <n v="105"/>
    <m/>
    <m/>
    <m/>
    <x v="3"/>
    <m/>
    <n v="14"/>
  </r>
  <r>
    <n v="5831"/>
    <n v="1967"/>
    <x v="0"/>
    <x v="2"/>
    <n v="77870"/>
    <n v="0"/>
    <d v="1899-12-31T00:00:00"/>
    <d v="2012-08-22T00:00:00"/>
    <n v="93"/>
    <n v="50"/>
    <n v="50"/>
    <n v="50"/>
    <n v="5"/>
    <n v="59"/>
    <s v="&gt;50"/>
    <n v="55"/>
    <m/>
    <m/>
    <m/>
    <x v="3"/>
    <m/>
    <n v="14"/>
  </r>
  <r>
    <n v="7101"/>
    <n v="1963"/>
    <x v="1"/>
    <x v="4"/>
    <n v="52278"/>
    <n v="0"/>
    <d v="1899-12-31T00:00:00"/>
    <d v="2013-01-25T00:00:00"/>
    <n v="24"/>
    <n v="0"/>
    <n v="0"/>
    <n v="0"/>
    <n v="10"/>
    <n v="63"/>
    <s v="&gt;50"/>
    <n v="10"/>
    <m/>
    <m/>
    <m/>
    <x v="0"/>
    <m/>
    <n v="13"/>
  </r>
  <r>
    <n v="10176"/>
    <n v="1968"/>
    <x v="0"/>
    <x v="0"/>
    <n v="57107"/>
    <n v="0"/>
    <d v="1899-12-31T00:00:00"/>
    <d v="2012-08-24T00:00:00"/>
    <n v="44"/>
    <n v="0"/>
    <n v="0"/>
    <n v="0"/>
    <n v="8"/>
    <n v="58"/>
    <s v="&gt;50"/>
    <n v="8"/>
    <m/>
    <m/>
    <m/>
    <x v="0"/>
    <m/>
    <n v="14"/>
  </r>
  <r>
    <n v="2326"/>
    <n v="1990"/>
    <x v="0"/>
    <x v="2"/>
    <n v="18929"/>
    <n v="0"/>
    <d v="1899-12-30T00:00:00"/>
    <d v="2013-02-16T00:00:00"/>
    <n v="15"/>
    <n v="0"/>
    <n v="4"/>
    <n v="4"/>
    <n v="4"/>
    <n v="36"/>
    <s v="30-50"/>
    <n v="8"/>
    <m/>
    <m/>
    <m/>
    <x v="2"/>
    <m/>
    <n v="13"/>
  </r>
  <r>
    <n v="4385"/>
    <n v="1981"/>
    <x v="1"/>
    <x v="0"/>
    <n v="36038"/>
    <n v="1"/>
    <d v="1899-12-30T00:00:00"/>
    <d v="2013-05-31T00:00:00"/>
    <n v="82"/>
    <n v="0"/>
    <n v="2"/>
    <n v="2"/>
    <n v="3"/>
    <n v="45"/>
    <s v="30-50"/>
    <n v="5"/>
    <m/>
    <m/>
    <m/>
    <x v="1"/>
    <m/>
    <n v="13"/>
  </r>
  <r>
    <n v="2929"/>
    <n v="1976"/>
    <x v="0"/>
    <x v="0"/>
    <n v="20180"/>
    <n v="0"/>
    <d v="1899-12-30T00:00:00"/>
    <d v="2013-02-20T00:00:00"/>
    <n v="27"/>
    <n v="42"/>
    <n v="20"/>
    <n v="20"/>
    <n v="4"/>
    <n v="50"/>
    <s v="30-50"/>
    <n v="24"/>
    <m/>
    <m/>
    <m/>
    <x v="2"/>
    <m/>
    <n v="13"/>
  </r>
  <r>
    <n v="10686"/>
    <n v="1965"/>
    <x v="1"/>
    <x v="1"/>
    <n v="34230"/>
    <n v="1"/>
    <d v="1899-12-31T00:00:00"/>
    <d v="2012-12-26T00:00:00"/>
    <n v="72"/>
    <n v="0"/>
    <n v="0"/>
    <n v="0"/>
    <n v="2"/>
    <n v="61"/>
    <s v="&gt;50"/>
    <n v="2"/>
    <m/>
    <m/>
    <m/>
    <x v="1"/>
    <m/>
    <n v="14"/>
  </r>
  <r>
    <n v="2546"/>
    <n v="1977"/>
    <x v="4"/>
    <x v="0"/>
    <n v="31878"/>
    <n v="0"/>
    <d v="1899-12-31T00:00:00"/>
    <d v="2014-06-22T00:00:00"/>
    <n v="7"/>
    <n v="4"/>
    <n v="5"/>
    <n v="5"/>
    <n v="4"/>
    <n v="49"/>
    <s v="30-50"/>
    <n v="9"/>
    <m/>
    <m/>
    <m/>
    <x v="1"/>
    <m/>
    <n v="12"/>
  </r>
  <r>
    <n v="3283"/>
    <n v="1972"/>
    <x v="4"/>
    <x v="2"/>
    <n v="70932"/>
    <n v="0"/>
    <d v="1899-12-31T00:00:00"/>
    <d v="2014-01-19T00:00:00"/>
    <n v="57"/>
    <n v="193"/>
    <n v="185"/>
    <n v="185"/>
    <n v="12"/>
    <n v="54"/>
    <s v="&gt;50"/>
    <n v="197"/>
    <m/>
    <m/>
    <m/>
    <x v="0"/>
    <m/>
    <n v="12"/>
  </r>
  <r>
    <n v="3138"/>
    <n v="1956"/>
    <x v="0"/>
    <x v="0"/>
    <n v="91249"/>
    <n v="0"/>
    <d v="1899-12-30T00:00:00"/>
    <d v="2012-10-20T00:00:00"/>
    <n v="84"/>
    <n v="27"/>
    <n v="108"/>
    <n v="108"/>
    <n v="6"/>
    <n v="70"/>
    <s v="&gt;50"/>
    <n v="114"/>
    <m/>
    <m/>
    <m/>
    <x v="3"/>
    <m/>
    <n v="14"/>
  </r>
  <r>
    <n v="4994"/>
    <n v="1943"/>
    <x v="2"/>
    <x v="0"/>
    <n v="77598"/>
    <n v="0"/>
    <d v="1899-12-30T00:00:00"/>
    <d v="2013-10-01T00:00:00"/>
    <n v="53"/>
    <n v="33"/>
    <n v="66"/>
    <n v="66"/>
    <n v="13"/>
    <n v="83"/>
    <s v="&gt;50"/>
    <n v="79"/>
    <m/>
    <m/>
    <m/>
    <x v="3"/>
    <m/>
    <n v="13"/>
  </r>
  <r>
    <n v="7966"/>
    <n v="1959"/>
    <x v="0"/>
    <x v="0"/>
    <n v="80982"/>
    <n v="1"/>
    <d v="1899-12-31T00:00:00"/>
    <d v="2013-01-08T00:00:00"/>
    <n v="48"/>
    <n v="137"/>
    <n v="22"/>
    <n v="22"/>
    <n v="11"/>
    <n v="67"/>
    <s v="&gt;50"/>
    <n v="33"/>
    <m/>
    <m/>
    <m/>
    <x v="3"/>
    <m/>
    <n v="13"/>
  </r>
  <r>
    <n v="3112"/>
    <n v="1977"/>
    <x v="2"/>
    <x v="2"/>
    <n v="22701"/>
    <n v="1"/>
    <d v="1899-12-30T00:00:00"/>
    <d v="2013-09-05T00:00:00"/>
    <n v="2"/>
    <n v="4"/>
    <n v="4"/>
    <n v="4"/>
    <n v="3"/>
    <n v="49"/>
    <s v="30-50"/>
    <n v="7"/>
    <m/>
    <m/>
    <m/>
    <x v="2"/>
    <m/>
    <n v="13"/>
  </r>
  <r>
    <n v="10872"/>
    <n v="1969"/>
    <x v="1"/>
    <x v="2"/>
    <n v="55212"/>
    <n v="0"/>
    <d v="1899-12-31T00:00:00"/>
    <d v="2012-11-23T00:00:00"/>
    <n v="65"/>
    <n v="0"/>
    <n v="0"/>
    <n v="0"/>
    <n v="11"/>
    <n v="57"/>
    <s v="&gt;50"/>
    <n v="11"/>
    <m/>
    <m/>
    <m/>
    <x v="0"/>
    <m/>
    <n v="14"/>
  </r>
  <r>
    <n v="2181"/>
    <n v="1970"/>
    <x v="0"/>
    <x v="2"/>
    <n v="70617"/>
    <n v="0"/>
    <d v="1899-12-30T00:00:00"/>
    <d v="2013-06-23T00:00:00"/>
    <n v="45"/>
    <n v="61"/>
    <n v="46"/>
    <n v="46"/>
    <n v="7"/>
    <n v="56"/>
    <s v="&gt;50"/>
    <n v="53"/>
    <m/>
    <m/>
    <m/>
    <x v="0"/>
    <m/>
    <n v="13"/>
  </r>
  <r>
    <n v="1867"/>
    <n v="1957"/>
    <x v="0"/>
    <x v="0"/>
    <n v="64849"/>
    <n v="0"/>
    <d v="1899-12-30T00:00:00"/>
    <d v="2012-11-13T00:00:00"/>
    <n v="42"/>
    <n v="48"/>
    <n v="84"/>
    <n v="84"/>
    <n v="6"/>
    <n v="69"/>
    <s v="&gt;50"/>
    <n v="90"/>
    <m/>
    <m/>
    <m/>
    <x v="0"/>
    <m/>
    <n v="14"/>
  </r>
  <r>
    <n v="1518"/>
    <n v="1965"/>
    <x v="2"/>
    <x v="2"/>
    <n v="62694"/>
    <n v="1"/>
    <d v="1899-12-31T00:00:00"/>
    <d v="2013-06-17T00:00:00"/>
    <n v="29"/>
    <n v="6"/>
    <n v="91"/>
    <n v="91"/>
    <n v="7"/>
    <n v="61"/>
    <s v="&gt;50"/>
    <n v="98"/>
    <m/>
    <m/>
    <m/>
    <x v="0"/>
    <m/>
    <n v="13"/>
  </r>
  <r>
    <n v="5734"/>
    <n v="1974"/>
    <x v="1"/>
    <x v="2"/>
    <n v="61917"/>
    <n v="1"/>
    <d v="1899-12-31T00:00:00"/>
    <d v="2013-11-20T00:00:00"/>
    <n v="83"/>
    <n v="4"/>
    <n v="2"/>
    <n v="2"/>
    <n v="4"/>
    <n v="52"/>
    <s v="&gt;50"/>
    <n v="6"/>
    <m/>
    <m/>
    <m/>
    <x v="0"/>
    <m/>
    <n v="13"/>
  </r>
  <r>
    <n v="2878"/>
    <n v="1947"/>
    <x v="1"/>
    <x v="2"/>
    <n v="67472"/>
    <n v="0"/>
    <d v="1899-12-31T00:00:00"/>
    <d v="2013-09-28T00:00:00"/>
    <n v="93"/>
    <n v="31"/>
    <n v="17"/>
    <n v="17"/>
    <n v="7"/>
    <n v="79"/>
    <s v="&gt;50"/>
    <n v="24"/>
    <m/>
    <m/>
    <m/>
    <x v="0"/>
    <m/>
    <n v="13"/>
  </r>
  <r>
    <n v="1458"/>
    <n v="1982"/>
    <x v="2"/>
    <x v="2"/>
    <n v="21059"/>
    <n v="1"/>
    <d v="1899-12-30T00:00:00"/>
    <d v="2014-01-07T00:00:00"/>
    <n v="40"/>
    <n v="3"/>
    <n v="3"/>
    <n v="3"/>
    <n v="3"/>
    <n v="44"/>
    <s v="30-50"/>
    <n v="6"/>
    <m/>
    <m/>
    <m/>
    <x v="2"/>
    <m/>
    <n v="12"/>
  </r>
  <r>
    <n v="7007"/>
    <n v="1968"/>
    <x v="2"/>
    <x v="2"/>
    <n v="29543"/>
    <n v="2"/>
    <d v="1899-12-30T00:00:00"/>
    <d v="2014-04-01T00:00:00"/>
    <n v="47"/>
    <n v="3"/>
    <n v="4"/>
    <n v="4"/>
    <n v="2"/>
    <n v="58"/>
    <s v="&gt;50"/>
    <n v="6"/>
    <m/>
    <m/>
    <m/>
    <x v="2"/>
    <m/>
    <n v="12"/>
  </r>
  <r>
    <n v="6200"/>
    <n v="1951"/>
    <x v="0"/>
    <x v="2"/>
    <n v="75903"/>
    <n v="0"/>
    <d v="1899-12-31T00:00:00"/>
    <d v="2013-04-08T00:00:00"/>
    <n v="50"/>
    <n v="108"/>
    <n v="38"/>
    <n v="38"/>
    <n v="9"/>
    <n v="75"/>
    <s v="&gt;50"/>
    <n v="47"/>
    <m/>
    <m/>
    <m/>
    <x v="3"/>
    <m/>
    <n v="13"/>
  </r>
  <r>
    <n v="1403"/>
    <n v="1975"/>
    <x v="4"/>
    <x v="1"/>
    <n v="34984"/>
    <n v="1"/>
    <d v="1899-12-31T00:00:00"/>
    <d v="2012-09-06T00:00:00"/>
    <n v="40"/>
    <n v="4"/>
    <n v="5"/>
    <n v="5"/>
    <n v="3"/>
    <n v="51"/>
    <s v="&gt;50"/>
    <n v="8"/>
    <m/>
    <m/>
    <m/>
    <x v="1"/>
    <m/>
    <n v="14"/>
  </r>
  <r>
    <n v="4827"/>
    <n v="1956"/>
    <x v="1"/>
    <x v="0"/>
    <n v="54998"/>
    <n v="0"/>
    <d v="1899-12-31T00:00:00"/>
    <d v="2013-03-10T00:00:00"/>
    <n v="3"/>
    <n v="22"/>
    <n v="30"/>
    <n v="30"/>
    <n v="9"/>
    <n v="70"/>
    <s v="&gt;50"/>
    <n v="39"/>
    <m/>
    <m/>
    <m/>
    <x v="0"/>
    <m/>
    <n v="13"/>
  </r>
  <r>
    <n v="6250"/>
    <n v="1949"/>
    <x v="1"/>
    <x v="4"/>
    <n v="54356"/>
    <n v="0"/>
    <d v="1899-12-31T00:00:00"/>
    <d v="2012-11-19T00:00:00"/>
    <n v="62"/>
    <n v="15"/>
    <n v="0"/>
    <n v="0"/>
    <n v="8"/>
    <n v="77"/>
    <s v="&gt;50"/>
    <n v="8"/>
    <m/>
    <m/>
    <m/>
    <x v="0"/>
    <m/>
    <n v="14"/>
  </r>
  <r>
    <n v="9291"/>
    <n v="1959"/>
    <x v="2"/>
    <x v="2"/>
    <n v="34242"/>
    <n v="0"/>
    <d v="1899-12-31T00:00:00"/>
    <d v="2014-03-23T00:00:00"/>
    <n v="25"/>
    <n v="2"/>
    <n v="0"/>
    <n v="0"/>
    <n v="3"/>
    <n v="67"/>
    <s v="&gt;50"/>
    <n v="3"/>
    <m/>
    <m/>
    <m/>
    <x v="1"/>
    <m/>
    <n v="12"/>
  </r>
  <r>
    <n v="2478"/>
    <n v="1973"/>
    <x v="0"/>
    <x v="2"/>
    <n v="25410"/>
    <n v="1"/>
    <d v="1899-12-30T00:00:00"/>
    <d v="2013-08-31T00:00:00"/>
    <n v="48"/>
    <n v="2"/>
    <n v="13"/>
    <n v="13"/>
    <n v="4"/>
    <n v="53"/>
    <s v="&gt;50"/>
    <n v="17"/>
    <m/>
    <m/>
    <m/>
    <x v="2"/>
    <m/>
    <n v="13"/>
  </r>
  <r>
    <n v="1139"/>
    <n v="1984"/>
    <x v="1"/>
    <x v="2"/>
    <n v="73356"/>
    <n v="0"/>
    <d v="1899-12-30T00:00:00"/>
    <d v="2014-02-06T00:00:00"/>
    <n v="56"/>
    <n v="14"/>
    <n v="14"/>
    <n v="14"/>
    <n v="5"/>
    <n v="42"/>
    <s v="30-50"/>
    <n v="19"/>
    <m/>
    <m/>
    <m/>
    <x v="0"/>
    <m/>
    <n v="12"/>
  </r>
  <r>
    <n v="5138"/>
    <n v="1950"/>
    <x v="0"/>
    <x v="1"/>
    <n v="28320"/>
    <n v="0"/>
    <d v="1899-12-31T00:00:00"/>
    <d v="2013-01-14T00:00:00"/>
    <n v="68"/>
    <n v="1"/>
    <n v="2"/>
    <n v="2"/>
    <n v="3"/>
    <n v="76"/>
    <s v="&gt;50"/>
    <n v="5"/>
    <m/>
    <m/>
    <m/>
    <x v="2"/>
    <m/>
    <n v="13"/>
  </r>
  <r>
    <n v="5393"/>
    <n v="1977"/>
    <x v="0"/>
    <x v="0"/>
    <n v="23763"/>
    <n v="1"/>
    <d v="1899-12-30T00:00:00"/>
    <d v="2012-08-07T00:00:00"/>
    <n v="64"/>
    <n v="0"/>
    <n v="2"/>
    <n v="2"/>
    <n v="3"/>
    <n v="49"/>
    <s v="30-50"/>
    <n v="5"/>
    <m/>
    <m/>
    <m/>
    <x v="2"/>
    <m/>
    <n v="14"/>
  </r>
  <r>
    <n v="10413"/>
    <n v="1984"/>
    <x v="0"/>
    <x v="2"/>
    <n v="72570"/>
    <n v="0"/>
    <d v="1899-12-30T00:00:00"/>
    <d v="2014-04-25T00:00:00"/>
    <n v="67"/>
    <n v="83"/>
    <n v="141"/>
    <n v="141"/>
    <n v="12"/>
    <n v="42"/>
    <s v="30-50"/>
    <n v="153"/>
    <m/>
    <m/>
    <m/>
    <x v="0"/>
    <m/>
    <n v="12"/>
  </r>
  <r>
    <n v="5015"/>
    <n v="1976"/>
    <x v="2"/>
    <x v="2"/>
    <n v="34529"/>
    <n v="1"/>
    <d v="1899-12-30T00:00:00"/>
    <d v="2012-09-14T00:00:00"/>
    <n v="94"/>
    <n v="6"/>
    <n v="6"/>
    <n v="6"/>
    <n v="3"/>
    <n v="50"/>
    <s v="30-50"/>
    <n v="9"/>
    <m/>
    <m/>
    <m/>
    <x v="1"/>
    <m/>
    <n v="14"/>
  </r>
  <r>
    <n v="10868"/>
    <n v="1951"/>
    <x v="0"/>
    <x v="4"/>
    <n v="70792"/>
    <n v="0"/>
    <d v="1899-12-30T00:00:00"/>
    <d v="2013-02-06T00:00:00"/>
    <n v="82"/>
    <n v="45"/>
    <n v="11"/>
    <n v="11"/>
    <n v="10"/>
    <n v="75"/>
    <s v="&gt;50"/>
    <n v="21"/>
    <m/>
    <m/>
    <m/>
    <x v="0"/>
    <m/>
    <n v="13"/>
  </r>
  <r>
    <n v="10676"/>
    <n v="1982"/>
    <x v="0"/>
    <x v="2"/>
    <n v="63211"/>
    <n v="0"/>
    <d v="1899-12-30T00:00:00"/>
    <d v="2012-11-02T00:00:00"/>
    <n v="3"/>
    <n v="193"/>
    <n v="26"/>
    <n v="26"/>
    <n v="7"/>
    <n v="44"/>
    <s v="30-50"/>
    <n v="33"/>
    <m/>
    <m/>
    <m/>
    <x v="0"/>
    <m/>
    <n v="14"/>
  </r>
  <r>
    <n v="2495"/>
    <n v="1974"/>
    <x v="2"/>
    <x v="2"/>
    <n v="83891"/>
    <n v="0"/>
    <d v="1899-12-31T00:00:00"/>
    <d v="2014-06-20T00:00:00"/>
    <n v="24"/>
    <n v="38"/>
    <n v="85"/>
    <n v="85"/>
    <n v="10"/>
    <n v="52"/>
    <s v="&gt;50"/>
    <n v="95"/>
    <m/>
    <m/>
    <m/>
    <x v="3"/>
    <m/>
    <n v="12"/>
  </r>
  <r>
    <n v="7842"/>
    <n v="1968"/>
    <x v="0"/>
    <x v="0"/>
    <n v="36065"/>
    <n v="1"/>
    <d v="1899-12-31T00:00:00"/>
    <d v="2013-03-31T00:00:00"/>
    <n v="54"/>
    <n v="7"/>
    <n v="2"/>
    <n v="2"/>
    <n v="3"/>
    <n v="58"/>
    <s v="&gt;50"/>
    <n v="5"/>
    <m/>
    <m/>
    <m/>
    <x v="1"/>
    <m/>
    <n v="13"/>
  </r>
  <r>
    <n v="9955"/>
    <n v="1954"/>
    <x v="0"/>
    <x v="1"/>
    <n v="39898"/>
    <n v="0"/>
    <d v="1899-12-31T00:00:00"/>
    <d v="2013-02-12T00:00:00"/>
    <n v="20"/>
    <n v="8"/>
    <n v="7"/>
    <n v="7"/>
    <n v="4"/>
    <n v="72"/>
    <s v="&gt;50"/>
    <n v="11"/>
    <m/>
    <m/>
    <m/>
    <x v="1"/>
    <m/>
    <n v="13"/>
  </r>
  <r>
    <n v="6663"/>
    <n v="1940"/>
    <x v="1"/>
    <x v="0"/>
    <n v="51141"/>
    <n v="0"/>
    <d v="1899-12-30T00:00:00"/>
    <d v="2013-07-08T00:00:00"/>
    <n v="96"/>
    <n v="0"/>
    <n v="0"/>
    <n v="0"/>
    <n v="4"/>
    <n v="86"/>
    <s v="&gt;50"/>
    <n v="4"/>
    <m/>
    <m/>
    <m/>
    <x v="0"/>
    <m/>
    <n v="13"/>
  </r>
  <r>
    <n v="2162"/>
    <n v="1976"/>
    <x v="0"/>
    <x v="2"/>
    <n v="56939"/>
    <n v="0"/>
    <d v="1899-12-31T00:00:00"/>
    <d v="2013-09-18T00:00:00"/>
    <n v="19"/>
    <n v="34"/>
    <n v="29"/>
    <n v="29"/>
    <n v="10"/>
    <n v="50"/>
    <s v="30-50"/>
    <n v="39"/>
    <m/>
    <m/>
    <m/>
    <x v="0"/>
    <m/>
    <n v="13"/>
  </r>
  <r>
    <n v="3434"/>
    <n v="1951"/>
    <x v="0"/>
    <x v="0"/>
    <n v="80872"/>
    <n v="0"/>
    <d v="1899-12-30T00:00:00"/>
    <d v="2014-05-12T00:00:00"/>
    <n v="60"/>
    <n v="72"/>
    <n v="12"/>
    <n v="12"/>
    <n v="10"/>
    <n v="75"/>
    <s v="&gt;50"/>
    <n v="22"/>
    <m/>
    <m/>
    <m/>
    <x v="3"/>
    <m/>
    <n v="12"/>
  </r>
  <r>
    <n v="7919"/>
    <n v="1976"/>
    <x v="1"/>
    <x v="1"/>
    <n v="72335"/>
    <n v="0"/>
    <d v="1899-12-30T00:00:00"/>
    <d v="2012-08-13T00:00:00"/>
    <n v="2"/>
    <n v="105"/>
    <n v="21"/>
    <n v="21"/>
    <n v="8"/>
    <n v="50"/>
    <s v="30-50"/>
    <n v="29"/>
    <m/>
    <m/>
    <m/>
    <x v="0"/>
    <m/>
    <n v="14"/>
  </r>
  <r>
    <n v="5626"/>
    <n v="1964"/>
    <x v="1"/>
    <x v="0"/>
    <n v="61798"/>
    <n v="0"/>
    <d v="1899-12-30T00:00:00"/>
    <d v="2013-11-23T00:00:00"/>
    <n v="13"/>
    <n v="4"/>
    <n v="8"/>
    <n v="8"/>
    <n v="9"/>
    <n v="62"/>
    <s v="&gt;50"/>
    <n v="17"/>
    <m/>
    <m/>
    <m/>
    <x v="0"/>
    <m/>
    <n v="13"/>
  </r>
  <r>
    <n v="6428"/>
    <n v="1950"/>
    <x v="1"/>
    <x v="4"/>
    <n v="76842"/>
    <n v="0"/>
    <d v="1899-12-30T00:00:00"/>
    <d v="2014-05-03T00:00:00"/>
    <n v="37"/>
    <n v="10"/>
    <n v="54"/>
    <n v="54"/>
    <n v="7"/>
    <n v="76"/>
    <s v="&gt;50"/>
    <n v="61"/>
    <m/>
    <m/>
    <m/>
    <x v="3"/>
    <m/>
    <n v="12"/>
  </r>
  <r>
    <n v="8514"/>
    <n v="1976"/>
    <x v="0"/>
    <x v="1"/>
    <n v="29478"/>
    <n v="1"/>
    <d v="1899-12-30T00:00:00"/>
    <d v="2014-01-17T00:00:00"/>
    <n v="59"/>
    <n v="0"/>
    <n v="1"/>
    <n v="1"/>
    <n v="3"/>
    <n v="50"/>
    <s v="30-50"/>
    <n v="4"/>
    <m/>
    <m/>
    <m/>
    <x v="2"/>
    <m/>
    <n v="12"/>
  </r>
  <r>
    <n v="10448"/>
    <n v="1956"/>
    <x v="0"/>
    <x v="0"/>
    <n v="46998"/>
    <n v="0"/>
    <d v="1899-12-31T00:00:00"/>
    <d v="2012-10-22T00:00:00"/>
    <n v="55"/>
    <n v="41"/>
    <n v="6"/>
    <n v="6"/>
    <n v="5"/>
    <n v="70"/>
    <s v="&gt;50"/>
    <n v="11"/>
    <m/>
    <m/>
    <m/>
    <x v="1"/>
    <m/>
    <n v="14"/>
  </r>
  <r>
    <n v="2109"/>
    <n v="1990"/>
    <x v="0"/>
    <x v="0"/>
    <n v="96843"/>
    <n v="0"/>
    <d v="1899-12-30T00:00:00"/>
    <d v="2013-04-23T00:00:00"/>
    <n v="60"/>
    <n v="71"/>
    <n v="17"/>
    <n v="17"/>
    <n v="10"/>
    <n v="36"/>
    <s v="30-50"/>
    <n v="27"/>
    <m/>
    <m/>
    <m/>
    <x v="3"/>
    <m/>
    <n v="13"/>
  </r>
  <r>
    <n v="7530"/>
    <n v="1950"/>
    <x v="1"/>
    <x v="4"/>
    <n v="56551"/>
    <n v="1"/>
    <d v="1899-12-31T00:00:00"/>
    <d v="2014-05-07T00:00:00"/>
    <n v="48"/>
    <n v="4"/>
    <n v="2"/>
    <n v="2"/>
    <n v="4"/>
    <n v="76"/>
    <s v="&gt;50"/>
    <n v="6"/>
    <m/>
    <m/>
    <m/>
    <x v="0"/>
    <m/>
    <n v="12"/>
  </r>
  <r>
    <n v="8925"/>
    <n v="1965"/>
    <x v="2"/>
    <x v="2"/>
    <n v="70053"/>
    <n v="0"/>
    <d v="1899-12-31T00:00:00"/>
    <d v="2013-07-03T00:00:00"/>
    <n v="38"/>
    <n v="53"/>
    <n v="179"/>
    <n v="179"/>
    <n v="10"/>
    <n v="61"/>
    <s v="&gt;50"/>
    <n v="189"/>
    <m/>
    <m/>
    <m/>
    <x v="0"/>
    <m/>
    <n v="13"/>
  </r>
  <r>
    <n v="3009"/>
    <n v="1962"/>
    <x v="1"/>
    <x v="4"/>
    <n v="71670"/>
    <n v="0"/>
    <d v="1899-12-30T00:00:00"/>
    <d v="2013-07-09T00:00:00"/>
    <n v="8"/>
    <n v="16"/>
    <n v="0"/>
    <n v="0"/>
    <n v="6"/>
    <n v="64"/>
    <s v="&gt;50"/>
    <n v="6"/>
    <m/>
    <m/>
    <m/>
    <x v="0"/>
    <m/>
    <n v="13"/>
  </r>
  <r>
    <n v="6355"/>
    <n v="1978"/>
    <x v="0"/>
    <x v="2"/>
    <n v="44359"/>
    <n v="1"/>
    <d v="1899-12-31T00:00:00"/>
    <d v="2014-06-17T00:00:00"/>
    <n v="19"/>
    <n v="0"/>
    <n v="3"/>
    <n v="3"/>
    <n v="4"/>
    <n v="48"/>
    <s v="30-50"/>
    <n v="7"/>
    <m/>
    <m/>
    <m/>
    <x v="1"/>
    <m/>
    <n v="12"/>
  </r>
  <r>
    <n v="3517"/>
    <n v="1952"/>
    <x v="0"/>
    <x v="0"/>
    <n v="40887"/>
    <n v="1"/>
    <d v="1899-12-31T00:00:00"/>
    <d v="2013-05-06T00:00:00"/>
    <n v="32"/>
    <n v="4"/>
    <n v="10"/>
    <n v="10"/>
    <n v="3"/>
    <n v="74"/>
    <s v="&gt;50"/>
    <n v="13"/>
    <m/>
    <m/>
    <m/>
    <x v="1"/>
    <m/>
    <n v="13"/>
  </r>
  <r>
    <n v="1158"/>
    <n v="1966"/>
    <x v="0"/>
    <x v="3"/>
    <n v="48877"/>
    <n v="0"/>
    <d v="1899-12-31T00:00:00"/>
    <d v="2014-01-05T00:00:00"/>
    <n v="27"/>
    <n v="1"/>
    <n v="0"/>
    <n v="0"/>
    <n v="4"/>
    <n v="60"/>
    <s v="&gt;50"/>
    <n v="4"/>
    <m/>
    <m/>
    <m/>
    <x v="1"/>
    <m/>
    <n v="12"/>
  </r>
  <r>
    <n v="6203"/>
    <n v="1947"/>
    <x v="0"/>
    <x v="1"/>
    <n v="74485"/>
    <n v="0"/>
    <d v="1899-12-30T00:00:00"/>
    <d v="2013-08-24T00:00:00"/>
    <n v="58"/>
    <n v="149"/>
    <n v="49"/>
    <n v="49"/>
    <n v="12"/>
    <n v="79"/>
    <s v="&gt;50"/>
    <n v="61"/>
    <m/>
    <m/>
    <m/>
    <x v="0"/>
    <m/>
    <n v="13"/>
  </r>
  <r>
    <n v="7165"/>
    <n v="1972"/>
    <x v="0"/>
    <x v="1"/>
    <n v="64474"/>
    <n v="0"/>
    <d v="1899-12-31T00:00:00"/>
    <d v="2013-10-22T00:00:00"/>
    <n v="59"/>
    <n v="35"/>
    <n v="86"/>
    <n v="86"/>
    <n v="10"/>
    <n v="54"/>
    <s v="&gt;50"/>
    <n v="96"/>
    <m/>
    <m/>
    <m/>
    <x v="0"/>
    <m/>
    <n v="13"/>
  </r>
  <r>
    <n v="3595"/>
    <n v="1963"/>
    <x v="0"/>
    <x v="1"/>
    <n v="77226"/>
    <n v="0"/>
    <d v="1899-12-31T00:00:00"/>
    <d v="2014-02-28T00:00:00"/>
    <n v="29"/>
    <n v="43"/>
    <n v="76"/>
    <n v="76"/>
    <n v="12"/>
    <n v="63"/>
    <s v="&gt;50"/>
    <n v="88"/>
    <m/>
    <m/>
    <m/>
    <x v="3"/>
    <m/>
    <n v="12"/>
  </r>
  <r>
    <n v="8537"/>
    <n v="1949"/>
    <x v="0"/>
    <x v="4"/>
    <n v="72643"/>
    <n v="0"/>
    <d v="1899-12-30T00:00:00"/>
    <d v="2013-02-27T00:00:00"/>
    <n v="60"/>
    <n v="80"/>
    <n v="94"/>
    <n v="94"/>
    <n v="7"/>
    <n v="77"/>
    <s v="&gt;50"/>
    <n v="101"/>
    <m/>
    <m/>
    <m/>
    <x v="0"/>
    <m/>
    <n v="13"/>
  </r>
  <r>
    <n v="4331"/>
    <n v="1978"/>
    <x v="2"/>
    <x v="1"/>
    <n v="85738"/>
    <n v="0"/>
    <d v="1899-12-30T00:00:00"/>
    <d v="2014-01-23T00:00:00"/>
    <n v="41"/>
    <n v="26"/>
    <n v="26"/>
    <n v="26"/>
    <n v="11"/>
    <n v="48"/>
    <s v="30-50"/>
    <n v="37"/>
    <m/>
    <m/>
    <m/>
    <x v="3"/>
    <m/>
    <n v="12"/>
  </r>
  <r>
    <n v="6281"/>
    <n v="1966"/>
    <x v="0"/>
    <x v="3"/>
    <n v="55686"/>
    <n v="0"/>
    <d v="1899-12-31T00:00:00"/>
    <d v="2013-02-14T00:00:00"/>
    <n v="27"/>
    <n v="0"/>
    <n v="47"/>
    <n v="47"/>
    <n v="5"/>
    <n v="60"/>
    <s v="&gt;50"/>
    <n v="52"/>
    <m/>
    <m/>
    <m/>
    <x v="0"/>
    <m/>
    <n v="13"/>
  </r>
  <r>
    <n v="4338"/>
    <n v="1983"/>
    <x v="0"/>
    <x v="0"/>
    <n v="39062"/>
    <n v="1"/>
    <d v="1899-12-30T00:00:00"/>
    <d v="2014-03-25T00:00:00"/>
    <n v="28"/>
    <n v="0"/>
    <n v="0"/>
    <n v="0"/>
    <n v="3"/>
    <n v="43"/>
    <s v="30-50"/>
    <n v="3"/>
    <m/>
    <m/>
    <m/>
    <x v="1"/>
    <m/>
    <n v="12"/>
  </r>
  <r>
    <n v="2452"/>
    <n v="1971"/>
    <x v="0"/>
    <x v="1"/>
    <n v="34600"/>
    <n v="1"/>
    <d v="1899-12-31T00:00:00"/>
    <d v="2013-01-01T00:00:00"/>
    <n v="8"/>
    <n v="33"/>
    <n v="3"/>
    <n v="3"/>
    <n v="5"/>
    <n v="55"/>
    <s v="&gt;50"/>
    <n v="8"/>
    <m/>
    <m/>
    <m/>
    <x v="1"/>
    <m/>
    <n v="13"/>
  </r>
  <r>
    <n v="9507"/>
    <n v="1975"/>
    <x v="0"/>
    <x v="2"/>
    <n v="40794"/>
    <n v="0"/>
    <d v="1899-12-31T00:00:00"/>
    <d v="2013-04-07T00:00:00"/>
    <n v="18"/>
    <n v="23"/>
    <n v="23"/>
    <n v="23"/>
    <n v="5"/>
    <n v="51"/>
    <s v="&gt;50"/>
    <n v="28"/>
    <m/>
    <m/>
    <m/>
    <x v="1"/>
    <m/>
    <n v="13"/>
  </r>
  <r>
    <n v="8360"/>
    <n v="1971"/>
    <x v="4"/>
    <x v="2"/>
    <n v="54690"/>
    <n v="1"/>
    <d v="1899-12-31T00:00:00"/>
    <d v="2013-11-07T00:00:00"/>
    <n v="76"/>
    <n v="16"/>
    <n v="9"/>
    <n v="9"/>
    <n v="5"/>
    <n v="55"/>
    <s v="&gt;50"/>
    <n v="14"/>
    <m/>
    <m/>
    <m/>
    <x v="0"/>
    <m/>
    <n v="13"/>
  </r>
  <r>
    <n v="10311"/>
    <n v="1969"/>
    <x v="0"/>
    <x v="2"/>
    <n v="4428"/>
    <n v="0"/>
    <d v="1899-12-31T00:00:00"/>
    <d v="2013-10-05T00:00:00"/>
    <n v="0"/>
    <n v="4"/>
    <n v="4"/>
    <n v="4"/>
    <n v="0"/>
    <n v="57"/>
    <s v="&gt;50"/>
    <n v="4"/>
    <m/>
    <m/>
    <m/>
    <x v="2"/>
    <m/>
    <n v="13"/>
  </r>
  <r>
    <n v="5117"/>
    <n v="1963"/>
    <x v="4"/>
    <x v="2"/>
    <n v="32632"/>
    <n v="0"/>
    <d v="1899-12-30T00:00:00"/>
    <d v="2012-08-02T00:00:00"/>
    <n v="32"/>
    <n v="151"/>
    <n v="19"/>
    <n v="19"/>
    <n v="8"/>
    <n v="63"/>
    <s v="&gt;50"/>
    <n v="27"/>
    <m/>
    <m/>
    <m/>
    <x v="1"/>
    <m/>
    <n v="14"/>
  </r>
  <r>
    <n v="4867"/>
    <n v="1968"/>
    <x v="1"/>
    <x v="0"/>
    <n v="38236"/>
    <n v="1"/>
    <d v="1899-12-31T00:00:00"/>
    <d v="2013-09-20T00:00:00"/>
    <n v="2"/>
    <n v="0"/>
    <n v="0"/>
    <n v="0"/>
    <n v="4"/>
    <n v="58"/>
    <s v="&gt;50"/>
    <n v="4"/>
    <m/>
    <m/>
    <m/>
    <x v="1"/>
    <m/>
    <n v="13"/>
  </r>
  <r>
    <n v="9289"/>
    <n v="1979"/>
    <x v="0"/>
    <x v="2"/>
    <n v="36781"/>
    <n v="1"/>
    <d v="1899-12-30T00:00:00"/>
    <d v="2014-04-10T00:00:00"/>
    <n v="16"/>
    <n v="1"/>
    <n v="3"/>
    <n v="3"/>
    <n v="2"/>
    <n v="47"/>
    <s v="30-50"/>
    <n v="5"/>
    <m/>
    <m/>
    <m/>
    <x v="1"/>
    <m/>
    <n v="12"/>
  </r>
  <r>
    <n v="10913"/>
    <n v="1984"/>
    <x v="2"/>
    <x v="0"/>
    <n v="31385"/>
    <n v="1"/>
    <d v="1899-12-30T00:00:00"/>
    <d v="2012-12-05T00:00:00"/>
    <n v="56"/>
    <n v="2"/>
    <n v="1"/>
    <n v="1"/>
    <n v="2"/>
    <n v="42"/>
    <s v="30-50"/>
    <n v="3"/>
    <m/>
    <m/>
    <m/>
    <x v="1"/>
    <m/>
    <n v="14"/>
  </r>
  <r>
    <n v="3032"/>
    <n v="1984"/>
    <x v="0"/>
    <x v="2"/>
    <n v="24570"/>
    <n v="1"/>
    <d v="1899-12-30T00:00:00"/>
    <d v="2013-02-27T00:00:00"/>
    <n v="97"/>
    <n v="34"/>
    <n v="14"/>
    <n v="14"/>
    <n v="4"/>
    <n v="42"/>
    <s v="30-50"/>
    <n v="18"/>
    <m/>
    <m/>
    <m/>
    <x v="2"/>
    <m/>
    <n v="13"/>
  </r>
  <r>
    <n v="8524"/>
    <n v="1974"/>
    <x v="1"/>
    <x v="3"/>
    <n v="25509"/>
    <n v="1"/>
    <d v="1899-12-30T00:00:00"/>
    <d v="2012-09-18T00:00:00"/>
    <n v="15"/>
    <n v="3"/>
    <n v="7"/>
    <n v="7"/>
    <n v="3"/>
    <n v="52"/>
    <s v="&gt;50"/>
    <n v="10"/>
    <m/>
    <m/>
    <m/>
    <x v="2"/>
    <m/>
    <n v="14"/>
  </r>
  <r>
    <n v="3334"/>
    <n v="1951"/>
    <x v="0"/>
    <x v="2"/>
    <n v="94642"/>
    <n v="0"/>
    <d v="1899-12-30T00:00:00"/>
    <d v="2014-02-12T00:00:00"/>
    <n v="35"/>
    <n v="143"/>
    <n v="143"/>
    <n v="143"/>
    <n v="9"/>
    <n v="75"/>
    <s v="&gt;50"/>
    <n v="152"/>
    <m/>
    <m/>
    <m/>
    <x v="3"/>
    <m/>
    <n v="12"/>
  </r>
  <r>
    <n v="4470"/>
    <n v="1962"/>
    <x v="2"/>
    <x v="2"/>
    <n v="58646"/>
    <n v="0"/>
    <d v="1899-12-31T00:00:00"/>
    <d v="2013-06-10T00:00:00"/>
    <n v="3"/>
    <n v="1"/>
    <n v="5"/>
    <n v="5"/>
    <n v="4"/>
    <n v="64"/>
    <s v="&gt;50"/>
    <n v="9"/>
    <m/>
    <m/>
    <m/>
    <x v="0"/>
    <m/>
    <n v="13"/>
  </r>
  <r>
    <n v="1406"/>
    <n v="1975"/>
    <x v="0"/>
    <x v="0"/>
    <n v="53201"/>
    <n v="1"/>
    <d v="1899-12-31T00:00:00"/>
    <d v="2013-02-12T00:00:00"/>
    <n v="49"/>
    <n v="7"/>
    <n v="0"/>
    <n v="0"/>
    <n v="5"/>
    <n v="51"/>
    <s v="&gt;50"/>
    <n v="5"/>
    <m/>
    <m/>
    <m/>
    <x v="0"/>
    <m/>
    <n v="13"/>
  </r>
  <r>
    <n v="8619"/>
    <n v="1957"/>
    <x v="0"/>
    <x v="1"/>
    <n v="21994"/>
    <n v="0"/>
    <d v="1899-12-31T00:00:00"/>
    <d v="2012-12-24T00:00:00"/>
    <n v="4"/>
    <n v="0"/>
    <n v="1"/>
    <n v="1"/>
    <n v="3"/>
    <n v="69"/>
    <s v="&gt;50"/>
    <n v="4"/>
    <m/>
    <m/>
    <m/>
    <x v="2"/>
    <m/>
    <n v="14"/>
  </r>
  <r>
    <n v="10821"/>
    <n v="1978"/>
    <x v="0"/>
    <x v="2"/>
    <n v="57113"/>
    <n v="1"/>
    <d v="1899-12-31T00:00:00"/>
    <d v="2013-02-06T00:00:00"/>
    <n v="45"/>
    <n v="4"/>
    <n v="2"/>
    <n v="2"/>
    <n v="5"/>
    <n v="48"/>
    <s v="30-50"/>
    <n v="7"/>
    <m/>
    <m/>
    <m/>
    <x v="0"/>
    <m/>
    <n v="13"/>
  </r>
  <r>
    <n v="4552"/>
    <n v="1991"/>
    <x v="0"/>
    <x v="2"/>
    <n v="51373"/>
    <n v="0"/>
    <d v="1899-12-30T00:00:00"/>
    <d v="2013-06-22T00:00:00"/>
    <n v="37"/>
    <n v="2"/>
    <n v="26"/>
    <n v="26"/>
    <n v="3"/>
    <n v="35"/>
    <s v="30-50"/>
    <n v="29"/>
    <m/>
    <m/>
    <m/>
    <x v="0"/>
    <m/>
    <n v="13"/>
  </r>
  <r>
    <n v="898"/>
    <n v="1986"/>
    <x v="0"/>
    <x v="2"/>
    <n v="23477"/>
    <n v="1"/>
    <d v="1899-12-30T00:00:00"/>
    <d v="2013-10-21T00:00:00"/>
    <n v="39"/>
    <n v="15"/>
    <n v="8"/>
    <n v="8"/>
    <n v="4"/>
    <n v="40"/>
    <s v="30-50"/>
    <n v="12"/>
    <m/>
    <m/>
    <m/>
    <x v="2"/>
    <m/>
    <n v="13"/>
  </r>
  <r>
    <n v="9797"/>
    <n v="1956"/>
    <x v="0"/>
    <x v="2"/>
    <n v="58116"/>
    <n v="0"/>
    <d v="1899-12-31T00:00:00"/>
    <d v="2014-04-13T00:00:00"/>
    <n v="38"/>
    <n v="19"/>
    <n v="11"/>
    <n v="11"/>
    <n v="8"/>
    <n v="70"/>
    <s v="&gt;50"/>
    <n v="19"/>
    <m/>
    <m/>
    <m/>
    <x v="0"/>
    <m/>
    <n v="12"/>
  </r>
  <r>
    <n v="10949"/>
    <n v="1963"/>
    <x v="1"/>
    <x v="3"/>
    <n v="72968"/>
    <n v="0"/>
    <d v="1899-12-30T00:00:00"/>
    <d v="2013-12-16T00:00:00"/>
    <n v="8"/>
    <n v="37"/>
    <n v="37"/>
    <n v="37"/>
    <n v="8"/>
    <n v="63"/>
    <s v="&gt;50"/>
    <n v="45"/>
    <m/>
    <m/>
    <m/>
    <x v="0"/>
    <m/>
    <n v="13"/>
  </r>
  <r>
    <n v="8212"/>
    <n v="1971"/>
    <x v="2"/>
    <x v="2"/>
    <n v="39791"/>
    <n v="0"/>
    <d v="1899-12-31T00:00:00"/>
    <d v="2013-03-28T00:00:00"/>
    <n v="89"/>
    <n v="15"/>
    <n v="13"/>
    <n v="13"/>
    <n v="4"/>
    <n v="55"/>
    <s v="&gt;50"/>
    <n v="17"/>
    <m/>
    <m/>
    <m/>
    <x v="1"/>
    <m/>
    <n v="13"/>
  </r>
  <r>
    <n v="6248"/>
    <n v="1947"/>
    <x v="2"/>
    <x v="0"/>
    <n v="91712"/>
    <n v="0"/>
    <d v="1899-12-30T00:00:00"/>
    <d v="2013-10-17T00:00:00"/>
    <n v="47"/>
    <n v="24"/>
    <n v="29"/>
    <n v="29"/>
    <n v="11"/>
    <n v="79"/>
    <s v="&gt;50"/>
    <n v="40"/>
    <m/>
    <m/>
    <m/>
    <x v="3"/>
    <m/>
    <n v="13"/>
  </r>
  <r>
    <n v="10164"/>
    <n v="1958"/>
    <x v="0"/>
    <x v="0"/>
    <n v="94472"/>
    <n v="0"/>
    <d v="1899-12-31T00:00:00"/>
    <d v="2014-04-03T00:00:00"/>
    <n v="75"/>
    <n v="33"/>
    <n v="100"/>
    <n v="100"/>
    <n v="5"/>
    <n v="68"/>
    <s v="&gt;50"/>
    <n v="105"/>
    <m/>
    <m/>
    <m/>
    <x v="3"/>
    <m/>
    <n v="12"/>
  </r>
  <r>
    <n v="4547"/>
    <n v="1960"/>
    <x v="0"/>
    <x v="1"/>
    <n v="13672"/>
    <n v="1"/>
    <d v="1899-12-31T00:00:00"/>
    <d v="2013-04-17T00:00:00"/>
    <n v="86"/>
    <n v="2"/>
    <n v="1"/>
    <n v="1"/>
    <n v="3"/>
    <n v="66"/>
    <s v="&gt;50"/>
    <n v="4"/>
    <m/>
    <m/>
    <m/>
    <x v="2"/>
    <m/>
    <n v="13"/>
  </r>
  <r>
    <n v="6815"/>
    <n v="1980"/>
    <x v="4"/>
    <x v="2"/>
    <n v="96547"/>
    <n v="0"/>
    <d v="1899-12-30T00:00:00"/>
    <d v="2014-05-23T00:00:00"/>
    <n v="4"/>
    <n v="21"/>
    <n v="101"/>
    <n v="101"/>
    <n v="8"/>
    <n v="46"/>
    <s v="30-50"/>
    <n v="109"/>
    <m/>
    <m/>
    <m/>
    <x v="3"/>
    <m/>
    <n v="12"/>
  </r>
  <r>
    <n v="4122"/>
    <n v="1975"/>
    <x v="0"/>
    <x v="2"/>
    <n v="79205"/>
    <n v="0"/>
    <d v="1899-12-30T00:00:00"/>
    <d v="2012-08-29T00:00:00"/>
    <n v="73"/>
    <n v="23"/>
    <n v="28"/>
    <n v="28"/>
    <n v="4"/>
    <n v="51"/>
    <s v="&gt;50"/>
    <n v="32"/>
    <m/>
    <m/>
    <m/>
    <x v="3"/>
    <m/>
    <n v="14"/>
  </r>
  <r>
    <n v="10841"/>
    <n v="1975"/>
    <x v="1"/>
    <x v="1"/>
    <n v="56559"/>
    <n v="0"/>
    <d v="1899-12-31T00:00:00"/>
    <d v="2012-12-25T00:00:00"/>
    <n v="46"/>
    <n v="22"/>
    <n v="31"/>
    <n v="31"/>
    <n v="8"/>
    <n v="51"/>
    <s v="&gt;50"/>
    <n v="39"/>
    <m/>
    <m/>
    <m/>
    <x v="0"/>
    <m/>
    <n v="14"/>
  </r>
  <r>
    <n v="5370"/>
    <n v="1973"/>
    <x v="1"/>
    <x v="2"/>
    <n v="32644"/>
    <n v="1"/>
    <d v="1899-12-30T00:00:00"/>
    <d v="2013-01-16T00:00:00"/>
    <n v="38"/>
    <n v="3"/>
    <n v="7"/>
    <n v="7"/>
    <n v="6"/>
    <n v="53"/>
    <s v="&gt;50"/>
    <n v="13"/>
    <m/>
    <m/>
    <m/>
    <x v="1"/>
    <m/>
    <n v="13"/>
  </r>
  <r>
    <n v="176"/>
    <n v="1980"/>
    <x v="4"/>
    <x v="0"/>
    <n v="67506"/>
    <n v="0"/>
    <d v="1899-12-31T00:00:00"/>
    <d v="2014-01-02T00:00:00"/>
    <n v="73"/>
    <n v="38"/>
    <n v="36"/>
    <n v="36"/>
    <n v="6"/>
    <n v="46"/>
    <s v="30-50"/>
    <n v="42"/>
    <m/>
    <m/>
    <m/>
    <x v="0"/>
    <m/>
    <n v="12"/>
  </r>
  <r>
    <n v="4860"/>
    <n v="1970"/>
    <x v="0"/>
    <x v="0"/>
    <n v="24206"/>
    <n v="1"/>
    <d v="1899-12-30T00:00:00"/>
    <d v="2013-03-08T00:00:00"/>
    <n v="66"/>
    <n v="2"/>
    <n v="2"/>
    <n v="2"/>
    <n v="3"/>
    <n v="56"/>
    <s v="&gt;50"/>
    <n v="5"/>
    <m/>
    <m/>
    <m/>
    <x v="2"/>
    <m/>
    <n v="13"/>
  </r>
  <r>
    <n v="10757"/>
    <n v="1967"/>
    <x v="1"/>
    <x v="3"/>
    <n v="28420"/>
    <n v="1"/>
    <d v="1899-12-30T00:00:00"/>
    <d v="2013-12-24T00:00:00"/>
    <n v="36"/>
    <n v="2"/>
    <n v="0"/>
    <n v="0"/>
    <n v="2"/>
    <n v="59"/>
    <s v="&gt;50"/>
    <n v="2"/>
    <m/>
    <m/>
    <m/>
    <x v="2"/>
    <m/>
    <n v="13"/>
  </r>
  <r>
    <n v="4023"/>
    <n v="1970"/>
    <x v="0"/>
    <x v="2"/>
    <n v="22979"/>
    <n v="1"/>
    <d v="1899-12-30T00:00:00"/>
    <d v="2012-09-06T00:00:00"/>
    <n v="29"/>
    <n v="17"/>
    <n v="21"/>
    <n v="21"/>
    <n v="2"/>
    <n v="56"/>
    <s v="&gt;50"/>
    <n v="23"/>
    <m/>
    <m/>
    <m/>
    <x v="2"/>
    <m/>
    <n v="14"/>
  </r>
  <r>
    <n v="6679"/>
    <n v="1966"/>
    <x v="0"/>
    <x v="0"/>
    <n v="33279"/>
    <n v="0"/>
    <d v="1899-12-30T00:00:00"/>
    <d v="2014-06-12T00:00:00"/>
    <n v="29"/>
    <n v="3"/>
    <n v="0"/>
    <n v="0"/>
    <n v="3"/>
    <n v="60"/>
    <s v="&gt;50"/>
    <n v="3"/>
    <m/>
    <m/>
    <m/>
    <x v="1"/>
    <m/>
    <n v="12"/>
  </r>
  <r>
    <n v="9923"/>
    <n v="1972"/>
    <x v="2"/>
    <x v="0"/>
    <n v="46423"/>
    <n v="1"/>
    <d v="1899-12-31T00:00:00"/>
    <d v="2013-09-18T00:00:00"/>
    <n v="6"/>
    <n v="0"/>
    <n v="0"/>
    <n v="0"/>
    <n v="4"/>
    <n v="54"/>
    <s v="&gt;50"/>
    <n v="4"/>
    <m/>
    <m/>
    <m/>
    <x v="1"/>
    <m/>
    <n v="13"/>
  </r>
  <r>
    <n v="7181"/>
    <n v="1977"/>
    <x v="0"/>
    <x v="2"/>
    <n v="30368"/>
    <n v="0"/>
    <d v="1899-12-31T00:00:00"/>
    <d v="2013-11-07T00:00:00"/>
    <n v="97"/>
    <n v="0"/>
    <n v="0"/>
    <n v="0"/>
    <n v="3"/>
    <n v="49"/>
    <s v="30-50"/>
    <n v="3"/>
    <m/>
    <m/>
    <m/>
    <x v="1"/>
    <m/>
    <n v="13"/>
  </r>
  <r>
    <n v="3599"/>
    <n v="1970"/>
    <x v="0"/>
    <x v="2"/>
    <n v="63684"/>
    <n v="0"/>
    <d v="1899-12-31T00:00:00"/>
    <d v="2012-11-26T00:00:00"/>
    <n v="61"/>
    <n v="80"/>
    <n v="93"/>
    <n v="93"/>
    <n v="8"/>
    <n v="56"/>
    <s v="&gt;50"/>
    <n v="101"/>
    <m/>
    <m/>
    <m/>
    <x v="0"/>
    <m/>
    <n v="14"/>
  </r>
  <r>
    <n v="405"/>
    <n v="1964"/>
    <x v="0"/>
    <x v="3"/>
    <n v="41638"/>
    <n v="0"/>
    <d v="1899-12-31T00:00:00"/>
    <d v="2013-02-13T00:00:00"/>
    <n v="68"/>
    <n v="0"/>
    <n v="0"/>
    <n v="0"/>
    <n v="3"/>
    <n v="62"/>
    <s v="&gt;50"/>
    <n v="3"/>
    <m/>
    <m/>
    <m/>
    <x v="1"/>
    <m/>
    <n v="13"/>
  </r>
  <r>
    <n v="6870"/>
    <n v="1959"/>
    <x v="1"/>
    <x v="3"/>
    <n v="68805"/>
    <n v="0"/>
    <d v="1899-12-31T00:00:00"/>
    <d v="2013-09-17T00:00:00"/>
    <n v="73"/>
    <n v="2"/>
    <n v="13"/>
    <n v="13"/>
    <n v="7"/>
    <n v="67"/>
    <s v="&gt;50"/>
    <n v="20"/>
    <m/>
    <m/>
    <m/>
    <x v="0"/>
    <m/>
    <n v="13"/>
  </r>
  <r>
    <n v="832"/>
    <n v="1966"/>
    <x v="1"/>
    <x v="1"/>
    <n v="65814"/>
    <n v="0"/>
    <d v="1899-12-31T00:00:00"/>
    <d v="2014-03-02T00:00:00"/>
    <n v="90"/>
    <n v="14"/>
    <n v="14"/>
    <n v="14"/>
    <n v="10"/>
    <n v="60"/>
    <s v="&gt;50"/>
    <n v="24"/>
    <m/>
    <m/>
    <m/>
    <x v="0"/>
    <m/>
    <n v="12"/>
  </r>
  <r>
    <n v="2002"/>
    <n v="1958"/>
    <x v="0"/>
    <x v="3"/>
    <n v="71964"/>
    <n v="0"/>
    <d v="1899-12-30T00:00:00"/>
    <d v="2013-05-20T00:00:00"/>
    <n v="81"/>
    <n v="51"/>
    <n v="34"/>
    <n v="34"/>
    <n v="5"/>
    <n v="68"/>
    <s v="&gt;50"/>
    <n v="39"/>
    <m/>
    <m/>
    <m/>
    <x v="0"/>
    <m/>
    <n v="13"/>
  </r>
  <r>
    <n v="3657"/>
    <n v="1986"/>
    <x v="0"/>
    <x v="0"/>
    <n v="39146"/>
    <n v="1"/>
    <d v="1899-12-30T00:00:00"/>
    <d v="2013-02-14T00:00:00"/>
    <n v="1"/>
    <n v="1"/>
    <n v="12"/>
    <n v="12"/>
    <n v="4"/>
    <n v="40"/>
    <s v="30-50"/>
    <n v="16"/>
    <m/>
    <m/>
    <m/>
    <x v="1"/>
    <m/>
    <n v="13"/>
  </r>
  <r>
    <n v="500"/>
    <n v="1977"/>
    <x v="0"/>
    <x v="1"/>
    <n v="96876"/>
    <n v="0"/>
    <d v="1899-12-30T00:00:00"/>
    <d v="2013-08-06T00:00:00"/>
    <n v="79"/>
    <n v="43"/>
    <n v="194"/>
    <n v="194"/>
    <n v="9"/>
    <n v="49"/>
    <s v="30-50"/>
    <n v="203"/>
    <m/>
    <m/>
    <m/>
    <x v="3"/>
    <m/>
    <n v="13"/>
  </r>
  <r>
    <n v="1951"/>
    <n v="1981"/>
    <x v="3"/>
    <x v="2"/>
    <n v="34445"/>
    <n v="0"/>
    <d v="1899-12-30T00:00:00"/>
    <d v="2013-01-27T00:00:00"/>
    <n v="92"/>
    <n v="122"/>
    <n v="129"/>
    <n v="129"/>
    <n v="8"/>
    <n v="45"/>
    <s v="30-50"/>
    <n v="137"/>
    <m/>
    <m/>
    <m/>
    <x v="1"/>
    <m/>
    <n v="13"/>
  </r>
  <r>
    <n v="3262"/>
    <n v="1958"/>
    <x v="0"/>
    <x v="0"/>
    <n v="68281"/>
    <n v="0"/>
    <d v="1899-12-30T00:00:00"/>
    <d v="2012-08-07T00:00:00"/>
    <n v="31"/>
    <n v="112"/>
    <n v="48"/>
    <n v="48"/>
    <n v="13"/>
    <n v="68"/>
    <s v="&gt;50"/>
    <n v="61"/>
    <m/>
    <m/>
    <m/>
    <x v="0"/>
    <m/>
    <n v="14"/>
  </r>
  <r>
    <n v="4102"/>
    <n v="1975"/>
    <x v="4"/>
    <x v="2"/>
    <n v="37284"/>
    <n v="1"/>
    <d v="1899-12-31T00:00:00"/>
    <d v="2013-03-29T00:00:00"/>
    <n v="46"/>
    <n v="1"/>
    <n v="1"/>
    <n v="1"/>
    <n v="3"/>
    <n v="51"/>
    <s v="&gt;50"/>
    <n v="4"/>
    <m/>
    <m/>
    <m/>
    <x v="1"/>
    <m/>
    <n v="13"/>
  </r>
  <r>
    <n v="7042"/>
    <n v="1983"/>
    <x v="0"/>
    <x v="2"/>
    <n v="36790"/>
    <n v="0"/>
    <d v="1899-12-30T00:00:00"/>
    <d v="2013-03-01T00:00:00"/>
    <n v="14"/>
    <n v="3"/>
    <n v="21"/>
    <n v="21"/>
    <n v="2"/>
    <n v="43"/>
    <s v="30-50"/>
    <n v="23"/>
    <m/>
    <m/>
    <m/>
    <x v="1"/>
    <m/>
    <n v="13"/>
  </r>
  <r>
    <n v="10598"/>
    <n v="1967"/>
    <x v="0"/>
    <x v="1"/>
    <n v="27943"/>
    <n v="1"/>
    <d v="1899-12-31T00:00:00"/>
    <d v="2013-04-15T00:00:00"/>
    <n v="89"/>
    <n v="1"/>
    <n v="1"/>
    <n v="1"/>
    <n v="3"/>
    <n v="59"/>
    <s v="&gt;50"/>
    <n v="4"/>
    <m/>
    <m/>
    <m/>
    <x v="2"/>
    <m/>
    <n v="13"/>
  </r>
  <r>
    <n v="255"/>
    <n v="1951"/>
    <x v="0"/>
    <x v="3"/>
    <n v="22263"/>
    <n v="1"/>
    <d v="1899-12-31T00:00:00"/>
    <d v="2014-03-30T00:00:00"/>
    <n v="31"/>
    <n v="0"/>
    <n v="0"/>
    <n v="0"/>
    <n v="3"/>
    <n v="75"/>
    <s v="&gt;50"/>
    <n v="3"/>
    <m/>
    <m/>
    <m/>
    <x v="2"/>
    <m/>
    <n v="12"/>
  </r>
  <r>
    <n v="2375"/>
    <n v="1972"/>
    <x v="0"/>
    <x v="1"/>
    <n v="30261"/>
    <n v="1"/>
    <d v="1900-01-01T00:00:00"/>
    <d v="2012-09-25T00:00:00"/>
    <n v="75"/>
    <n v="0"/>
    <n v="3"/>
    <n v="3"/>
    <n v="3"/>
    <n v="54"/>
    <s v="&gt;50"/>
    <n v="6"/>
    <m/>
    <m/>
    <m/>
    <x v="1"/>
    <m/>
    <n v="14"/>
  </r>
  <r>
    <n v="9829"/>
    <n v="1978"/>
    <x v="0"/>
    <x v="1"/>
    <n v="28587"/>
    <n v="1"/>
    <d v="1899-12-30T00:00:00"/>
    <d v="2014-02-12T00:00:00"/>
    <n v="42"/>
    <n v="4"/>
    <n v="10"/>
    <n v="10"/>
    <n v="4"/>
    <n v="48"/>
    <s v="30-50"/>
    <n v="14"/>
    <m/>
    <m/>
    <m/>
    <x v="2"/>
    <m/>
    <n v="12"/>
  </r>
  <r>
    <n v="6214"/>
    <n v="1982"/>
    <x v="2"/>
    <x v="2"/>
    <n v="43815"/>
    <n v="1"/>
    <d v="1899-12-30T00:00:00"/>
    <d v="2013-04-05T00:00:00"/>
    <n v="53"/>
    <n v="10"/>
    <n v="7"/>
    <n v="7"/>
    <n v="3"/>
    <n v="44"/>
    <s v="30-50"/>
    <n v="10"/>
    <m/>
    <m/>
    <m/>
    <x v="1"/>
    <m/>
    <n v="13"/>
  </r>
  <r>
    <n v="4954"/>
    <n v="1956"/>
    <x v="0"/>
    <x v="2"/>
    <n v="48195"/>
    <n v="1"/>
    <d v="1899-12-31T00:00:00"/>
    <d v="2014-01-21T00:00:00"/>
    <n v="53"/>
    <n v="27"/>
    <n v="7"/>
    <n v="7"/>
    <n v="5"/>
    <n v="70"/>
    <s v="&gt;50"/>
    <n v="12"/>
    <m/>
    <m/>
    <m/>
    <x v="1"/>
    <m/>
    <n v="12"/>
  </r>
  <r>
    <n v="7861"/>
    <n v="1952"/>
    <x v="2"/>
    <x v="2"/>
    <n v="77027"/>
    <n v="0"/>
    <d v="1899-12-31T00:00:00"/>
    <d v="2014-02-05T00:00:00"/>
    <n v="23"/>
    <n v="57"/>
    <n v="0"/>
    <n v="0"/>
    <n v="6"/>
    <n v="74"/>
    <s v="&gt;50"/>
    <n v="6"/>
    <m/>
    <m/>
    <m/>
    <x v="3"/>
    <m/>
    <n v="12"/>
  </r>
  <r>
    <n v="4837"/>
    <n v="1965"/>
    <x v="1"/>
    <x v="2"/>
    <n v="71322"/>
    <n v="0"/>
    <d v="1899-12-31T00:00:00"/>
    <d v="2013-02-16T00:00:00"/>
    <n v="57"/>
    <n v="43"/>
    <n v="10"/>
    <n v="10"/>
    <n v="13"/>
    <n v="61"/>
    <s v="&gt;50"/>
    <n v="23"/>
    <m/>
    <m/>
    <m/>
    <x v="0"/>
    <m/>
    <n v="13"/>
  </r>
  <r>
    <n v="9423"/>
    <n v="1979"/>
    <x v="2"/>
    <x v="2"/>
    <n v="32765"/>
    <n v="1"/>
    <d v="1899-12-30T00:00:00"/>
    <d v="2014-02-23T00:00:00"/>
    <n v="49"/>
    <n v="3"/>
    <n v="3"/>
    <n v="3"/>
    <n v="4"/>
    <n v="47"/>
    <s v="30-50"/>
    <n v="7"/>
    <m/>
    <m/>
    <m/>
    <x v="1"/>
    <m/>
    <n v="12"/>
  </r>
  <r>
    <n v="4198"/>
    <n v="1965"/>
    <x v="0"/>
    <x v="1"/>
    <n v="29672"/>
    <n v="1"/>
    <d v="1899-12-31T00:00:00"/>
    <d v="2013-03-12T00:00:00"/>
    <n v="6"/>
    <n v="1"/>
    <n v="4"/>
    <n v="4"/>
    <n v="3"/>
    <n v="61"/>
    <s v="&gt;50"/>
    <n v="7"/>
    <m/>
    <m/>
    <m/>
    <x v="2"/>
    <m/>
    <n v="13"/>
  </r>
  <r>
    <n v="153"/>
    <n v="1953"/>
    <x v="0"/>
    <x v="3"/>
    <n v="23272"/>
    <n v="0"/>
    <d v="1899-12-30T00:00:00"/>
    <d v="2013-10-17T00:00:00"/>
    <n v="29"/>
    <n v="3"/>
    <n v="2"/>
    <n v="2"/>
    <n v="3"/>
    <n v="73"/>
    <s v="&gt;50"/>
    <n v="5"/>
    <m/>
    <m/>
    <m/>
    <x v="2"/>
    <m/>
    <n v="13"/>
  </r>
  <r>
    <n v="9323"/>
    <n v="1949"/>
    <x v="2"/>
    <x v="1"/>
    <n v="49912"/>
    <n v="0"/>
    <d v="1899-12-31T00:00:00"/>
    <d v="2012-09-07T00:00:00"/>
    <n v="5"/>
    <n v="8"/>
    <n v="49"/>
    <n v="49"/>
    <n v="7"/>
    <n v="77"/>
    <s v="&gt;50"/>
    <n v="56"/>
    <m/>
    <m/>
    <m/>
    <x v="1"/>
    <m/>
    <n v="14"/>
  </r>
  <r>
    <n v="10001"/>
    <n v="1985"/>
    <x v="4"/>
    <x v="1"/>
    <n v="7500"/>
    <n v="1"/>
    <d v="1899-12-30T00:00:00"/>
    <d v="2012-08-01T00:00:00"/>
    <n v="98"/>
    <n v="17"/>
    <n v="14"/>
    <n v="14"/>
    <n v="3"/>
    <n v="41"/>
    <s v="30-50"/>
    <n v="17"/>
    <m/>
    <m/>
    <m/>
    <x v="2"/>
    <m/>
    <n v="14"/>
  </r>
  <r>
    <n v="3945"/>
    <n v="1947"/>
    <x v="1"/>
    <x v="4"/>
    <n v="68117"/>
    <n v="0"/>
    <d v="1899-12-31T00:00:00"/>
    <d v="2013-03-10T00:00:00"/>
    <n v="80"/>
    <n v="44"/>
    <n v="17"/>
    <n v="17"/>
    <n v="4"/>
    <n v="79"/>
    <s v="&gt;50"/>
    <n v="21"/>
    <m/>
    <m/>
    <m/>
    <x v="0"/>
    <m/>
    <n v="13"/>
  </r>
  <r>
    <n v="3799"/>
    <n v="1955"/>
    <x v="0"/>
    <x v="2"/>
    <n v="67225"/>
    <n v="0"/>
    <d v="1899-12-31T00:00:00"/>
    <d v="2013-11-26T00:00:00"/>
    <n v="4"/>
    <n v="35"/>
    <n v="7"/>
    <n v="7"/>
    <n v="11"/>
    <n v="71"/>
    <s v="&gt;50"/>
    <n v="18"/>
    <m/>
    <m/>
    <m/>
    <x v="0"/>
    <m/>
    <n v="13"/>
  </r>
  <r>
    <n v="8625"/>
    <n v="1976"/>
    <x v="0"/>
    <x v="2"/>
    <n v="17649"/>
    <n v="1"/>
    <d v="1899-12-30T00:00:00"/>
    <d v="2013-11-12T00:00:00"/>
    <n v="70"/>
    <n v="1"/>
    <n v="5"/>
    <n v="5"/>
    <n v="3"/>
    <n v="50"/>
    <s v="30-50"/>
    <n v="8"/>
    <m/>
    <m/>
    <m/>
    <x v="2"/>
    <m/>
    <n v="13"/>
  </r>
  <r>
    <n v="3491"/>
    <n v="1975"/>
    <x v="0"/>
    <x v="1"/>
    <n v="55914"/>
    <n v="0"/>
    <d v="1899-12-31T00:00:00"/>
    <d v="2013-04-29T00:00:00"/>
    <n v="32"/>
    <n v="60"/>
    <n v="101"/>
    <n v="101"/>
    <n v="8"/>
    <n v="51"/>
    <s v="&gt;50"/>
    <n v="109"/>
    <m/>
    <m/>
    <m/>
    <x v="0"/>
    <m/>
    <n v="13"/>
  </r>
  <r>
    <n v="983"/>
    <n v="1984"/>
    <x v="0"/>
    <x v="2"/>
    <n v="40059"/>
    <n v="1"/>
    <d v="1899-12-30T00:00:00"/>
    <d v="2013-09-28T00:00:00"/>
    <n v="82"/>
    <n v="29"/>
    <n v="10"/>
    <n v="10"/>
    <n v="3"/>
    <n v="42"/>
    <s v="30-50"/>
    <n v="13"/>
    <m/>
    <m/>
    <m/>
    <x v="1"/>
    <m/>
    <n v="13"/>
  </r>
  <r>
    <n v="9119"/>
    <n v="1950"/>
    <x v="0"/>
    <x v="1"/>
    <n v="60905"/>
    <n v="0"/>
    <d v="1899-12-31T00:00:00"/>
    <d v="2013-12-05T00:00:00"/>
    <n v="27"/>
    <n v="17"/>
    <n v="17"/>
    <n v="17"/>
    <n v="7"/>
    <n v="76"/>
    <s v="&gt;50"/>
    <n v="24"/>
    <m/>
    <m/>
    <m/>
    <x v="0"/>
    <m/>
    <n v="13"/>
  </r>
  <r>
    <n v="4786"/>
    <n v="1977"/>
    <x v="0"/>
    <x v="2"/>
    <n v="75330"/>
    <n v="1"/>
    <d v="1899-12-31T00:00:00"/>
    <d v="2012-10-04T00:00:00"/>
    <n v="94"/>
    <n v="82"/>
    <n v="61"/>
    <n v="61"/>
    <n v="12"/>
    <n v="49"/>
    <s v="30-50"/>
    <n v="73"/>
    <m/>
    <m/>
    <m/>
    <x v="3"/>
    <m/>
    <n v="14"/>
  </r>
  <r>
    <n v="5872"/>
    <n v="1951"/>
    <x v="0"/>
    <x v="0"/>
    <n v="60689"/>
    <n v="0"/>
    <d v="1899-12-31T00:00:00"/>
    <d v="2013-06-01T00:00:00"/>
    <n v="23"/>
    <n v="90"/>
    <n v="6"/>
    <n v="6"/>
    <n v="10"/>
    <n v="75"/>
    <s v="&gt;50"/>
    <n v="16"/>
    <m/>
    <m/>
    <m/>
    <x v="0"/>
    <m/>
    <n v="13"/>
  </r>
  <r>
    <n v="6568"/>
    <n v="1984"/>
    <x v="0"/>
    <x v="2"/>
    <n v="38680"/>
    <n v="1"/>
    <d v="1899-12-30T00:00:00"/>
    <d v="2013-03-28T00:00:00"/>
    <n v="97"/>
    <n v="0"/>
    <n v="5"/>
    <n v="5"/>
    <n v="3"/>
    <n v="42"/>
    <s v="30-50"/>
    <n v="8"/>
    <m/>
    <m/>
    <m/>
    <x v="1"/>
    <m/>
    <n v="13"/>
  </r>
  <r>
    <n v="5628"/>
    <n v="1982"/>
    <x v="0"/>
    <x v="1"/>
    <n v="61416"/>
    <n v="0"/>
    <d v="1899-12-30T00:00:00"/>
    <d v="2013-02-08T00:00:00"/>
    <n v="25"/>
    <n v="154"/>
    <n v="61"/>
    <n v="61"/>
    <n v="10"/>
    <n v="44"/>
    <s v="30-50"/>
    <n v="71"/>
    <m/>
    <m/>
    <m/>
    <x v="0"/>
    <m/>
    <n v="13"/>
  </r>
  <r>
    <n v="5631"/>
    <n v="1991"/>
    <x v="0"/>
    <x v="0"/>
    <n v="49767"/>
    <n v="0"/>
    <d v="1899-12-30T00:00:00"/>
    <d v="2013-05-02T00:00:00"/>
    <n v="92"/>
    <n v="47"/>
    <n v="42"/>
    <n v="42"/>
    <n v="8"/>
    <n v="35"/>
    <s v="30-50"/>
    <n v="50"/>
    <m/>
    <m/>
    <m/>
    <x v="1"/>
    <m/>
    <n v="13"/>
  </r>
  <r>
    <n v="4974"/>
    <n v="1970"/>
    <x v="0"/>
    <x v="0"/>
    <n v="83273"/>
    <n v="1"/>
    <d v="1900-01-01T00:00:00"/>
    <d v="2012-09-25T00:00:00"/>
    <n v="98"/>
    <n v="89"/>
    <n v="102"/>
    <n v="102"/>
    <n v="9"/>
    <n v="56"/>
    <s v="&gt;50"/>
    <n v="111"/>
    <m/>
    <m/>
    <m/>
    <x v="3"/>
    <m/>
    <n v="14"/>
  </r>
  <r>
    <n v="8416"/>
    <n v="1981"/>
    <x v="0"/>
    <x v="2"/>
    <n v="29009"/>
    <n v="1"/>
    <d v="1899-12-30T00:00:00"/>
    <d v="2013-11-29T00:00:00"/>
    <n v="19"/>
    <n v="6"/>
    <n v="5"/>
    <n v="5"/>
    <n v="3"/>
    <n v="45"/>
    <s v="30-50"/>
    <n v="8"/>
    <m/>
    <m/>
    <m/>
    <x v="2"/>
    <m/>
    <n v="13"/>
  </r>
  <r>
    <n v="5454"/>
    <n v="1979"/>
    <x v="2"/>
    <x v="2"/>
    <n v="45057"/>
    <n v="1"/>
    <d v="1899-12-30T00:00:00"/>
    <d v="2013-12-01T00:00:00"/>
    <n v="80"/>
    <n v="0"/>
    <n v="0"/>
    <n v="0"/>
    <n v="3"/>
    <n v="47"/>
    <s v="30-50"/>
    <n v="3"/>
    <m/>
    <m/>
    <m/>
    <x v="1"/>
    <m/>
    <n v="13"/>
  </r>
  <r>
    <n v="4095"/>
    <n v="1971"/>
    <x v="0"/>
    <x v="2"/>
    <n v="37150"/>
    <n v="1"/>
    <d v="1899-12-30T00:00:00"/>
    <d v="2012-09-11T00:00:00"/>
    <n v="80"/>
    <n v="37"/>
    <n v="34"/>
    <n v="34"/>
    <n v="6"/>
    <n v="55"/>
    <s v="&gt;50"/>
    <n v="40"/>
    <m/>
    <m/>
    <m/>
    <x v="1"/>
    <m/>
    <n v="14"/>
  </r>
  <r>
    <n v="5474"/>
    <n v="1970"/>
    <x v="0"/>
    <x v="0"/>
    <n v="43020"/>
    <n v="1"/>
    <d v="1899-12-30T00:00:00"/>
    <d v="2013-11-30T00:00:00"/>
    <n v="79"/>
    <n v="7"/>
    <n v="25"/>
    <n v="25"/>
    <n v="4"/>
    <n v="56"/>
    <s v="&gt;50"/>
    <n v="29"/>
    <m/>
    <m/>
    <m/>
    <x v="1"/>
    <m/>
    <n v="13"/>
  </r>
  <r>
    <n v="4268"/>
    <n v="1959"/>
    <x v="0"/>
    <x v="2"/>
    <n v="53154"/>
    <n v="0"/>
    <d v="1899-12-31T00:00:00"/>
    <d v="2014-06-09T00:00:00"/>
    <n v="50"/>
    <n v="0"/>
    <n v="1"/>
    <n v="1"/>
    <n v="4"/>
    <n v="67"/>
    <s v="&gt;50"/>
    <n v="5"/>
    <m/>
    <m/>
    <m/>
    <x v="0"/>
    <m/>
    <n v="12"/>
  </r>
  <r>
    <n v="10701"/>
    <n v="1973"/>
    <x v="0"/>
    <x v="2"/>
    <n v="65308"/>
    <n v="0"/>
    <d v="1899-12-30T00:00:00"/>
    <d v="2013-09-11T00:00:00"/>
    <n v="60"/>
    <n v="0"/>
    <n v="80"/>
    <n v="80"/>
    <n v="12"/>
    <n v="53"/>
    <s v="&gt;50"/>
    <n v="92"/>
    <m/>
    <m/>
    <m/>
    <x v="0"/>
    <m/>
    <n v="13"/>
  </r>
  <r>
    <n v="3507"/>
    <n v="1970"/>
    <x v="0"/>
    <x v="0"/>
    <n v="76467"/>
    <n v="1"/>
    <d v="1899-12-30T00:00:00"/>
    <d v="2012-08-17T00:00:00"/>
    <n v="44"/>
    <n v="161"/>
    <n v="44"/>
    <n v="44"/>
    <n v="5"/>
    <n v="56"/>
    <s v="&gt;50"/>
    <n v="49"/>
    <m/>
    <m/>
    <m/>
    <x v="3"/>
    <m/>
    <n v="14"/>
  </r>
  <r>
    <n v="2079"/>
    <n v="1947"/>
    <x v="4"/>
    <x v="2"/>
    <n v="81044"/>
    <n v="0"/>
    <d v="1899-12-30T00:00:00"/>
    <d v="2013-12-27T00:00:00"/>
    <n v="0"/>
    <n v="26"/>
    <n v="98"/>
    <n v="98"/>
    <n v="10"/>
    <n v="79"/>
    <s v="&gt;50"/>
    <n v="108"/>
    <m/>
    <m/>
    <m/>
    <x v="3"/>
    <m/>
    <n v="13"/>
  </r>
  <r>
    <n v="626"/>
    <n v="1951"/>
    <x v="0"/>
    <x v="2"/>
    <n v="32871"/>
    <n v="1"/>
    <d v="1899-12-31T00:00:00"/>
    <d v="2013-03-09T00:00:00"/>
    <n v="28"/>
    <n v="2"/>
    <n v="2"/>
    <n v="2"/>
    <n v="3"/>
    <n v="75"/>
    <s v="&gt;50"/>
    <n v="5"/>
    <m/>
    <m/>
    <m/>
    <x v="1"/>
    <m/>
    <n v="13"/>
  </r>
  <r>
    <n v="4426"/>
    <n v="1975"/>
    <x v="0"/>
    <x v="0"/>
    <n v="55801"/>
    <n v="1"/>
    <d v="1899-12-31T00:00:00"/>
    <d v="2013-09-22T00:00:00"/>
    <n v="35"/>
    <n v="4"/>
    <n v="4"/>
    <n v="4"/>
    <n v="6"/>
    <n v="51"/>
    <s v="&gt;50"/>
    <n v="10"/>
    <m/>
    <m/>
    <m/>
    <x v="0"/>
    <m/>
    <n v="13"/>
  </r>
  <r>
    <n v="2591"/>
    <n v="1959"/>
    <x v="0"/>
    <x v="4"/>
    <n v="76320"/>
    <n v="0"/>
    <d v="1899-12-31T00:00:00"/>
    <d v="2014-06-22T00:00:00"/>
    <n v="49"/>
    <n v="35"/>
    <n v="53"/>
    <n v="53"/>
    <n v="4"/>
    <n v="67"/>
    <s v="&gt;50"/>
    <n v="57"/>
    <m/>
    <m/>
    <m/>
    <x v="3"/>
    <m/>
    <n v="12"/>
  </r>
  <r>
    <n v="10509"/>
    <n v="1955"/>
    <x v="2"/>
    <x v="0"/>
    <n v="36927"/>
    <n v="1"/>
    <d v="1899-12-31T00:00:00"/>
    <d v="2014-06-02T00:00:00"/>
    <n v="46"/>
    <n v="0"/>
    <n v="0"/>
    <n v="0"/>
    <n v="3"/>
    <n v="71"/>
    <s v="&gt;50"/>
    <n v="3"/>
    <m/>
    <m/>
    <m/>
    <x v="1"/>
    <m/>
    <n v="12"/>
  </r>
  <r>
    <n v="6382"/>
    <n v="1953"/>
    <x v="0"/>
    <x v="1"/>
    <n v="48794"/>
    <n v="1"/>
    <d v="1899-12-31T00:00:00"/>
    <d v="2014-06-26T00:00:00"/>
    <n v="97"/>
    <n v="0"/>
    <n v="0"/>
    <n v="0"/>
    <n v="3"/>
    <n v="73"/>
    <s v="&gt;50"/>
    <n v="3"/>
    <m/>
    <m/>
    <m/>
    <x v="1"/>
    <m/>
    <n v="12"/>
  </r>
  <r>
    <n v="6673"/>
    <n v="1965"/>
    <x v="0"/>
    <x v="0"/>
    <n v="23478"/>
    <n v="0"/>
    <d v="1899-12-30T00:00:00"/>
    <d v="2013-03-19T00:00:00"/>
    <n v="51"/>
    <n v="6"/>
    <n v="17"/>
    <n v="17"/>
    <n v="3"/>
    <n v="61"/>
    <s v="&gt;50"/>
    <n v="20"/>
    <m/>
    <m/>
    <m/>
    <x v="2"/>
    <m/>
    <n v="13"/>
  </r>
  <r>
    <n v="7441"/>
    <n v="1973"/>
    <x v="0"/>
    <x v="3"/>
    <n v="71128"/>
    <n v="1"/>
    <d v="1899-12-30T00:00:00"/>
    <d v="2012-10-06T00:00:00"/>
    <n v="80"/>
    <n v="159"/>
    <n v="0"/>
    <n v="0"/>
    <n v="12"/>
    <n v="53"/>
    <s v="&gt;50"/>
    <n v="12"/>
    <m/>
    <m/>
    <m/>
    <x v="0"/>
    <m/>
    <n v="14"/>
  </r>
  <r>
    <n v="1071"/>
    <n v="1976"/>
    <x v="1"/>
    <x v="3"/>
    <n v="70179"/>
    <n v="0"/>
    <d v="1899-12-31T00:00:00"/>
    <d v="2013-07-21T00:00:00"/>
    <n v="10"/>
    <n v="88"/>
    <n v="44"/>
    <n v="44"/>
    <n v="13"/>
    <n v="50"/>
    <s v="30-50"/>
    <n v="57"/>
    <m/>
    <m/>
    <m/>
    <x v="0"/>
    <m/>
    <n v="13"/>
  </r>
  <r>
    <n v="10061"/>
    <n v="1950"/>
    <x v="0"/>
    <x v="2"/>
    <n v="59462"/>
    <n v="0"/>
    <d v="1899-12-31T00:00:00"/>
    <d v="2013-01-05T00:00:00"/>
    <n v="29"/>
    <n v="17"/>
    <n v="8"/>
    <n v="8"/>
    <n v="12"/>
    <n v="76"/>
    <s v="&gt;50"/>
    <n v="20"/>
    <m/>
    <m/>
    <m/>
    <x v="0"/>
    <m/>
    <n v="13"/>
  </r>
  <r>
    <n v="7187"/>
    <n v="1969"/>
    <x v="2"/>
    <x v="1"/>
    <m/>
    <n v="1"/>
    <d v="1899-12-31T00:00:00"/>
    <d v="2013-05-18T00:00:00"/>
    <n v="52"/>
    <n v="42"/>
    <n v="66"/>
    <n v="66"/>
    <n v="4"/>
    <n v="57"/>
    <s v="&gt;50"/>
    <n v="70"/>
    <m/>
    <m/>
    <m/>
    <x v="2"/>
    <m/>
    <n v="13"/>
  </r>
  <r>
    <n v="8775"/>
    <n v="1969"/>
    <x v="0"/>
    <x v="1"/>
    <n v="38361"/>
    <n v="1"/>
    <d v="1899-12-30T00:00:00"/>
    <d v="2013-12-27T00:00:00"/>
    <n v="74"/>
    <n v="0"/>
    <n v="8"/>
    <n v="8"/>
    <n v="3"/>
    <n v="57"/>
    <s v="&gt;50"/>
    <n v="11"/>
    <m/>
    <m/>
    <m/>
    <x v="1"/>
    <m/>
    <n v="13"/>
  </r>
  <r>
    <n v="1612"/>
    <n v="1981"/>
    <x v="1"/>
    <x v="0"/>
    <m/>
    <n v="1"/>
    <d v="1899-12-30T00:00:00"/>
    <d v="2013-05-31T00:00:00"/>
    <n v="82"/>
    <n v="0"/>
    <n v="2"/>
    <n v="2"/>
    <n v="3"/>
    <n v="45"/>
    <s v="30-50"/>
    <n v="5"/>
    <m/>
    <m/>
    <m/>
    <x v="2"/>
    <m/>
    <n v="13"/>
  </r>
  <r>
    <n v="2345"/>
    <n v="1982"/>
    <x v="1"/>
    <x v="1"/>
    <n v="70038"/>
    <n v="0"/>
    <d v="1899-12-30T00:00:00"/>
    <d v="2013-10-25T00:00:00"/>
    <n v="54"/>
    <n v="54"/>
    <n v="54"/>
    <n v="54"/>
    <n v="8"/>
    <n v="44"/>
    <s v="30-50"/>
    <n v="62"/>
    <m/>
    <m/>
    <m/>
    <x v="0"/>
    <m/>
    <n v="13"/>
  </r>
  <r>
    <n v="322"/>
    <n v="1978"/>
    <x v="0"/>
    <x v="1"/>
    <n v="42554"/>
    <n v="1"/>
    <d v="1899-12-31T00:00:00"/>
    <d v="2013-01-12T00:00:00"/>
    <n v="93"/>
    <n v="1"/>
    <n v="0"/>
    <n v="0"/>
    <n v="3"/>
    <n v="48"/>
    <s v="30-50"/>
    <n v="3"/>
    <m/>
    <m/>
    <m/>
    <x v="1"/>
    <m/>
    <n v="13"/>
  </r>
  <r>
    <n v="10897"/>
    <n v="1974"/>
    <x v="0"/>
    <x v="2"/>
    <n v="67445"/>
    <n v="0"/>
    <d v="1899-12-31T00:00:00"/>
    <d v="2012-08-12T00:00:00"/>
    <n v="63"/>
    <n v="80"/>
    <n v="80"/>
    <n v="80"/>
    <n v="12"/>
    <n v="52"/>
    <s v="&gt;50"/>
    <n v="92"/>
    <m/>
    <m/>
    <m/>
    <x v="0"/>
    <m/>
    <n v="14"/>
  </r>
  <r>
    <n v="123"/>
    <n v="1951"/>
    <x v="0"/>
    <x v="4"/>
    <n v="67046"/>
    <n v="0"/>
    <d v="1899-12-31T00:00:00"/>
    <d v="2013-01-06T00:00:00"/>
    <n v="92"/>
    <n v="35"/>
    <n v="151"/>
    <n v="151"/>
    <n v="4"/>
    <n v="75"/>
    <s v="&gt;50"/>
    <n v="155"/>
    <m/>
    <m/>
    <m/>
    <x v="0"/>
    <m/>
    <n v="13"/>
  </r>
  <r>
    <n v="6103"/>
    <n v="1948"/>
    <x v="0"/>
    <x v="2"/>
    <n v="42192"/>
    <n v="0"/>
    <d v="1899-12-30T00:00:00"/>
    <d v="2013-09-06T00:00:00"/>
    <n v="40"/>
    <n v="15"/>
    <n v="6"/>
    <n v="6"/>
    <n v="3"/>
    <n v="78"/>
    <s v="&gt;50"/>
    <n v="9"/>
    <m/>
    <m/>
    <m/>
    <x v="1"/>
    <m/>
    <n v="13"/>
  </r>
  <r>
    <n v="7899"/>
    <n v="1952"/>
    <x v="1"/>
    <x v="2"/>
    <n v="77610"/>
    <n v="0"/>
    <d v="1899-12-31T00:00:00"/>
    <d v="2012-10-29T00:00:00"/>
    <n v="70"/>
    <n v="33"/>
    <n v="33"/>
    <n v="33"/>
    <n v="4"/>
    <n v="74"/>
    <s v="&gt;50"/>
    <n v="37"/>
    <m/>
    <m/>
    <m/>
    <x v="3"/>
    <m/>
    <n v="14"/>
  </r>
  <r>
    <n v="10500"/>
    <n v="1984"/>
    <x v="0"/>
    <x v="2"/>
    <n v="31761"/>
    <n v="1"/>
    <d v="1899-12-30T00:00:00"/>
    <d v="2014-04-05T00:00:00"/>
    <n v="96"/>
    <n v="1"/>
    <n v="14"/>
    <n v="14"/>
    <n v="4"/>
    <n v="42"/>
    <s v="30-50"/>
    <n v="18"/>
    <m/>
    <m/>
    <m/>
    <x v="1"/>
    <m/>
    <n v="12"/>
  </r>
  <r>
    <n v="1655"/>
    <n v="1979"/>
    <x v="0"/>
    <x v="1"/>
    <n v="34350"/>
    <n v="1"/>
    <d v="1899-12-30T00:00:00"/>
    <d v="2013-10-19T00:00:00"/>
    <n v="81"/>
    <n v="3"/>
    <n v="1"/>
    <n v="1"/>
    <n v="3"/>
    <n v="47"/>
    <s v="30-50"/>
    <n v="4"/>
    <m/>
    <m/>
    <m/>
    <x v="1"/>
    <m/>
    <n v="13"/>
  </r>
  <r>
    <n v="2406"/>
    <n v="1949"/>
    <x v="0"/>
    <x v="1"/>
    <n v="54591"/>
    <n v="0"/>
    <d v="1899-12-31T00:00:00"/>
    <d v="2013-08-05T00:00:00"/>
    <n v="63"/>
    <n v="4"/>
    <n v="9"/>
    <n v="9"/>
    <n v="8"/>
    <n v="77"/>
    <s v="&gt;50"/>
    <n v="17"/>
    <m/>
    <m/>
    <m/>
    <x v="0"/>
    <m/>
    <n v="13"/>
  </r>
  <r>
    <n v="2712"/>
    <n v="1956"/>
    <x v="0"/>
    <x v="2"/>
    <n v="71866"/>
    <n v="0"/>
    <d v="1899-12-31T00:00:00"/>
    <d v="2013-12-25T00:00:00"/>
    <n v="85"/>
    <n v="178"/>
    <n v="39"/>
    <n v="39"/>
    <n v="10"/>
    <n v="70"/>
    <s v="&gt;50"/>
    <n v="49"/>
    <m/>
    <m/>
    <m/>
    <x v="0"/>
    <m/>
    <n v="13"/>
  </r>
  <r>
    <n v="5517"/>
    <n v="1969"/>
    <x v="0"/>
    <x v="2"/>
    <n v="25293"/>
    <n v="1"/>
    <d v="1899-12-30T00:00:00"/>
    <d v="2013-09-15T00:00:00"/>
    <n v="51"/>
    <n v="0"/>
    <n v="2"/>
    <n v="2"/>
    <n v="2"/>
    <n v="57"/>
    <s v="&gt;50"/>
    <n v="4"/>
    <m/>
    <m/>
    <m/>
    <x v="2"/>
    <m/>
    <n v="13"/>
  </r>
  <r>
    <n v="10643"/>
    <n v="1987"/>
    <x v="1"/>
    <x v="0"/>
    <n v="42000"/>
    <n v="0"/>
    <d v="1899-12-30T00:00:00"/>
    <d v="2013-01-10T00:00:00"/>
    <n v="23"/>
    <n v="83"/>
    <n v="59"/>
    <n v="59"/>
    <n v="11"/>
    <n v="39"/>
    <s v="30-50"/>
    <n v="70"/>
    <m/>
    <m/>
    <m/>
    <x v="1"/>
    <m/>
    <n v="13"/>
  </r>
  <r>
    <n v="2254"/>
    <n v="1983"/>
    <x v="0"/>
    <x v="2"/>
    <n v="69520"/>
    <n v="0"/>
    <d v="1899-12-30T00:00:00"/>
    <d v="2013-07-07T00:00:00"/>
    <n v="95"/>
    <n v="120"/>
    <n v="80"/>
    <n v="80"/>
    <n v="5"/>
    <n v="43"/>
    <s v="30-50"/>
    <n v="85"/>
    <m/>
    <m/>
    <m/>
    <x v="0"/>
    <m/>
    <n v="13"/>
  </r>
  <r>
    <n v="10281"/>
    <n v="1970"/>
    <x v="0"/>
    <x v="3"/>
    <n v="64713"/>
    <n v="1"/>
    <d v="1899-12-30T00:00:00"/>
    <d v="2014-02-07T00:00:00"/>
    <n v="11"/>
    <n v="60"/>
    <n v="54"/>
    <n v="54"/>
    <n v="7"/>
    <n v="56"/>
    <s v="&gt;50"/>
    <n v="61"/>
    <m/>
    <m/>
    <m/>
    <x v="0"/>
    <m/>
    <n v="12"/>
  </r>
  <r>
    <n v="6958"/>
    <n v="1977"/>
    <x v="2"/>
    <x v="2"/>
    <n v="27889"/>
    <n v="1"/>
    <d v="1899-12-30T00:00:00"/>
    <d v="2013-07-05T00:00:00"/>
    <n v="42"/>
    <n v="0"/>
    <n v="0"/>
    <n v="0"/>
    <n v="2"/>
    <n v="49"/>
    <s v="30-50"/>
    <n v="2"/>
    <m/>
    <m/>
    <m/>
    <x v="2"/>
    <m/>
    <n v="13"/>
  </r>
  <r>
    <n v="954"/>
    <n v="1960"/>
    <x v="3"/>
    <x v="4"/>
    <n v="22123"/>
    <n v="0"/>
    <d v="1899-12-30T00:00:00"/>
    <d v="2014-03-27T00:00:00"/>
    <n v="77"/>
    <n v="3"/>
    <n v="7"/>
    <n v="7"/>
    <n v="3"/>
    <n v="66"/>
    <s v="&gt;50"/>
    <n v="10"/>
    <m/>
    <m/>
    <m/>
    <x v="2"/>
    <m/>
    <n v="12"/>
  </r>
  <r>
    <n v="5079"/>
    <n v="1971"/>
    <x v="0"/>
    <x v="2"/>
    <m/>
    <n v="1"/>
    <d v="1899-12-31T00:00:00"/>
    <d v="2013-03-03T00:00:00"/>
    <n v="82"/>
    <n v="1"/>
    <n v="0"/>
    <n v="0"/>
    <n v="3"/>
    <n v="55"/>
    <s v="&gt;50"/>
    <n v="3"/>
    <m/>
    <m/>
    <m/>
    <x v="2"/>
    <m/>
    <n v="13"/>
  </r>
  <r>
    <n v="10339"/>
    <n v="1954"/>
    <x v="2"/>
    <x v="1"/>
    <m/>
    <n v="0"/>
    <d v="1899-12-31T00:00:00"/>
    <d v="2013-06-23T00:00:00"/>
    <n v="83"/>
    <n v="0"/>
    <n v="0"/>
    <n v="0"/>
    <n v="4"/>
    <n v="72"/>
    <s v="&gt;50"/>
    <n v="4"/>
    <m/>
    <m/>
    <m/>
    <x v="2"/>
    <m/>
    <n v="13"/>
  </r>
  <r>
    <n v="4643"/>
    <n v="1973"/>
    <x v="0"/>
    <x v="2"/>
    <n v="27803"/>
    <n v="1"/>
    <d v="1899-12-30T00:00:00"/>
    <d v="2012-08-26T00:00:00"/>
    <n v="40"/>
    <n v="26"/>
    <n v="9"/>
    <n v="9"/>
    <n v="4"/>
    <n v="53"/>
    <s v="&gt;50"/>
    <n v="13"/>
    <m/>
    <m/>
    <m/>
    <x v="2"/>
    <m/>
    <n v="14"/>
  </r>
  <r>
    <n v="3117"/>
    <n v="1955"/>
    <x v="0"/>
    <x v="0"/>
    <m/>
    <n v="0"/>
    <d v="1899-12-31T00:00:00"/>
    <d v="2013-10-18T00:00:00"/>
    <n v="95"/>
    <n v="0"/>
    <n v="6"/>
    <n v="6"/>
    <n v="5"/>
    <n v="71"/>
    <s v="&gt;50"/>
    <n v="11"/>
    <m/>
    <m/>
    <m/>
    <x v="2"/>
    <m/>
    <n v="13"/>
  </r>
  <r>
    <n v="6497"/>
    <n v="1960"/>
    <x v="0"/>
    <x v="2"/>
    <n v="51651"/>
    <n v="0"/>
    <d v="1899-12-31T00:00:00"/>
    <d v="2012-11-07T00:00:00"/>
    <n v="32"/>
    <n v="6"/>
    <n v="6"/>
    <n v="6"/>
    <n v="5"/>
    <n v="66"/>
    <s v="&gt;50"/>
    <n v="11"/>
    <m/>
    <m/>
    <m/>
    <x v="0"/>
    <m/>
    <n v="14"/>
  </r>
  <r>
    <n v="5396"/>
    <n v="1988"/>
    <x v="0"/>
    <x v="2"/>
    <n v="68487"/>
    <n v="0"/>
    <d v="1899-12-30T00:00:00"/>
    <d v="2013-01-13T00:00:00"/>
    <n v="48"/>
    <n v="12"/>
    <n v="89"/>
    <n v="89"/>
    <n v="13"/>
    <n v="38"/>
    <s v="30-50"/>
    <n v="102"/>
    <m/>
    <m/>
    <m/>
    <x v="0"/>
    <m/>
    <n v="13"/>
  </r>
  <r>
    <n v="5250"/>
    <n v="1943"/>
    <x v="2"/>
    <x v="4"/>
    <m/>
    <n v="0"/>
    <d v="1899-12-30T00:00:00"/>
    <d v="2013-10-30T00:00:00"/>
    <n v="75"/>
    <n v="126"/>
    <n v="126"/>
    <n v="126"/>
    <n v="11"/>
    <n v="83"/>
    <s v="&gt;50"/>
    <n v="137"/>
    <m/>
    <m/>
    <m/>
    <x v="2"/>
    <m/>
    <n v="13"/>
  </r>
  <r>
    <n v="1052"/>
    <n v="1969"/>
    <x v="0"/>
    <x v="2"/>
    <n v="56796"/>
    <n v="0"/>
    <d v="1899-12-31T00:00:00"/>
    <d v="2013-02-16T00:00:00"/>
    <n v="24"/>
    <n v="38"/>
    <n v="47"/>
    <n v="47"/>
    <n v="7"/>
    <n v="57"/>
    <s v="&gt;50"/>
    <n v="54"/>
    <m/>
    <m/>
    <m/>
    <x v="0"/>
    <m/>
    <n v="13"/>
  </r>
  <r>
    <n v="2802"/>
    <n v="1992"/>
    <x v="4"/>
    <x v="2"/>
    <n v="87000"/>
    <n v="0"/>
    <d v="1899-12-30T00:00:00"/>
    <d v="2012-12-15T00:00:00"/>
    <n v="61"/>
    <n v="25"/>
    <n v="17"/>
    <n v="17"/>
    <n v="7"/>
    <n v="34"/>
    <s v="30-50"/>
    <n v="24"/>
    <m/>
    <m/>
    <m/>
    <x v="3"/>
    <m/>
    <n v="14"/>
  </r>
  <r>
    <n v="6343"/>
    <n v="1959"/>
    <x v="0"/>
    <x v="2"/>
    <n v="79823"/>
    <n v="0"/>
    <d v="1899-12-31T00:00:00"/>
    <d v="2014-03-31T00:00:00"/>
    <n v="6"/>
    <n v="73"/>
    <n v="73"/>
    <n v="73"/>
    <n v="7"/>
    <n v="67"/>
    <s v="&gt;50"/>
    <n v="80"/>
    <m/>
    <m/>
    <m/>
    <x v="3"/>
    <m/>
    <n v="12"/>
  </r>
  <r>
    <n v="6507"/>
    <n v="1980"/>
    <x v="0"/>
    <x v="0"/>
    <n v="30828"/>
    <n v="1"/>
    <d v="1899-12-30T00:00:00"/>
    <d v="2013-10-04T00:00:00"/>
    <n v="16"/>
    <n v="11"/>
    <n v="0"/>
    <n v="0"/>
    <n v="4"/>
    <n v="46"/>
    <s v="30-50"/>
    <n v="4"/>
    <m/>
    <m/>
    <m/>
    <x v="1"/>
    <m/>
    <n v="13"/>
  </r>
  <r>
    <n v="7901"/>
    <n v="1971"/>
    <x v="2"/>
    <x v="2"/>
    <n v="34109"/>
    <n v="0"/>
    <d v="1899-12-31T00:00:00"/>
    <d v="2013-11-06T00:00:00"/>
    <n v="39"/>
    <n v="1"/>
    <n v="1"/>
    <n v="1"/>
    <n v="3"/>
    <n v="55"/>
    <s v="&gt;50"/>
    <n v="4"/>
    <m/>
    <m/>
    <m/>
    <x v="1"/>
    <m/>
    <n v="13"/>
  </r>
  <r>
    <n v="4865"/>
    <n v="1974"/>
    <x v="2"/>
    <x v="3"/>
    <n v="53367"/>
    <n v="1"/>
    <d v="1899-12-31T00:00:00"/>
    <d v="2013-08-31T00:00:00"/>
    <n v="2"/>
    <n v="7"/>
    <n v="3"/>
    <n v="3"/>
    <n v="8"/>
    <n v="52"/>
    <s v="&gt;50"/>
    <n v="11"/>
    <m/>
    <m/>
    <m/>
    <x v="0"/>
    <m/>
    <n v="13"/>
  </r>
  <r>
    <n v="2686"/>
    <n v="1969"/>
    <x v="3"/>
    <x v="1"/>
    <n v="22390"/>
    <n v="0"/>
    <d v="1899-12-30T00:00:00"/>
    <d v="2013-10-21T00:00:00"/>
    <n v="49"/>
    <n v="1"/>
    <n v="1"/>
    <n v="1"/>
    <n v="2"/>
    <n v="57"/>
    <s v="&gt;50"/>
    <n v="3"/>
    <m/>
    <m/>
    <m/>
    <x v="2"/>
    <m/>
    <n v="13"/>
  </r>
  <r>
    <n v="3107"/>
    <n v="1976"/>
    <x v="0"/>
    <x v="1"/>
    <n v="71322"/>
    <n v="0"/>
    <d v="1899-12-31T00:00:00"/>
    <d v="2014-05-02T00:00:00"/>
    <n v="31"/>
    <n v="24"/>
    <n v="15"/>
    <n v="15"/>
    <n v="7"/>
    <n v="50"/>
    <s v="30-50"/>
    <n v="22"/>
    <m/>
    <m/>
    <m/>
    <x v="0"/>
    <m/>
    <n v="12"/>
  </r>
  <r>
    <n v="7734"/>
    <n v="1993"/>
    <x v="0"/>
    <x v="6"/>
    <n v="79244"/>
    <n v="0"/>
    <d v="1899-12-30T00:00:00"/>
    <d v="2012-12-19T00:00:00"/>
    <n v="58"/>
    <n v="102"/>
    <n v="61"/>
    <n v="61"/>
    <n v="7"/>
    <n v="33"/>
    <s v="30-50"/>
    <n v="68"/>
    <m/>
    <m/>
    <m/>
    <x v="3"/>
    <m/>
    <n v="14"/>
  </r>
  <r>
    <n v="1146"/>
    <n v="1949"/>
    <x v="2"/>
    <x v="1"/>
    <n v="49912"/>
    <n v="0"/>
    <d v="1899-12-31T00:00:00"/>
    <d v="2012-09-07T00:00:00"/>
    <n v="5"/>
    <n v="8"/>
    <n v="49"/>
    <n v="49"/>
    <n v="7"/>
    <n v="77"/>
    <s v="&gt;50"/>
    <n v="56"/>
    <m/>
    <m/>
    <m/>
    <x v="1"/>
    <m/>
    <n v="14"/>
  </r>
  <r>
    <n v="11031"/>
    <n v="1950"/>
    <x v="1"/>
    <x v="2"/>
    <n v="48699"/>
    <n v="1"/>
    <d v="1899-12-31T00:00:00"/>
    <d v="2013-05-21T00:00:00"/>
    <n v="90"/>
    <n v="1"/>
    <n v="0"/>
    <n v="0"/>
    <n v="3"/>
    <n v="76"/>
    <s v="&gt;50"/>
    <n v="3"/>
    <m/>
    <m/>
    <m/>
    <x v="1"/>
    <m/>
    <n v="13"/>
  </r>
  <r>
    <n v="7428"/>
    <n v="1975"/>
    <x v="0"/>
    <x v="1"/>
    <n v="80144"/>
    <n v="0"/>
    <d v="1899-12-30T00:00:00"/>
    <d v="2013-09-30T00:00:00"/>
    <n v="47"/>
    <n v="132"/>
    <n v="192"/>
    <n v="192"/>
    <n v="8"/>
    <n v="51"/>
    <s v="&gt;50"/>
    <n v="200"/>
    <m/>
    <m/>
    <m/>
    <x v="3"/>
    <m/>
    <n v="13"/>
  </r>
  <r>
    <n v="975"/>
    <n v="1956"/>
    <x v="0"/>
    <x v="0"/>
    <n v="54252"/>
    <n v="1"/>
    <d v="1899-12-31T00:00:00"/>
    <d v="2013-05-28T00:00:00"/>
    <n v="25"/>
    <n v="4"/>
    <n v="4"/>
    <n v="4"/>
    <n v="5"/>
    <n v="70"/>
    <s v="&gt;50"/>
    <n v="9"/>
    <m/>
    <m/>
    <m/>
    <x v="0"/>
    <m/>
    <n v="13"/>
  </r>
  <r>
    <n v="1103"/>
    <n v="1976"/>
    <x v="2"/>
    <x v="2"/>
    <n v="81929"/>
    <n v="1"/>
    <d v="1899-12-30T00:00:00"/>
    <d v="2012-09-29T00:00:00"/>
    <n v="60"/>
    <n v="55"/>
    <n v="0"/>
    <n v="0"/>
    <n v="10"/>
    <n v="50"/>
    <s v="30-50"/>
    <n v="10"/>
    <m/>
    <m/>
    <m/>
    <x v="3"/>
    <m/>
    <n v="14"/>
  </r>
  <r>
    <n v="3422"/>
    <n v="1975"/>
    <x v="0"/>
    <x v="2"/>
    <n v="76068"/>
    <n v="0"/>
    <d v="1899-12-31T00:00:00"/>
    <d v="2012-11-29T00:00:00"/>
    <n v="67"/>
    <n v="12"/>
    <n v="12"/>
    <n v="12"/>
    <n v="4"/>
    <n v="51"/>
    <s v="&gt;50"/>
    <n v="16"/>
    <m/>
    <m/>
    <m/>
    <x v="3"/>
    <m/>
    <n v="14"/>
  </r>
  <r>
    <n v="1055"/>
    <n v="1976"/>
    <x v="2"/>
    <x v="2"/>
    <n v="53204"/>
    <n v="1"/>
    <d v="1899-12-31T00:00:00"/>
    <d v="2014-03-20T00:00:00"/>
    <n v="40"/>
    <n v="0"/>
    <n v="0"/>
    <n v="0"/>
    <n v="3"/>
    <n v="50"/>
    <s v="30-50"/>
    <n v="3"/>
    <m/>
    <m/>
    <m/>
    <x v="0"/>
    <m/>
    <n v="12"/>
  </r>
  <r>
    <n v="6544"/>
    <n v="1949"/>
    <x v="1"/>
    <x v="1"/>
    <n v="67911"/>
    <n v="0"/>
    <d v="1899-12-31T00:00:00"/>
    <d v="2014-05-22T00:00:00"/>
    <n v="63"/>
    <n v="0"/>
    <n v="28"/>
    <n v="28"/>
    <n v="11"/>
    <n v="77"/>
    <s v="&gt;50"/>
    <n v="39"/>
    <m/>
    <m/>
    <m/>
    <x v="0"/>
    <m/>
    <n v="12"/>
  </r>
  <r>
    <n v="1241"/>
    <n v="1984"/>
    <x v="4"/>
    <x v="2"/>
    <n v="14796"/>
    <n v="1"/>
    <d v="1899-12-30T00:00:00"/>
    <d v="2012-09-17T00:00:00"/>
    <n v="1"/>
    <n v="3"/>
    <n v="4"/>
    <n v="4"/>
    <n v="3"/>
    <n v="42"/>
    <s v="30-50"/>
    <n v="7"/>
    <m/>
    <m/>
    <m/>
    <x v="2"/>
    <m/>
    <n v="14"/>
  </r>
  <r>
    <n v="2909"/>
    <n v="1974"/>
    <x v="1"/>
    <x v="2"/>
    <n v="78128"/>
    <n v="0"/>
    <d v="1899-12-31T00:00:00"/>
    <d v="2014-02-19T00:00:00"/>
    <n v="89"/>
    <n v="24"/>
    <n v="24"/>
    <n v="24"/>
    <n v="6"/>
    <n v="52"/>
    <s v="&gt;50"/>
    <n v="30"/>
    <m/>
    <m/>
    <m/>
    <x v="3"/>
    <m/>
    <n v="12"/>
  </r>
  <r>
    <n v="5802"/>
    <n v="1972"/>
    <x v="3"/>
    <x v="2"/>
    <n v="14188"/>
    <n v="0"/>
    <d v="1899-12-30T00:00:00"/>
    <d v="2013-02-28T00:00:00"/>
    <n v="40"/>
    <n v="7"/>
    <n v="12"/>
    <n v="12"/>
    <n v="4"/>
    <n v="54"/>
    <s v="&gt;50"/>
    <n v="16"/>
    <m/>
    <m/>
    <m/>
    <x v="2"/>
    <m/>
    <n v="13"/>
  </r>
  <r>
    <n v="1407"/>
    <n v="1986"/>
    <x v="3"/>
    <x v="2"/>
    <n v="20425"/>
    <n v="1"/>
    <d v="1899-12-30T00:00:00"/>
    <d v="2012-10-29T00:00:00"/>
    <n v="5"/>
    <n v="12"/>
    <n v="16"/>
    <n v="16"/>
    <n v="3"/>
    <n v="40"/>
    <s v="30-50"/>
    <n v="19"/>
    <m/>
    <m/>
    <m/>
    <x v="2"/>
    <m/>
    <n v="14"/>
  </r>
  <r>
    <n v="6183"/>
    <n v="1962"/>
    <x v="2"/>
    <x v="2"/>
    <n v="58646"/>
    <n v="0"/>
    <d v="1899-12-31T00:00:00"/>
    <d v="2013-06-10T00:00:00"/>
    <n v="3"/>
    <n v="1"/>
    <n v="5"/>
    <n v="5"/>
    <n v="4"/>
    <n v="64"/>
    <s v="&gt;50"/>
    <n v="9"/>
    <m/>
    <m/>
    <m/>
    <x v="0"/>
    <m/>
    <n v="13"/>
  </r>
  <r>
    <n v="340"/>
    <n v="1970"/>
    <x v="0"/>
    <x v="3"/>
    <n v="72967"/>
    <n v="0"/>
    <d v="1899-12-31T00:00:00"/>
    <d v="2012-12-15T00:00:00"/>
    <n v="1"/>
    <n v="35"/>
    <n v="0"/>
    <n v="0"/>
    <n v="8"/>
    <n v="56"/>
    <s v="&gt;50"/>
    <n v="8"/>
    <m/>
    <m/>
    <m/>
    <x v="0"/>
    <m/>
    <n v="14"/>
  </r>
  <r>
    <n v="5991"/>
    <n v="1949"/>
    <x v="2"/>
    <x v="2"/>
    <n v="48150"/>
    <n v="0"/>
    <d v="1899-12-31T00:00:00"/>
    <d v="2013-06-08T00:00:00"/>
    <n v="24"/>
    <n v="2"/>
    <n v="2"/>
    <n v="2"/>
    <n v="4"/>
    <n v="77"/>
    <s v="&gt;50"/>
    <n v="6"/>
    <m/>
    <m/>
    <m/>
    <x v="1"/>
    <m/>
    <n v="13"/>
  </r>
  <r>
    <n v="3104"/>
    <n v="1961"/>
    <x v="0"/>
    <x v="0"/>
    <n v="82332"/>
    <n v="0"/>
    <d v="1899-12-30T00:00:00"/>
    <d v="2012-09-17T00:00:00"/>
    <n v="89"/>
    <n v="59"/>
    <n v="79"/>
    <n v="79"/>
    <n v="12"/>
    <n v="65"/>
    <s v="&gt;50"/>
    <n v="91"/>
    <m/>
    <m/>
    <m/>
    <x v="3"/>
    <m/>
    <n v="14"/>
  </r>
  <r>
    <n v="9729"/>
    <n v="1955"/>
    <x v="0"/>
    <x v="4"/>
    <n v="58275"/>
    <n v="1"/>
    <d v="1899-12-31T00:00:00"/>
    <d v="2013-06-02T00:00:00"/>
    <n v="48"/>
    <n v="10"/>
    <n v="43"/>
    <n v="43"/>
    <n v="7"/>
    <n v="71"/>
    <s v="&gt;50"/>
    <n v="50"/>
    <m/>
    <m/>
    <m/>
    <x v="0"/>
    <m/>
    <n v="13"/>
  </r>
  <r>
    <n v="1008"/>
    <n v="1981"/>
    <x v="1"/>
    <x v="1"/>
    <n v="44953"/>
    <n v="0"/>
    <d v="1899-12-30T00:00:00"/>
    <d v="2012-12-21T00:00:00"/>
    <n v="31"/>
    <n v="17"/>
    <n v="8"/>
    <n v="8"/>
    <n v="13"/>
    <n v="45"/>
    <s v="30-50"/>
    <n v="21"/>
    <m/>
    <m/>
    <m/>
    <x v="1"/>
    <m/>
    <n v="14"/>
  </r>
  <r>
    <n v="11091"/>
    <n v="1953"/>
    <x v="0"/>
    <x v="1"/>
    <n v="34587"/>
    <n v="1"/>
    <d v="1899-12-31T00:00:00"/>
    <d v="2014-05-16T00:00:00"/>
    <n v="68"/>
    <n v="2"/>
    <n v="0"/>
    <n v="0"/>
    <n v="3"/>
    <n v="73"/>
    <s v="&gt;50"/>
    <n v="3"/>
    <m/>
    <m/>
    <m/>
    <x v="1"/>
    <m/>
    <n v="12"/>
  </r>
  <r>
    <n v="3969"/>
    <n v="1974"/>
    <x v="2"/>
    <x v="1"/>
    <n v="43018"/>
    <n v="0"/>
    <d v="1899-12-31T00:00:00"/>
    <d v="2013-11-01T00:00:00"/>
    <n v="46"/>
    <n v="4"/>
    <n v="6"/>
    <n v="6"/>
    <n v="2"/>
    <n v="52"/>
    <s v="&gt;50"/>
    <n v="8"/>
    <m/>
    <m/>
    <m/>
    <x v="1"/>
    <m/>
    <n v="13"/>
  </r>
  <r>
    <n v="1916"/>
    <n v="1954"/>
    <x v="2"/>
    <x v="2"/>
    <n v="45736"/>
    <n v="0"/>
    <d v="1899-12-31T00:00:00"/>
    <d v="2013-07-24T00:00:00"/>
    <n v="92"/>
    <n v="3"/>
    <n v="3"/>
    <n v="3"/>
    <n v="6"/>
    <n v="72"/>
    <s v="&gt;50"/>
    <n v="9"/>
    <m/>
    <m/>
    <m/>
    <x v="1"/>
    <m/>
    <n v="13"/>
  </r>
  <r>
    <n v="9907"/>
    <n v="1969"/>
    <x v="2"/>
    <x v="1"/>
    <n v="66476"/>
    <n v="0"/>
    <d v="1899-12-31T00:00:00"/>
    <d v="2013-12-04T00:00:00"/>
    <n v="80"/>
    <n v="28"/>
    <n v="9"/>
    <n v="9"/>
    <n v="10"/>
    <n v="57"/>
    <s v="&gt;50"/>
    <n v="19"/>
    <m/>
    <m/>
    <m/>
    <x v="0"/>
    <m/>
    <n v="13"/>
  </r>
  <r>
    <n v="87"/>
    <n v="1981"/>
    <x v="4"/>
    <x v="2"/>
    <n v="27733"/>
    <n v="1"/>
    <d v="1899-12-30T00:00:00"/>
    <d v="2013-08-26T00:00:00"/>
    <n v="16"/>
    <n v="7"/>
    <n v="2"/>
    <n v="2"/>
    <n v="3"/>
    <n v="45"/>
    <s v="30-50"/>
    <n v="5"/>
    <m/>
    <m/>
    <m/>
    <x v="2"/>
    <m/>
    <n v="13"/>
  </r>
  <r>
    <n v="8659"/>
    <n v="1952"/>
    <x v="1"/>
    <x v="1"/>
    <n v="69805"/>
    <n v="0"/>
    <d v="1899-12-31T00:00:00"/>
    <d v="2014-01-21T00:00:00"/>
    <n v="50"/>
    <n v="71"/>
    <n v="10"/>
    <n v="10"/>
    <n v="11"/>
    <n v="74"/>
    <s v="&gt;50"/>
    <n v="21"/>
    <m/>
    <m/>
    <m/>
    <x v="0"/>
    <m/>
    <n v="12"/>
  </r>
  <r>
    <n v="6262"/>
    <n v="1962"/>
    <x v="2"/>
    <x v="0"/>
    <n v="72217"/>
    <n v="0"/>
    <d v="1899-12-30T00:00:00"/>
    <d v="2013-04-10T00:00:00"/>
    <n v="93"/>
    <n v="42"/>
    <n v="56"/>
    <n v="56"/>
    <n v="8"/>
    <n v="64"/>
    <s v="&gt;50"/>
    <n v="64"/>
    <m/>
    <m/>
    <m/>
    <x v="0"/>
    <m/>
    <n v="13"/>
  </r>
  <r>
    <n v="6147"/>
    <n v="1971"/>
    <x v="0"/>
    <x v="3"/>
    <n v="25818"/>
    <n v="1"/>
    <d v="1899-12-30T00:00:00"/>
    <d v="2012-10-18T00:00:00"/>
    <n v="51"/>
    <n v="2"/>
    <n v="2"/>
    <n v="2"/>
    <n v="2"/>
    <n v="55"/>
    <s v="&gt;50"/>
    <n v="4"/>
    <m/>
    <m/>
    <m/>
    <x v="2"/>
    <m/>
    <n v="14"/>
  </r>
  <r>
    <n v="8832"/>
    <n v="1976"/>
    <x v="2"/>
    <x v="1"/>
    <n v="37509"/>
    <n v="1"/>
    <d v="1899-12-30T00:00:00"/>
    <d v="2012-09-12T00:00:00"/>
    <n v="24"/>
    <n v="5"/>
    <n v="8"/>
    <n v="8"/>
    <n v="4"/>
    <n v="50"/>
    <s v="30-50"/>
    <n v="12"/>
    <m/>
    <m/>
    <m/>
    <x v="1"/>
    <m/>
    <n v="14"/>
  </r>
  <r>
    <n v="10067"/>
    <n v="1976"/>
    <x v="4"/>
    <x v="1"/>
    <n v="25176"/>
    <n v="1"/>
    <d v="1899-12-31T00:00:00"/>
    <d v="2013-08-10T00:00:00"/>
    <n v="79"/>
    <n v="0"/>
    <n v="0"/>
    <n v="0"/>
    <n v="2"/>
    <n v="50"/>
    <s v="30-50"/>
    <n v="2"/>
    <m/>
    <m/>
    <m/>
    <x v="2"/>
    <m/>
    <n v="13"/>
  </r>
  <r>
    <n v="7532"/>
    <n v="1980"/>
    <x v="0"/>
    <x v="2"/>
    <n v="43586"/>
    <n v="0"/>
    <d v="1899-12-31T00:00:00"/>
    <d v="2012-08-30T00:00:00"/>
    <n v="26"/>
    <n v="2"/>
    <n v="0"/>
    <n v="0"/>
    <n v="4"/>
    <n v="46"/>
    <s v="30-50"/>
    <n v="4"/>
    <m/>
    <m/>
    <m/>
    <x v="1"/>
    <m/>
    <n v="14"/>
  </r>
  <r>
    <n v="4915"/>
    <n v="1956"/>
    <x v="4"/>
    <x v="2"/>
    <n v="53230"/>
    <n v="0"/>
    <d v="1899-12-31T00:00:00"/>
    <d v="2012-08-03T00:00:00"/>
    <n v="86"/>
    <n v="72"/>
    <n v="21"/>
    <n v="21"/>
    <n v="12"/>
    <n v="70"/>
    <s v="&gt;50"/>
    <n v="33"/>
    <m/>
    <m/>
    <m/>
    <x v="0"/>
    <m/>
    <n v="14"/>
  </r>
  <r>
    <n v="2115"/>
    <n v="1957"/>
    <x v="0"/>
    <x v="1"/>
    <n v="50116"/>
    <n v="1"/>
    <d v="1899-12-31T00:00:00"/>
    <d v="2014-06-20T00:00:00"/>
    <n v="68"/>
    <n v="0"/>
    <n v="0"/>
    <n v="0"/>
    <n v="4"/>
    <n v="69"/>
    <s v="&gt;50"/>
    <n v="4"/>
    <m/>
    <m/>
    <m/>
    <x v="0"/>
    <m/>
    <n v="12"/>
  </r>
  <r>
    <n v="2088"/>
    <n v="1972"/>
    <x v="0"/>
    <x v="1"/>
    <n v="84906"/>
    <n v="0"/>
    <d v="1899-12-30T00:00:00"/>
    <d v="2013-10-04T00:00:00"/>
    <n v="98"/>
    <n v="15"/>
    <n v="30"/>
    <n v="30"/>
    <n v="12"/>
    <n v="54"/>
    <s v="&gt;50"/>
    <n v="42"/>
    <m/>
    <m/>
    <m/>
    <x v="3"/>
    <m/>
    <n v="13"/>
  </r>
  <r>
    <n v="2493"/>
    <n v="1966"/>
    <x v="0"/>
    <x v="2"/>
    <n v="61286"/>
    <n v="0"/>
    <d v="1899-12-31T00:00:00"/>
    <d v="2013-08-02T00:00:00"/>
    <n v="34"/>
    <n v="0"/>
    <n v="9"/>
    <n v="9"/>
    <n v="8"/>
    <n v="60"/>
    <s v="&gt;50"/>
    <n v="17"/>
    <m/>
    <m/>
    <m/>
    <x v="0"/>
    <m/>
    <n v="13"/>
  </r>
  <r>
    <n v="6292"/>
    <n v="1986"/>
    <x v="1"/>
    <x v="2"/>
    <n v="82333"/>
    <n v="0"/>
    <d v="1899-12-30T00:00:00"/>
    <d v="2013-03-30T00:00:00"/>
    <n v="60"/>
    <n v="0"/>
    <n v="89"/>
    <n v="89"/>
    <n v="10"/>
    <n v="40"/>
    <s v="30-50"/>
    <n v="99"/>
    <m/>
    <m/>
    <m/>
    <x v="3"/>
    <m/>
    <n v="13"/>
  </r>
  <r>
    <n v="1631"/>
    <n v="1965"/>
    <x v="1"/>
    <x v="1"/>
    <n v="65220"/>
    <n v="0"/>
    <d v="1899-12-30T00:00:00"/>
    <d v="2012-09-03T00:00:00"/>
    <n v="3"/>
    <n v="63"/>
    <n v="25"/>
    <n v="25"/>
    <n v="7"/>
    <n v="61"/>
    <s v="&gt;50"/>
    <n v="32"/>
    <m/>
    <m/>
    <m/>
    <x v="0"/>
    <m/>
    <n v="14"/>
  </r>
  <r>
    <n v="10104"/>
    <n v="1974"/>
    <x v="0"/>
    <x v="1"/>
    <n v="33590"/>
    <n v="2"/>
    <d v="1899-12-31T00:00:00"/>
    <d v="2013-11-03T00:00:00"/>
    <n v="65"/>
    <n v="0"/>
    <n v="0"/>
    <n v="0"/>
    <n v="2"/>
    <n v="52"/>
    <s v="&gt;50"/>
    <n v="2"/>
    <m/>
    <m/>
    <m/>
    <x v="1"/>
    <m/>
    <n v="13"/>
  </r>
  <r>
    <n v="3006"/>
    <n v="1976"/>
    <x v="0"/>
    <x v="3"/>
    <n v="30992"/>
    <n v="1"/>
    <d v="1899-12-30T00:00:00"/>
    <d v="2013-04-22T00:00:00"/>
    <n v="83"/>
    <n v="0"/>
    <n v="3"/>
    <n v="3"/>
    <n v="3"/>
    <n v="50"/>
    <s v="30-50"/>
    <n v="6"/>
    <m/>
    <m/>
    <m/>
    <x v="1"/>
    <m/>
    <n v="13"/>
  </r>
  <r>
    <n v="3919"/>
    <n v="1976"/>
    <x v="2"/>
    <x v="0"/>
    <n v="72309"/>
    <n v="0"/>
    <d v="1899-12-30T00:00:00"/>
    <d v="2013-03-11T00:00:00"/>
    <n v="64"/>
    <n v="0"/>
    <n v="38"/>
    <n v="38"/>
    <n v="8"/>
    <n v="50"/>
    <s v="30-50"/>
    <n v="46"/>
    <m/>
    <m/>
    <m/>
    <x v="0"/>
    <m/>
    <n v="13"/>
  </r>
  <r>
    <n v="11181"/>
    <n v="1949"/>
    <x v="1"/>
    <x v="2"/>
    <n v="156924"/>
    <n v="0"/>
    <d v="1899-12-30T00:00:00"/>
    <d v="2013-08-29T00:00:00"/>
    <n v="85"/>
    <n v="1"/>
    <n v="1"/>
    <n v="1"/>
    <n v="0"/>
    <n v="77"/>
    <s v="&gt;50"/>
    <n v="1"/>
    <m/>
    <m/>
    <m/>
    <x v="4"/>
    <m/>
    <n v="13"/>
  </r>
  <r>
    <n v="642"/>
    <n v="1980"/>
    <x v="3"/>
    <x v="2"/>
    <n v="16005"/>
    <n v="1"/>
    <d v="1899-12-30T00:00:00"/>
    <d v="2012-08-14T00:00:00"/>
    <n v="69"/>
    <n v="3"/>
    <n v="30"/>
    <n v="30"/>
    <n v="2"/>
    <n v="46"/>
    <s v="30-50"/>
    <n v="32"/>
    <m/>
    <m/>
    <m/>
    <x v="2"/>
    <m/>
    <n v="14"/>
  </r>
  <r>
    <n v="4369"/>
    <n v="1957"/>
    <x v="2"/>
    <x v="6"/>
    <n v="65487"/>
    <n v="0"/>
    <d v="1899-12-30T00:00:00"/>
    <d v="2014-01-10T00:00:00"/>
    <n v="48"/>
    <n v="67"/>
    <n v="0"/>
    <n v="0"/>
    <n v="6"/>
    <n v="69"/>
    <s v="&gt;50"/>
    <n v="6"/>
    <m/>
    <m/>
    <m/>
    <x v="0"/>
    <m/>
    <n v="12"/>
  </r>
  <r>
    <n v="10127"/>
    <n v="1965"/>
    <x v="0"/>
    <x v="2"/>
    <n v="58692"/>
    <n v="0"/>
    <d v="1899-12-31T00:00:00"/>
    <d v="2014-04-06T00:00:00"/>
    <n v="21"/>
    <n v="11"/>
    <n v="7"/>
    <n v="7"/>
    <n v="4"/>
    <n v="61"/>
    <s v="&gt;50"/>
    <n v="11"/>
    <m/>
    <m/>
    <m/>
    <x v="0"/>
    <m/>
    <n v="12"/>
  </r>
  <r>
    <n v="271"/>
    <n v="1969"/>
    <x v="0"/>
    <x v="4"/>
    <n v="40590"/>
    <n v="1"/>
    <d v="1899-12-31T00:00:00"/>
    <d v="2013-10-02T00:00:00"/>
    <n v="30"/>
    <n v="0"/>
    <n v="11"/>
    <n v="11"/>
    <n v="3"/>
    <n v="57"/>
    <s v="&gt;50"/>
    <n v="14"/>
    <m/>
    <m/>
    <m/>
    <x v="1"/>
    <m/>
    <n v="13"/>
  </r>
  <r>
    <n v="4973"/>
    <n v="1970"/>
    <x v="0"/>
    <x v="0"/>
    <n v="20587"/>
    <n v="1"/>
    <d v="1899-12-30T00:00:00"/>
    <d v="2014-05-11T00:00:00"/>
    <n v="39"/>
    <n v="3"/>
    <n v="1"/>
    <n v="1"/>
    <n v="2"/>
    <n v="56"/>
    <s v="&gt;50"/>
    <n v="3"/>
    <m/>
    <m/>
    <m/>
    <x v="2"/>
    <m/>
    <n v="12"/>
  </r>
  <r>
    <n v="2948"/>
    <n v="1954"/>
    <x v="2"/>
    <x v="3"/>
    <n v="62637"/>
    <n v="0"/>
    <d v="1899-12-31T00:00:00"/>
    <d v="2014-03-01T00:00:00"/>
    <n v="76"/>
    <n v="12"/>
    <n v="12"/>
    <n v="12"/>
    <n v="5"/>
    <n v="72"/>
    <s v="&gt;50"/>
    <n v="17"/>
    <m/>
    <m/>
    <m/>
    <x v="0"/>
    <m/>
    <n v="12"/>
  </r>
  <r>
    <n v="2715"/>
    <n v="1966"/>
    <x v="2"/>
    <x v="3"/>
    <n v="29435"/>
    <n v="1"/>
    <d v="1899-12-31T00:00:00"/>
    <d v="2012-08-06T00:00:00"/>
    <n v="11"/>
    <n v="3"/>
    <n v="2"/>
    <n v="2"/>
    <n v="2"/>
    <n v="60"/>
    <s v="&gt;50"/>
    <n v="4"/>
    <m/>
    <m/>
    <m/>
    <x v="2"/>
    <m/>
    <n v="14"/>
  </r>
  <r>
    <n v="10432"/>
    <n v="1974"/>
    <x v="0"/>
    <x v="3"/>
    <n v="19346"/>
    <n v="1"/>
    <d v="1899-12-30T00:00:00"/>
    <d v="2014-01-30T00:00:00"/>
    <n v="26"/>
    <n v="0"/>
    <n v="6"/>
    <n v="6"/>
    <n v="3"/>
    <n v="52"/>
    <s v="&gt;50"/>
    <n v="9"/>
    <m/>
    <m/>
    <m/>
    <x v="2"/>
    <m/>
    <n v="12"/>
  </r>
  <r>
    <n v="9216"/>
    <n v="1971"/>
    <x v="0"/>
    <x v="2"/>
    <n v="35788"/>
    <n v="1"/>
    <d v="1899-12-31T00:00:00"/>
    <d v="2014-01-23T00:00:00"/>
    <n v="34"/>
    <n v="2"/>
    <n v="1"/>
    <n v="1"/>
    <n v="3"/>
    <n v="55"/>
    <s v="&gt;50"/>
    <n v="4"/>
    <m/>
    <m/>
    <m/>
    <x v="1"/>
    <m/>
    <n v="12"/>
  </r>
  <r>
    <n v="7124"/>
    <n v="1968"/>
    <x v="0"/>
    <x v="3"/>
    <n v="36997"/>
    <n v="1"/>
    <d v="1899-12-31T00:00:00"/>
    <d v="2013-02-01T00:00:00"/>
    <n v="72"/>
    <n v="4"/>
    <n v="0"/>
    <n v="0"/>
    <n v="4"/>
    <n v="58"/>
    <s v="&gt;50"/>
    <n v="4"/>
    <m/>
    <m/>
    <m/>
    <x v="1"/>
    <m/>
    <n v="13"/>
  </r>
  <r>
    <n v="9727"/>
    <n v="1957"/>
    <x v="0"/>
    <x v="2"/>
    <n v="23539"/>
    <n v="0"/>
    <d v="1899-12-30T00:00:00"/>
    <d v="2014-02-28T00:00:00"/>
    <n v="13"/>
    <n v="24"/>
    <n v="1"/>
    <n v="1"/>
    <n v="4"/>
    <n v="69"/>
    <s v="&gt;50"/>
    <n v="5"/>
    <m/>
    <m/>
    <m/>
    <x v="2"/>
    <m/>
    <n v="12"/>
  </r>
  <r>
    <n v="5136"/>
    <n v="1973"/>
    <x v="0"/>
    <x v="0"/>
    <n v="65333"/>
    <n v="0"/>
    <d v="1899-12-31T00:00:00"/>
    <d v="2014-01-17T00:00:00"/>
    <n v="58"/>
    <n v="7"/>
    <n v="15"/>
    <n v="15"/>
    <n v="8"/>
    <n v="53"/>
    <s v="&gt;50"/>
    <n v="23"/>
    <m/>
    <m/>
    <m/>
    <x v="0"/>
    <m/>
    <n v="12"/>
  </r>
  <r>
    <n v="9790"/>
    <n v="1957"/>
    <x v="0"/>
    <x v="0"/>
    <n v="78499"/>
    <n v="0"/>
    <d v="1899-12-30T00:00:00"/>
    <d v="2013-11-23T00:00:00"/>
    <n v="12"/>
    <n v="72"/>
    <n v="36"/>
    <n v="36"/>
    <n v="4"/>
    <n v="69"/>
    <s v="&gt;50"/>
    <n v="40"/>
    <m/>
    <m/>
    <m/>
    <x v="3"/>
    <m/>
    <n v="13"/>
  </r>
  <r>
    <n v="1818"/>
    <n v="1971"/>
    <x v="1"/>
    <x v="1"/>
    <n v="29732"/>
    <n v="1"/>
    <d v="1899-12-30T00:00:00"/>
    <d v="2014-03-25T00:00:00"/>
    <n v="23"/>
    <n v="0"/>
    <n v="1"/>
    <n v="1"/>
    <n v="2"/>
    <n v="55"/>
    <s v="&gt;50"/>
    <n v="3"/>
    <m/>
    <m/>
    <m/>
    <x v="2"/>
    <m/>
    <n v="12"/>
  </r>
  <r>
    <n v="1100"/>
    <n v="1960"/>
    <x v="2"/>
    <x v="1"/>
    <n v="41275"/>
    <n v="1"/>
    <d v="1900-01-01T00:00:00"/>
    <d v="2014-03-24T00:00:00"/>
    <n v="33"/>
    <n v="4"/>
    <n v="2"/>
    <n v="2"/>
    <n v="3"/>
    <n v="66"/>
    <s v="&gt;50"/>
    <n v="5"/>
    <m/>
    <m/>
    <m/>
    <x v="1"/>
    <m/>
    <n v="12"/>
  </r>
  <r>
    <n v="7873"/>
    <n v="1973"/>
    <x v="1"/>
    <x v="1"/>
    <n v="63516"/>
    <n v="1"/>
    <d v="1899-12-31T00:00:00"/>
    <d v="2013-07-06T00:00:00"/>
    <n v="30"/>
    <n v="11"/>
    <n v="14"/>
    <n v="14"/>
    <n v="7"/>
    <n v="53"/>
    <s v="&gt;50"/>
    <n v="21"/>
    <m/>
    <m/>
    <m/>
    <x v="0"/>
    <m/>
    <n v="13"/>
  </r>
  <r>
    <n v="10609"/>
    <n v="1962"/>
    <x v="1"/>
    <x v="2"/>
    <n v="42769"/>
    <n v="0"/>
    <d v="1899-12-31T00:00:00"/>
    <d v="2013-10-12T00:00:00"/>
    <n v="15"/>
    <n v="0"/>
    <n v="1"/>
    <n v="1"/>
    <n v="4"/>
    <n v="64"/>
    <s v="&gt;50"/>
    <n v="5"/>
    <m/>
    <m/>
    <m/>
    <x v="1"/>
    <m/>
    <n v="13"/>
  </r>
  <r>
    <n v="6950"/>
    <n v="1958"/>
    <x v="2"/>
    <x v="2"/>
    <n v="49572"/>
    <n v="1"/>
    <d v="1899-12-31T00:00:00"/>
    <d v="2013-12-15T00:00:00"/>
    <n v="25"/>
    <n v="1"/>
    <n v="1"/>
    <n v="1"/>
    <n v="3"/>
    <n v="68"/>
    <s v="&gt;50"/>
    <n v="4"/>
    <m/>
    <m/>
    <m/>
    <x v="1"/>
    <m/>
    <n v="13"/>
  </r>
  <r>
    <n v="7233"/>
    <n v="1972"/>
    <x v="0"/>
    <x v="2"/>
    <n v="69209"/>
    <n v="0"/>
    <d v="1899-12-30T00:00:00"/>
    <d v="2012-09-17T00:00:00"/>
    <n v="4"/>
    <n v="32"/>
    <n v="48"/>
    <n v="48"/>
    <n v="6"/>
    <n v="54"/>
    <s v="&gt;50"/>
    <n v="54"/>
    <m/>
    <m/>
    <m/>
    <x v="0"/>
    <m/>
    <n v="14"/>
  </r>
  <r>
    <n v="9481"/>
    <n v="1976"/>
    <x v="0"/>
    <x v="2"/>
    <n v="17148"/>
    <n v="1"/>
    <d v="1899-12-30T00:00:00"/>
    <d v="2014-01-28T00:00:00"/>
    <n v="80"/>
    <n v="9"/>
    <n v="10"/>
    <n v="10"/>
    <n v="3"/>
    <n v="50"/>
    <s v="30-50"/>
    <n v="13"/>
    <m/>
    <m/>
    <m/>
    <x v="2"/>
    <m/>
    <n v="12"/>
  </r>
  <r>
    <n v="7699"/>
    <n v="1969"/>
    <x v="0"/>
    <x v="4"/>
    <n v="40590"/>
    <n v="1"/>
    <d v="1899-12-31T00:00:00"/>
    <d v="2013-10-02T00:00:00"/>
    <n v="30"/>
    <n v="0"/>
    <n v="11"/>
    <n v="11"/>
    <n v="3"/>
    <n v="57"/>
    <s v="&gt;50"/>
    <n v="14"/>
    <m/>
    <m/>
    <m/>
    <x v="1"/>
    <m/>
    <n v="13"/>
  </r>
  <r>
    <n v="2711"/>
    <n v="1976"/>
    <x v="2"/>
    <x v="1"/>
    <n v="30560"/>
    <n v="1"/>
    <d v="1899-12-30T00:00:00"/>
    <d v="2013-06-27T00:00:00"/>
    <n v="6"/>
    <n v="1"/>
    <n v="5"/>
    <n v="5"/>
    <n v="3"/>
    <n v="50"/>
    <s v="30-50"/>
    <n v="8"/>
    <m/>
    <m/>
    <m/>
    <x v="1"/>
    <m/>
    <n v="13"/>
  </r>
  <r>
    <n v="8933"/>
    <n v="1983"/>
    <x v="4"/>
    <x v="2"/>
    <n v="32146"/>
    <n v="1"/>
    <d v="1899-12-30T00:00:00"/>
    <d v="2014-05-12T00:00:00"/>
    <n v="16"/>
    <n v="3"/>
    <n v="7"/>
    <n v="7"/>
    <n v="4"/>
    <n v="43"/>
    <s v="30-50"/>
    <n v="11"/>
    <m/>
    <m/>
    <m/>
    <x v="1"/>
    <m/>
    <n v="12"/>
  </r>
  <r>
    <n v="8726"/>
    <n v="1964"/>
    <x v="4"/>
    <x v="3"/>
    <n v="41713"/>
    <n v="1"/>
    <d v="1899-12-31T00:00:00"/>
    <d v="2014-04-29T00:00:00"/>
    <n v="57"/>
    <n v="8"/>
    <n v="10"/>
    <n v="10"/>
    <n v="4"/>
    <n v="62"/>
    <s v="&gt;50"/>
    <n v="14"/>
    <m/>
    <m/>
    <m/>
    <x v="1"/>
    <m/>
    <n v="12"/>
  </r>
  <r>
    <n v="1515"/>
    <n v="1975"/>
    <x v="2"/>
    <x v="1"/>
    <n v="34176"/>
    <n v="0"/>
    <d v="1899-12-31T00:00:00"/>
    <d v="2014-01-22T00:00:00"/>
    <n v="9"/>
    <n v="2"/>
    <n v="2"/>
    <n v="2"/>
    <n v="3"/>
    <n v="51"/>
    <s v="&gt;50"/>
    <n v="5"/>
    <m/>
    <m/>
    <m/>
    <x v="1"/>
    <m/>
    <n v="12"/>
  </r>
  <r>
    <n v="5186"/>
    <n v="1955"/>
    <x v="1"/>
    <x v="2"/>
    <n v="58482"/>
    <n v="0"/>
    <d v="1899-12-31T00:00:00"/>
    <d v="2014-03-12T00:00:00"/>
    <n v="59"/>
    <n v="7"/>
    <n v="7"/>
    <n v="7"/>
    <n v="9"/>
    <n v="71"/>
    <s v="&gt;50"/>
    <n v="16"/>
    <m/>
    <m/>
    <m/>
    <x v="0"/>
    <m/>
    <n v="12"/>
  </r>
  <r>
    <n v="10157"/>
    <n v="1965"/>
    <x v="0"/>
    <x v="0"/>
    <n v="59686"/>
    <n v="0"/>
    <d v="1899-12-31T00:00:00"/>
    <d v="2014-01-25T00:00:00"/>
    <n v="78"/>
    <n v="15"/>
    <n v="42"/>
    <n v="42"/>
    <n v="6"/>
    <n v="61"/>
    <s v="&gt;50"/>
    <n v="48"/>
    <m/>
    <m/>
    <m/>
    <x v="0"/>
    <m/>
    <n v="12"/>
  </r>
  <r>
    <n v="5667"/>
    <n v="1964"/>
    <x v="1"/>
    <x v="2"/>
    <n v="60896"/>
    <n v="0"/>
    <d v="1899-12-31T00:00:00"/>
    <d v="2012-10-11T00:00:00"/>
    <n v="90"/>
    <n v="30"/>
    <n v="46"/>
    <n v="46"/>
    <n v="4"/>
    <n v="62"/>
    <s v="&gt;50"/>
    <n v="50"/>
    <m/>
    <m/>
    <m/>
    <x v="0"/>
    <m/>
    <n v="14"/>
  </r>
  <r>
    <n v="902"/>
    <n v="1980"/>
    <x v="0"/>
    <x v="1"/>
    <n v="62994"/>
    <n v="1"/>
    <d v="1899-12-30T00:00:00"/>
    <d v="2014-03-04T00:00:00"/>
    <n v="74"/>
    <n v="12"/>
    <n v="12"/>
    <n v="12"/>
    <n v="4"/>
    <n v="46"/>
    <s v="30-50"/>
    <n v="16"/>
    <m/>
    <m/>
    <m/>
    <x v="0"/>
    <m/>
    <n v="12"/>
  </r>
  <r>
    <n v="977"/>
    <n v="1957"/>
    <x v="0"/>
    <x v="1"/>
    <n v="47320"/>
    <n v="0"/>
    <d v="1899-12-31T00:00:00"/>
    <d v="2013-08-01T00:00:00"/>
    <n v="10"/>
    <n v="19"/>
    <n v="15"/>
    <n v="15"/>
    <n v="8"/>
    <n v="69"/>
    <s v="&gt;50"/>
    <n v="23"/>
    <m/>
    <m/>
    <m/>
    <x v="1"/>
    <m/>
    <n v="13"/>
  </r>
  <r>
    <n v="7313"/>
    <n v="1949"/>
    <x v="4"/>
    <x v="4"/>
    <n v="74859"/>
    <n v="0"/>
    <d v="1899-12-30T00:00:00"/>
    <d v="2013-06-03T00:00:00"/>
    <n v="63"/>
    <n v="73"/>
    <n v="102"/>
    <n v="102"/>
    <n v="11"/>
    <n v="77"/>
    <s v="&gt;50"/>
    <n v="113"/>
    <m/>
    <m/>
    <m/>
    <x v="0"/>
    <m/>
    <n v="13"/>
  </r>
  <r>
    <n v="7600"/>
    <n v="1992"/>
    <x v="3"/>
    <x v="0"/>
    <n v="15253"/>
    <n v="1"/>
    <d v="1899-12-30T00:00:00"/>
    <d v="2013-10-28T00:00:00"/>
    <n v="13"/>
    <n v="3"/>
    <n v="1"/>
    <n v="1"/>
    <n v="3"/>
    <n v="34"/>
    <s v="30-50"/>
    <n v="4"/>
    <m/>
    <m/>
    <m/>
    <x v="2"/>
    <m/>
    <n v="13"/>
  </r>
  <r>
    <n v="9706"/>
    <n v="1974"/>
    <x v="1"/>
    <x v="0"/>
    <n v="31560"/>
    <n v="1"/>
    <d v="1899-12-30T00:00:00"/>
    <d v="2013-06-24T00:00:00"/>
    <n v="98"/>
    <n v="1"/>
    <n v="0"/>
    <n v="0"/>
    <n v="3"/>
    <n v="52"/>
    <s v="&gt;50"/>
    <n v="3"/>
    <m/>
    <m/>
    <m/>
    <x v="1"/>
    <m/>
    <n v="13"/>
  </r>
  <r>
    <n v="2429"/>
    <n v="1954"/>
    <x v="0"/>
    <x v="3"/>
    <n v="72071"/>
    <n v="0"/>
    <d v="1899-12-31T00:00:00"/>
    <d v="2013-02-14T00:00:00"/>
    <n v="4"/>
    <n v="69"/>
    <n v="138"/>
    <n v="138"/>
    <n v="8"/>
    <n v="72"/>
    <s v="&gt;50"/>
    <n v="146"/>
    <m/>
    <m/>
    <m/>
    <x v="0"/>
    <m/>
    <n v="13"/>
  </r>
  <r>
    <n v="3520"/>
    <n v="1990"/>
    <x v="2"/>
    <x v="0"/>
    <n v="91172"/>
    <n v="0"/>
    <d v="1899-12-30T00:00:00"/>
    <d v="2013-03-27T00:00:00"/>
    <n v="94"/>
    <n v="28"/>
    <n v="28"/>
    <n v="28"/>
    <n v="7"/>
    <n v="36"/>
    <s v="30-50"/>
    <n v="35"/>
    <m/>
    <m/>
    <m/>
    <x v="3"/>
    <m/>
    <n v="13"/>
  </r>
  <r>
    <n v="10394"/>
    <n v="1984"/>
    <x v="0"/>
    <x v="2"/>
    <n v="90000"/>
    <n v="0"/>
    <d v="1899-12-30T00:00:00"/>
    <d v="2013-12-23T00:00:00"/>
    <n v="91"/>
    <n v="144"/>
    <n v="192"/>
    <n v="192"/>
    <n v="5"/>
    <n v="42"/>
    <s v="30-50"/>
    <n v="197"/>
    <m/>
    <m/>
    <m/>
    <x v="3"/>
    <m/>
    <n v="13"/>
  </r>
  <r>
    <n v="4548"/>
    <n v="1981"/>
    <x v="0"/>
    <x v="0"/>
    <n v="41967"/>
    <n v="1"/>
    <d v="1899-12-31T00:00:00"/>
    <d v="2013-11-23T00:00:00"/>
    <n v="66"/>
    <n v="4"/>
    <n v="2"/>
    <n v="2"/>
    <n v="3"/>
    <n v="45"/>
    <s v="30-50"/>
    <n v="5"/>
    <m/>
    <m/>
    <m/>
    <x v="1"/>
    <m/>
    <n v="13"/>
  </r>
  <r>
    <n v="9362"/>
    <n v="1965"/>
    <x v="0"/>
    <x v="0"/>
    <n v="69263"/>
    <n v="0"/>
    <d v="1899-12-31T00:00:00"/>
    <d v="2014-03-05T00:00:00"/>
    <n v="14"/>
    <n v="5"/>
    <n v="5"/>
    <n v="5"/>
    <n v="7"/>
    <n v="61"/>
    <s v="&gt;50"/>
    <n v="12"/>
    <m/>
    <m/>
    <m/>
    <x v="0"/>
    <m/>
    <n v="12"/>
  </r>
  <r>
    <n v="3968"/>
    <n v="1970"/>
    <x v="4"/>
    <x v="3"/>
    <n v="65706"/>
    <n v="0"/>
    <d v="1899-12-30T00:00:00"/>
    <d v="2013-06-28T00:00:00"/>
    <n v="77"/>
    <n v="10"/>
    <n v="0"/>
    <n v="0"/>
    <n v="12"/>
    <n v="56"/>
    <s v="&gt;50"/>
    <n v="12"/>
    <m/>
    <m/>
    <m/>
    <x v="0"/>
    <m/>
    <n v="13"/>
  </r>
  <r>
    <n v="4084"/>
    <n v="1975"/>
    <x v="0"/>
    <x v="1"/>
    <n v="60934"/>
    <n v="0"/>
    <d v="1899-12-31T00:00:00"/>
    <d v="2014-01-17T00:00:00"/>
    <n v="41"/>
    <n v="155"/>
    <n v="93"/>
    <n v="93"/>
    <n v="11"/>
    <n v="51"/>
    <s v="&gt;50"/>
    <n v="104"/>
    <m/>
    <m/>
    <m/>
    <x v="0"/>
    <m/>
    <n v="12"/>
  </r>
  <r>
    <n v="6721"/>
    <n v="1951"/>
    <x v="0"/>
    <x v="2"/>
    <n v="71965"/>
    <n v="0"/>
    <d v="1899-12-31T00:00:00"/>
    <d v="2013-07-29T00:00:00"/>
    <n v="21"/>
    <n v="19"/>
    <n v="38"/>
    <n v="38"/>
    <n v="5"/>
    <n v="75"/>
    <s v="&gt;50"/>
    <n v="43"/>
    <m/>
    <m/>
    <m/>
    <x v="0"/>
    <m/>
    <n v="13"/>
  </r>
  <r>
    <n v="2829"/>
    <n v="1955"/>
    <x v="0"/>
    <x v="2"/>
    <n v="65210"/>
    <n v="0"/>
    <d v="1899-12-31T00:00:00"/>
    <d v="2014-03-10T00:00:00"/>
    <n v="25"/>
    <n v="0"/>
    <n v="7"/>
    <n v="7"/>
    <n v="8"/>
    <n v="71"/>
    <s v="&gt;50"/>
    <n v="15"/>
    <m/>
    <m/>
    <m/>
    <x v="0"/>
    <m/>
    <n v="12"/>
  </r>
  <r>
    <n v="1772"/>
    <n v="1975"/>
    <x v="1"/>
    <x v="2"/>
    <n v="79174"/>
    <n v="0"/>
    <d v="1899-12-30T00:00:00"/>
    <d v="2013-01-11T00:00:00"/>
    <n v="2"/>
    <n v="37"/>
    <n v="92"/>
    <n v="92"/>
    <n v="7"/>
    <n v="51"/>
    <s v="&gt;50"/>
    <n v="99"/>
    <m/>
    <m/>
    <m/>
    <x v="3"/>
    <m/>
    <n v="13"/>
  </r>
  <r>
    <n v="1544"/>
    <n v="1967"/>
    <x v="2"/>
    <x v="3"/>
    <n v="81380"/>
    <n v="0"/>
    <d v="1899-12-30T00:00:00"/>
    <d v="2012-12-22T00:00:00"/>
    <n v="51"/>
    <n v="68"/>
    <n v="68"/>
    <n v="68"/>
    <n v="10"/>
    <n v="59"/>
    <s v="&gt;50"/>
    <n v="78"/>
    <m/>
    <m/>
    <m/>
    <x v="3"/>
    <m/>
    <n v="14"/>
  </r>
  <r>
    <n v="492"/>
    <n v="1973"/>
    <x v="1"/>
    <x v="7"/>
    <n v="48432"/>
    <n v="0"/>
    <d v="1899-12-31T00:00:00"/>
    <d v="2012-10-18T00:00:00"/>
    <n v="3"/>
    <n v="3"/>
    <n v="3"/>
    <n v="3"/>
    <n v="6"/>
    <n v="53"/>
    <s v="&gt;50"/>
    <n v="9"/>
    <m/>
    <m/>
    <m/>
    <x v="1"/>
    <m/>
    <n v="14"/>
  </r>
  <r>
    <n v="4377"/>
    <n v="1971"/>
    <x v="0"/>
    <x v="2"/>
    <n v="52914"/>
    <n v="0"/>
    <d v="1899-12-31T00:00:00"/>
    <d v="2013-01-07T00:00:00"/>
    <n v="32"/>
    <n v="10"/>
    <n v="10"/>
    <n v="10"/>
    <n v="3"/>
    <n v="55"/>
    <s v="&gt;50"/>
    <n v="13"/>
    <m/>
    <m/>
    <m/>
    <x v="0"/>
    <m/>
    <n v="13"/>
  </r>
  <r>
    <n v="4541"/>
    <n v="1955"/>
    <x v="0"/>
    <x v="1"/>
    <n v="38946"/>
    <n v="0"/>
    <d v="1899-12-31T00:00:00"/>
    <d v="2013-10-24T00:00:00"/>
    <n v="84"/>
    <n v="6"/>
    <n v="6"/>
    <n v="6"/>
    <n v="6"/>
    <n v="71"/>
    <s v="&gt;50"/>
    <n v="12"/>
    <m/>
    <m/>
    <m/>
    <x v="1"/>
    <m/>
    <n v="13"/>
  </r>
  <r>
    <n v="1321"/>
    <n v="1974"/>
    <x v="0"/>
    <x v="2"/>
    <n v="26067"/>
    <n v="1"/>
    <d v="1899-12-30T00:00:00"/>
    <d v="2013-11-04T00:00:00"/>
    <n v="49"/>
    <n v="2"/>
    <n v="2"/>
    <n v="2"/>
    <n v="3"/>
    <n v="52"/>
    <s v="&gt;50"/>
    <n v="5"/>
    <m/>
    <m/>
    <m/>
    <x v="2"/>
    <m/>
    <n v="13"/>
  </r>
  <r>
    <n v="8858"/>
    <n v="1972"/>
    <x v="1"/>
    <x v="2"/>
    <n v="44325"/>
    <n v="0"/>
    <d v="1899-12-31T00:00:00"/>
    <d v="2013-03-07T00:00:00"/>
    <n v="69"/>
    <n v="0"/>
    <n v="0"/>
    <n v="0"/>
    <n v="7"/>
    <n v="54"/>
    <s v="&gt;50"/>
    <n v="7"/>
    <m/>
    <m/>
    <m/>
    <x v="1"/>
    <m/>
    <n v="13"/>
  </r>
  <r>
    <n v="3266"/>
    <n v="1964"/>
    <x v="0"/>
    <x v="2"/>
    <n v="42523"/>
    <n v="0"/>
    <d v="1899-12-30T00:00:00"/>
    <d v="2014-04-23T00:00:00"/>
    <n v="96"/>
    <n v="36"/>
    <n v="26"/>
    <n v="26"/>
    <n v="4"/>
    <n v="62"/>
    <s v="&gt;50"/>
    <n v="30"/>
    <m/>
    <m/>
    <m/>
    <x v="1"/>
    <m/>
    <n v="12"/>
  </r>
  <r>
    <n v="11187"/>
    <n v="1978"/>
    <x v="3"/>
    <x v="0"/>
    <n v="26487"/>
    <n v="1"/>
    <d v="1899-12-30T00:00:00"/>
    <d v="2013-05-20T00:00:00"/>
    <n v="23"/>
    <n v="8"/>
    <n v="14"/>
    <n v="14"/>
    <n v="3"/>
    <n v="48"/>
    <s v="30-50"/>
    <n v="17"/>
    <m/>
    <m/>
    <m/>
    <x v="2"/>
    <m/>
    <n v="13"/>
  </r>
  <r>
    <n v="8207"/>
    <n v="1957"/>
    <x v="4"/>
    <x v="2"/>
    <n v="53233"/>
    <n v="0"/>
    <d v="1899-12-31T00:00:00"/>
    <d v="2014-03-18T00:00:00"/>
    <n v="18"/>
    <n v="0"/>
    <n v="0"/>
    <n v="0"/>
    <n v="3"/>
    <n v="69"/>
    <s v="&gt;50"/>
    <n v="3"/>
    <m/>
    <m/>
    <m/>
    <x v="0"/>
    <m/>
    <n v="12"/>
  </r>
  <r>
    <n v="9723"/>
    <n v="1960"/>
    <x v="0"/>
    <x v="2"/>
    <n v="67716"/>
    <n v="0"/>
    <d v="1899-12-31T00:00:00"/>
    <d v="2013-01-10T00:00:00"/>
    <n v="8"/>
    <n v="142"/>
    <n v="9"/>
    <n v="9"/>
    <n v="13"/>
    <n v="66"/>
    <s v="&gt;50"/>
    <n v="22"/>
    <m/>
    <m/>
    <m/>
    <x v="0"/>
    <m/>
    <n v="13"/>
  </r>
  <r>
    <n v="2666"/>
    <n v="1972"/>
    <x v="2"/>
    <x v="2"/>
    <n v="76234"/>
    <n v="0"/>
    <d v="1899-12-31T00:00:00"/>
    <d v="2014-02-06T00:00:00"/>
    <n v="21"/>
    <n v="50"/>
    <n v="0"/>
    <n v="0"/>
    <n v="11"/>
    <n v="54"/>
    <s v="&gt;50"/>
    <n v="11"/>
    <m/>
    <m/>
    <m/>
    <x v="3"/>
    <m/>
    <n v="12"/>
  </r>
  <r>
    <n v="5721"/>
    <n v="1956"/>
    <x v="1"/>
    <x v="2"/>
    <n v="84117"/>
    <n v="0"/>
    <d v="1899-12-30T00:00:00"/>
    <d v="2014-05-11T00:00:00"/>
    <n v="60"/>
    <n v="76"/>
    <n v="45"/>
    <n v="45"/>
    <n v="6"/>
    <n v="70"/>
    <s v="&gt;50"/>
    <n v="51"/>
    <m/>
    <m/>
    <m/>
    <x v="3"/>
    <m/>
    <n v="12"/>
  </r>
  <r>
    <n v="10652"/>
    <n v="1957"/>
    <x v="2"/>
    <x v="1"/>
    <n v="65487"/>
    <n v="0"/>
    <d v="1899-12-30T00:00:00"/>
    <d v="2014-01-10T00:00:00"/>
    <n v="48"/>
    <n v="67"/>
    <n v="0"/>
    <n v="0"/>
    <n v="6"/>
    <n v="69"/>
    <s v="&gt;50"/>
    <n v="6"/>
    <m/>
    <m/>
    <m/>
    <x v="0"/>
    <m/>
    <n v="12"/>
  </r>
  <r>
    <n v="1646"/>
    <n v="1972"/>
    <x v="3"/>
    <x v="2"/>
    <n v="25224"/>
    <n v="1"/>
    <d v="1899-12-30T00:00:00"/>
    <d v="2014-03-16T00:00:00"/>
    <n v="36"/>
    <n v="9"/>
    <n v="2"/>
    <n v="2"/>
    <n v="3"/>
    <n v="54"/>
    <s v="&gt;50"/>
    <n v="5"/>
    <m/>
    <m/>
    <m/>
    <x v="2"/>
    <m/>
    <n v="12"/>
  </r>
  <r>
    <n v="4418"/>
    <n v="1983"/>
    <x v="2"/>
    <x v="0"/>
    <n v="89616"/>
    <n v="0"/>
    <d v="1899-12-30T00:00:00"/>
    <d v="2013-02-25T00:00:00"/>
    <n v="36"/>
    <n v="47"/>
    <n v="111"/>
    <n v="111"/>
    <n v="12"/>
    <n v="43"/>
    <s v="30-50"/>
    <n v="123"/>
    <m/>
    <m/>
    <m/>
    <x v="3"/>
    <m/>
    <n v="13"/>
  </r>
  <r>
    <n v="2656"/>
    <n v="1971"/>
    <x v="0"/>
    <x v="3"/>
    <n v="40851"/>
    <n v="1"/>
    <d v="1899-12-31T00:00:00"/>
    <d v="2013-02-21T00:00:00"/>
    <n v="63"/>
    <n v="1"/>
    <n v="4"/>
    <n v="4"/>
    <n v="2"/>
    <n v="55"/>
    <s v="&gt;50"/>
    <n v="6"/>
    <m/>
    <m/>
    <m/>
    <x v="1"/>
    <m/>
    <n v="13"/>
  </r>
  <r>
    <n v="7990"/>
    <n v="1947"/>
    <x v="0"/>
    <x v="2"/>
    <n v="27469"/>
    <n v="0"/>
    <d v="1899-12-30T00:00:00"/>
    <d v="2012-08-02T00:00:00"/>
    <n v="2"/>
    <n v="1"/>
    <n v="2"/>
    <n v="2"/>
    <n v="3"/>
    <n v="79"/>
    <s v="&gt;50"/>
    <n v="5"/>
    <m/>
    <m/>
    <m/>
    <x v="2"/>
    <m/>
    <n v="14"/>
  </r>
  <r>
    <n v="8722"/>
    <n v="1957"/>
    <x v="4"/>
    <x v="2"/>
    <n v="82347"/>
    <n v="0"/>
    <d v="1899-12-30T00:00:00"/>
    <d v="2012-11-06T00:00:00"/>
    <n v="38"/>
    <n v="54"/>
    <n v="133"/>
    <n v="133"/>
    <n v="10"/>
    <n v="69"/>
    <s v="&gt;50"/>
    <n v="143"/>
    <m/>
    <m/>
    <m/>
    <x v="3"/>
    <m/>
    <n v="14"/>
  </r>
  <r>
    <n v="7118"/>
    <n v="1957"/>
    <x v="0"/>
    <x v="2"/>
    <n v="73803"/>
    <n v="0"/>
    <d v="1899-12-31T00:00:00"/>
    <d v="2012-08-01T00:00:00"/>
    <n v="61"/>
    <n v="80"/>
    <n v="26"/>
    <n v="26"/>
    <n v="6"/>
    <n v="69"/>
    <s v="&gt;50"/>
    <n v="32"/>
    <m/>
    <m/>
    <m/>
    <x v="0"/>
    <m/>
    <n v="14"/>
  </r>
  <r>
    <n v="2980"/>
    <n v="1952"/>
    <x v="2"/>
    <x v="0"/>
    <n v="8820"/>
    <n v="1"/>
    <d v="1899-12-31T00:00:00"/>
    <d v="2013-03-22T00:00:00"/>
    <n v="52"/>
    <n v="0"/>
    <n v="2"/>
    <n v="2"/>
    <n v="3"/>
    <n v="74"/>
    <s v="&gt;50"/>
    <n v="5"/>
    <m/>
    <m/>
    <m/>
    <x v="2"/>
    <m/>
    <n v="13"/>
  </r>
  <r>
    <n v="1839"/>
    <n v="1974"/>
    <x v="0"/>
    <x v="0"/>
    <n v="43322"/>
    <n v="0"/>
    <d v="1899-12-30T00:00:00"/>
    <d v="2014-04-21T00:00:00"/>
    <n v="25"/>
    <n v="7"/>
    <n v="2"/>
    <n v="2"/>
    <n v="4"/>
    <n v="52"/>
    <s v="&gt;50"/>
    <n v="6"/>
    <m/>
    <m/>
    <m/>
    <x v="1"/>
    <m/>
    <n v="12"/>
  </r>
  <r>
    <n v="10722"/>
    <n v="1973"/>
    <x v="0"/>
    <x v="1"/>
    <n v="55593"/>
    <n v="0"/>
    <d v="1899-12-31T00:00:00"/>
    <d v="2013-08-21T00:00:00"/>
    <n v="63"/>
    <n v="8"/>
    <n v="4"/>
    <n v="4"/>
    <n v="3"/>
    <n v="53"/>
    <s v="&gt;50"/>
    <n v="7"/>
    <m/>
    <m/>
    <m/>
    <x v="0"/>
    <m/>
    <n v="13"/>
  </r>
  <r>
    <n v="2632"/>
    <n v="1954"/>
    <x v="0"/>
    <x v="2"/>
    <n v="50501"/>
    <n v="1"/>
    <d v="1899-12-31T00:00:00"/>
    <d v="2013-06-18T00:00:00"/>
    <n v="10"/>
    <n v="0"/>
    <n v="0"/>
    <n v="0"/>
    <n v="4"/>
    <n v="72"/>
    <s v="&gt;50"/>
    <n v="4"/>
    <m/>
    <m/>
    <m/>
    <x v="0"/>
    <m/>
    <n v="13"/>
  </r>
  <r>
    <n v="9014"/>
    <n v="1975"/>
    <x v="0"/>
    <x v="2"/>
    <n v="37085"/>
    <n v="1"/>
    <d v="1899-12-31T00:00:00"/>
    <d v="2014-06-26T00:00:00"/>
    <n v="65"/>
    <n v="1"/>
    <n v="0"/>
    <n v="0"/>
    <n v="3"/>
    <n v="51"/>
    <s v="&gt;50"/>
    <n v="3"/>
    <m/>
    <m/>
    <m/>
    <x v="1"/>
    <m/>
    <n v="12"/>
  </r>
  <r>
    <n v="7620"/>
    <n v="1990"/>
    <x v="3"/>
    <x v="0"/>
    <n v="16185"/>
    <n v="1"/>
    <d v="1899-12-30T00:00:00"/>
    <d v="2013-08-05T00:00:00"/>
    <n v="71"/>
    <n v="11"/>
    <n v="8"/>
    <n v="8"/>
    <n v="2"/>
    <n v="36"/>
    <s v="30-50"/>
    <n v="10"/>
    <m/>
    <m/>
    <m/>
    <x v="2"/>
    <m/>
    <n v="13"/>
  </r>
  <r>
    <n v="10968"/>
    <n v="1969"/>
    <x v="0"/>
    <x v="0"/>
    <n v="57731"/>
    <n v="0"/>
    <d v="1899-12-31T00:00:00"/>
    <d v="2012-11-23T00:00:00"/>
    <n v="0"/>
    <n v="21"/>
    <n v="8"/>
    <n v="8"/>
    <n v="6"/>
    <n v="57"/>
    <s v="&gt;50"/>
    <n v="14"/>
    <m/>
    <m/>
    <m/>
    <x v="0"/>
    <m/>
    <n v="14"/>
  </r>
  <r>
    <n v="11133"/>
    <n v="1973"/>
    <x v="1"/>
    <x v="7"/>
    <n v="48432"/>
    <n v="0"/>
    <d v="1899-12-31T00:00:00"/>
    <d v="2012-10-18T00:00:00"/>
    <n v="3"/>
    <n v="3"/>
    <n v="3"/>
    <n v="3"/>
    <n v="6"/>
    <n v="53"/>
    <s v="&gt;50"/>
    <n v="9"/>
    <m/>
    <m/>
    <m/>
    <x v="1"/>
    <m/>
    <n v="14"/>
  </r>
  <r>
    <n v="2736"/>
    <n v="1978"/>
    <x v="0"/>
    <x v="2"/>
    <n v="73807"/>
    <n v="0"/>
    <d v="1899-12-31T00:00:00"/>
    <d v="2013-01-02T00:00:00"/>
    <n v="88"/>
    <n v="124"/>
    <n v="78"/>
    <n v="78"/>
    <n v="11"/>
    <n v="48"/>
    <s v="30-50"/>
    <n v="89"/>
    <m/>
    <m/>
    <m/>
    <x v="0"/>
    <m/>
    <n v="13"/>
  </r>
  <r>
    <n v="1876"/>
    <n v="1990"/>
    <x v="0"/>
    <x v="2"/>
    <n v="18929"/>
    <n v="0"/>
    <d v="1899-12-30T00:00:00"/>
    <d v="2013-02-16T00:00:00"/>
    <n v="15"/>
    <n v="0"/>
    <n v="4"/>
    <n v="4"/>
    <n v="4"/>
    <n v="36"/>
    <s v="30-50"/>
    <n v="8"/>
    <m/>
    <m/>
    <m/>
    <x v="2"/>
    <m/>
    <n v="13"/>
  </r>
  <r>
    <n v="5959"/>
    <n v="1968"/>
    <x v="0"/>
    <x v="0"/>
    <n v="35893"/>
    <n v="1"/>
    <d v="1899-12-31T00:00:00"/>
    <d v="2012-10-15T00:00:00"/>
    <n v="80"/>
    <n v="0"/>
    <n v="0"/>
    <n v="0"/>
    <n v="5"/>
    <n v="58"/>
    <s v="&gt;50"/>
    <n v="5"/>
    <m/>
    <m/>
    <m/>
    <x v="1"/>
    <m/>
    <n v="14"/>
  </r>
  <r>
    <n v="1092"/>
    <n v="1980"/>
    <x v="0"/>
    <x v="2"/>
    <n v="61014"/>
    <n v="0"/>
    <d v="1899-12-31T00:00:00"/>
    <d v="2012-08-11T00:00:00"/>
    <n v="17"/>
    <n v="129"/>
    <n v="43"/>
    <n v="43"/>
    <n v="4"/>
    <n v="46"/>
    <s v="30-50"/>
    <n v="47"/>
    <m/>
    <m/>
    <m/>
    <x v="0"/>
    <m/>
    <n v="14"/>
  </r>
  <r>
    <n v="4333"/>
    <n v="1954"/>
    <x v="0"/>
    <x v="1"/>
    <n v="32144"/>
    <n v="1"/>
    <d v="1899-12-31T00:00:00"/>
    <d v="2014-03-23T00:00:00"/>
    <n v="76"/>
    <n v="0"/>
    <n v="0"/>
    <n v="0"/>
    <n v="3"/>
    <n v="72"/>
    <s v="&gt;50"/>
    <n v="3"/>
    <m/>
    <m/>
    <m/>
    <x v="1"/>
    <m/>
    <n v="12"/>
  </r>
  <r>
    <n v="3850"/>
    <n v="1963"/>
    <x v="3"/>
    <x v="1"/>
    <n v="14918"/>
    <n v="0"/>
    <d v="1899-12-31T00:00:00"/>
    <d v="2012-12-07T00:00:00"/>
    <n v="52"/>
    <n v="3"/>
    <n v="4"/>
    <n v="4"/>
    <n v="3"/>
    <n v="63"/>
    <s v="&gt;50"/>
    <n v="7"/>
    <m/>
    <m/>
    <m/>
    <x v="2"/>
    <m/>
    <n v="14"/>
  </r>
  <r>
    <n v="6168"/>
    <n v="1963"/>
    <x v="0"/>
    <x v="3"/>
    <n v="45146"/>
    <n v="1"/>
    <d v="1899-12-31T00:00:00"/>
    <d v="2013-07-15T00:00:00"/>
    <n v="28"/>
    <n v="0"/>
    <n v="0"/>
    <n v="0"/>
    <n v="2"/>
    <n v="63"/>
    <s v="&gt;50"/>
    <n v="2"/>
    <m/>
    <m/>
    <m/>
    <x v="1"/>
    <m/>
    <n v="13"/>
  </r>
  <r>
    <n v="607"/>
    <n v="1955"/>
    <x v="4"/>
    <x v="3"/>
    <n v="41769"/>
    <n v="0"/>
    <d v="1899-12-31T00:00:00"/>
    <d v="2013-02-13T00:00:00"/>
    <n v="31"/>
    <n v="29"/>
    <n v="0"/>
    <n v="0"/>
    <n v="7"/>
    <n v="71"/>
    <s v="&gt;50"/>
    <n v="7"/>
    <m/>
    <m/>
    <m/>
    <x v="1"/>
    <m/>
    <n v="13"/>
  </r>
  <r>
    <n v="10469"/>
    <n v="1981"/>
    <x v="0"/>
    <x v="1"/>
    <n v="88325"/>
    <n v="0"/>
    <d v="1899-12-30T00:00:00"/>
    <d v="2014-02-05T00:00:00"/>
    <n v="42"/>
    <n v="71"/>
    <n v="27"/>
    <n v="27"/>
    <n v="9"/>
    <n v="45"/>
    <s v="30-50"/>
    <n v="36"/>
    <m/>
    <m/>
    <m/>
    <x v="3"/>
    <m/>
    <n v="12"/>
  </r>
  <r>
    <n v="6983"/>
    <n v="1950"/>
    <x v="2"/>
    <x v="3"/>
    <n v="38054"/>
    <n v="1"/>
    <d v="1899-12-31T00:00:00"/>
    <d v="2014-05-01T00:00:00"/>
    <n v="24"/>
    <n v="2"/>
    <n v="1"/>
    <n v="1"/>
    <n v="3"/>
    <n v="76"/>
    <s v="&gt;50"/>
    <n v="4"/>
    <m/>
    <m/>
    <m/>
    <x v="1"/>
    <m/>
    <n v="12"/>
  </r>
  <r>
    <n v="3661"/>
    <n v="1995"/>
    <x v="4"/>
    <x v="0"/>
    <n v="80617"/>
    <n v="0"/>
    <d v="1899-12-30T00:00:00"/>
    <d v="2012-10-12T00:00:00"/>
    <n v="42"/>
    <n v="51"/>
    <n v="55"/>
    <n v="55"/>
    <n v="8"/>
    <n v="31"/>
    <s v="30-50"/>
    <n v="63"/>
    <m/>
    <m/>
    <m/>
    <x v="3"/>
    <m/>
    <n v="14"/>
  </r>
  <r>
    <n v="9303"/>
    <n v="1976"/>
    <x v="0"/>
    <x v="2"/>
    <n v="5305"/>
    <n v="0"/>
    <d v="1899-12-31T00:00:00"/>
    <d v="2013-07-30T00:00:00"/>
    <n v="12"/>
    <n v="4"/>
    <n v="3"/>
    <n v="3"/>
    <n v="0"/>
    <n v="50"/>
    <s v="30-50"/>
    <n v="3"/>
    <m/>
    <m/>
    <m/>
    <x v="2"/>
    <m/>
    <n v="13"/>
  </r>
  <r>
    <n v="692"/>
    <n v="1954"/>
    <x v="0"/>
    <x v="1"/>
    <n v="36807"/>
    <n v="1"/>
    <d v="1899-12-31T00:00:00"/>
    <d v="2012-12-20T00:00:00"/>
    <n v="88"/>
    <n v="2"/>
    <n v="0"/>
    <n v="0"/>
    <n v="2"/>
    <n v="72"/>
    <s v="&gt;50"/>
    <n v="2"/>
    <m/>
    <m/>
    <m/>
    <x v="1"/>
    <m/>
    <n v="14"/>
  </r>
  <r>
    <n v="736"/>
    <n v="1983"/>
    <x v="0"/>
    <x v="1"/>
    <n v="28427"/>
    <n v="1"/>
    <d v="1899-12-30T00:00:00"/>
    <d v="2013-03-21T00:00:00"/>
    <n v="67"/>
    <n v="3"/>
    <n v="3"/>
    <n v="3"/>
    <n v="3"/>
    <n v="43"/>
    <s v="30-50"/>
    <n v="6"/>
    <m/>
    <m/>
    <m/>
    <x v="2"/>
    <m/>
    <n v="13"/>
  </r>
  <r>
    <n v="9589"/>
    <n v="1948"/>
    <x v="1"/>
    <x v="4"/>
    <n v="82032"/>
    <n v="0"/>
    <d v="1899-12-30T00:00:00"/>
    <d v="2014-04-05T00:00:00"/>
    <n v="54"/>
    <n v="194"/>
    <n v="125"/>
    <n v="125"/>
    <n v="7"/>
    <n v="78"/>
    <s v="&gt;50"/>
    <n v="132"/>
    <m/>
    <m/>
    <m/>
    <x v="3"/>
    <m/>
    <n v="12"/>
  </r>
  <r>
    <n v="4838"/>
    <n v="1978"/>
    <x v="0"/>
    <x v="1"/>
    <n v="22775"/>
    <n v="1"/>
    <d v="1899-12-30T00:00:00"/>
    <d v="2013-06-19T00:00:00"/>
    <n v="40"/>
    <n v="1"/>
    <n v="0"/>
    <n v="0"/>
    <n v="2"/>
    <n v="48"/>
    <s v="30-50"/>
    <n v="2"/>
    <m/>
    <m/>
    <m/>
    <x v="2"/>
    <m/>
    <n v="13"/>
  </r>
  <r>
    <n v="9246"/>
    <n v="1985"/>
    <x v="2"/>
    <x v="1"/>
    <n v="40101"/>
    <n v="1"/>
    <d v="1899-12-30T00:00:00"/>
    <d v="2012-10-14T00:00:00"/>
    <n v="73"/>
    <n v="3"/>
    <n v="24"/>
    <n v="24"/>
    <n v="6"/>
    <n v="41"/>
    <s v="30-50"/>
    <n v="30"/>
    <m/>
    <m/>
    <m/>
    <x v="1"/>
    <m/>
    <n v="14"/>
  </r>
  <r>
    <n v="6261"/>
    <n v="1979"/>
    <x v="0"/>
    <x v="2"/>
    <n v="58025"/>
    <n v="0"/>
    <d v="1899-12-31T00:00:00"/>
    <d v="2013-11-26T00:00:00"/>
    <n v="81"/>
    <n v="31"/>
    <n v="48"/>
    <n v="48"/>
    <n v="10"/>
    <n v="47"/>
    <s v="30-50"/>
    <n v="58"/>
    <m/>
    <m/>
    <m/>
    <x v="0"/>
    <m/>
    <n v="13"/>
  </r>
  <r>
    <n v="7366"/>
    <n v="1982"/>
    <x v="2"/>
    <x v="0"/>
    <n v="75777"/>
    <n v="0"/>
    <d v="1899-12-30T00:00:00"/>
    <d v="2013-07-04T00:00:00"/>
    <n v="12"/>
    <n v="26"/>
    <n v="13"/>
    <n v="13"/>
    <n v="11"/>
    <n v="44"/>
    <s v="30-50"/>
    <n v="24"/>
    <m/>
    <m/>
    <m/>
    <x v="3"/>
    <m/>
    <n v="13"/>
  </r>
  <r>
    <n v="10659"/>
    <n v="1979"/>
    <x v="4"/>
    <x v="1"/>
    <n v="7500"/>
    <n v="1"/>
    <d v="1899-12-30T00:00:00"/>
    <d v="2013-05-07T00:00:00"/>
    <n v="7"/>
    <n v="8"/>
    <n v="8"/>
    <n v="8"/>
    <n v="2"/>
    <n v="47"/>
    <s v="30-50"/>
    <n v="10"/>
    <m/>
    <m/>
    <m/>
    <x v="2"/>
    <m/>
    <n v="13"/>
  </r>
  <r>
    <n v="1448"/>
    <n v="1963"/>
    <x v="2"/>
    <x v="2"/>
    <n v="33562"/>
    <n v="1"/>
    <d v="1900-01-01T00:00:00"/>
    <d v="2014-06-25T00:00:00"/>
    <n v="33"/>
    <n v="12"/>
    <n v="3"/>
    <n v="3"/>
    <n v="4"/>
    <n v="63"/>
    <s v="&gt;50"/>
    <n v="7"/>
    <m/>
    <m/>
    <m/>
    <x v="1"/>
    <m/>
    <n v="12"/>
  </r>
  <r>
    <n v="4286"/>
    <n v="1970"/>
    <x v="1"/>
    <x v="0"/>
    <n v="57642"/>
    <n v="0"/>
    <d v="1899-12-31T00:00:00"/>
    <d v="2014-01-09T00:00:00"/>
    <n v="24"/>
    <n v="6"/>
    <n v="0"/>
    <n v="0"/>
    <n v="6"/>
    <n v="56"/>
    <s v="&gt;50"/>
    <n v="6"/>
    <m/>
    <m/>
    <m/>
    <x v="0"/>
    <m/>
    <n v="12"/>
  </r>
  <r>
    <n v="4749"/>
    <n v="1968"/>
    <x v="0"/>
    <x v="1"/>
    <n v="58554"/>
    <n v="1"/>
    <d v="1899-12-31T00:00:00"/>
    <d v="2012-09-26T00:00:00"/>
    <n v="55"/>
    <n v="24"/>
    <n v="0"/>
    <n v="0"/>
    <n v="6"/>
    <n v="58"/>
    <s v="&gt;50"/>
    <n v="6"/>
    <m/>
    <m/>
    <m/>
    <x v="0"/>
    <m/>
    <n v="14"/>
  </r>
  <r>
    <n v="4478"/>
    <n v="1979"/>
    <x v="0"/>
    <x v="2"/>
    <n v="63777"/>
    <n v="1"/>
    <d v="1899-12-31T00:00:00"/>
    <d v="2013-03-24T00:00:00"/>
    <n v="87"/>
    <n v="5"/>
    <n v="17"/>
    <n v="17"/>
    <n v="6"/>
    <n v="47"/>
    <s v="30-50"/>
    <n v="23"/>
    <m/>
    <m/>
    <m/>
    <x v="0"/>
    <m/>
    <n v="13"/>
  </r>
  <r>
    <n v="4201"/>
    <n v="1962"/>
    <x v="0"/>
    <x v="0"/>
    <n v="57967"/>
    <n v="0"/>
    <d v="1899-12-31T00:00:00"/>
    <d v="2013-03-03T00:00:00"/>
    <n v="39"/>
    <n v="7"/>
    <n v="0"/>
    <n v="0"/>
    <n v="8"/>
    <n v="64"/>
    <s v="&gt;50"/>
    <n v="8"/>
    <m/>
    <m/>
    <m/>
    <x v="0"/>
    <m/>
    <n v="13"/>
  </r>
  <r>
    <n v="8720"/>
    <n v="1978"/>
    <x v="4"/>
    <x v="1"/>
    <m/>
    <n v="0"/>
    <d v="1899-12-30T00:00:00"/>
    <d v="2012-08-12T00:00:00"/>
    <n v="53"/>
    <n v="2"/>
    <n v="4"/>
    <n v="4"/>
    <n v="1"/>
    <n v="48"/>
    <s v="30-50"/>
    <n v="5"/>
    <m/>
    <m/>
    <m/>
    <x v="2"/>
    <m/>
    <n v="14"/>
  </r>
  <r>
    <n v="10084"/>
    <n v="1972"/>
    <x v="0"/>
    <x v="2"/>
    <n v="24434"/>
    <n v="2"/>
    <d v="1899-12-30T00:00:00"/>
    <d v="2014-05-18T00:00:00"/>
    <n v="9"/>
    <n v="2"/>
    <n v="0"/>
    <n v="0"/>
    <n v="2"/>
    <n v="54"/>
    <s v="&gt;50"/>
    <n v="2"/>
    <m/>
    <m/>
    <m/>
    <x v="2"/>
    <m/>
    <n v="12"/>
  </r>
  <r>
    <n v="7004"/>
    <n v="1984"/>
    <x v="0"/>
    <x v="0"/>
    <n v="11012"/>
    <n v="1"/>
    <d v="1899-12-30T00:00:00"/>
    <d v="2013-03-16T00:00:00"/>
    <n v="82"/>
    <n v="3"/>
    <n v="1"/>
    <n v="1"/>
    <n v="2"/>
    <n v="42"/>
    <s v="30-50"/>
    <n v="3"/>
    <m/>
    <m/>
    <m/>
    <x v="2"/>
    <m/>
    <n v="13"/>
  </r>
  <r>
    <n v="9817"/>
    <n v="1970"/>
    <x v="2"/>
    <x v="0"/>
    <n v="44802"/>
    <n v="0"/>
    <d v="1899-12-30T00:00:00"/>
    <d v="2012-08-21T00:00:00"/>
    <n v="71"/>
    <n v="10"/>
    <n v="10"/>
    <n v="10"/>
    <n v="12"/>
    <n v="56"/>
    <s v="&gt;50"/>
    <n v="22"/>
    <m/>
    <m/>
    <m/>
    <x v="1"/>
    <m/>
    <n v="14"/>
  </r>
  <r>
    <n v="8080"/>
    <n v="1986"/>
    <x v="0"/>
    <x v="0"/>
    <n v="26816"/>
    <n v="0"/>
    <d v="1899-12-30T00:00:00"/>
    <d v="2012-08-17T00:00:00"/>
    <n v="50"/>
    <n v="1"/>
    <n v="4"/>
    <n v="4"/>
    <n v="3"/>
    <n v="40"/>
    <s v="30-50"/>
    <n v="7"/>
    <m/>
    <m/>
    <m/>
    <x v="2"/>
    <m/>
    <n v="14"/>
  </r>
  <r>
    <n v="9432"/>
    <n v="1977"/>
    <x v="0"/>
    <x v="1"/>
    <n v="666666"/>
    <n v="1"/>
    <d v="1899-12-30T00:00:00"/>
    <d v="2013-06-02T00:00:00"/>
    <n v="23"/>
    <n v="14"/>
    <n v="1"/>
    <n v="1"/>
    <n v="3"/>
    <n v="49"/>
    <s v="30-50"/>
    <n v="4"/>
    <m/>
    <m/>
    <m/>
    <x v="4"/>
    <m/>
    <n v="13"/>
  </r>
  <r>
    <n v="8372"/>
    <n v="1974"/>
    <x v="0"/>
    <x v="2"/>
    <n v="34421"/>
    <n v="1"/>
    <d v="1899-12-30T00:00:00"/>
    <d v="2013-07-01T00:00:00"/>
    <n v="81"/>
    <n v="3"/>
    <n v="2"/>
    <n v="2"/>
    <n v="2"/>
    <n v="52"/>
    <s v="&gt;50"/>
    <n v="4"/>
    <m/>
    <m/>
    <m/>
    <x v="1"/>
    <m/>
    <n v="13"/>
  </r>
  <r>
    <n v="10870"/>
    <n v="1967"/>
    <x v="0"/>
    <x v="2"/>
    <n v="61223"/>
    <n v="0"/>
    <d v="1899-12-31T00:00:00"/>
    <d v="2013-06-13T00:00:00"/>
    <n v="46"/>
    <n v="43"/>
    <n v="118"/>
    <n v="118"/>
    <n v="4"/>
    <n v="59"/>
    <s v="&gt;50"/>
    <n v="122"/>
    <m/>
    <m/>
    <m/>
    <x v="0"/>
    <m/>
    <n v="13"/>
  </r>
  <r>
    <n v="4001"/>
    <n v="1946"/>
    <x v="1"/>
    <x v="1"/>
    <n v="64014"/>
    <n v="2"/>
    <d v="1899-12-31T00:00:00"/>
    <d v="2014-06-10T00:00:00"/>
    <n v="56"/>
    <n v="0"/>
    <n v="0"/>
    <n v="0"/>
    <n v="5"/>
    <n v="80"/>
    <s v="&gt;50"/>
    <n v="5"/>
    <m/>
    <m/>
    <m/>
    <x v="0"/>
    <m/>
    <n v="12"/>
  </r>
  <r>
    <n v="7270"/>
    <n v="1981"/>
    <x v="0"/>
    <x v="3"/>
    <n v="56981"/>
    <n v="0"/>
    <d v="1899-12-30T00:00:00"/>
    <d v="2014-01-25T00:00:00"/>
    <n v="91"/>
    <n v="48"/>
    <n v="12"/>
    <n v="12"/>
    <n v="13"/>
    <n v="45"/>
    <s v="30-50"/>
    <n v="25"/>
    <m/>
    <m/>
    <m/>
    <x v="0"/>
    <m/>
    <n v="12"/>
  </r>
  <r>
    <n v="8235"/>
    <n v="1956"/>
    <x v="2"/>
    <x v="1"/>
    <n v="69245"/>
    <n v="0"/>
    <d v="1899-12-31T00:00:00"/>
    <d v="2014-01-24T00:00:00"/>
    <n v="8"/>
    <n v="30"/>
    <n v="30"/>
    <n v="30"/>
    <n v="10"/>
    <n v="70"/>
    <s v="&gt;50"/>
    <n v="40"/>
    <m/>
    <m/>
    <m/>
    <x v="0"/>
    <m/>
    <n v="12"/>
  </r>
  <r>
    <n v="9405"/>
    <n v="1954"/>
    <x v="1"/>
    <x v="2"/>
    <n v="52869"/>
    <n v="1"/>
    <d v="1899-12-31T00:00:00"/>
    <d v="2012-10-15T00:00:00"/>
    <n v="40"/>
    <n v="3"/>
    <n v="1"/>
    <n v="1"/>
    <n v="4"/>
    <n v="72"/>
    <s v="&gt;50"/>
    <n v="5"/>
    <m/>
    <m/>
    <m/>
    <x v="0"/>
    <m/>
    <n v="1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5524"/>
    <x v="0"/>
    <x v="0"/>
    <x v="0"/>
    <x v="0"/>
    <x v="0"/>
    <d v="1899-12-30T00:00:00"/>
    <d v="2012-09-04T00:00:00"/>
    <n v="58"/>
    <n v="88"/>
    <n v="88"/>
    <n v="88"/>
    <n v="4"/>
    <n v="69"/>
    <x v="0"/>
    <n v="92"/>
    <x v="0"/>
    <n v="60621"/>
    <x v="0"/>
    <x v="0"/>
    <x v="0"/>
    <n v="14"/>
    <x v="0"/>
  </r>
  <r>
    <n v="2174"/>
    <x v="1"/>
    <x v="0"/>
    <x v="0"/>
    <x v="1"/>
    <x v="1"/>
    <d v="1899-12-31T00:00:00"/>
    <d v="2014-03-08T00:00:00"/>
    <n v="38"/>
    <n v="1"/>
    <n v="1"/>
    <n v="1"/>
    <n v="2"/>
    <n v="72"/>
    <x v="0"/>
    <n v="3"/>
    <x v="1"/>
    <n v="58917"/>
    <x v="0"/>
    <x v="1"/>
    <x v="0"/>
    <n v="12"/>
    <x v="0"/>
  </r>
  <r>
    <n v="4141"/>
    <x v="2"/>
    <x v="0"/>
    <x v="1"/>
    <x v="2"/>
    <x v="0"/>
    <d v="1899-12-30T00:00:00"/>
    <d v="2013-08-21T00:00:00"/>
    <n v="26"/>
    <n v="49"/>
    <n v="21"/>
    <n v="21"/>
    <n v="10"/>
    <n v="61"/>
    <x v="0"/>
    <n v="31"/>
    <x v="2"/>
    <n v="119538"/>
    <x v="0"/>
    <x v="0"/>
    <x v="0"/>
    <n v="13"/>
    <x v="0"/>
  </r>
  <r>
    <n v="6182"/>
    <x v="3"/>
    <x v="0"/>
    <x v="1"/>
    <x v="3"/>
    <x v="1"/>
    <d v="1899-12-30T00:00:00"/>
    <d v="2014-02-10T00:00:00"/>
    <n v="26"/>
    <n v="4"/>
    <n v="3"/>
    <n v="3"/>
    <n v="4"/>
    <n v="42"/>
    <x v="1"/>
    <n v="7"/>
    <x v="3"/>
    <m/>
    <x v="0"/>
    <x v="2"/>
    <x v="0"/>
    <n v="12"/>
    <x v="0"/>
  </r>
  <r>
    <n v="5324"/>
    <x v="4"/>
    <x v="1"/>
    <x v="2"/>
    <x v="4"/>
    <x v="1"/>
    <d v="1899-12-30T00:00:00"/>
    <d v="2014-01-19T00:00:00"/>
    <n v="94"/>
    <n v="43"/>
    <n v="27"/>
    <n v="27"/>
    <n v="6"/>
    <n v="45"/>
    <x v="1"/>
    <n v="33"/>
    <x v="3"/>
    <m/>
    <x v="0"/>
    <x v="0"/>
    <x v="0"/>
    <n v="12"/>
    <x v="0"/>
  </r>
  <r>
    <n v="7446"/>
    <x v="5"/>
    <x v="2"/>
    <x v="1"/>
    <x v="5"/>
    <x v="0"/>
    <d v="1899-12-31T00:00:00"/>
    <d v="2013-09-09T00:00:00"/>
    <n v="16"/>
    <n v="42"/>
    <n v="42"/>
    <n v="42"/>
    <n v="10"/>
    <n v="59"/>
    <x v="0"/>
    <n v="52"/>
    <x v="3"/>
    <m/>
    <x v="0"/>
    <x v="0"/>
    <x v="0"/>
    <n v="13"/>
    <x v="0"/>
  </r>
  <r>
    <n v="965"/>
    <x v="6"/>
    <x v="0"/>
    <x v="3"/>
    <x v="6"/>
    <x v="0"/>
    <d v="1899-12-31T00:00:00"/>
    <d v="2012-11-13T00:00:00"/>
    <n v="34"/>
    <n v="65"/>
    <n v="49"/>
    <n v="49"/>
    <n v="7"/>
    <n v="55"/>
    <x v="0"/>
    <n v="56"/>
    <x v="3"/>
    <m/>
    <x v="0"/>
    <x v="0"/>
    <x v="0"/>
    <n v="14"/>
    <x v="0"/>
  </r>
  <r>
    <n v="6177"/>
    <x v="7"/>
    <x v="1"/>
    <x v="2"/>
    <x v="7"/>
    <x v="1"/>
    <d v="1899-12-30T00:00:00"/>
    <d v="2013-05-08T00:00:00"/>
    <n v="32"/>
    <n v="10"/>
    <n v="1"/>
    <n v="1"/>
    <n v="4"/>
    <n v="41"/>
    <x v="1"/>
    <n v="5"/>
    <x v="3"/>
    <m/>
    <x v="0"/>
    <x v="1"/>
    <x v="0"/>
    <n v="13"/>
    <x v="0"/>
  </r>
  <r>
    <n v="4855"/>
    <x v="8"/>
    <x v="1"/>
    <x v="1"/>
    <x v="8"/>
    <x v="1"/>
    <d v="1899-12-30T00:00:00"/>
    <d v="2013-06-06T00:00:00"/>
    <n v="19"/>
    <n v="0"/>
    <n v="3"/>
    <n v="3"/>
    <n v="2"/>
    <n v="52"/>
    <x v="0"/>
    <n v="5"/>
    <x v="3"/>
    <m/>
    <x v="0"/>
    <x v="1"/>
    <x v="0"/>
    <n v="13"/>
    <x v="0"/>
  </r>
  <r>
    <n v="5899"/>
    <x v="9"/>
    <x v="1"/>
    <x v="1"/>
    <x v="9"/>
    <x v="1"/>
    <d v="1899-12-31T00:00:00"/>
    <d v="2014-03-13T00:00:00"/>
    <n v="68"/>
    <n v="0"/>
    <n v="1"/>
    <n v="1"/>
    <n v="0"/>
    <n v="76"/>
    <x v="0"/>
    <n v="1"/>
    <x v="3"/>
    <m/>
    <x v="0"/>
    <x v="2"/>
    <x v="0"/>
    <n v="12"/>
    <x v="0"/>
  </r>
  <r>
    <n v="1994"/>
    <x v="10"/>
    <x v="0"/>
    <x v="2"/>
    <x v="10"/>
    <x v="1"/>
    <d v="1899-12-30T00:00:00"/>
    <d v="2013-11-15T00:00:00"/>
    <n v="11"/>
    <n v="5"/>
    <n v="2"/>
    <n v="2"/>
    <n v="2"/>
    <n v="43"/>
    <x v="1"/>
    <n v="4"/>
    <x v="3"/>
    <m/>
    <x v="0"/>
    <x v="2"/>
    <x v="0"/>
    <n v="13"/>
    <x v="0"/>
  </r>
  <r>
    <n v="387"/>
    <x v="11"/>
    <x v="3"/>
    <x v="2"/>
    <x v="11"/>
    <x v="0"/>
    <d v="1899-12-30T00:00:00"/>
    <d v="2012-11-13T00:00:00"/>
    <n v="59"/>
    <n v="16"/>
    <n v="1"/>
    <n v="1"/>
    <n v="3"/>
    <n v="50"/>
    <x v="1"/>
    <n v="4"/>
    <x v="3"/>
    <m/>
    <x v="0"/>
    <x v="2"/>
    <x v="0"/>
    <n v="14"/>
    <x v="0"/>
  </r>
  <r>
    <n v="2125"/>
    <x v="12"/>
    <x v="0"/>
    <x v="3"/>
    <x v="12"/>
    <x v="0"/>
    <d v="1899-12-30T00:00:00"/>
    <d v="2013-11-15T00:00:00"/>
    <n v="82"/>
    <n v="61"/>
    <n v="112"/>
    <n v="112"/>
    <n v="8"/>
    <n v="67"/>
    <x v="0"/>
    <n v="120"/>
    <x v="3"/>
    <m/>
    <x v="0"/>
    <x v="0"/>
    <x v="0"/>
    <n v="13"/>
    <x v="0"/>
  </r>
  <r>
    <n v="8180"/>
    <x v="13"/>
    <x v="2"/>
    <x v="3"/>
    <x v="13"/>
    <x v="1"/>
    <d v="1899-12-31T00:00:00"/>
    <d v="2013-11-15T00:00:00"/>
    <n v="53"/>
    <n v="2"/>
    <n v="5"/>
    <n v="5"/>
    <n v="5"/>
    <n v="74"/>
    <x v="0"/>
    <n v="10"/>
    <x v="3"/>
    <m/>
    <x v="0"/>
    <x v="0"/>
    <x v="0"/>
    <n v="13"/>
    <x v="0"/>
  </r>
  <r>
    <n v="2569"/>
    <x v="14"/>
    <x v="0"/>
    <x v="2"/>
    <x v="14"/>
    <x v="0"/>
    <d v="1899-12-30T00:00:00"/>
    <d v="2012-10-10T00:00:00"/>
    <n v="38"/>
    <n v="14"/>
    <n v="1"/>
    <n v="1"/>
    <n v="3"/>
    <n v="39"/>
    <x v="1"/>
    <n v="4"/>
    <x v="3"/>
    <m/>
    <x v="0"/>
    <x v="2"/>
    <x v="0"/>
    <n v="14"/>
    <x v="0"/>
  </r>
  <r>
    <n v="2114"/>
    <x v="15"/>
    <x v="1"/>
    <x v="0"/>
    <x v="15"/>
    <x v="0"/>
    <d v="1899-12-30T00:00:00"/>
    <d v="2012-11-24T00:00:00"/>
    <n v="23"/>
    <n v="22"/>
    <n v="68"/>
    <n v="68"/>
    <n v="12"/>
    <n v="80"/>
    <x v="0"/>
    <n v="80"/>
    <x v="3"/>
    <m/>
    <x v="0"/>
    <x v="3"/>
    <x v="0"/>
    <n v="14"/>
    <x v="0"/>
  </r>
  <r>
    <n v="9736"/>
    <x v="16"/>
    <x v="0"/>
    <x v="2"/>
    <x v="16"/>
    <x v="1"/>
    <d v="1899-12-31T00:00:00"/>
    <d v="2012-12-24T00:00:00"/>
    <n v="51"/>
    <n v="5"/>
    <n v="13"/>
    <n v="13"/>
    <n v="3"/>
    <n v="46"/>
    <x v="1"/>
    <n v="16"/>
    <x v="3"/>
    <m/>
    <x v="0"/>
    <x v="1"/>
    <x v="0"/>
    <n v="14"/>
    <x v="0"/>
  </r>
  <r>
    <n v="4939"/>
    <x v="15"/>
    <x v="0"/>
    <x v="1"/>
    <x v="17"/>
    <x v="0"/>
    <d v="1899-12-30T00:00:00"/>
    <d v="2012-08-31T00:00:00"/>
    <n v="20"/>
    <n v="5"/>
    <n v="12"/>
    <n v="12"/>
    <n v="6"/>
    <n v="80"/>
    <x v="0"/>
    <n v="18"/>
    <x v="3"/>
    <m/>
    <x v="0"/>
    <x v="1"/>
    <x v="0"/>
    <n v="14"/>
    <x v="0"/>
  </r>
  <r>
    <n v="6565"/>
    <x v="17"/>
    <x v="2"/>
    <x v="2"/>
    <x v="18"/>
    <x v="0"/>
    <d v="1899-12-31T00:00:00"/>
    <d v="2013-03-28T00:00:00"/>
    <n v="91"/>
    <n v="80"/>
    <n v="16"/>
    <n v="16"/>
    <n v="9"/>
    <n v="77"/>
    <x v="0"/>
    <n v="25"/>
    <x v="3"/>
    <m/>
    <x v="0"/>
    <x v="3"/>
    <x v="0"/>
    <n v="13"/>
    <x v="0"/>
  </r>
  <r>
    <n v="2278"/>
    <x v="7"/>
    <x v="4"/>
    <x v="0"/>
    <x v="19"/>
    <x v="1"/>
    <d v="1899-12-30T00:00:00"/>
    <d v="2012-11-03T00:00:00"/>
    <n v="86"/>
    <n v="17"/>
    <n v="24"/>
    <n v="24"/>
    <n v="3"/>
    <n v="41"/>
    <x v="1"/>
    <n v="27"/>
    <x v="3"/>
    <m/>
    <x v="0"/>
    <x v="1"/>
    <x v="0"/>
    <n v="14"/>
    <x v="0"/>
  </r>
  <r>
    <n v="9360"/>
    <x v="18"/>
    <x v="0"/>
    <x v="2"/>
    <x v="20"/>
    <x v="0"/>
    <d v="1899-12-30T00:00:00"/>
    <d v="2012-08-08T00:00:00"/>
    <n v="41"/>
    <n v="2"/>
    <n v="38"/>
    <n v="38"/>
    <n v="5"/>
    <n v="44"/>
    <x v="1"/>
    <n v="43"/>
    <x v="3"/>
    <m/>
    <x v="0"/>
    <x v="1"/>
    <x v="0"/>
    <n v="14"/>
    <x v="0"/>
  </r>
  <r>
    <n v="5376"/>
    <x v="19"/>
    <x v="0"/>
    <x v="2"/>
    <x v="21"/>
    <x v="1"/>
    <d v="1899-12-30T00:00:00"/>
    <d v="2013-01-06T00:00:00"/>
    <n v="42"/>
    <n v="1"/>
    <n v="1"/>
    <n v="1"/>
    <n v="0"/>
    <n v="47"/>
    <x v="1"/>
    <n v="1"/>
    <x v="3"/>
    <m/>
    <x v="0"/>
    <x v="2"/>
    <x v="0"/>
    <n v="13"/>
    <x v="0"/>
  </r>
  <r>
    <n v="1993"/>
    <x v="17"/>
    <x v="1"/>
    <x v="2"/>
    <x v="22"/>
    <x v="0"/>
    <d v="1899-12-31T00:00:00"/>
    <d v="2012-12-23T00:00:00"/>
    <n v="63"/>
    <n v="0"/>
    <n v="0"/>
    <n v="0"/>
    <n v="9"/>
    <n v="77"/>
    <x v="0"/>
    <n v="9"/>
    <x v="3"/>
    <m/>
    <x v="0"/>
    <x v="0"/>
    <x v="0"/>
    <n v="14"/>
    <x v="0"/>
  </r>
  <r>
    <n v="4047"/>
    <x v="1"/>
    <x v="1"/>
    <x v="2"/>
    <x v="23"/>
    <x v="0"/>
    <d v="1899-12-31T00:00:00"/>
    <d v="2014-01-11T00:00:00"/>
    <n v="0"/>
    <n v="0"/>
    <n v="32"/>
    <n v="32"/>
    <n v="9"/>
    <n v="72"/>
    <x v="0"/>
    <n v="41"/>
    <x v="3"/>
    <m/>
    <x v="0"/>
    <x v="0"/>
    <x v="0"/>
    <n v="12"/>
    <x v="0"/>
  </r>
  <r>
    <n v="1409"/>
    <x v="20"/>
    <x v="0"/>
    <x v="1"/>
    <x v="24"/>
    <x v="0"/>
    <d v="1899-12-31T00:00:00"/>
    <d v="2013-03-18T00:00:00"/>
    <n v="69"/>
    <n v="3"/>
    <n v="6"/>
    <n v="6"/>
    <n v="5"/>
    <n v="75"/>
    <x v="0"/>
    <n v="11"/>
    <x v="3"/>
    <m/>
    <x v="0"/>
    <x v="1"/>
    <x v="0"/>
    <n v="13"/>
    <x v="0"/>
  </r>
  <r>
    <n v="7892"/>
    <x v="21"/>
    <x v="0"/>
    <x v="0"/>
    <x v="25"/>
    <x v="0"/>
    <d v="1899-12-30T00:00:00"/>
    <d v="2013-01-02T00:00:00"/>
    <n v="89"/>
    <n v="4"/>
    <n v="12"/>
    <n v="12"/>
    <n v="3"/>
    <n v="57"/>
    <x v="0"/>
    <n v="15"/>
    <x v="3"/>
    <m/>
    <x v="0"/>
    <x v="2"/>
    <x v="0"/>
    <n v="13"/>
    <x v="0"/>
  </r>
  <r>
    <n v="2404"/>
    <x v="11"/>
    <x v="0"/>
    <x v="2"/>
    <x v="26"/>
    <x v="1"/>
    <d v="1899-12-31T00:00:00"/>
    <d v="2013-05-27T00:00:00"/>
    <n v="4"/>
    <n v="4"/>
    <n v="6"/>
    <n v="6"/>
    <n v="4"/>
    <n v="50"/>
    <x v="1"/>
    <n v="10"/>
    <x v="3"/>
    <m/>
    <x v="0"/>
    <x v="0"/>
    <x v="0"/>
    <n v="13"/>
    <x v="0"/>
  </r>
  <r>
    <n v="5255"/>
    <x v="22"/>
    <x v="0"/>
    <x v="0"/>
    <x v="10"/>
    <x v="1"/>
    <d v="1899-12-30T00:00:00"/>
    <d v="2013-02-20T00:00:00"/>
    <n v="19"/>
    <n v="1"/>
    <n v="263"/>
    <n v="263"/>
    <n v="0"/>
    <n v="40"/>
    <x v="1"/>
    <n v="263"/>
    <x v="3"/>
    <m/>
    <x v="0"/>
    <x v="2"/>
    <x v="0"/>
    <n v="13"/>
    <x v="0"/>
  </r>
  <r>
    <n v="9422"/>
    <x v="23"/>
    <x v="0"/>
    <x v="2"/>
    <x v="27"/>
    <x v="1"/>
    <d v="1899-12-30T00:00:00"/>
    <d v="2013-05-31T00:00:00"/>
    <n v="26"/>
    <n v="2"/>
    <n v="21"/>
    <n v="21"/>
    <n v="4"/>
    <n v="37"/>
    <x v="1"/>
    <n v="25"/>
    <x v="3"/>
    <m/>
    <x v="0"/>
    <x v="1"/>
    <x v="0"/>
    <n v="13"/>
    <x v="0"/>
  </r>
  <r>
    <n v="1966"/>
    <x v="2"/>
    <x v="1"/>
    <x v="2"/>
    <x v="28"/>
    <x v="0"/>
    <d v="1899-12-30T00:00:00"/>
    <d v="2013-11-22T00:00:00"/>
    <n v="96"/>
    <n v="100"/>
    <n v="66"/>
    <n v="66"/>
    <n v="10"/>
    <n v="61"/>
    <x v="0"/>
    <n v="76"/>
    <x v="3"/>
    <m/>
    <x v="0"/>
    <x v="3"/>
    <x v="0"/>
    <n v="13"/>
    <x v="0"/>
  </r>
  <r>
    <n v="6864"/>
    <x v="23"/>
    <x v="2"/>
    <x v="3"/>
    <x v="29"/>
    <x v="0"/>
    <d v="1899-12-30T00:00:00"/>
    <d v="2014-05-22T00:00:00"/>
    <n v="34"/>
    <n v="4"/>
    <n v="2"/>
    <n v="2"/>
    <n v="3"/>
    <n v="37"/>
    <x v="1"/>
    <n v="5"/>
    <x v="3"/>
    <m/>
    <x v="0"/>
    <x v="2"/>
    <x v="0"/>
    <n v="12"/>
    <x v="0"/>
  </r>
  <r>
    <n v="3033"/>
    <x v="24"/>
    <x v="2"/>
    <x v="1"/>
    <x v="30"/>
    <x v="0"/>
    <d v="1899-12-30T00:00:00"/>
    <d v="2013-05-11T00:00:00"/>
    <n v="56"/>
    <n v="17"/>
    <n v="22"/>
    <n v="22"/>
    <n v="3"/>
    <n v="63"/>
    <x v="0"/>
    <n v="25"/>
    <x v="3"/>
    <m/>
    <x v="0"/>
    <x v="1"/>
    <x v="0"/>
    <n v="13"/>
    <x v="0"/>
  </r>
  <r>
    <n v="5710"/>
    <x v="25"/>
    <x v="0"/>
    <x v="1"/>
    <x v="31"/>
    <x v="0"/>
    <d v="1899-12-31T00:00:00"/>
    <d v="2012-10-10T00:00:00"/>
    <n v="31"/>
    <n v="0"/>
    <n v="0"/>
    <n v="0"/>
    <n v="4"/>
    <n v="56"/>
    <x v="0"/>
    <n v="4"/>
    <x v="3"/>
    <m/>
    <x v="0"/>
    <x v="1"/>
    <x v="0"/>
    <n v="14"/>
    <x v="0"/>
  </r>
  <r>
    <n v="7373"/>
    <x v="13"/>
    <x v="1"/>
    <x v="3"/>
    <x v="32"/>
    <x v="0"/>
    <d v="1900-01-01T00:00:00"/>
    <d v="2012-10-29T00:00:00"/>
    <n v="8"/>
    <n v="12"/>
    <n v="22"/>
    <n v="22"/>
    <n v="6"/>
    <n v="74"/>
    <x v="0"/>
    <n v="28"/>
    <x v="3"/>
    <m/>
    <x v="0"/>
    <x v="1"/>
    <x v="0"/>
    <n v="14"/>
    <x v="0"/>
  </r>
  <r>
    <n v="8755"/>
    <x v="15"/>
    <x v="2"/>
    <x v="2"/>
    <x v="33"/>
    <x v="0"/>
    <d v="1899-12-30T00:00:00"/>
    <d v="2013-02-20T00:00:00"/>
    <n v="4"/>
    <n v="34"/>
    <n v="68"/>
    <n v="68"/>
    <n v="9"/>
    <n v="80"/>
    <x v="0"/>
    <n v="77"/>
    <x v="3"/>
    <m/>
    <x v="0"/>
    <x v="0"/>
    <x v="0"/>
    <n v="13"/>
    <x v="0"/>
  </r>
  <r>
    <n v="10738"/>
    <x v="20"/>
    <x v="2"/>
    <x v="0"/>
    <x v="34"/>
    <x v="1"/>
    <d v="1899-12-31T00:00:00"/>
    <d v="2013-08-29T00:00:00"/>
    <n v="55"/>
    <n v="0"/>
    <n v="1"/>
    <n v="1"/>
    <n v="3"/>
    <n v="75"/>
    <x v="0"/>
    <n v="4"/>
    <x v="3"/>
    <m/>
    <x v="0"/>
    <x v="1"/>
    <x v="0"/>
    <n v="13"/>
    <x v="0"/>
  </r>
  <r>
    <n v="4339"/>
    <x v="25"/>
    <x v="1"/>
    <x v="2"/>
    <x v="35"/>
    <x v="0"/>
    <d v="1899-12-31T00:00:00"/>
    <d v="2013-12-31T00:00:00"/>
    <n v="37"/>
    <n v="17"/>
    <n v="8"/>
    <n v="8"/>
    <n v="12"/>
    <n v="56"/>
    <x v="0"/>
    <n v="20"/>
    <x v="3"/>
    <m/>
    <x v="0"/>
    <x v="0"/>
    <x v="0"/>
    <n v="13"/>
    <x v="0"/>
  </r>
  <r>
    <n v="10755"/>
    <x v="11"/>
    <x v="4"/>
    <x v="2"/>
    <x v="36"/>
    <x v="1"/>
    <d v="1899-12-30T00:00:00"/>
    <d v="2013-09-02T00:00:00"/>
    <n v="76"/>
    <n v="3"/>
    <n v="7"/>
    <n v="7"/>
    <n v="2"/>
    <n v="50"/>
    <x v="1"/>
    <n v="9"/>
    <x v="3"/>
    <m/>
    <x v="0"/>
    <x v="2"/>
    <x v="0"/>
    <n v="13"/>
    <x v="0"/>
  </r>
  <r>
    <n v="8595"/>
    <x v="26"/>
    <x v="0"/>
    <x v="4"/>
    <x v="37"/>
    <x v="0"/>
    <d v="1899-12-31T00:00:00"/>
    <d v="2014-02-11T00:00:00"/>
    <n v="99"/>
    <n v="0"/>
    <n v="0"/>
    <n v="0"/>
    <n v="3"/>
    <n v="53"/>
    <x v="0"/>
    <n v="3"/>
    <x v="3"/>
    <m/>
    <x v="0"/>
    <x v="1"/>
    <x v="0"/>
    <n v="12"/>
    <x v="0"/>
  </r>
  <r>
    <n v="2968"/>
    <x v="27"/>
    <x v="1"/>
    <x v="3"/>
    <x v="38"/>
    <x v="0"/>
    <d v="1899-12-30T00:00:00"/>
    <d v="2013-02-01T00:00:00"/>
    <n v="53"/>
    <n v="8"/>
    <n v="49"/>
    <n v="49"/>
    <n v="5"/>
    <n v="83"/>
    <x v="0"/>
    <n v="54"/>
    <x v="3"/>
    <m/>
    <x v="0"/>
    <x v="1"/>
    <x v="0"/>
    <n v="13"/>
    <x v="0"/>
  </r>
  <r>
    <n v="8601"/>
    <x v="16"/>
    <x v="0"/>
    <x v="2"/>
    <x v="39"/>
    <x v="0"/>
    <d v="1899-12-31T00:00:00"/>
    <d v="2013-04-29T00:00:00"/>
    <n v="3"/>
    <n v="76"/>
    <n v="178"/>
    <n v="178"/>
    <n v="5"/>
    <n v="46"/>
    <x v="1"/>
    <n v="183"/>
    <x v="3"/>
    <m/>
    <x v="0"/>
    <x v="3"/>
    <x v="0"/>
    <n v="13"/>
    <x v="0"/>
  </r>
  <r>
    <n v="503"/>
    <x v="7"/>
    <x v="2"/>
    <x v="2"/>
    <x v="40"/>
    <x v="1"/>
    <d v="1899-12-30T00:00:00"/>
    <d v="2013-03-12T00:00:00"/>
    <n v="88"/>
    <n v="1"/>
    <n v="0"/>
    <n v="0"/>
    <n v="3"/>
    <n v="41"/>
    <x v="1"/>
    <n v="3"/>
    <x v="3"/>
    <m/>
    <x v="0"/>
    <x v="2"/>
    <x v="0"/>
    <n v="13"/>
    <x v="0"/>
  </r>
  <r>
    <n v="8430"/>
    <x v="0"/>
    <x v="0"/>
    <x v="1"/>
    <x v="41"/>
    <x v="0"/>
    <d v="1899-12-31T00:00:00"/>
    <d v="2012-12-24T00:00:00"/>
    <n v="4"/>
    <n v="0"/>
    <n v="1"/>
    <n v="1"/>
    <n v="3"/>
    <n v="69"/>
    <x v="0"/>
    <n v="4"/>
    <x v="3"/>
    <m/>
    <x v="0"/>
    <x v="2"/>
    <x v="0"/>
    <n v="14"/>
    <x v="0"/>
  </r>
  <r>
    <n v="7281"/>
    <x v="12"/>
    <x v="1"/>
    <x v="0"/>
    <x v="10"/>
    <x v="0"/>
    <d v="1899-12-30T00:00:00"/>
    <d v="2013-11-05T00:00:00"/>
    <n v="80"/>
    <n v="11"/>
    <n v="2"/>
    <n v="2"/>
    <n v="4"/>
    <n v="67"/>
    <x v="0"/>
    <n v="6"/>
    <x v="3"/>
    <m/>
    <x v="0"/>
    <x v="2"/>
    <x v="0"/>
    <n v="13"/>
    <x v="0"/>
  </r>
  <r>
    <n v="2139"/>
    <x v="28"/>
    <x v="2"/>
    <x v="2"/>
    <x v="11"/>
    <x v="1"/>
    <d v="1899-12-30T00:00:00"/>
    <d v="2013-10-02T00:00:00"/>
    <n v="19"/>
    <n v="1"/>
    <n v="2"/>
    <n v="2"/>
    <n v="3"/>
    <n v="51"/>
    <x v="0"/>
    <n v="5"/>
    <x v="3"/>
    <m/>
    <x v="0"/>
    <x v="2"/>
    <x v="0"/>
    <n v="13"/>
    <x v="0"/>
  </r>
  <r>
    <n v="1371"/>
    <x v="11"/>
    <x v="0"/>
    <x v="0"/>
    <x v="42"/>
    <x v="0"/>
    <d v="1899-12-30T00:00:00"/>
    <d v="2014-06-28T00:00:00"/>
    <n v="72"/>
    <n v="164"/>
    <n v="30"/>
    <n v="30"/>
    <n v="9"/>
    <n v="50"/>
    <x v="1"/>
    <n v="39"/>
    <x v="3"/>
    <m/>
    <x v="0"/>
    <x v="3"/>
    <x v="0"/>
    <n v="12"/>
    <x v="0"/>
  </r>
  <r>
    <n v="9909"/>
    <x v="29"/>
    <x v="4"/>
    <x v="2"/>
    <x v="11"/>
    <x v="0"/>
    <d v="1899-12-30T00:00:00"/>
    <d v="2012-11-09T00:00:00"/>
    <n v="24"/>
    <n v="18"/>
    <n v="22"/>
    <n v="22"/>
    <n v="3"/>
    <n v="30"/>
    <x v="1"/>
    <n v="25"/>
    <x v="3"/>
    <m/>
    <x v="0"/>
    <x v="2"/>
    <x v="0"/>
    <n v="14"/>
    <x v="0"/>
  </r>
  <r>
    <n v="7286"/>
    <x v="30"/>
    <x v="0"/>
    <x v="1"/>
    <x v="43"/>
    <x v="1"/>
    <d v="1899-12-30T00:00:00"/>
    <d v="2013-05-24T00:00:00"/>
    <n v="92"/>
    <n v="6"/>
    <n v="5"/>
    <n v="5"/>
    <n v="2"/>
    <n v="58"/>
    <x v="0"/>
    <n v="7"/>
    <x v="3"/>
    <m/>
    <x v="0"/>
    <x v="1"/>
    <x v="0"/>
    <n v="13"/>
    <x v="0"/>
  </r>
  <r>
    <n v="7244"/>
    <x v="20"/>
    <x v="0"/>
    <x v="0"/>
    <x v="10"/>
    <x v="2"/>
    <d v="1899-12-31T00:00:00"/>
    <d v="2014-01-01T00:00:00"/>
    <n v="96"/>
    <n v="5"/>
    <n v="10"/>
    <n v="10"/>
    <n v="4"/>
    <n v="75"/>
    <x v="0"/>
    <n v="14"/>
    <x v="3"/>
    <m/>
    <x v="0"/>
    <x v="2"/>
    <x v="0"/>
    <n v="12"/>
    <x v="0"/>
  </r>
  <r>
    <n v="6566"/>
    <x v="1"/>
    <x v="1"/>
    <x v="2"/>
    <x v="44"/>
    <x v="1"/>
    <d v="1899-12-31T00:00:00"/>
    <d v="2012-11-08T00:00:00"/>
    <n v="39"/>
    <n v="50"/>
    <n v="38"/>
    <n v="38"/>
    <n v="12"/>
    <n v="72"/>
    <x v="0"/>
    <n v="50"/>
    <x v="3"/>
    <m/>
    <x v="0"/>
    <x v="0"/>
    <x v="0"/>
    <n v="14"/>
    <x v="0"/>
  </r>
  <r>
    <n v="8614"/>
    <x v="0"/>
    <x v="0"/>
    <x v="4"/>
    <x v="45"/>
    <x v="0"/>
    <d v="1899-12-31T00:00:00"/>
    <d v="2014-05-12T00:00:00"/>
    <n v="29"/>
    <n v="19"/>
    <n v="67"/>
    <n v="67"/>
    <n v="10"/>
    <n v="69"/>
    <x v="0"/>
    <n v="77"/>
    <x v="3"/>
    <m/>
    <x v="0"/>
    <x v="0"/>
    <x v="0"/>
    <n v="12"/>
    <x v="0"/>
  </r>
  <r>
    <n v="4114"/>
    <x v="31"/>
    <x v="2"/>
    <x v="2"/>
    <x v="46"/>
    <x v="0"/>
    <d v="1899-12-30T00:00:00"/>
    <d v="2012-08-11T00:00:00"/>
    <n v="2"/>
    <n v="37"/>
    <n v="167"/>
    <n v="167"/>
    <n v="13"/>
    <n v="62"/>
    <x v="0"/>
    <n v="180"/>
    <x v="3"/>
    <m/>
    <x v="0"/>
    <x v="3"/>
    <x v="0"/>
    <n v="14"/>
    <x v="0"/>
  </r>
  <r>
    <n v="1331"/>
    <x v="32"/>
    <x v="0"/>
    <x v="0"/>
    <x v="47"/>
    <x v="1"/>
    <d v="1899-12-30T00:00:00"/>
    <d v="2013-01-02T00:00:00"/>
    <n v="54"/>
    <n v="6"/>
    <n v="1"/>
    <n v="1"/>
    <n v="3"/>
    <n v="49"/>
    <x v="1"/>
    <n v="4"/>
    <x v="3"/>
    <m/>
    <x v="0"/>
    <x v="1"/>
    <x v="0"/>
    <n v="13"/>
    <x v="0"/>
  </r>
  <r>
    <n v="2225"/>
    <x v="32"/>
    <x v="0"/>
    <x v="3"/>
    <x v="48"/>
    <x v="0"/>
    <d v="1899-12-30T00:00:00"/>
    <d v="2014-06-07T00:00:00"/>
    <n v="54"/>
    <n v="120"/>
    <n v="40"/>
    <n v="40"/>
    <n v="7"/>
    <n v="49"/>
    <x v="1"/>
    <n v="47"/>
    <x v="3"/>
    <m/>
    <x v="0"/>
    <x v="3"/>
    <x v="0"/>
    <n v="12"/>
    <x v="0"/>
  </r>
  <r>
    <n v="9381"/>
    <x v="33"/>
    <x v="0"/>
    <x v="2"/>
    <x v="49"/>
    <x v="1"/>
    <d v="1899-12-31T00:00:00"/>
    <d v="2013-06-12T00:00:00"/>
    <n v="57"/>
    <n v="9"/>
    <n v="24"/>
    <n v="24"/>
    <n v="10"/>
    <n v="48"/>
    <x v="1"/>
    <n v="34"/>
    <x v="3"/>
    <m/>
    <x v="0"/>
    <x v="0"/>
    <x v="0"/>
    <n v="13"/>
    <x v="0"/>
  </r>
  <r>
    <n v="6260"/>
    <x v="34"/>
    <x v="2"/>
    <x v="1"/>
    <x v="50"/>
    <x v="0"/>
    <d v="1899-12-30T00:00:00"/>
    <d v="2012-11-19T00:00:00"/>
    <n v="55"/>
    <n v="51"/>
    <n v="120"/>
    <n v="120"/>
    <n v="13"/>
    <n v="71"/>
    <x v="0"/>
    <n v="133"/>
    <x v="3"/>
    <m/>
    <x v="0"/>
    <x v="3"/>
    <x v="0"/>
    <n v="14"/>
    <x v="0"/>
  </r>
  <r>
    <n v="10383"/>
    <x v="35"/>
    <x v="0"/>
    <x v="3"/>
    <x v="51"/>
    <x v="0"/>
    <d v="1899-12-30T00:00:00"/>
    <d v="2013-04-02T00:00:00"/>
    <n v="30"/>
    <n v="35"/>
    <n v="120"/>
    <n v="120"/>
    <n v="10"/>
    <n v="60"/>
    <x v="0"/>
    <n v="130"/>
    <x v="3"/>
    <m/>
    <x v="0"/>
    <x v="0"/>
    <x v="0"/>
    <n v="13"/>
    <x v="0"/>
  </r>
  <r>
    <n v="7437"/>
    <x v="36"/>
    <x v="0"/>
    <x v="0"/>
    <x v="52"/>
    <x v="1"/>
    <d v="1899-12-30T00:00:00"/>
    <d v="2014-04-28T00:00:00"/>
    <n v="31"/>
    <n v="0"/>
    <n v="1"/>
    <n v="1"/>
    <n v="4"/>
    <n v="38"/>
    <x v="1"/>
    <n v="5"/>
    <x v="3"/>
    <m/>
    <x v="0"/>
    <x v="2"/>
    <x v="0"/>
    <n v="12"/>
    <x v="0"/>
  </r>
  <r>
    <n v="8557"/>
    <x v="18"/>
    <x v="0"/>
    <x v="0"/>
    <x v="10"/>
    <x v="1"/>
    <d v="1899-12-30T00:00:00"/>
    <d v="2013-06-17T00:00:00"/>
    <n v="57"/>
    <n v="3"/>
    <n v="2"/>
    <n v="2"/>
    <n v="3"/>
    <n v="44"/>
    <x v="1"/>
    <n v="5"/>
    <x v="3"/>
    <m/>
    <x v="0"/>
    <x v="2"/>
    <x v="0"/>
    <n v="13"/>
    <x v="0"/>
  </r>
  <r>
    <n v="8375"/>
    <x v="30"/>
    <x v="1"/>
    <x v="2"/>
    <x v="53"/>
    <x v="0"/>
    <d v="1899-12-31T00:00:00"/>
    <d v="2014-03-03T00:00:00"/>
    <n v="63"/>
    <n v="0"/>
    <n v="0"/>
    <n v="0"/>
    <n v="6"/>
    <n v="58"/>
    <x v="0"/>
    <n v="6"/>
    <x v="3"/>
    <m/>
    <x v="0"/>
    <x v="0"/>
    <x v="0"/>
    <n v="12"/>
    <x v="0"/>
  </r>
  <r>
    <n v="6853"/>
    <x v="18"/>
    <x v="2"/>
    <x v="0"/>
    <x v="54"/>
    <x v="0"/>
    <d v="1899-12-30T00:00:00"/>
    <d v="2013-07-04T00:00:00"/>
    <n v="12"/>
    <n v="26"/>
    <n v="13"/>
    <n v="13"/>
    <n v="11"/>
    <n v="44"/>
    <x v="1"/>
    <n v="24"/>
    <x v="3"/>
    <m/>
    <x v="0"/>
    <x v="3"/>
    <x v="0"/>
    <n v="13"/>
    <x v="0"/>
  </r>
  <r>
    <n v="3076"/>
    <x v="28"/>
    <x v="0"/>
    <x v="1"/>
    <x v="55"/>
    <x v="1"/>
    <d v="1899-12-31T00:00:00"/>
    <d v="2012-09-07T00:00:00"/>
    <n v="18"/>
    <n v="18"/>
    <n v="18"/>
    <n v="18"/>
    <n v="12"/>
    <n v="51"/>
    <x v="0"/>
    <n v="30"/>
    <x v="3"/>
    <m/>
    <x v="0"/>
    <x v="0"/>
    <x v="0"/>
    <n v="14"/>
    <x v="0"/>
  </r>
  <r>
    <n v="1012"/>
    <x v="13"/>
    <x v="0"/>
    <x v="0"/>
    <x v="56"/>
    <x v="0"/>
    <d v="1899-12-31T00:00:00"/>
    <d v="2013-02-18T00:00:00"/>
    <n v="26"/>
    <n v="7"/>
    <n v="14"/>
    <n v="14"/>
    <n v="10"/>
    <n v="74"/>
    <x v="0"/>
    <n v="24"/>
    <x v="3"/>
    <m/>
    <x v="0"/>
    <x v="0"/>
    <x v="0"/>
    <n v="13"/>
    <x v="0"/>
  </r>
  <r>
    <n v="6518"/>
    <x v="20"/>
    <x v="1"/>
    <x v="4"/>
    <x v="57"/>
    <x v="0"/>
    <d v="1899-12-31T00:00:00"/>
    <d v="2013-06-11T00:00:00"/>
    <n v="8"/>
    <n v="0"/>
    <n v="6"/>
    <n v="6"/>
    <n v="8"/>
    <n v="75"/>
    <x v="0"/>
    <n v="14"/>
    <x v="3"/>
    <m/>
    <x v="0"/>
    <x v="0"/>
    <x v="0"/>
    <n v="13"/>
    <x v="0"/>
  </r>
  <r>
    <n v="4137"/>
    <x v="37"/>
    <x v="0"/>
    <x v="1"/>
    <x v="58"/>
    <x v="0"/>
    <d v="1899-12-30T00:00:00"/>
    <d v="2013-12-06T00:00:00"/>
    <n v="29"/>
    <n v="40"/>
    <n v="122"/>
    <n v="122"/>
    <n v="4"/>
    <n v="78"/>
    <x v="0"/>
    <n v="126"/>
    <x v="3"/>
    <m/>
    <x v="0"/>
    <x v="0"/>
    <x v="0"/>
    <n v="13"/>
    <x v="0"/>
  </r>
  <r>
    <n v="8082"/>
    <x v="6"/>
    <x v="0"/>
    <x v="2"/>
    <x v="59"/>
    <x v="1"/>
    <d v="1899-12-30T00:00:00"/>
    <d v="2013-05-21T00:00:00"/>
    <n v="75"/>
    <n v="3"/>
    <n v="6"/>
    <n v="6"/>
    <n v="2"/>
    <n v="55"/>
    <x v="0"/>
    <n v="8"/>
    <x v="3"/>
    <m/>
    <x v="0"/>
    <x v="2"/>
    <x v="0"/>
    <n v="13"/>
    <x v="0"/>
  </r>
  <r>
    <n v="1386"/>
    <x v="5"/>
    <x v="0"/>
    <x v="1"/>
    <x v="60"/>
    <x v="1"/>
    <d v="1899-12-31T00:00:00"/>
    <d v="2014-05-11T00:00:00"/>
    <n v="0"/>
    <n v="0"/>
    <n v="0"/>
    <n v="0"/>
    <n v="2"/>
    <n v="59"/>
    <x v="0"/>
    <n v="2"/>
    <x v="3"/>
    <m/>
    <x v="0"/>
    <x v="1"/>
    <x v="0"/>
    <n v="12"/>
    <x v="0"/>
  </r>
  <r>
    <n v="9369"/>
    <x v="19"/>
    <x v="4"/>
    <x v="0"/>
    <x v="61"/>
    <x v="0"/>
    <d v="1899-12-31T00:00:00"/>
    <d v="2014-03-19T00:00:00"/>
    <n v="19"/>
    <n v="14"/>
    <n v="24"/>
    <n v="24"/>
    <n v="10"/>
    <n v="47"/>
    <x v="1"/>
    <n v="34"/>
    <x v="3"/>
    <m/>
    <x v="0"/>
    <x v="3"/>
    <x v="0"/>
    <n v="12"/>
    <x v="0"/>
  </r>
  <r>
    <n v="4477"/>
    <x v="38"/>
    <x v="0"/>
    <x v="1"/>
    <x v="62"/>
    <x v="0"/>
    <d v="1899-12-31T00:00:00"/>
    <d v="2013-09-27T00:00:00"/>
    <n v="4"/>
    <n v="49"/>
    <n v="82"/>
    <n v="82"/>
    <n v="10"/>
    <n v="68"/>
    <x v="0"/>
    <n v="92"/>
    <x v="3"/>
    <m/>
    <x v="0"/>
    <x v="0"/>
    <x v="0"/>
    <n v="13"/>
    <x v="0"/>
  </r>
  <r>
    <n v="1357"/>
    <x v="25"/>
    <x v="0"/>
    <x v="1"/>
    <x v="63"/>
    <x v="1"/>
    <d v="1900-01-01T00:00:00"/>
    <d v="2013-04-08T00:00:00"/>
    <n v="90"/>
    <n v="59"/>
    <n v="29"/>
    <n v="29"/>
    <n v="5"/>
    <n v="56"/>
    <x v="0"/>
    <n v="34"/>
    <x v="3"/>
    <m/>
    <x v="0"/>
    <x v="0"/>
    <x v="0"/>
    <n v="13"/>
    <x v="0"/>
  </r>
  <r>
    <n v="1402"/>
    <x v="1"/>
    <x v="2"/>
    <x v="2"/>
    <x v="64"/>
    <x v="0"/>
    <d v="1899-12-30T00:00:00"/>
    <d v="2012-09-11T00:00:00"/>
    <n v="1"/>
    <n v="36"/>
    <n v="60"/>
    <n v="60"/>
    <n v="6"/>
    <n v="72"/>
    <x v="0"/>
    <n v="66"/>
    <x v="3"/>
    <m/>
    <x v="0"/>
    <x v="0"/>
    <x v="0"/>
    <n v="14"/>
    <x v="0"/>
  </r>
  <r>
    <n v="10629"/>
    <x v="26"/>
    <x v="4"/>
    <x v="2"/>
    <x v="10"/>
    <x v="1"/>
    <d v="1899-12-30T00:00:00"/>
    <d v="2012-09-14T00:00:00"/>
    <n v="25"/>
    <n v="3"/>
    <n v="4"/>
    <n v="4"/>
    <n v="3"/>
    <n v="53"/>
    <x v="0"/>
    <n v="7"/>
    <x v="3"/>
    <m/>
    <x v="0"/>
    <x v="2"/>
    <x v="0"/>
    <n v="14"/>
    <x v="0"/>
  </r>
  <r>
    <n v="6312"/>
    <x v="12"/>
    <x v="0"/>
    <x v="2"/>
    <x v="65"/>
    <x v="0"/>
    <d v="1899-12-31T00:00:00"/>
    <d v="2013-03-17T00:00:00"/>
    <n v="29"/>
    <n v="107"/>
    <n v="37"/>
    <n v="37"/>
    <n v="13"/>
    <n v="67"/>
    <x v="0"/>
    <n v="50"/>
    <x v="3"/>
    <m/>
    <x v="0"/>
    <x v="0"/>
    <x v="0"/>
    <n v="13"/>
    <x v="0"/>
  </r>
  <r>
    <n v="8132"/>
    <x v="28"/>
    <x v="1"/>
    <x v="2"/>
    <x v="66"/>
    <x v="1"/>
    <d v="1899-12-31T00:00:00"/>
    <d v="2013-04-05T00:00:00"/>
    <n v="88"/>
    <n v="6"/>
    <n v="6"/>
    <n v="6"/>
    <n v="8"/>
    <n v="51"/>
    <x v="0"/>
    <n v="14"/>
    <x v="3"/>
    <m/>
    <x v="0"/>
    <x v="0"/>
    <x v="0"/>
    <n v="13"/>
    <x v="0"/>
  </r>
  <r>
    <n v="1050"/>
    <x v="13"/>
    <x v="0"/>
    <x v="2"/>
    <x v="67"/>
    <x v="0"/>
    <d v="1899-12-30T00:00:00"/>
    <d v="2014-04-30T00:00:00"/>
    <n v="58"/>
    <n v="10"/>
    <n v="15"/>
    <n v="15"/>
    <n v="4"/>
    <n v="74"/>
    <x v="0"/>
    <n v="19"/>
    <x v="3"/>
    <m/>
    <x v="0"/>
    <x v="2"/>
    <x v="0"/>
    <n v="12"/>
    <x v="0"/>
  </r>
  <r>
    <n v="5846"/>
    <x v="32"/>
    <x v="0"/>
    <x v="3"/>
    <x v="68"/>
    <x v="1"/>
    <d v="1899-12-30T00:00:00"/>
    <d v="2012-12-19T00:00:00"/>
    <n v="68"/>
    <n v="1"/>
    <n v="1"/>
    <n v="1"/>
    <n v="2"/>
    <n v="49"/>
    <x v="1"/>
    <n v="3"/>
    <x v="3"/>
    <m/>
    <x v="0"/>
    <x v="1"/>
    <x v="0"/>
    <n v="14"/>
    <x v="0"/>
  </r>
  <r>
    <n v="1859"/>
    <x v="39"/>
    <x v="2"/>
    <x v="2"/>
    <x v="69"/>
    <x v="0"/>
    <d v="1899-12-30T00:00:00"/>
    <d v="2012-08-27T00:00:00"/>
    <n v="34"/>
    <n v="111"/>
    <n v="18"/>
    <n v="18"/>
    <n v="5"/>
    <n v="54"/>
    <x v="0"/>
    <n v="23"/>
    <x v="3"/>
    <m/>
    <x v="0"/>
    <x v="3"/>
    <x v="0"/>
    <n v="14"/>
    <x v="0"/>
  </r>
  <r>
    <n v="7503"/>
    <x v="11"/>
    <x v="0"/>
    <x v="0"/>
    <x v="70"/>
    <x v="0"/>
    <d v="1899-12-30T00:00:00"/>
    <d v="2012-10-12T00:00:00"/>
    <n v="40"/>
    <n v="105"/>
    <n v="105"/>
    <n v="105"/>
    <n v="9"/>
    <n v="50"/>
    <x v="1"/>
    <n v="114"/>
    <x v="3"/>
    <m/>
    <x v="0"/>
    <x v="3"/>
    <x v="0"/>
    <n v="14"/>
    <x v="0"/>
  </r>
  <r>
    <n v="10401"/>
    <x v="11"/>
    <x v="4"/>
    <x v="1"/>
    <x v="71"/>
    <x v="0"/>
    <d v="1899-12-30T00:00:00"/>
    <d v="2013-09-04T00:00:00"/>
    <n v="12"/>
    <n v="0"/>
    <n v="3"/>
    <n v="3"/>
    <n v="3"/>
    <n v="50"/>
    <x v="1"/>
    <n v="6"/>
    <x v="3"/>
    <m/>
    <x v="0"/>
    <x v="2"/>
    <x v="0"/>
    <n v="13"/>
    <x v="0"/>
  </r>
  <r>
    <n v="1618"/>
    <x v="2"/>
    <x v="0"/>
    <x v="1"/>
    <x v="72"/>
    <x v="0"/>
    <d v="1899-12-30T00:00:00"/>
    <d v="2013-01-02T00:00:00"/>
    <n v="9"/>
    <n v="0"/>
    <n v="0"/>
    <n v="0"/>
    <n v="8"/>
    <n v="61"/>
    <x v="0"/>
    <n v="8"/>
    <x v="3"/>
    <m/>
    <x v="0"/>
    <x v="0"/>
    <x v="0"/>
    <n v="13"/>
    <x v="0"/>
  </r>
  <r>
    <n v="3332"/>
    <x v="7"/>
    <x v="0"/>
    <x v="0"/>
    <x v="73"/>
    <x v="1"/>
    <d v="1899-12-30T00:00:00"/>
    <d v="2012-08-29T00:00:00"/>
    <n v="87"/>
    <n v="4"/>
    <n v="5"/>
    <n v="5"/>
    <n v="4"/>
    <n v="41"/>
    <x v="1"/>
    <n v="9"/>
    <x v="3"/>
    <m/>
    <x v="0"/>
    <x v="2"/>
    <x v="0"/>
    <n v="14"/>
    <x v="0"/>
  </r>
  <r>
    <n v="2261"/>
    <x v="21"/>
    <x v="0"/>
    <x v="2"/>
    <x v="74"/>
    <x v="1"/>
    <d v="1899-12-30T00:00:00"/>
    <d v="2013-06-23T00:00:00"/>
    <n v="5"/>
    <n v="1"/>
    <n v="0"/>
    <n v="0"/>
    <n v="2"/>
    <n v="57"/>
    <x v="0"/>
    <n v="2"/>
    <x v="3"/>
    <m/>
    <x v="0"/>
    <x v="2"/>
    <x v="0"/>
    <n v="13"/>
    <x v="0"/>
  </r>
  <r>
    <n v="5346"/>
    <x v="26"/>
    <x v="4"/>
    <x v="2"/>
    <x v="75"/>
    <x v="1"/>
    <d v="1899-12-30T00:00:00"/>
    <d v="2013-07-03T00:00:00"/>
    <n v="87"/>
    <n v="5"/>
    <n v="0"/>
    <n v="0"/>
    <n v="3"/>
    <n v="53"/>
    <x v="0"/>
    <n v="3"/>
    <x v="3"/>
    <m/>
    <x v="0"/>
    <x v="2"/>
    <x v="0"/>
    <n v="13"/>
    <x v="0"/>
  </r>
  <r>
    <n v="4119"/>
    <x v="24"/>
    <x v="2"/>
    <x v="1"/>
    <x v="30"/>
    <x v="0"/>
    <d v="1899-12-30T00:00:00"/>
    <d v="2013-05-11T00:00:00"/>
    <n v="56"/>
    <n v="17"/>
    <n v="22"/>
    <n v="22"/>
    <n v="3"/>
    <n v="63"/>
    <x v="0"/>
    <n v="25"/>
    <x v="3"/>
    <m/>
    <x v="0"/>
    <x v="1"/>
    <x v="0"/>
    <n v="13"/>
    <x v="0"/>
  </r>
  <r>
    <n v="535"/>
    <x v="14"/>
    <x v="0"/>
    <x v="3"/>
    <x v="76"/>
    <x v="0"/>
    <d v="1899-12-30T00:00:00"/>
    <d v="2014-02-25T00:00:00"/>
    <n v="18"/>
    <n v="23"/>
    <n v="65"/>
    <n v="65"/>
    <n v="13"/>
    <n v="39"/>
    <x v="1"/>
    <n v="78"/>
    <x v="3"/>
    <m/>
    <x v="0"/>
    <x v="3"/>
    <x v="0"/>
    <n v="12"/>
    <x v="0"/>
  </r>
  <r>
    <n v="5268"/>
    <x v="40"/>
    <x v="0"/>
    <x v="2"/>
    <x v="77"/>
    <x v="1"/>
    <d v="1899-12-31T00:00:00"/>
    <d v="2013-08-11T00:00:00"/>
    <n v="95"/>
    <n v="8"/>
    <n v="4"/>
    <n v="4"/>
    <n v="4"/>
    <n v="66"/>
    <x v="0"/>
    <n v="8"/>
    <x v="3"/>
    <m/>
    <x v="0"/>
    <x v="2"/>
    <x v="0"/>
    <n v="13"/>
    <x v="0"/>
  </r>
  <r>
    <n v="273"/>
    <x v="25"/>
    <x v="2"/>
    <x v="2"/>
    <x v="78"/>
    <x v="1"/>
    <d v="1899-12-31T00:00:00"/>
    <d v="2013-07-16T00:00:00"/>
    <n v="48"/>
    <n v="0"/>
    <n v="0"/>
    <n v="0"/>
    <n v="4"/>
    <n v="56"/>
    <x v="0"/>
    <n v="4"/>
    <x v="3"/>
    <m/>
    <x v="0"/>
    <x v="1"/>
    <x v="0"/>
    <n v="13"/>
    <x v="0"/>
  </r>
  <r>
    <n v="4452"/>
    <x v="0"/>
    <x v="0"/>
    <x v="0"/>
    <x v="79"/>
    <x v="0"/>
    <d v="1899-12-31T00:00:00"/>
    <d v="2014-05-28T00:00:00"/>
    <n v="3"/>
    <n v="6"/>
    <n v="3"/>
    <n v="3"/>
    <n v="6"/>
    <n v="69"/>
    <x v="0"/>
    <n v="9"/>
    <x v="3"/>
    <m/>
    <x v="0"/>
    <x v="0"/>
    <x v="0"/>
    <n v="12"/>
    <x v="0"/>
  </r>
  <r>
    <n v="8504"/>
    <x v="26"/>
    <x v="0"/>
    <x v="2"/>
    <x v="80"/>
    <x v="0"/>
    <d v="1899-12-30T00:00:00"/>
    <d v="2014-05-12T00:00:00"/>
    <n v="70"/>
    <n v="60"/>
    <n v="133"/>
    <n v="133"/>
    <n v="7"/>
    <n v="53"/>
    <x v="0"/>
    <n v="140"/>
    <x v="3"/>
    <m/>
    <x v="0"/>
    <x v="3"/>
    <x v="0"/>
    <n v="12"/>
    <x v="0"/>
  </r>
  <r>
    <n v="771"/>
    <x v="5"/>
    <x v="0"/>
    <x v="1"/>
    <x v="81"/>
    <x v="0"/>
    <d v="1899-12-31T00:00:00"/>
    <d v="2014-01-21T00:00:00"/>
    <n v="79"/>
    <n v="9"/>
    <n v="0"/>
    <n v="0"/>
    <n v="5"/>
    <n v="59"/>
    <x v="0"/>
    <n v="5"/>
    <x v="3"/>
    <m/>
    <x v="0"/>
    <x v="0"/>
    <x v="0"/>
    <n v="12"/>
    <x v="0"/>
  </r>
  <r>
    <n v="8996"/>
    <x v="0"/>
    <x v="1"/>
    <x v="2"/>
    <x v="10"/>
    <x v="2"/>
    <d v="1899-12-31T00:00:00"/>
    <d v="2012-11-19T00:00:00"/>
    <n v="4"/>
    <n v="42"/>
    <n v="37"/>
    <n v="37"/>
    <n v="8"/>
    <n v="69"/>
    <x v="0"/>
    <n v="45"/>
    <x v="3"/>
    <m/>
    <x v="0"/>
    <x v="2"/>
    <x v="0"/>
    <n v="14"/>
    <x v="0"/>
  </r>
  <r>
    <n v="9235"/>
    <x v="0"/>
    <x v="0"/>
    <x v="0"/>
    <x v="10"/>
    <x v="1"/>
    <d v="1899-12-31T00:00:00"/>
    <d v="2014-05-27T00:00:00"/>
    <n v="45"/>
    <n v="0"/>
    <n v="0"/>
    <n v="0"/>
    <n v="2"/>
    <n v="69"/>
    <x v="0"/>
    <n v="2"/>
    <x v="3"/>
    <m/>
    <x v="0"/>
    <x v="2"/>
    <x v="0"/>
    <n v="12"/>
    <x v="0"/>
  </r>
  <r>
    <n v="5798"/>
    <x v="26"/>
    <x v="2"/>
    <x v="1"/>
    <x v="10"/>
    <x v="0"/>
    <d v="1899-12-30T00:00:00"/>
    <d v="2013-11-23T00:00:00"/>
    <n v="87"/>
    <n v="37"/>
    <n v="28"/>
    <n v="28"/>
    <n v="8"/>
    <n v="53"/>
    <x v="0"/>
    <n v="36"/>
    <x v="3"/>
    <m/>
    <x v="0"/>
    <x v="2"/>
    <x v="0"/>
    <n v="13"/>
    <x v="0"/>
  </r>
  <r>
    <n v="11178"/>
    <x v="39"/>
    <x v="2"/>
    <x v="0"/>
    <x v="82"/>
    <x v="1"/>
    <d v="1899-12-30T00:00:00"/>
    <d v="2014-03-23T00:00:00"/>
    <n v="69"/>
    <n v="2"/>
    <n v="1"/>
    <n v="1"/>
    <n v="3"/>
    <n v="54"/>
    <x v="0"/>
    <n v="4"/>
    <x v="3"/>
    <m/>
    <x v="0"/>
    <x v="1"/>
    <x v="0"/>
    <n v="12"/>
    <x v="0"/>
  </r>
  <r>
    <n v="2230"/>
    <x v="25"/>
    <x v="1"/>
    <x v="2"/>
    <x v="83"/>
    <x v="1"/>
    <d v="1899-12-30T00:00:00"/>
    <d v="2014-05-24T00:00:00"/>
    <n v="84"/>
    <n v="2"/>
    <n v="0"/>
    <n v="0"/>
    <n v="3"/>
    <n v="56"/>
    <x v="0"/>
    <n v="3"/>
    <x v="3"/>
    <m/>
    <x v="0"/>
    <x v="2"/>
    <x v="0"/>
    <n v="12"/>
    <x v="0"/>
  </r>
  <r>
    <n v="7516"/>
    <x v="10"/>
    <x v="0"/>
    <x v="2"/>
    <x v="84"/>
    <x v="1"/>
    <d v="1899-12-30T00:00:00"/>
    <d v="2014-05-22T00:00:00"/>
    <n v="30"/>
    <n v="3"/>
    <n v="5"/>
    <n v="5"/>
    <n v="3"/>
    <n v="43"/>
    <x v="1"/>
    <n v="8"/>
    <x v="3"/>
    <m/>
    <x v="0"/>
    <x v="1"/>
    <x v="0"/>
    <n v="12"/>
    <x v="0"/>
  </r>
  <r>
    <n v="7247"/>
    <x v="40"/>
    <x v="0"/>
    <x v="4"/>
    <x v="85"/>
    <x v="0"/>
    <d v="1899-12-31T00:00:00"/>
    <d v="2012-11-22T00:00:00"/>
    <n v="72"/>
    <n v="0"/>
    <n v="0"/>
    <n v="0"/>
    <n v="6"/>
    <n v="66"/>
    <x v="0"/>
    <n v="6"/>
    <x v="3"/>
    <m/>
    <x v="0"/>
    <x v="1"/>
    <x v="0"/>
    <n v="14"/>
    <x v="0"/>
  </r>
  <r>
    <n v="11100"/>
    <x v="39"/>
    <x v="0"/>
    <x v="3"/>
    <x v="86"/>
    <x v="1"/>
    <d v="1899-12-31T00:00:00"/>
    <d v="2013-04-11T00:00:00"/>
    <n v="37"/>
    <n v="2"/>
    <n v="1"/>
    <n v="1"/>
    <n v="3"/>
    <n v="54"/>
    <x v="0"/>
    <n v="4"/>
    <x v="3"/>
    <m/>
    <x v="0"/>
    <x v="0"/>
    <x v="0"/>
    <n v="13"/>
    <x v="0"/>
  </r>
  <r>
    <n v="4646"/>
    <x v="20"/>
    <x v="4"/>
    <x v="2"/>
    <x v="87"/>
    <x v="0"/>
    <d v="1899-12-30T00:00:00"/>
    <d v="2013-12-01T00:00:00"/>
    <n v="44"/>
    <n v="26"/>
    <n v="0"/>
    <n v="0"/>
    <n v="12"/>
    <n v="75"/>
    <x v="0"/>
    <n v="12"/>
    <x v="3"/>
    <m/>
    <x v="0"/>
    <x v="3"/>
    <x v="0"/>
    <n v="13"/>
    <x v="0"/>
  </r>
  <r>
    <n v="3037"/>
    <x v="10"/>
    <x v="1"/>
    <x v="2"/>
    <x v="88"/>
    <x v="0"/>
    <d v="1899-12-30T00:00:00"/>
    <d v="2013-06-20T00:00:00"/>
    <n v="32"/>
    <n v="46"/>
    <n v="61"/>
    <n v="61"/>
    <n v="7"/>
    <n v="43"/>
    <x v="1"/>
    <n v="68"/>
    <x v="3"/>
    <m/>
    <x v="0"/>
    <x v="0"/>
    <x v="0"/>
    <n v="13"/>
    <x v="0"/>
  </r>
  <r>
    <n v="1473"/>
    <x v="40"/>
    <x v="4"/>
    <x v="0"/>
    <x v="89"/>
    <x v="0"/>
    <d v="1899-12-31T00:00:00"/>
    <d v="2013-07-23T00:00:00"/>
    <n v="0"/>
    <n v="1"/>
    <n v="1"/>
    <n v="1"/>
    <n v="3"/>
    <n v="66"/>
    <x v="0"/>
    <n v="4"/>
    <x v="3"/>
    <m/>
    <x v="0"/>
    <x v="1"/>
    <x v="0"/>
    <n v="13"/>
    <x v="0"/>
  </r>
  <r>
    <n v="1016"/>
    <x v="12"/>
    <x v="1"/>
    <x v="0"/>
    <x v="90"/>
    <x v="0"/>
    <d v="1899-12-31T00:00:00"/>
    <d v="2014-03-30T00:00:00"/>
    <n v="43"/>
    <n v="1"/>
    <n v="0"/>
    <n v="0"/>
    <n v="3"/>
    <n v="67"/>
    <x v="0"/>
    <n v="3"/>
    <x v="3"/>
    <m/>
    <x v="0"/>
    <x v="1"/>
    <x v="0"/>
    <n v="12"/>
    <x v="0"/>
  </r>
  <r>
    <n v="4518"/>
    <x v="19"/>
    <x v="0"/>
    <x v="1"/>
    <x v="91"/>
    <x v="0"/>
    <d v="1899-12-31T00:00:00"/>
    <d v="2013-04-20T00:00:00"/>
    <n v="59"/>
    <n v="172"/>
    <n v="132"/>
    <n v="132"/>
    <n v="11"/>
    <n v="47"/>
    <x v="1"/>
    <n v="143"/>
    <x v="3"/>
    <m/>
    <x v="0"/>
    <x v="3"/>
    <x v="0"/>
    <n v="13"/>
    <x v="0"/>
  </r>
  <r>
    <n v="9370"/>
    <x v="41"/>
    <x v="1"/>
    <x v="2"/>
    <x v="92"/>
    <x v="0"/>
    <d v="1899-12-30T00:00:00"/>
    <d v="2013-05-17T00:00:00"/>
    <n v="68"/>
    <n v="81"/>
    <n v="40"/>
    <n v="40"/>
    <n v="6"/>
    <n v="81"/>
    <x v="0"/>
    <n v="46"/>
    <x v="3"/>
    <m/>
    <x v="0"/>
    <x v="0"/>
    <x v="0"/>
    <n v="13"/>
    <x v="0"/>
  </r>
  <r>
    <n v="8908"/>
    <x v="12"/>
    <x v="0"/>
    <x v="2"/>
    <x v="93"/>
    <x v="0"/>
    <d v="1899-12-30T00:00:00"/>
    <d v="2014-05-08T00:00:00"/>
    <n v="35"/>
    <n v="76"/>
    <n v="26"/>
    <n v="26"/>
    <n v="5"/>
    <n v="67"/>
    <x v="0"/>
    <n v="31"/>
    <x v="3"/>
    <m/>
    <x v="0"/>
    <x v="3"/>
    <x v="0"/>
    <n v="12"/>
    <x v="0"/>
  </r>
  <r>
    <n v="8373"/>
    <x v="19"/>
    <x v="3"/>
    <x v="1"/>
    <x v="94"/>
    <x v="1"/>
    <d v="1899-12-30T00:00:00"/>
    <d v="2013-12-10T00:00:00"/>
    <n v="94"/>
    <n v="3"/>
    <n v="0"/>
    <n v="0"/>
    <n v="3"/>
    <n v="47"/>
    <x v="1"/>
    <n v="3"/>
    <x v="3"/>
    <m/>
    <x v="0"/>
    <x v="2"/>
    <x v="0"/>
    <n v="13"/>
    <x v="0"/>
  </r>
  <r>
    <n v="7533"/>
    <x v="31"/>
    <x v="0"/>
    <x v="2"/>
    <x v="95"/>
    <x v="1"/>
    <d v="1899-12-31T00:00:00"/>
    <d v="2013-09-24T00:00:00"/>
    <n v="15"/>
    <n v="1"/>
    <n v="1"/>
    <n v="1"/>
    <n v="4"/>
    <n v="62"/>
    <x v="0"/>
    <n v="5"/>
    <x v="3"/>
    <m/>
    <x v="0"/>
    <x v="1"/>
    <x v="0"/>
    <n v="13"/>
    <x v="0"/>
  </r>
  <r>
    <n v="2683"/>
    <x v="21"/>
    <x v="0"/>
    <x v="2"/>
    <x v="96"/>
    <x v="0"/>
    <d v="1900-01-01T00:00:00"/>
    <d v="2013-02-02T00:00:00"/>
    <n v="56"/>
    <n v="106"/>
    <n v="98"/>
    <n v="98"/>
    <n v="12"/>
    <n v="57"/>
    <x v="0"/>
    <n v="110"/>
    <x v="3"/>
    <m/>
    <x v="0"/>
    <x v="0"/>
    <x v="0"/>
    <n v="13"/>
    <x v="0"/>
  </r>
  <r>
    <n v="3629"/>
    <x v="33"/>
    <x v="0"/>
    <x v="0"/>
    <x v="97"/>
    <x v="1"/>
    <d v="1899-12-30T00:00:00"/>
    <d v="2012-12-19T00:00:00"/>
    <n v="17"/>
    <n v="3"/>
    <n v="4"/>
    <n v="4"/>
    <n v="3"/>
    <n v="48"/>
    <x v="1"/>
    <n v="7"/>
    <x v="3"/>
    <m/>
    <x v="0"/>
    <x v="1"/>
    <x v="0"/>
    <n v="14"/>
    <x v="0"/>
  </r>
  <r>
    <n v="10991"/>
    <x v="40"/>
    <x v="2"/>
    <x v="2"/>
    <x v="98"/>
    <x v="0"/>
    <d v="1899-12-30T00:00:00"/>
    <d v="2012-12-07T00:00:00"/>
    <n v="18"/>
    <n v="194"/>
    <n v="22"/>
    <n v="22"/>
    <n v="4"/>
    <n v="66"/>
    <x v="0"/>
    <n v="26"/>
    <x v="3"/>
    <m/>
    <x v="0"/>
    <x v="3"/>
    <x v="0"/>
    <n v="14"/>
    <x v="0"/>
  </r>
  <r>
    <n v="5077"/>
    <x v="19"/>
    <x v="0"/>
    <x v="1"/>
    <x v="99"/>
    <x v="0"/>
    <d v="1899-12-31T00:00:00"/>
    <d v="2013-11-02T00:00:00"/>
    <n v="46"/>
    <n v="115"/>
    <n v="35"/>
    <n v="35"/>
    <n v="11"/>
    <n v="47"/>
    <x v="1"/>
    <n v="46"/>
    <x v="3"/>
    <m/>
    <x v="0"/>
    <x v="3"/>
    <x v="0"/>
    <n v="13"/>
    <x v="0"/>
  </r>
  <r>
    <n v="7431"/>
    <x v="42"/>
    <x v="1"/>
    <x v="0"/>
    <x v="100"/>
    <x v="0"/>
    <d v="1899-12-30T00:00:00"/>
    <d v="2012-11-10T00:00:00"/>
    <n v="40"/>
    <n v="17"/>
    <n v="51"/>
    <n v="51"/>
    <n v="5"/>
    <n v="35"/>
    <x v="1"/>
    <n v="56"/>
    <x v="3"/>
    <m/>
    <x v="0"/>
    <x v="0"/>
    <x v="0"/>
    <n v="14"/>
    <x v="0"/>
  </r>
  <r>
    <n v="3267"/>
    <x v="24"/>
    <x v="2"/>
    <x v="1"/>
    <x v="101"/>
    <x v="0"/>
    <d v="1899-12-31T00:00:00"/>
    <d v="2014-06-25T00:00:00"/>
    <n v="27"/>
    <n v="0"/>
    <n v="0"/>
    <n v="0"/>
    <n v="8"/>
    <n v="63"/>
    <x v="0"/>
    <n v="8"/>
    <x v="3"/>
    <m/>
    <x v="0"/>
    <x v="0"/>
    <x v="0"/>
    <n v="12"/>
    <x v="0"/>
  </r>
  <r>
    <n v="999"/>
    <x v="42"/>
    <x v="0"/>
    <x v="0"/>
    <x v="102"/>
    <x v="0"/>
    <d v="1899-12-30T00:00:00"/>
    <d v="2013-01-02T00:00:00"/>
    <n v="95"/>
    <n v="44"/>
    <n v="20"/>
    <n v="20"/>
    <n v="11"/>
    <n v="35"/>
    <x v="1"/>
    <n v="31"/>
    <x v="3"/>
    <m/>
    <x v="0"/>
    <x v="3"/>
    <x v="0"/>
    <n v="13"/>
    <x v="0"/>
  </r>
  <r>
    <n v="9215"/>
    <x v="16"/>
    <x v="1"/>
    <x v="2"/>
    <x v="103"/>
    <x v="1"/>
    <d v="1899-12-30T00:00:00"/>
    <d v="2012-12-12T00:00:00"/>
    <n v="19"/>
    <n v="0"/>
    <n v="0"/>
    <n v="0"/>
    <n v="6"/>
    <n v="46"/>
    <x v="1"/>
    <n v="6"/>
    <x v="3"/>
    <m/>
    <x v="0"/>
    <x v="1"/>
    <x v="0"/>
    <n v="14"/>
    <x v="0"/>
  </r>
  <r>
    <n v="2286"/>
    <x v="43"/>
    <x v="0"/>
    <x v="0"/>
    <x v="104"/>
    <x v="1"/>
    <d v="1899-12-31T00:00:00"/>
    <d v="2013-09-10T00:00:00"/>
    <n v="27"/>
    <n v="1"/>
    <n v="1"/>
    <n v="1"/>
    <n v="3"/>
    <n v="64"/>
    <x v="0"/>
    <n v="4"/>
    <x v="3"/>
    <m/>
    <x v="0"/>
    <x v="0"/>
    <x v="0"/>
    <n v="13"/>
    <x v="0"/>
  </r>
  <r>
    <n v="1592"/>
    <x v="25"/>
    <x v="0"/>
    <x v="2"/>
    <x v="105"/>
    <x v="0"/>
    <d v="1899-12-30T00:00:00"/>
    <d v="2014-01-24T00:00:00"/>
    <n v="25"/>
    <n v="99"/>
    <n v="82"/>
    <n v="82"/>
    <n v="5"/>
    <n v="56"/>
    <x v="0"/>
    <n v="87"/>
    <x v="3"/>
    <m/>
    <x v="0"/>
    <x v="3"/>
    <x v="0"/>
    <n v="12"/>
    <x v="0"/>
  </r>
  <r>
    <n v="367"/>
    <x v="33"/>
    <x v="4"/>
    <x v="2"/>
    <x v="106"/>
    <x v="1"/>
    <d v="1899-12-30T00:00:00"/>
    <d v="2013-02-19T00:00:00"/>
    <n v="74"/>
    <n v="90"/>
    <n v="103"/>
    <n v="103"/>
    <n v="5"/>
    <n v="48"/>
    <x v="1"/>
    <n v="108"/>
    <x v="3"/>
    <m/>
    <x v="0"/>
    <x v="1"/>
    <x v="0"/>
    <n v="13"/>
    <x v="0"/>
  </r>
  <r>
    <n v="5234"/>
    <x v="5"/>
    <x v="4"/>
    <x v="1"/>
    <x v="107"/>
    <x v="1"/>
    <d v="1899-12-31T00:00:00"/>
    <d v="2013-07-11T00:00:00"/>
    <n v="85"/>
    <n v="5"/>
    <n v="9"/>
    <n v="9"/>
    <n v="3"/>
    <n v="59"/>
    <x v="0"/>
    <n v="12"/>
    <x v="3"/>
    <m/>
    <x v="0"/>
    <x v="1"/>
    <x v="0"/>
    <n v="13"/>
    <x v="0"/>
  </r>
  <r>
    <n v="9862"/>
    <x v="21"/>
    <x v="0"/>
    <x v="1"/>
    <x v="108"/>
    <x v="1"/>
    <d v="1899-12-30T00:00:00"/>
    <d v="2013-11-14T00:00:00"/>
    <n v="37"/>
    <n v="6"/>
    <n v="5"/>
    <n v="5"/>
    <n v="3"/>
    <n v="57"/>
    <x v="0"/>
    <n v="8"/>
    <x v="3"/>
    <m/>
    <x v="0"/>
    <x v="2"/>
    <x v="0"/>
    <n v="13"/>
    <x v="0"/>
  </r>
  <r>
    <n v="9805"/>
    <x v="44"/>
    <x v="2"/>
    <x v="1"/>
    <x v="109"/>
    <x v="0"/>
    <d v="1899-12-31T00:00:00"/>
    <d v="2013-06-20T00:00:00"/>
    <n v="65"/>
    <n v="48"/>
    <n v="72"/>
    <n v="72"/>
    <n v="10"/>
    <n v="73"/>
    <x v="0"/>
    <n v="82"/>
    <x v="3"/>
    <m/>
    <x v="0"/>
    <x v="0"/>
    <x v="0"/>
    <n v="13"/>
    <x v="0"/>
  </r>
  <r>
    <n v="6205"/>
    <x v="5"/>
    <x v="2"/>
    <x v="0"/>
    <x v="110"/>
    <x v="1"/>
    <d v="1899-12-30T00:00:00"/>
    <d v="2014-02-24T00:00:00"/>
    <n v="13"/>
    <n v="3"/>
    <n v="4"/>
    <n v="4"/>
    <n v="3"/>
    <n v="59"/>
    <x v="0"/>
    <n v="7"/>
    <x v="3"/>
    <m/>
    <x v="0"/>
    <x v="1"/>
    <x v="0"/>
    <n v="12"/>
    <x v="0"/>
  </r>
  <r>
    <n v="8442"/>
    <x v="7"/>
    <x v="2"/>
    <x v="2"/>
    <x v="111"/>
    <x v="2"/>
    <d v="1899-12-30T00:00:00"/>
    <d v="2013-09-04T00:00:00"/>
    <n v="63"/>
    <n v="0"/>
    <n v="4"/>
    <n v="4"/>
    <n v="3"/>
    <n v="41"/>
    <x v="1"/>
    <n v="7"/>
    <x v="3"/>
    <m/>
    <x v="0"/>
    <x v="2"/>
    <x v="0"/>
    <n v="13"/>
    <x v="0"/>
  </r>
  <r>
    <n v="7386"/>
    <x v="11"/>
    <x v="0"/>
    <x v="3"/>
    <x v="112"/>
    <x v="1"/>
    <d v="1899-12-30T00:00:00"/>
    <d v="2013-04-22T00:00:00"/>
    <n v="83"/>
    <n v="0"/>
    <n v="3"/>
    <n v="3"/>
    <n v="3"/>
    <n v="50"/>
    <x v="1"/>
    <n v="6"/>
    <x v="3"/>
    <m/>
    <x v="0"/>
    <x v="1"/>
    <x v="0"/>
    <n v="13"/>
    <x v="0"/>
  </r>
  <r>
    <n v="7215"/>
    <x v="10"/>
    <x v="0"/>
    <x v="0"/>
    <x v="113"/>
    <x v="0"/>
    <d v="1899-12-30T00:00:00"/>
    <d v="2013-03-12T00:00:00"/>
    <n v="69"/>
    <n v="27"/>
    <n v="72"/>
    <n v="72"/>
    <n v="13"/>
    <n v="43"/>
    <x v="1"/>
    <n v="85"/>
    <x v="3"/>
    <m/>
    <x v="0"/>
    <x v="4"/>
    <x v="0"/>
    <n v="13"/>
    <x v="0"/>
  </r>
  <r>
    <n v="1491"/>
    <x v="2"/>
    <x v="4"/>
    <x v="1"/>
    <x v="114"/>
    <x v="0"/>
    <d v="1899-12-30T00:00:00"/>
    <d v="2013-02-18T00:00:00"/>
    <n v="87"/>
    <n v="33"/>
    <n v="28"/>
    <n v="28"/>
    <n v="7"/>
    <n v="61"/>
    <x v="0"/>
    <n v="35"/>
    <x v="3"/>
    <m/>
    <x v="0"/>
    <x v="0"/>
    <x v="0"/>
    <n v="13"/>
    <x v="0"/>
  </r>
  <r>
    <n v="11071"/>
    <x v="3"/>
    <x v="0"/>
    <x v="0"/>
    <x v="115"/>
    <x v="0"/>
    <d v="1899-12-30T00:00:00"/>
    <d v="2013-04-21T00:00:00"/>
    <n v="37"/>
    <n v="133"/>
    <n v="0"/>
    <n v="0"/>
    <n v="6"/>
    <n v="42"/>
    <x v="1"/>
    <n v="6"/>
    <x v="3"/>
    <m/>
    <x v="0"/>
    <x v="3"/>
    <x v="0"/>
    <n v="13"/>
    <x v="0"/>
  </r>
  <r>
    <n v="3381"/>
    <x v="44"/>
    <x v="2"/>
    <x v="2"/>
    <x v="116"/>
    <x v="1"/>
    <d v="1899-12-31T00:00:00"/>
    <d v="2014-06-08T00:00:00"/>
    <n v="51"/>
    <n v="0"/>
    <n v="0"/>
    <n v="0"/>
    <n v="4"/>
    <n v="73"/>
    <x v="0"/>
    <n v="4"/>
    <x v="3"/>
    <m/>
    <x v="0"/>
    <x v="0"/>
    <x v="0"/>
    <n v="12"/>
    <x v="0"/>
  </r>
  <r>
    <n v="8268"/>
    <x v="45"/>
    <x v="1"/>
    <x v="2"/>
    <x v="10"/>
    <x v="0"/>
    <d v="1899-12-31T00:00:00"/>
    <d v="2013-07-11T00:00:00"/>
    <n v="23"/>
    <n v="0"/>
    <n v="0"/>
    <n v="0"/>
    <n v="7"/>
    <n v="65"/>
    <x v="0"/>
    <n v="7"/>
    <x v="3"/>
    <m/>
    <x v="0"/>
    <x v="2"/>
    <x v="0"/>
    <n v="13"/>
    <x v="0"/>
  </r>
  <r>
    <n v="11051"/>
    <x v="46"/>
    <x v="1"/>
    <x v="1"/>
    <x v="117"/>
    <x v="1"/>
    <d v="1899-12-31T00:00:00"/>
    <d v="2014-05-10T00:00:00"/>
    <n v="72"/>
    <n v="19"/>
    <n v="12"/>
    <n v="12"/>
    <n v="10"/>
    <n v="70"/>
    <x v="0"/>
    <n v="22"/>
    <x v="3"/>
    <m/>
    <x v="0"/>
    <x v="3"/>
    <x v="0"/>
    <n v="12"/>
    <x v="0"/>
  </r>
  <r>
    <n v="8026"/>
    <x v="13"/>
    <x v="0"/>
    <x v="2"/>
    <x v="118"/>
    <x v="0"/>
    <d v="1899-12-31T00:00:00"/>
    <d v="2013-09-30T00:00:00"/>
    <n v="10"/>
    <n v="58"/>
    <n v="89"/>
    <n v="89"/>
    <n v="5"/>
    <n v="74"/>
    <x v="0"/>
    <n v="94"/>
    <x v="3"/>
    <m/>
    <x v="0"/>
    <x v="0"/>
    <x v="0"/>
    <n v="13"/>
    <x v="0"/>
  </r>
  <r>
    <n v="433"/>
    <x v="38"/>
    <x v="2"/>
    <x v="5"/>
    <x v="119"/>
    <x v="1"/>
    <d v="1899-12-31T00:00:00"/>
    <d v="2013-03-10T00:00:00"/>
    <n v="42"/>
    <n v="5"/>
    <n v="5"/>
    <n v="5"/>
    <n v="6"/>
    <n v="68"/>
    <x v="0"/>
    <n v="11"/>
    <x v="3"/>
    <m/>
    <x v="0"/>
    <x v="0"/>
    <x v="0"/>
    <n v="13"/>
    <x v="0"/>
  </r>
  <r>
    <n v="9597"/>
    <x v="21"/>
    <x v="0"/>
    <x v="2"/>
    <x v="120"/>
    <x v="0"/>
    <d v="1899-12-30T00:00:00"/>
    <d v="2014-02-10T00:00:00"/>
    <n v="10"/>
    <n v="106"/>
    <n v="41"/>
    <n v="41"/>
    <n v="9"/>
    <n v="57"/>
    <x v="0"/>
    <n v="50"/>
    <x v="3"/>
    <m/>
    <x v="0"/>
    <x v="0"/>
    <x v="0"/>
    <n v="12"/>
    <x v="0"/>
  </r>
  <r>
    <n v="1295"/>
    <x v="24"/>
    <x v="0"/>
    <x v="2"/>
    <x v="10"/>
    <x v="0"/>
    <d v="1899-12-31T00:00:00"/>
    <d v="2013-08-11T00:00:00"/>
    <n v="96"/>
    <n v="65"/>
    <n v="71"/>
    <n v="71"/>
    <n v="7"/>
    <n v="63"/>
    <x v="0"/>
    <n v="78"/>
    <x v="3"/>
    <m/>
    <x v="0"/>
    <x v="2"/>
    <x v="0"/>
    <n v="13"/>
    <x v="0"/>
  </r>
  <r>
    <n v="5290"/>
    <x v="31"/>
    <x v="1"/>
    <x v="2"/>
    <x v="121"/>
    <x v="1"/>
    <d v="1899-12-31T00:00:00"/>
    <d v="2013-08-14T00:00:00"/>
    <n v="51"/>
    <n v="0"/>
    <n v="0"/>
    <n v="0"/>
    <n v="5"/>
    <n v="62"/>
    <x v="0"/>
    <n v="5"/>
    <x v="3"/>
    <m/>
    <x v="0"/>
    <x v="1"/>
    <x v="0"/>
    <n v="13"/>
    <x v="0"/>
  </r>
  <r>
    <n v="1685"/>
    <x v="5"/>
    <x v="1"/>
    <x v="1"/>
    <x v="122"/>
    <x v="0"/>
    <d v="1899-12-30T00:00:00"/>
    <d v="2013-03-17T00:00:00"/>
    <n v="21"/>
    <n v="14"/>
    <n v="44"/>
    <n v="44"/>
    <n v="13"/>
    <n v="59"/>
    <x v="0"/>
    <n v="57"/>
    <x v="3"/>
    <m/>
    <x v="0"/>
    <x v="0"/>
    <x v="0"/>
    <n v="13"/>
    <x v="0"/>
  </r>
  <r>
    <n v="5342"/>
    <x v="11"/>
    <x v="3"/>
    <x v="3"/>
    <x v="123"/>
    <x v="1"/>
    <d v="1899-12-30T00:00:00"/>
    <d v="2012-08-08T00:00:00"/>
    <n v="31"/>
    <n v="1"/>
    <n v="6"/>
    <n v="6"/>
    <n v="3"/>
    <n v="50"/>
    <x v="1"/>
    <n v="9"/>
    <x v="3"/>
    <m/>
    <x v="0"/>
    <x v="2"/>
    <x v="0"/>
    <n v="14"/>
    <x v="0"/>
  </r>
  <r>
    <n v="9579"/>
    <x v="12"/>
    <x v="1"/>
    <x v="2"/>
    <x v="124"/>
    <x v="2"/>
    <d v="1899-12-31T00:00:00"/>
    <d v="2013-07-07T00:00:00"/>
    <n v="61"/>
    <n v="1"/>
    <n v="0"/>
    <n v="0"/>
    <n v="2"/>
    <n v="67"/>
    <x v="0"/>
    <n v="2"/>
    <x v="3"/>
    <m/>
    <x v="0"/>
    <x v="1"/>
    <x v="0"/>
    <n v="13"/>
    <x v="0"/>
  </r>
  <r>
    <n v="7660"/>
    <x v="26"/>
    <x v="1"/>
    <x v="5"/>
    <x v="125"/>
    <x v="1"/>
    <d v="1899-12-31T00:00:00"/>
    <d v="2014-05-19T00:00:00"/>
    <n v="37"/>
    <n v="0"/>
    <n v="2"/>
    <n v="2"/>
    <n v="2"/>
    <n v="53"/>
    <x v="0"/>
    <n v="4"/>
    <x v="3"/>
    <m/>
    <x v="0"/>
    <x v="1"/>
    <x v="0"/>
    <n v="12"/>
    <x v="0"/>
  </r>
  <r>
    <n v="1461"/>
    <x v="2"/>
    <x v="1"/>
    <x v="3"/>
    <x v="126"/>
    <x v="1"/>
    <d v="1899-12-31T00:00:00"/>
    <d v="2013-07-28T00:00:00"/>
    <n v="74"/>
    <n v="1"/>
    <n v="1"/>
    <n v="1"/>
    <n v="3"/>
    <n v="61"/>
    <x v="0"/>
    <n v="4"/>
    <x v="3"/>
    <m/>
    <x v="0"/>
    <x v="1"/>
    <x v="0"/>
    <n v="13"/>
    <x v="0"/>
  </r>
  <r>
    <n v="821"/>
    <x v="47"/>
    <x v="2"/>
    <x v="0"/>
    <x v="127"/>
    <x v="0"/>
    <d v="1899-12-30T00:00:00"/>
    <d v="2012-10-19T00:00:00"/>
    <n v="46"/>
    <n v="61"/>
    <n v="61"/>
    <n v="61"/>
    <n v="12"/>
    <n v="34"/>
    <x v="1"/>
    <n v="73"/>
    <x v="3"/>
    <m/>
    <x v="0"/>
    <x v="3"/>
    <x v="0"/>
    <n v="14"/>
    <x v="0"/>
  </r>
  <r>
    <n v="11084"/>
    <x v="11"/>
    <x v="2"/>
    <x v="1"/>
    <x v="128"/>
    <x v="0"/>
    <d v="1899-12-31T00:00:00"/>
    <d v="2013-11-14T00:00:00"/>
    <n v="4"/>
    <n v="0"/>
    <n v="20"/>
    <n v="20"/>
    <n v="7"/>
    <n v="50"/>
    <x v="1"/>
    <n v="27"/>
    <x v="3"/>
    <m/>
    <x v="0"/>
    <x v="0"/>
    <x v="0"/>
    <n v="13"/>
    <x v="0"/>
  </r>
  <r>
    <n v="8690"/>
    <x v="43"/>
    <x v="0"/>
    <x v="2"/>
    <x v="129"/>
    <x v="0"/>
    <d v="1899-12-30T00:00:00"/>
    <d v="2013-04-19T00:00:00"/>
    <n v="73"/>
    <n v="28"/>
    <n v="40"/>
    <n v="40"/>
    <n v="10"/>
    <n v="64"/>
    <x v="0"/>
    <n v="50"/>
    <x v="3"/>
    <m/>
    <x v="0"/>
    <x v="3"/>
    <x v="0"/>
    <n v="13"/>
    <x v="0"/>
  </r>
  <r>
    <n v="2937"/>
    <x v="8"/>
    <x v="1"/>
    <x v="0"/>
    <x v="130"/>
    <x v="0"/>
    <d v="1899-12-31T00:00:00"/>
    <d v="2013-08-28T00:00:00"/>
    <n v="47"/>
    <n v="16"/>
    <n v="33"/>
    <n v="33"/>
    <n v="9"/>
    <n v="52"/>
    <x v="0"/>
    <n v="42"/>
    <x v="3"/>
    <m/>
    <x v="0"/>
    <x v="0"/>
    <x v="0"/>
    <n v="13"/>
    <x v="0"/>
  </r>
  <r>
    <n v="9701"/>
    <x v="36"/>
    <x v="0"/>
    <x v="1"/>
    <x v="131"/>
    <x v="1"/>
    <d v="1899-12-30T00:00:00"/>
    <d v="2013-03-19T00:00:00"/>
    <n v="13"/>
    <n v="34"/>
    <n v="16"/>
    <n v="16"/>
    <n v="3"/>
    <n v="38"/>
    <x v="1"/>
    <n v="19"/>
    <x v="3"/>
    <m/>
    <x v="0"/>
    <x v="1"/>
    <x v="0"/>
    <n v="13"/>
    <x v="0"/>
  </r>
  <r>
    <n v="9949"/>
    <x v="11"/>
    <x v="0"/>
    <x v="2"/>
    <x v="132"/>
    <x v="0"/>
    <d v="1900-01-01T00:00:00"/>
    <d v="2012-10-18T00:00:00"/>
    <n v="36"/>
    <n v="16"/>
    <n v="41"/>
    <n v="41"/>
    <n v="6"/>
    <n v="50"/>
    <x v="1"/>
    <n v="47"/>
    <x v="3"/>
    <m/>
    <x v="0"/>
    <x v="0"/>
    <x v="0"/>
    <n v="14"/>
    <x v="0"/>
  </r>
  <r>
    <n v="10837"/>
    <x v="28"/>
    <x v="0"/>
    <x v="2"/>
    <x v="133"/>
    <x v="1"/>
    <d v="1899-12-30T00:00:00"/>
    <d v="2012-10-28T00:00:00"/>
    <n v="47"/>
    <n v="1"/>
    <n v="11"/>
    <n v="11"/>
    <n v="3"/>
    <n v="51"/>
    <x v="0"/>
    <n v="14"/>
    <x v="3"/>
    <m/>
    <x v="0"/>
    <x v="2"/>
    <x v="0"/>
    <n v="14"/>
    <x v="0"/>
  </r>
  <r>
    <n v="3120"/>
    <x v="4"/>
    <x v="0"/>
    <x v="1"/>
    <x v="134"/>
    <x v="1"/>
    <d v="1899-12-30T00:00:00"/>
    <d v="2013-08-28T00:00:00"/>
    <n v="49"/>
    <n v="1"/>
    <n v="1"/>
    <n v="1"/>
    <n v="2"/>
    <n v="45"/>
    <x v="1"/>
    <n v="3"/>
    <x v="3"/>
    <m/>
    <x v="0"/>
    <x v="1"/>
    <x v="0"/>
    <n v="13"/>
    <x v="0"/>
  </r>
  <r>
    <n v="5885"/>
    <x v="26"/>
    <x v="4"/>
    <x v="2"/>
    <x v="135"/>
    <x v="2"/>
    <d v="1899-12-31T00:00:00"/>
    <d v="2012-08-22T00:00:00"/>
    <n v="94"/>
    <n v="3"/>
    <n v="1"/>
    <n v="1"/>
    <n v="4"/>
    <n v="53"/>
    <x v="0"/>
    <n v="5"/>
    <x v="3"/>
    <m/>
    <x v="0"/>
    <x v="1"/>
    <x v="0"/>
    <n v="14"/>
    <x v="0"/>
  </r>
  <r>
    <n v="4050"/>
    <x v="35"/>
    <x v="2"/>
    <x v="2"/>
    <x v="136"/>
    <x v="0"/>
    <d v="1899-12-30T00:00:00"/>
    <d v="2014-06-21T00:00:00"/>
    <n v="65"/>
    <n v="16"/>
    <n v="20"/>
    <n v="20"/>
    <n v="4"/>
    <n v="60"/>
    <x v="0"/>
    <n v="24"/>
    <x v="3"/>
    <m/>
    <x v="0"/>
    <x v="1"/>
    <x v="0"/>
    <n v="12"/>
    <x v="0"/>
  </r>
  <r>
    <n v="3830"/>
    <x v="44"/>
    <x v="2"/>
    <x v="2"/>
    <x v="13"/>
    <x v="0"/>
    <d v="1900-01-01T00:00:00"/>
    <d v="2014-04-24T00:00:00"/>
    <n v="59"/>
    <n v="21"/>
    <n v="13"/>
    <n v="13"/>
    <n v="7"/>
    <n v="73"/>
    <x v="0"/>
    <n v="20"/>
    <x v="3"/>
    <m/>
    <x v="0"/>
    <x v="0"/>
    <x v="0"/>
    <n v="12"/>
    <x v="0"/>
  </r>
  <r>
    <n v="7987"/>
    <x v="21"/>
    <x v="0"/>
    <x v="2"/>
    <x v="137"/>
    <x v="0"/>
    <d v="1899-12-31T00:00:00"/>
    <d v="2014-03-07T00:00:00"/>
    <n v="96"/>
    <n v="17"/>
    <n v="13"/>
    <n v="13"/>
    <n v="6"/>
    <n v="57"/>
    <x v="0"/>
    <n v="19"/>
    <x v="3"/>
    <m/>
    <x v="0"/>
    <x v="0"/>
    <x v="0"/>
    <n v="12"/>
    <x v="0"/>
  </r>
  <r>
    <n v="7798"/>
    <x v="39"/>
    <x v="4"/>
    <x v="1"/>
    <x v="1"/>
    <x v="0"/>
    <d v="1899-12-31T00:00:00"/>
    <d v="2012-12-14T00:00:00"/>
    <n v="28"/>
    <n v="20"/>
    <n v="20"/>
    <n v="20"/>
    <n v="5"/>
    <n v="54"/>
    <x v="0"/>
    <n v="25"/>
    <x v="3"/>
    <m/>
    <x v="0"/>
    <x v="1"/>
    <x v="0"/>
    <n v="14"/>
    <x v="0"/>
  </r>
  <r>
    <n v="92"/>
    <x v="36"/>
    <x v="0"/>
    <x v="5"/>
    <x v="138"/>
    <x v="1"/>
    <d v="1899-12-30T00:00:00"/>
    <d v="2014-05-12T00:00:00"/>
    <n v="12"/>
    <n v="7"/>
    <n v="14"/>
    <n v="14"/>
    <n v="4"/>
    <n v="38"/>
    <x v="1"/>
    <n v="18"/>
    <x v="3"/>
    <m/>
    <x v="0"/>
    <x v="1"/>
    <x v="0"/>
    <n v="12"/>
    <x v="0"/>
  </r>
  <r>
    <n v="7055"/>
    <x v="13"/>
    <x v="1"/>
    <x v="1"/>
    <x v="139"/>
    <x v="0"/>
    <d v="1899-12-31T00:00:00"/>
    <d v="2012-10-09T00:00:00"/>
    <n v="57"/>
    <n v="0"/>
    <n v="0"/>
    <n v="0"/>
    <n v="11"/>
    <n v="74"/>
    <x v="0"/>
    <n v="11"/>
    <x v="3"/>
    <m/>
    <x v="0"/>
    <x v="0"/>
    <x v="0"/>
    <n v="14"/>
    <x v="0"/>
  </r>
  <r>
    <n v="10240"/>
    <x v="17"/>
    <x v="0"/>
    <x v="1"/>
    <x v="140"/>
    <x v="0"/>
    <d v="1899-12-30T00:00:00"/>
    <d v="2013-02-19T00:00:00"/>
    <n v="10"/>
    <n v="26"/>
    <n v="13"/>
    <n v="13"/>
    <n v="6"/>
    <n v="77"/>
    <x v="0"/>
    <n v="19"/>
    <x v="3"/>
    <m/>
    <x v="0"/>
    <x v="0"/>
    <x v="0"/>
    <n v="13"/>
    <x v="0"/>
  </r>
  <r>
    <n v="3025"/>
    <x v="38"/>
    <x v="0"/>
    <x v="0"/>
    <x v="141"/>
    <x v="0"/>
    <d v="1899-12-31T00:00:00"/>
    <d v="2013-07-08T00:00:00"/>
    <n v="4"/>
    <n v="6"/>
    <n v="12"/>
    <n v="12"/>
    <n v="5"/>
    <n v="68"/>
    <x v="0"/>
    <n v="17"/>
    <x v="3"/>
    <m/>
    <x v="0"/>
    <x v="1"/>
    <x v="0"/>
    <n v="13"/>
    <x v="0"/>
  </r>
  <r>
    <n v="9283"/>
    <x v="33"/>
    <x v="0"/>
    <x v="0"/>
    <x v="142"/>
    <x v="1"/>
    <d v="1900-01-01T00:00:00"/>
    <d v="2013-09-12T00:00:00"/>
    <n v="49"/>
    <n v="1"/>
    <n v="0"/>
    <n v="0"/>
    <n v="3"/>
    <n v="48"/>
    <x v="1"/>
    <n v="3"/>
    <x v="3"/>
    <m/>
    <x v="0"/>
    <x v="0"/>
    <x v="0"/>
    <n v="13"/>
    <x v="0"/>
  </r>
  <r>
    <n v="9970"/>
    <x v="32"/>
    <x v="0"/>
    <x v="1"/>
    <x v="143"/>
    <x v="0"/>
    <d v="1899-12-31T00:00:00"/>
    <d v="2013-10-17T00:00:00"/>
    <n v="3"/>
    <n v="11"/>
    <n v="28"/>
    <n v="28"/>
    <n v="6"/>
    <n v="49"/>
    <x v="1"/>
    <n v="34"/>
    <x v="3"/>
    <m/>
    <x v="0"/>
    <x v="0"/>
    <x v="0"/>
    <n v="13"/>
    <x v="0"/>
  </r>
  <r>
    <n v="2730"/>
    <x v="34"/>
    <x v="0"/>
    <x v="0"/>
    <x v="144"/>
    <x v="0"/>
    <d v="1899-12-30T00:00:00"/>
    <d v="2013-08-20T00:00:00"/>
    <n v="64"/>
    <n v="11"/>
    <n v="91"/>
    <n v="91"/>
    <n v="10"/>
    <n v="71"/>
    <x v="0"/>
    <n v="101"/>
    <x v="3"/>
    <m/>
    <x v="0"/>
    <x v="3"/>
    <x v="0"/>
    <n v="13"/>
    <x v="0"/>
  </r>
  <r>
    <n v="2795"/>
    <x v="38"/>
    <x v="2"/>
    <x v="0"/>
    <x v="145"/>
    <x v="2"/>
    <d v="1899-12-31T00:00:00"/>
    <d v="2013-07-01T00:00:00"/>
    <n v="0"/>
    <n v="0"/>
    <n v="0"/>
    <n v="0"/>
    <n v="2"/>
    <n v="68"/>
    <x v="0"/>
    <n v="2"/>
    <x v="3"/>
    <m/>
    <x v="0"/>
    <x v="1"/>
    <x v="0"/>
    <n v="13"/>
    <x v="0"/>
  </r>
  <r>
    <n v="9260"/>
    <x v="41"/>
    <x v="1"/>
    <x v="2"/>
    <x v="146"/>
    <x v="0"/>
    <d v="1899-12-30T00:00:00"/>
    <d v="2012-11-05T00:00:00"/>
    <n v="20"/>
    <n v="16"/>
    <n v="16"/>
    <n v="16"/>
    <n v="9"/>
    <n v="81"/>
    <x v="0"/>
    <n v="25"/>
    <x v="3"/>
    <m/>
    <x v="0"/>
    <x v="0"/>
    <x v="0"/>
    <n v="14"/>
    <x v="0"/>
  </r>
  <r>
    <n v="8182"/>
    <x v="3"/>
    <x v="0"/>
    <x v="2"/>
    <x v="147"/>
    <x v="1"/>
    <d v="1899-12-30T00:00:00"/>
    <d v="2014-01-05T00:00:00"/>
    <n v="91"/>
    <n v="3"/>
    <n v="4"/>
    <n v="4"/>
    <n v="4"/>
    <n v="42"/>
    <x v="1"/>
    <n v="8"/>
    <x v="3"/>
    <m/>
    <x v="0"/>
    <x v="2"/>
    <x v="0"/>
    <n v="12"/>
    <x v="0"/>
  </r>
  <r>
    <n v="10095"/>
    <x v="28"/>
    <x v="1"/>
    <x v="3"/>
    <x v="148"/>
    <x v="0"/>
    <d v="1899-12-30T00:00:00"/>
    <d v="2013-05-01T00:00:00"/>
    <n v="9"/>
    <n v="12"/>
    <n v="12"/>
    <n v="12"/>
    <n v="10"/>
    <n v="51"/>
    <x v="0"/>
    <n v="22"/>
    <x v="3"/>
    <m/>
    <x v="0"/>
    <x v="0"/>
    <x v="0"/>
    <n v="13"/>
    <x v="0"/>
  </r>
  <r>
    <n v="8475"/>
    <x v="26"/>
    <x v="1"/>
    <x v="2"/>
    <x v="149"/>
    <x v="0"/>
    <d v="1899-12-31T00:00:00"/>
    <d v="2014-03-01T00:00:00"/>
    <n v="98"/>
    <n v="2"/>
    <n v="2"/>
    <n v="2"/>
    <n v="0"/>
    <n v="53"/>
    <x v="0"/>
    <n v="2"/>
    <x v="3"/>
    <m/>
    <x v="0"/>
    <x v="4"/>
    <x v="0"/>
    <n v="12"/>
    <x v="0"/>
  </r>
  <r>
    <n v="4370"/>
    <x v="35"/>
    <x v="0"/>
    <x v="1"/>
    <x v="150"/>
    <x v="2"/>
    <d v="1899-12-31T00:00:00"/>
    <d v="2013-11-13T00:00:00"/>
    <n v="83"/>
    <n v="1"/>
    <n v="3"/>
    <n v="3"/>
    <n v="4"/>
    <n v="60"/>
    <x v="0"/>
    <n v="7"/>
    <x v="3"/>
    <m/>
    <x v="0"/>
    <x v="1"/>
    <x v="0"/>
    <n v="13"/>
    <x v="0"/>
  </r>
  <r>
    <n v="10573"/>
    <x v="44"/>
    <x v="0"/>
    <x v="3"/>
    <x v="151"/>
    <x v="0"/>
    <d v="1899-12-30T00:00:00"/>
    <d v="2013-11-18T00:00:00"/>
    <n v="27"/>
    <n v="16"/>
    <n v="21"/>
    <n v="21"/>
    <n v="4"/>
    <n v="73"/>
    <x v="0"/>
    <n v="25"/>
    <x v="3"/>
    <m/>
    <x v="0"/>
    <x v="0"/>
    <x v="0"/>
    <n v="13"/>
    <x v="0"/>
  </r>
  <r>
    <n v="3712"/>
    <x v="12"/>
    <x v="0"/>
    <x v="3"/>
    <x v="152"/>
    <x v="0"/>
    <d v="1899-12-30T00:00:00"/>
    <d v="2013-08-28T00:00:00"/>
    <n v="63"/>
    <n v="5"/>
    <n v="0"/>
    <n v="0"/>
    <n v="6"/>
    <n v="67"/>
    <x v="0"/>
    <n v="6"/>
    <x v="3"/>
    <m/>
    <x v="0"/>
    <x v="0"/>
    <x v="0"/>
    <n v="13"/>
    <x v="0"/>
  </r>
  <r>
    <n v="6637"/>
    <x v="36"/>
    <x v="0"/>
    <x v="0"/>
    <x v="153"/>
    <x v="0"/>
    <d v="1899-12-30T00:00:00"/>
    <d v="2013-11-02T00:00:00"/>
    <n v="46"/>
    <n v="162"/>
    <n v="76"/>
    <n v="76"/>
    <n v="7"/>
    <n v="38"/>
    <x v="1"/>
    <n v="83"/>
    <x v="3"/>
    <m/>
    <x v="0"/>
    <x v="0"/>
    <x v="0"/>
    <n v="13"/>
    <x v="0"/>
  </r>
  <r>
    <n v="3152"/>
    <x v="0"/>
    <x v="0"/>
    <x v="1"/>
    <x v="154"/>
    <x v="1"/>
    <d v="1899-12-31T00:00:00"/>
    <d v="2014-02-25T00:00:00"/>
    <n v="84"/>
    <n v="10"/>
    <n v="17"/>
    <n v="17"/>
    <n v="3"/>
    <n v="69"/>
    <x v="0"/>
    <n v="20"/>
    <x v="3"/>
    <m/>
    <x v="0"/>
    <x v="2"/>
    <x v="0"/>
    <n v="12"/>
    <x v="0"/>
  </r>
  <r>
    <n v="5610"/>
    <x v="2"/>
    <x v="0"/>
    <x v="1"/>
    <x v="155"/>
    <x v="1"/>
    <d v="1899-12-31T00:00:00"/>
    <d v="2014-04-21T00:00:00"/>
    <n v="58"/>
    <n v="3"/>
    <n v="1"/>
    <n v="1"/>
    <n v="3"/>
    <n v="61"/>
    <x v="0"/>
    <n v="4"/>
    <x v="3"/>
    <m/>
    <x v="0"/>
    <x v="1"/>
    <x v="0"/>
    <n v="12"/>
    <x v="0"/>
  </r>
  <r>
    <n v="6460"/>
    <x v="18"/>
    <x v="0"/>
    <x v="2"/>
    <x v="156"/>
    <x v="1"/>
    <d v="1899-12-30T00:00:00"/>
    <d v="2013-07-13T00:00:00"/>
    <n v="78"/>
    <n v="4"/>
    <n v="8"/>
    <n v="8"/>
    <n v="3"/>
    <n v="44"/>
    <x v="1"/>
    <n v="11"/>
    <x v="3"/>
    <m/>
    <x v="0"/>
    <x v="2"/>
    <x v="0"/>
    <n v="13"/>
    <x v="0"/>
  </r>
  <r>
    <n v="1349"/>
    <x v="25"/>
    <x v="0"/>
    <x v="2"/>
    <x v="157"/>
    <x v="2"/>
    <d v="1899-12-30T00:00:00"/>
    <d v="2014-04-21T00:00:00"/>
    <n v="4"/>
    <n v="7"/>
    <n v="3"/>
    <n v="3"/>
    <n v="3"/>
    <n v="56"/>
    <x v="0"/>
    <n v="6"/>
    <x v="3"/>
    <m/>
    <x v="0"/>
    <x v="0"/>
    <x v="0"/>
    <n v="12"/>
    <x v="0"/>
  </r>
  <r>
    <n v="1880"/>
    <x v="12"/>
    <x v="1"/>
    <x v="1"/>
    <x v="158"/>
    <x v="1"/>
    <d v="1899-12-31T00:00:00"/>
    <d v="2014-01-30T00:00:00"/>
    <n v="17"/>
    <n v="0"/>
    <n v="0"/>
    <n v="0"/>
    <n v="3"/>
    <n v="67"/>
    <x v="0"/>
    <n v="3"/>
    <x v="3"/>
    <m/>
    <x v="0"/>
    <x v="0"/>
    <x v="0"/>
    <n v="12"/>
    <x v="0"/>
  </r>
  <r>
    <n v="641"/>
    <x v="5"/>
    <x v="0"/>
    <x v="0"/>
    <x v="159"/>
    <x v="0"/>
    <d v="1899-12-31T00:00:00"/>
    <d v="2014-04-04T00:00:00"/>
    <n v="77"/>
    <n v="0"/>
    <n v="0"/>
    <n v="0"/>
    <n v="2"/>
    <n v="59"/>
    <x v="0"/>
    <n v="2"/>
    <x v="3"/>
    <m/>
    <x v="0"/>
    <x v="0"/>
    <x v="0"/>
    <n v="12"/>
    <x v="0"/>
  </r>
  <r>
    <n v="8717"/>
    <x v="28"/>
    <x v="1"/>
    <x v="2"/>
    <x v="160"/>
    <x v="0"/>
    <d v="1899-12-31T00:00:00"/>
    <d v="2012-09-12T00:00:00"/>
    <n v="56"/>
    <n v="71"/>
    <n v="71"/>
    <n v="71"/>
    <n v="8"/>
    <n v="51"/>
    <x v="0"/>
    <n v="79"/>
    <x v="3"/>
    <m/>
    <x v="0"/>
    <x v="3"/>
    <x v="0"/>
    <n v="14"/>
    <x v="0"/>
  </r>
  <r>
    <n v="10314"/>
    <x v="37"/>
    <x v="1"/>
    <x v="2"/>
    <x v="161"/>
    <x v="0"/>
    <d v="1899-12-30T00:00:00"/>
    <d v="2012-12-16T00:00:00"/>
    <n v="79"/>
    <n v="66"/>
    <n v="89"/>
    <n v="89"/>
    <n v="5"/>
    <n v="78"/>
    <x v="0"/>
    <n v="94"/>
    <x v="3"/>
    <m/>
    <x v="0"/>
    <x v="3"/>
    <x v="0"/>
    <n v="14"/>
    <x v="0"/>
  </r>
  <r>
    <n v="10854"/>
    <x v="25"/>
    <x v="1"/>
    <x v="2"/>
    <x v="162"/>
    <x v="1"/>
    <d v="1899-12-31T00:00:00"/>
    <d v="2014-05-23T00:00:00"/>
    <n v="90"/>
    <n v="0"/>
    <n v="0"/>
    <n v="0"/>
    <n v="3"/>
    <n v="56"/>
    <x v="0"/>
    <n v="3"/>
    <x v="3"/>
    <m/>
    <x v="0"/>
    <x v="1"/>
    <x v="0"/>
    <n v="12"/>
    <x v="0"/>
  </r>
  <r>
    <n v="10492"/>
    <x v="12"/>
    <x v="0"/>
    <x v="1"/>
    <x v="163"/>
    <x v="2"/>
    <d v="1899-12-31T00:00:00"/>
    <d v="2014-06-24T00:00:00"/>
    <n v="96"/>
    <n v="0"/>
    <n v="0"/>
    <n v="0"/>
    <n v="3"/>
    <n v="67"/>
    <x v="0"/>
    <n v="3"/>
    <x v="3"/>
    <m/>
    <x v="0"/>
    <x v="1"/>
    <x v="0"/>
    <n v="12"/>
    <x v="0"/>
  </r>
  <r>
    <n v="6935"/>
    <x v="20"/>
    <x v="4"/>
    <x v="2"/>
    <x v="87"/>
    <x v="0"/>
    <d v="1899-12-30T00:00:00"/>
    <d v="2013-12-01T00:00:00"/>
    <n v="44"/>
    <n v="26"/>
    <n v="0"/>
    <n v="0"/>
    <n v="12"/>
    <n v="75"/>
    <x v="0"/>
    <n v="12"/>
    <x v="3"/>
    <m/>
    <x v="0"/>
    <x v="3"/>
    <x v="0"/>
    <n v="13"/>
    <x v="0"/>
  </r>
  <r>
    <n v="7698"/>
    <x v="11"/>
    <x v="1"/>
    <x v="2"/>
    <x v="164"/>
    <x v="0"/>
    <d v="1899-12-31T00:00:00"/>
    <d v="2014-05-11T00:00:00"/>
    <n v="81"/>
    <n v="3"/>
    <n v="5"/>
    <n v="5"/>
    <n v="4"/>
    <n v="50"/>
    <x v="1"/>
    <n v="9"/>
    <x v="3"/>
    <m/>
    <x v="0"/>
    <x v="0"/>
    <x v="0"/>
    <n v="12"/>
    <x v="0"/>
  </r>
  <r>
    <n v="3559"/>
    <x v="36"/>
    <x v="4"/>
    <x v="2"/>
    <x v="165"/>
    <x v="1"/>
    <d v="1899-12-30T00:00:00"/>
    <d v="2014-05-10T00:00:00"/>
    <n v="77"/>
    <n v="11"/>
    <n v="12"/>
    <n v="12"/>
    <n v="3"/>
    <n v="38"/>
    <x v="1"/>
    <n v="15"/>
    <x v="3"/>
    <m/>
    <x v="0"/>
    <x v="2"/>
    <x v="0"/>
    <n v="12"/>
    <x v="0"/>
  </r>
  <r>
    <n v="10562"/>
    <x v="15"/>
    <x v="2"/>
    <x v="2"/>
    <x v="166"/>
    <x v="0"/>
    <d v="1899-12-30T00:00:00"/>
    <d v="2013-09-28T00:00:00"/>
    <n v="21"/>
    <n v="26"/>
    <n v="17"/>
    <n v="17"/>
    <n v="13"/>
    <n v="80"/>
    <x v="0"/>
    <n v="30"/>
    <x v="3"/>
    <m/>
    <x v="0"/>
    <x v="0"/>
    <x v="0"/>
    <n v="13"/>
    <x v="0"/>
  </r>
  <r>
    <n v="10796"/>
    <x v="3"/>
    <x v="2"/>
    <x v="2"/>
    <x v="167"/>
    <x v="1"/>
    <d v="1899-12-30T00:00:00"/>
    <d v="2014-01-22T00:00:00"/>
    <n v="16"/>
    <n v="1"/>
    <n v="0"/>
    <n v="0"/>
    <n v="3"/>
    <n v="42"/>
    <x v="1"/>
    <n v="3"/>
    <x v="3"/>
    <m/>
    <x v="0"/>
    <x v="1"/>
    <x v="0"/>
    <n v="12"/>
    <x v="0"/>
  </r>
  <r>
    <n v="2563"/>
    <x v="45"/>
    <x v="3"/>
    <x v="2"/>
    <x v="168"/>
    <x v="0"/>
    <d v="1899-12-30T00:00:00"/>
    <d v="2014-06-15T00:00:00"/>
    <n v="80"/>
    <n v="9"/>
    <n v="14"/>
    <n v="14"/>
    <n v="3"/>
    <n v="65"/>
    <x v="0"/>
    <n v="17"/>
    <x v="3"/>
    <m/>
    <x v="0"/>
    <x v="2"/>
    <x v="0"/>
    <n v="12"/>
    <x v="0"/>
  </r>
  <r>
    <n v="3518"/>
    <x v="10"/>
    <x v="0"/>
    <x v="2"/>
    <x v="169"/>
    <x v="1"/>
    <d v="1899-12-30T00:00:00"/>
    <d v="2012-12-05T00:00:00"/>
    <n v="45"/>
    <n v="1"/>
    <n v="4"/>
    <n v="4"/>
    <n v="2"/>
    <n v="43"/>
    <x v="1"/>
    <n v="6"/>
    <x v="3"/>
    <m/>
    <x v="0"/>
    <x v="2"/>
    <x v="0"/>
    <n v="14"/>
    <x v="0"/>
  </r>
  <r>
    <n v="5823"/>
    <x v="25"/>
    <x v="1"/>
    <x v="0"/>
    <x v="170"/>
    <x v="0"/>
    <d v="1899-12-31T00:00:00"/>
    <d v="2014-03-08T00:00:00"/>
    <n v="63"/>
    <n v="0"/>
    <n v="0"/>
    <n v="0"/>
    <n v="4"/>
    <n v="56"/>
    <x v="0"/>
    <n v="4"/>
    <x v="3"/>
    <m/>
    <x v="0"/>
    <x v="1"/>
    <x v="0"/>
    <n v="12"/>
    <x v="0"/>
  </r>
  <r>
    <n v="3934"/>
    <x v="35"/>
    <x v="0"/>
    <x v="2"/>
    <x v="171"/>
    <x v="0"/>
    <d v="1899-12-31T00:00:00"/>
    <d v="2013-08-02T00:00:00"/>
    <n v="34"/>
    <n v="0"/>
    <n v="9"/>
    <n v="9"/>
    <n v="8"/>
    <n v="60"/>
    <x v="0"/>
    <n v="17"/>
    <x v="3"/>
    <m/>
    <x v="0"/>
    <x v="0"/>
    <x v="0"/>
    <n v="13"/>
    <x v="0"/>
  </r>
  <r>
    <n v="6982"/>
    <x v="11"/>
    <x v="0"/>
    <x v="2"/>
    <x v="172"/>
    <x v="0"/>
    <d v="1899-12-30T00:00:00"/>
    <d v="2013-03-19T00:00:00"/>
    <n v="14"/>
    <n v="30"/>
    <n v="76"/>
    <n v="76"/>
    <n v="9"/>
    <n v="50"/>
    <x v="1"/>
    <n v="85"/>
    <x v="3"/>
    <m/>
    <x v="0"/>
    <x v="0"/>
    <x v="0"/>
    <n v="13"/>
    <x v="0"/>
  </r>
  <r>
    <n v="6431"/>
    <x v="31"/>
    <x v="1"/>
    <x v="2"/>
    <x v="173"/>
    <x v="1"/>
    <d v="1899-12-31T00:00:00"/>
    <d v="2013-02-23T00:00:00"/>
    <n v="13"/>
    <n v="1"/>
    <n v="0"/>
    <n v="0"/>
    <n v="3"/>
    <n v="62"/>
    <x v="0"/>
    <n v="3"/>
    <x v="3"/>
    <m/>
    <x v="0"/>
    <x v="1"/>
    <x v="0"/>
    <n v="13"/>
    <x v="0"/>
  </r>
  <r>
    <n v="9733"/>
    <x v="33"/>
    <x v="3"/>
    <x v="1"/>
    <x v="174"/>
    <x v="1"/>
    <d v="1899-12-30T00:00:00"/>
    <d v="2012-09-09T00:00:00"/>
    <n v="52"/>
    <n v="4"/>
    <n v="0"/>
    <n v="0"/>
    <n v="2"/>
    <n v="48"/>
    <x v="1"/>
    <n v="2"/>
    <x v="3"/>
    <m/>
    <x v="0"/>
    <x v="2"/>
    <x v="0"/>
    <n v="14"/>
    <x v="0"/>
  </r>
  <r>
    <n v="5602"/>
    <x v="23"/>
    <x v="1"/>
    <x v="1"/>
    <x v="175"/>
    <x v="0"/>
    <d v="1899-12-30T00:00:00"/>
    <d v="2013-05-17T00:00:00"/>
    <n v="98"/>
    <n v="22"/>
    <n v="113"/>
    <n v="113"/>
    <n v="12"/>
    <n v="37"/>
    <x v="1"/>
    <n v="125"/>
    <x v="3"/>
    <m/>
    <x v="0"/>
    <x v="0"/>
    <x v="0"/>
    <n v="13"/>
    <x v="0"/>
  </r>
  <r>
    <n v="7829"/>
    <x v="48"/>
    <x v="4"/>
    <x v="3"/>
    <x v="176"/>
    <x v="1"/>
    <d v="1899-12-30T00:00:00"/>
    <d v="2013-09-26T00:00:00"/>
    <n v="99"/>
    <n v="6"/>
    <n v="4"/>
    <n v="4"/>
    <n v="2"/>
    <n v="126"/>
    <x v="0"/>
    <n v="6"/>
    <x v="3"/>
    <m/>
    <x v="0"/>
    <x v="1"/>
    <x v="0"/>
    <n v="13"/>
    <x v="0"/>
  </r>
  <r>
    <n v="1324"/>
    <x v="36"/>
    <x v="0"/>
    <x v="2"/>
    <x v="177"/>
    <x v="1"/>
    <d v="1899-12-30T00:00:00"/>
    <d v="2013-05-30T00:00:00"/>
    <n v="93"/>
    <n v="3"/>
    <n v="19"/>
    <n v="19"/>
    <n v="3"/>
    <n v="38"/>
    <x v="1"/>
    <n v="22"/>
    <x v="3"/>
    <m/>
    <x v="0"/>
    <x v="1"/>
    <x v="0"/>
    <n v="13"/>
    <x v="0"/>
  </r>
  <r>
    <n v="326"/>
    <x v="26"/>
    <x v="0"/>
    <x v="2"/>
    <x v="178"/>
    <x v="1"/>
    <d v="1899-12-31T00:00:00"/>
    <d v="2013-02-18T00:00:00"/>
    <n v="38"/>
    <n v="6"/>
    <n v="9"/>
    <n v="9"/>
    <n v="6"/>
    <n v="53"/>
    <x v="0"/>
    <n v="15"/>
    <x v="3"/>
    <m/>
    <x v="0"/>
    <x v="0"/>
    <x v="0"/>
    <n v="13"/>
    <x v="0"/>
  </r>
  <r>
    <n v="7224"/>
    <x v="32"/>
    <x v="0"/>
    <x v="2"/>
    <x v="179"/>
    <x v="1"/>
    <d v="1899-12-31T00:00:00"/>
    <d v="2013-12-29T00:00:00"/>
    <n v="24"/>
    <n v="0"/>
    <n v="1"/>
    <n v="1"/>
    <n v="2"/>
    <n v="49"/>
    <x v="1"/>
    <n v="3"/>
    <x v="3"/>
    <m/>
    <x v="0"/>
    <x v="1"/>
    <x v="0"/>
    <n v="13"/>
    <x v="0"/>
  </r>
  <r>
    <n v="6999"/>
    <x v="16"/>
    <x v="2"/>
    <x v="2"/>
    <x v="180"/>
    <x v="0"/>
    <d v="1899-12-30T00:00:00"/>
    <d v="2014-05-13T00:00:00"/>
    <n v="80"/>
    <n v="16"/>
    <n v="16"/>
    <n v="16"/>
    <n v="12"/>
    <n v="46"/>
    <x v="1"/>
    <n v="28"/>
    <x v="3"/>
    <m/>
    <x v="0"/>
    <x v="0"/>
    <x v="0"/>
    <n v="12"/>
    <x v="0"/>
  </r>
  <r>
    <n v="9938"/>
    <x v="1"/>
    <x v="0"/>
    <x v="2"/>
    <x v="181"/>
    <x v="0"/>
    <d v="1899-12-30T00:00:00"/>
    <d v="2013-09-19T00:00:00"/>
    <n v="82"/>
    <n v="17"/>
    <n v="173"/>
    <n v="173"/>
    <n v="6"/>
    <n v="72"/>
    <x v="0"/>
    <n v="179"/>
    <x v="3"/>
    <m/>
    <x v="0"/>
    <x v="3"/>
    <x v="0"/>
    <n v="13"/>
    <x v="0"/>
  </r>
  <r>
    <n v="6422"/>
    <x v="1"/>
    <x v="0"/>
    <x v="2"/>
    <x v="182"/>
    <x v="0"/>
    <d v="1899-12-30T00:00:00"/>
    <d v="2013-01-17T00:00:00"/>
    <n v="20"/>
    <n v="189"/>
    <n v="33"/>
    <n v="33"/>
    <n v="5"/>
    <n v="72"/>
    <x v="0"/>
    <n v="38"/>
    <x v="3"/>
    <m/>
    <x v="0"/>
    <x v="3"/>
    <x v="0"/>
    <n v="13"/>
    <x v="0"/>
  </r>
  <r>
    <n v="3182"/>
    <x v="26"/>
    <x v="1"/>
    <x v="0"/>
    <x v="183"/>
    <x v="1"/>
    <d v="1899-12-31T00:00:00"/>
    <d v="2014-03-31T00:00:00"/>
    <n v="81"/>
    <n v="1"/>
    <n v="1"/>
    <n v="1"/>
    <n v="3"/>
    <n v="53"/>
    <x v="0"/>
    <n v="4"/>
    <x v="3"/>
    <m/>
    <x v="0"/>
    <x v="1"/>
    <x v="0"/>
    <n v="12"/>
    <x v="0"/>
  </r>
  <r>
    <n v="7300"/>
    <x v="13"/>
    <x v="0"/>
    <x v="3"/>
    <x v="184"/>
    <x v="0"/>
    <d v="1899-12-31T00:00:00"/>
    <d v="2014-06-29T00:00:00"/>
    <n v="50"/>
    <n v="4"/>
    <n v="4"/>
    <n v="4"/>
    <n v="7"/>
    <n v="74"/>
    <x v="0"/>
    <n v="11"/>
    <x v="3"/>
    <m/>
    <x v="0"/>
    <x v="0"/>
    <x v="0"/>
    <n v="12"/>
    <x v="0"/>
  </r>
  <r>
    <n v="10424"/>
    <x v="30"/>
    <x v="0"/>
    <x v="0"/>
    <x v="185"/>
    <x v="0"/>
    <d v="1899-12-30T00:00:00"/>
    <d v="2013-12-09T00:00:00"/>
    <n v="60"/>
    <n v="138"/>
    <n v="23"/>
    <n v="23"/>
    <n v="9"/>
    <n v="58"/>
    <x v="0"/>
    <n v="32"/>
    <x v="3"/>
    <m/>
    <x v="0"/>
    <x v="3"/>
    <x v="0"/>
    <n v="13"/>
    <x v="0"/>
  </r>
  <r>
    <n v="8727"/>
    <x v="33"/>
    <x v="0"/>
    <x v="3"/>
    <x v="186"/>
    <x v="0"/>
    <d v="1899-12-31T00:00:00"/>
    <d v="2013-10-14T00:00:00"/>
    <n v="63"/>
    <n v="43"/>
    <n v="87"/>
    <n v="87"/>
    <n v="9"/>
    <n v="48"/>
    <x v="1"/>
    <n v="96"/>
    <x v="3"/>
    <m/>
    <x v="0"/>
    <x v="0"/>
    <x v="0"/>
    <n v="13"/>
    <x v="0"/>
  </r>
  <r>
    <n v="2798"/>
    <x v="32"/>
    <x v="1"/>
    <x v="1"/>
    <x v="187"/>
    <x v="0"/>
    <d v="1899-12-30T00:00:00"/>
    <d v="2012-11-02T00:00:00"/>
    <n v="54"/>
    <n v="29"/>
    <n v="176"/>
    <n v="176"/>
    <n v="10"/>
    <n v="49"/>
    <x v="1"/>
    <n v="186"/>
    <x v="3"/>
    <m/>
    <x v="0"/>
    <x v="4"/>
    <x v="0"/>
    <n v="14"/>
    <x v="0"/>
  </r>
  <r>
    <n v="1030"/>
    <x v="2"/>
    <x v="1"/>
    <x v="0"/>
    <x v="188"/>
    <x v="1"/>
    <d v="1899-12-31T00:00:00"/>
    <d v="2013-07-17T00:00:00"/>
    <n v="72"/>
    <n v="0"/>
    <n v="0"/>
    <n v="0"/>
    <n v="3"/>
    <n v="61"/>
    <x v="0"/>
    <n v="3"/>
    <x v="3"/>
    <m/>
    <x v="0"/>
    <x v="1"/>
    <x v="0"/>
    <n v="13"/>
    <x v="0"/>
  </r>
  <r>
    <n v="624"/>
    <x v="3"/>
    <x v="2"/>
    <x v="0"/>
    <x v="189"/>
    <x v="0"/>
    <d v="1899-12-30T00:00:00"/>
    <d v="2012-11-10T00:00:00"/>
    <n v="5"/>
    <n v="4"/>
    <n v="2"/>
    <n v="2"/>
    <n v="2"/>
    <n v="42"/>
    <x v="1"/>
    <n v="4"/>
    <x v="3"/>
    <m/>
    <x v="0"/>
    <x v="2"/>
    <x v="0"/>
    <n v="14"/>
    <x v="0"/>
  </r>
  <r>
    <n v="5176"/>
    <x v="36"/>
    <x v="0"/>
    <x v="1"/>
    <x v="190"/>
    <x v="1"/>
    <d v="1899-12-30T00:00:00"/>
    <d v="2013-12-08T00:00:00"/>
    <n v="88"/>
    <n v="6"/>
    <n v="6"/>
    <n v="6"/>
    <n v="3"/>
    <n v="38"/>
    <x v="1"/>
    <n v="9"/>
    <x v="3"/>
    <m/>
    <x v="0"/>
    <x v="2"/>
    <x v="0"/>
    <n v="13"/>
    <x v="0"/>
  </r>
  <r>
    <n v="5552"/>
    <x v="24"/>
    <x v="2"/>
    <x v="3"/>
    <x v="191"/>
    <x v="1"/>
    <d v="1899-12-31T00:00:00"/>
    <d v="2013-05-13T00:00:00"/>
    <n v="50"/>
    <n v="18"/>
    <n v="13"/>
    <n v="13"/>
    <n v="5"/>
    <n v="63"/>
    <x v="0"/>
    <n v="18"/>
    <x v="3"/>
    <m/>
    <x v="0"/>
    <x v="1"/>
    <x v="0"/>
    <n v="13"/>
    <x v="0"/>
  </r>
  <r>
    <n v="868"/>
    <x v="35"/>
    <x v="0"/>
    <x v="2"/>
    <x v="192"/>
    <x v="0"/>
    <d v="1899-12-31T00:00:00"/>
    <d v="2014-06-08T00:00:00"/>
    <n v="99"/>
    <n v="0"/>
    <n v="0"/>
    <n v="0"/>
    <n v="3"/>
    <n v="60"/>
    <x v="0"/>
    <n v="3"/>
    <x v="3"/>
    <m/>
    <x v="0"/>
    <x v="1"/>
    <x v="0"/>
    <n v="12"/>
    <x v="0"/>
  </r>
  <r>
    <n v="380"/>
    <x v="1"/>
    <x v="0"/>
    <x v="3"/>
    <x v="193"/>
    <x v="0"/>
    <d v="1899-12-31T00:00:00"/>
    <d v="2012-09-10T00:00:00"/>
    <n v="17"/>
    <n v="48"/>
    <n v="32"/>
    <n v="32"/>
    <n v="9"/>
    <n v="72"/>
    <x v="0"/>
    <n v="41"/>
    <x v="3"/>
    <m/>
    <x v="0"/>
    <x v="0"/>
    <x v="0"/>
    <n v="14"/>
    <x v="0"/>
  </r>
  <r>
    <n v="2677"/>
    <x v="46"/>
    <x v="0"/>
    <x v="1"/>
    <x v="194"/>
    <x v="0"/>
    <d v="1899-12-31T00:00:00"/>
    <d v="2013-03-31T00:00:00"/>
    <n v="11"/>
    <n v="24"/>
    <n v="4"/>
    <n v="4"/>
    <n v="6"/>
    <n v="70"/>
    <x v="0"/>
    <n v="10"/>
    <x v="3"/>
    <m/>
    <x v="0"/>
    <x v="1"/>
    <x v="0"/>
    <n v="13"/>
    <x v="0"/>
  </r>
  <r>
    <n v="6521"/>
    <x v="1"/>
    <x v="0"/>
    <x v="1"/>
    <x v="195"/>
    <x v="0"/>
    <d v="1899-12-30T00:00:00"/>
    <d v="2014-03-18T00:00:00"/>
    <n v="18"/>
    <n v="22"/>
    <n v="102"/>
    <n v="102"/>
    <n v="9"/>
    <n v="72"/>
    <x v="0"/>
    <n v="111"/>
    <x v="3"/>
    <m/>
    <x v="0"/>
    <x v="3"/>
    <x v="0"/>
    <n v="12"/>
    <x v="0"/>
  </r>
  <r>
    <n v="6927"/>
    <x v="30"/>
    <x v="1"/>
    <x v="2"/>
    <x v="196"/>
    <x v="1"/>
    <d v="1899-12-31T00:00:00"/>
    <d v="2012-10-05T00:00:00"/>
    <n v="70"/>
    <n v="0"/>
    <n v="0"/>
    <n v="0"/>
    <n v="5"/>
    <n v="58"/>
    <x v="0"/>
    <n v="5"/>
    <x v="3"/>
    <m/>
    <x v="0"/>
    <x v="1"/>
    <x v="0"/>
    <n v="14"/>
    <x v="0"/>
  </r>
  <r>
    <n v="2877"/>
    <x v="8"/>
    <x v="2"/>
    <x v="1"/>
    <x v="197"/>
    <x v="1"/>
    <d v="1899-12-31T00:00:00"/>
    <d v="2013-01-21T00:00:00"/>
    <n v="21"/>
    <n v="0"/>
    <n v="9"/>
    <n v="9"/>
    <n v="8"/>
    <n v="52"/>
    <x v="0"/>
    <n v="17"/>
    <x v="3"/>
    <m/>
    <x v="0"/>
    <x v="1"/>
    <x v="0"/>
    <n v="13"/>
    <x v="0"/>
  </r>
  <r>
    <n v="0"/>
    <x v="7"/>
    <x v="0"/>
    <x v="2"/>
    <x v="198"/>
    <x v="0"/>
    <d v="1899-12-30T00:00:00"/>
    <d v="2013-05-04T00:00:00"/>
    <n v="66"/>
    <n v="10"/>
    <n v="87"/>
    <n v="87"/>
    <n v="9"/>
    <n v="41"/>
    <x v="1"/>
    <n v="96"/>
    <x v="3"/>
    <m/>
    <x v="0"/>
    <x v="0"/>
    <x v="0"/>
    <n v="13"/>
    <x v="0"/>
  </r>
  <r>
    <n v="1584"/>
    <x v="32"/>
    <x v="0"/>
    <x v="2"/>
    <x v="199"/>
    <x v="1"/>
    <d v="1899-12-30T00:00:00"/>
    <d v="2014-04-01T00:00:00"/>
    <n v="79"/>
    <n v="7"/>
    <n v="19"/>
    <n v="19"/>
    <n v="5"/>
    <n v="49"/>
    <x v="1"/>
    <n v="24"/>
    <x v="3"/>
    <m/>
    <x v="0"/>
    <x v="1"/>
    <x v="0"/>
    <n v="12"/>
    <x v="0"/>
  </r>
  <r>
    <n v="7264"/>
    <x v="33"/>
    <x v="4"/>
    <x v="0"/>
    <x v="200"/>
    <x v="2"/>
    <d v="1899-12-31T00:00:00"/>
    <d v="2014-05-12T00:00:00"/>
    <n v="2"/>
    <n v="0"/>
    <n v="0"/>
    <n v="0"/>
    <n v="2"/>
    <n v="48"/>
    <x v="1"/>
    <n v="2"/>
    <x v="3"/>
    <m/>
    <x v="0"/>
    <x v="0"/>
    <x v="0"/>
    <n v="12"/>
    <x v="0"/>
  </r>
  <r>
    <n v="6274"/>
    <x v="37"/>
    <x v="2"/>
    <x v="2"/>
    <x v="201"/>
    <x v="0"/>
    <d v="1899-12-30T00:00:00"/>
    <d v="2013-11-15T00:00:00"/>
    <n v="81"/>
    <n v="16"/>
    <n v="48"/>
    <n v="48"/>
    <n v="6"/>
    <n v="78"/>
    <x v="0"/>
    <n v="54"/>
    <x v="3"/>
    <m/>
    <x v="0"/>
    <x v="3"/>
    <x v="0"/>
    <n v="13"/>
    <x v="0"/>
  </r>
  <r>
    <n v="1377"/>
    <x v="1"/>
    <x v="2"/>
    <x v="4"/>
    <x v="202"/>
    <x v="0"/>
    <d v="1899-12-31T00:00:00"/>
    <d v="2013-08-31T00:00:00"/>
    <n v="24"/>
    <n v="4"/>
    <n v="0"/>
    <n v="0"/>
    <n v="5"/>
    <n v="72"/>
    <x v="0"/>
    <n v="5"/>
    <x v="3"/>
    <m/>
    <x v="0"/>
    <x v="1"/>
    <x v="0"/>
    <n v="13"/>
    <x v="0"/>
  </r>
  <r>
    <n v="454"/>
    <x v="16"/>
    <x v="0"/>
    <x v="1"/>
    <x v="203"/>
    <x v="1"/>
    <d v="1899-12-30T00:00:00"/>
    <d v="2012-11-14T00:00:00"/>
    <n v="48"/>
    <n v="32"/>
    <n v="32"/>
    <n v="32"/>
    <n v="11"/>
    <n v="46"/>
    <x v="1"/>
    <n v="43"/>
    <x v="3"/>
    <m/>
    <x v="0"/>
    <x v="0"/>
    <x v="0"/>
    <n v="14"/>
    <x v="0"/>
  </r>
  <r>
    <n v="1755"/>
    <x v="36"/>
    <x v="4"/>
    <x v="1"/>
    <x v="204"/>
    <x v="1"/>
    <d v="1899-12-30T00:00:00"/>
    <d v="2014-04-11T00:00:00"/>
    <n v="93"/>
    <n v="11"/>
    <n v="1"/>
    <n v="1"/>
    <n v="4"/>
    <n v="38"/>
    <x v="1"/>
    <n v="5"/>
    <x v="3"/>
    <m/>
    <x v="0"/>
    <x v="1"/>
    <x v="0"/>
    <n v="12"/>
    <x v="0"/>
  </r>
  <r>
    <n v="2075"/>
    <x v="21"/>
    <x v="0"/>
    <x v="2"/>
    <x v="205"/>
    <x v="0"/>
    <d v="1899-12-30T00:00:00"/>
    <d v="2013-11-14T00:00:00"/>
    <n v="56"/>
    <n v="10"/>
    <n v="30"/>
    <n v="30"/>
    <n v="7"/>
    <n v="57"/>
    <x v="0"/>
    <n v="37"/>
    <x v="3"/>
    <m/>
    <x v="0"/>
    <x v="0"/>
    <x v="0"/>
    <n v="13"/>
    <x v="0"/>
  </r>
  <r>
    <n v="4785"/>
    <x v="25"/>
    <x v="1"/>
    <x v="1"/>
    <x v="206"/>
    <x v="0"/>
    <d v="1900-01-01T00:00:00"/>
    <d v="2014-04-14T00:00:00"/>
    <n v="3"/>
    <n v="7"/>
    <n v="0"/>
    <n v="0"/>
    <n v="11"/>
    <n v="56"/>
    <x v="0"/>
    <n v="11"/>
    <x v="3"/>
    <m/>
    <x v="0"/>
    <x v="3"/>
    <x v="0"/>
    <n v="12"/>
    <x v="0"/>
  </r>
  <r>
    <n v="9076"/>
    <x v="16"/>
    <x v="1"/>
    <x v="2"/>
    <x v="207"/>
    <x v="1"/>
    <d v="1899-12-30T00:00:00"/>
    <d v="2013-01-05T00:00:00"/>
    <n v="44"/>
    <n v="1"/>
    <n v="1"/>
    <n v="1"/>
    <n v="4"/>
    <n v="46"/>
    <x v="1"/>
    <n v="5"/>
    <x v="3"/>
    <m/>
    <x v="0"/>
    <x v="1"/>
    <x v="0"/>
    <n v="13"/>
    <x v="0"/>
  </r>
  <r>
    <n v="7079"/>
    <x v="43"/>
    <x v="0"/>
    <x v="3"/>
    <x v="208"/>
    <x v="0"/>
    <d v="1899-12-31T00:00:00"/>
    <d v="2012-09-08T00:00:00"/>
    <n v="38"/>
    <n v="23"/>
    <n v="11"/>
    <n v="11"/>
    <n v="12"/>
    <n v="64"/>
    <x v="0"/>
    <n v="23"/>
    <x v="3"/>
    <m/>
    <x v="0"/>
    <x v="0"/>
    <x v="0"/>
    <n v="14"/>
    <x v="0"/>
  </r>
  <r>
    <n v="4653"/>
    <x v="33"/>
    <x v="0"/>
    <x v="1"/>
    <x v="209"/>
    <x v="1"/>
    <d v="1899-12-30T00:00:00"/>
    <d v="2013-03-26T00:00:00"/>
    <n v="46"/>
    <n v="0"/>
    <n v="1"/>
    <n v="1"/>
    <n v="4"/>
    <n v="48"/>
    <x v="1"/>
    <n v="5"/>
    <x v="3"/>
    <m/>
    <x v="0"/>
    <x v="1"/>
    <x v="0"/>
    <n v="13"/>
    <x v="0"/>
  </r>
  <r>
    <n v="7375"/>
    <x v="11"/>
    <x v="0"/>
    <x v="1"/>
    <x v="210"/>
    <x v="0"/>
    <d v="1899-12-31T00:00:00"/>
    <d v="2012-10-25T00:00:00"/>
    <n v="84"/>
    <n v="7"/>
    <n v="11"/>
    <n v="11"/>
    <n v="4"/>
    <n v="50"/>
    <x v="1"/>
    <n v="15"/>
    <x v="3"/>
    <m/>
    <x v="0"/>
    <x v="0"/>
    <x v="0"/>
    <n v="14"/>
    <x v="0"/>
  </r>
  <r>
    <n v="709"/>
    <x v="13"/>
    <x v="0"/>
    <x v="3"/>
    <x v="211"/>
    <x v="0"/>
    <d v="1899-12-31T00:00:00"/>
    <d v="2012-12-09T00:00:00"/>
    <n v="27"/>
    <n v="20"/>
    <n v="0"/>
    <n v="0"/>
    <n v="11"/>
    <n v="74"/>
    <x v="0"/>
    <n v="11"/>
    <x v="3"/>
    <m/>
    <x v="0"/>
    <x v="0"/>
    <x v="0"/>
    <n v="14"/>
    <x v="0"/>
  </r>
  <r>
    <n v="460"/>
    <x v="39"/>
    <x v="1"/>
    <x v="2"/>
    <x v="212"/>
    <x v="0"/>
    <d v="1899-12-30T00:00:00"/>
    <d v="2012-08-08T00:00:00"/>
    <n v="72"/>
    <n v="86"/>
    <n v="51"/>
    <n v="51"/>
    <n v="8"/>
    <n v="54"/>
    <x v="0"/>
    <n v="59"/>
    <x v="3"/>
    <m/>
    <x v="0"/>
    <x v="3"/>
    <x v="0"/>
    <n v="14"/>
    <x v="0"/>
  </r>
  <r>
    <n v="3726"/>
    <x v="22"/>
    <x v="1"/>
    <x v="1"/>
    <x v="213"/>
    <x v="1"/>
    <d v="1899-12-30T00:00:00"/>
    <d v="2014-02-16T00:00:00"/>
    <n v="66"/>
    <n v="1"/>
    <n v="0"/>
    <n v="0"/>
    <n v="2"/>
    <n v="40"/>
    <x v="1"/>
    <n v="2"/>
    <x v="3"/>
    <m/>
    <x v="0"/>
    <x v="1"/>
    <x v="0"/>
    <n v="12"/>
    <x v="0"/>
  </r>
  <r>
    <n v="6798"/>
    <x v="35"/>
    <x v="0"/>
    <x v="0"/>
    <x v="214"/>
    <x v="1"/>
    <d v="1899-12-31T00:00:00"/>
    <d v="2013-03-20T00:00:00"/>
    <n v="30"/>
    <n v="7"/>
    <n v="15"/>
    <n v="15"/>
    <n v="8"/>
    <n v="60"/>
    <x v="0"/>
    <n v="23"/>
    <x v="3"/>
    <m/>
    <x v="0"/>
    <x v="1"/>
    <x v="0"/>
    <n v="13"/>
    <x v="0"/>
  </r>
  <r>
    <n v="5341"/>
    <x v="43"/>
    <x v="4"/>
    <x v="3"/>
    <x v="215"/>
    <x v="0"/>
    <d v="1899-12-31T00:00:00"/>
    <d v="2013-01-05T00:00:00"/>
    <n v="2"/>
    <n v="76"/>
    <n v="138"/>
    <n v="138"/>
    <n v="4"/>
    <n v="64"/>
    <x v="0"/>
    <n v="142"/>
    <x v="3"/>
    <m/>
    <x v="0"/>
    <x v="3"/>
    <x v="0"/>
    <n v="13"/>
    <x v="0"/>
  </r>
  <r>
    <n v="1606"/>
    <x v="6"/>
    <x v="0"/>
    <x v="1"/>
    <x v="216"/>
    <x v="1"/>
    <d v="1899-12-30T00:00:00"/>
    <d v="2013-05-15T00:00:00"/>
    <n v="65"/>
    <n v="1"/>
    <n v="3"/>
    <n v="3"/>
    <n v="2"/>
    <n v="55"/>
    <x v="0"/>
    <n v="5"/>
    <x v="3"/>
    <m/>
    <x v="0"/>
    <x v="1"/>
    <x v="0"/>
    <n v="13"/>
    <x v="0"/>
  </r>
  <r>
    <n v="9617"/>
    <x v="20"/>
    <x v="0"/>
    <x v="0"/>
    <x v="217"/>
    <x v="0"/>
    <d v="1899-12-30T00:00:00"/>
    <d v="2014-04-16T00:00:00"/>
    <n v="37"/>
    <n v="4"/>
    <n v="0"/>
    <n v="0"/>
    <n v="3"/>
    <n v="75"/>
    <x v="0"/>
    <n v="3"/>
    <x v="3"/>
    <m/>
    <x v="0"/>
    <x v="2"/>
    <x v="0"/>
    <n v="12"/>
    <x v="0"/>
  </r>
  <r>
    <n v="3233"/>
    <x v="2"/>
    <x v="1"/>
    <x v="2"/>
    <x v="218"/>
    <x v="0"/>
    <d v="1899-12-31T00:00:00"/>
    <d v="2013-03-23T00:00:00"/>
    <n v="89"/>
    <n v="21"/>
    <n v="10"/>
    <n v="10"/>
    <n v="11"/>
    <n v="61"/>
    <x v="0"/>
    <n v="21"/>
    <x v="3"/>
    <m/>
    <x v="0"/>
    <x v="0"/>
    <x v="0"/>
    <n v="13"/>
    <x v="0"/>
  </r>
  <r>
    <n v="89"/>
    <x v="28"/>
    <x v="4"/>
    <x v="2"/>
    <x v="219"/>
    <x v="1"/>
    <d v="1899-12-30T00:00:00"/>
    <d v="2013-12-09T00:00:00"/>
    <n v="49"/>
    <n v="9"/>
    <n v="8"/>
    <n v="8"/>
    <n v="4"/>
    <n v="51"/>
    <x v="0"/>
    <n v="12"/>
    <x v="3"/>
    <m/>
    <x v="0"/>
    <x v="2"/>
    <x v="0"/>
    <n v="13"/>
    <x v="0"/>
  </r>
  <r>
    <n v="2936"/>
    <x v="18"/>
    <x v="2"/>
    <x v="1"/>
    <x v="220"/>
    <x v="1"/>
    <d v="1899-12-30T00:00:00"/>
    <d v="2013-12-04T00:00:00"/>
    <n v="46"/>
    <n v="0"/>
    <n v="0"/>
    <n v="0"/>
    <n v="3"/>
    <n v="44"/>
    <x v="1"/>
    <n v="3"/>
    <x v="3"/>
    <m/>
    <x v="0"/>
    <x v="2"/>
    <x v="0"/>
    <n v="13"/>
    <x v="0"/>
  </r>
  <r>
    <n v="9449"/>
    <x v="38"/>
    <x v="1"/>
    <x v="0"/>
    <x v="221"/>
    <x v="0"/>
    <d v="1899-12-31T00:00:00"/>
    <d v="2013-10-04T00:00:00"/>
    <n v="32"/>
    <n v="5"/>
    <n v="35"/>
    <n v="35"/>
    <n v="11"/>
    <n v="68"/>
    <x v="0"/>
    <n v="46"/>
    <x v="3"/>
    <m/>
    <x v="0"/>
    <x v="3"/>
    <x v="0"/>
    <n v="13"/>
    <x v="0"/>
  </r>
  <r>
    <n v="7297"/>
    <x v="26"/>
    <x v="0"/>
    <x v="0"/>
    <x v="11"/>
    <x v="1"/>
    <d v="1899-12-30T00:00:00"/>
    <d v="2013-12-26T00:00:00"/>
    <n v="54"/>
    <n v="3"/>
    <n v="7"/>
    <n v="7"/>
    <n v="3"/>
    <n v="53"/>
    <x v="0"/>
    <n v="10"/>
    <x v="3"/>
    <m/>
    <x v="0"/>
    <x v="2"/>
    <x v="0"/>
    <n v="13"/>
    <x v="0"/>
  </r>
  <r>
    <n v="11004"/>
    <x v="49"/>
    <x v="4"/>
    <x v="0"/>
    <x v="222"/>
    <x v="0"/>
    <d v="1899-12-31T00:00:00"/>
    <d v="2014-05-17T00:00:00"/>
    <n v="23"/>
    <n v="0"/>
    <n v="0"/>
    <n v="0"/>
    <n v="2"/>
    <n v="133"/>
    <x v="0"/>
    <n v="2"/>
    <x v="3"/>
    <m/>
    <x v="0"/>
    <x v="0"/>
    <x v="0"/>
    <n v="12"/>
    <x v="0"/>
  </r>
  <r>
    <n v="313"/>
    <x v="30"/>
    <x v="0"/>
    <x v="4"/>
    <x v="223"/>
    <x v="0"/>
    <d v="1899-12-30T00:00:00"/>
    <d v="2013-10-28T00:00:00"/>
    <n v="98"/>
    <n v="61"/>
    <n v="163"/>
    <n v="163"/>
    <n v="10"/>
    <n v="58"/>
    <x v="0"/>
    <n v="173"/>
    <x v="3"/>
    <m/>
    <x v="0"/>
    <x v="0"/>
    <x v="0"/>
    <n v="13"/>
    <x v="0"/>
  </r>
  <r>
    <n v="9940"/>
    <x v="38"/>
    <x v="0"/>
    <x v="1"/>
    <x v="224"/>
    <x v="0"/>
    <d v="1899-12-31T00:00:00"/>
    <d v="2012-12-23T00:00:00"/>
    <n v="97"/>
    <n v="114"/>
    <n v="124"/>
    <n v="124"/>
    <n v="4"/>
    <n v="68"/>
    <x v="0"/>
    <n v="128"/>
    <x v="3"/>
    <m/>
    <x v="0"/>
    <x v="0"/>
    <x v="0"/>
    <n v="14"/>
    <x v="0"/>
  </r>
  <r>
    <n v="10735"/>
    <x v="6"/>
    <x v="0"/>
    <x v="0"/>
    <x v="225"/>
    <x v="1"/>
    <d v="1899-12-30T00:00:00"/>
    <d v="2013-07-31T00:00:00"/>
    <n v="75"/>
    <n v="1"/>
    <n v="1"/>
    <n v="1"/>
    <n v="2"/>
    <n v="55"/>
    <x v="0"/>
    <n v="3"/>
    <x v="3"/>
    <m/>
    <x v="0"/>
    <x v="2"/>
    <x v="0"/>
    <n v="13"/>
    <x v="0"/>
  </r>
  <r>
    <n v="9529"/>
    <x v="50"/>
    <x v="0"/>
    <x v="2"/>
    <x v="226"/>
    <x v="0"/>
    <d v="1899-12-30T00:00:00"/>
    <d v="2013-11-28T00:00:00"/>
    <n v="8"/>
    <n v="153"/>
    <n v="13"/>
    <n v="13"/>
    <n v="9"/>
    <n v="36"/>
    <x v="1"/>
    <n v="22"/>
    <x v="3"/>
    <m/>
    <x v="0"/>
    <x v="0"/>
    <x v="0"/>
    <n v="13"/>
    <x v="0"/>
  </r>
  <r>
    <n v="6439"/>
    <x v="38"/>
    <x v="0"/>
    <x v="2"/>
    <x v="227"/>
    <x v="0"/>
    <d v="1899-12-31T00:00:00"/>
    <d v="2012-08-17T00:00:00"/>
    <n v="37"/>
    <n v="0"/>
    <n v="28"/>
    <n v="28"/>
    <n v="8"/>
    <n v="68"/>
    <x v="0"/>
    <n v="36"/>
    <x v="3"/>
    <m/>
    <x v="0"/>
    <x v="0"/>
    <x v="0"/>
    <n v="14"/>
    <x v="0"/>
  </r>
  <r>
    <n v="7411"/>
    <x v="31"/>
    <x v="1"/>
    <x v="2"/>
    <x v="228"/>
    <x v="1"/>
    <d v="1899-12-31T00:00:00"/>
    <d v="2014-06-05T00:00:00"/>
    <n v="31"/>
    <n v="0"/>
    <n v="0"/>
    <n v="0"/>
    <n v="3"/>
    <n v="62"/>
    <x v="0"/>
    <n v="3"/>
    <x v="3"/>
    <m/>
    <x v="0"/>
    <x v="1"/>
    <x v="0"/>
    <n v="12"/>
    <x v="0"/>
  </r>
  <r>
    <n v="2176"/>
    <x v="39"/>
    <x v="0"/>
    <x v="2"/>
    <x v="229"/>
    <x v="1"/>
    <d v="1899-12-30T00:00:00"/>
    <d v="2013-05-20T00:00:00"/>
    <n v="40"/>
    <n v="16"/>
    <n v="0"/>
    <n v="0"/>
    <n v="6"/>
    <n v="54"/>
    <x v="0"/>
    <n v="6"/>
    <x v="3"/>
    <m/>
    <x v="0"/>
    <x v="3"/>
    <x v="0"/>
    <n v="13"/>
    <x v="0"/>
  </r>
  <r>
    <n v="9265"/>
    <x v="44"/>
    <x v="0"/>
    <x v="2"/>
    <x v="230"/>
    <x v="0"/>
    <d v="1899-12-31T00:00:00"/>
    <d v="2013-01-09T00:00:00"/>
    <n v="74"/>
    <n v="64"/>
    <n v="12"/>
    <n v="12"/>
    <n v="6"/>
    <n v="73"/>
    <x v="0"/>
    <n v="18"/>
    <x v="3"/>
    <m/>
    <x v="0"/>
    <x v="3"/>
    <x v="0"/>
    <n v="13"/>
    <x v="0"/>
  </r>
  <r>
    <n v="8867"/>
    <x v="36"/>
    <x v="1"/>
    <x v="2"/>
    <x v="231"/>
    <x v="0"/>
    <d v="1899-12-30T00:00:00"/>
    <d v="2012-08-31T00:00:00"/>
    <n v="90"/>
    <n v="134"/>
    <n v="38"/>
    <n v="38"/>
    <n v="5"/>
    <n v="38"/>
    <x v="1"/>
    <n v="43"/>
    <x v="3"/>
    <m/>
    <x v="0"/>
    <x v="0"/>
    <x v="0"/>
    <n v="14"/>
    <x v="0"/>
  </r>
  <r>
    <n v="8932"/>
    <x v="21"/>
    <x v="2"/>
    <x v="1"/>
    <x v="232"/>
    <x v="0"/>
    <d v="1899-12-31T00:00:00"/>
    <d v="2012-10-29T00:00:00"/>
    <n v="57"/>
    <n v="28"/>
    <n v="70"/>
    <n v="70"/>
    <n v="6"/>
    <n v="57"/>
    <x v="0"/>
    <n v="76"/>
    <x v="3"/>
    <m/>
    <x v="0"/>
    <x v="0"/>
    <x v="0"/>
    <n v="14"/>
    <x v="0"/>
  </r>
  <r>
    <n v="10236"/>
    <x v="28"/>
    <x v="2"/>
    <x v="0"/>
    <x v="233"/>
    <x v="1"/>
    <d v="1899-12-30T00:00:00"/>
    <d v="2013-09-16T00:00:00"/>
    <n v="59"/>
    <n v="3"/>
    <n v="1"/>
    <n v="1"/>
    <n v="3"/>
    <n v="51"/>
    <x v="0"/>
    <n v="4"/>
    <x v="3"/>
    <m/>
    <x v="0"/>
    <x v="1"/>
    <x v="0"/>
    <n v="13"/>
    <x v="0"/>
  </r>
  <r>
    <n v="6340"/>
    <x v="7"/>
    <x v="0"/>
    <x v="0"/>
    <x v="234"/>
    <x v="1"/>
    <d v="1899-12-30T00:00:00"/>
    <d v="2013-10-27T00:00:00"/>
    <n v="52"/>
    <n v="3"/>
    <n v="2"/>
    <n v="2"/>
    <n v="3"/>
    <n v="41"/>
    <x v="1"/>
    <n v="5"/>
    <x v="3"/>
    <m/>
    <x v="0"/>
    <x v="2"/>
    <x v="0"/>
    <n v="13"/>
    <x v="0"/>
  </r>
  <r>
    <n v="10089"/>
    <x v="8"/>
    <x v="0"/>
    <x v="3"/>
    <x v="235"/>
    <x v="0"/>
    <d v="1899-12-30T00:00:00"/>
    <d v="2013-04-05T00:00:00"/>
    <n v="5"/>
    <n v="148"/>
    <n v="172"/>
    <n v="172"/>
    <n v="13"/>
    <n v="52"/>
    <x v="0"/>
    <n v="185"/>
    <x v="3"/>
    <m/>
    <x v="0"/>
    <x v="4"/>
    <x v="0"/>
    <n v="13"/>
    <x v="0"/>
  </r>
  <r>
    <n v="2227"/>
    <x v="38"/>
    <x v="4"/>
    <x v="1"/>
    <x v="236"/>
    <x v="0"/>
    <d v="1899-12-30T00:00:00"/>
    <d v="2012-09-22T00:00:00"/>
    <n v="92"/>
    <n v="47"/>
    <n v="20"/>
    <n v="20"/>
    <n v="5"/>
    <n v="68"/>
    <x v="0"/>
    <n v="25"/>
    <x v="3"/>
    <m/>
    <x v="0"/>
    <x v="2"/>
    <x v="0"/>
    <n v="14"/>
    <x v="0"/>
  </r>
  <r>
    <n v="10992"/>
    <x v="5"/>
    <x v="0"/>
    <x v="1"/>
    <x v="237"/>
    <x v="1"/>
    <d v="1899-12-31T00:00:00"/>
    <d v="2012-08-29T00:00:00"/>
    <n v="77"/>
    <n v="28"/>
    <n v="42"/>
    <n v="42"/>
    <n v="11"/>
    <n v="59"/>
    <x v="0"/>
    <n v="53"/>
    <x v="3"/>
    <m/>
    <x v="0"/>
    <x v="3"/>
    <x v="0"/>
    <n v="14"/>
    <x v="0"/>
  </r>
  <r>
    <n v="5304"/>
    <x v="8"/>
    <x v="1"/>
    <x v="0"/>
    <x v="238"/>
    <x v="1"/>
    <d v="1899-12-30T00:00:00"/>
    <d v="2012-10-13T00:00:00"/>
    <n v="35"/>
    <n v="0"/>
    <n v="0"/>
    <n v="0"/>
    <n v="3"/>
    <n v="52"/>
    <x v="0"/>
    <n v="3"/>
    <x v="3"/>
    <m/>
    <x v="0"/>
    <x v="1"/>
    <x v="0"/>
    <n v="14"/>
    <x v="0"/>
  </r>
  <r>
    <n v="309"/>
    <x v="45"/>
    <x v="1"/>
    <x v="1"/>
    <x v="239"/>
    <x v="0"/>
    <d v="1899-12-31T00:00:00"/>
    <d v="2012-10-16T00:00:00"/>
    <n v="48"/>
    <n v="21"/>
    <n v="10"/>
    <n v="10"/>
    <n v="5"/>
    <n v="65"/>
    <x v="0"/>
    <n v="15"/>
    <x v="3"/>
    <m/>
    <x v="0"/>
    <x v="0"/>
    <x v="0"/>
    <n v="14"/>
    <x v="0"/>
  </r>
  <r>
    <n v="3406"/>
    <x v="31"/>
    <x v="0"/>
    <x v="0"/>
    <x v="240"/>
    <x v="0"/>
    <d v="1899-12-31T00:00:00"/>
    <d v="2012-10-22T00:00:00"/>
    <n v="97"/>
    <n v="33"/>
    <n v="24"/>
    <n v="24"/>
    <n v="7"/>
    <n v="62"/>
    <x v="0"/>
    <n v="31"/>
    <x v="3"/>
    <m/>
    <x v="0"/>
    <x v="1"/>
    <x v="0"/>
    <n v="14"/>
    <x v="0"/>
  </r>
  <r>
    <n v="2661"/>
    <x v="31"/>
    <x v="0"/>
    <x v="0"/>
    <x v="241"/>
    <x v="1"/>
    <d v="1899-12-31T00:00:00"/>
    <d v="2013-06-04T00:00:00"/>
    <n v="95"/>
    <n v="4"/>
    <n v="6"/>
    <n v="6"/>
    <n v="4"/>
    <n v="62"/>
    <x v="0"/>
    <n v="10"/>
    <x v="3"/>
    <m/>
    <x v="0"/>
    <x v="2"/>
    <x v="0"/>
    <n v="13"/>
    <x v="0"/>
  </r>
  <r>
    <n v="3153"/>
    <x v="0"/>
    <x v="1"/>
    <x v="0"/>
    <x v="242"/>
    <x v="2"/>
    <d v="1899-12-31T00:00:00"/>
    <d v="2013-12-08T00:00:00"/>
    <n v="24"/>
    <n v="0"/>
    <n v="0"/>
    <n v="0"/>
    <n v="2"/>
    <n v="69"/>
    <x v="0"/>
    <n v="2"/>
    <x v="3"/>
    <m/>
    <x v="0"/>
    <x v="1"/>
    <x v="0"/>
    <n v="13"/>
    <x v="0"/>
  </r>
  <r>
    <n v="10264"/>
    <x v="19"/>
    <x v="0"/>
    <x v="3"/>
    <x v="243"/>
    <x v="1"/>
    <d v="1899-12-30T00:00:00"/>
    <d v="2012-10-10T00:00:00"/>
    <n v="60"/>
    <n v="2"/>
    <n v="3"/>
    <n v="3"/>
    <n v="2"/>
    <n v="47"/>
    <x v="1"/>
    <n v="5"/>
    <x v="3"/>
    <m/>
    <x v="0"/>
    <x v="2"/>
    <x v="0"/>
    <n v="14"/>
    <x v="0"/>
  </r>
  <r>
    <n v="1184"/>
    <x v="30"/>
    <x v="1"/>
    <x v="3"/>
    <x v="244"/>
    <x v="0"/>
    <d v="1900-01-01T00:00:00"/>
    <d v="2013-05-22T00:00:00"/>
    <n v="46"/>
    <n v="41"/>
    <n v="0"/>
    <n v="0"/>
    <n v="10"/>
    <n v="58"/>
    <x v="0"/>
    <n v="10"/>
    <x v="3"/>
    <m/>
    <x v="0"/>
    <x v="0"/>
    <x v="0"/>
    <n v="13"/>
    <x v="0"/>
  </r>
  <r>
    <n v="4200"/>
    <x v="25"/>
    <x v="2"/>
    <x v="2"/>
    <x v="245"/>
    <x v="1"/>
    <d v="1899-12-30T00:00:00"/>
    <d v="2014-06-17T00:00:00"/>
    <n v="85"/>
    <n v="2"/>
    <n v="13"/>
    <n v="13"/>
    <n v="6"/>
    <n v="56"/>
    <x v="0"/>
    <n v="19"/>
    <x v="3"/>
    <m/>
    <x v="0"/>
    <x v="1"/>
    <x v="0"/>
    <n v="12"/>
    <x v="0"/>
  </r>
  <r>
    <n v="9396"/>
    <x v="33"/>
    <x v="1"/>
    <x v="2"/>
    <x v="246"/>
    <x v="1"/>
    <d v="1899-12-30T00:00:00"/>
    <d v="2012-11-23T00:00:00"/>
    <n v="31"/>
    <n v="0"/>
    <n v="1"/>
    <n v="1"/>
    <n v="2"/>
    <n v="48"/>
    <x v="1"/>
    <n v="3"/>
    <x v="3"/>
    <m/>
    <x v="0"/>
    <x v="1"/>
    <x v="0"/>
    <n v="14"/>
    <x v="0"/>
  </r>
  <r>
    <n v="2387"/>
    <x v="13"/>
    <x v="2"/>
    <x v="1"/>
    <x v="247"/>
    <x v="1"/>
    <d v="1899-12-31T00:00:00"/>
    <d v="2013-02-03T00:00:00"/>
    <n v="9"/>
    <n v="2"/>
    <n v="2"/>
    <n v="2"/>
    <n v="4"/>
    <n v="74"/>
    <x v="0"/>
    <n v="6"/>
    <x v="3"/>
    <m/>
    <x v="0"/>
    <x v="1"/>
    <x v="0"/>
    <n v="13"/>
    <x v="0"/>
  </r>
  <r>
    <n v="6690"/>
    <x v="35"/>
    <x v="2"/>
    <x v="2"/>
    <x v="248"/>
    <x v="1"/>
    <d v="1899-12-31T00:00:00"/>
    <d v="2013-03-14T00:00:00"/>
    <n v="30"/>
    <n v="4"/>
    <n v="2"/>
    <n v="2"/>
    <n v="3"/>
    <n v="60"/>
    <x v="0"/>
    <n v="5"/>
    <x v="3"/>
    <m/>
    <x v="0"/>
    <x v="1"/>
    <x v="0"/>
    <n v="13"/>
    <x v="0"/>
  </r>
  <r>
    <n v="1225"/>
    <x v="24"/>
    <x v="0"/>
    <x v="2"/>
    <x v="249"/>
    <x v="0"/>
    <d v="1899-12-30T00:00:00"/>
    <d v="2014-06-26T00:00:00"/>
    <n v="47"/>
    <n v="84"/>
    <n v="84"/>
    <n v="84"/>
    <n v="8"/>
    <n v="63"/>
    <x v="0"/>
    <n v="92"/>
    <x v="3"/>
    <m/>
    <x v="0"/>
    <x v="3"/>
    <x v="0"/>
    <n v="12"/>
    <x v="0"/>
  </r>
  <r>
    <n v="9703"/>
    <x v="25"/>
    <x v="1"/>
    <x v="2"/>
    <x v="250"/>
    <x v="1"/>
    <d v="1899-12-31T00:00:00"/>
    <d v="2012-10-15T00:00:00"/>
    <n v="70"/>
    <n v="2"/>
    <n v="1"/>
    <n v="1"/>
    <n v="2"/>
    <n v="56"/>
    <x v="0"/>
    <n v="3"/>
    <x v="3"/>
    <m/>
    <x v="0"/>
    <x v="1"/>
    <x v="0"/>
    <n v="14"/>
    <x v="0"/>
  </r>
  <r>
    <n v="291"/>
    <x v="25"/>
    <x v="0"/>
    <x v="2"/>
    <x v="251"/>
    <x v="0"/>
    <d v="1899-12-30T00:00:00"/>
    <d v="2013-06-19T00:00:00"/>
    <n v="13"/>
    <n v="74"/>
    <n v="149"/>
    <n v="149"/>
    <n v="6"/>
    <n v="56"/>
    <x v="0"/>
    <n v="155"/>
    <x v="3"/>
    <m/>
    <x v="0"/>
    <x v="0"/>
    <x v="0"/>
    <n v="13"/>
    <x v="0"/>
  </r>
  <r>
    <n v="4557"/>
    <x v="25"/>
    <x v="0"/>
    <x v="1"/>
    <x v="252"/>
    <x v="1"/>
    <d v="1899-12-30T00:00:00"/>
    <d v="2013-10-04T00:00:00"/>
    <n v="11"/>
    <n v="7"/>
    <n v="2"/>
    <n v="2"/>
    <n v="2"/>
    <n v="56"/>
    <x v="0"/>
    <n v="4"/>
    <x v="3"/>
    <m/>
    <x v="0"/>
    <x v="2"/>
    <x v="0"/>
    <n v="13"/>
    <x v="0"/>
  </r>
  <r>
    <n v="2379"/>
    <x v="44"/>
    <x v="0"/>
    <x v="0"/>
    <x v="253"/>
    <x v="0"/>
    <d v="1899-12-30T00:00:00"/>
    <d v="2012-09-22T00:00:00"/>
    <n v="31"/>
    <n v="44"/>
    <n v="73"/>
    <n v="73"/>
    <n v="5"/>
    <n v="73"/>
    <x v="0"/>
    <n v="78"/>
    <x v="3"/>
    <m/>
    <x v="0"/>
    <x v="0"/>
    <x v="0"/>
    <n v="14"/>
    <x v="0"/>
  </r>
  <r>
    <n v="5726"/>
    <x v="10"/>
    <x v="2"/>
    <x v="0"/>
    <x v="254"/>
    <x v="1"/>
    <d v="1899-12-30T00:00:00"/>
    <d v="2014-03-20T00:00:00"/>
    <n v="15"/>
    <n v="7"/>
    <n v="8"/>
    <n v="8"/>
    <n v="4"/>
    <n v="43"/>
    <x v="1"/>
    <n v="12"/>
    <x v="3"/>
    <m/>
    <x v="0"/>
    <x v="1"/>
    <x v="0"/>
    <n v="12"/>
    <x v="0"/>
  </r>
  <r>
    <n v="3066"/>
    <x v="28"/>
    <x v="1"/>
    <x v="1"/>
    <x v="255"/>
    <x v="0"/>
    <d v="1899-12-31T00:00:00"/>
    <d v="2014-02-04T00:00:00"/>
    <n v="2"/>
    <n v="0"/>
    <n v="2"/>
    <n v="2"/>
    <n v="4"/>
    <n v="51"/>
    <x v="0"/>
    <n v="6"/>
    <x v="3"/>
    <m/>
    <x v="0"/>
    <x v="0"/>
    <x v="0"/>
    <n v="12"/>
    <x v="0"/>
  </r>
  <r>
    <n v="6336"/>
    <x v="40"/>
    <x v="0"/>
    <x v="2"/>
    <x v="256"/>
    <x v="1"/>
    <d v="1899-12-31T00:00:00"/>
    <d v="2014-04-06T00:00:00"/>
    <n v="55"/>
    <n v="2"/>
    <n v="7"/>
    <n v="7"/>
    <n v="4"/>
    <n v="66"/>
    <x v="0"/>
    <n v="11"/>
    <x v="3"/>
    <m/>
    <x v="0"/>
    <x v="2"/>
    <x v="0"/>
    <n v="12"/>
    <x v="0"/>
  </r>
  <r>
    <n v="10967"/>
    <x v="24"/>
    <x v="0"/>
    <x v="3"/>
    <x v="257"/>
    <x v="1"/>
    <d v="1899-12-31T00:00:00"/>
    <d v="2013-02-06T00:00:00"/>
    <n v="38"/>
    <n v="6"/>
    <n v="7"/>
    <n v="7"/>
    <n v="4"/>
    <n v="63"/>
    <x v="0"/>
    <n v="11"/>
    <x v="3"/>
    <m/>
    <x v="0"/>
    <x v="1"/>
    <x v="0"/>
    <n v="13"/>
    <x v="0"/>
  </r>
  <r>
    <n v="2304"/>
    <x v="24"/>
    <x v="1"/>
    <x v="1"/>
    <x v="258"/>
    <x v="0"/>
    <d v="1899-12-31T00:00:00"/>
    <d v="2013-09-16T00:00:00"/>
    <n v="86"/>
    <n v="7"/>
    <n v="22"/>
    <n v="22"/>
    <n v="12"/>
    <n v="63"/>
    <x v="0"/>
    <n v="34"/>
    <x v="3"/>
    <m/>
    <x v="0"/>
    <x v="0"/>
    <x v="0"/>
    <n v="13"/>
    <x v="0"/>
  </r>
  <r>
    <n v="3445"/>
    <x v="46"/>
    <x v="0"/>
    <x v="0"/>
    <x v="259"/>
    <x v="0"/>
    <d v="1899-12-30T00:00:00"/>
    <d v="2013-01-17T00:00:00"/>
    <n v="56"/>
    <n v="162"/>
    <n v="92"/>
    <n v="92"/>
    <n v="10"/>
    <n v="70"/>
    <x v="0"/>
    <n v="102"/>
    <x v="3"/>
    <m/>
    <x v="0"/>
    <x v="0"/>
    <x v="0"/>
    <n v="13"/>
    <x v="0"/>
  </r>
  <r>
    <n v="7828"/>
    <x v="4"/>
    <x v="2"/>
    <x v="1"/>
    <x v="260"/>
    <x v="0"/>
    <d v="1899-12-30T00:00:00"/>
    <d v="2014-04-30T00:00:00"/>
    <n v="29"/>
    <n v="129"/>
    <n v="22"/>
    <n v="22"/>
    <n v="5"/>
    <n v="45"/>
    <x v="1"/>
    <n v="27"/>
    <x v="3"/>
    <m/>
    <x v="0"/>
    <x v="3"/>
    <x v="0"/>
    <n v="12"/>
    <x v="0"/>
  </r>
  <r>
    <n v="3762"/>
    <x v="22"/>
    <x v="1"/>
    <x v="0"/>
    <x v="261"/>
    <x v="0"/>
    <d v="1899-12-30T00:00:00"/>
    <d v="2013-04-02T00:00:00"/>
    <n v="30"/>
    <n v="0"/>
    <n v="130"/>
    <n v="130"/>
    <n v="8"/>
    <n v="40"/>
    <x v="1"/>
    <n v="138"/>
    <x v="3"/>
    <m/>
    <x v="0"/>
    <x v="0"/>
    <x v="0"/>
    <n v="13"/>
    <x v="0"/>
  </r>
  <r>
    <n v="4391"/>
    <x v="30"/>
    <x v="2"/>
    <x v="3"/>
    <x v="262"/>
    <x v="0"/>
    <d v="1899-12-31T00:00:00"/>
    <d v="2013-04-21T00:00:00"/>
    <n v="64"/>
    <n v="15"/>
    <n v="7"/>
    <n v="7"/>
    <n v="9"/>
    <n v="58"/>
    <x v="0"/>
    <n v="16"/>
    <x v="3"/>
    <m/>
    <x v="0"/>
    <x v="0"/>
    <x v="0"/>
    <n v="13"/>
    <x v="0"/>
  </r>
  <r>
    <n v="4669"/>
    <x v="4"/>
    <x v="3"/>
    <x v="2"/>
    <x v="263"/>
    <x v="1"/>
    <d v="1899-12-30T00:00:00"/>
    <d v="2013-02-11T00:00:00"/>
    <n v="46"/>
    <n v="19"/>
    <n v="25"/>
    <n v="25"/>
    <n v="4"/>
    <n v="45"/>
    <x v="1"/>
    <n v="29"/>
    <x v="3"/>
    <m/>
    <x v="0"/>
    <x v="2"/>
    <x v="0"/>
    <n v="13"/>
    <x v="0"/>
  </r>
  <r>
    <n v="10144"/>
    <x v="11"/>
    <x v="0"/>
    <x v="1"/>
    <x v="210"/>
    <x v="0"/>
    <d v="1899-12-31T00:00:00"/>
    <d v="2012-10-25T00:00:00"/>
    <n v="84"/>
    <n v="7"/>
    <n v="11"/>
    <n v="11"/>
    <n v="4"/>
    <n v="50"/>
    <x v="1"/>
    <n v="15"/>
    <x v="3"/>
    <m/>
    <x v="0"/>
    <x v="0"/>
    <x v="0"/>
    <n v="14"/>
    <x v="0"/>
  </r>
  <r>
    <n v="8652"/>
    <x v="15"/>
    <x v="0"/>
    <x v="1"/>
    <x v="17"/>
    <x v="0"/>
    <d v="1899-12-30T00:00:00"/>
    <d v="2012-08-31T00:00:00"/>
    <n v="20"/>
    <n v="5"/>
    <n v="12"/>
    <n v="12"/>
    <n v="6"/>
    <n v="80"/>
    <x v="0"/>
    <n v="18"/>
    <x v="3"/>
    <m/>
    <x v="0"/>
    <x v="1"/>
    <x v="0"/>
    <n v="14"/>
    <x v="0"/>
  </r>
  <r>
    <n v="1672"/>
    <x v="8"/>
    <x v="1"/>
    <x v="1"/>
    <x v="264"/>
    <x v="0"/>
    <d v="1899-12-31T00:00:00"/>
    <d v="2014-03-01T00:00:00"/>
    <n v="74"/>
    <n v="7"/>
    <n v="15"/>
    <n v="15"/>
    <n v="8"/>
    <n v="52"/>
    <x v="0"/>
    <n v="23"/>
    <x v="3"/>
    <m/>
    <x v="0"/>
    <x v="0"/>
    <x v="0"/>
    <n v="12"/>
    <x v="0"/>
  </r>
  <r>
    <n v="8962"/>
    <x v="28"/>
    <x v="2"/>
    <x v="2"/>
    <x v="265"/>
    <x v="1"/>
    <d v="1899-12-31T00:00:00"/>
    <d v="2014-04-17T00:00:00"/>
    <n v="18"/>
    <n v="0"/>
    <n v="0"/>
    <n v="0"/>
    <n v="3"/>
    <n v="51"/>
    <x v="0"/>
    <n v="3"/>
    <x v="3"/>
    <m/>
    <x v="0"/>
    <x v="1"/>
    <x v="0"/>
    <n v="12"/>
    <x v="0"/>
  </r>
  <r>
    <n v="9974"/>
    <x v="8"/>
    <x v="0"/>
    <x v="2"/>
    <x v="266"/>
    <x v="1"/>
    <d v="1899-12-30T00:00:00"/>
    <d v="2013-07-12T00:00:00"/>
    <n v="75"/>
    <n v="6"/>
    <n v="5"/>
    <n v="5"/>
    <n v="2"/>
    <n v="52"/>
    <x v="0"/>
    <n v="7"/>
    <x v="3"/>
    <m/>
    <x v="0"/>
    <x v="1"/>
    <x v="0"/>
    <n v="13"/>
    <x v="0"/>
  </r>
  <r>
    <n v="10983"/>
    <x v="13"/>
    <x v="0"/>
    <x v="1"/>
    <x v="267"/>
    <x v="0"/>
    <d v="1899-12-30T00:00:00"/>
    <d v="2013-01-29T00:00:00"/>
    <n v="17"/>
    <n v="98"/>
    <n v="74"/>
    <n v="74"/>
    <n v="13"/>
    <n v="74"/>
    <x v="0"/>
    <n v="87"/>
    <x v="3"/>
    <m/>
    <x v="0"/>
    <x v="3"/>
    <x v="0"/>
    <n v="13"/>
    <x v="0"/>
  </r>
  <r>
    <n v="8148"/>
    <x v="46"/>
    <x v="2"/>
    <x v="1"/>
    <x v="268"/>
    <x v="1"/>
    <d v="1899-12-31T00:00:00"/>
    <d v="2013-01-08T00:00:00"/>
    <n v="88"/>
    <n v="28"/>
    <n v="114"/>
    <n v="114"/>
    <n v="12"/>
    <n v="70"/>
    <x v="0"/>
    <n v="126"/>
    <x v="3"/>
    <m/>
    <x v="0"/>
    <x v="0"/>
    <x v="0"/>
    <n v="13"/>
    <x v="0"/>
  </r>
  <r>
    <n v="10102"/>
    <x v="35"/>
    <x v="0"/>
    <x v="4"/>
    <x v="269"/>
    <x v="0"/>
    <d v="1899-12-30T00:00:00"/>
    <d v="2014-05-12T00:00:00"/>
    <n v="19"/>
    <n v="183"/>
    <n v="141"/>
    <n v="141"/>
    <n v="5"/>
    <n v="60"/>
    <x v="0"/>
    <n v="146"/>
    <x v="3"/>
    <m/>
    <x v="0"/>
    <x v="3"/>
    <x v="0"/>
    <n v="12"/>
    <x v="0"/>
  </r>
  <r>
    <n v="4697"/>
    <x v="17"/>
    <x v="2"/>
    <x v="3"/>
    <x v="270"/>
    <x v="0"/>
    <d v="1899-12-30T00:00:00"/>
    <d v="2013-06-13T00:00:00"/>
    <n v="62"/>
    <n v="3"/>
    <n v="3"/>
    <n v="3"/>
    <n v="5"/>
    <n v="77"/>
    <x v="0"/>
    <n v="8"/>
    <x v="3"/>
    <m/>
    <x v="0"/>
    <x v="1"/>
    <x v="0"/>
    <n v="13"/>
    <x v="0"/>
  </r>
  <r>
    <n v="9262"/>
    <x v="3"/>
    <x v="4"/>
    <x v="1"/>
    <x v="271"/>
    <x v="0"/>
    <d v="1899-12-30T00:00:00"/>
    <d v="2013-07-04T00:00:00"/>
    <n v="11"/>
    <n v="6"/>
    <n v="9"/>
    <n v="9"/>
    <n v="3"/>
    <n v="42"/>
    <x v="1"/>
    <n v="12"/>
    <x v="3"/>
    <m/>
    <x v="0"/>
    <x v="1"/>
    <x v="0"/>
    <n v="13"/>
    <x v="0"/>
  </r>
  <r>
    <n v="7254"/>
    <x v="21"/>
    <x v="0"/>
    <x v="1"/>
    <x v="272"/>
    <x v="1"/>
    <d v="1899-12-30T00:00:00"/>
    <d v="2013-12-27T00:00:00"/>
    <n v="74"/>
    <n v="0"/>
    <n v="8"/>
    <n v="8"/>
    <n v="3"/>
    <n v="57"/>
    <x v="0"/>
    <n v="11"/>
    <x v="3"/>
    <m/>
    <x v="0"/>
    <x v="1"/>
    <x v="0"/>
    <n v="13"/>
    <x v="0"/>
  </r>
  <r>
    <n v="4543"/>
    <x v="16"/>
    <x v="0"/>
    <x v="2"/>
    <x v="273"/>
    <x v="0"/>
    <d v="1899-12-30T00:00:00"/>
    <d v="2012-10-31T00:00:00"/>
    <n v="32"/>
    <n v="129"/>
    <n v="21"/>
    <n v="21"/>
    <n v="9"/>
    <n v="46"/>
    <x v="1"/>
    <n v="30"/>
    <x v="3"/>
    <m/>
    <x v="0"/>
    <x v="3"/>
    <x v="0"/>
    <n v="14"/>
    <x v="0"/>
  </r>
  <r>
    <n v="4927"/>
    <x v="6"/>
    <x v="0"/>
    <x v="1"/>
    <x v="274"/>
    <x v="2"/>
    <d v="1899-12-30T00:00:00"/>
    <d v="2014-01-15T00:00:00"/>
    <n v="76"/>
    <n v="3"/>
    <n v="1"/>
    <n v="1"/>
    <n v="3"/>
    <n v="55"/>
    <x v="0"/>
    <n v="4"/>
    <x v="3"/>
    <m/>
    <x v="0"/>
    <x v="2"/>
    <x v="0"/>
    <n v="12"/>
    <x v="0"/>
  </r>
  <r>
    <n v="10451"/>
    <x v="2"/>
    <x v="0"/>
    <x v="1"/>
    <x v="275"/>
    <x v="1"/>
    <d v="1899-12-31T00:00:00"/>
    <d v="2013-03-12T00:00:00"/>
    <n v="6"/>
    <n v="1"/>
    <n v="4"/>
    <n v="4"/>
    <n v="3"/>
    <n v="61"/>
    <x v="0"/>
    <n v="7"/>
    <x v="3"/>
    <m/>
    <x v="0"/>
    <x v="2"/>
    <x v="0"/>
    <n v="13"/>
    <x v="0"/>
  </r>
  <r>
    <n v="2926"/>
    <x v="13"/>
    <x v="2"/>
    <x v="1"/>
    <x v="276"/>
    <x v="0"/>
    <d v="1899-12-31T00:00:00"/>
    <d v="2012-08-23T00:00:00"/>
    <n v="62"/>
    <n v="0"/>
    <n v="13"/>
    <n v="13"/>
    <n v="11"/>
    <n v="74"/>
    <x v="0"/>
    <n v="24"/>
    <x v="3"/>
    <m/>
    <x v="0"/>
    <x v="0"/>
    <x v="0"/>
    <n v="14"/>
    <x v="0"/>
  </r>
  <r>
    <n v="2874"/>
    <x v="36"/>
    <x v="4"/>
    <x v="3"/>
    <x v="277"/>
    <x v="1"/>
    <d v="1899-12-30T00:00:00"/>
    <d v="2013-03-07T00:00:00"/>
    <n v="20"/>
    <n v="4"/>
    <n v="3"/>
    <n v="3"/>
    <n v="3"/>
    <n v="38"/>
    <x v="1"/>
    <n v="6"/>
    <x v="3"/>
    <m/>
    <x v="0"/>
    <x v="1"/>
    <x v="0"/>
    <n v="13"/>
    <x v="0"/>
  </r>
  <r>
    <n v="9738"/>
    <x v="22"/>
    <x v="2"/>
    <x v="1"/>
    <x v="278"/>
    <x v="1"/>
    <d v="1899-12-30T00:00:00"/>
    <d v="2013-01-13T00:00:00"/>
    <n v="43"/>
    <n v="4"/>
    <n v="4"/>
    <n v="4"/>
    <n v="3"/>
    <n v="40"/>
    <x v="1"/>
    <n v="7"/>
    <x v="3"/>
    <m/>
    <x v="0"/>
    <x v="1"/>
    <x v="0"/>
    <n v="13"/>
    <x v="0"/>
  </r>
  <r>
    <n v="7119"/>
    <x v="18"/>
    <x v="0"/>
    <x v="0"/>
    <x v="279"/>
    <x v="0"/>
    <d v="1899-12-30T00:00:00"/>
    <d v="2013-01-12T00:00:00"/>
    <n v="45"/>
    <n v="15"/>
    <n v="54"/>
    <n v="54"/>
    <n v="6"/>
    <n v="44"/>
    <x v="1"/>
    <n v="60"/>
    <x v="3"/>
    <m/>
    <x v="0"/>
    <x v="0"/>
    <x v="0"/>
    <n v="13"/>
    <x v="0"/>
  </r>
  <r>
    <n v="3924"/>
    <x v="2"/>
    <x v="1"/>
    <x v="3"/>
    <x v="280"/>
    <x v="0"/>
    <d v="1899-12-31T00:00:00"/>
    <d v="2014-03-17T00:00:00"/>
    <n v="34"/>
    <n v="0"/>
    <n v="0"/>
    <n v="0"/>
    <n v="12"/>
    <n v="61"/>
    <x v="0"/>
    <n v="12"/>
    <x v="3"/>
    <m/>
    <x v="0"/>
    <x v="0"/>
    <x v="0"/>
    <n v="12"/>
    <x v="0"/>
  </r>
  <r>
    <n v="5827"/>
    <x v="38"/>
    <x v="0"/>
    <x v="3"/>
    <x v="281"/>
    <x v="1"/>
    <d v="1899-12-31T00:00:00"/>
    <d v="2014-04-16T00:00:00"/>
    <n v="53"/>
    <n v="0"/>
    <n v="2"/>
    <n v="2"/>
    <n v="3"/>
    <n v="68"/>
    <x v="0"/>
    <n v="5"/>
    <x v="3"/>
    <m/>
    <x v="0"/>
    <x v="1"/>
    <x v="0"/>
    <n v="12"/>
    <x v="0"/>
  </r>
  <r>
    <n v="5596"/>
    <x v="46"/>
    <x v="4"/>
    <x v="1"/>
    <x v="282"/>
    <x v="0"/>
    <d v="1899-12-31T00:00:00"/>
    <d v="2013-10-12T00:00:00"/>
    <n v="44"/>
    <n v="14"/>
    <n v="0"/>
    <n v="0"/>
    <n v="9"/>
    <n v="70"/>
    <x v="0"/>
    <n v="9"/>
    <x v="3"/>
    <m/>
    <x v="0"/>
    <x v="0"/>
    <x v="0"/>
    <n v="13"/>
    <x v="0"/>
  </r>
  <r>
    <n v="10812"/>
    <x v="33"/>
    <x v="1"/>
    <x v="2"/>
    <x v="283"/>
    <x v="1"/>
    <d v="1899-12-30T00:00:00"/>
    <d v="2014-03-01T00:00:00"/>
    <n v="89"/>
    <n v="0"/>
    <n v="3"/>
    <n v="3"/>
    <n v="3"/>
    <n v="48"/>
    <x v="1"/>
    <n v="6"/>
    <x v="3"/>
    <m/>
    <x v="0"/>
    <x v="1"/>
    <x v="0"/>
    <n v="12"/>
    <x v="0"/>
  </r>
  <r>
    <n v="1717"/>
    <x v="36"/>
    <x v="0"/>
    <x v="0"/>
    <x v="284"/>
    <x v="1"/>
    <d v="1899-12-30T00:00:00"/>
    <d v="2014-04-13T00:00:00"/>
    <n v="43"/>
    <n v="15"/>
    <n v="13"/>
    <n v="13"/>
    <n v="4"/>
    <n v="38"/>
    <x v="1"/>
    <n v="17"/>
    <x v="3"/>
    <m/>
    <x v="0"/>
    <x v="1"/>
    <x v="0"/>
    <n v="12"/>
    <x v="0"/>
  </r>
  <r>
    <n v="9491"/>
    <x v="3"/>
    <x v="0"/>
    <x v="1"/>
    <x v="285"/>
    <x v="1"/>
    <d v="1899-12-30T00:00:00"/>
    <d v="2013-12-27T00:00:00"/>
    <n v="68"/>
    <n v="1"/>
    <n v="3"/>
    <n v="3"/>
    <n v="3"/>
    <n v="42"/>
    <x v="1"/>
    <n v="6"/>
    <x v="3"/>
    <m/>
    <x v="0"/>
    <x v="2"/>
    <x v="0"/>
    <n v="13"/>
    <x v="0"/>
  </r>
  <r>
    <n v="9274"/>
    <x v="45"/>
    <x v="2"/>
    <x v="2"/>
    <x v="286"/>
    <x v="0"/>
    <d v="1899-12-30T00:00:00"/>
    <d v="2013-03-28T00:00:00"/>
    <n v="44"/>
    <n v="147"/>
    <n v="147"/>
    <n v="147"/>
    <n v="9"/>
    <n v="65"/>
    <x v="0"/>
    <n v="156"/>
    <x v="3"/>
    <m/>
    <x v="0"/>
    <x v="3"/>
    <x v="0"/>
    <n v="13"/>
    <x v="0"/>
  </r>
  <r>
    <n v="6609"/>
    <x v="35"/>
    <x v="0"/>
    <x v="4"/>
    <x v="287"/>
    <x v="0"/>
    <d v="1899-12-30T00:00:00"/>
    <d v="2012-09-18T00:00:00"/>
    <n v="64"/>
    <n v="26"/>
    <n v="23"/>
    <n v="23"/>
    <n v="3"/>
    <n v="60"/>
    <x v="0"/>
    <n v="26"/>
    <x v="3"/>
    <m/>
    <x v="0"/>
    <x v="2"/>
    <x v="0"/>
    <n v="14"/>
    <x v="0"/>
  </r>
  <r>
    <n v="6963"/>
    <x v="51"/>
    <x v="0"/>
    <x v="0"/>
    <x v="288"/>
    <x v="0"/>
    <d v="1899-12-30T00:00:00"/>
    <d v="2014-03-05T00:00:00"/>
    <n v="85"/>
    <n v="11"/>
    <n v="45"/>
    <n v="45"/>
    <n v="10"/>
    <n v="79"/>
    <x v="0"/>
    <n v="55"/>
    <x v="3"/>
    <m/>
    <x v="0"/>
    <x v="3"/>
    <x v="0"/>
    <n v="12"/>
    <x v="0"/>
  </r>
  <r>
    <n v="4440"/>
    <x v="31"/>
    <x v="2"/>
    <x v="2"/>
    <x v="289"/>
    <x v="0"/>
    <d v="1899-12-31T00:00:00"/>
    <d v="2013-09-10T00:00:00"/>
    <n v="93"/>
    <n v="0"/>
    <n v="0"/>
    <n v="0"/>
    <n v="6"/>
    <n v="62"/>
    <x v="0"/>
    <n v="6"/>
    <x v="3"/>
    <m/>
    <x v="0"/>
    <x v="0"/>
    <x v="0"/>
    <n v="13"/>
    <x v="0"/>
  </r>
  <r>
    <n v="1379"/>
    <x v="47"/>
    <x v="2"/>
    <x v="1"/>
    <x v="290"/>
    <x v="0"/>
    <d v="1899-12-30T00:00:00"/>
    <d v="2013-04-27T00:00:00"/>
    <n v="12"/>
    <n v="2"/>
    <n v="4"/>
    <n v="4"/>
    <n v="4"/>
    <n v="34"/>
    <x v="1"/>
    <n v="8"/>
    <x v="3"/>
    <m/>
    <x v="0"/>
    <x v="1"/>
    <x v="0"/>
    <n v="13"/>
    <x v="0"/>
  </r>
  <r>
    <n v="10032"/>
    <x v="11"/>
    <x v="0"/>
    <x v="3"/>
    <x v="291"/>
    <x v="1"/>
    <d v="1899-12-30T00:00:00"/>
    <d v="2014-01-18T00:00:00"/>
    <n v="86"/>
    <n v="5"/>
    <n v="12"/>
    <n v="12"/>
    <n v="3"/>
    <n v="50"/>
    <x v="1"/>
    <n v="15"/>
    <x v="3"/>
    <m/>
    <x v="0"/>
    <x v="2"/>
    <x v="0"/>
    <n v="12"/>
    <x v="0"/>
  </r>
  <r>
    <n v="2826"/>
    <x v="5"/>
    <x v="0"/>
    <x v="2"/>
    <x v="292"/>
    <x v="2"/>
    <d v="1899-12-31T00:00:00"/>
    <d v="2013-10-28T00:00:00"/>
    <n v="28"/>
    <n v="0"/>
    <n v="0"/>
    <n v="0"/>
    <n v="3"/>
    <n v="59"/>
    <x v="0"/>
    <n v="3"/>
    <x v="3"/>
    <m/>
    <x v="0"/>
    <x v="2"/>
    <x v="0"/>
    <n v="13"/>
    <x v="0"/>
  </r>
  <r>
    <n v="2437"/>
    <x v="23"/>
    <x v="0"/>
    <x v="2"/>
    <x v="10"/>
    <x v="0"/>
    <d v="1899-12-30T00:00:00"/>
    <d v="2013-06-03T00:00:00"/>
    <n v="69"/>
    <n v="138"/>
    <n v="30"/>
    <n v="30"/>
    <n v="12"/>
    <n v="37"/>
    <x v="1"/>
    <n v="42"/>
    <x v="3"/>
    <m/>
    <x v="0"/>
    <x v="2"/>
    <x v="0"/>
    <n v="13"/>
    <x v="0"/>
  </r>
  <r>
    <n v="6320"/>
    <x v="11"/>
    <x v="2"/>
    <x v="0"/>
    <x v="293"/>
    <x v="0"/>
    <d v="1899-12-30T00:00:00"/>
    <d v="2013-02-06T00:00:00"/>
    <n v="42"/>
    <n v="44"/>
    <n v="44"/>
    <n v="44"/>
    <n v="10"/>
    <n v="50"/>
    <x v="1"/>
    <n v="54"/>
    <x v="3"/>
    <m/>
    <x v="0"/>
    <x v="0"/>
    <x v="0"/>
    <n v="13"/>
    <x v="0"/>
  </r>
  <r>
    <n v="3050"/>
    <x v="35"/>
    <x v="0"/>
    <x v="2"/>
    <x v="294"/>
    <x v="1"/>
    <d v="1899-12-31T00:00:00"/>
    <d v="2013-12-17T00:00:00"/>
    <n v="13"/>
    <n v="0"/>
    <n v="2"/>
    <n v="2"/>
    <n v="6"/>
    <n v="60"/>
    <x v="0"/>
    <n v="8"/>
    <x v="3"/>
    <m/>
    <x v="0"/>
    <x v="0"/>
    <x v="0"/>
    <n v="13"/>
    <x v="0"/>
  </r>
  <r>
    <n v="231"/>
    <x v="46"/>
    <x v="2"/>
    <x v="1"/>
    <x v="295"/>
    <x v="1"/>
    <d v="1899-12-31T00:00:00"/>
    <d v="2014-03-11T00:00:00"/>
    <n v="86"/>
    <n v="0"/>
    <n v="0"/>
    <n v="0"/>
    <n v="3"/>
    <n v="70"/>
    <x v="0"/>
    <n v="3"/>
    <x v="3"/>
    <m/>
    <x v="0"/>
    <x v="2"/>
    <x v="0"/>
    <n v="12"/>
    <x v="0"/>
  </r>
  <r>
    <n v="2392"/>
    <x v="39"/>
    <x v="0"/>
    <x v="2"/>
    <x v="296"/>
    <x v="1"/>
    <d v="1899-12-31T00:00:00"/>
    <d v="2013-07-29T00:00:00"/>
    <n v="59"/>
    <n v="4"/>
    <n v="0"/>
    <n v="0"/>
    <n v="3"/>
    <n v="54"/>
    <x v="0"/>
    <n v="3"/>
    <x v="3"/>
    <m/>
    <x v="0"/>
    <x v="1"/>
    <x v="0"/>
    <n v="13"/>
    <x v="0"/>
  </r>
  <r>
    <n v="9478"/>
    <x v="7"/>
    <x v="0"/>
    <x v="0"/>
    <x v="297"/>
    <x v="1"/>
    <d v="1899-12-30T00:00:00"/>
    <d v="2012-08-14T00:00:00"/>
    <n v="30"/>
    <n v="64"/>
    <n v="3"/>
    <n v="3"/>
    <n v="6"/>
    <n v="41"/>
    <x v="1"/>
    <n v="9"/>
    <x v="3"/>
    <m/>
    <x v="0"/>
    <x v="0"/>
    <x v="0"/>
    <n v="14"/>
    <x v="0"/>
  </r>
  <r>
    <n v="113"/>
    <x v="20"/>
    <x v="0"/>
    <x v="2"/>
    <x v="298"/>
    <x v="1"/>
    <d v="1899-12-31T00:00:00"/>
    <d v="2013-07-16T00:00:00"/>
    <n v="33"/>
    <n v="0"/>
    <n v="1"/>
    <n v="1"/>
    <n v="3"/>
    <n v="75"/>
    <x v="0"/>
    <n v="4"/>
    <x v="3"/>
    <m/>
    <x v="0"/>
    <x v="1"/>
    <x v="0"/>
    <n v="13"/>
    <x v="0"/>
  </r>
  <r>
    <n v="2863"/>
    <x v="25"/>
    <x v="0"/>
    <x v="0"/>
    <x v="10"/>
    <x v="1"/>
    <d v="1900-01-01T00:00:00"/>
    <d v="2013-08-23T00:00:00"/>
    <n v="67"/>
    <n v="20"/>
    <n v="50"/>
    <n v="50"/>
    <n v="10"/>
    <n v="56"/>
    <x v="0"/>
    <n v="60"/>
    <x v="3"/>
    <m/>
    <x v="0"/>
    <x v="2"/>
    <x v="0"/>
    <n v="13"/>
    <x v="0"/>
  </r>
  <r>
    <n v="1802"/>
    <x v="6"/>
    <x v="0"/>
    <x v="2"/>
    <x v="299"/>
    <x v="0"/>
    <d v="1899-12-31T00:00:00"/>
    <d v="2013-01-17T00:00:00"/>
    <n v="23"/>
    <n v="5"/>
    <n v="29"/>
    <n v="29"/>
    <n v="12"/>
    <n v="55"/>
    <x v="0"/>
    <n v="41"/>
    <x v="3"/>
    <m/>
    <x v="0"/>
    <x v="0"/>
    <x v="0"/>
    <n v="13"/>
    <x v="0"/>
  </r>
  <r>
    <n v="520"/>
    <x v="8"/>
    <x v="0"/>
    <x v="2"/>
    <x v="300"/>
    <x v="1"/>
    <d v="1899-12-30T00:00:00"/>
    <d v="2013-07-01T00:00:00"/>
    <n v="81"/>
    <n v="3"/>
    <n v="2"/>
    <n v="2"/>
    <n v="2"/>
    <n v="52"/>
    <x v="0"/>
    <n v="4"/>
    <x v="3"/>
    <m/>
    <x v="0"/>
    <x v="1"/>
    <x v="0"/>
    <n v="13"/>
    <x v="0"/>
  </r>
  <r>
    <n v="8275"/>
    <x v="2"/>
    <x v="1"/>
    <x v="3"/>
    <x v="301"/>
    <x v="1"/>
    <d v="1899-12-31T00:00:00"/>
    <d v="2014-02-09T00:00:00"/>
    <n v="6"/>
    <n v="0"/>
    <n v="0"/>
    <n v="0"/>
    <n v="2"/>
    <n v="61"/>
    <x v="0"/>
    <n v="2"/>
    <x v="3"/>
    <m/>
    <x v="0"/>
    <x v="1"/>
    <x v="0"/>
    <n v="12"/>
    <x v="0"/>
  </r>
  <r>
    <n v="9750"/>
    <x v="45"/>
    <x v="1"/>
    <x v="3"/>
    <x v="302"/>
    <x v="0"/>
    <d v="1899-12-31T00:00:00"/>
    <d v="2013-02-07T00:00:00"/>
    <n v="41"/>
    <n v="60"/>
    <n v="12"/>
    <n v="12"/>
    <n v="5"/>
    <n v="65"/>
    <x v="0"/>
    <n v="17"/>
    <x v="3"/>
    <m/>
    <x v="0"/>
    <x v="0"/>
    <x v="0"/>
    <n v="13"/>
    <x v="0"/>
  </r>
  <r>
    <n v="2607"/>
    <x v="44"/>
    <x v="0"/>
    <x v="0"/>
    <x v="303"/>
    <x v="0"/>
    <d v="1899-12-31T00:00:00"/>
    <d v="2013-01-11T00:00:00"/>
    <n v="78"/>
    <n v="17"/>
    <n v="23"/>
    <n v="23"/>
    <n v="8"/>
    <n v="73"/>
    <x v="0"/>
    <n v="31"/>
    <x v="3"/>
    <m/>
    <x v="0"/>
    <x v="1"/>
    <x v="0"/>
    <n v="13"/>
    <x v="0"/>
  </r>
  <r>
    <n v="7214"/>
    <x v="0"/>
    <x v="0"/>
    <x v="2"/>
    <x v="304"/>
    <x v="0"/>
    <d v="1899-12-30T00:00:00"/>
    <d v="2013-07-05T00:00:00"/>
    <n v="49"/>
    <n v="0"/>
    <n v="45"/>
    <n v="45"/>
    <n v="5"/>
    <n v="69"/>
    <x v="0"/>
    <n v="50"/>
    <x v="3"/>
    <m/>
    <x v="0"/>
    <x v="0"/>
    <x v="0"/>
    <n v="13"/>
    <x v="0"/>
  </r>
  <r>
    <n v="5835"/>
    <x v="11"/>
    <x v="1"/>
    <x v="3"/>
    <x v="305"/>
    <x v="1"/>
    <d v="1899-12-30T00:00:00"/>
    <d v="2013-07-02T00:00:00"/>
    <n v="39"/>
    <n v="2"/>
    <n v="2"/>
    <n v="2"/>
    <n v="4"/>
    <n v="50"/>
    <x v="1"/>
    <n v="6"/>
    <x v="3"/>
    <m/>
    <x v="0"/>
    <x v="2"/>
    <x v="0"/>
    <n v="13"/>
    <x v="0"/>
  </r>
  <r>
    <n v="3896"/>
    <x v="3"/>
    <x v="0"/>
    <x v="2"/>
    <x v="306"/>
    <x v="1"/>
    <d v="1899-12-30T00:00:00"/>
    <d v="2013-11-07T00:00:00"/>
    <n v="3"/>
    <n v="1"/>
    <n v="1"/>
    <n v="1"/>
    <n v="3"/>
    <n v="42"/>
    <x v="1"/>
    <n v="4"/>
    <x v="3"/>
    <m/>
    <x v="0"/>
    <x v="2"/>
    <x v="0"/>
    <n v="13"/>
    <x v="0"/>
  </r>
  <r>
    <n v="10350"/>
    <x v="9"/>
    <x v="1"/>
    <x v="2"/>
    <x v="307"/>
    <x v="2"/>
    <d v="1899-12-31T00:00:00"/>
    <d v="2013-05-09T00:00:00"/>
    <n v="37"/>
    <n v="0"/>
    <n v="0"/>
    <n v="0"/>
    <n v="3"/>
    <n v="76"/>
    <x v="0"/>
    <n v="3"/>
    <x v="3"/>
    <m/>
    <x v="0"/>
    <x v="0"/>
    <x v="0"/>
    <n v="13"/>
    <x v="0"/>
  </r>
  <r>
    <n v="7786"/>
    <x v="22"/>
    <x v="1"/>
    <x v="0"/>
    <x v="308"/>
    <x v="1"/>
    <d v="1899-12-30T00:00:00"/>
    <d v="2013-02-13T00:00:00"/>
    <n v="22"/>
    <n v="7"/>
    <n v="5"/>
    <n v="5"/>
    <n v="4"/>
    <n v="40"/>
    <x v="1"/>
    <n v="9"/>
    <x v="3"/>
    <m/>
    <x v="0"/>
    <x v="2"/>
    <x v="0"/>
    <n v="13"/>
    <x v="0"/>
  </r>
  <r>
    <n v="2861"/>
    <x v="10"/>
    <x v="0"/>
    <x v="0"/>
    <x v="309"/>
    <x v="1"/>
    <d v="1899-12-30T00:00:00"/>
    <d v="2013-04-16T00:00:00"/>
    <n v="79"/>
    <n v="1"/>
    <n v="0"/>
    <n v="0"/>
    <n v="2"/>
    <n v="43"/>
    <x v="1"/>
    <n v="2"/>
    <x v="3"/>
    <m/>
    <x v="0"/>
    <x v="2"/>
    <x v="0"/>
    <n v="13"/>
    <x v="0"/>
  </r>
  <r>
    <n v="663"/>
    <x v="23"/>
    <x v="1"/>
    <x v="0"/>
    <x v="310"/>
    <x v="0"/>
    <d v="1899-12-30T00:00:00"/>
    <d v="2013-09-11T00:00:00"/>
    <n v="46"/>
    <n v="2"/>
    <n v="0"/>
    <n v="0"/>
    <n v="3"/>
    <n v="37"/>
    <x v="1"/>
    <n v="3"/>
    <x v="3"/>
    <m/>
    <x v="0"/>
    <x v="1"/>
    <x v="0"/>
    <n v="13"/>
    <x v="0"/>
  </r>
  <r>
    <n v="10675"/>
    <x v="46"/>
    <x v="1"/>
    <x v="2"/>
    <x v="311"/>
    <x v="0"/>
    <d v="1899-12-31T00:00:00"/>
    <d v="2013-04-03T00:00:00"/>
    <n v="82"/>
    <n v="11"/>
    <n v="0"/>
    <n v="0"/>
    <n v="5"/>
    <n v="70"/>
    <x v="0"/>
    <n v="5"/>
    <x v="3"/>
    <m/>
    <x v="0"/>
    <x v="0"/>
    <x v="0"/>
    <n v="13"/>
    <x v="0"/>
  </r>
  <r>
    <n v="2521"/>
    <x v="6"/>
    <x v="2"/>
    <x v="2"/>
    <x v="312"/>
    <x v="1"/>
    <d v="1899-12-30T00:00:00"/>
    <d v="2013-01-10T00:00:00"/>
    <n v="10"/>
    <n v="1"/>
    <n v="2"/>
    <n v="2"/>
    <n v="2"/>
    <n v="55"/>
    <x v="0"/>
    <n v="4"/>
    <x v="3"/>
    <m/>
    <x v="0"/>
    <x v="1"/>
    <x v="0"/>
    <n v="13"/>
    <x v="0"/>
  </r>
  <r>
    <n v="9592"/>
    <x v="10"/>
    <x v="0"/>
    <x v="1"/>
    <x v="313"/>
    <x v="1"/>
    <d v="1899-12-30T00:00:00"/>
    <d v="2013-06-30T00:00:00"/>
    <n v="51"/>
    <n v="2"/>
    <n v="0"/>
    <n v="0"/>
    <n v="3"/>
    <n v="43"/>
    <x v="1"/>
    <n v="3"/>
    <x v="3"/>
    <m/>
    <x v="0"/>
    <x v="2"/>
    <x v="0"/>
    <n v="13"/>
    <x v="0"/>
  </r>
  <r>
    <n v="10151"/>
    <x v="40"/>
    <x v="0"/>
    <x v="3"/>
    <x v="314"/>
    <x v="0"/>
    <d v="1900-01-01T00:00:00"/>
    <d v="2012-09-12T00:00:00"/>
    <n v="38"/>
    <n v="46"/>
    <n v="46"/>
    <n v="46"/>
    <n v="12"/>
    <n v="66"/>
    <x v="0"/>
    <n v="58"/>
    <x v="3"/>
    <m/>
    <x v="0"/>
    <x v="0"/>
    <x v="0"/>
    <n v="14"/>
    <x v="0"/>
  </r>
  <r>
    <n v="7381"/>
    <x v="30"/>
    <x v="0"/>
    <x v="3"/>
    <x v="315"/>
    <x v="0"/>
    <d v="1899-12-30T00:00:00"/>
    <d v="2012-12-06T00:00:00"/>
    <n v="10"/>
    <n v="153"/>
    <n v="97"/>
    <n v="97"/>
    <n v="6"/>
    <n v="58"/>
    <x v="0"/>
    <n v="103"/>
    <x v="3"/>
    <m/>
    <x v="0"/>
    <x v="3"/>
    <x v="0"/>
    <n v="14"/>
    <x v="0"/>
  </r>
  <r>
    <n v="4099"/>
    <x v="39"/>
    <x v="0"/>
    <x v="2"/>
    <x v="316"/>
    <x v="1"/>
    <d v="1899-12-30T00:00:00"/>
    <d v="2012-11-12T00:00:00"/>
    <n v="14"/>
    <n v="2"/>
    <n v="2"/>
    <n v="2"/>
    <n v="3"/>
    <n v="54"/>
    <x v="0"/>
    <n v="5"/>
    <x v="3"/>
    <m/>
    <x v="0"/>
    <x v="1"/>
    <x v="0"/>
    <n v="14"/>
    <x v="0"/>
  </r>
  <r>
    <n v="9560"/>
    <x v="2"/>
    <x v="0"/>
    <x v="1"/>
    <x v="317"/>
    <x v="0"/>
    <d v="1899-12-30T00:00:00"/>
    <d v="2013-03-03T00:00:00"/>
    <n v="18"/>
    <n v="61"/>
    <n v="25"/>
    <n v="25"/>
    <n v="8"/>
    <n v="61"/>
    <x v="0"/>
    <n v="33"/>
    <x v="3"/>
    <m/>
    <x v="0"/>
    <x v="3"/>
    <x v="0"/>
    <n v="13"/>
    <x v="0"/>
  </r>
  <r>
    <n v="1150"/>
    <x v="52"/>
    <x v="1"/>
    <x v="1"/>
    <x v="318"/>
    <x v="0"/>
    <d v="1899-12-30T00:00:00"/>
    <d v="2013-09-26T00:00:00"/>
    <n v="36"/>
    <n v="144"/>
    <n v="64"/>
    <n v="64"/>
    <n v="4"/>
    <n v="127"/>
    <x v="0"/>
    <n v="68"/>
    <x v="3"/>
    <m/>
    <x v="0"/>
    <x v="3"/>
    <x v="0"/>
    <n v="13"/>
    <x v="0"/>
  </r>
  <r>
    <n v="10172"/>
    <x v="36"/>
    <x v="0"/>
    <x v="0"/>
    <x v="319"/>
    <x v="0"/>
    <d v="1899-12-30T00:00:00"/>
    <d v="2012-08-10T00:00:00"/>
    <n v="95"/>
    <n v="19"/>
    <n v="118"/>
    <n v="118"/>
    <n v="11"/>
    <n v="38"/>
    <x v="1"/>
    <n v="129"/>
    <x v="3"/>
    <m/>
    <x v="0"/>
    <x v="0"/>
    <x v="0"/>
    <n v="14"/>
    <x v="0"/>
  </r>
  <r>
    <n v="11191"/>
    <x v="22"/>
    <x v="0"/>
    <x v="3"/>
    <x v="320"/>
    <x v="0"/>
    <d v="1899-12-30T00:00:00"/>
    <d v="2013-12-07T00:00:00"/>
    <n v="11"/>
    <n v="32"/>
    <n v="3"/>
    <n v="3"/>
    <n v="4"/>
    <n v="40"/>
    <x v="1"/>
    <n v="7"/>
    <x v="3"/>
    <m/>
    <x v="0"/>
    <x v="1"/>
    <x v="0"/>
    <n v="13"/>
    <x v="0"/>
  </r>
  <r>
    <n v="9707"/>
    <x v="21"/>
    <x v="1"/>
    <x v="2"/>
    <x v="321"/>
    <x v="0"/>
    <d v="1899-12-31T00:00:00"/>
    <d v="2012-11-23T00:00:00"/>
    <n v="65"/>
    <n v="0"/>
    <n v="0"/>
    <n v="0"/>
    <n v="11"/>
    <n v="57"/>
    <x v="0"/>
    <n v="11"/>
    <x v="3"/>
    <m/>
    <x v="0"/>
    <x v="0"/>
    <x v="0"/>
    <n v="14"/>
    <x v="0"/>
  </r>
  <r>
    <n v="6245"/>
    <x v="9"/>
    <x v="1"/>
    <x v="1"/>
    <x v="322"/>
    <x v="0"/>
    <d v="1899-12-31T00:00:00"/>
    <d v="2013-06-13T00:00:00"/>
    <n v="71"/>
    <n v="14"/>
    <n v="14"/>
    <n v="14"/>
    <n v="8"/>
    <n v="76"/>
    <x v="0"/>
    <n v="22"/>
    <x v="3"/>
    <m/>
    <x v="0"/>
    <x v="0"/>
    <x v="0"/>
    <n v="13"/>
    <x v="0"/>
  </r>
  <r>
    <n v="8234"/>
    <x v="26"/>
    <x v="3"/>
    <x v="1"/>
    <x v="323"/>
    <x v="1"/>
    <d v="1899-12-30T00:00:00"/>
    <d v="2013-08-15T00:00:00"/>
    <n v="13"/>
    <n v="6"/>
    <n v="1"/>
    <n v="1"/>
    <n v="2"/>
    <n v="53"/>
    <x v="0"/>
    <n v="3"/>
    <x v="3"/>
    <m/>
    <x v="0"/>
    <x v="2"/>
    <x v="0"/>
    <n v="13"/>
    <x v="0"/>
  </r>
  <r>
    <n v="1411"/>
    <x v="13"/>
    <x v="0"/>
    <x v="3"/>
    <x v="324"/>
    <x v="0"/>
    <d v="1899-12-30T00:00:00"/>
    <d v="2013-11-10T00:00:00"/>
    <n v="58"/>
    <n v="34"/>
    <n v="153"/>
    <n v="153"/>
    <n v="4"/>
    <n v="74"/>
    <x v="0"/>
    <n v="157"/>
    <x v="3"/>
    <m/>
    <x v="0"/>
    <x v="3"/>
    <x v="0"/>
    <n v="13"/>
    <x v="0"/>
  </r>
  <r>
    <n v="8553"/>
    <x v="2"/>
    <x v="0"/>
    <x v="2"/>
    <x v="325"/>
    <x v="1"/>
    <d v="1899-12-31T00:00:00"/>
    <d v="2013-06-23T00:00:00"/>
    <n v="65"/>
    <n v="0"/>
    <n v="0"/>
    <n v="0"/>
    <n v="3"/>
    <n v="61"/>
    <x v="0"/>
    <n v="3"/>
    <x v="3"/>
    <m/>
    <x v="0"/>
    <x v="1"/>
    <x v="0"/>
    <n v="13"/>
    <x v="0"/>
  </r>
  <r>
    <n v="1826"/>
    <x v="25"/>
    <x v="0"/>
    <x v="3"/>
    <x v="326"/>
    <x v="0"/>
    <d v="1899-12-30T00:00:00"/>
    <d v="2014-06-16T00:00:00"/>
    <n v="0"/>
    <n v="104"/>
    <n v="189"/>
    <n v="189"/>
    <n v="6"/>
    <n v="56"/>
    <x v="0"/>
    <n v="195"/>
    <x v="3"/>
    <m/>
    <x v="0"/>
    <x v="3"/>
    <x v="0"/>
    <n v="12"/>
    <x v="0"/>
  </r>
  <r>
    <n v="8842"/>
    <x v="6"/>
    <x v="0"/>
    <x v="4"/>
    <x v="327"/>
    <x v="1"/>
    <d v="1899-12-31T00:00:00"/>
    <d v="2012-12-25T00:00:00"/>
    <n v="33"/>
    <n v="0"/>
    <n v="3"/>
    <n v="3"/>
    <n v="3"/>
    <n v="55"/>
    <x v="0"/>
    <n v="6"/>
    <x v="3"/>
    <m/>
    <x v="0"/>
    <x v="1"/>
    <x v="0"/>
    <n v="14"/>
    <x v="0"/>
  </r>
  <r>
    <n v="11030"/>
    <x v="11"/>
    <x v="2"/>
    <x v="2"/>
    <x v="328"/>
    <x v="1"/>
    <d v="1899-12-30T00:00:00"/>
    <d v="2014-01-03T00:00:00"/>
    <n v="90"/>
    <n v="0"/>
    <n v="0"/>
    <n v="0"/>
    <n v="2"/>
    <n v="50"/>
    <x v="1"/>
    <n v="2"/>
    <x v="3"/>
    <m/>
    <x v="0"/>
    <x v="1"/>
    <x v="0"/>
    <n v="12"/>
    <x v="0"/>
  </r>
  <r>
    <n v="2579"/>
    <x v="0"/>
    <x v="0"/>
    <x v="2"/>
    <x v="329"/>
    <x v="0"/>
    <d v="1899-12-31T00:00:00"/>
    <d v="2013-12-17T00:00:00"/>
    <n v="95"/>
    <n v="33"/>
    <n v="33"/>
    <n v="33"/>
    <n v="9"/>
    <n v="69"/>
    <x v="0"/>
    <n v="42"/>
    <x v="3"/>
    <m/>
    <x v="0"/>
    <x v="0"/>
    <x v="0"/>
    <n v="13"/>
    <x v="0"/>
  </r>
  <r>
    <n v="175"/>
    <x v="22"/>
    <x v="0"/>
    <x v="2"/>
    <x v="330"/>
    <x v="1"/>
    <d v="1899-12-30T00:00:00"/>
    <d v="2013-01-10T00:00:00"/>
    <n v="93"/>
    <n v="80"/>
    <n v="107"/>
    <n v="107"/>
    <n v="8"/>
    <n v="40"/>
    <x v="1"/>
    <n v="115"/>
    <x v="3"/>
    <m/>
    <x v="0"/>
    <x v="0"/>
    <x v="0"/>
    <n v="13"/>
    <x v="0"/>
  </r>
  <r>
    <n v="9185"/>
    <x v="35"/>
    <x v="1"/>
    <x v="0"/>
    <x v="331"/>
    <x v="0"/>
    <d v="1899-12-30T00:00:00"/>
    <d v="2013-10-28T00:00:00"/>
    <n v="38"/>
    <n v="20"/>
    <n v="30"/>
    <n v="30"/>
    <n v="5"/>
    <n v="60"/>
    <x v="0"/>
    <n v="35"/>
    <x v="3"/>
    <m/>
    <x v="0"/>
    <x v="0"/>
    <x v="0"/>
    <n v="13"/>
    <x v="0"/>
  </r>
  <r>
    <n v="11056"/>
    <x v="8"/>
    <x v="0"/>
    <x v="2"/>
    <x v="332"/>
    <x v="0"/>
    <d v="1899-12-30T00:00:00"/>
    <d v="2012-10-27T00:00:00"/>
    <n v="18"/>
    <n v="91"/>
    <n v="0"/>
    <n v="0"/>
    <n v="10"/>
    <n v="52"/>
    <x v="0"/>
    <n v="10"/>
    <x v="3"/>
    <m/>
    <x v="0"/>
    <x v="0"/>
    <x v="0"/>
    <n v="14"/>
    <x v="0"/>
  </r>
  <r>
    <n v="9365"/>
    <x v="11"/>
    <x v="1"/>
    <x v="0"/>
    <x v="333"/>
    <x v="0"/>
    <d v="1899-12-31T00:00:00"/>
    <d v="2012-12-22T00:00:00"/>
    <n v="57"/>
    <n v="0"/>
    <n v="0"/>
    <n v="0"/>
    <n v="5"/>
    <n v="50"/>
    <x v="1"/>
    <n v="5"/>
    <x v="3"/>
    <m/>
    <x v="0"/>
    <x v="0"/>
    <x v="0"/>
    <n v="14"/>
    <x v="0"/>
  </r>
  <r>
    <n v="6201"/>
    <x v="33"/>
    <x v="0"/>
    <x v="0"/>
    <x v="334"/>
    <x v="1"/>
    <d v="1899-12-31T00:00:00"/>
    <d v="2013-11-29T00:00:00"/>
    <n v="45"/>
    <n v="2"/>
    <n v="1"/>
    <n v="1"/>
    <n v="3"/>
    <n v="48"/>
    <x v="1"/>
    <n v="4"/>
    <x v="3"/>
    <m/>
    <x v="0"/>
    <x v="1"/>
    <x v="0"/>
    <n v="13"/>
    <x v="0"/>
  </r>
  <r>
    <n v="2061"/>
    <x v="34"/>
    <x v="0"/>
    <x v="2"/>
    <x v="335"/>
    <x v="0"/>
    <d v="1899-12-31T00:00:00"/>
    <d v="2013-05-11T00:00:00"/>
    <n v="61"/>
    <n v="0"/>
    <n v="0"/>
    <n v="0"/>
    <n v="4"/>
    <n v="71"/>
    <x v="0"/>
    <n v="4"/>
    <x v="3"/>
    <m/>
    <x v="0"/>
    <x v="0"/>
    <x v="0"/>
    <n v="13"/>
    <x v="0"/>
  </r>
  <r>
    <n v="6184"/>
    <x v="21"/>
    <x v="1"/>
    <x v="2"/>
    <x v="336"/>
    <x v="0"/>
    <d v="1899-12-30T00:00:00"/>
    <d v="2012-12-12T00:00:00"/>
    <n v="6"/>
    <n v="64"/>
    <n v="128"/>
    <n v="128"/>
    <n v="8"/>
    <n v="57"/>
    <x v="0"/>
    <n v="136"/>
    <x v="3"/>
    <m/>
    <x v="0"/>
    <x v="0"/>
    <x v="0"/>
    <n v="14"/>
    <x v="0"/>
  </r>
  <r>
    <n v="6142"/>
    <x v="27"/>
    <x v="2"/>
    <x v="2"/>
    <x v="337"/>
    <x v="0"/>
    <d v="1899-12-30T00:00:00"/>
    <d v="2013-08-20T00:00:00"/>
    <n v="65"/>
    <n v="17"/>
    <n v="0"/>
    <n v="0"/>
    <n v="5"/>
    <n v="83"/>
    <x v="0"/>
    <n v="5"/>
    <x v="3"/>
    <m/>
    <x v="0"/>
    <x v="0"/>
    <x v="0"/>
    <n v="13"/>
    <x v="0"/>
  </r>
  <r>
    <n v="4107"/>
    <x v="37"/>
    <x v="1"/>
    <x v="1"/>
    <x v="338"/>
    <x v="0"/>
    <d v="1900-01-01T00:00:00"/>
    <d v="2013-10-08T00:00:00"/>
    <n v="52"/>
    <n v="15"/>
    <n v="19"/>
    <n v="19"/>
    <n v="4"/>
    <n v="78"/>
    <x v="0"/>
    <n v="23"/>
    <x v="3"/>
    <m/>
    <x v="0"/>
    <x v="1"/>
    <x v="0"/>
    <n v="13"/>
    <x v="0"/>
  </r>
  <r>
    <n v="7274"/>
    <x v="0"/>
    <x v="0"/>
    <x v="2"/>
    <x v="339"/>
    <x v="0"/>
    <d v="1899-12-30T00:00:00"/>
    <d v="2012-09-28T00:00:00"/>
    <n v="87"/>
    <n v="163"/>
    <n v="163"/>
    <n v="163"/>
    <n v="10"/>
    <n v="69"/>
    <x v="0"/>
    <n v="173"/>
    <x v="3"/>
    <m/>
    <x v="0"/>
    <x v="3"/>
    <x v="0"/>
    <n v="14"/>
    <x v="0"/>
  </r>
  <r>
    <n v="9336"/>
    <x v="21"/>
    <x v="1"/>
    <x v="4"/>
    <x v="304"/>
    <x v="0"/>
    <d v="1899-12-31T00:00:00"/>
    <d v="2014-03-22T00:00:00"/>
    <n v="38"/>
    <n v="0"/>
    <n v="0"/>
    <n v="0"/>
    <n v="10"/>
    <n v="57"/>
    <x v="0"/>
    <n v="10"/>
    <x v="3"/>
    <m/>
    <x v="0"/>
    <x v="0"/>
    <x v="0"/>
    <n v="12"/>
    <x v="0"/>
  </r>
  <r>
    <n v="2958"/>
    <x v="33"/>
    <x v="0"/>
    <x v="2"/>
    <x v="340"/>
    <x v="2"/>
    <d v="1899-12-30T00:00:00"/>
    <d v="2014-02-24T00:00:00"/>
    <n v="53"/>
    <n v="3"/>
    <n v="8"/>
    <n v="8"/>
    <n v="4"/>
    <n v="48"/>
    <x v="1"/>
    <n v="12"/>
    <x v="3"/>
    <m/>
    <x v="0"/>
    <x v="2"/>
    <x v="0"/>
    <n v="12"/>
    <x v="0"/>
  </r>
  <r>
    <n v="933"/>
    <x v="33"/>
    <x v="1"/>
    <x v="2"/>
    <x v="246"/>
    <x v="1"/>
    <d v="1899-12-30T00:00:00"/>
    <d v="2012-11-23T00:00:00"/>
    <n v="31"/>
    <n v="0"/>
    <n v="1"/>
    <n v="1"/>
    <n v="2"/>
    <n v="48"/>
    <x v="1"/>
    <n v="3"/>
    <x v="3"/>
    <m/>
    <x v="0"/>
    <x v="1"/>
    <x v="0"/>
    <n v="14"/>
    <x v="0"/>
  </r>
  <r>
    <n v="5837"/>
    <x v="5"/>
    <x v="0"/>
    <x v="2"/>
    <x v="341"/>
    <x v="1"/>
    <d v="1899-12-31T00:00:00"/>
    <d v="2012-12-28T00:00:00"/>
    <n v="67"/>
    <n v="8"/>
    <n v="8"/>
    <n v="8"/>
    <n v="6"/>
    <n v="59"/>
    <x v="0"/>
    <n v="14"/>
    <x v="3"/>
    <m/>
    <x v="0"/>
    <x v="0"/>
    <x v="0"/>
    <n v="14"/>
    <x v="0"/>
  </r>
  <r>
    <n v="10704"/>
    <x v="21"/>
    <x v="0"/>
    <x v="0"/>
    <x v="342"/>
    <x v="0"/>
    <d v="1899-12-31T00:00:00"/>
    <d v="2012-08-21T00:00:00"/>
    <n v="65"/>
    <n v="0"/>
    <n v="27"/>
    <n v="27"/>
    <n v="9"/>
    <n v="57"/>
    <x v="0"/>
    <n v="36"/>
    <x v="3"/>
    <m/>
    <x v="0"/>
    <x v="0"/>
    <x v="0"/>
    <n v="14"/>
    <x v="0"/>
  </r>
  <r>
    <n v="5125"/>
    <x v="40"/>
    <x v="0"/>
    <x v="2"/>
    <x v="343"/>
    <x v="0"/>
    <d v="1899-12-30T00:00:00"/>
    <d v="2013-05-17T00:00:00"/>
    <n v="64"/>
    <n v="0"/>
    <n v="42"/>
    <n v="42"/>
    <n v="11"/>
    <n v="66"/>
    <x v="0"/>
    <n v="53"/>
    <x v="3"/>
    <m/>
    <x v="0"/>
    <x v="3"/>
    <x v="0"/>
    <n v="13"/>
    <x v="0"/>
  </r>
  <r>
    <n v="4432"/>
    <x v="11"/>
    <x v="0"/>
    <x v="3"/>
    <x v="344"/>
    <x v="1"/>
    <d v="1899-12-30T00:00:00"/>
    <d v="2013-03-16T00:00:00"/>
    <n v="82"/>
    <n v="3"/>
    <n v="11"/>
    <n v="11"/>
    <n v="3"/>
    <n v="50"/>
    <x v="1"/>
    <n v="14"/>
    <x v="3"/>
    <m/>
    <x v="0"/>
    <x v="1"/>
    <x v="0"/>
    <n v="13"/>
    <x v="0"/>
  </r>
  <r>
    <n v="5955"/>
    <x v="43"/>
    <x v="0"/>
    <x v="1"/>
    <x v="345"/>
    <x v="0"/>
    <d v="1899-12-30T00:00:00"/>
    <d v="2012-11-17T00:00:00"/>
    <n v="27"/>
    <n v="33"/>
    <n v="133"/>
    <n v="133"/>
    <n v="8"/>
    <n v="64"/>
    <x v="0"/>
    <n v="141"/>
    <x v="3"/>
    <m/>
    <x v="0"/>
    <x v="0"/>
    <x v="0"/>
    <n v="14"/>
    <x v="0"/>
  </r>
  <r>
    <n v="2928"/>
    <x v="28"/>
    <x v="1"/>
    <x v="0"/>
    <x v="346"/>
    <x v="0"/>
    <d v="1899-12-31T00:00:00"/>
    <d v="2012-12-01T00:00:00"/>
    <n v="63"/>
    <n v="0"/>
    <n v="9"/>
    <n v="9"/>
    <n v="8"/>
    <n v="51"/>
    <x v="0"/>
    <n v="17"/>
    <x v="3"/>
    <m/>
    <x v="0"/>
    <x v="0"/>
    <x v="0"/>
    <n v="14"/>
    <x v="0"/>
  </r>
  <r>
    <n v="5680"/>
    <x v="3"/>
    <x v="4"/>
    <x v="2"/>
    <x v="347"/>
    <x v="1"/>
    <d v="1899-12-30T00:00:00"/>
    <d v="2014-04-22T00:00:00"/>
    <n v="66"/>
    <n v="4"/>
    <n v="6"/>
    <n v="6"/>
    <n v="3"/>
    <n v="42"/>
    <x v="1"/>
    <n v="9"/>
    <x v="3"/>
    <m/>
    <x v="0"/>
    <x v="1"/>
    <x v="0"/>
    <n v="12"/>
    <x v="0"/>
  </r>
  <r>
    <n v="10313"/>
    <x v="28"/>
    <x v="0"/>
    <x v="2"/>
    <x v="348"/>
    <x v="1"/>
    <d v="1899-12-31T00:00:00"/>
    <d v="2012-10-28T00:00:00"/>
    <n v="69"/>
    <n v="4"/>
    <n v="2"/>
    <n v="2"/>
    <n v="4"/>
    <n v="51"/>
    <x v="0"/>
    <n v="6"/>
    <x v="3"/>
    <m/>
    <x v="0"/>
    <x v="1"/>
    <x v="0"/>
    <n v="14"/>
    <x v="0"/>
  </r>
  <r>
    <n v="2557"/>
    <x v="25"/>
    <x v="2"/>
    <x v="0"/>
    <x v="349"/>
    <x v="1"/>
    <d v="1899-12-30T00:00:00"/>
    <d v="2013-08-29T00:00:00"/>
    <n v="52"/>
    <n v="1"/>
    <n v="1"/>
    <n v="1"/>
    <n v="2"/>
    <n v="56"/>
    <x v="0"/>
    <n v="3"/>
    <x v="3"/>
    <m/>
    <x v="0"/>
    <x v="2"/>
    <x v="0"/>
    <n v="13"/>
    <x v="0"/>
  </r>
  <r>
    <n v="1245"/>
    <x v="35"/>
    <x v="0"/>
    <x v="0"/>
    <x v="350"/>
    <x v="0"/>
    <d v="1899-12-31T00:00:00"/>
    <d v="2012-11-11T00:00:00"/>
    <n v="45"/>
    <n v="12"/>
    <n v="12"/>
    <n v="12"/>
    <n v="12"/>
    <n v="60"/>
    <x v="0"/>
    <n v="24"/>
    <x v="3"/>
    <m/>
    <x v="0"/>
    <x v="0"/>
    <x v="0"/>
    <n v="14"/>
    <x v="0"/>
  </r>
  <r>
    <n v="1519"/>
    <x v="39"/>
    <x v="1"/>
    <x v="0"/>
    <x v="351"/>
    <x v="1"/>
    <d v="1899-12-31T00:00:00"/>
    <d v="2013-06-22T00:00:00"/>
    <n v="2"/>
    <n v="4"/>
    <n v="3"/>
    <n v="3"/>
    <n v="3"/>
    <n v="54"/>
    <x v="0"/>
    <n v="6"/>
    <x v="3"/>
    <m/>
    <x v="0"/>
    <x v="1"/>
    <x v="0"/>
    <n v="13"/>
    <x v="0"/>
  </r>
  <r>
    <n v="10703"/>
    <x v="28"/>
    <x v="2"/>
    <x v="0"/>
    <x v="352"/>
    <x v="1"/>
    <d v="1899-12-31T00:00:00"/>
    <d v="2012-08-18T00:00:00"/>
    <n v="86"/>
    <n v="0"/>
    <n v="0"/>
    <n v="0"/>
    <n v="2"/>
    <n v="51"/>
    <x v="0"/>
    <n v="2"/>
    <x v="3"/>
    <m/>
    <x v="0"/>
    <x v="1"/>
    <x v="0"/>
    <n v="14"/>
    <x v="0"/>
  </r>
  <r>
    <n v="1726"/>
    <x v="25"/>
    <x v="0"/>
    <x v="0"/>
    <x v="353"/>
    <x v="0"/>
    <d v="1899-12-30T00:00:00"/>
    <d v="2013-03-18T00:00:00"/>
    <n v="23"/>
    <n v="9"/>
    <n v="2"/>
    <n v="2"/>
    <n v="2"/>
    <n v="56"/>
    <x v="0"/>
    <n v="4"/>
    <x v="3"/>
    <m/>
    <x v="0"/>
    <x v="2"/>
    <x v="0"/>
    <n v="13"/>
    <x v="0"/>
  </r>
  <r>
    <n v="4459"/>
    <x v="23"/>
    <x v="0"/>
    <x v="0"/>
    <x v="354"/>
    <x v="1"/>
    <d v="1899-12-30T00:00:00"/>
    <d v="2012-12-30T00:00:00"/>
    <n v="13"/>
    <n v="4"/>
    <n v="4"/>
    <n v="4"/>
    <n v="3"/>
    <n v="37"/>
    <x v="1"/>
    <n v="7"/>
    <x v="3"/>
    <m/>
    <x v="0"/>
    <x v="1"/>
    <x v="0"/>
    <n v="14"/>
    <x v="0"/>
  </r>
  <r>
    <n v="1729"/>
    <x v="45"/>
    <x v="1"/>
    <x v="1"/>
    <x v="355"/>
    <x v="0"/>
    <d v="1899-12-31T00:00:00"/>
    <d v="2013-10-02T00:00:00"/>
    <n v="14"/>
    <n v="24"/>
    <n v="24"/>
    <n v="24"/>
    <n v="10"/>
    <n v="65"/>
    <x v="0"/>
    <n v="34"/>
    <x v="3"/>
    <m/>
    <x v="0"/>
    <x v="0"/>
    <x v="0"/>
    <n v="13"/>
    <x v="0"/>
  </r>
  <r>
    <n v="1517"/>
    <x v="21"/>
    <x v="0"/>
    <x v="0"/>
    <x v="356"/>
    <x v="1"/>
    <d v="1899-12-30T00:00:00"/>
    <d v="2013-06-14T00:00:00"/>
    <n v="92"/>
    <n v="9"/>
    <n v="12"/>
    <n v="12"/>
    <n v="3"/>
    <n v="57"/>
    <x v="0"/>
    <n v="15"/>
    <x v="3"/>
    <m/>
    <x v="0"/>
    <x v="1"/>
    <x v="0"/>
    <n v="13"/>
    <x v="0"/>
  </r>
  <r>
    <n v="2098"/>
    <x v="21"/>
    <x v="1"/>
    <x v="2"/>
    <x v="357"/>
    <x v="2"/>
    <d v="1899-12-30T00:00:00"/>
    <d v="2013-01-08T00:00:00"/>
    <n v="38"/>
    <n v="0"/>
    <n v="0"/>
    <n v="0"/>
    <n v="2"/>
    <n v="57"/>
    <x v="0"/>
    <n v="2"/>
    <x v="3"/>
    <m/>
    <x v="0"/>
    <x v="1"/>
    <x v="0"/>
    <n v="13"/>
    <x v="0"/>
  </r>
  <r>
    <n v="9543"/>
    <x v="7"/>
    <x v="0"/>
    <x v="2"/>
    <x v="358"/>
    <x v="1"/>
    <d v="1899-12-30T00:00:00"/>
    <d v="2013-11-14T00:00:00"/>
    <n v="74"/>
    <n v="6"/>
    <n v="2"/>
    <n v="2"/>
    <n v="3"/>
    <n v="41"/>
    <x v="1"/>
    <n v="5"/>
    <x v="3"/>
    <m/>
    <x v="0"/>
    <x v="2"/>
    <x v="0"/>
    <n v="13"/>
    <x v="0"/>
  </r>
  <r>
    <n v="6878"/>
    <x v="1"/>
    <x v="0"/>
    <x v="4"/>
    <x v="359"/>
    <x v="0"/>
    <d v="1899-12-30T00:00:00"/>
    <d v="2012-12-12T00:00:00"/>
    <n v="14"/>
    <n v="12"/>
    <n v="40"/>
    <n v="40"/>
    <n v="6"/>
    <n v="72"/>
    <x v="0"/>
    <n v="46"/>
    <x v="3"/>
    <m/>
    <x v="0"/>
    <x v="2"/>
    <x v="0"/>
    <n v="14"/>
    <x v="0"/>
  </r>
  <r>
    <n v="3310"/>
    <x v="26"/>
    <x v="4"/>
    <x v="2"/>
    <x v="135"/>
    <x v="2"/>
    <d v="1899-12-31T00:00:00"/>
    <d v="2012-08-22T00:00:00"/>
    <n v="94"/>
    <n v="3"/>
    <n v="1"/>
    <n v="1"/>
    <n v="4"/>
    <n v="53"/>
    <x v="0"/>
    <n v="5"/>
    <x v="3"/>
    <m/>
    <x v="0"/>
    <x v="1"/>
    <x v="0"/>
    <n v="14"/>
    <x v="0"/>
  </r>
  <r>
    <n v="2724"/>
    <x v="4"/>
    <x v="2"/>
    <x v="0"/>
    <x v="360"/>
    <x v="1"/>
    <d v="1899-12-30T00:00:00"/>
    <d v="2014-03-30T00:00:00"/>
    <n v="33"/>
    <n v="0"/>
    <n v="0"/>
    <n v="0"/>
    <n v="2"/>
    <n v="45"/>
    <x v="1"/>
    <n v="2"/>
    <x v="3"/>
    <m/>
    <x v="0"/>
    <x v="1"/>
    <x v="0"/>
    <n v="12"/>
    <x v="0"/>
  </r>
  <r>
    <n v="948"/>
    <x v="6"/>
    <x v="0"/>
    <x v="0"/>
    <x v="361"/>
    <x v="1"/>
    <d v="1899-12-30T00:00:00"/>
    <d v="2013-05-15T00:00:00"/>
    <n v="32"/>
    <n v="7"/>
    <n v="4"/>
    <n v="4"/>
    <n v="2"/>
    <n v="55"/>
    <x v="0"/>
    <n v="6"/>
    <x v="3"/>
    <m/>
    <x v="0"/>
    <x v="2"/>
    <x v="0"/>
    <n v="13"/>
    <x v="0"/>
  </r>
  <r>
    <n v="6720"/>
    <x v="30"/>
    <x v="2"/>
    <x v="1"/>
    <x v="362"/>
    <x v="0"/>
    <d v="1899-12-31T00:00:00"/>
    <d v="2013-10-16T00:00:00"/>
    <n v="11"/>
    <n v="11"/>
    <n v="3"/>
    <n v="3"/>
    <n v="4"/>
    <n v="58"/>
    <x v="0"/>
    <n v="7"/>
    <x v="3"/>
    <m/>
    <x v="0"/>
    <x v="1"/>
    <x v="0"/>
    <n v="13"/>
    <x v="0"/>
  </r>
  <r>
    <n v="6202"/>
    <x v="40"/>
    <x v="0"/>
    <x v="1"/>
    <x v="363"/>
    <x v="0"/>
    <d v="1899-12-31T00:00:00"/>
    <d v="2012-10-05T00:00:00"/>
    <n v="78"/>
    <n v="50"/>
    <n v="50"/>
    <n v="50"/>
    <n v="13"/>
    <n v="66"/>
    <x v="0"/>
    <n v="63"/>
    <x v="3"/>
    <m/>
    <x v="0"/>
    <x v="0"/>
    <x v="0"/>
    <n v="14"/>
    <x v="0"/>
  </r>
  <r>
    <n v="2066"/>
    <x v="17"/>
    <x v="0"/>
    <x v="1"/>
    <x v="364"/>
    <x v="0"/>
    <d v="1899-12-31T00:00:00"/>
    <d v="2012-08-30T00:00:00"/>
    <n v="56"/>
    <n v="0"/>
    <n v="8"/>
    <n v="8"/>
    <n v="3"/>
    <n v="77"/>
    <x v="0"/>
    <n v="11"/>
    <x v="3"/>
    <m/>
    <x v="0"/>
    <x v="1"/>
    <x v="0"/>
    <n v="14"/>
    <x v="0"/>
  </r>
  <r>
    <n v="9799"/>
    <x v="30"/>
    <x v="1"/>
    <x v="3"/>
    <x v="365"/>
    <x v="1"/>
    <d v="1899-12-31T00:00:00"/>
    <d v="2013-05-08T00:00:00"/>
    <n v="57"/>
    <n v="21"/>
    <n v="21"/>
    <n v="21"/>
    <n v="12"/>
    <n v="58"/>
    <x v="0"/>
    <n v="33"/>
    <x v="3"/>
    <m/>
    <x v="0"/>
    <x v="3"/>
    <x v="0"/>
    <n v="13"/>
    <x v="0"/>
  </r>
  <r>
    <n v="8318"/>
    <x v="19"/>
    <x v="0"/>
    <x v="1"/>
    <x v="366"/>
    <x v="0"/>
    <d v="1899-12-30T00:00:00"/>
    <d v="2014-01-03T00:00:00"/>
    <n v="7"/>
    <n v="134"/>
    <n v="134"/>
    <n v="134"/>
    <n v="8"/>
    <n v="47"/>
    <x v="1"/>
    <n v="142"/>
    <x v="3"/>
    <m/>
    <x v="0"/>
    <x v="3"/>
    <x v="0"/>
    <n v="12"/>
    <x v="0"/>
  </r>
  <r>
    <n v="5642"/>
    <x v="19"/>
    <x v="2"/>
    <x v="1"/>
    <x v="367"/>
    <x v="1"/>
    <d v="1899-12-30T00:00:00"/>
    <d v="2013-12-09T00:00:00"/>
    <n v="0"/>
    <n v="4"/>
    <n v="13"/>
    <n v="13"/>
    <n v="6"/>
    <n v="47"/>
    <x v="1"/>
    <n v="19"/>
    <x v="3"/>
    <m/>
    <x v="0"/>
    <x v="0"/>
    <x v="0"/>
    <n v="13"/>
    <x v="0"/>
  </r>
  <r>
    <n v="2669"/>
    <x v="53"/>
    <x v="0"/>
    <x v="0"/>
    <x v="368"/>
    <x v="0"/>
    <d v="1899-12-30T00:00:00"/>
    <d v="2014-05-04T00:00:00"/>
    <n v="66"/>
    <n v="152"/>
    <n v="91"/>
    <n v="91"/>
    <n v="6"/>
    <n v="33"/>
    <x v="1"/>
    <n v="97"/>
    <x v="3"/>
    <m/>
    <x v="0"/>
    <x v="0"/>
    <x v="0"/>
    <n v="12"/>
    <x v="0"/>
  </r>
  <r>
    <n v="455"/>
    <x v="15"/>
    <x v="1"/>
    <x v="2"/>
    <x v="369"/>
    <x v="0"/>
    <d v="1899-12-30T00:00:00"/>
    <d v="2013-04-18T00:00:00"/>
    <n v="86"/>
    <n v="9"/>
    <n v="9"/>
    <n v="9"/>
    <n v="4"/>
    <n v="80"/>
    <x v="0"/>
    <n v="13"/>
    <x v="3"/>
    <m/>
    <x v="0"/>
    <x v="0"/>
    <x v="0"/>
    <n v="13"/>
    <x v="0"/>
  </r>
  <r>
    <n v="7683"/>
    <x v="30"/>
    <x v="2"/>
    <x v="2"/>
    <x v="370"/>
    <x v="0"/>
    <d v="1899-12-31T00:00:00"/>
    <d v="2014-02-25T00:00:00"/>
    <n v="80"/>
    <n v="35"/>
    <n v="7"/>
    <n v="7"/>
    <n v="12"/>
    <n v="58"/>
    <x v="0"/>
    <n v="19"/>
    <x v="3"/>
    <m/>
    <x v="0"/>
    <x v="0"/>
    <x v="0"/>
    <n v="12"/>
    <x v="0"/>
  </r>
  <r>
    <n v="3428"/>
    <x v="42"/>
    <x v="1"/>
    <x v="1"/>
    <x v="371"/>
    <x v="0"/>
    <d v="1899-12-30T00:00:00"/>
    <d v="2013-10-06T00:00:00"/>
    <n v="56"/>
    <n v="0"/>
    <n v="30"/>
    <n v="30"/>
    <n v="10"/>
    <n v="35"/>
    <x v="1"/>
    <n v="40"/>
    <x v="3"/>
    <m/>
    <x v="0"/>
    <x v="0"/>
    <x v="0"/>
    <n v="13"/>
    <x v="0"/>
  </r>
  <r>
    <n v="7414"/>
    <x v="6"/>
    <x v="0"/>
    <x v="2"/>
    <x v="372"/>
    <x v="1"/>
    <d v="1899-12-31T00:00:00"/>
    <d v="2012-09-15T00:00:00"/>
    <n v="18"/>
    <n v="1"/>
    <n v="3"/>
    <n v="3"/>
    <n v="4"/>
    <n v="55"/>
    <x v="0"/>
    <n v="7"/>
    <x v="3"/>
    <m/>
    <x v="0"/>
    <x v="1"/>
    <x v="0"/>
    <n v="14"/>
    <x v="0"/>
  </r>
  <r>
    <n v="6354"/>
    <x v="3"/>
    <x v="0"/>
    <x v="1"/>
    <x v="373"/>
    <x v="1"/>
    <d v="1899-12-30T00:00:00"/>
    <d v="2012-08-31T00:00:00"/>
    <n v="51"/>
    <n v="2"/>
    <n v="2"/>
    <n v="2"/>
    <n v="2"/>
    <n v="42"/>
    <x v="1"/>
    <n v="4"/>
    <x v="3"/>
    <m/>
    <x v="0"/>
    <x v="2"/>
    <x v="0"/>
    <n v="14"/>
    <x v="0"/>
  </r>
  <r>
    <n v="798"/>
    <x v="14"/>
    <x v="0"/>
    <x v="0"/>
    <x v="374"/>
    <x v="1"/>
    <d v="1899-12-30T00:00:00"/>
    <d v="2012-12-24T00:00:00"/>
    <n v="71"/>
    <n v="0"/>
    <n v="6"/>
    <n v="6"/>
    <n v="3"/>
    <n v="39"/>
    <x v="1"/>
    <n v="9"/>
    <x v="3"/>
    <m/>
    <x v="0"/>
    <x v="2"/>
    <x v="0"/>
    <n v="14"/>
    <x v="0"/>
  </r>
  <r>
    <n v="8213"/>
    <x v="16"/>
    <x v="4"/>
    <x v="1"/>
    <x v="375"/>
    <x v="1"/>
    <d v="1899-12-30T00:00:00"/>
    <d v="2012-11-09T00:00:00"/>
    <n v="71"/>
    <n v="4"/>
    <n v="36"/>
    <n v="36"/>
    <n v="3"/>
    <n v="46"/>
    <x v="1"/>
    <n v="39"/>
    <x v="3"/>
    <m/>
    <x v="0"/>
    <x v="2"/>
    <x v="0"/>
    <n v="14"/>
    <x v="0"/>
  </r>
  <r>
    <n v="2488"/>
    <x v="46"/>
    <x v="4"/>
    <x v="3"/>
    <x v="376"/>
    <x v="1"/>
    <d v="1899-12-31T00:00:00"/>
    <d v="2013-03-23T00:00:00"/>
    <n v="80"/>
    <n v="1"/>
    <n v="8"/>
    <n v="8"/>
    <n v="3"/>
    <n v="70"/>
    <x v="0"/>
    <n v="11"/>
    <x v="3"/>
    <m/>
    <x v="0"/>
    <x v="1"/>
    <x v="0"/>
    <n v="13"/>
    <x v="0"/>
  </r>
  <r>
    <n v="9999"/>
    <x v="2"/>
    <x v="0"/>
    <x v="1"/>
    <x v="377"/>
    <x v="0"/>
    <d v="1899-12-30T00:00:00"/>
    <d v="2012-09-27T00:00:00"/>
    <n v="2"/>
    <n v="105"/>
    <n v="42"/>
    <n v="42"/>
    <n v="9"/>
    <n v="61"/>
    <x v="0"/>
    <n v="51"/>
    <x v="3"/>
    <m/>
    <x v="0"/>
    <x v="3"/>
    <x v="0"/>
    <n v="14"/>
    <x v="0"/>
  </r>
  <r>
    <n v="7617"/>
    <x v="8"/>
    <x v="0"/>
    <x v="0"/>
    <x v="378"/>
    <x v="1"/>
    <d v="1899-12-31T00:00:00"/>
    <d v="2013-08-15T00:00:00"/>
    <n v="83"/>
    <n v="5"/>
    <n v="8"/>
    <n v="8"/>
    <n v="5"/>
    <n v="52"/>
    <x v="0"/>
    <n v="13"/>
    <x v="3"/>
    <m/>
    <x v="0"/>
    <x v="1"/>
    <x v="0"/>
    <n v="13"/>
    <x v="0"/>
  </r>
  <r>
    <n v="615"/>
    <x v="40"/>
    <x v="0"/>
    <x v="1"/>
    <x v="379"/>
    <x v="0"/>
    <d v="1899-12-30T00:00:00"/>
    <d v="2013-03-11T00:00:00"/>
    <n v="29"/>
    <n v="36"/>
    <n v="20"/>
    <n v="20"/>
    <n v="4"/>
    <n v="66"/>
    <x v="0"/>
    <n v="24"/>
    <x v="3"/>
    <m/>
    <x v="0"/>
    <x v="1"/>
    <x v="0"/>
    <n v="13"/>
    <x v="0"/>
  </r>
  <r>
    <n v="2552"/>
    <x v="34"/>
    <x v="1"/>
    <x v="0"/>
    <x v="380"/>
    <x v="1"/>
    <d v="1900-01-01T00:00:00"/>
    <d v="2013-10-22T00:00:00"/>
    <n v="11"/>
    <n v="0"/>
    <n v="0"/>
    <n v="0"/>
    <n v="6"/>
    <n v="71"/>
    <x v="0"/>
    <n v="6"/>
    <x v="3"/>
    <m/>
    <x v="0"/>
    <x v="0"/>
    <x v="0"/>
    <n v="13"/>
    <x v="0"/>
  </r>
  <r>
    <n v="194"/>
    <x v="2"/>
    <x v="0"/>
    <x v="2"/>
    <x v="381"/>
    <x v="1"/>
    <d v="1899-12-31T00:00:00"/>
    <d v="2014-06-09T00:00:00"/>
    <n v="55"/>
    <n v="0"/>
    <n v="2"/>
    <n v="2"/>
    <n v="3"/>
    <n v="61"/>
    <x v="0"/>
    <n v="5"/>
    <x v="3"/>
    <m/>
    <x v="0"/>
    <x v="1"/>
    <x v="0"/>
    <n v="12"/>
    <x v="0"/>
  </r>
  <r>
    <n v="3645"/>
    <x v="39"/>
    <x v="1"/>
    <x v="0"/>
    <x v="382"/>
    <x v="1"/>
    <d v="1899-12-30T00:00:00"/>
    <d v="2012-08-30T00:00:00"/>
    <n v="19"/>
    <n v="3"/>
    <n v="9"/>
    <n v="9"/>
    <n v="4"/>
    <n v="54"/>
    <x v="0"/>
    <n v="13"/>
    <x v="3"/>
    <m/>
    <x v="0"/>
    <x v="2"/>
    <x v="0"/>
    <n v="14"/>
    <x v="0"/>
  </r>
  <r>
    <n v="8890"/>
    <x v="6"/>
    <x v="1"/>
    <x v="3"/>
    <x v="383"/>
    <x v="1"/>
    <d v="1899-12-31T00:00:00"/>
    <d v="2014-05-30T00:00:00"/>
    <n v="1"/>
    <n v="7"/>
    <n v="7"/>
    <n v="7"/>
    <n v="5"/>
    <n v="55"/>
    <x v="0"/>
    <n v="12"/>
    <x v="3"/>
    <m/>
    <x v="0"/>
    <x v="0"/>
    <x v="0"/>
    <n v="12"/>
    <x v="0"/>
  </r>
  <r>
    <n v="5049"/>
    <x v="8"/>
    <x v="1"/>
    <x v="1"/>
    <x v="8"/>
    <x v="1"/>
    <d v="1899-12-30T00:00:00"/>
    <d v="2013-06-06T00:00:00"/>
    <n v="19"/>
    <n v="0"/>
    <n v="3"/>
    <n v="3"/>
    <n v="2"/>
    <n v="52"/>
    <x v="0"/>
    <n v="5"/>
    <x v="3"/>
    <m/>
    <x v="0"/>
    <x v="1"/>
    <x v="0"/>
    <n v="13"/>
    <x v="0"/>
  </r>
  <r>
    <n v="9973"/>
    <x v="24"/>
    <x v="0"/>
    <x v="2"/>
    <x v="384"/>
    <x v="0"/>
    <d v="1900-01-01T00:00:00"/>
    <d v="2012-10-17T00:00:00"/>
    <n v="28"/>
    <n v="9"/>
    <n v="9"/>
    <n v="9"/>
    <n v="8"/>
    <n v="63"/>
    <x v="0"/>
    <n v="17"/>
    <x v="3"/>
    <m/>
    <x v="0"/>
    <x v="0"/>
    <x v="0"/>
    <n v="14"/>
    <x v="0"/>
  </r>
  <r>
    <n v="7301"/>
    <x v="18"/>
    <x v="4"/>
    <x v="0"/>
    <x v="385"/>
    <x v="1"/>
    <d v="1899-12-30T00:00:00"/>
    <d v="2012-11-17T00:00:00"/>
    <n v="76"/>
    <n v="22"/>
    <n v="7"/>
    <n v="7"/>
    <n v="3"/>
    <n v="44"/>
    <x v="1"/>
    <n v="10"/>
    <x v="3"/>
    <m/>
    <x v="0"/>
    <x v="2"/>
    <x v="0"/>
    <n v="14"/>
    <x v="0"/>
  </r>
  <r>
    <n v="10882"/>
    <x v="11"/>
    <x v="0"/>
    <x v="2"/>
    <x v="386"/>
    <x v="0"/>
    <d v="1899-12-31T00:00:00"/>
    <d v="2012-11-09T00:00:00"/>
    <n v="50"/>
    <n v="53"/>
    <n v="150"/>
    <n v="150"/>
    <n v="6"/>
    <n v="50"/>
    <x v="1"/>
    <n v="156"/>
    <x v="3"/>
    <m/>
    <x v="0"/>
    <x v="0"/>
    <x v="0"/>
    <n v="14"/>
    <x v="0"/>
  </r>
  <r>
    <n v="7030"/>
    <x v="34"/>
    <x v="1"/>
    <x v="2"/>
    <x v="387"/>
    <x v="0"/>
    <d v="1899-12-31T00:00:00"/>
    <d v="2013-03-30T00:00:00"/>
    <n v="1"/>
    <n v="0"/>
    <n v="29"/>
    <n v="29"/>
    <n v="12"/>
    <n v="71"/>
    <x v="0"/>
    <n v="41"/>
    <x v="3"/>
    <m/>
    <x v="0"/>
    <x v="0"/>
    <x v="0"/>
    <n v="13"/>
    <x v="0"/>
  </r>
  <r>
    <n v="7422"/>
    <x v="14"/>
    <x v="0"/>
    <x v="0"/>
    <x v="388"/>
    <x v="1"/>
    <d v="1899-12-30T00:00:00"/>
    <d v="2012-08-22T00:00:00"/>
    <n v="90"/>
    <n v="44"/>
    <n v="78"/>
    <n v="78"/>
    <n v="7"/>
    <n v="39"/>
    <x v="1"/>
    <n v="85"/>
    <x v="3"/>
    <m/>
    <x v="0"/>
    <x v="1"/>
    <x v="0"/>
    <n v="14"/>
    <x v="0"/>
  </r>
  <r>
    <n v="3523"/>
    <x v="43"/>
    <x v="0"/>
    <x v="1"/>
    <x v="389"/>
    <x v="0"/>
    <d v="1899-12-31T00:00:00"/>
    <d v="2013-01-23T00:00:00"/>
    <n v="83"/>
    <n v="34"/>
    <n v="22"/>
    <n v="22"/>
    <n v="8"/>
    <n v="64"/>
    <x v="0"/>
    <n v="30"/>
    <x v="3"/>
    <m/>
    <x v="0"/>
    <x v="3"/>
    <x v="0"/>
    <n v="13"/>
    <x v="0"/>
  </r>
  <r>
    <n v="7106"/>
    <x v="27"/>
    <x v="1"/>
    <x v="2"/>
    <x v="390"/>
    <x v="0"/>
    <d v="1899-12-30T00:00:00"/>
    <d v="2014-03-31T00:00:00"/>
    <n v="73"/>
    <n v="0"/>
    <n v="0"/>
    <n v="0"/>
    <n v="10"/>
    <n v="83"/>
    <x v="0"/>
    <n v="10"/>
    <x v="3"/>
    <m/>
    <x v="0"/>
    <x v="3"/>
    <x v="0"/>
    <n v="12"/>
    <x v="0"/>
  </r>
  <r>
    <n v="6504"/>
    <x v="28"/>
    <x v="4"/>
    <x v="1"/>
    <x v="391"/>
    <x v="1"/>
    <d v="1899-12-30T00:00:00"/>
    <d v="2013-11-20T00:00:00"/>
    <n v="24"/>
    <n v="5"/>
    <n v="6"/>
    <n v="6"/>
    <n v="3"/>
    <n v="51"/>
    <x v="0"/>
    <n v="9"/>
    <x v="3"/>
    <m/>
    <x v="0"/>
    <x v="2"/>
    <x v="0"/>
    <n v="13"/>
    <x v="0"/>
  </r>
  <r>
    <n v="5067"/>
    <x v="54"/>
    <x v="0"/>
    <x v="1"/>
    <x v="229"/>
    <x v="0"/>
    <d v="1899-12-30T00:00:00"/>
    <d v="2014-02-14T00:00:00"/>
    <n v="11"/>
    <n v="26"/>
    <n v="26"/>
    <n v="26"/>
    <n v="11"/>
    <n v="32"/>
    <x v="1"/>
    <n v="37"/>
    <x v="3"/>
    <m/>
    <x v="0"/>
    <x v="3"/>
    <x v="0"/>
    <n v="12"/>
    <x v="0"/>
  </r>
  <r>
    <n v="4216"/>
    <x v="4"/>
    <x v="0"/>
    <x v="0"/>
    <x v="392"/>
    <x v="0"/>
    <d v="1899-12-30T00:00:00"/>
    <d v="2013-02-22T00:00:00"/>
    <n v="33"/>
    <n v="114"/>
    <n v="137"/>
    <n v="137"/>
    <n v="9"/>
    <n v="45"/>
    <x v="1"/>
    <n v="146"/>
    <x v="3"/>
    <m/>
    <x v="0"/>
    <x v="3"/>
    <x v="0"/>
    <n v="13"/>
    <x v="0"/>
  </r>
  <r>
    <n v="8581"/>
    <x v="6"/>
    <x v="2"/>
    <x v="2"/>
    <x v="393"/>
    <x v="1"/>
    <d v="1899-12-31T00:00:00"/>
    <d v="2013-03-05T00:00:00"/>
    <n v="4"/>
    <n v="0"/>
    <n v="0"/>
    <n v="0"/>
    <n v="8"/>
    <n v="55"/>
    <x v="0"/>
    <n v="8"/>
    <x v="3"/>
    <m/>
    <x v="0"/>
    <x v="1"/>
    <x v="0"/>
    <n v="13"/>
    <x v="0"/>
  </r>
  <r>
    <n v="5929"/>
    <x v="26"/>
    <x v="1"/>
    <x v="2"/>
    <x v="394"/>
    <x v="1"/>
    <d v="1899-12-30T00:00:00"/>
    <d v="2014-05-06T00:00:00"/>
    <n v="14"/>
    <n v="3"/>
    <n v="1"/>
    <n v="1"/>
    <n v="3"/>
    <n v="53"/>
    <x v="0"/>
    <n v="4"/>
    <x v="3"/>
    <m/>
    <x v="0"/>
    <x v="1"/>
    <x v="0"/>
    <n v="12"/>
    <x v="0"/>
  </r>
  <r>
    <n v="3129"/>
    <x v="10"/>
    <x v="0"/>
    <x v="2"/>
    <x v="84"/>
    <x v="1"/>
    <d v="1899-12-30T00:00:00"/>
    <d v="2014-05-22T00:00:00"/>
    <n v="30"/>
    <n v="3"/>
    <n v="5"/>
    <n v="5"/>
    <n v="3"/>
    <n v="43"/>
    <x v="1"/>
    <n v="8"/>
    <x v="3"/>
    <m/>
    <x v="0"/>
    <x v="1"/>
    <x v="0"/>
    <n v="12"/>
    <x v="0"/>
  </r>
  <r>
    <n v="6528"/>
    <x v="18"/>
    <x v="2"/>
    <x v="1"/>
    <x v="395"/>
    <x v="1"/>
    <d v="1899-12-30T00:00:00"/>
    <d v="2014-06-05T00:00:00"/>
    <n v="75"/>
    <n v="2"/>
    <n v="1"/>
    <n v="1"/>
    <n v="2"/>
    <n v="44"/>
    <x v="1"/>
    <n v="3"/>
    <x v="3"/>
    <m/>
    <x v="0"/>
    <x v="2"/>
    <x v="0"/>
    <n v="12"/>
    <x v="0"/>
  </r>
  <r>
    <n v="1361"/>
    <x v="8"/>
    <x v="2"/>
    <x v="2"/>
    <x v="396"/>
    <x v="0"/>
    <d v="1899-12-30T00:00:00"/>
    <d v="2013-06-04T00:00:00"/>
    <n v="26"/>
    <n v="68"/>
    <n v="91"/>
    <n v="91"/>
    <n v="8"/>
    <n v="52"/>
    <x v="0"/>
    <n v="99"/>
    <x v="3"/>
    <m/>
    <x v="0"/>
    <x v="3"/>
    <x v="0"/>
    <n v="13"/>
    <x v="0"/>
  </r>
  <r>
    <n v="6932"/>
    <x v="55"/>
    <x v="1"/>
    <x v="2"/>
    <x v="397"/>
    <x v="0"/>
    <d v="1899-12-30T00:00:00"/>
    <d v="2013-04-13T00:00:00"/>
    <n v="77"/>
    <n v="42"/>
    <n v="0"/>
    <n v="0"/>
    <n v="5"/>
    <n v="85"/>
    <x v="0"/>
    <n v="5"/>
    <x v="3"/>
    <m/>
    <x v="0"/>
    <x v="3"/>
    <x v="0"/>
    <n v="13"/>
    <x v="0"/>
  </r>
  <r>
    <n v="7284"/>
    <x v="44"/>
    <x v="0"/>
    <x v="2"/>
    <x v="398"/>
    <x v="1"/>
    <d v="1900-01-01T00:00:00"/>
    <d v="2013-12-04T00:00:00"/>
    <n v="8"/>
    <n v="0"/>
    <n v="0"/>
    <n v="0"/>
    <n v="2"/>
    <n v="73"/>
    <x v="0"/>
    <n v="2"/>
    <x v="3"/>
    <m/>
    <x v="0"/>
    <x v="1"/>
    <x v="0"/>
    <n v="13"/>
    <x v="0"/>
  </r>
  <r>
    <n v="1340"/>
    <x v="22"/>
    <x v="0"/>
    <x v="2"/>
    <x v="399"/>
    <x v="0"/>
    <d v="1899-12-30T00:00:00"/>
    <d v="2014-04-24T00:00:00"/>
    <n v="42"/>
    <n v="137"/>
    <n v="103"/>
    <n v="103"/>
    <n v="13"/>
    <n v="40"/>
    <x v="1"/>
    <n v="116"/>
    <x v="3"/>
    <m/>
    <x v="0"/>
    <x v="3"/>
    <x v="0"/>
    <n v="12"/>
    <x v="0"/>
  </r>
  <r>
    <n v="8746"/>
    <x v="23"/>
    <x v="0"/>
    <x v="2"/>
    <x v="400"/>
    <x v="1"/>
    <d v="1899-12-30T00:00:00"/>
    <d v="2014-04-05T00:00:00"/>
    <n v="28"/>
    <n v="0"/>
    <n v="34"/>
    <n v="34"/>
    <n v="10"/>
    <n v="37"/>
    <x v="1"/>
    <n v="44"/>
    <x v="3"/>
    <m/>
    <x v="0"/>
    <x v="3"/>
    <x v="0"/>
    <n v="12"/>
    <x v="0"/>
  </r>
  <r>
    <n v="5987"/>
    <x v="23"/>
    <x v="4"/>
    <x v="1"/>
    <x v="401"/>
    <x v="1"/>
    <d v="1899-12-30T00:00:00"/>
    <d v="2014-05-04T00:00:00"/>
    <n v="52"/>
    <n v="2"/>
    <n v="6"/>
    <n v="6"/>
    <n v="4"/>
    <n v="37"/>
    <x v="1"/>
    <n v="10"/>
    <x v="3"/>
    <m/>
    <x v="0"/>
    <x v="2"/>
    <x v="0"/>
    <n v="12"/>
    <x v="0"/>
  </r>
  <r>
    <n v="3767"/>
    <x v="30"/>
    <x v="0"/>
    <x v="2"/>
    <x v="402"/>
    <x v="0"/>
    <d v="1899-12-31T00:00:00"/>
    <d v="2013-04-25T00:00:00"/>
    <n v="1"/>
    <n v="0"/>
    <n v="172"/>
    <n v="172"/>
    <n v="12"/>
    <n v="58"/>
    <x v="0"/>
    <n v="184"/>
    <x v="3"/>
    <m/>
    <x v="0"/>
    <x v="0"/>
    <x v="0"/>
    <n v="13"/>
    <x v="0"/>
  </r>
  <r>
    <n v="3725"/>
    <x v="45"/>
    <x v="1"/>
    <x v="0"/>
    <x v="403"/>
    <x v="0"/>
    <d v="1899-12-30T00:00:00"/>
    <d v="2013-05-09T00:00:00"/>
    <n v="1"/>
    <n v="16"/>
    <n v="16"/>
    <n v="16"/>
    <n v="9"/>
    <n v="65"/>
    <x v="0"/>
    <n v="25"/>
    <x v="3"/>
    <m/>
    <x v="0"/>
    <x v="3"/>
    <x v="0"/>
    <n v="13"/>
    <x v="0"/>
  </r>
  <r>
    <n v="4324"/>
    <x v="23"/>
    <x v="0"/>
    <x v="2"/>
    <x v="404"/>
    <x v="1"/>
    <d v="1899-12-30T00:00:00"/>
    <d v="2012-10-29T00:00:00"/>
    <n v="42"/>
    <n v="0"/>
    <n v="4"/>
    <n v="4"/>
    <n v="7"/>
    <n v="37"/>
    <x v="1"/>
    <n v="11"/>
    <x v="3"/>
    <m/>
    <x v="0"/>
    <x v="1"/>
    <x v="0"/>
    <n v="14"/>
    <x v="0"/>
  </r>
  <r>
    <n v="238"/>
    <x v="5"/>
    <x v="4"/>
    <x v="1"/>
    <x v="405"/>
    <x v="1"/>
    <d v="1899-12-31T00:00:00"/>
    <d v="2013-01-23T00:00:00"/>
    <n v="76"/>
    <n v="47"/>
    <n v="95"/>
    <n v="95"/>
    <n v="9"/>
    <n v="59"/>
    <x v="0"/>
    <n v="104"/>
    <x v="3"/>
    <m/>
    <x v="0"/>
    <x v="0"/>
    <x v="0"/>
    <n v="13"/>
    <x v="0"/>
  </r>
  <r>
    <n v="6694"/>
    <x v="31"/>
    <x v="0"/>
    <x v="2"/>
    <x v="406"/>
    <x v="0"/>
    <d v="1899-12-31T00:00:00"/>
    <d v="2013-11-25T00:00:00"/>
    <n v="27"/>
    <n v="66"/>
    <n v="38"/>
    <n v="38"/>
    <n v="13"/>
    <n v="62"/>
    <x v="0"/>
    <n v="51"/>
    <x v="3"/>
    <m/>
    <x v="0"/>
    <x v="3"/>
    <x v="0"/>
    <n v="13"/>
    <x v="0"/>
  </r>
  <r>
    <n v="498"/>
    <x v="25"/>
    <x v="0"/>
    <x v="0"/>
    <x v="407"/>
    <x v="1"/>
    <d v="1899-12-30T00:00:00"/>
    <d v="2014-02-02T00:00:00"/>
    <n v="28"/>
    <n v="0"/>
    <n v="3"/>
    <n v="3"/>
    <n v="4"/>
    <n v="56"/>
    <x v="0"/>
    <n v="7"/>
    <x v="3"/>
    <m/>
    <x v="0"/>
    <x v="1"/>
    <x v="0"/>
    <n v="12"/>
    <x v="0"/>
  </r>
  <r>
    <n v="9347"/>
    <x v="46"/>
    <x v="2"/>
    <x v="1"/>
    <x v="408"/>
    <x v="0"/>
    <d v="1899-12-31T00:00:00"/>
    <d v="2013-06-21T00:00:00"/>
    <n v="49"/>
    <n v="0"/>
    <n v="0"/>
    <n v="0"/>
    <n v="3"/>
    <n v="70"/>
    <x v="0"/>
    <n v="3"/>
    <x v="3"/>
    <m/>
    <x v="0"/>
    <x v="0"/>
    <x v="0"/>
    <n v="13"/>
    <x v="0"/>
  </r>
  <r>
    <n v="9699"/>
    <x v="35"/>
    <x v="0"/>
    <x v="3"/>
    <x v="409"/>
    <x v="0"/>
    <d v="1899-12-31T00:00:00"/>
    <d v="2013-12-21T00:00:00"/>
    <n v="12"/>
    <n v="35"/>
    <n v="28"/>
    <n v="28"/>
    <n v="12"/>
    <n v="60"/>
    <x v="0"/>
    <n v="40"/>
    <x v="3"/>
    <m/>
    <x v="0"/>
    <x v="0"/>
    <x v="0"/>
    <n v="13"/>
    <x v="0"/>
  </r>
  <r>
    <n v="10664"/>
    <x v="17"/>
    <x v="2"/>
    <x v="4"/>
    <x v="410"/>
    <x v="0"/>
    <d v="1899-12-31T00:00:00"/>
    <d v="2013-09-07T00:00:00"/>
    <n v="14"/>
    <n v="4"/>
    <n v="0"/>
    <n v="0"/>
    <n v="5"/>
    <n v="77"/>
    <x v="0"/>
    <n v="5"/>
    <x v="3"/>
    <m/>
    <x v="0"/>
    <x v="0"/>
    <x v="0"/>
    <n v="13"/>
    <x v="0"/>
  </r>
  <r>
    <n v="5455"/>
    <x v="6"/>
    <x v="1"/>
    <x v="2"/>
    <x v="411"/>
    <x v="1"/>
    <d v="1899-12-30T00:00:00"/>
    <d v="2013-08-22T00:00:00"/>
    <n v="89"/>
    <n v="0"/>
    <n v="1"/>
    <n v="1"/>
    <n v="4"/>
    <n v="55"/>
    <x v="0"/>
    <n v="5"/>
    <x v="3"/>
    <m/>
    <x v="0"/>
    <x v="1"/>
    <x v="0"/>
    <n v="13"/>
    <x v="0"/>
  </r>
  <r>
    <n v="456"/>
    <x v="22"/>
    <x v="4"/>
    <x v="2"/>
    <x v="11"/>
    <x v="1"/>
    <d v="1899-12-30T00:00:00"/>
    <d v="2013-02-07T00:00:00"/>
    <n v="96"/>
    <n v="11"/>
    <n v="6"/>
    <n v="6"/>
    <n v="3"/>
    <n v="40"/>
    <x v="1"/>
    <n v="9"/>
    <x v="3"/>
    <m/>
    <x v="0"/>
    <x v="2"/>
    <x v="0"/>
    <n v="13"/>
    <x v="0"/>
  </r>
  <r>
    <n v="5012"/>
    <x v="23"/>
    <x v="0"/>
    <x v="2"/>
    <x v="412"/>
    <x v="1"/>
    <d v="1899-12-30T00:00:00"/>
    <d v="2013-07-04T00:00:00"/>
    <n v="56"/>
    <n v="4"/>
    <n v="0"/>
    <n v="0"/>
    <n v="3"/>
    <n v="37"/>
    <x v="1"/>
    <n v="3"/>
    <x v="3"/>
    <m/>
    <x v="0"/>
    <x v="2"/>
    <x v="0"/>
    <n v="13"/>
    <x v="0"/>
  </r>
  <r>
    <n v="7495"/>
    <x v="37"/>
    <x v="1"/>
    <x v="2"/>
    <x v="413"/>
    <x v="0"/>
    <d v="1899-12-31T00:00:00"/>
    <d v="2013-12-20T00:00:00"/>
    <n v="72"/>
    <n v="28"/>
    <n v="0"/>
    <n v="0"/>
    <n v="5"/>
    <n v="78"/>
    <x v="0"/>
    <n v="5"/>
    <x v="3"/>
    <m/>
    <x v="0"/>
    <x v="0"/>
    <x v="0"/>
    <n v="13"/>
    <x v="0"/>
  </r>
  <r>
    <n v="5029"/>
    <x v="15"/>
    <x v="0"/>
    <x v="2"/>
    <x v="414"/>
    <x v="0"/>
    <d v="1899-12-30T00:00:00"/>
    <d v="2013-08-06T00:00:00"/>
    <n v="14"/>
    <n v="1"/>
    <n v="3"/>
    <n v="3"/>
    <n v="3"/>
    <n v="80"/>
    <x v="0"/>
    <n v="6"/>
    <x v="3"/>
    <m/>
    <x v="0"/>
    <x v="2"/>
    <x v="0"/>
    <n v="13"/>
    <x v="0"/>
  </r>
  <r>
    <n v="10642"/>
    <x v="23"/>
    <x v="0"/>
    <x v="0"/>
    <x v="354"/>
    <x v="1"/>
    <d v="1899-12-30T00:00:00"/>
    <d v="2012-12-30T00:00:00"/>
    <n v="13"/>
    <n v="4"/>
    <n v="4"/>
    <n v="4"/>
    <n v="3"/>
    <n v="37"/>
    <x v="1"/>
    <n v="7"/>
    <x v="3"/>
    <m/>
    <x v="0"/>
    <x v="1"/>
    <x v="0"/>
    <n v="14"/>
    <x v="0"/>
  </r>
  <r>
    <n v="2106"/>
    <x v="8"/>
    <x v="4"/>
    <x v="2"/>
    <x v="415"/>
    <x v="0"/>
    <d v="1899-12-30T00:00:00"/>
    <d v="2014-03-17T00:00:00"/>
    <n v="99"/>
    <n v="6"/>
    <n v="6"/>
    <n v="6"/>
    <n v="3"/>
    <n v="52"/>
    <x v="0"/>
    <n v="9"/>
    <x v="3"/>
    <m/>
    <x v="0"/>
    <x v="2"/>
    <x v="0"/>
    <n v="12"/>
    <x v="0"/>
  </r>
  <r>
    <n v="10364"/>
    <x v="12"/>
    <x v="0"/>
    <x v="3"/>
    <x v="416"/>
    <x v="0"/>
    <d v="1899-12-30T00:00:00"/>
    <d v="2013-07-13T00:00:00"/>
    <n v="72"/>
    <n v="0"/>
    <n v="12"/>
    <n v="12"/>
    <n v="2"/>
    <n v="67"/>
    <x v="0"/>
    <n v="14"/>
    <x v="3"/>
    <m/>
    <x v="0"/>
    <x v="2"/>
    <x v="0"/>
    <n v="13"/>
    <x v="0"/>
  </r>
  <r>
    <n v="5954"/>
    <x v="39"/>
    <x v="2"/>
    <x v="3"/>
    <x v="417"/>
    <x v="1"/>
    <d v="1899-12-30T00:00:00"/>
    <d v="2013-10-09T00:00:00"/>
    <n v="92"/>
    <n v="14"/>
    <n v="5"/>
    <n v="5"/>
    <n v="4"/>
    <n v="54"/>
    <x v="0"/>
    <n v="9"/>
    <x v="3"/>
    <m/>
    <x v="0"/>
    <x v="1"/>
    <x v="0"/>
    <n v="13"/>
    <x v="0"/>
  </r>
  <r>
    <n v="1137"/>
    <x v="31"/>
    <x v="0"/>
    <x v="0"/>
    <x v="418"/>
    <x v="0"/>
    <d v="1899-12-30T00:00:00"/>
    <d v="2013-12-29T00:00:00"/>
    <n v="87"/>
    <n v="190"/>
    <n v="156"/>
    <n v="156"/>
    <n v="7"/>
    <n v="62"/>
    <x v="0"/>
    <n v="163"/>
    <x v="3"/>
    <m/>
    <x v="0"/>
    <x v="3"/>
    <x v="0"/>
    <n v="13"/>
    <x v="0"/>
  </r>
  <r>
    <n v="2541"/>
    <x v="11"/>
    <x v="0"/>
    <x v="2"/>
    <x v="419"/>
    <x v="1"/>
    <d v="1899-12-30T00:00:00"/>
    <d v="2013-06-09T00:00:00"/>
    <n v="7"/>
    <n v="7"/>
    <n v="0"/>
    <n v="0"/>
    <n v="3"/>
    <n v="50"/>
    <x v="1"/>
    <n v="3"/>
    <x v="3"/>
    <m/>
    <x v="0"/>
    <x v="2"/>
    <x v="0"/>
    <n v="13"/>
    <x v="0"/>
  </r>
  <r>
    <n v="1142"/>
    <x v="44"/>
    <x v="1"/>
    <x v="2"/>
    <x v="420"/>
    <x v="0"/>
    <d v="1899-12-31T00:00:00"/>
    <d v="2013-12-22T00:00:00"/>
    <n v="91"/>
    <n v="7"/>
    <n v="66"/>
    <n v="66"/>
    <n v="9"/>
    <n v="73"/>
    <x v="0"/>
    <n v="75"/>
    <x v="3"/>
    <m/>
    <x v="0"/>
    <x v="0"/>
    <x v="0"/>
    <n v="13"/>
    <x v="0"/>
  </r>
  <r>
    <n v="2276"/>
    <x v="34"/>
    <x v="0"/>
    <x v="0"/>
    <x v="421"/>
    <x v="0"/>
    <d v="1899-12-31T00:00:00"/>
    <d v="2013-05-02T00:00:00"/>
    <n v="71"/>
    <n v="16"/>
    <n v="24"/>
    <n v="24"/>
    <n v="11"/>
    <n v="71"/>
    <x v="0"/>
    <n v="35"/>
    <x v="3"/>
    <m/>
    <x v="0"/>
    <x v="0"/>
    <x v="0"/>
    <n v="13"/>
    <x v="0"/>
  </r>
  <r>
    <n v="2807"/>
    <x v="21"/>
    <x v="0"/>
    <x v="2"/>
    <x v="422"/>
    <x v="0"/>
    <d v="1899-12-31T00:00:00"/>
    <d v="2013-02-16T00:00:00"/>
    <n v="24"/>
    <n v="38"/>
    <n v="47"/>
    <n v="47"/>
    <n v="7"/>
    <n v="57"/>
    <x v="0"/>
    <n v="54"/>
    <x v="3"/>
    <m/>
    <x v="0"/>
    <x v="0"/>
    <x v="0"/>
    <n v="13"/>
    <x v="0"/>
  </r>
  <r>
    <n v="6471"/>
    <x v="6"/>
    <x v="2"/>
    <x v="0"/>
    <x v="423"/>
    <x v="1"/>
    <d v="1899-12-30T00:00:00"/>
    <d v="2013-10-17T00:00:00"/>
    <n v="17"/>
    <n v="2"/>
    <n v="2"/>
    <n v="2"/>
    <n v="4"/>
    <n v="55"/>
    <x v="0"/>
    <n v="6"/>
    <x v="3"/>
    <m/>
    <x v="0"/>
    <x v="1"/>
    <x v="0"/>
    <n v="13"/>
    <x v="0"/>
  </r>
  <r>
    <n v="6131"/>
    <x v="16"/>
    <x v="4"/>
    <x v="2"/>
    <x v="424"/>
    <x v="1"/>
    <d v="1899-12-31T00:00:00"/>
    <d v="2013-12-01T00:00:00"/>
    <n v="87"/>
    <n v="70"/>
    <n v="19"/>
    <n v="19"/>
    <n v="8"/>
    <n v="46"/>
    <x v="1"/>
    <n v="27"/>
    <x v="3"/>
    <m/>
    <x v="0"/>
    <x v="0"/>
    <x v="0"/>
    <n v="13"/>
    <x v="0"/>
  </r>
  <r>
    <n v="6233"/>
    <x v="11"/>
    <x v="0"/>
    <x v="2"/>
    <x v="425"/>
    <x v="0"/>
    <d v="1899-12-31T00:00:00"/>
    <d v="2012-09-07T00:00:00"/>
    <n v="21"/>
    <n v="19"/>
    <n v="47"/>
    <n v="47"/>
    <n v="10"/>
    <n v="50"/>
    <x v="1"/>
    <n v="57"/>
    <x v="3"/>
    <m/>
    <x v="0"/>
    <x v="0"/>
    <x v="0"/>
    <n v="14"/>
    <x v="0"/>
  </r>
  <r>
    <n v="4148"/>
    <x v="39"/>
    <x v="0"/>
    <x v="2"/>
    <x v="426"/>
    <x v="1"/>
    <d v="1900-01-01T00:00:00"/>
    <d v="2012-08-20T00:00:00"/>
    <n v="90"/>
    <n v="24"/>
    <n v="3"/>
    <n v="3"/>
    <n v="6"/>
    <n v="54"/>
    <x v="0"/>
    <n v="9"/>
    <x v="3"/>
    <m/>
    <x v="0"/>
    <x v="1"/>
    <x v="0"/>
    <n v="14"/>
    <x v="0"/>
  </r>
  <r>
    <n v="4947"/>
    <x v="35"/>
    <x v="4"/>
    <x v="0"/>
    <x v="427"/>
    <x v="0"/>
    <d v="1899-12-30T00:00:00"/>
    <d v="2012-09-15T00:00:00"/>
    <n v="44"/>
    <n v="24"/>
    <n v="194"/>
    <n v="194"/>
    <n v="9"/>
    <n v="60"/>
    <x v="0"/>
    <n v="203"/>
    <x v="3"/>
    <m/>
    <x v="0"/>
    <x v="3"/>
    <x v="0"/>
    <n v="14"/>
    <x v="0"/>
  </r>
  <r>
    <n v="3225"/>
    <x v="3"/>
    <x v="2"/>
    <x v="2"/>
    <x v="428"/>
    <x v="1"/>
    <d v="1899-12-30T00:00:00"/>
    <d v="2013-04-01T00:00:00"/>
    <n v="71"/>
    <n v="11"/>
    <n v="17"/>
    <n v="17"/>
    <n v="5"/>
    <n v="42"/>
    <x v="1"/>
    <n v="22"/>
    <x v="3"/>
    <m/>
    <x v="0"/>
    <x v="1"/>
    <x v="0"/>
    <n v="13"/>
    <x v="0"/>
  </r>
  <r>
    <n v="7540"/>
    <x v="13"/>
    <x v="0"/>
    <x v="2"/>
    <x v="429"/>
    <x v="0"/>
    <d v="1899-12-31T00:00:00"/>
    <d v="2014-05-25T00:00:00"/>
    <n v="52"/>
    <n v="15"/>
    <n v="23"/>
    <n v="23"/>
    <n v="8"/>
    <n v="74"/>
    <x v="0"/>
    <n v="31"/>
    <x v="3"/>
    <m/>
    <x v="0"/>
    <x v="0"/>
    <x v="0"/>
    <n v="12"/>
    <x v="0"/>
  </r>
  <r>
    <n v="10648"/>
    <x v="18"/>
    <x v="4"/>
    <x v="1"/>
    <x v="430"/>
    <x v="0"/>
    <d v="1899-12-30T00:00:00"/>
    <d v="2012-09-25T00:00:00"/>
    <n v="78"/>
    <n v="96"/>
    <n v="96"/>
    <n v="96"/>
    <n v="6"/>
    <n v="44"/>
    <x v="1"/>
    <n v="102"/>
    <x v="3"/>
    <m/>
    <x v="0"/>
    <x v="0"/>
    <x v="0"/>
    <n v="14"/>
    <x v="0"/>
  </r>
  <r>
    <n v="1992"/>
    <x v="31"/>
    <x v="0"/>
    <x v="2"/>
    <x v="431"/>
    <x v="0"/>
    <d v="1899-12-31T00:00:00"/>
    <d v="2014-01-01T00:00:00"/>
    <n v="2"/>
    <n v="0"/>
    <n v="16"/>
    <n v="16"/>
    <n v="8"/>
    <n v="62"/>
    <x v="0"/>
    <n v="24"/>
    <x v="3"/>
    <m/>
    <x v="0"/>
    <x v="0"/>
    <x v="0"/>
    <n v="12"/>
    <x v="0"/>
  </r>
  <r>
    <n v="7851"/>
    <x v="17"/>
    <x v="0"/>
    <x v="4"/>
    <x v="432"/>
    <x v="0"/>
    <d v="1899-12-30T00:00:00"/>
    <d v="2013-09-22T00:00:00"/>
    <n v="60"/>
    <n v="0"/>
    <n v="191"/>
    <n v="191"/>
    <n v="11"/>
    <n v="77"/>
    <x v="0"/>
    <n v="202"/>
    <x v="3"/>
    <m/>
    <x v="0"/>
    <x v="0"/>
    <x v="0"/>
    <n v="13"/>
    <x v="0"/>
  </r>
  <r>
    <n v="8594"/>
    <x v="38"/>
    <x v="1"/>
    <x v="4"/>
    <x v="433"/>
    <x v="0"/>
    <d v="1899-12-31T00:00:00"/>
    <d v="2014-01-28T00:00:00"/>
    <n v="25"/>
    <n v="0"/>
    <n v="1"/>
    <n v="1"/>
    <n v="3"/>
    <n v="68"/>
    <x v="0"/>
    <n v="4"/>
    <x v="3"/>
    <m/>
    <x v="0"/>
    <x v="0"/>
    <x v="0"/>
    <n v="12"/>
    <x v="0"/>
  </r>
  <r>
    <n v="7059"/>
    <x v="24"/>
    <x v="0"/>
    <x v="2"/>
    <x v="249"/>
    <x v="0"/>
    <d v="1899-12-30T00:00:00"/>
    <d v="2014-06-26T00:00:00"/>
    <n v="47"/>
    <n v="84"/>
    <n v="84"/>
    <n v="84"/>
    <n v="8"/>
    <n v="63"/>
    <x v="0"/>
    <n v="92"/>
    <x v="3"/>
    <m/>
    <x v="0"/>
    <x v="3"/>
    <x v="0"/>
    <n v="12"/>
    <x v="0"/>
  </r>
  <r>
    <n v="2815"/>
    <x v="28"/>
    <x v="0"/>
    <x v="2"/>
    <x v="434"/>
    <x v="1"/>
    <d v="1899-12-30T00:00:00"/>
    <d v="2014-02-24T00:00:00"/>
    <n v="46"/>
    <n v="5"/>
    <n v="15"/>
    <n v="15"/>
    <n v="3"/>
    <n v="51"/>
    <x v="0"/>
    <n v="18"/>
    <x v="3"/>
    <m/>
    <x v="0"/>
    <x v="1"/>
    <x v="0"/>
    <n v="12"/>
    <x v="0"/>
  </r>
  <r>
    <n v="2416"/>
    <x v="21"/>
    <x v="1"/>
    <x v="0"/>
    <x v="435"/>
    <x v="0"/>
    <d v="1899-12-30T00:00:00"/>
    <d v="2014-03-03T00:00:00"/>
    <n v="83"/>
    <n v="25"/>
    <n v="38"/>
    <n v="38"/>
    <n v="9"/>
    <n v="57"/>
    <x v="0"/>
    <n v="47"/>
    <x v="3"/>
    <m/>
    <x v="0"/>
    <x v="0"/>
    <x v="0"/>
    <n v="12"/>
    <x v="0"/>
  </r>
  <r>
    <n v="7999"/>
    <x v="34"/>
    <x v="1"/>
    <x v="1"/>
    <x v="436"/>
    <x v="0"/>
    <d v="1899-12-30T00:00:00"/>
    <d v="2013-04-23T00:00:00"/>
    <n v="17"/>
    <n v="17"/>
    <n v="34"/>
    <n v="34"/>
    <n v="5"/>
    <n v="71"/>
    <x v="0"/>
    <n v="39"/>
    <x v="3"/>
    <m/>
    <x v="0"/>
    <x v="3"/>
    <x v="0"/>
    <n v="13"/>
    <x v="0"/>
  </r>
  <r>
    <n v="9213"/>
    <x v="25"/>
    <x v="0"/>
    <x v="4"/>
    <x v="437"/>
    <x v="1"/>
    <d v="1899-12-30T00:00:00"/>
    <d v="2012-10-31T00:00:00"/>
    <n v="13"/>
    <n v="1"/>
    <n v="0"/>
    <n v="0"/>
    <n v="2"/>
    <n v="56"/>
    <x v="0"/>
    <n v="2"/>
    <x v="3"/>
    <m/>
    <x v="0"/>
    <x v="1"/>
    <x v="0"/>
    <n v="14"/>
    <x v="0"/>
  </r>
  <r>
    <n v="9697"/>
    <x v="20"/>
    <x v="0"/>
    <x v="2"/>
    <x v="438"/>
    <x v="0"/>
    <d v="1900-01-01T00:00:00"/>
    <d v="2014-03-06T00:00:00"/>
    <n v="86"/>
    <n v="42"/>
    <n v="5"/>
    <n v="5"/>
    <n v="8"/>
    <n v="75"/>
    <x v="0"/>
    <n v="13"/>
    <x v="3"/>
    <m/>
    <x v="0"/>
    <x v="0"/>
    <x v="0"/>
    <n v="12"/>
    <x v="0"/>
  </r>
  <r>
    <n v="3916"/>
    <x v="6"/>
    <x v="1"/>
    <x v="1"/>
    <x v="439"/>
    <x v="1"/>
    <d v="1899-12-30T00:00:00"/>
    <d v="2012-08-15T00:00:00"/>
    <n v="92"/>
    <n v="8"/>
    <n v="8"/>
    <n v="8"/>
    <n v="12"/>
    <n v="55"/>
    <x v="0"/>
    <n v="20"/>
    <x v="3"/>
    <m/>
    <x v="0"/>
    <x v="1"/>
    <x v="0"/>
    <n v="14"/>
    <x v="0"/>
  </r>
  <r>
    <n v="2021"/>
    <x v="28"/>
    <x v="0"/>
    <x v="2"/>
    <x v="440"/>
    <x v="0"/>
    <d v="1899-12-31T00:00:00"/>
    <d v="2013-03-27T00:00:00"/>
    <n v="47"/>
    <n v="76"/>
    <n v="192"/>
    <n v="192"/>
    <n v="13"/>
    <n v="51"/>
    <x v="0"/>
    <n v="205"/>
    <x v="3"/>
    <m/>
    <x v="0"/>
    <x v="0"/>
    <x v="0"/>
    <n v="13"/>
    <x v="0"/>
  </r>
  <r>
    <n v="1581"/>
    <x v="16"/>
    <x v="0"/>
    <x v="2"/>
    <x v="441"/>
    <x v="1"/>
    <d v="1899-12-30T00:00:00"/>
    <d v="2013-10-10T00:00:00"/>
    <n v="18"/>
    <n v="0"/>
    <n v="2"/>
    <n v="2"/>
    <n v="2"/>
    <n v="46"/>
    <x v="1"/>
    <n v="4"/>
    <x v="3"/>
    <m/>
    <x v="0"/>
    <x v="1"/>
    <x v="0"/>
    <n v="13"/>
    <x v="0"/>
  </r>
  <r>
    <n v="564"/>
    <x v="4"/>
    <x v="1"/>
    <x v="1"/>
    <x v="442"/>
    <x v="1"/>
    <d v="1899-12-30T00:00:00"/>
    <d v="2012-08-04T00:00:00"/>
    <n v="81"/>
    <n v="8"/>
    <n v="8"/>
    <n v="8"/>
    <n v="9"/>
    <n v="45"/>
    <x v="1"/>
    <n v="17"/>
    <x v="3"/>
    <m/>
    <x v="0"/>
    <x v="0"/>
    <x v="0"/>
    <n v="14"/>
    <x v="0"/>
  </r>
  <r>
    <n v="6619"/>
    <x v="33"/>
    <x v="0"/>
    <x v="2"/>
    <x v="443"/>
    <x v="1"/>
    <d v="1899-12-31T00:00:00"/>
    <d v="2013-01-02T00:00:00"/>
    <n v="91"/>
    <n v="1"/>
    <n v="0"/>
    <n v="0"/>
    <n v="3"/>
    <n v="48"/>
    <x v="1"/>
    <n v="3"/>
    <x v="3"/>
    <m/>
    <x v="0"/>
    <x v="1"/>
    <x v="0"/>
    <n v="13"/>
    <x v="0"/>
  </r>
  <r>
    <n v="9081"/>
    <x v="36"/>
    <x v="0"/>
    <x v="0"/>
    <x v="444"/>
    <x v="1"/>
    <d v="1899-12-30T00:00:00"/>
    <d v="2014-05-18T00:00:00"/>
    <n v="58"/>
    <n v="1"/>
    <n v="1"/>
    <n v="1"/>
    <n v="2"/>
    <n v="38"/>
    <x v="1"/>
    <n v="3"/>
    <x v="3"/>
    <m/>
    <x v="0"/>
    <x v="2"/>
    <x v="0"/>
    <n v="12"/>
    <x v="0"/>
  </r>
  <r>
    <n v="178"/>
    <x v="46"/>
    <x v="0"/>
    <x v="2"/>
    <x v="445"/>
    <x v="0"/>
    <d v="1899-12-31T00:00:00"/>
    <d v="2013-02-18T00:00:00"/>
    <n v="40"/>
    <n v="0"/>
    <n v="75"/>
    <n v="75"/>
    <n v="11"/>
    <n v="70"/>
    <x v="0"/>
    <n v="86"/>
    <x v="3"/>
    <m/>
    <x v="0"/>
    <x v="0"/>
    <x v="0"/>
    <n v="13"/>
    <x v="0"/>
  </r>
  <r>
    <n v="916"/>
    <x v="39"/>
    <x v="1"/>
    <x v="0"/>
    <x v="446"/>
    <x v="1"/>
    <d v="1899-12-31T00:00:00"/>
    <d v="2014-05-09T00:00:00"/>
    <n v="67"/>
    <n v="3"/>
    <n v="0"/>
    <n v="0"/>
    <n v="3"/>
    <n v="54"/>
    <x v="0"/>
    <n v="3"/>
    <x v="3"/>
    <m/>
    <x v="0"/>
    <x v="1"/>
    <x v="0"/>
    <n v="12"/>
    <x v="0"/>
  </r>
  <r>
    <n v="5512"/>
    <x v="32"/>
    <x v="2"/>
    <x v="2"/>
    <x v="447"/>
    <x v="0"/>
    <d v="1899-12-31T00:00:00"/>
    <d v="2014-05-23T00:00:00"/>
    <n v="19"/>
    <n v="0"/>
    <n v="4"/>
    <n v="4"/>
    <n v="8"/>
    <n v="49"/>
    <x v="1"/>
    <n v="12"/>
    <x v="3"/>
    <m/>
    <x v="0"/>
    <x v="0"/>
    <x v="0"/>
    <n v="12"/>
    <x v="0"/>
  </r>
  <r>
    <n v="8970"/>
    <x v="39"/>
    <x v="1"/>
    <x v="2"/>
    <x v="448"/>
    <x v="0"/>
    <d v="1899-12-31T00:00:00"/>
    <d v="2012-10-23T00:00:00"/>
    <n v="93"/>
    <n v="22"/>
    <n v="0"/>
    <n v="0"/>
    <n v="7"/>
    <n v="54"/>
    <x v="0"/>
    <n v="7"/>
    <x v="3"/>
    <m/>
    <x v="0"/>
    <x v="0"/>
    <x v="0"/>
    <n v="14"/>
    <x v="0"/>
  </r>
  <r>
    <n v="10581"/>
    <x v="32"/>
    <x v="0"/>
    <x v="2"/>
    <x v="449"/>
    <x v="1"/>
    <d v="1899-12-30T00:00:00"/>
    <d v="2012-10-31T00:00:00"/>
    <n v="41"/>
    <n v="7"/>
    <n v="0"/>
    <n v="0"/>
    <n v="4"/>
    <n v="49"/>
    <x v="1"/>
    <n v="4"/>
    <x v="3"/>
    <m/>
    <x v="0"/>
    <x v="1"/>
    <x v="0"/>
    <n v="14"/>
    <x v="0"/>
  </r>
  <r>
    <n v="5300"/>
    <x v="26"/>
    <x v="2"/>
    <x v="2"/>
    <x v="450"/>
    <x v="1"/>
    <d v="1899-12-30T00:00:00"/>
    <d v="2013-12-30T00:00:00"/>
    <n v="60"/>
    <n v="7"/>
    <n v="1"/>
    <n v="1"/>
    <n v="2"/>
    <n v="53"/>
    <x v="0"/>
    <n v="3"/>
    <x v="3"/>
    <m/>
    <x v="0"/>
    <x v="1"/>
    <x v="0"/>
    <n v="13"/>
    <x v="0"/>
  </r>
  <r>
    <n v="5154"/>
    <x v="39"/>
    <x v="2"/>
    <x v="3"/>
    <x v="17"/>
    <x v="1"/>
    <d v="1899-12-30T00:00:00"/>
    <d v="2013-08-11T00:00:00"/>
    <n v="54"/>
    <n v="3"/>
    <n v="10"/>
    <n v="10"/>
    <n v="3"/>
    <n v="54"/>
    <x v="0"/>
    <n v="13"/>
    <x v="3"/>
    <m/>
    <x v="0"/>
    <x v="1"/>
    <x v="0"/>
    <n v="13"/>
    <x v="0"/>
  </r>
  <r>
    <n v="8346"/>
    <x v="8"/>
    <x v="0"/>
    <x v="0"/>
    <x v="451"/>
    <x v="1"/>
    <d v="1899-12-30T00:00:00"/>
    <d v="2012-08-19T00:00:00"/>
    <n v="26"/>
    <n v="15"/>
    <n v="11"/>
    <n v="11"/>
    <n v="2"/>
    <n v="52"/>
    <x v="0"/>
    <n v="13"/>
    <x v="3"/>
    <m/>
    <x v="0"/>
    <x v="1"/>
    <x v="0"/>
    <n v="14"/>
    <x v="0"/>
  </r>
  <r>
    <n v="1676"/>
    <x v="28"/>
    <x v="0"/>
    <x v="2"/>
    <x v="452"/>
    <x v="0"/>
    <d v="1899-12-31T00:00:00"/>
    <d v="2013-10-30T00:00:00"/>
    <n v="30"/>
    <n v="2"/>
    <n v="2"/>
    <n v="2"/>
    <n v="5"/>
    <n v="51"/>
    <x v="0"/>
    <n v="7"/>
    <x v="3"/>
    <m/>
    <x v="0"/>
    <x v="1"/>
    <x v="0"/>
    <n v="13"/>
    <x v="0"/>
  </r>
  <r>
    <n v="9286"/>
    <x v="40"/>
    <x v="2"/>
    <x v="1"/>
    <x v="453"/>
    <x v="0"/>
    <d v="1899-12-30T00:00:00"/>
    <d v="2012-10-10T00:00:00"/>
    <n v="93"/>
    <n v="28"/>
    <n v="74"/>
    <n v="74"/>
    <n v="4"/>
    <n v="66"/>
    <x v="0"/>
    <n v="78"/>
    <x v="3"/>
    <m/>
    <x v="0"/>
    <x v="3"/>
    <x v="0"/>
    <n v="14"/>
    <x v="0"/>
  </r>
  <r>
    <n v="2426"/>
    <x v="31"/>
    <x v="1"/>
    <x v="3"/>
    <x v="454"/>
    <x v="0"/>
    <d v="1899-12-30T00:00:00"/>
    <d v="2012-09-14T00:00:00"/>
    <n v="35"/>
    <n v="74"/>
    <n v="37"/>
    <n v="37"/>
    <n v="13"/>
    <n v="62"/>
    <x v="0"/>
    <n v="50"/>
    <x v="3"/>
    <m/>
    <x v="0"/>
    <x v="3"/>
    <x v="0"/>
    <n v="14"/>
    <x v="0"/>
  </r>
  <r>
    <n v="5172"/>
    <x v="11"/>
    <x v="2"/>
    <x v="1"/>
    <x v="128"/>
    <x v="0"/>
    <d v="1899-12-31T00:00:00"/>
    <d v="2013-11-14T00:00:00"/>
    <n v="4"/>
    <n v="0"/>
    <n v="20"/>
    <n v="20"/>
    <n v="7"/>
    <n v="50"/>
    <x v="1"/>
    <n v="27"/>
    <x v="3"/>
    <m/>
    <x v="0"/>
    <x v="0"/>
    <x v="0"/>
    <n v="13"/>
    <x v="0"/>
  </r>
  <r>
    <n v="5562"/>
    <x v="8"/>
    <x v="0"/>
    <x v="2"/>
    <x v="455"/>
    <x v="0"/>
    <d v="1899-12-31T00:00:00"/>
    <d v="2013-06-26T00:00:00"/>
    <n v="92"/>
    <n v="12"/>
    <n v="6"/>
    <n v="6"/>
    <n v="10"/>
    <n v="52"/>
    <x v="0"/>
    <n v="16"/>
    <x v="3"/>
    <m/>
    <x v="0"/>
    <x v="0"/>
    <x v="0"/>
    <n v="13"/>
    <x v="0"/>
  </r>
  <r>
    <n v="3436"/>
    <x v="21"/>
    <x v="0"/>
    <x v="2"/>
    <x v="456"/>
    <x v="1"/>
    <d v="1899-12-30T00:00:00"/>
    <d v="2014-01-26T00:00:00"/>
    <n v="24"/>
    <n v="0"/>
    <n v="1"/>
    <n v="1"/>
    <n v="3"/>
    <n v="57"/>
    <x v="0"/>
    <n v="4"/>
    <x v="3"/>
    <m/>
    <x v="0"/>
    <x v="2"/>
    <x v="0"/>
    <n v="12"/>
    <x v="0"/>
  </r>
  <r>
    <n v="3921"/>
    <x v="13"/>
    <x v="4"/>
    <x v="4"/>
    <x v="457"/>
    <x v="0"/>
    <d v="1899-12-30T00:00:00"/>
    <d v="2012-10-28T00:00:00"/>
    <n v="96"/>
    <n v="1"/>
    <n v="29"/>
    <n v="29"/>
    <n v="4"/>
    <n v="74"/>
    <x v="0"/>
    <n v="33"/>
    <x v="3"/>
    <m/>
    <x v="0"/>
    <x v="2"/>
    <x v="0"/>
    <n v="14"/>
    <x v="0"/>
  </r>
  <r>
    <n v="3403"/>
    <x v="38"/>
    <x v="1"/>
    <x v="1"/>
    <x v="458"/>
    <x v="0"/>
    <d v="1899-12-31T00:00:00"/>
    <d v="2012-09-24T00:00:00"/>
    <n v="11"/>
    <n v="19"/>
    <n v="76"/>
    <n v="76"/>
    <n v="12"/>
    <n v="68"/>
    <x v="0"/>
    <n v="88"/>
    <x v="3"/>
    <m/>
    <x v="0"/>
    <x v="3"/>
    <x v="0"/>
    <n v="14"/>
    <x v="0"/>
  </r>
  <r>
    <n v="22"/>
    <x v="11"/>
    <x v="0"/>
    <x v="3"/>
    <x v="459"/>
    <x v="1"/>
    <d v="1899-12-30T00:00:00"/>
    <d v="2012-12-03T00:00:00"/>
    <n v="99"/>
    <n v="2"/>
    <n v="5"/>
    <n v="5"/>
    <n v="5"/>
    <n v="50"/>
    <x v="1"/>
    <n v="10"/>
    <x v="3"/>
    <m/>
    <x v="0"/>
    <x v="1"/>
    <x v="0"/>
    <n v="14"/>
    <x v="0"/>
  </r>
  <r>
    <n v="10965"/>
    <x v="34"/>
    <x v="0"/>
    <x v="1"/>
    <x v="460"/>
    <x v="0"/>
    <d v="1899-12-30T00:00:00"/>
    <d v="2013-02-22T00:00:00"/>
    <n v="72"/>
    <n v="20"/>
    <n v="50"/>
    <n v="50"/>
    <n v="13"/>
    <n v="71"/>
    <x v="0"/>
    <n v="63"/>
    <x v="3"/>
    <m/>
    <x v="0"/>
    <x v="3"/>
    <x v="0"/>
    <n v="13"/>
    <x v="0"/>
  </r>
  <r>
    <n v="9426"/>
    <x v="31"/>
    <x v="2"/>
    <x v="0"/>
    <x v="461"/>
    <x v="0"/>
    <d v="1899-12-31T00:00:00"/>
    <d v="2013-01-12T00:00:00"/>
    <n v="77"/>
    <n v="0"/>
    <n v="0"/>
    <n v="0"/>
    <n v="3"/>
    <n v="62"/>
    <x v="0"/>
    <n v="3"/>
    <x v="3"/>
    <m/>
    <x v="0"/>
    <x v="0"/>
    <x v="0"/>
    <n v="13"/>
    <x v="0"/>
  </r>
  <r>
    <n v="6605"/>
    <x v="56"/>
    <x v="1"/>
    <x v="3"/>
    <x v="462"/>
    <x v="0"/>
    <d v="1899-12-30T00:00:00"/>
    <d v="2013-11-27T00:00:00"/>
    <n v="85"/>
    <n v="13"/>
    <n v="0"/>
    <n v="0"/>
    <n v="6"/>
    <n v="82"/>
    <x v="0"/>
    <n v="6"/>
    <x v="3"/>
    <m/>
    <x v="0"/>
    <x v="0"/>
    <x v="0"/>
    <n v="13"/>
    <x v="0"/>
  </r>
  <r>
    <n v="3136"/>
    <x v="43"/>
    <x v="2"/>
    <x v="3"/>
    <x v="463"/>
    <x v="0"/>
    <d v="1899-12-31T00:00:00"/>
    <d v="2013-04-13T00:00:00"/>
    <n v="88"/>
    <n v="25"/>
    <n v="19"/>
    <n v="19"/>
    <n v="11"/>
    <n v="64"/>
    <x v="0"/>
    <n v="30"/>
    <x v="3"/>
    <m/>
    <x v="0"/>
    <x v="0"/>
    <x v="0"/>
    <n v="13"/>
    <x v="0"/>
  </r>
  <r>
    <n v="8737"/>
    <x v="33"/>
    <x v="0"/>
    <x v="3"/>
    <x v="464"/>
    <x v="0"/>
    <d v="1899-12-31T00:00:00"/>
    <d v="2014-04-05T00:00:00"/>
    <n v="22"/>
    <n v="1"/>
    <n v="0"/>
    <n v="0"/>
    <n v="3"/>
    <n v="48"/>
    <x v="1"/>
    <n v="3"/>
    <x v="3"/>
    <m/>
    <x v="0"/>
    <x v="0"/>
    <x v="0"/>
    <n v="12"/>
    <x v="0"/>
  </r>
  <r>
    <n v="11088"/>
    <x v="6"/>
    <x v="1"/>
    <x v="1"/>
    <x v="465"/>
    <x v="0"/>
    <d v="1899-12-31T00:00:00"/>
    <d v="2013-04-21T00:00:00"/>
    <n v="83"/>
    <n v="0"/>
    <n v="35"/>
    <n v="35"/>
    <n v="4"/>
    <n v="55"/>
    <x v="0"/>
    <n v="39"/>
    <x v="3"/>
    <m/>
    <x v="0"/>
    <x v="3"/>
    <x v="0"/>
    <n v="13"/>
    <x v="0"/>
  </r>
  <r>
    <n v="716"/>
    <x v="17"/>
    <x v="1"/>
    <x v="1"/>
    <x v="466"/>
    <x v="0"/>
    <d v="1899-12-31T00:00:00"/>
    <d v="2014-05-22T00:00:00"/>
    <n v="63"/>
    <n v="0"/>
    <n v="28"/>
    <n v="28"/>
    <n v="11"/>
    <n v="77"/>
    <x v="0"/>
    <n v="39"/>
    <x v="3"/>
    <m/>
    <x v="0"/>
    <x v="0"/>
    <x v="0"/>
    <n v="12"/>
    <x v="0"/>
  </r>
  <r>
    <n v="466"/>
    <x v="56"/>
    <x v="0"/>
    <x v="2"/>
    <x v="467"/>
    <x v="0"/>
    <d v="1899-12-30T00:00:00"/>
    <d v="2013-04-03T00:00:00"/>
    <n v="9"/>
    <n v="14"/>
    <n v="14"/>
    <n v="14"/>
    <n v="13"/>
    <n v="82"/>
    <x v="0"/>
    <n v="27"/>
    <x v="3"/>
    <m/>
    <x v="0"/>
    <x v="0"/>
    <x v="0"/>
    <n v="13"/>
    <x v="0"/>
  </r>
  <r>
    <n v="9135"/>
    <x v="9"/>
    <x v="0"/>
    <x v="1"/>
    <x v="468"/>
    <x v="1"/>
    <d v="1899-12-31T00:00:00"/>
    <d v="2012-08-06T00:00:00"/>
    <n v="92"/>
    <n v="2"/>
    <n v="0"/>
    <n v="0"/>
    <n v="2"/>
    <n v="76"/>
    <x v="0"/>
    <n v="2"/>
    <x v="3"/>
    <m/>
    <x v="0"/>
    <x v="2"/>
    <x v="0"/>
    <n v="14"/>
    <x v="0"/>
  </r>
  <r>
    <n v="10623"/>
    <x v="45"/>
    <x v="2"/>
    <x v="1"/>
    <x v="469"/>
    <x v="0"/>
    <d v="1899-12-31T00:00:00"/>
    <d v="2013-11-15T00:00:00"/>
    <n v="2"/>
    <n v="0"/>
    <n v="0"/>
    <n v="0"/>
    <n v="3"/>
    <n v="65"/>
    <x v="0"/>
    <n v="3"/>
    <x v="3"/>
    <m/>
    <x v="0"/>
    <x v="1"/>
    <x v="0"/>
    <n v="13"/>
    <x v="0"/>
  </r>
  <r>
    <n v="8151"/>
    <x v="50"/>
    <x v="3"/>
    <x v="2"/>
    <x v="470"/>
    <x v="0"/>
    <d v="1899-12-30T00:00:00"/>
    <d v="2012-12-29T00:00:00"/>
    <n v="6"/>
    <n v="36"/>
    <n v="62"/>
    <n v="62"/>
    <n v="3"/>
    <n v="36"/>
    <x v="1"/>
    <n v="65"/>
    <x v="3"/>
    <m/>
    <x v="0"/>
    <x v="2"/>
    <x v="0"/>
    <n v="14"/>
    <x v="0"/>
  </r>
  <r>
    <n v="5140"/>
    <x v="7"/>
    <x v="1"/>
    <x v="2"/>
    <x v="471"/>
    <x v="1"/>
    <d v="1899-12-30T00:00:00"/>
    <d v="2012-08-24T00:00:00"/>
    <n v="66"/>
    <n v="0"/>
    <n v="38"/>
    <n v="38"/>
    <n v="12"/>
    <n v="41"/>
    <x v="1"/>
    <n v="50"/>
    <x v="3"/>
    <m/>
    <x v="0"/>
    <x v="0"/>
    <x v="0"/>
    <n v="14"/>
    <x v="0"/>
  </r>
  <r>
    <n v="10160"/>
    <x v="46"/>
    <x v="2"/>
    <x v="1"/>
    <x v="408"/>
    <x v="0"/>
    <d v="1899-12-31T00:00:00"/>
    <d v="2013-06-21T00:00:00"/>
    <n v="49"/>
    <n v="0"/>
    <n v="0"/>
    <n v="0"/>
    <n v="3"/>
    <n v="70"/>
    <x v="0"/>
    <n v="3"/>
    <x v="3"/>
    <m/>
    <x v="0"/>
    <x v="0"/>
    <x v="0"/>
    <n v="13"/>
    <x v="0"/>
  </r>
  <r>
    <n v="4945"/>
    <x v="44"/>
    <x v="0"/>
    <x v="4"/>
    <x v="472"/>
    <x v="0"/>
    <d v="1899-12-30T00:00:00"/>
    <d v="2012-11-07T00:00:00"/>
    <n v="29"/>
    <n v="10"/>
    <n v="10"/>
    <n v="10"/>
    <n v="12"/>
    <n v="73"/>
    <x v="0"/>
    <n v="22"/>
    <x v="3"/>
    <m/>
    <x v="0"/>
    <x v="0"/>
    <x v="0"/>
    <n v="14"/>
    <x v="0"/>
  </r>
  <r>
    <n v="10584"/>
    <x v="11"/>
    <x v="0"/>
    <x v="2"/>
    <x v="473"/>
    <x v="0"/>
    <d v="1899-12-31T00:00:00"/>
    <d v="2013-12-02T00:00:00"/>
    <n v="77"/>
    <n v="162"/>
    <n v="36"/>
    <n v="36"/>
    <n v="8"/>
    <n v="50"/>
    <x v="1"/>
    <n v="44"/>
    <x v="3"/>
    <m/>
    <x v="0"/>
    <x v="0"/>
    <x v="0"/>
    <n v="13"/>
    <x v="0"/>
  </r>
  <r>
    <n v="6071"/>
    <x v="23"/>
    <x v="0"/>
    <x v="0"/>
    <x v="474"/>
    <x v="0"/>
    <d v="1899-12-30T00:00:00"/>
    <d v="2013-07-19T00:00:00"/>
    <n v="77"/>
    <n v="70"/>
    <n v="40"/>
    <n v="40"/>
    <n v="11"/>
    <n v="37"/>
    <x v="1"/>
    <n v="51"/>
    <x v="3"/>
    <m/>
    <x v="0"/>
    <x v="3"/>
    <x v="0"/>
    <n v="13"/>
    <x v="0"/>
  </r>
  <r>
    <n v="3386"/>
    <x v="47"/>
    <x v="0"/>
    <x v="2"/>
    <x v="475"/>
    <x v="0"/>
    <d v="1899-12-30T00:00:00"/>
    <d v="2013-06-21T00:00:00"/>
    <n v="71"/>
    <n v="4"/>
    <n v="10"/>
    <n v="10"/>
    <n v="4"/>
    <n v="34"/>
    <x v="1"/>
    <n v="14"/>
    <x v="3"/>
    <m/>
    <x v="0"/>
    <x v="1"/>
    <x v="0"/>
    <n v="13"/>
    <x v="0"/>
  </r>
  <r>
    <n v="8939"/>
    <x v="12"/>
    <x v="0"/>
    <x v="3"/>
    <x v="476"/>
    <x v="0"/>
    <d v="1899-12-31T00:00:00"/>
    <d v="2012-12-16T00:00:00"/>
    <n v="49"/>
    <n v="138"/>
    <n v="26"/>
    <n v="26"/>
    <n v="12"/>
    <n v="67"/>
    <x v="0"/>
    <n v="38"/>
    <x v="3"/>
    <m/>
    <x v="0"/>
    <x v="0"/>
    <x v="0"/>
    <n v="14"/>
    <x v="0"/>
  </r>
  <r>
    <n v="9925"/>
    <x v="4"/>
    <x v="1"/>
    <x v="1"/>
    <x v="477"/>
    <x v="1"/>
    <d v="1899-12-30T00:00:00"/>
    <d v="2013-05-25T00:00:00"/>
    <n v="97"/>
    <n v="1"/>
    <n v="1"/>
    <n v="1"/>
    <n v="3"/>
    <n v="45"/>
    <x v="1"/>
    <n v="4"/>
    <x v="3"/>
    <m/>
    <x v="0"/>
    <x v="1"/>
    <x v="0"/>
    <n v="13"/>
    <x v="0"/>
  </r>
  <r>
    <n v="4320"/>
    <x v="19"/>
    <x v="0"/>
    <x v="0"/>
    <x v="478"/>
    <x v="0"/>
    <d v="1899-12-31T00:00:00"/>
    <d v="2013-03-28T00:00:00"/>
    <n v="6"/>
    <n v="83"/>
    <n v="58"/>
    <n v="58"/>
    <n v="12"/>
    <n v="47"/>
    <x v="1"/>
    <n v="70"/>
    <x v="3"/>
    <m/>
    <x v="0"/>
    <x v="0"/>
    <x v="0"/>
    <n v="13"/>
    <x v="0"/>
  </r>
  <r>
    <n v="5389"/>
    <x v="31"/>
    <x v="0"/>
    <x v="2"/>
    <x v="479"/>
    <x v="0"/>
    <d v="1900-01-01T00:00:00"/>
    <d v="2013-10-20T00:00:00"/>
    <n v="93"/>
    <n v="17"/>
    <n v="10"/>
    <n v="10"/>
    <n v="5"/>
    <n v="62"/>
    <x v="0"/>
    <n v="15"/>
    <x v="3"/>
    <m/>
    <x v="0"/>
    <x v="1"/>
    <x v="0"/>
    <n v="13"/>
    <x v="0"/>
  </r>
  <r>
    <n v="6036"/>
    <x v="12"/>
    <x v="2"/>
    <x v="1"/>
    <x v="480"/>
    <x v="0"/>
    <d v="1899-12-30T00:00:00"/>
    <d v="2014-03-17T00:00:00"/>
    <n v="78"/>
    <n v="92"/>
    <n v="129"/>
    <n v="129"/>
    <n v="7"/>
    <n v="67"/>
    <x v="0"/>
    <n v="136"/>
    <x v="3"/>
    <m/>
    <x v="0"/>
    <x v="3"/>
    <x v="0"/>
    <n v="12"/>
    <x v="0"/>
  </r>
  <r>
    <n v="182"/>
    <x v="15"/>
    <x v="1"/>
    <x v="1"/>
    <x v="481"/>
    <x v="0"/>
    <d v="1899-12-31T00:00:00"/>
    <d v="2013-05-11T00:00:00"/>
    <n v="62"/>
    <n v="0"/>
    <n v="6"/>
    <n v="6"/>
    <n v="5"/>
    <n v="80"/>
    <x v="0"/>
    <n v="11"/>
    <x v="3"/>
    <m/>
    <x v="0"/>
    <x v="1"/>
    <x v="0"/>
    <n v="13"/>
    <x v="0"/>
  </r>
  <r>
    <n v="203"/>
    <x v="28"/>
    <x v="2"/>
    <x v="0"/>
    <x v="482"/>
    <x v="0"/>
    <d v="1899-12-30T00:00:00"/>
    <d v="2013-04-14T00:00:00"/>
    <n v="47"/>
    <n v="20"/>
    <n v="61"/>
    <n v="61"/>
    <n v="9"/>
    <n v="51"/>
    <x v="0"/>
    <n v="70"/>
    <x v="3"/>
    <m/>
    <x v="0"/>
    <x v="3"/>
    <x v="0"/>
    <n v="13"/>
    <x v="0"/>
  </r>
  <r>
    <n v="11025"/>
    <x v="45"/>
    <x v="0"/>
    <x v="2"/>
    <x v="483"/>
    <x v="1"/>
    <d v="1899-12-31T00:00:00"/>
    <d v="2013-02-03T00:00:00"/>
    <n v="9"/>
    <n v="0"/>
    <n v="3"/>
    <n v="3"/>
    <n v="3"/>
    <n v="65"/>
    <x v="0"/>
    <n v="6"/>
    <x v="3"/>
    <m/>
    <x v="0"/>
    <x v="1"/>
    <x v="0"/>
    <n v="13"/>
    <x v="0"/>
  </r>
  <r>
    <n v="10203"/>
    <x v="50"/>
    <x v="0"/>
    <x v="0"/>
    <x v="484"/>
    <x v="1"/>
    <d v="1899-12-30T00:00:00"/>
    <d v="2013-06-30T00:00:00"/>
    <n v="77"/>
    <n v="7"/>
    <n v="1"/>
    <n v="1"/>
    <n v="3"/>
    <n v="36"/>
    <x v="1"/>
    <n v="4"/>
    <x v="3"/>
    <m/>
    <x v="0"/>
    <x v="2"/>
    <x v="0"/>
    <n v="13"/>
    <x v="0"/>
  </r>
  <r>
    <n v="4607"/>
    <x v="12"/>
    <x v="0"/>
    <x v="1"/>
    <x v="485"/>
    <x v="0"/>
    <d v="1899-12-30T00:00:00"/>
    <d v="2013-08-23T00:00:00"/>
    <n v="24"/>
    <n v="23"/>
    <n v="21"/>
    <n v="21"/>
    <n v="7"/>
    <n v="67"/>
    <x v="0"/>
    <n v="28"/>
    <x v="3"/>
    <m/>
    <x v="0"/>
    <x v="0"/>
    <x v="0"/>
    <n v="13"/>
    <x v="0"/>
  </r>
  <r>
    <n v="3711"/>
    <x v="56"/>
    <x v="2"/>
    <x v="2"/>
    <x v="486"/>
    <x v="0"/>
    <d v="1899-12-30T00:00:00"/>
    <d v="2014-03-01T00:00:00"/>
    <n v="19"/>
    <n v="134"/>
    <n v="38"/>
    <n v="38"/>
    <n v="10"/>
    <n v="82"/>
    <x v="0"/>
    <n v="48"/>
    <x v="3"/>
    <m/>
    <x v="0"/>
    <x v="3"/>
    <x v="0"/>
    <n v="12"/>
    <x v="0"/>
  </r>
  <r>
    <n v="3696"/>
    <x v="2"/>
    <x v="0"/>
    <x v="3"/>
    <x v="487"/>
    <x v="1"/>
    <d v="1899-12-31T00:00:00"/>
    <d v="2014-01-27T00:00:00"/>
    <n v="67"/>
    <n v="1"/>
    <n v="0"/>
    <n v="0"/>
    <n v="3"/>
    <n v="61"/>
    <x v="0"/>
    <n v="3"/>
    <x v="3"/>
    <m/>
    <x v="0"/>
    <x v="1"/>
    <x v="0"/>
    <n v="12"/>
    <x v="0"/>
  </r>
  <r>
    <n v="2532"/>
    <x v="14"/>
    <x v="2"/>
    <x v="0"/>
    <x v="488"/>
    <x v="0"/>
    <d v="1899-12-30T00:00:00"/>
    <d v="2014-03-01T00:00:00"/>
    <n v="95"/>
    <n v="73"/>
    <n v="14"/>
    <n v="14"/>
    <n v="6"/>
    <n v="39"/>
    <x v="1"/>
    <n v="20"/>
    <x v="3"/>
    <m/>
    <x v="0"/>
    <x v="0"/>
    <x v="0"/>
    <n v="12"/>
    <x v="0"/>
  </r>
  <r>
    <n v="9214"/>
    <x v="42"/>
    <x v="0"/>
    <x v="2"/>
    <x v="489"/>
    <x v="0"/>
    <d v="1899-12-30T00:00:00"/>
    <d v="2013-08-16T00:00:00"/>
    <n v="48"/>
    <n v="2"/>
    <n v="17"/>
    <n v="17"/>
    <n v="6"/>
    <n v="35"/>
    <x v="1"/>
    <n v="23"/>
    <x v="3"/>
    <m/>
    <x v="0"/>
    <x v="1"/>
    <x v="0"/>
    <n v="13"/>
    <x v="0"/>
  </r>
  <r>
    <n v="4943"/>
    <x v="44"/>
    <x v="0"/>
    <x v="2"/>
    <x v="490"/>
    <x v="0"/>
    <d v="1899-12-30T00:00:00"/>
    <d v="2012-09-30T00:00:00"/>
    <n v="73"/>
    <n v="33"/>
    <n v="33"/>
    <n v="33"/>
    <n v="9"/>
    <n v="73"/>
    <x v="0"/>
    <n v="42"/>
    <x v="3"/>
    <m/>
    <x v="0"/>
    <x v="0"/>
    <x v="0"/>
    <n v="14"/>
    <x v="0"/>
  </r>
  <r>
    <n v="35"/>
    <x v="14"/>
    <x v="0"/>
    <x v="2"/>
    <x v="491"/>
    <x v="1"/>
    <d v="1899-12-30T00:00:00"/>
    <d v="2012-09-08T00:00:00"/>
    <n v="35"/>
    <n v="1"/>
    <n v="12"/>
    <n v="12"/>
    <n v="3"/>
    <n v="39"/>
    <x v="1"/>
    <n v="15"/>
    <x v="3"/>
    <m/>
    <x v="0"/>
    <x v="2"/>
    <x v="0"/>
    <n v="14"/>
    <x v="0"/>
  </r>
  <r>
    <n v="2258"/>
    <x v="22"/>
    <x v="0"/>
    <x v="2"/>
    <x v="492"/>
    <x v="1"/>
    <d v="1899-12-30T00:00:00"/>
    <d v="2012-12-04T00:00:00"/>
    <n v="76"/>
    <n v="4"/>
    <n v="6"/>
    <n v="6"/>
    <n v="3"/>
    <n v="40"/>
    <x v="1"/>
    <n v="9"/>
    <x v="3"/>
    <m/>
    <x v="0"/>
    <x v="1"/>
    <x v="0"/>
    <n v="14"/>
    <x v="0"/>
  </r>
  <r>
    <n v="4322"/>
    <x v="38"/>
    <x v="1"/>
    <x v="1"/>
    <x v="493"/>
    <x v="0"/>
    <d v="1899-12-30T00:00:00"/>
    <d v="2013-11-27T00:00:00"/>
    <n v="20"/>
    <n v="38"/>
    <n v="25"/>
    <n v="25"/>
    <n v="10"/>
    <n v="68"/>
    <x v="0"/>
    <n v="35"/>
    <x v="3"/>
    <m/>
    <x v="0"/>
    <x v="3"/>
    <x v="0"/>
    <n v="13"/>
    <x v="0"/>
  </r>
  <r>
    <n v="713"/>
    <x v="32"/>
    <x v="2"/>
    <x v="2"/>
    <x v="494"/>
    <x v="0"/>
    <d v="1899-12-30T00:00:00"/>
    <d v="2014-06-08T00:00:00"/>
    <n v="72"/>
    <n v="15"/>
    <n v="31"/>
    <n v="31"/>
    <n v="6"/>
    <n v="49"/>
    <x v="1"/>
    <n v="37"/>
    <x v="3"/>
    <m/>
    <x v="0"/>
    <x v="0"/>
    <x v="0"/>
    <n v="12"/>
    <x v="0"/>
  </r>
  <r>
    <n v="4702"/>
    <x v="31"/>
    <x v="0"/>
    <x v="0"/>
    <x v="495"/>
    <x v="0"/>
    <d v="1899-12-30T00:00:00"/>
    <d v="2012-08-12T00:00:00"/>
    <n v="20"/>
    <n v="155"/>
    <n v="17"/>
    <n v="17"/>
    <n v="4"/>
    <n v="62"/>
    <x v="0"/>
    <n v="21"/>
    <x v="3"/>
    <m/>
    <x v="0"/>
    <x v="0"/>
    <x v="0"/>
    <n v="14"/>
    <x v="0"/>
  </r>
  <r>
    <n v="3281"/>
    <x v="40"/>
    <x v="1"/>
    <x v="2"/>
    <x v="496"/>
    <x v="1"/>
    <d v="1899-12-31T00:00:00"/>
    <d v="2013-11-03T00:00:00"/>
    <n v="69"/>
    <n v="10"/>
    <n v="27"/>
    <n v="27"/>
    <n v="8"/>
    <n v="66"/>
    <x v="0"/>
    <n v="35"/>
    <x v="3"/>
    <m/>
    <x v="0"/>
    <x v="1"/>
    <x v="0"/>
    <n v="13"/>
    <x v="0"/>
  </r>
  <r>
    <n v="702"/>
    <x v="28"/>
    <x v="4"/>
    <x v="4"/>
    <x v="497"/>
    <x v="0"/>
    <d v="1899-12-31T00:00:00"/>
    <d v="2013-02-15T00:00:00"/>
    <n v="80"/>
    <n v="61"/>
    <n v="57"/>
    <n v="57"/>
    <n v="8"/>
    <n v="51"/>
    <x v="0"/>
    <n v="65"/>
    <x v="3"/>
    <m/>
    <x v="0"/>
    <x v="1"/>
    <x v="0"/>
    <n v="13"/>
    <x v="0"/>
  </r>
  <r>
    <n v="2004"/>
    <x v="21"/>
    <x v="0"/>
    <x v="0"/>
    <x v="498"/>
    <x v="0"/>
    <d v="1899-12-31T00:00:00"/>
    <d v="2013-09-18T00:00:00"/>
    <n v="65"/>
    <n v="54"/>
    <n v="54"/>
    <n v="54"/>
    <n v="5"/>
    <n v="57"/>
    <x v="0"/>
    <n v="59"/>
    <x v="3"/>
    <m/>
    <x v="0"/>
    <x v="0"/>
    <x v="0"/>
    <n v="13"/>
    <x v="0"/>
  </r>
  <r>
    <n v="4769"/>
    <x v="32"/>
    <x v="2"/>
    <x v="1"/>
    <x v="499"/>
    <x v="1"/>
    <d v="1899-12-31T00:00:00"/>
    <d v="2014-06-18T00:00:00"/>
    <n v="52"/>
    <n v="4"/>
    <n v="0"/>
    <n v="0"/>
    <n v="6"/>
    <n v="49"/>
    <x v="1"/>
    <n v="6"/>
    <x v="3"/>
    <m/>
    <x v="0"/>
    <x v="0"/>
    <x v="0"/>
    <n v="12"/>
    <x v="0"/>
  </r>
  <r>
    <n v="4437"/>
    <x v="43"/>
    <x v="0"/>
    <x v="2"/>
    <x v="500"/>
    <x v="1"/>
    <d v="1899-12-31T00:00:00"/>
    <d v="2013-04-24T00:00:00"/>
    <n v="65"/>
    <n v="6"/>
    <n v="9"/>
    <n v="9"/>
    <n v="5"/>
    <n v="64"/>
    <x v="0"/>
    <n v="14"/>
    <x v="3"/>
    <m/>
    <x v="0"/>
    <x v="0"/>
    <x v="0"/>
    <n v="13"/>
    <x v="0"/>
  </r>
  <r>
    <n v="8724"/>
    <x v="18"/>
    <x v="0"/>
    <x v="0"/>
    <x v="501"/>
    <x v="1"/>
    <d v="1899-12-30T00:00:00"/>
    <d v="2013-06-17T00:00:00"/>
    <n v="57"/>
    <n v="3"/>
    <n v="2"/>
    <n v="2"/>
    <n v="3"/>
    <n v="44"/>
    <x v="1"/>
    <n v="5"/>
    <x v="3"/>
    <m/>
    <x v="0"/>
    <x v="2"/>
    <x v="0"/>
    <n v="13"/>
    <x v="0"/>
  </r>
  <r>
    <n v="10741"/>
    <x v="20"/>
    <x v="2"/>
    <x v="1"/>
    <x v="502"/>
    <x v="0"/>
    <d v="1899-12-31T00:00:00"/>
    <d v="2013-04-11T00:00:00"/>
    <n v="70"/>
    <n v="12"/>
    <n v="0"/>
    <n v="0"/>
    <n v="5"/>
    <n v="75"/>
    <x v="0"/>
    <n v="5"/>
    <x v="3"/>
    <m/>
    <x v="0"/>
    <x v="1"/>
    <x v="0"/>
    <n v="13"/>
    <x v="0"/>
  </r>
  <r>
    <n v="1991"/>
    <x v="5"/>
    <x v="0"/>
    <x v="1"/>
    <x v="503"/>
    <x v="0"/>
    <d v="1899-12-31T00:00:00"/>
    <d v="2014-01-18T00:00:00"/>
    <n v="0"/>
    <n v="0"/>
    <n v="0"/>
    <n v="0"/>
    <n v="3"/>
    <n v="59"/>
    <x v="0"/>
    <n v="3"/>
    <x v="3"/>
    <m/>
    <x v="0"/>
    <x v="1"/>
    <x v="0"/>
    <n v="12"/>
    <x v="0"/>
  </r>
  <r>
    <n v="6931"/>
    <x v="5"/>
    <x v="0"/>
    <x v="3"/>
    <x v="504"/>
    <x v="0"/>
    <d v="1899-12-30T00:00:00"/>
    <d v="2014-02-15T00:00:00"/>
    <n v="19"/>
    <n v="151"/>
    <n v="60"/>
    <n v="60"/>
    <n v="4"/>
    <n v="59"/>
    <x v="0"/>
    <n v="64"/>
    <x v="3"/>
    <m/>
    <x v="0"/>
    <x v="3"/>
    <x v="0"/>
    <n v="12"/>
    <x v="0"/>
  </r>
  <r>
    <n v="11096"/>
    <x v="13"/>
    <x v="4"/>
    <x v="1"/>
    <x v="505"/>
    <x v="0"/>
    <d v="1899-12-31T00:00:00"/>
    <d v="2013-08-08T00:00:00"/>
    <n v="50"/>
    <n v="4"/>
    <n v="54"/>
    <n v="54"/>
    <n v="7"/>
    <n v="74"/>
    <x v="0"/>
    <n v="61"/>
    <x v="3"/>
    <m/>
    <x v="0"/>
    <x v="0"/>
    <x v="0"/>
    <n v="13"/>
    <x v="0"/>
  </r>
  <r>
    <n v="304"/>
    <x v="4"/>
    <x v="2"/>
    <x v="0"/>
    <x v="506"/>
    <x v="1"/>
    <d v="1899-12-30T00:00:00"/>
    <d v="2013-12-23T00:00:00"/>
    <n v="67"/>
    <n v="3"/>
    <n v="5"/>
    <n v="5"/>
    <n v="3"/>
    <n v="45"/>
    <x v="1"/>
    <n v="8"/>
    <x v="3"/>
    <m/>
    <x v="0"/>
    <x v="2"/>
    <x v="0"/>
    <n v="13"/>
    <x v="0"/>
  </r>
  <r>
    <n v="3665"/>
    <x v="32"/>
    <x v="4"/>
    <x v="1"/>
    <x v="507"/>
    <x v="1"/>
    <d v="1899-12-30T00:00:00"/>
    <d v="2013-11-07T00:00:00"/>
    <n v="46"/>
    <n v="9"/>
    <n v="3"/>
    <n v="3"/>
    <n v="3"/>
    <n v="49"/>
    <x v="1"/>
    <n v="6"/>
    <x v="3"/>
    <m/>
    <x v="0"/>
    <x v="2"/>
    <x v="0"/>
    <n v="13"/>
    <x v="0"/>
  </r>
  <r>
    <n v="10591"/>
    <x v="21"/>
    <x v="0"/>
    <x v="4"/>
    <x v="508"/>
    <x v="0"/>
    <d v="1899-12-31T00:00:00"/>
    <d v="2012-08-06T00:00:00"/>
    <n v="37"/>
    <n v="10"/>
    <n v="19"/>
    <n v="19"/>
    <n v="4"/>
    <n v="57"/>
    <x v="0"/>
    <n v="23"/>
    <x v="3"/>
    <m/>
    <x v="0"/>
    <x v="1"/>
    <x v="0"/>
    <n v="14"/>
    <x v="0"/>
  </r>
  <r>
    <n v="5036"/>
    <x v="3"/>
    <x v="1"/>
    <x v="0"/>
    <x v="509"/>
    <x v="1"/>
    <d v="1899-12-30T00:00:00"/>
    <d v="2012-11-28T00:00:00"/>
    <n v="38"/>
    <n v="3"/>
    <n v="3"/>
    <n v="3"/>
    <n v="3"/>
    <n v="42"/>
    <x v="1"/>
    <n v="6"/>
    <x v="3"/>
    <m/>
    <x v="0"/>
    <x v="1"/>
    <x v="0"/>
    <n v="14"/>
    <x v="0"/>
  </r>
  <r>
    <n v="5547"/>
    <x v="18"/>
    <x v="1"/>
    <x v="2"/>
    <x v="510"/>
    <x v="0"/>
    <d v="1899-12-30T00:00:00"/>
    <d v="2013-08-07T00:00:00"/>
    <n v="9"/>
    <n v="19"/>
    <n v="19"/>
    <n v="19"/>
    <n v="6"/>
    <n v="44"/>
    <x v="1"/>
    <n v="25"/>
    <x v="3"/>
    <m/>
    <x v="0"/>
    <x v="3"/>
    <x v="0"/>
    <n v="13"/>
    <x v="0"/>
  </r>
  <r>
    <n v="7822"/>
    <x v="11"/>
    <x v="0"/>
    <x v="1"/>
    <x v="511"/>
    <x v="0"/>
    <d v="1899-12-31T00:00:00"/>
    <d v="2013-06-04T00:00:00"/>
    <n v="56"/>
    <n v="18"/>
    <n v="108"/>
    <n v="108"/>
    <n v="8"/>
    <n v="50"/>
    <x v="1"/>
    <n v="116"/>
    <x v="3"/>
    <m/>
    <x v="0"/>
    <x v="0"/>
    <x v="0"/>
    <n v="13"/>
    <x v="0"/>
  </r>
  <r>
    <n v="8541"/>
    <x v="50"/>
    <x v="4"/>
    <x v="2"/>
    <x v="512"/>
    <x v="1"/>
    <d v="1899-12-30T00:00:00"/>
    <d v="2014-03-08T00:00:00"/>
    <n v="98"/>
    <n v="4"/>
    <n v="7"/>
    <n v="7"/>
    <n v="4"/>
    <n v="36"/>
    <x v="1"/>
    <n v="11"/>
    <x v="3"/>
    <m/>
    <x v="0"/>
    <x v="2"/>
    <x v="0"/>
    <n v="12"/>
    <x v="0"/>
  </r>
  <r>
    <n v="10955"/>
    <x v="31"/>
    <x v="0"/>
    <x v="4"/>
    <x v="513"/>
    <x v="0"/>
    <d v="1899-12-30T00:00:00"/>
    <d v="2014-01-07T00:00:00"/>
    <n v="68"/>
    <n v="46"/>
    <n v="107"/>
    <n v="107"/>
    <n v="4"/>
    <n v="62"/>
    <x v="0"/>
    <n v="111"/>
    <x v="3"/>
    <m/>
    <x v="0"/>
    <x v="3"/>
    <x v="0"/>
    <n v="12"/>
    <x v="0"/>
  </r>
  <r>
    <n v="4368"/>
    <x v="16"/>
    <x v="0"/>
    <x v="2"/>
    <x v="514"/>
    <x v="1"/>
    <d v="1899-12-30T00:00:00"/>
    <d v="2013-12-03T00:00:00"/>
    <n v="72"/>
    <n v="7"/>
    <n v="12"/>
    <n v="12"/>
    <n v="4"/>
    <n v="46"/>
    <x v="1"/>
    <n v="16"/>
    <x v="3"/>
    <m/>
    <x v="0"/>
    <x v="1"/>
    <x v="0"/>
    <n v="13"/>
    <x v="0"/>
  </r>
  <r>
    <n v="9671"/>
    <x v="30"/>
    <x v="0"/>
    <x v="2"/>
    <x v="515"/>
    <x v="1"/>
    <d v="1899-12-31T00:00:00"/>
    <d v="2014-01-26T00:00:00"/>
    <n v="47"/>
    <n v="3"/>
    <n v="1"/>
    <n v="1"/>
    <n v="2"/>
    <n v="58"/>
    <x v="0"/>
    <n v="3"/>
    <x v="3"/>
    <m/>
    <x v="0"/>
    <x v="2"/>
    <x v="0"/>
    <n v="12"/>
    <x v="0"/>
  </r>
  <r>
    <n v="2256"/>
    <x v="26"/>
    <x v="2"/>
    <x v="2"/>
    <x v="516"/>
    <x v="1"/>
    <d v="1899-12-31T00:00:00"/>
    <d v="2014-03-29T00:00:00"/>
    <n v="33"/>
    <n v="0"/>
    <n v="0"/>
    <n v="0"/>
    <n v="3"/>
    <n v="53"/>
    <x v="0"/>
    <n v="3"/>
    <x v="3"/>
    <m/>
    <x v="0"/>
    <x v="2"/>
    <x v="0"/>
    <n v="12"/>
    <x v="0"/>
  </r>
  <r>
    <n v="4279"/>
    <x v="24"/>
    <x v="4"/>
    <x v="0"/>
    <x v="517"/>
    <x v="1"/>
    <d v="1899-12-31T00:00:00"/>
    <d v="2014-03-31T00:00:00"/>
    <n v="87"/>
    <n v="4"/>
    <n v="4"/>
    <n v="4"/>
    <n v="3"/>
    <n v="63"/>
    <x v="0"/>
    <n v="7"/>
    <x v="3"/>
    <m/>
    <x v="0"/>
    <x v="1"/>
    <x v="0"/>
    <n v="12"/>
    <x v="0"/>
  </r>
  <r>
    <n v="5371"/>
    <x v="23"/>
    <x v="0"/>
    <x v="0"/>
    <x v="518"/>
    <x v="1"/>
    <d v="1899-12-30T00:00:00"/>
    <d v="2014-04-08T00:00:00"/>
    <n v="0"/>
    <n v="16"/>
    <n v="0"/>
    <n v="0"/>
    <n v="2"/>
    <n v="37"/>
    <x v="1"/>
    <n v="2"/>
    <x v="3"/>
    <m/>
    <x v="0"/>
    <x v="2"/>
    <x v="0"/>
    <n v="12"/>
    <x v="0"/>
  </r>
  <r>
    <n v="9240"/>
    <x v="6"/>
    <x v="1"/>
    <x v="0"/>
    <x v="519"/>
    <x v="0"/>
    <d v="1899-12-31T00:00:00"/>
    <d v="2014-02-07T00:00:00"/>
    <n v="73"/>
    <n v="0"/>
    <n v="4"/>
    <n v="4"/>
    <n v="8"/>
    <n v="55"/>
    <x v="0"/>
    <n v="12"/>
    <x v="3"/>
    <m/>
    <x v="0"/>
    <x v="0"/>
    <x v="0"/>
    <n v="12"/>
    <x v="0"/>
  </r>
  <r>
    <n v="9460"/>
    <x v="24"/>
    <x v="0"/>
    <x v="2"/>
    <x v="520"/>
    <x v="0"/>
    <d v="1899-12-30T00:00:00"/>
    <d v="2013-04-18T00:00:00"/>
    <n v="74"/>
    <n v="3"/>
    <n v="21"/>
    <n v="21"/>
    <n v="2"/>
    <n v="63"/>
    <x v="0"/>
    <n v="23"/>
    <x v="3"/>
    <m/>
    <x v="0"/>
    <x v="2"/>
    <x v="0"/>
    <n v="13"/>
    <x v="0"/>
  </r>
  <r>
    <n v="9504"/>
    <x v="17"/>
    <x v="2"/>
    <x v="2"/>
    <x v="521"/>
    <x v="0"/>
    <d v="1899-12-30T00:00:00"/>
    <d v="2013-11-06T00:00:00"/>
    <n v="4"/>
    <n v="28"/>
    <n v="123"/>
    <n v="123"/>
    <n v="13"/>
    <n v="77"/>
    <x v="0"/>
    <n v="136"/>
    <x v="3"/>
    <m/>
    <x v="0"/>
    <x v="3"/>
    <x v="0"/>
    <n v="13"/>
    <x v="0"/>
  </r>
  <r>
    <n v="8692"/>
    <x v="13"/>
    <x v="0"/>
    <x v="1"/>
    <x v="522"/>
    <x v="1"/>
    <d v="1899-12-31T00:00:00"/>
    <d v="2012-09-12T00:00:00"/>
    <n v="50"/>
    <n v="17"/>
    <n v="6"/>
    <n v="6"/>
    <n v="5"/>
    <n v="74"/>
    <x v="0"/>
    <n v="11"/>
    <x v="3"/>
    <m/>
    <x v="0"/>
    <x v="1"/>
    <x v="0"/>
    <n v="14"/>
    <x v="0"/>
  </r>
  <r>
    <n v="448"/>
    <x v="33"/>
    <x v="1"/>
    <x v="0"/>
    <x v="523"/>
    <x v="1"/>
    <d v="1899-12-30T00:00:00"/>
    <d v="2013-03-01T00:00:00"/>
    <n v="57"/>
    <n v="85"/>
    <n v="45"/>
    <n v="45"/>
    <n v="11"/>
    <n v="48"/>
    <x v="1"/>
    <n v="56"/>
    <x v="3"/>
    <m/>
    <x v="0"/>
    <x v="0"/>
    <x v="0"/>
    <n v="13"/>
    <x v="0"/>
  </r>
  <r>
    <n v="8314"/>
    <x v="18"/>
    <x v="0"/>
    <x v="2"/>
    <x v="524"/>
    <x v="0"/>
    <d v="1899-12-30T00:00:00"/>
    <d v="2013-04-05T00:00:00"/>
    <n v="30"/>
    <n v="129"/>
    <n v="185"/>
    <n v="185"/>
    <n v="7"/>
    <n v="44"/>
    <x v="1"/>
    <n v="192"/>
    <x v="3"/>
    <m/>
    <x v="0"/>
    <x v="3"/>
    <x v="0"/>
    <n v="13"/>
    <x v="0"/>
  </r>
  <r>
    <n v="8420"/>
    <x v="25"/>
    <x v="4"/>
    <x v="2"/>
    <x v="525"/>
    <x v="0"/>
    <d v="1899-12-30T00:00:00"/>
    <d v="2013-08-03T00:00:00"/>
    <n v="27"/>
    <n v="4"/>
    <n v="8"/>
    <n v="8"/>
    <n v="4"/>
    <n v="56"/>
    <x v="0"/>
    <n v="12"/>
    <x v="3"/>
    <m/>
    <x v="0"/>
    <x v="2"/>
    <x v="0"/>
    <n v="13"/>
    <x v="0"/>
  </r>
  <r>
    <n v="3174"/>
    <x v="12"/>
    <x v="0"/>
    <x v="1"/>
    <x v="526"/>
    <x v="0"/>
    <d v="1899-12-31T00:00:00"/>
    <d v="2013-05-22T00:00:00"/>
    <n v="61"/>
    <n v="38"/>
    <n v="57"/>
    <n v="57"/>
    <n v="4"/>
    <n v="67"/>
    <x v="0"/>
    <n v="61"/>
    <x v="3"/>
    <m/>
    <x v="0"/>
    <x v="3"/>
    <x v="0"/>
    <n v="13"/>
    <x v="0"/>
  </r>
  <r>
    <n v="7685"/>
    <x v="33"/>
    <x v="0"/>
    <x v="2"/>
    <x v="527"/>
    <x v="1"/>
    <d v="1899-12-30T00:00:00"/>
    <d v="2013-09-09T00:00:00"/>
    <n v="4"/>
    <n v="8"/>
    <n v="8"/>
    <n v="8"/>
    <n v="4"/>
    <n v="48"/>
    <x v="1"/>
    <n v="12"/>
    <x v="3"/>
    <m/>
    <x v="0"/>
    <x v="1"/>
    <x v="0"/>
    <n v="13"/>
    <x v="0"/>
  </r>
  <r>
    <n v="3179"/>
    <x v="16"/>
    <x v="0"/>
    <x v="0"/>
    <x v="528"/>
    <x v="0"/>
    <d v="1899-12-30T00:00:00"/>
    <d v="2013-06-16T00:00:00"/>
    <n v="75"/>
    <n v="153"/>
    <n v="134"/>
    <n v="134"/>
    <n v="7"/>
    <n v="46"/>
    <x v="1"/>
    <n v="141"/>
    <x v="3"/>
    <m/>
    <x v="0"/>
    <x v="3"/>
    <x v="0"/>
    <n v="13"/>
    <x v="0"/>
  </r>
  <r>
    <n v="9780"/>
    <x v="6"/>
    <x v="2"/>
    <x v="1"/>
    <x v="529"/>
    <x v="0"/>
    <d v="1899-12-31T00:00:00"/>
    <d v="2013-06-25T00:00:00"/>
    <n v="12"/>
    <n v="25"/>
    <n v="0"/>
    <n v="0"/>
    <n v="13"/>
    <n v="55"/>
    <x v="0"/>
    <n v="13"/>
    <x v="3"/>
    <m/>
    <x v="0"/>
    <x v="0"/>
    <x v="0"/>
    <n v="13"/>
    <x v="0"/>
  </r>
  <r>
    <n v="10681"/>
    <x v="25"/>
    <x v="4"/>
    <x v="2"/>
    <x v="530"/>
    <x v="0"/>
    <d v="1899-12-31T00:00:00"/>
    <d v="2014-01-15T00:00:00"/>
    <n v="13"/>
    <n v="129"/>
    <n v="121"/>
    <n v="121"/>
    <n v="12"/>
    <n v="56"/>
    <x v="0"/>
    <n v="133"/>
    <x v="3"/>
    <m/>
    <x v="0"/>
    <x v="0"/>
    <x v="0"/>
    <n v="12"/>
    <x v="0"/>
  </r>
  <r>
    <n v="10232"/>
    <x v="24"/>
    <x v="1"/>
    <x v="3"/>
    <x v="531"/>
    <x v="0"/>
    <d v="1899-12-31T00:00:00"/>
    <d v="2013-11-05T00:00:00"/>
    <n v="9"/>
    <n v="18"/>
    <n v="6"/>
    <n v="6"/>
    <n v="7"/>
    <n v="63"/>
    <x v="0"/>
    <n v="13"/>
    <x v="3"/>
    <m/>
    <x v="0"/>
    <x v="1"/>
    <x v="0"/>
    <n v="13"/>
    <x v="0"/>
  </r>
  <r>
    <n v="4184"/>
    <x v="9"/>
    <x v="1"/>
    <x v="1"/>
    <x v="532"/>
    <x v="0"/>
    <d v="1899-12-31T00:00:00"/>
    <d v="2014-06-07T00:00:00"/>
    <n v="48"/>
    <n v="2"/>
    <n v="2"/>
    <n v="2"/>
    <n v="5"/>
    <n v="76"/>
    <x v="0"/>
    <n v="7"/>
    <x v="3"/>
    <m/>
    <x v="0"/>
    <x v="0"/>
    <x v="0"/>
    <n v="12"/>
    <x v="0"/>
  </r>
  <r>
    <n v="9120"/>
    <x v="43"/>
    <x v="0"/>
    <x v="0"/>
    <x v="533"/>
    <x v="0"/>
    <d v="1899-12-31T00:00:00"/>
    <d v="2012-12-05T00:00:00"/>
    <n v="80"/>
    <n v="10"/>
    <n v="40"/>
    <n v="40"/>
    <n v="9"/>
    <n v="64"/>
    <x v="0"/>
    <n v="49"/>
    <x v="3"/>
    <m/>
    <x v="0"/>
    <x v="0"/>
    <x v="0"/>
    <n v="14"/>
    <x v="0"/>
  </r>
  <r>
    <n v="891"/>
    <x v="20"/>
    <x v="2"/>
    <x v="1"/>
    <x v="534"/>
    <x v="1"/>
    <d v="1899-12-31T00:00:00"/>
    <d v="2013-09-07T00:00:00"/>
    <n v="60"/>
    <n v="0"/>
    <n v="0"/>
    <n v="0"/>
    <n v="2"/>
    <n v="75"/>
    <x v="0"/>
    <n v="2"/>
    <x v="3"/>
    <m/>
    <x v="0"/>
    <x v="2"/>
    <x v="0"/>
    <n v="13"/>
    <x v="0"/>
  </r>
  <r>
    <n v="10381"/>
    <x v="19"/>
    <x v="0"/>
    <x v="0"/>
    <x v="535"/>
    <x v="0"/>
    <d v="1899-12-31T00:00:00"/>
    <d v="2013-07-05T00:00:00"/>
    <n v="43"/>
    <n v="0"/>
    <n v="0"/>
    <n v="0"/>
    <n v="2"/>
    <n v="47"/>
    <x v="1"/>
    <n v="2"/>
    <x v="3"/>
    <m/>
    <x v="0"/>
    <x v="1"/>
    <x v="0"/>
    <n v="13"/>
    <x v="0"/>
  </r>
  <r>
    <n v="3525"/>
    <x v="25"/>
    <x v="0"/>
    <x v="1"/>
    <x v="536"/>
    <x v="1"/>
    <d v="1899-12-31T00:00:00"/>
    <d v="2012-12-07T00:00:00"/>
    <n v="19"/>
    <n v="0"/>
    <n v="0"/>
    <n v="0"/>
    <n v="2"/>
    <n v="56"/>
    <x v="0"/>
    <n v="2"/>
    <x v="3"/>
    <m/>
    <x v="0"/>
    <x v="1"/>
    <x v="0"/>
    <n v="14"/>
    <x v="0"/>
  </r>
  <r>
    <n v="6818"/>
    <x v="8"/>
    <x v="0"/>
    <x v="2"/>
    <x v="537"/>
    <x v="0"/>
    <d v="1899-12-31T00:00:00"/>
    <d v="2012-09-12T00:00:00"/>
    <n v="26"/>
    <n v="0"/>
    <n v="10"/>
    <n v="10"/>
    <n v="5"/>
    <n v="52"/>
    <x v="0"/>
    <n v="15"/>
    <x v="3"/>
    <m/>
    <x v="0"/>
    <x v="1"/>
    <x v="0"/>
    <n v="14"/>
    <x v="0"/>
  </r>
  <r>
    <n v="3526"/>
    <x v="30"/>
    <x v="1"/>
    <x v="2"/>
    <x v="538"/>
    <x v="1"/>
    <d v="1899-12-31T00:00:00"/>
    <d v="2014-01-27T00:00:00"/>
    <n v="58"/>
    <n v="0"/>
    <n v="0"/>
    <n v="0"/>
    <n v="3"/>
    <n v="58"/>
    <x v="0"/>
    <n v="3"/>
    <x v="3"/>
    <m/>
    <x v="0"/>
    <x v="1"/>
    <x v="0"/>
    <n v="12"/>
    <x v="0"/>
  </r>
  <r>
    <n v="8181"/>
    <x v="33"/>
    <x v="4"/>
    <x v="0"/>
    <x v="539"/>
    <x v="1"/>
    <d v="1899-12-30T00:00:00"/>
    <d v="2013-09-13T00:00:00"/>
    <n v="42"/>
    <n v="12"/>
    <n v="24"/>
    <n v="24"/>
    <n v="3"/>
    <n v="48"/>
    <x v="1"/>
    <n v="27"/>
    <x v="3"/>
    <m/>
    <x v="0"/>
    <x v="1"/>
    <x v="0"/>
    <n v="13"/>
    <x v="0"/>
  </r>
  <r>
    <n v="1029"/>
    <x v="25"/>
    <x v="1"/>
    <x v="1"/>
    <x v="540"/>
    <x v="0"/>
    <d v="1899-12-31T00:00:00"/>
    <d v="2013-08-01T00:00:00"/>
    <n v="27"/>
    <n v="5"/>
    <n v="10"/>
    <n v="10"/>
    <n v="5"/>
    <n v="56"/>
    <x v="0"/>
    <n v="15"/>
    <x v="3"/>
    <m/>
    <x v="0"/>
    <x v="0"/>
    <x v="0"/>
    <n v="13"/>
    <x v="0"/>
  </r>
  <r>
    <n v="7369"/>
    <x v="4"/>
    <x v="2"/>
    <x v="2"/>
    <x v="541"/>
    <x v="1"/>
    <d v="1899-12-30T00:00:00"/>
    <d v="2013-10-02T00:00:00"/>
    <n v="56"/>
    <n v="6"/>
    <n v="0"/>
    <n v="0"/>
    <n v="3"/>
    <n v="45"/>
    <x v="1"/>
    <n v="3"/>
    <x v="3"/>
    <m/>
    <x v="0"/>
    <x v="1"/>
    <x v="0"/>
    <n v="13"/>
    <x v="0"/>
  </r>
  <r>
    <n v="2574"/>
    <x v="32"/>
    <x v="1"/>
    <x v="2"/>
    <x v="542"/>
    <x v="0"/>
    <d v="1899-12-31T00:00:00"/>
    <d v="2013-01-31T00:00:00"/>
    <n v="27"/>
    <n v="12"/>
    <n v="0"/>
    <n v="0"/>
    <n v="8"/>
    <n v="49"/>
    <x v="1"/>
    <n v="8"/>
    <x v="3"/>
    <m/>
    <x v="0"/>
    <x v="0"/>
    <x v="0"/>
    <n v="13"/>
    <x v="0"/>
  </r>
  <r>
    <n v="8159"/>
    <x v="30"/>
    <x v="0"/>
    <x v="2"/>
    <x v="543"/>
    <x v="1"/>
    <d v="1899-12-31T00:00:00"/>
    <d v="2014-04-01T00:00:00"/>
    <n v="10"/>
    <n v="0"/>
    <n v="0"/>
    <n v="0"/>
    <n v="3"/>
    <n v="58"/>
    <x v="0"/>
    <n v="3"/>
    <x v="3"/>
    <m/>
    <x v="0"/>
    <x v="0"/>
    <x v="0"/>
    <n v="12"/>
    <x v="0"/>
  </r>
  <r>
    <n v="1160"/>
    <x v="25"/>
    <x v="0"/>
    <x v="2"/>
    <x v="544"/>
    <x v="1"/>
    <d v="1899-12-31T00:00:00"/>
    <d v="2013-08-23T00:00:00"/>
    <n v="48"/>
    <n v="4"/>
    <n v="2"/>
    <n v="2"/>
    <n v="3"/>
    <n v="56"/>
    <x v="0"/>
    <n v="5"/>
    <x v="3"/>
    <m/>
    <x v="0"/>
    <x v="2"/>
    <x v="0"/>
    <n v="13"/>
    <x v="0"/>
  </r>
  <r>
    <n v="10242"/>
    <x v="35"/>
    <x v="1"/>
    <x v="1"/>
    <x v="545"/>
    <x v="1"/>
    <d v="1899-12-31T00:00:00"/>
    <d v="2013-09-16T00:00:00"/>
    <n v="39"/>
    <n v="0"/>
    <n v="0"/>
    <n v="0"/>
    <n v="4"/>
    <n v="60"/>
    <x v="0"/>
    <n v="4"/>
    <x v="3"/>
    <m/>
    <x v="0"/>
    <x v="1"/>
    <x v="0"/>
    <n v="13"/>
    <x v="0"/>
  </r>
  <r>
    <n v="5253"/>
    <x v="46"/>
    <x v="2"/>
    <x v="1"/>
    <x v="546"/>
    <x v="1"/>
    <d v="1899-12-31T00:00:00"/>
    <d v="2013-07-09T00:00:00"/>
    <n v="85"/>
    <n v="13"/>
    <n v="2"/>
    <n v="2"/>
    <n v="4"/>
    <n v="70"/>
    <x v="0"/>
    <n v="6"/>
    <x v="3"/>
    <m/>
    <x v="0"/>
    <x v="0"/>
    <x v="0"/>
    <n v="13"/>
    <x v="0"/>
  </r>
  <r>
    <n v="5966"/>
    <x v="8"/>
    <x v="1"/>
    <x v="2"/>
    <x v="547"/>
    <x v="1"/>
    <d v="1899-12-31T00:00:00"/>
    <d v="2012-11-10T00:00:00"/>
    <n v="64"/>
    <n v="0"/>
    <n v="0"/>
    <n v="0"/>
    <n v="6"/>
    <n v="52"/>
    <x v="0"/>
    <n v="6"/>
    <x v="3"/>
    <m/>
    <x v="0"/>
    <x v="1"/>
    <x v="0"/>
    <n v="14"/>
    <x v="0"/>
  </r>
  <r>
    <n v="5314"/>
    <x v="20"/>
    <x v="0"/>
    <x v="1"/>
    <x v="24"/>
    <x v="0"/>
    <d v="1899-12-31T00:00:00"/>
    <d v="2013-03-18T00:00:00"/>
    <n v="69"/>
    <n v="3"/>
    <n v="6"/>
    <n v="6"/>
    <n v="5"/>
    <n v="75"/>
    <x v="0"/>
    <n v="11"/>
    <x v="3"/>
    <m/>
    <x v="0"/>
    <x v="1"/>
    <x v="0"/>
    <n v="13"/>
    <x v="0"/>
  </r>
  <r>
    <n v="5081"/>
    <x v="5"/>
    <x v="4"/>
    <x v="1"/>
    <x v="548"/>
    <x v="1"/>
    <d v="1899-12-31T00:00:00"/>
    <d v="2013-10-20T00:00:00"/>
    <n v="54"/>
    <n v="0"/>
    <n v="6"/>
    <n v="6"/>
    <n v="3"/>
    <n v="59"/>
    <x v="0"/>
    <n v="9"/>
    <x v="3"/>
    <m/>
    <x v="0"/>
    <x v="1"/>
    <x v="0"/>
    <n v="13"/>
    <x v="0"/>
  </r>
  <r>
    <n v="5123"/>
    <x v="20"/>
    <x v="2"/>
    <x v="2"/>
    <x v="549"/>
    <x v="0"/>
    <d v="1899-12-30T00:00:00"/>
    <d v="2013-04-15T00:00:00"/>
    <n v="57"/>
    <n v="12"/>
    <n v="11"/>
    <n v="11"/>
    <n v="3"/>
    <n v="75"/>
    <x v="0"/>
    <n v="14"/>
    <x v="3"/>
    <m/>
    <x v="0"/>
    <x v="2"/>
    <x v="0"/>
    <n v="13"/>
    <x v="0"/>
  </r>
  <r>
    <n v="5756"/>
    <x v="10"/>
    <x v="0"/>
    <x v="1"/>
    <x v="550"/>
    <x v="1"/>
    <d v="1899-12-30T00:00:00"/>
    <d v="2014-04-03T00:00:00"/>
    <n v="64"/>
    <n v="0"/>
    <n v="0"/>
    <n v="0"/>
    <n v="3"/>
    <n v="43"/>
    <x v="1"/>
    <n v="3"/>
    <x v="3"/>
    <m/>
    <x v="0"/>
    <x v="1"/>
    <x v="0"/>
    <n v="12"/>
    <x v="0"/>
  </r>
  <r>
    <n v="8036"/>
    <x v="6"/>
    <x v="4"/>
    <x v="1"/>
    <x v="551"/>
    <x v="1"/>
    <d v="1899-12-31T00:00:00"/>
    <d v="2014-04-18T00:00:00"/>
    <n v="10"/>
    <n v="1"/>
    <n v="2"/>
    <n v="2"/>
    <n v="4"/>
    <n v="55"/>
    <x v="0"/>
    <n v="6"/>
    <x v="3"/>
    <m/>
    <x v="0"/>
    <x v="2"/>
    <x v="0"/>
    <n v="12"/>
    <x v="0"/>
  </r>
  <r>
    <n v="9058"/>
    <x v="34"/>
    <x v="0"/>
    <x v="4"/>
    <x v="552"/>
    <x v="0"/>
    <d v="1899-12-30T00:00:00"/>
    <d v="2012-09-23T00:00:00"/>
    <n v="65"/>
    <n v="21"/>
    <n v="0"/>
    <n v="0"/>
    <n v="5"/>
    <n v="71"/>
    <x v="0"/>
    <n v="5"/>
    <x v="3"/>
    <m/>
    <x v="0"/>
    <x v="3"/>
    <x v="0"/>
    <n v="14"/>
    <x v="0"/>
  </r>
  <r>
    <n v="5057"/>
    <x v="45"/>
    <x v="2"/>
    <x v="2"/>
    <x v="553"/>
    <x v="0"/>
    <d v="1899-12-31T00:00:00"/>
    <d v="2013-09-14T00:00:00"/>
    <n v="74"/>
    <n v="47"/>
    <n v="47"/>
    <n v="47"/>
    <n v="10"/>
    <n v="65"/>
    <x v="0"/>
    <n v="57"/>
    <x v="3"/>
    <m/>
    <x v="0"/>
    <x v="0"/>
    <x v="0"/>
    <n v="13"/>
    <x v="0"/>
  </r>
  <r>
    <n v="254"/>
    <x v="34"/>
    <x v="0"/>
    <x v="1"/>
    <x v="554"/>
    <x v="0"/>
    <d v="1899-12-31T00:00:00"/>
    <d v="2014-05-17T00:00:00"/>
    <n v="4"/>
    <n v="4"/>
    <n v="4"/>
    <n v="4"/>
    <n v="7"/>
    <n v="71"/>
    <x v="0"/>
    <n v="11"/>
    <x v="3"/>
    <m/>
    <x v="0"/>
    <x v="0"/>
    <x v="0"/>
    <n v="12"/>
    <x v="0"/>
  </r>
  <r>
    <n v="4179"/>
    <x v="12"/>
    <x v="0"/>
    <x v="1"/>
    <x v="555"/>
    <x v="0"/>
    <d v="1899-12-30T00:00:00"/>
    <d v="2013-08-20T00:00:00"/>
    <n v="94"/>
    <n v="9"/>
    <n v="5"/>
    <n v="5"/>
    <n v="3"/>
    <n v="67"/>
    <x v="0"/>
    <n v="8"/>
    <x v="3"/>
    <m/>
    <x v="0"/>
    <x v="2"/>
    <x v="0"/>
    <n v="13"/>
    <x v="0"/>
  </r>
  <r>
    <n v="3710"/>
    <x v="3"/>
    <x v="1"/>
    <x v="0"/>
    <x v="556"/>
    <x v="1"/>
    <d v="1899-12-30T00:00:00"/>
    <d v="2012-10-12T00:00:00"/>
    <n v="41"/>
    <n v="0"/>
    <n v="4"/>
    <n v="4"/>
    <n v="2"/>
    <n v="42"/>
    <x v="1"/>
    <n v="6"/>
    <x v="3"/>
    <m/>
    <x v="0"/>
    <x v="1"/>
    <x v="0"/>
    <n v="14"/>
    <x v="0"/>
  </r>
  <r>
    <n v="7627"/>
    <x v="28"/>
    <x v="2"/>
    <x v="2"/>
    <x v="557"/>
    <x v="0"/>
    <d v="1899-12-30T00:00:00"/>
    <d v="2012-12-12T00:00:00"/>
    <n v="25"/>
    <n v="183"/>
    <n v="163"/>
    <n v="163"/>
    <n v="5"/>
    <n v="51"/>
    <x v="0"/>
    <n v="168"/>
    <x v="3"/>
    <m/>
    <x v="0"/>
    <x v="3"/>
    <x v="0"/>
    <n v="14"/>
    <x v="0"/>
  </r>
  <r>
    <n v="4501"/>
    <x v="2"/>
    <x v="2"/>
    <x v="0"/>
    <x v="558"/>
    <x v="0"/>
    <d v="1899-12-30T00:00:00"/>
    <d v="2013-11-10T00:00:00"/>
    <n v="94"/>
    <n v="127"/>
    <n v="127"/>
    <n v="127"/>
    <n v="9"/>
    <n v="61"/>
    <x v="0"/>
    <n v="136"/>
    <x v="3"/>
    <m/>
    <x v="0"/>
    <x v="0"/>
    <x v="0"/>
    <n v="13"/>
    <x v="0"/>
  </r>
  <r>
    <n v="6424"/>
    <x v="32"/>
    <x v="0"/>
    <x v="1"/>
    <x v="559"/>
    <x v="1"/>
    <d v="1899-12-30T00:00:00"/>
    <d v="2014-01-30T00:00:00"/>
    <n v="9"/>
    <n v="6"/>
    <n v="2"/>
    <n v="2"/>
    <n v="3"/>
    <n v="49"/>
    <x v="1"/>
    <n v="5"/>
    <x v="3"/>
    <m/>
    <x v="0"/>
    <x v="1"/>
    <x v="0"/>
    <n v="12"/>
    <x v="0"/>
  </r>
  <r>
    <n v="3075"/>
    <x v="39"/>
    <x v="1"/>
    <x v="2"/>
    <x v="560"/>
    <x v="0"/>
    <d v="1899-12-30T00:00:00"/>
    <d v="2013-09-11T00:00:00"/>
    <n v="47"/>
    <n v="30"/>
    <n v="34"/>
    <n v="34"/>
    <n v="7"/>
    <n v="54"/>
    <x v="0"/>
    <n v="41"/>
    <x v="3"/>
    <m/>
    <x v="0"/>
    <x v="0"/>
    <x v="0"/>
    <n v="13"/>
    <x v="0"/>
  </r>
  <r>
    <n v="4992"/>
    <x v="28"/>
    <x v="2"/>
    <x v="1"/>
    <x v="561"/>
    <x v="1"/>
    <d v="1899-12-30T00:00:00"/>
    <d v="2013-09-19T00:00:00"/>
    <n v="12"/>
    <n v="4"/>
    <n v="10"/>
    <n v="10"/>
    <n v="2"/>
    <n v="51"/>
    <x v="0"/>
    <n v="12"/>
    <x v="3"/>
    <m/>
    <x v="0"/>
    <x v="2"/>
    <x v="0"/>
    <n v="13"/>
    <x v="0"/>
  </r>
  <r>
    <n v="5252"/>
    <x v="21"/>
    <x v="0"/>
    <x v="3"/>
    <x v="562"/>
    <x v="1"/>
    <d v="1899-12-30T00:00:00"/>
    <d v="2012-10-26T00:00:00"/>
    <n v="80"/>
    <n v="12"/>
    <n v="1"/>
    <n v="1"/>
    <n v="3"/>
    <n v="57"/>
    <x v="0"/>
    <n v="4"/>
    <x v="3"/>
    <m/>
    <x v="0"/>
    <x v="2"/>
    <x v="0"/>
    <n v="14"/>
    <x v="0"/>
  </r>
  <r>
    <n v="7444"/>
    <x v="21"/>
    <x v="2"/>
    <x v="2"/>
    <x v="563"/>
    <x v="1"/>
    <d v="1899-12-31T00:00:00"/>
    <d v="2013-10-19T00:00:00"/>
    <n v="20"/>
    <n v="0"/>
    <n v="0"/>
    <n v="0"/>
    <n v="3"/>
    <n v="57"/>
    <x v="0"/>
    <n v="3"/>
    <x v="3"/>
    <m/>
    <x v="0"/>
    <x v="1"/>
    <x v="0"/>
    <n v="13"/>
    <x v="0"/>
  </r>
  <r>
    <n v="6919"/>
    <x v="33"/>
    <x v="4"/>
    <x v="2"/>
    <x v="564"/>
    <x v="1"/>
    <d v="1899-12-30T00:00:00"/>
    <d v="2013-06-04T00:00:00"/>
    <n v="39"/>
    <n v="7"/>
    <n v="9"/>
    <n v="9"/>
    <n v="3"/>
    <n v="48"/>
    <x v="1"/>
    <n v="12"/>
    <x v="3"/>
    <m/>
    <x v="0"/>
    <x v="2"/>
    <x v="0"/>
    <n v="13"/>
    <x v="0"/>
  </r>
  <r>
    <n v="3537"/>
    <x v="4"/>
    <x v="0"/>
    <x v="1"/>
    <x v="565"/>
    <x v="1"/>
    <d v="1899-12-30T00:00:00"/>
    <d v="2012-08-17T00:00:00"/>
    <n v="57"/>
    <n v="3"/>
    <n v="8"/>
    <n v="8"/>
    <n v="4"/>
    <n v="45"/>
    <x v="1"/>
    <n v="12"/>
    <x v="3"/>
    <m/>
    <x v="0"/>
    <x v="1"/>
    <x v="0"/>
    <n v="14"/>
    <x v="0"/>
  </r>
  <r>
    <n v="10277"/>
    <x v="45"/>
    <x v="0"/>
    <x v="0"/>
    <x v="566"/>
    <x v="0"/>
    <d v="1899-12-31T00:00:00"/>
    <d v="2013-02-21T00:00:00"/>
    <n v="27"/>
    <n v="0"/>
    <n v="0"/>
    <n v="0"/>
    <n v="3"/>
    <n v="65"/>
    <x v="0"/>
    <n v="3"/>
    <x v="3"/>
    <m/>
    <x v="0"/>
    <x v="1"/>
    <x v="0"/>
    <n v="13"/>
    <x v="0"/>
  </r>
  <r>
    <n v="2453"/>
    <x v="40"/>
    <x v="0"/>
    <x v="1"/>
    <x v="567"/>
    <x v="0"/>
    <d v="1899-12-31T00:00:00"/>
    <d v="2012-08-31T00:00:00"/>
    <n v="83"/>
    <n v="28"/>
    <n v="21"/>
    <n v="21"/>
    <n v="12"/>
    <n v="66"/>
    <x v="0"/>
    <n v="33"/>
    <x v="3"/>
    <m/>
    <x v="0"/>
    <x v="0"/>
    <x v="0"/>
    <n v="14"/>
    <x v="0"/>
  </r>
  <r>
    <n v="7972"/>
    <x v="34"/>
    <x v="0"/>
    <x v="0"/>
    <x v="568"/>
    <x v="0"/>
    <d v="1899-12-30T00:00:00"/>
    <d v="2013-09-17T00:00:00"/>
    <n v="79"/>
    <n v="32"/>
    <n v="75"/>
    <n v="75"/>
    <n v="9"/>
    <n v="71"/>
    <x v="0"/>
    <n v="84"/>
    <x v="3"/>
    <m/>
    <x v="0"/>
    <x v="0"/>
    <x v="0"/>
    <n v="13"/>
    <x v="0"/>
  </r>
  <r>
    <n v="895"/>
    <x v="37"/>
    <x v="1"/>
    <x v="2"/>
    <x v="569"/>
    <x v="0"/>
    <d v="1900-01-01T00:00:00"/>
    <d v="2012-12-09T00:00:00"/>
    <n v="69"/>
    <n v="16"/>
    <n v="5"/>
    <n v="5"/>
    <n v="10"/>
    <n v="78"/>
    <x v="0"/>
    <n v="15"/>
    <x v="3"/>
    <m/>
    <x v="0"/>
    <x v="0"/>
    <x v="0"/>
    <n v="14"/>
    <x v="0"/>
  </r>
  <r>
    <n v="1177"/>
    <x v="35"/>
    <x v="2"/>
    <x v="1"/>
    <x v="570"/>
    <x v="1"/>
    <d v="1899-12-31T00:00:00"/>
    <d v="2013-01-26T00:00:00"/>
    <n v="77"/>
    <n v="3"/>
    <n v="2"/>
    <n v="2"/>
    <n v="3"/>
    <n v="60"/>
    <x v="0"/>
    <n v="5"/>
    <x v="3"/>
    <m/>
    <x v="0"/>
    <x v="1"/>
    <x v="0"/>
    <n v="13"/>
    <x v="0"/>
  </r>
  <r>
    <n v="7141"/>
    <x v="22"/>
    <x v="2"/>
    <x v="0"/>
    <x v="571"/>
    <x v="1"/>
    <d v="1899-12-30T00:00:00"/>
    <d v="2012-12-29T00:00:00"/>
    <n v="15"/>
    <n v="10"/>
    <n v="3"/>
    <n v="3"/>
    <n v="2"/>
    <n v="40"/>
    <x v="1"/>
    <n v="5"/>
    <x v="3"/>
    <m/>
    <x v="0"/>
    <x v="2"/>
    <x v="0"/>
    <n v="14"/>
    <x v="0"/>
  </r>
  <r>
    <n v="7232"/>
    <x v="26"/>
    <x v="0"/>
    <x v="4"/>
    <x v="37"/>
    <x v="0"/>
    <d v="1899-12-31T00:00:00"/>
    <d v="2014-02-11T00:00:00"/>
    <n v="99"/>
    <n v="0"/>
    <n v="0"/>
    <n v="0"/>
    <n v="3"/>
    <n v="53"/>
    <x v="0"/>
    <n v="3"/>
    <x v="3"/>
    <m/>
    <x v="0"/>
    <x v="1"/>
    <x v="0"/>
    <n v="12"/>
    <x v="0"/>
  </r>
  <r>
    <n v="8477"/>
    <x v="46"/>
    <x v="0"/>
    <x v="3"/>
    <x v="572"/>
    <x v="2"/>
    <d v="1899-12-31T00:00:00"/>
    <d v="2013-03-11T00:00:00"/>
    <n v="61"/>
    <n v="1"/>
    <n v="5"/>
    <n v="5"/>
    <n v="3"/>
    <n v="70"/>
    <x v="0"/>
    <n v="8"/>
    <x v="3"/>
    <m/>
    <x v="0"/>
    <x v="2"/>
    <x v="0"/>
    <n v="13"/>
    <x v="0"/>
  </r>
  <r>
    <n v="2457"/>
    <x v="28"/>
    <x v="3"/>
    <x v="2"/>
    <x v="573"/>
    <x v="0"/>
    <d v="1899-12-31T00:00:00"/>
    <d v="2012-10-26T00:00:00"/>
    <n v="23"/>
    <n v="4"/>
    <n v="2"/>
    <n v="2"/>
    <n v="3"/>
    <n v="51"/>
    <x v="0"/>
    <n v="5"/>
    <x v="3"/>
    <m/>
    <x v="0"/>
    <x v="1"/>
    <x v="0"/>
    <n v="14"/>
    <x v="0"/>
  </r>
  <r>
    <n v="988"/>
    <x v="2"/>
    <x v="0"/>
    <x v="2"/>
    <x v="574"/>
    <x v="0"/>
    <d v="1899-12-30T00:00:00"/>
    <d v="2014-05-07T00:00:00"/>
    <n v="84"/>
    <n v="0"/>
    <n v="22"/>
    <n v="22"/>
    <n v="7"/>
    <n v="61"/>
    <x v="0"/>
    <n v="29"/>
    <x v="3"/>
    <m/>
    <x v="0"/>
    <x v="3"/>
    <x v="0"/>
    <n v="12"/>
    <x v="0"/>
  </r>
  <r>
    <n v="7930"/>
    <x v="21"/>
    <x v="2"/>
    <x v="0"/>
    <x v="575"/>
    <x v="0"/>
    <d v="1899-12-30T00:00:00"/>
    <d v="2013-08-19T00:00:00"/>
    <n v="74"/>
    <n v="13"/>
    <n v="18"/>
    <n v="18"/>
    <n v="6"/>
    <n v="57"/>
    <x v="0"/>
    <n v="24"/>
    <x v="3"/>
    <m/>
    <x v="0"/>
    <x v="2"/>
    <x v="0"/>
    <n v="13"/>
    <x v="0"/>
  </r>
  <r>
    <n v="4587"/>
    <x v="56"/>
    <x v="2"/>
    <x v="4"/>
    <x v="576"/>
    <x v="0"/>
    <d v="1899-12-30T00:00:00"/>
    <d v="2013-07-18T00:00:00"/>
    <n v="90"/>
    <n v="25"/>
    <n v="0"/>
    <n v="0"/>
    <n v="7"/>
    <n v="82"/>
    <x v="0"/>
    <n v="7"/>
    <x v="3"/>
    <m/>
    <x v="0"/>
    <x v="1"/>
    <x v="0"/>
    <n v="13"/>
    <x v="0"/>
  </r>
  <r>
    <n v="6682"/>
    <x v="26"/>
    <x v="3"/>
    <x v="2"/>
    <x v="577"/>
    <x v="1"/>
    <d v="1899-12-30T00:00:00"/>
    <d v="2012-12-11T00:00:00"/>
    <n v="41"/>
    <n v="8"/>
    <n v="7"/>
    <n v="7"/>
    <n v="3"/>
    <n v="53"/>
    <x v="0"/>
    <n v="10"/>
    <x v="3"/>
    <m/>
    <x v="0"/>
    <x v="2"/>
    <x v="0"/>
    <n v="14"/>
    <x v="0"/>
  </r>
  <r>
    <n v="6222"/>
    <x v="5"/>
    <x v="0"/>
    <x v="2"/>
    <x v="292"/>
    <x v="2"/>
    <d v="1899-12-31T00:00:00"/>
    <d v="2013-10-28T00:00:00"/>
    <n v="28"/>
    <n v="0"/>
    <n v="0"/>
    <n v="0"/>
    <n v="3"/>
    <n v="59"/>
    <x v="0"/>
    <n v="3"/>
    <x v="3"/>
    <m/>
    <x v="0"/>
    <x v="2"/>
    <x v="0"/>
    <n v="13"/>
    <x v="0"/>
  </r>
  <r>
    <n v="10299"/>
    <x v="21"/>
    <x v="1"/>
    <x v="0"/>
    <x v="578"/>
    <x v="0"/>
    <d v="1899-12-30T00:00:00"/>
    <d v="2012-11-09T00:00:00"/>
    <n v="73"/>
    <n v="91"/>
    <n v="49"/>
    <n v="49"/>
    <n v="13"/>
    <n v="57"/>
    <x v="0"/>
    <n v="62"/>
    <x v="3"/>
    <m/>
    <x v="0"/>
    <x v="1"/>
    <x v="0"/>
    <n v="14"/>
    <x v="0"/>
  </r>
  <r>
    <n v="3083"/>
    <x v="8"/>
    <x v="0"/>
    <x v="2"/>
    <x v="579"/>
    <x v="1"/>
    <d v="1899-12-31T00:00:00"/>
    <d v="2013-07-26T00:00:00"/>
    <n v="88"/>
    <n v="13"/>
    <n v="17"/>
    <n v="17"/>
    <n v="5"/>
    <n v="52"/>
    <x v="0"/>
    <n v="22"/>
    <x v="3"/>
    <m/>
    <x v="0"/>
    <x v="1"/>
    <x v="0"/>
    <n v="13"/>
    <x v="0"/>
  </r>
  <r>
    <n v="8953"/>
    <x v="2"/>
    <x v="2"/>
    <x v="0"/>
    <x v="580"/>
    <x v="2"/>
    <d v="1899-12-31T00:00:00"/>
    <d v="2013-05-06T00:00:00"/>
    <n v="94"/>
    <n v="0"/>
    <n v="0"/>
    <n v="0"/>
    <n v="3"/>
    <n v="61"/>
    <x v="0"/>
    <n v="3"/>
    <x v="3"/>
    <m/>
    <x v="0"/>
    <x v="1"/>
    <x v="0"/>
    <n v="13"/>
    <x v="0"/>
  </r>
  <r>
    <n v="1503"/>
    <x v="11"/>
    <x v="1"/>
    <x v="1"/>
    <x v="581"/>
    <x v="1"/>
    <d v="1899-12-31T00:00:00"/>
    <d v="2013-06-03T00:00:00"/>
    <n v="31"/>
    <n v="1"/>
    <n v="1"/>
    <n v="1"/>
    <n v="1"/>
    <n v="50"/>
    <x v="1"/>
    <n v="2"/>
    <x v="3"/>
    <m/>
    <x v="0"/>
    <x v="4"/>
    <x v="0"/>
    <n v="13"/>
    <x v="0"/>
  </r>
  <r>
    <n v="8650"/>
    <x v="33"/>
    <x v="0"/>
    <x v="4"/>
    <x v="582"/>
    <x v="1"/>
    <d v="1899-12-31T00:00:00"/>
    <d v="2013-03-18T00:00:00"/>
    <n v="31"/>
    <n v="6"/>
    <n v="5"/>
    <n v="5"/>
    <n v="3"/>
    <n v="48"/>
    <x v="1"/>
    <n v="8"/>
    <x v="3"/>
    <m/>
    <x v="0"/>
    <x v="0"/>
    <x v="0"/>
    <n v="13"/>
    <x v="0"/>
  </r>
  <r>
    <n v="10862"/>
    <x v="40"/>
    <x v="2"/>
    <x v="2"/>
    <x v="583"/>
    <x v="0"/>
    <d v="1899-12-31T00:00:00"/>
    <d v="2012-08-17T00:00:00"/>
    <n v="6"/>
    <n v="8"/>
    <n v="11"/>
    <n v="11"/>
    <n v="9"/>
    <n v="66"/>
    <x v="0"/>
    <n v="20"/>
    <x v="3"/>
    <m/>
    <x v="0"/>
    <x v="1"/>
    <x v="0"/>
    <n v="14"/>
    <x v="0"/>
  </r>
  <r>
    <n v="2782"/>
    <x v="45"/>
    <x v="1"/>
    <x v="2"/>
    <x v="584"/>
    <x v="0"/>
    <d v="1899-12-31T00:00:00"/>
    <d v="2013-07-11T00:00:00"/>
    <n v="23"/>
    <n v="0"/>
    <n v="0"/>
    <n v="0"/>
    <n v="7"/>
    <n v="65"/>
    <x v="0"/>
    <n v="7"/>
    <x v="3"/>
    <m/>
    <x v="0"/>
    <x v="0"/>
    <x v="0"/>
    <n v="13"/>
    <x v="0"/>
  </r>
  <r>
    <n v="6941"/>
    <x v="6"/>
    <x v="0"/>
    <x v="0"/>
    <x v="585"/>
    <x v="0"/>
    <d v="1899-12-30T00:00:00"/>
    <d v="2013-07-14T00:00:00"/>
    <n v="92"/>
    <n v="8"/>
    <n v="15"/>
    <n v="15"/>
    <n v="2"/>
    <n v="55"/>
    <x v="0"/>
    <n v="17"/>
    <x v="3"/>
    <m/>
    <x v="0"/>
    <x v="1"/>
    <x v="0"/>
    <n v="13"/>
    <x v="0"/>
  </r>
  <r>
    <n v="10972"/>
    <x v="17"/>
    <x v="0"/>
    <x v="4"/>
    <x v="586"/>
    <x v="0"/>
    <d v="1899-12-30T00:00:00"/>
    <d v="2014-03-10T00:00:00"/>
    <n v="52"/>
    <n v="35"/>
    <n v="17"/>
    <n v="17"/>
    <n v="6"/>
    <n v="77"/>
    <x v="0"/>
    <n v="23"/>
    <x v="3"/>
    <m/>
    <x v="0"/>
    <x v="0"/>
    <x v="0"/>
    <n v="12"/>
    <x v="0"/>
  </r>
  <r>
    <n v="10708"/>
    <x v="33"/>
    <x v="4"/>
    <x v="0"/>
    <x v="587"/>
    <x v="1"/>
    <d v="1899-12-30T00:00:00"/>
    <d v="2013-12-28T00:00:00"/>
    <n v="50"/>
    <n v="6"/>
    <n v="4"/>
    <n v="4"/>
    <n v="3"/>
    <n v="48"/>
    <x v="1"/>
    <n v="7"/>
    <x v="3"/>
    <m/>
    <x v="0"/>
    <x v="1"/>
    <x v="0"/>
    <n v="13"/>
    <x v="0"/>
  </r>
  <r>
    <n v="6583"/>
    <x v="34"/>
    <x v="4"/>
    <x v="2"/>
    <x v="588"/>
    <x v="0"/>
    <d v="1899-12-30T00:00:00"/>
    <d v="2013-06-03T00:00:00"/>
    <n v="54"/>
    <n v="22"/>
    <n v="35"/>
    <n v="35"/>
    <n v="6"/>
    <n v="71"/>
    <x v="0"/>
    <n v="41"/>
    <x v="3"/>
    <m/>
    <x v="0"/>
    <x v="0"/>
    <x v="0"/>
    <n v="13"/>
    <x v="0"/>
  </r>
  <r>
    <n v="3641"/>
    <x v="11"/>
    <x v="0"/>
    <x v="2"/>
    <x v="589"/>
    <x v="1"/>
    <d v="1899-12-30T00:00:00"/>
    <d v="2013-01-20T00:00:00"/>
    <n v="93"/>
    <n v="2"/>
    <n v="1"/>
    <n v="1"/>
    <n v="3"/>
    <n v="50"/>
    <x v="1"/>
    <n v="4"/>
    <x v="3"/>
    <m/>
    <x v="0"/>
    <x v="2"/>
    <x v="0"/>
    <n v="13"/>
    <x v="0"/>
  </r>
  <r>
    <n v="10156"/>
    <x v="28"/>
    <x v="0"/>
    <x v="0"/>
    <x v="590"/>
    <x v="0"/>
    <d v="1899-12-31T00:00:00"/>
    <d v="2013-06-03T00:00:00"/>
    <n v="56"/>
    <n v="63"/>
    <n v="31"/>
    <n v="31"/>
    <n v="7"/>
    <n v="51"/>
    <x v="0"/>
    <n v="38"/>
    <x v="3"/>
    <m/>
    <x v="0"/>
    <x v="3"/>
    <x v="0"/>
    <n v="13"/>
    <x v="0"/>
  </r>
  <r>
    <n v="4299"/>
    <x v="40"/>
    <x v="0"/>
    <x v="1"/>
    <x v="591"/>
    <x v="0"/>
    <d v="1899-12-31T00:00:00"/>
    <d v="2012-09-21T00:00:00"/>
    <n v="28"/>
    <n v="17"/>
    <n v="125"/>
    <n v="125"/>
    <n v="5"/>
    <n v="66"/>
    <x v="0"/>
    <n v="130"/>
    <x v="3"/>
    <m/>
    <x v="0"/>
    <x v="0"/>
    <x v="0"/>
    <n v="14"/>
    <x v="0"/>
  </r>
  <r>
    <n v="3469"/>
    <x v="32"/>
    <x v="1"/>
    <x v="3"/>
    <x v="592"/>
    <x v="1"/>
    <d v="1899-12-31T00:00:00"/>
    <d v="2012-09-06T00:00:00"/>
    <n v="94"/>
    <n v="18"/>
    <n v="1"/>
    <n v="1"/>
    <n v="3"/>
    <n v="49"/>
    <x v="1"/>
    <n v="4"/>
    <x v="3"/>
    <m/>
    <x v="0"/>
    <x v="1"/>
    <x v="0"/>
    <n v="14"/>
    <x v="0"/>
  </r>
  <r>
    <n v="5063"/>
    <x v="32"/>
    <x v="0"/>
    <x v="0"/>
    <x v="593"/>
    <x v="1"/>
    <d v="1899-12-30T00:00:00"/>
    <d v="2012-12-18T00:00:00"/>
    <n v="76"/>
    <n v="5"/>
    <n v="3"/>
    <n v="3"/>
    <n v="4"/>
    <n v="49"/>
    <x v="1"/>
    <n v="7"/>
    <x v="3"/>
    <m/>
    <x v="0"/>
    <x v="2"/>
    <x v="0"/>
    <n v="14"/>
    <x v="0"/>
  </r>
  <r>
    <n v="10727"/>
    <x v="25"/>
    <x v="1"/>
    <x v="2"/>
    <x v="594"/>
    <x v="1"/>
    <d v="1899-12-30T00:00:00"/>
    <d v="2013-11-19T00:00:00"/>
    <n v="43"/>
    <n v="107"/>
    <n v="30"/>
    <n v="30"/>
    <n v="13"/>
    <n v="56"/>
    <x v="0"/>
    <n v="43"/>
    <x v="3"/>
    <m/>
    <x v="0"/>
    <x v="0"/>
    <x v="0"/>
    <n v="13"/>
    <x v="0"/>
  </r>
  <r>
    <n v="9624"/>
    <x v="38"/>
    <x v="1"/>
    <x v="1"/>
    <x v="595"/>
    <x v="0"/>
    <d v="1899-12-30T00:00:00"/>
    <d v="2014-06-13T00:00:00"/>
    <n v="46"/>
    <n v="45"/>
    <n v="18"/>
    <n v="18"/>
    <n v="6"/>
    <n v="68"/>
    <x v="0"/>
    <n v="24"/>
    <x v="3"/>
    <m/>
    <x v="0"/>
    <x v="0"/>
    <x v="0"/>
    <n v="12"/>
    <x v="0"/>
  </r>
  <r>
    <n v="5156"/>
    <x v="25"/>
    <x v="4"/>
    <x v="2"/>
    <x v="530"/>
    <x v="0"/>
    <d v="1899-12-31T00:00:00"/>
    <d v="2014-01-15T00:00:00"/>
    <n v="13"/>
    <n v="129"/>
    <n v="121"/>
    <n v="121"/>
    <n v="12"/>
    <n v="56"/>
    <x v="0"/>
    <n v="133"/>
    <x v="3"/>
    <m/>
    <x v="0"/>
    <x v="0"/>
    <x v="0"/>
    <n v="12"/>
    <x v="0"/>
  </r>
  <r>
    <n v="4376"/>
    <x v="40"/>
    <x v="4"/>
    <x v="0"/>
    <x v="596"/>
    <x v="0"/>
    <d v="1899-12-30T00:00:00"/>
    <d v="2014-02-15T00:00:00"/>
    <n v="27"/>
    <n v="24"/>
    <n v="1"/>
    <n v="1"/>
    <n v="3"/>
    <n v="66"/>
    <x v="0"/>
    <n v="4"/>
    <x v="3"/>
    <m/>
    <x v="0"/>
    <x v="1"/>
    <x v="0"/>
    <n v="12"/>
    <x v="0"/>
  </r>
  <r>
    <n v="8923"/>
    <x v="26"/>
    <x v="0"/>
    <x v="0"/>
    <x v="597"/>
    <x v="0"/>
    <d v="1899-12-30T00:00:00"/>
    <d v="2013-04-18T00:00:00"/>
    <n v="12"/>
    <n v="22"/>
    <n v="198"/>
    <n v="198"/>
    <n v="7"/>
    <n v="53"/>
    <x v="0"/>
    <n v="205"/>
    <x v="3"/>
    <m/>
    <x v="0"/>
    <x v="3"/>
    <x v="0"/>
    <n v="13"/>
    <x v="0"/>
  </r>
  <r>
    <n v="8461"/>
    <x v="43"/>
    <x v="0"/>
    <x v="3"/>
    <x v="598"/>
    <x v="2"/>
    <d v="1899-12-31T00:00:00"/>
    <d v="2014-03-10T00:00:00"/>
    <n v="3"/>
    <n v="0"/>
    <n v="0"/>
    <n v="0"/>
    <n v="2"/>
    <n v="64"/>
    <x v="0"/>
    <n v="2"/>
    <x v="3"/>
    <m/>
    <x v="0"/>
    <x v="1"/>
    <x v="0"/>
    <n v="12"/>
    <x v="0"/>
  </r>
  <r>
    <n v="6945"/>
    <x v="13"/>
    <x v="0"/>
    <x v="0"/>
    <x v="599"/>
    <x v="0"/>
    <d v="1899-12-30T00:00:00"/>
    <d v="2013-06-04T00:00:00"/>
    <n v="72"/>
    <n v="20"/>
    <n v="54"/>
    <n v="54"/>
    <n v="11"/>
    <n v="74"/>
    <x v="0"/>
    <n v="65"/>
    <x v="3"/>
    <m/>
    <x v="0"/>
    <x v="3"/>
    <x v="0"/>
    <n v="13"/>
    <x v="0"/>
  </r>
  <r>
    <n v="944"/>
    <x v="43"/>
    <x v="0"/>
    <x v="2"/>
    <x v="600"/>
    <x v="0"/>
    <d v="1899-12-31T00:00:00"/>
    <d v="2013-01-08T00:00:00"/>
    <n v="6"/>
    <n v="103"/>
    <n v="44"/>
    <n v="44"/>
    <n v="7"/>
    <n v="64"/>
    <x v="0"/>
    <n v="51"/>
    <x v="3"/>
    <m/>
    <x v="0"/>
    <x v="0"/>
    <x v="0"/>
    <n v="13"/>
    <x v="0"/>
  </r>
  <r>
    <n v="1907"/>
    <x v="9"/>
    <x v="2"/>
    <x v="3"/>
    <x v="601"/>
    <x v="0"/>
    <d v="1899-12-31T00:00:00"/>
    <d v="2012-09-28T00:00:00"/>
    <n v="53"/>
    <n v="69"/>
    <n v="41"/>
    <n v="41"/>
    <n v="9"/>
    <n v="76"/>
    <x v="0"/>
    <n v="50"/>
    <x v="3"/>
    <m/>
    <x v="0"/>
    <x v="0"/>
    <x v="0"/>
    <n v="14"/>
    <x v="0"/>
  </r>
  <r>
    <n v="701"/>
    <x v="6"/>
    <x v="0"/>
    <x v="2"/>
    <x v="602"/>
    <x v="0"/>
    <d v="1899-12-31T00:00:00"/>
    <d v="2013-11-06T00:00:00"/>
    <n v="58"/>
    <n v="21"/>
    <n v="43"/>
    <n v="43"/>
    <n v="8"/>
    <n v="55"/>
    <x v="0"/>
    <n v="51"/>
    <x v="3"/>
    <m/>
    <x v="0"/>
    <x v="0"/>
    <x v="0"/>
    <n v="13"/>
    <x v="0"/>
  </r>
  <r>
    <n v="3856"/>
    <x v="40"/>
    <x v="0"/>
    <x v="1"/>
    <x v="363"/>
    <x v="0"/>
    <d v="1899-12-31T00:00:00"/>
    <d v="2012-10-05T00:00:00"/>
    <n v="78"/>
    <n v="50"/>
    <n v="50"/>
    <n v="50"/>
    <n v="13"/>
    <n v="66"/>
    <x v="0"/>
    <n v="63"/>
    <x v="3"/>
    <m/>
    <x v="0"/>
    <x v="0"/>
    <x v="0"/>
    <n v="14"/>
    <x v="0"/>
  </r>
  <r>
    <n v="4149"/>
    <x v="37"/>
    <x v="1"/>
    <x v="1"/>
    <x v="603"/>
    <x v="0"/>
    <d v="1899-12-30T00:00:00"/>
    <d v="2014-05-13T00:00:00"/>
    <n v="57"/>
    <n v="66"/>
    <n v="0"/>
    <n v="0"/>
    <n v="6"/>
    <n v="78"/>
    <x v="0"/>
    <n v="6"/>
    <x v="3"/>
    <m/>
    <x v="0"/>
    <x v="3"/>
    <x v="0"/>
    <n v="12"/>
    <x v="0"/>
  </r>
  <r>
    <n v="2131"/>
    <x v="12"/>
    <x v="1"/>
    <x v="3"/>
    <x v="604"/>
    <x v="0"/>
    <d v="1899-12-31T00:00:00"/>
    <d v="2012-12-30T00:00:00"/>
    <n v="37"/>
    <n v="89"/>
    <n v="12"/>
    <n v="12"/>
    <n v="6"/>
    <n v="67"/>
    <x v="0"/>
    <n v="18"/>
    <x v="3"/>
    <m/>
    <x v="0"/>
    <x v="0"/>
    <x v="0"/>
    <n v="14"/>
    <x v="0"/>
  </r>
  <r>
    <n v="2942"/>
    <x v="31"/>
    <x v="0"/>
    <x v="0"/>
    <x v="605"/>
    <x v="0"/>
    <d v="1899-12-31T00:00:00"/>
    <d v="2013-05-07T00:00:00"/>
    <n v="20"/>
    <n v="3"/>
    <n v="3"/>
    <n v="3"/>
    <n v="4"/>
    <n v="62"/>
    <x v="0"/>
    <n v="7"/>
    <x v="3"/>
    <m/>
    <x v="0"/>
    <x v="1"/>
    <x v="0"/>
    <n v="13"/>
    <x v="0"/>
  </r>
  <r>
    <n v="1173"/>
    <x v="51"/>
    <x v="2"/>
    <x v="1"/>
    <x v="606"/>
    <x v="0"/>
    <d v="1899-12-30T00:00:00"/>
    <d v="2013-03-10T00:00:00"/>
    <n v="73"/>
    <n v="105"/>
    <n v="42"/>
    <n v="42"/>
    <n v="6"/>
    <n v="79"/>
    <x v="0"/>
    <n v="48"/>
    <x v="3"/>
    <m/>
    <x v="0"/>
    <x v="3"/>
    <x v="0"/>
    <n v="13"/>
    <x v="0"/>
  </r>
  <r>
    <n v="4381"/>
    <x v="6"/>
    <x v="1"/>
    <x v="2"/>
    <x v="607"/>
    <x v="1"/>
    <d v="1899-12-31T00:00:00"/>
    <d v="2013-08-18T00:00:00"/>
    <n v="56"/>
    <n v="2"/>
    <n v="11"/>
    <n v="11"/>
    <n v="6"/>
    <n v="55"/>
    <x v="0"/>
    <n v="17"/>
    <x v="3"/>
    <m/>
    <x v="0"/>
    <x v="1"/>
    <x v="0"/>
    <n v="13"/>
    <x v="0"/>
  </r>
  <r>
    <n v="4611"/>
    <x v="25"/>
    <x v="0"/>
    <x v="1"/>
    <x v="608"/>
    <x v="0"/>
    <d v="1899-12-30T00:00:00"/>
    <d v="2013-01-21T00:00:00"/>
    <n v="36"/>
    <n v="181"/>
    <n v="21"/>
    <n v="21"/>
    <n v="13"/>
    <n v="56"/>
    <x v="0"/>
    <n v="34"/>
    <x v="3"/>
    <m/>
    <x v="0"/>
    <x v="4"/>
    <x v="0"/>
    <n v="13"/>
    <x v="0"/>
  </r>
  <r>
    <n v="3376"/>
    <x v="25"/>
    <x v="2"/>
    <x v="3"/>
    <x v="609"/>
    <x v="1"/>
    <d v="1899-12-30T00:00:00"/>
    <d v="2013-12-13T00:00:00"/>
    <n v="9"/>
    <n v="6"/>
    <n v="4"/>
    <n v="4"/>
    <n v="6"/>
    <n v="56"/>
    <x v="0"/>
    <n v="10"/>
    <x v="3"/>
    <m/>
    <x v="0"/>
    <x v="0"/>
    <x v="0"/>
    <n v="13"/>
    <x v="0"/>
  </r>
  <r>
    <n v="4679"/>
    <x v="32"/>
    <x v="2"/>
    <x v="2"/>
    <x v="610"/>
    <x v="0"/>
    <d v="1899-12-31T00:00:00"/>
    <d v="2014-05-23T00:00:00"/>
    <n v="42"/>
    <n v="0"/>
    <n v="50"/>
    <n v="50"/>
    <n v="12"/>
    <n v="49"/>
    <x v="1"/>
    <n v="62"/>
    <x v="3"/>
    <m/>
    <x v="0"/>
    <x v="3"/>
    <x v="0"/>
    <n v="12"/>
    <x v="0"/>
  </r>
  <r>
    <n v="10928"/>
    <x v="38"/>
    <x v="0"/>
    <x v="1"/>
    <x v="611"/>
    <x v="0"/>
    <d v="1899-12-31T00:00:00"/>
    <d v="2013-09-16T00:00:00"/>
    <n v="28"/>
    <n v="4"/>
    <n v="31"/>
    <n v="31"/>
    <n v="7"/>
    <n v="68"/>
    <x v="0"/>
    <n v="38"/>
    <x v="3"/>
    <m/>
    <x v="0"/>
    <x v="0"/>
    <x v="0"/>
    <n v="13"/>
    <x v="0"/>
  </r>
  <r>
    <n v="4248"/>
    <x v="40"/>
    <x v="2"/>
    <x v="0"/>
    <x v="612"/>
    <x v="0"/>
    <d v="1899-12-30T00:00:00"/>
    <d v="2014-02-17T00:00:00"/>
    <n v="23"/>
    <n v="19"/>
    <n v="115"/>
    <n v="115"/>
    <n v="9"/>
    <n v="66"/>
    <x v="0"/>
    <n v="124"/>
    <x v="3"/>
    <m/>
    <x v="0"/>
    <x v="3"/>
    <x v="0"/>
    <n v="12"/>
    <x v="0"/>
  </r>
  <r>
    <n v="6728"/>
    <x v="7"/>
    <x v="0"/>
    <x v="1"/>
    <x v="613"/>
    <x v="1"/>
    <d v="1899-12-30T00:00:00"/>
    <d v="2012-08-27T00:00:00"/>
    <n v="38"/>
    <n v="0"/>
    <n v="3"/>
    <n v="3"/>
    <n v="3"/>
    <n v="41"/>
    <x v="1"/>
    <n v="6"/>
    <x v="3"/>
    <m/>
    <x v="0"/>
    <x v="2"/>
    <x v="0"/>
    <n v="14"/>
    <x v="0"/>
  </r>
  <r>
    <n v="6661"/>
    <x v="8"/>
    <x v="0"/>
    <x v="2"/>
    <x v="614"/>
    <x v="0"/>
    <d v="1899-12-31T00:00:00"/>
    <d v="2012-08-12T00:00:00"/>
    <n v="63"/>
    <n v="80"/>
    <n v="80"/>
    <n v="80"/>
    <n v="12"/>
    <n v="52"/>
    <x v="0"/>
    <n v="92"/>
    <x v="3"/>
    <m/>
    <x v="0"/>
    <x v="0"/>
    <x v="0"/>
    <n v="14"/>
    <x v="0"/>
  </r>
  <r>
    <n v="4725"/>
    <x v="9"/>
    <x v="1"/>
    <x v="1"/>
    <x v="615"/>
    <x v="0"/>
    <d v="1899-12-31T00:00:00"/>
    <d v="2014-04-13T00:00:00"/>
    <n v="71"/>
    <n v="2"/>
    <n v="1"/>
    <n v="1"/>
    <n v="4"/>
    <n v="76"/>
    <x v="0"/>
    <n v="5"/>
    <x v="3"/>
    <m/>
    <x v="0"/>
    <x v="0"/>
    <x v="0"/>
    <n v="12"/>
    <x v="0"/>
  </r>
  <r>
    <n v="3277"/>
    <x v="34"/>
    <x v="0"/>
    <x v="3"/>
    <x v="616"/>
    <x v="0"/>
    <d v="1899-12-31T00:00:00"/>
    <d v="2012-08-03T00:00:00"/>
    <n v="9"/>
    <n v="3"/>
    <n v="0"/>
    <n v="0"/>
    <n v="5"/>
    <n v="71"/>
    <x v="0"/>
    <n v="5"/>
    <x v="3"/>
    <m/>
    <x v="0"/>
    <x v="1"/>
    <x v="0"/>
    <n v="14"/>
    <x v="0"/>
  </r>
  <r>
    <n v="5555"/>
    <x v="28"/>
    <x v="0"/>
    <x v="3"/>
    <x v="617"/>
    <x v="0"/>
    <d v="1899-12-30T00:00:00"/>
    <d v="2014-02-07T00:00:00"/>
    <n v="81"/>
    <n v="1"/>
    <n v="1"/>
    <n v="1"/>
    <n v="0"/>
    <n v="51"/>
    <x v="0"/>
    <n v="1"/>
    <x v="3"/>
    <m/>
    <x v="0"/>
    <x v="4"/>
    <x v="0"/>
    <n v="12"/>
    <x v="0"/>
  </r>
  <r>
    <n v="2564"/>
    <x v="44"/>
    <x v="0"/>
    <x v="1"/>
    <x v="618"/>
    <x v="0"/>
    <d v="1899-12-31T00:00:00"/>
    <d v="2014-01-04T00:00:00"/>
    <n v="87"/>
    <n v="3"/>
    <n v="6"/>
    <n v="6"/>
    <n v="4"/>
    <n v="73"/>
    <x v="0"/>
    <n v="10"/>
    <x v="3"/>
    <m/>
    <x v="0"/>
    <x v="0"/>
    <x v="0"/>
    <n v="12"/>
    <x v="0"/>
  </r>
  <r>
    <n v="946"/>
    <x v="38"/>
    <x v="4"/>
    <x v="1"/>
    <x v="236"/>
    <x v="0"/>
    <d v="1899-12-30T00:00:00"/>
    <d v="2012-09-22T00:00:00"/>
    <n v="92"/>
    <n v="47"/>
    <n v="20"/>
    <n v="20"/>
    <n v="5"/>
    <n v="68"/>
    <x v="0"/>
    <n v="25"/>
    <x v="3"/>
    <m/>
    <x v="0"/>
    <x v="2"/>
    <x v="0"/>
    <n v="14"/>
    <x v="0"/>
  </r>
  <r>
    <n v="3867"/>
    <x v="51"/>
    <x v="1"/>
    <x v="1"/>
    <x v="619"/>
    <x v="0"/>
    <d v="1899-12-31T00:00:00"/>
    <d v="2013-08-31T00:00:00"/>
    <n v="36"/>
    <n v="112"/>
    <n v="82"/>
    <n v="82"/>
    <n v="13"/>
    <n v="79"/>
    <x v="0"/>
    <n v="95"/>
    <x v="3"/>
    <m/>
    <x v="0"/>
    <x v="0"/>
    <x v="0"/>
    <n v="13"/>
    <x v="0"/>
  </r>
  <r>
    <n v="6940"/>
    <x v="35"/>
    <x v="1"/>
    <x v="0"/>
    <x v="620"/>
    <x v="1"/>
    <d v="1900-01-01T00:00:00"/>
    <d v="2013-10-21T00:00:00"/>
    <n v="86"/>
    <n v="1"/>
    <n v="1"/>
    <n v="1"/>
    <n v="3"/>
    <n v="60"/>
    <x v="0"/>
    <n v="4"/>
    <x v="3"/>
    <m/>
    <x v="0"/>
    <x v="1"/>
    <x v="0"/>
    <n v="13"/>
    <x v="0"/>
  </r>
  <r>
    <n v="55"/>
    <x v="24"/>
    <x v="0"/>
    <x v="1"/>
    <x v="621"/>
    <x v="0"/>
    <d v="1899-12-31T00:00:00"/>
    <d v="2012-12-07T00:00:00"/>
    <n v="83"/>
    <n v="0"/>
    <n v="11"/>
    <n v="11"/>
    <n v="9"/>
    <n v="63"/>
    <x v="0"/>
    <n v="20"/>
    <x v="3"/>
    <m/>
    <x v="0"/>
    <x v="0"/>
    <x v="0"/>
    <n v="14"/>
    <x v="0"/>
  </r>
  <r>
    <n v="7093"/>
    <x v="7"/>
    <x v="0"/>
    <x v="2"/>
    <x v="358"/>
    <x v="1"/>
    <d v="1899-12-30T00:00:00"/>
    <d v="2013-11-14T00:00:00"/>
    <n v="74"/>
    <n v="6"/>
    <n v="2"/>
    <n v="2"/>
    <n v="3"/>
    <n v="41"/>
    <x v="1"/>
    <n v="5"/>
    <x v="3"/>
    <m/>
    <x v="0"/>
    <x v="2"/>
    <x v="0"/>
    <n v="13"/>
    <x v="0"/>
  </r>
  <r>
    <n v="5084"/>
    <x v="28"/>
    <x v="0"/>
    <x v="4"/>
    <x v="622"/>
    <x v="0"/>
    <d v="1899-12-31T00:00:00"/>
    <d v="2013-12-25T00:00:00"/>
    <n v="87"/>
    <n v="53"/>
    <n v="98"/>
    <n v="98"/>
    <n v="13"/>
    <n v="51"/>
    <x v="0"/>
    <n v="111"/>
    <x v="3"/>
    <m/>
    <x v="0"/>
    <x v="0"/>
    <x v="0"/>
    <n v="13"/>
    <x v="0"/>
  </r>
  <r>
    <n v="1777"/>
    <x v="16"/>
    <x v="3"/>
    <x v="2"/>
    <x v="623"/>
    <x v="0"/>
    <d v="1899-12-30T00:00:00"/>
    <d v="2012-09-07T00:00:00"/>
    <n v="29"/>
    <n v="2"/>
    <n v="7"/>
    <n v="7"/>
    <n v="3"/>
    <n v="46"/>
    <x v="1"/>
    <n v="10"/>
    <x v="3"/>
    <m/>
    <x v="0"/>
    <x v="2"/>
    <x v="0"/>
    <n v="14"/>
    <x v="0"/>
  </r>
  <r>
    <n v="8162"/>
    <x v="46"/>
    <x v="2"/>
    <x v="1"/>
    <x v="624"/>
    <x v="0"/>
    <d v="1899-12-30T00:00:00"/>
    <d v="2013-01-01T00:00:00"/>
    <n v="88"/>
    <n v="1"/>
    <n v="2"/>
    <n v="2"/>
    <n v="3"/>
    <n v="70"/>
    <x v="0"/>
    <n v="5"/>
    <x v="3"/>
    <m/>
    <x v="0"/>
    <x v="2"/>
    <x v="0"/>
    <n v="13"/>
    <x v="0"/>
  </r>
  <r>
    <n v="10826"/>
    <x v="12"/>
    <x v="0"/>
    <x v="2"/>
    <x v="625"/>
    <x v="0"/>
    <d v="1899-12-30T00:00:00"/>
    <d v="2012-12-28T00:00:00"/>
    <n v="77"/>
    <n v="1"/>
    <n v="4"/>
    <n v="4"/>
    <n v="2"/>
    <n v="67"/>
    <x v="0"/>
    <n v="6"/>
    <x v="3"/>
    <m/>
    <x v="0"/>
    <x v="2"/>
    <x v="0"/>
    <n v="14"/>
    <x v="0"/>
  </r>
  <r>
    <n v="8754"/>
    <x v="8"/>
    <x v="1"/>
    <x v="1"/>
    <x v="626"/>
    <x v="0"/>
    <d v="1899-12-31T00:00:00"/>
    <d v="2013-05-16T00:00:00"/>
    <n v="25"/>
    <n v="0"/>
    <n v="0"/>
    <n v="0"/>
    <n v="2"/>
    <n v="52"/>
    <x v="0"/>
    <n v="2"/>
    <x v="3"/>
    <m/>
    <x v="0"/>
    <x v="1"/>
    <x v="0"/>
    <n v="13"/>
    <x v="0"/>
  </r>
  <r>
    <n v="1987"/>
    <x v="14"/>
    <x v="3"/>
    <x v="0"/>
    <x v="627"/>
    <x v="1"/>
    <d v="1899-12-30T00:00:00"/>
    <d v="2013-09-25T00:00:00"/>
    <n v="34"/>
    <n v="10"/>
    <n v="3"/>
    <n v="3"/>
    <n v="3"/>
    <n v="39"/>
    <x v="1"/>
    <n v="6"/>
    <x v="3"/>
    <m/>
    <x v="0"/>
    <x v="2"/>
    <x v="0"/>
    <n v="13"/>
    <x v="0"/>
  </r>
  <r>
    <n v="11007"/>
    <x v="30"/>
    <x v="1"/>
    <x v="2"/>
    <x v="628"/>
    <x v="1"/>
    <d v="1899-12-30T00:00:00"/>
    <d v="2013-05-09T00:00:00"/>
    <n v="43"/>
    <n v="0"/>
    <n v="0"/>
    <n v="0"/>
    <n v="3"/>
    <n v="58"/>
    <x v="0"/>
    <n v="3"/>
    <x v="3"/>
    <m/>
    <x v="0"/>
    <x v="2"/>
    <x v="0"/>
    <n v="13"/>
    <x v="0"/>
  </r>
  <r>
    <n v="7426"/>
    <x v="6"/>
    <x v="4"/>
    <x v="2"/>
    <x v="629"/>
    <x v="1"/>
    <d v="1899-12-31T00:00:00"/>
    <d v="2013-11-07T00:00:00"/>
    <n v="76"/>
    <n v="16"/>
    <n v="9"/>
    <n v="9"/>
    <n v="5"/>
    <n v="55"/>
    <x v="0"/>
    <n v="14"/>
    <x v="3"/>
    <m/>
    <x v="0"/>
    <x v="0"/>
    <x v="0"/>
    <n v="13"/>
    <x v="0"/>
  </r>
  <r>
    <n v="9153"/>
    <x v="31"/>
    <x v="1"/>
    <x v="2"/>
    <x v="630"/>
    <x v="0"/>
    <d v="1899-12-31T00:00:00"/>
    <d v="2013-07-29T00:00:00"/>
    <n v="81"/>
    <n v="61"/>
    <n v="51"/>
    <n v="51"/>
    <n v="10"/>
    <n v="62"/>
    <x v="0"/>
    <n v="61"/>
    <x v="3"/>
    <m/>
    <x v="0"/>
    <x v="0"/>
    <x v="0"/>
    <n v="13"/>
    <x v="0"/>
  </r>
  <r>
    <n v="10379"/>
    <x v="43"/>
    <x v="2"/>
    <x v="0"/>
    <x v="631"/>
    <x v="0"/>
    <d v="1900-01-01T00:00:00"/>
    <d v="2013-11-08T00:00:00"/>
    <n v="87"/>
    <n v="9"/>
    <n v="14"/>
    <n v="14"/>
    <n v="9"/>
    <n v="64"/>
    <x v="0"/>
    <n v="23"/>
    <x v="3"/>
    <m/>
    <x v="0"/>
    <x v="0"/>
    <x v="0"/>
    <n v="13"/>
    <x v="0"/>
  </r>
  <r>
    <n v="9204"/>
    <x v="25"/>
    <x v="0"/>
    <x v="4"/>
    <x v="632"/>
    <x v="0"/>
    <d v="1899-12-31T00:00:00"/>
    <d v="2012-09-12T00:00:00"/>
    <n v="33"/>
    <n v="159"/>
    <n v="106"/>
    <n v="106"/>
    <n v="6"/>
    <n v="56"/>
    <x v="0"/>
    <n v="112"/>
    <x v="3"/>
    <m/>
    <x v="0"/>
    <x v="0"/>
    <x v="0"/>
    <n v="14"/>
    <x v="0"/>
  </r>
  <r>
    <n v="3197"/>
    <x v="16"/>
    <x v="0"/>
    <x v="2"/>
    <x v="633"/>
    <x v="0"/>
    <d v="1899-12-31T00:00:00"/>
    <d v="2013-12-16T00:00:00"/>
    <n v="38"/>
    <n v="59"/>
    <n v="101"/>
    <n v="101"/>
    <n v="8"/>
    <n v="46"/>
    <x v="1"/>
    <n v="109"/>
    <x v="3"/>
    <m/>
    <x v="0"/>
    <x v="3"/>
    <x v="0"/>
    <n v="13"/>
    <x v="0"/>
  </r>
  <r>
    <n v="2920"/>
    <x v="28"/>
    <x v="1"/>
    <x v="0"/>
    <x v="346"/>
    <x v="0"/>
    <d v="1899-12-31T00:00:00"/>
    <d v="2012-12-01T00:00:00"/>
    <n v="63"/>
    <n v="0"/>
    <n v="9"/>
    <n v="9"/>
    <n v="8"/>
    <n v="51"/>
    <x v="0"/>
    <n v="17"/>
    <x v="3"/>
    <m/>
    <x v="0"/>
    <x v="0"/>
    <x v="0"/>
    <n v="14"/>
    <x v="0"/>
  </r>
  <r>
    <n v="6961"/>
    <x v="8"/>
    <x v="0"/>
    <x v="2"/>
    <x v="634"/>
    <x v="2"/>
    <d v="1899-12-30T00:00:00"/>
    <d v="2014-05-22T00:00:00"/>
    <n v="26"/>
    <n v="1"/>
    <n v="3"/>
    <n v="3"/>
    <n v="2"/>
    <n v="52"/>
    <x v="0"/>
    <n v="5"/>
    <x v="3"/>
    <m/>
    <x v="0"/>
    <x v="2"/>
    <x v="0"/>
    <n v="12"/>
    <x v="0"/>
  </r>
  <r>
    <n v="4673"/>
    <x v="24"/>
    <x v="1"/>
    <x v="2"/>
    <x v="635"/>
    <x v="0"/>
    <d v="1899-12-31T00:00:00"/>
    <d v="2012-10-30T00:00:00"/>
    <n v="17"/>
    <n v="12"/>
    <n v="12"/>
    <n v="12"/>
    <n v="5"/>
    <n v="63"/>
    <x v="0"/>
    <n v="17"/>
    <x v="3"/>
    <m/>
    <x v="0"/>
    <x v="3"/>
    <x v="0"/>
    <n v="14"/>
    <x v="0"/>
  </r>
  <r>
    <n v="9937"/>
    <x v="19"/>
    <x v="0"/>
    <x v="0"/>
    <x v="636"/>
    <x v="0"/>
    <d v="1899-12-30T00:00:00"/>
    <d v="2014-01-02T00:00:00"/>
    <n v="75"/>
    <n v="81"/>
    <n v="43"/>
    <n v="43"/>
    <n v="12"/>
    <n v="47"/>
    <x v="1"/>
    <n v="55"/>
    <x v="3"/>
    <m/>
    <x v="0"/>
    <x v="0"/>
    <x v="0"/>
    <n v="12"/>
    <x v="0"/>
  </r>
  <r>
    <n v="8779"/>
    <x v="7"/>
    <x v="4"/>
    <x v="2"/>
    <x v="637"/>
    <x v="1"/>
    <d v="1899-12-30T00:00:00"/>
    <d v="2013-06-16T00:00:00"/>
    <n v="13"/>
    <n v="4"/>
    <n v="1"/>
    <n v="1"/>
    <n v="3"/>
    <n v="41"/>
    <x v="1"/>
    <n v="4"/>
    <x v="3"/>
    <m/>
    <x v="0"/>
    <x v="1"/>
    <x v="0"/>
    <n v="13"/>
    <x v="0"/>
  </r>
  <r>
    <n v="9596"/>
    <x v="16"/>
    <x v="1"/>
    <x v="0"/>
    <x v="638"/>
    <x v="0"/>
    <d v="1899-12-30T00:00:00"/>
    <d v="2013-12-23T00:00:00"/>
    <n v="19"/>
    <n v="32"/>
    <n v="110"/>
    <n v="110"/>
    <n v="13"/>
    <n v="46"/>
    <x v="1"/>
    <n v="123"/>
    <x v="3"/>
    <m/>
    <x v="0"/>
    <x v="0"/>
    <x v="0"/>
    <n v="13"/>
    <x v="0"/>
  </r>
  <r>
    <n v="2891"/>
    <x v="24"/>
    <x v="0"/>
    <x v="3"/>
    <x v="639"/>
    <x v="0"/>
    <d v="1899-12-31T00:00:00"/>
    <d v="2013-10-18T00:00:00"/>
    <n v="51"/>
    <n v="23"/>
    <n v="23"/>
    <n v="23"/>
    <n v="4"/>
    <n v="63"/>
    <x v="0"/>
    <n v="27"/>
    <x v="3"/>
    <m/>
    <x v="0"/>
    <x v="0"/>
    <x v="0"/>
    <n v="13"/>
    <x v="0"/>
  </r>
  <r>
    <n v="4910"/>
    <x v="5"/>
    <x v="0"/>
    <x v="3"/>
    <x v="640"/>
    <x v="0"/>
    <d v="1899-12-30T00:00:00"/>
    <d v="2012-08-30T00:00:00"/>
    <n v="81"/>
    <n v="134"/>
    <n v="134"/>
    <n v="134"/>
    <n v="13"/>
    <n v="59"/>
    <x v="0"/>
    <n v="147"/>
    <x v="3"/>
    <m/>
    <x v="0"/>
    <x v="0"/>
    <x v="0"/>
    <n v="14"/>
    <x v="0"/>
  </r>
  <r>
    <n v="75"/>
    <x v="18"/>
    <x v="4"/>
    <x v="1"/>
    <x v="641"/>
    <x v="0"/>
    <d v="1899-12-30T00:00:00"/>
    <d v="2013-07-25T00:00:00"/>
    <n v="32"/>
    <n v="11"/>
    <n v="61"/>
    <n v="61"/>
    <n v="5"/>
    <n v="44"/>
    <x v="1"/>
    <n v="66"/>
    <x v="3"/>
    <m/>
    <x v="0"/>
    <x v="1"/>
    <x v="0"/>
    <n v="13"/>
    <x v="0"/>
  </r>
  <r>
    <n v="10120"/>
    <x v="34"/>
    <x v="0"/>
    <x v="1"/>
    <x v="642"/>
    <x v="0"/>
    <d v="1899-12-31T00:00:00"/>
    <d v="2013-10-24T00:00:00"/>
    <n v="84"/>
    <n v="6"/>
    <n v="6"/>
    <n v="6"/>
    <n v="6"/>
    <n v="71"/>
    <x v="0"/>
    <n v="12"/>
    <x v="3"/>
    <m/>
    <x v="0"/>
    <x v="1"/>
    <x v="0"/>
    <n v="13"/>
    <x v="0"/>
  </r>
  <r>
    <n v="6327"/>
    <x v="5"/>
    <x v="0"/>
    <x v="1"/>
    <x v="643"/>
    <x v="0"/>
    <d v="1899-12-30T00:00:00"/>
    <d v="2013-12-19T00:00:00"/>
    <n v="87"/>
    <n v="32"/>
    <n v="32"/>
    <n v="32"/>
    <n v="6"/>
    <n v="59"/>
    <x v="0"/>
    <n v="38"/>
    <x v="3"/>
    <m/>
    <x v="0"/>
    <x v="0"/>
    <x v="0"/>
    <n v="13"/>
    <x v="0"/>
  </r>
  <r>
    <n v="10142"/>
    <x v="11"/>
    <x v="1"/>
    <x v="3"/>
    <x v="644"/>
    <x v="0"/>
    <d v="1899-12-31T00:00:00"/>
    <d v="2013-03-07T00:00:00"/>
    <n v="99"/>
    <n v="18"/>
    <n v="48"/>
    <n v="48"/>
    <n v="11"/>
    <n v="50"/>
    <x v="1"/>
    <n v="59"/>
    <x v="3"/>
    <m/>
    <x v="0"/>
    <x v="0"/>
    <x v="0"/>
    <n v="13"/>
    <x v="0"/>
  </r>
  <r>
    <n v="9826"/>
    <x v="39"/>
    <x v="1"/>
    <x v="0"/>
    <x v="645"/>
    <x v="0"/>
    <d v="1899-12-30T00:00:00"/>
    <d v="2012-09-12T00:00:00"/>
    <n v="96"/>
    <n v="102"/>
    <n v="102"/>
    <n v="102"/>
    <n v="10"/>
    <n v="54"/>
    <x v="0"/>
    <n v="112"/>
    <x v="3"/>
    <m/>
    <x v="0"/>
    <x v="3"/>
    <x v="0"/>
    <n v="14"/>
    <x v="0"/>
  </r>
  <r>
    <n v="1501"/>
    <x v="18"/>
    <x v="1"/>
    <x v="2"/>
    <x v="646"/>
    <x v="0"/>
    <d v="1899-12-30T00:00:00"/>
    <d v="2012-08-04T00:00:00"/>
    <n v="21"/>
    <n v="16"/>
    <n v="3"/>
    <n v="3"/>
    <n v="1"/>
    <n v="44"/>
    <x v="1"/>
    <n v="4"/>
    <x v="3"/>
    <m/>
    <x v="0"/>
    <x v="4"/>
    <x v="0"/>
    <n v="14"/>
    <x v="0"/>
  </r>
  <r>
    <n v="10767"/>
    <x v="23"/>
    <x v="1"/>
    <x v="1"/>
    <x v="647"/>
    <x v="0"/>
    <d v="1899-12-30T00:00:00"/>
    <d v="2014-05-16T00:00:00"/>
    <n v="40"/>
    <n v="40"/>
    <n v="40"/>
    <n v="40"/>
    <n v="12"/>
    <n v="37"/>
    <x v="1"/>
    <n v="52"/>
    <x v="3"/>
    <m/>
    <x v="0"/>
    <x v="3"/>
    <x v="0"/>
    <n v="12"/>
    <x v="0"/>
  </r>
  <r>
    <n v="7279"/>
    <x v="21"/>
    <x v="1"/>
    <x v="1"/>
    <x v="648"/>
    <x v="0"/>
    <d v="1899-12-30T00:00:00"/>
    <d v="2013-09-30T00:00:00"/>
    <n v="3"/>
    <n v="86"/>
    <n v="9"/>
    <n v="9"/>
    <n v="4"/>
    <n v="57"/>
    <x v="0"/>
    <n v="13"/>
    <x v="3"/>
    <m/>
    <x v="0"/>
    <x v="0"/>
    <x v="0"/>
    <n v="13"/>
    <x v="0"/>
  </r>
  <r>
    <n v="7230"/>
    <x v="40"/>
    <x v="1"/>
    <x v="3"/>
    <x v="649"/>
    <x v="0"/>
    <d v="1899-12-31T00:00:00"/>
    <d v="2012-10-04T00:00:00"/>
    <n v="98"/>
    <n v="0"/>
    <n v="0"/>
    <n v="0"/>
    <n v="7"/>
    <n v="66"/>
    <x v="0"/>
    <n v="7"/>
    <x v="3"/>
    <m/>
    <x v="0"/>
    <x v="0"/>
    <x v="0"/>
    <n v="14"/>
    <x v="0"/>
  </r>
  <r>
    <n v="143"/>
    <x v="25"/>
    <x v="0"/>
    <x v="0"/>
    <x v="650"/>
    <x v="0"/>
    <d v="1899-12-30T00:00:00"/>
    <d v="2013-08-25T00:00:00"/>
    <n v="73"/>
    <n v="0"/>
    <n v="49"/>
    <n v="49"/>
    <n v="4"/>
    <n v="56"/>
    <x v="0"/>
    <n v="53"/>
    <x v="3"/>
    <m/>
    <x v="0"/>
    <x v="0"/>
    <x v="0"/>
    <n v="13"/>
    <x v="0"/>
  </r>
  <r>
    <n v="450"/>
    <x v="38"/>
    <x v="2"/>
    <x v="1"/>
    <x v="651"/>
    <x v="0"/>
    <d v="1899-12-31T00:00:00"/>
    <d v="2013-07-12T00:00:00"/>
    <n v="90"/>
    <n v="15"/>
    <n v="11"/>
    <n v="11"/>
    <n v="4"/>
    <n v="68"/>
    <x v="0"/>
    <n v="15"/>
    <x v="3"/>
    <m/>
    <x v="0"/>
    <x v="1"/>
    <x v="0"/>
    <n v="13"/>
    <x v="0"/>
  </r>
  <r>
    <n v="9316"/>
    <x v="13"/>
    <x v="3"/>
    <x v="1"/>
    <x v="652"/>
    <x v="0"/>
    <d v="1899-12-30T00:00:00"/>
    <d v="2013-11-02T00:00:00"/>
    <n v="29"/>
    <n v="0"/>
    <n v="7"/>
    <n v="7"/>
    <n v="3"/>
    <n v="74"/>
    <x v="0"/>
    <n v="10"/>
    <x v="3"/>
    <m/>
    <x v="0"/>
    <x v="2"/>
    <x v="0"/>
    <n v="13"/>
    <x v="0"/>
  </r>
  <r>
    <n v="6379"/>
    <x v="17"/>
    <x v="2"/>
    <x v="4"/>
    <x v="653"/>
    <x v="1"/>
    <d v="1899-12-31T00:00:00"/>
    <d v="2013-05-29T00:00:00"/>
    <n v="3"/>
    <n v="1"/>
    <n v="2"/>
    <n v="2"/>
    <n v="2"/>
    <n v="77"/>
    <x v="0"/>
    <n v="4"/>
    <x v="3"/>
    <m/>
    <x v="0"/>
    <x v="1"/>
    <x v="0"/>
    <n v="13"/>
    <x v="0"/>
  </r>
  <r>
    <n v="9239"/>
    <x v="45"/>
    <x v="2"/>
    <x v="2"/>
    <x v="654"/>
    <x v="0"/>
    <d v="1900-01-01T00:00:00"/>
    <d v="2013-07-26T00:00:00"/>
    <n v="94"/>
    <n v="4"/>
    <n v="3"/>
    <n v="3"/>
    <n v="4"/>
    <n v="65"/>
    <x v="0"/>
    <n v="7"/>
    <x v="3"/>
    <m/>
    <x v="0"/>
    <x v="0"/>
    <x v="0"/>
    <n v="13"/>
    <x v="0"/>
  </r>
  <r>
    <n v="8315"/>
    <x v="57"/>
    <x v="0"/>
    <x v="0"/>
    <x v="655"/>
    <x v="0"/>
    <d v="1899-12-30T00:00:00"/>
    <d v="2014-03-26T00:00:00"/>
    <n v="65"/>
    <n v="2"/>
    <n v="0"/>
    <n v="0"/>
    <n v="2"/>
    <n v="31"/>
    <x v="1"/>
    <n v="2"/>
    <x v="3"/>
    <m/>
    <x v="0"/>
    <x v="1"/>
    <x v="0"/>
    <n v="12"/>
    <x v="0"/>
  </r>
  <r>
    <n v="2868"/>
    <x v="17"/>
    <x v="1"/>
    <x v="0"/>
    <x v="656"/>
    <x v="1"/>
    <d v="1899-12-31T00:00:00"/>
    <d v="2013-04-08T00:00:00"/>
    <n v="33"/>
    <n v="1"/>
    <n v="3"/>
    <n v="3"/>
    <n v="3"/>
    <n v="77"/>
    <x v="0"/>
    <n v="6"/>
    <x v="3"/>
    <m/>
    <x v="0"/>
    <x v="2"/>
    <x v="0"/>
    <n v="13"/>
    <x v="0"/>
  </r>
  <r>
    <n v="10888"/>
    <x v="45"/>
    <x v="0"/>
    <x v="0"/>
    <x v="657"/>
    <x v="0"/>
    <d v="1899-12-30T00:00:00"/>
    <d v="2013-11-03T00:00:00"/>
    <n v="46"/>
    <n v="11"/>
    <n v="83"/>
    <n v="83"/>
    <n v="6"/>
    <n v="65"/>
    <x v="0"/>
    <n v="89"/>
    <x v="3"/>
    <m/>
    <x v="0"/>
    <x v="1"/>
    <x v="0"/>
    <n v="13"/>
    <x v="0"/>
  </r>
  <r>
    <n v="1277"/>
    <x v="40"/>
    <x v="0"/>
    <x v="1"/>
    <x v="658"/>
    <x v="0"/>
    <d v="1899-12-30T00:00:00"/>
    <d v="2014-04-09T00:00:00"/>
    <n v="29"/>
    <n v="22"/>
    <n v="22"/>
    <n v="22"/>
    <n v="10"/>
    <n v="66"/>
    <x v="0"/>
    <n v="32"/>
    <x v="3"/>
    <m/>
    <x v="0"/>
    <x v="3"/>
    <x v="0"/>
    <n v="12"/>
    <x v="0"/>
  </r>
  <r>
    <n v="9977"/>
    <x v="26"/>
    <x v="0"/>
    <x v="3"/>
    <x v="659"/>
    <x v="0"/>
    <d v="1899-12-31T00:00:00"/>
    <d v="2013-09-17T00:00:00"/>
    <n v="99"/>
    <n v="11"/>
    <n v="26"/>
    <n v="26"/>
    <n v="5"/>
    <n v="53"/>
    <x v="0"/>
    <n v="31"/>
    <x v="3"/>
    <m/>
    <x v="0"/>
    <x v="3"/>
    <x v="0"/>
    <n v="13"/>
    <x v="0"/>
  </r>
  <r>
    <n v="10196"/>
    <x v="33"/>
    <x v="0"/>
    <x v="2"/>
    <x v="660"/>
    <x v="2"/>
    <d v="1899-12-30T00:00:00"/>
    <d v="2014-03-12T00:00:00"/>
    <n v="26"/>
    <n v="123"/>
    <n v="64"/>
    <n v="64"/>
    <n v="8"/>
    <n v="48"/>
    <x v="1"/>
    <n v="72"/>
    <x v="3"/>
    <m/>
    <x v="0"/>
    <x v="0"/>
    <x v="0"/>
    <n v="12"/>
    <x v="0"/>
  </r>
  <r>
    <n v="6384"/>
    <x v="33"/>
    <x v="0"/>
    <x v="3"/>
    <x v="661"/>
    <x v="0"/>
    <d v="1899-12-31T00:00:00"/>
    <d v="2014-02-11T00:00:00"/>
    <n v="30"/>
    <n v="12"/>
    <n v="12"/>
    <n v="12"/>
    <n v="11"/>
    <n v="48"/>
    <x v="1"/>
    <n v="23"/>
    <x v="3"/>
    <m/>
    <x v="0"/>
    <x v="0"/>
    <x v="0"/>
    <n v="12"/>
    <x v="0"/>
  </r>
  <r>
    <n v="8029"/>
    <x v="36"/>
    <x v="2"/>
    <x v="0"/>
    <x v="662"/>
    <x v="0"/>
    <d v="1899-12-30T00:00:00"/>
    <d v="2014-04-29T00:00:00"/>
    <n v="27"/>
    <n v="32"/>
    <n v="16"/>
    <n v="16"/>
    <n v="7"/>
    <n v="38"/>
    <x v="1"/>
    <n v="23"/>
    <x v="3"/>
    <m/>
    <x v="0"/>
    <x v="3"/>
    <x v="0"/>
    <n v="12"/>
    <x v="0"/>
  </r>
  <r>
    <n v="968"/>
    <x v="30"/>
    <x v="2"/>
    <x v="3"/>
    <x v="663"/>
    <x v="1"/>
    <d v="1899-12-30T00:00:00"/>
    <d v="2013-12-26T00:00:00"/>
    <n v="24"/>
    <n v="19"/>
    <n v="14"/>
    <n v="14"/>
    <n v="4"/>
    <n v="58"/>
    <x v="0"/>
    <n v="18"/>
    <x v="3"/>
    <m/>
    <x v="0"/>
    <x v="1"/>
    <x v="0"/>
    <n v="13"/>
    <x v="0"/>
  </r>
  <r>
    <n v="6988"/>
    <x v="22"/>
    <x v="0"/>
    <x v="2"/>
    <x v="330"/>
    <x v="1"/>
    <d v="1899-12-30T00:00:00"/>
    <d v="2013-01-10T00:00:00"/>
    <n v="93"/>
    <n v="80"/>
    <n v="107"/>
    <n v="107"/>
    <n v="8"/>
    <n v="40"/>
    <x v="1"/>
    <n v="115"/>
    <x v="3"/>
    <m/>
    <x v="0"/>
    <x v="0"/>
    <x v="0"/>
    <n v="13"/>
    <x v="0"/>
  </r>
  <r>
    <n v="4472"/>
    <x v="25"/>
    <x v="1"/>
    <x v="3"/>
    <x v="664"/>
    <x v="1"/>
    <d v="1899-12-30T00:00:00"/>
    <d v="2014-06-27T00:00:00"/>
    <n v="34"/>
    <n v="0"/>
    <n v="2"/>
    <n v="2"/>
    <n v="3"/>
    <n v="56"/>
    <x v="0"/>
    <n v="5"/>
    <x v="3"/>
    <m/>
    <x v="0"/>
    <x v="1"/>
    <x v="0"/>
    <n v="12"/>
    <x v="0"/>
  </r>
  <r>
    <n v="6991"/>
    <x v="20"/>
    <x v="0"/>
    <x v="3"/>
    <x v="665"/>
    <x v="0"/>
    <d v="1899-12-31T00:00:00"/>
    <d v="2013-04-10T00:00:00"/>
    <n v="88"/>
    <n v="6"/>
    <n v="6"/>
    <n v="6"/>
    <n v="6"/>
    <n v="75"/>
    <x v="0"/>
    <n v="12"/>
    <x v="3"/>
    <m/>
    <x v="0"/>
    <x v="1"/>
    <x v="0"/>
    <n v="13"/>
    <x v="0"/>
  </r>
  <r>
    <n v="3336"/>
    <x v="37"/>
    <x v="1"/>
    <x v="1"/>
    <x v="666"/>
    <x v="0"/>
    <d v="1899-12-31T00:00:00"/>
    <d v="2013-11-21T00:00:00"/>
    <n v="96"/>
    <n v="0"/>
    <n v="0"/>
    <n v="0"/>
    <n v="5"/>
    <n v="78"/>
    <x v="0"/>
    <n v="5"/>
    <x v="3"/>
    <m/>
    <x v="0"/>
    <x v="0"/>
    <x v="0"/>
    <n v="13"/>
    <x v="0"/>
  </r>
  <r>
    <n v="4301"/>
    <x v="6"/>
    <x v="2"/>
    <x v="2"/>
    <x v="312"/>
    <x v="1"/>
    <d v="1899-12-30T00:00:00"/>
    <d v="2013-01-10T00:00:00"/>
    <n v="10"/>
    <n v="1"/>
    <n v="2"/>
    <n v="2"/>
    <n v="2"/>
    <n v="55"/>
    <x v="0"/>
    <n v="4"/>
    <x v="3"/>
    <m/>
    <x v="0"/>
    <x v="1"/>
    <x v="0"/>
    <n v="13"/>
    <x v="0"/>
  </r>
  <r>
    <n v="1940"/>
    <x v="22"/>
    <x v="0"/>
    <x v="2"/>
    <x v="667"/>
    <x v="1"/>
    <d v="1899-12-30T00:00:00"/>
    <d v="2013-07-12T00:00:00"/>
    <n v="26"/>
    <n v="3"/>
    <n v="2"/>
    <n v="2"/>
    <n v="2"/>
    <n v="40"/>
    <x v="1"/>
    <n v="4"/>
    <x v="3"/>
    <m/>
    <x v="0"/>
    <x v="2"/>
    <x v="0"/>
    <n v="13"/>
    <x v="0"/>
  </r>
  <r>
    <n v="1272"/>
    <x v="2"/>
    <x v="2"/>
    <x v="0"/>
    <x v="668"/>
    <x v="0"/>
    <d v="1899-12-31T00:00:00"/>
    <d v="2012-10-21T00:00:00"/>
    <n v="49"/>
    <n v="58"/>
    <n v="0"/>
    <n v="0"/>
    <n v="10"/>
    <n v="61"/>
    <x v="0"/>
    <n v="10"/>
    <x v="3"/>
    <m/>
    <x v="0"/>
    <x v="0"/>
    <x v="0"/>
    <n v="14"/>
    <x v="0"/>
  </r>
  <r>
    <n v="1388"/>
    <x v="28"/>
    <x v="0"/>
    <x v="0"/>
    <x v="669"/>
    <x v="1"/>
    <d v="1899-12-30T00:00:00"/>
    <d v="2013-02-20T00:00:00"/>
    <n v="11"/>
    <n v="10"/>
    <n v="14"/>
    <n v="14"/>
    <n v="3"/>
    <n v="51"/>
    <x v="0"/>
    <n v="17"/>
    <x v="3"/>
    <m/>
    <x v="0"/>
    <x v="1"/>
    <x v="0"/>
    <n v="13"/>
    <x v="0"/>
  </r>
  <r>
    <n v="1044"/>
    <x v="44"/>
    <x v="0"/>
    <x v="1"/>
    <x v="670"/>
    <x v="0"/>
    <d v="1899-12-30T00:00:00"/>
    <d v="2013-05-14T00:00:00"/>
    <n v="44"/>
    <n v="5"/>
    <n v="21"/>
    <n v="21"/>
    <n v="8"/>
    <n v="73"/>
    <x v="0"/>
    <n v="29"/>
    <x v="3"/>
    <m/>
    <x v="0"/>
    <x v="0"/>
    <x v="0"/>
    <n v="13"/>
    <x v="0"/>
  </r>
  <r>
    <n v="6969"/>
    <x v="18"/>
    <x v="0"/>
    <x v="1"/>
    <x v="671"/>
    <x v="1"/>
    <d v="1899-12-30T00:00:00"/>
    <d v="2013-08-07T00:00:00"/>
    <n v="75"/>
    <n v="13"/>
    <n v="8"/>
    <n v="8"/>
    <n v="5"/>
    <n v="44"/>
    <x v="1"/>
    <n v="13"/>
    <x v="3"/>
    <m/>
    <x v="0"/>
    <x v="0"/>
    <x v="0"/>
    <n v="13"/>
    <x v="0"/>
  </r>
  <r>
    <n v="10479"/>
    <x v="28"/>
    <x v="1"/>
    <x v="2"/>
    <x v="672"/>
    <x v="0"/>
    <d v="1899-12-30T00:00:00"/>
    <d v="2012-12-07T00:00:00"/>
    <n v="64"/>
    <n v="40"/>
    <n v="160"/>
    <n v="160"/>
    <n v="5"/>
    <n v="51"/>
    <x v="0"/>
    <n v="165"/>
    <x v="3"/>
    <m/>
    <x v="0"/>
    <x v="3"/>
    <x v="0"/>
    <n v="14"/>
    <x v="0"/>
  </r>
  <r>
    <n v="3619"/>
    <x v="40"/>
    <x v="4"/>
    <x v="3"/>
    <x v="673"/>
    <x v="0"/>
    <d v="1899-12-30T00:00:00"/>
    <d v="2012-09-23T00:00:00"/>
    <n v="19"/>
    <n v="25"/>
    <n v="138"/>
    <n v="138"/>
    <n v="8"/>
    <n v="66"/>
    <x v="0"/>
    <n v="146"/>
    <x v="3"/>
    <m/>
    <x v="0"/>
    <x v="3"/>
    <x v="0"/>
    <n v="14"/>
    <x v="0"/>
  </r>
  <r>
    <n v="1715"/>
    <x v="33"/>
    <x v="0"/>
    <x v="1"/>
    <x v="674"/>
    <x v="1"/>
    <d v="1899-12-30T00:00:00"/>
    <d v="2013-02-11T00:00:00"/>
    <n v="45"/>
    <n v="4"/>
    <n v="5"/>
    <n v="5"/>
    <n v="3"/>
    <n v="48"/>
    <x v="1"/>
    <n v="8"/>
    <x v="3"/>
    <m/>
    <x v="0"/>
    <x v="2"/>
    <x v="0"/>
    <n v="13"/>
    <x v="0"/>
  </r>
  <r>
    <n v="10159"/>
    <x v="25"/>
    <x v="0"/>
    <x v="3"/>
    <x v="675"/>
    <x v="0"/>
    <d v="1899-12-31T00:00:00"/>
    <d v="2013-03-31T00:00:00"/>
    <n v="77"/>
    <n v="81"/>
    <n v="122"/>
    <n v="122"/>
    <n v="9"/>
    <n v="56"/>
    <x v="0"/>
    <n v="131"/>
    <x v="3"/>
    <m/>
    <x v="0"/>
    <x v="0"/>
    <x v="0"/>
    <n v="13"/>
    <x v="0"/>
  </r>
  <r>
    <n v="1463"/>
    <x v="38"/>
    <x v="0"/>
    <x v="0"/>
    <x v="676"/>
    <x v="1"/>
    <d v="1899-12-31T00:00:00"/>
    <d v="2014-03-29T00:00:00"/>
    <n v="9"/>
    <n v="2"/>
    <n v="0"/>
    <n v="0"/>
    <n v="2"/>
    <n v="68"/>
    <x v="0"/>
    <n v="2"/>
    <x v="3"/>
    <m/>
    <x v="0"/>
    <x v="1"/>
    <x v="0"/>
    <n v="12"/>
    <x v="0"/>
  </r>
  <r>
    <n v="5114"/>
    <x v="2"/>
    <x v="2"/>
    <x v="2"/>
    <x v="677"/>
    <x v="0"/>
    <d v="1899-12-31T00:00:00"/>
    <d v="2012-12-19T00:00:00"/>
    <n v="1"/>
    <n v="9"/>
    <n v="28"/>
    <n v="28"/>
    <n v="5"/>
    <n v="61"/>
    <x v="0"/>
    <n v="33"/>
    <x v="3"/>
    <m/>
    <x v="0"/>
    <x v="0"/>
    <x v="0"/>
    <n v="14"/>
    <x v="0"/>
  </r>
  <r>
    <n v="4990"/>
    <x v="1"/>
    <x v="0"/>
    <x v="2"/>
    <x v="678"/>
    <x v="0"/>
    <d v="1899-12-30T00:00:00"/>
    <d v="2013-05-02T00:00:00"/>
    <n v="90"/>
    <n v="0"/>
    <n v="28"/>
    <n v="28"/>
    <n v="8"/>
    <n v="72"/>
    <x v="0"/>
    <n v="36"/>
    <x v="3"/>
    <m/>
    <x v="0"/>
    <x v="0"/>
    <x v="0"/>
    <n v="13"/>
    <x v="0"/>
  </r>
  <r>
    <n v="4329"/>
    <x v="3"/>
    <x v="1"/>
    <x v="2"/>
    <x v="679"/>
    <x v="1"/>
    <d v="1899-12-30T00:00:00"/>
    <d v="2014-05-23T00:00:00"/>
    <n v="43"/>
    <n v="0"/>
    <n v="1"/>
    <n v="1"/>
    <n v="3"/>
    <n v="42"/>
    <x v="1"/>
    <n v="4"/>
    <x v="3"/>
    <m/>
    <x v="0"/>
    <x v="2"/>
    <x v="0"/>
    <n v="12"/>
    <x v="0"/>
  </r>
  <r>
    <n v="10936"/>
    <x v="2"/>
    <x v="0"/>
    <x v="2"/>
    <x v="680"/>
    <x v="0"/>
    <d v="1899-12-30T00:00:00"/>
    <d v="2013-02-13T00:00:00"/>
    <n v="79"/>
    <n v="166"/>
    <n v="166"/>
    <n v="166"/>
    <n v="4"/>
    <n v="61"/>
    <x v="0"/>
    <n v="170"/>
    <x v="3"/>
    <m/>
    <x v="0"/>
    <x v="0"/>
    <x v="0"/>
    <n v="13"/>
    <x v="0"/>
  </r>
  <r>
    <n v="4692"/>
    <x v="11"/>
    <x v="0"/>
    <x v="2"/>
    <x v="11"/>
    <x v="1"/>
    <d v="1899-12-30T00:00:00"/>
    <d v="2012-08-01T00:00:00"/>
    <n v="19"/>
    <n v="0"/>
    <n v="7"/>
    <n v="7"/>
    <n v="2"/>
    <n v="50"/>
    <x v="1"/>
    <n v="9"/>
    <x v="3"/>
    <m/>
    <x v="0"/>
    <x v="2"/>
    <x v="0"/>
    <n v="14"/>
    <x v="0"/>
  </r>
  <r>
    <n v="7212"/>
    <x v="35"/>
    <x v="0"/>
    <x v="2"/>
    <x v="192"/>
    <x v="0"/>
    <d v="1899-12-31T00:00:00"/>
    <d v="2014-06-08T00:00:00"/>
    <n v="99"/>
    <n v="0"/>
    <n v="0"/>
    <n v="0"/>
    <n v="3"/>
    <n v="60"/>
    <x v="0"/>
    <n v="3"/>
    <x v="3"/>
    <m/>
    <x v="0"/>
    <x v="1"/>
    <x v="0"/>
    <n v="12"/>
    <x v="0"/>
  </r>
  <r>
    <n v="6086"/>
    <x v="34"/>
    <x v="0"/>
    <x v="2"/>
    <x v="681"/>
    <x v="0"/>
    <d v="1899-12-30T00:00:00"/>
    <d v="2013-11-23T00:00:00"/>
    <n v="62"/>
    <n v="25"/>
    <n v="76"/>
    <n v="76"/>
    <n v="12"/>
    <n v="71"/>
    <x v="0"/>
    <n v="88"/>
    <x v="3"/>
    <m/>
    <x v="0"/>
    <x v="3"/>
    <x v="0"/>
    <n v="13"/>
    <x v="0"/>
  </r>
  <r>
    <n v="437"/>
    <x v="11"/>
    <x v="2"/>
    <x v="3"/>
    <x v="682"/>
    <x v="0"/>
    <d v="1899-12-30T00:00:00"/>
    <d v="2014-01-25T00:00:00"/>
    <n v="41"/>
    <n v="142"/>
    <n v="58"/>
    <n v="58"/>
    <n v="11"/>
    <n v="50"/>
    <x v="1"/>
    <n v="69"/>
    <x v="3"/>
    <m/>
    <x v="0"/>
    <x v="3"/>
    <x v="0"/>
    <n v="12"/>
    <x v="0"/>
  </r>
  <r>
    <n v="11171"/>
    <x v="2"/>
    <x v="2"/>
    <x v="2"/>
    <x v="683"/>
    <x v="2"/>
    <d v="1899-12-31T00:00:00"/>
    <d v="2013-10-11T00:00:00"/>
    <n v="60"/>
    <n v="3"/>
    <n v="3"/>
    <n v="3"/>
    <n v="5"/>
    <n v="61"/>
    <x v="0"/>
    <n v="8"/>
    <x v="3"/>
    <m/>
    <x v="0"/>
    <x v="0"/>
    <x v="0"/>
    <n v="13"/>
    <x v="0"/>
  </r>
  <r>
    <n v="11101"/>
    <x v="42"/>
    <x v="0"/>
    <x v="1"/>
    <x v="684"/>
    <x v="0"/>
    <d v="1899-12-30T00:00:00"/>
    <d v="2013-04-15T00:00:00"/>
    <n v="17"/>
    <n v="22"/>
    <n v="28"/>
    <n v="28"/>
    <n v="8"/>
    <n v="35"/>
    <x v="1"/>
    <n v="36"/>
    <x v="3"/>
    <m/>
    <x v="0"/>
    <x v="3"/>
    <x v="0"/>
    <n v="13"/>
    <x v="0"/>
  </r>
  <r>
    <n v="5329"/>
    <x v="17"/>
    <x v="1"/>
    <x v="3"/>
    <x v="685"/>
    <x v="1"/>
    <d v="1899-12-31T00:00:00"/>
    <d v="2013-09-27T00:00:00"/>
    <n v="24"/>
    <n v="0"/>
    <n v="0"/>
    <n v="0"/>
    <n v="3"/>
    <n v="77"/>
    <x v="0"/>
    <n v="3"/>
    <x v="3"/>
    <m/>
    <x v="0"/>
    <x v="1"/>
    <x v="0"/>
    <n v="13"/>
    <x v="0"/>
  </r>
  <r>
    <n v="610"/>
    <x v="44"/>
    <x v="1"/>
    <x v="1"/>
    <x v="686"/>
    <x v="1"/>
    <d v="1899-12-31T00:00:00"/>
    <d v="2012-08-07T00:00:00"/>
    <n v="60"/>
    <n v="4"/>
    <n v="0"/>
    <n v="0"/>
    <n v="6"/>
    <n v="73"/>
    <x v="0"/>
    <n v="6"/>
    <x v="3"/>
    <m/>
    <x v="0"/>
    <x v="0"/>
    <x v="0"/>
    <n v="14"/>
    <x v="0"/>
  </r>
  <r>
    <n v="9384"/>
    <x v="33"/>
    <x v="0"/>
    <x v="2"/>
    <x v="49"/>
    <x v="1"/>
    <d v="1899-12-31T00:00:00"/>
    <d v="2013-06-12T00:00:00"/>
    <n v="57"/>
    <n v="9"/>
    <n v="24"/>
    <n v="24"/>
    <n v="10"/>
    <n v="48"/>
    <x v="1"/>
    <n v="34"/>
    <x v="3"/>
    <m/>
    <x v="0"/>
    <x v="0"/>
    <x v="0"/>
    <n v="13"/>
    <x v="0"/>
  </r>
  <r>
    <n v="5956"/>
    <x v="37"/>
    <x v="1"/>
    <x v="3"/>
    <x v="687"/>
    <x v="1"/>
    <d v="1900-01-01T00:00:00"/>
    <d v="2013-10-16T00:00:00"/>
    <n v="74"/>
    <n v="2"/>
    <n v="2"/>
    <n v="2"/>
    <n v="4"/>
    <n v="78"/>
    <x v="0"/>
    <n v="6"/>
    <x v="3"/>
    <m/>
    <x v="0"/>
    <x v="1"/>
    <x v="0"/>
    <n v="13"/>
    <x v="0"/>
  </r>
  <r>
    <n v="10430"/>
    <x v="26"/>
    <x v="0"/>
    <x v="3"/>
    <x v="688"/>
    <x v="1"/>
    <d v="1899-12-31T00:00:00"/>
    <d v="2013-10-09T00:00:00"/>
    <n v="22"/>
    <n v="28"/>
    <n v="28"/>
    <n v="28"/>
    <n v="4"/>
    <n v="53"/>
    <x v="0"/>
    <n v="32"/>
    <x v="3"/>
    <m/>
    <x v="0"/>
    <x v="3"/>
    <x v="0"/>
    <n v="13"/>
    <x v="0"/>
  </r>
  <r>
    <n v="7875"/>
    <x v="17"/>
    <x v="0"/>
    <x v="2"/>
    <x v="345"/>
    <x v="0"/>
    <d v="1899-12-30T00:00:00"/>
    <d v="2014-04-29T00:00:00"/>
    <n v="46"/>
    <n v="0"/>
    <n v="50"/>
    <n v="50"/>
    <n v="13"/>
    <n v="77"/>
    <x v="0"/>
    <n v="63"/>
    <x v="3"/>
    <m/>
    <x v="0"/>
    <x v="0"/>
    <x v="0"/>
    <n v="12"/>
    <x v="0"/>
  </r>
  <r>
    <n v="7072"/>
    <x v="26"/>
    <x v="0"/>
    <x v="2"/>
    <x v="689"/>
    <x v="0"/>
    <d v="1899-12-31T00:00:00"/>
    <d v="2013-03-29T00:00:00"/>
    <n v="69"/>
    <n v="79"/>
    <n v="136"/>
    <n v="136"/>
    <n v="4"/>
    <n v="53"/>
    <x v="0"/>
    <n v="140"/>
    <x v="3"/>
    <m/>
    <x v="0"/>
    <x v="0"/>
    <x v="0"/>
    <n v="13"/>
    <x v="0"/>
  </r>
  <r>
    <n v="6255"/>
    <x v="13"/>
    <x v="2"/>
    <x v="1"/>
    <x v="690"/>
    <x v="0"/>
    <d v="1899-12-31T00:00:00"/>
    <d v="2014-06-03T00:00:00"/>
    <n v="29"/>
    <n v="39"/>
    <n v="18"/>
    <n v="18"/>
    <n v="7"/>
    <n v="74"/>
    <x v="0"/>
    <n v="25"/>
    <x v="3"/>
    <m/>
    <x v="0"/>
    <x v="0"/>
    <x v="0"/>
    <n v="12"/>
    <x v="0"/>
  </r>
  <r>
    <n v="6516"/>
    <x v="23"/>
    <x v="3"/>
    <x v="2"/>
    <x v="691"/>
    <x v="1"/>
    <d v="1899-12-30T00:00:00"/>
    <d v="2013-03-18T00:00:00"/>
    <n v="37"/>
    <n v="0"/>
    <n v="4"/>
    <n v="4"/>
    <n v="2"/>
    <n v="37"/>
    <x v="1"/>
    <n v="6"/>
    <x v="3"/>
    <m/>
    <x v="0"/>
    <x v="2"/>
    <x v="0"/>
    <n v="13"/>
    <x v="0"/>
  </r>
  <r>
    <n v="5564"/>
    <x v="21"/>
    <x v="0"/>
    <x v="1"/>
    <x v="692"/>
    <x v="0"/>
    <d v="1899-12-31T00:00:00"/>
    <d v="2012-08-09T00:00:00"/>
    <n v="26"/>
    <n v="133"/>
    <n v="24"/>
    <n v="24"/>
    <n v="6"/>
    <n v="57"/>
    <x v="0"/>
    <n v="30"/>
    <x v="3"/>
    <m/>
    <x v="0"/>
    <x v="0"/>
    <x v="0"/>
    <n v="14"/>
    <x v="0"/>
  </r>
  <r>
    <n v="5682"/>
    <x v="44"/>
    <x v="1"/>
    <x v="0"/>
    <x v="693"/>
    <x v="0"/>
    <d v="1899-12-31T00:00:00"/>
    <d v="2013-03-23T00:00:00"/>
    <n v="8"/>
    <n v="10"/>
    <n v="21"/>
    <n v="21"/>
    <n v="11"/>
    <n v="73"/>
    <x v="0"/>
    <n v="32"/>
    <x v="3"/>
    <m/>
    <x v="0"/>
    <x v="0"/>
    <x v="0"/>
    <n v="13"/>
    <x v="0"/>
  </r>
  <r>
    <n v="7458"/>
    <x v="46"/>
    <x v="2"/>
    <x v="1"/>
    <x v="694"/>
    <x v="1"/>
    <d v="1899-12-31T00:00:00"/>
    <d v="2013-03-06T00:00:00"/>
    <n v="26"/>
    <n v="2"/>
    <n v="3"/>
    <n v="3"/>
    <n v="3"/>
    <n v="70"/>
    <x v="0"/>
    <n v="6"/>
    <x v="3"/>
    <m/>
    <x v="0"/>
    <x v="1"/>
    <x v="0"/>
    <n v="13"/>
    <x v="0"/>
  </r>
  <r>
    <n v="5237"/>
    <x v="9"/>
    <x v="1"/>
    <x v="0"/>
    <x v="695"/>
    <x v="1"/>
    <d v="1900-01-01T00:00:00"/>
    <d v="2014-01-01T00:00:00"/>
    <n v="79"/>
    <n v="1"/>
    <n v="0"/>
    <n v="0"/>
    <n v="3"/>
    <n v="76"/>
    <x v="0"/>
    <n v="3"/>
    <x v="3"/>
    <m/>
    <x v="0"/>
    <x v="1"/>
    <x v="0"/>
    <n v="12"/>
    <x v="0"/>
  </r>
  <r>
    <n v="7761"/>
    <x v="33"/>
    <x v="4"/>
    <x v="1"/>
    <x v="696"/>
    <x v="1"/>
    <d v="1899-12-30T00:00:00"/>
    <d v="2013-08-01T00:00:00"/>
    <n v="71"/>
    <n v="11"/>
    <n v="8"/>
    <n v="8"/>
    <n v="4"/>
    <n v="48"/>
    <x v="1"/>
    <n v="12"/>
    <x v="3"/>
    <m/>
    <x v="0"/>
    <x v="1"/>
    <x v="0"/>
    <n v="13"/>
    <x v="0"/>
  </r>
  <r>
    <n v="5278"/>
    <x v="31"/>
    <x v="0"/>
    <x v="2"/>
    <x v="697"/>
    <x v="0"/>
    <d v="1899-12-30T00:00:00"/>
    <d v="2014-01-25T00:00:00"/>
    <n v="83"/>
    <n v="26"/>
    <n v="31"/>
    <n v="31"/>
    <n v="5"/>
    <n v="62"/>
    <x v="0"/>
    <n v="36"/>
    <x v="3"/>
    <m/>
    <x v="0"/>
    <x v="3"/>
    <x v="0"/>
    <n v="12"/>
    <x v="0"/>
  </r>
  <r>
    <n v="3560"/>
    <x v="13"/>
    <x v="0"/>
    <x v="1"/>
    <x v="698"/>
    <x v="0"/>
    <d v="1899-12-30T00:00:00"/>
    <d v="2013-05-12T00:00:00"/>
    <n v="57"/>
    <n v="31"/>
    <n v="31"/>
    <n v="31"/>
    <n v="11"/>
    <n v="74"/>
    <x v="0"/>
    <n v="42"/>
    <x v="3"/>
    <m/>
    <x v="0"/>
    <x v="3"/>
    <x v="0"/>
    <n v="13"/>
    <x v="0"/>
  </r>
  <r>
    <n v="7235"/>
    <x v="28"/>
    <x v="4"/>
    <x v="2"/>
    <x v="699"/>
    <x v="1"/>
    <d v="1899-12-30T00:00:00"/>
    <d v="2013-12-09T00:00:00"/>
    <n v="37"/>
    <n v="5"/>
    <n v="8"/>
    <n v="8"/>
    <n v="4"/>
    <n v="51"/>
    <x v="0"/>
    <n v="12"/>
    <x v="3"/>
    <m/>
    <x v="0"/>
    <x v="2"/>
    <x v="0"/>
    <n v="13"/>
    <x v="0"/>
  </r>
  <r>
    <n v="10548"/>
    <x v="57"/>
    <x v="0"/>
    <x v="0"/>
    <x v="700"/>
    <x v="0"/>
    <d v="1899-12-30T00:00:00"/>
    <d v="2014-03-09T00:00:00"/>
    <n v="30"/>
    <n v="17"/>
    <n v="106"/>
    <n v="106"/>
    <n v="12"/>
    <n v="31"/>
    <x v="1"/>
    <n v="118"/>
    <x v="3"/>
    <m/>
    <x v="0"/>
    <x v="0"/>
    <x v="0"/>
    <n v="12"/>
    <x v="0"/>
  </r>
  <r>
    <n v="2281"/>
    <x v="25"/>
    <x v="0"/>
    <x v="0"/>
    <x v="701"/>
    <x v="1"/>
    <d v="1899-12-30T00:00:00"/>
    <d v="2013-09-15T00:00:00"/>
    <n v="34"/>
    <n v="3"/>
    <n v="3"/>
    <n v="3"/>
    <n v="2"/>
    <n v="56"/>
    <x v="0"/>
    <n v="5"/>
    <x v="3"/>
    <m/>
    <x v="0"/>
    <x v="1"/>
    <x v="0"/>
    <n v="13"/>
    <x v="0"/>
  </r>
  <r>
    <n v="4073"/>
    <x v="1"/>
    <x v="4"/>
    <x v="2"/>
    <x v="702"/>
    <x v="0"/>
    <d v="1899-12-30T00:00:00"/>
    <d v="2014-01-29T00:00:00"/>
    <n v="0"/>
    <n v="80"/>
    <n v="34"/>
    <n v="34"/>
    <n v="7"/>
    <n v="72"/>
    <x v="0"/>
    <n v="41"/>
    <x v="3"/>
    <m/>
    <x v="0"/>
    <x v="0"/>
    <x v="0"/>
    <n v="12"/>
    <x v="0"/>
  </r>
  <r>
    <n v="6974"/>
    <x v="39"/>
    <x v="1"/>
    <x v="1"/>
    <x v="703"/>
    <x v="0"/>
    <d v="1899-12-30T00:00:00"/>
    <d v="2013-12-31T00:00:00"/>
    <n v="89"/>
    <n v="42"/>
    <n v="56"/>
    <n v="56"/>
    <n v="5"/>
    <n v="54"/>
    <x v="0"/>
    <n v="61"/>
    <x v="3"/>
    <m/>
    <x v="0"/>
    <x v="3"/>
    <x v="0"/>
    <n v="13"/>
    <x v="0"/>
  </r>
  <r>
    <n v="7938"/>
    <x v="38"/>
    <x v="1"/>
    <x v="1"/>
    <x v="704"/>
    <x v="0"/>
    <d v="1899-12-31T00:00:00"/>
    <d v="2013-10-03T00:00:00"/>
    <n v="92"/>
    <n v="8"/>
    <n v="4"/>
    <n v="4"/>
    <n v="10"/>
    <n v="68"/>
    <x v="0"/>
    <n v="14"/>
    <x v="3"/>
    <m/>
    <x v="0"/>
    <x v="0"/>
    <x v="0"/>
    <n v="13"/>
    <x v="0"/>
  </r>
  <r>
    <n v="7094"/>
    <x v="28"/>
    <x v="0"/>
    <x v="4"/>
    <x v="622"/>
    <x v="0"/>
    <d v="1899-12-31T00:00:00"/>
    <d v="2013-12-25T00:00:00"/>
    <n v="87"/>
    <n v="53"/>
    <n v="98"/>
    <n v="98"/>
    <n v="13"/>
    <n v="51"/>
    <x v="0"/>
    <n v="111"/>
    <x v="3"/>
    <m/>
    <x v="0"/>
    <x v="0"/>
    <x v="0"/>
    <n v="13"/>
    <x v="0"/>
  </r>
  <r>
    <n v="3667"/>
    <x v="21"/>
    <x v="0"/>
    <x v="2"/>
    <x v="705"/>
    <x v="0"/>
    <d v="1899-12-30T00:00:00"/>
    <d v="2013-02-28T00:00:00"/>
    <n v="20"/>
    <n v="178"/>
    <n v="27"/>
    <n v="27"/>
    <n v="11"/>
    <n v="57"/>
    <x v="0"/>
    <n v="38"/>
    <x v="3"/>
    <m/>
    <x v="0"/>
    <x v="3"/>
    <x v="0"/>
    <n v="13"/>
    <x v="0"/>
  </r>
  <r>
    <n v="7723"/>
    <x v="19"/>
    <x v="0"/>
    <x v="1"/>
    <x v="706"/>
    <x v="0"/>
    <d v="1899-12-30T00:00:00"/>
    <d v="2014-05-02T00:00:00"/>
    <n v="56"/>
    <n v="93"/>
    <n v="80"/>
    <n v="80"/>
    <n v="6"/>
    <n v="47"/>
    <x v="1"/>
    <n v="86"/>
    <x v="3"/>
    <m/>
    <x v="0"/>
    <x v="3"/>
    <x v="0"/>
    <n v="12"/>
    <x v="0"/>
  </r>
  <r>
    <n v="3870"/>
    <x v="33"/>
    <x v="4"/>
    <x v="1"/>
    <x v="707"/>
    <x v="0"/>
    <d v="1899-12-30T00:00:00"/>
    <d v="2013-02-09T00:00:00"/>
    <n v="28"/>
    <n v="35"/>
    <n v="116"/>
    <n v="116"/>
    <n v="13"/>
    <n v="48"/>
    <x v="1"/>
    <n v="129"/>
    <x v="3"/>
    <m/>
    <x v="0"/>
    <x v="0"/>
    <x v="0"/>
    <n v="13"/>
    <x v="0"/>
  </r>
  <r>
    <n v="4012"/>
    <x v="39"/>
    <x v="1"/>
    <x v="1"/>
    <x v="708"/>
    <x v="0"/>
    <d v="1899-12-31T00:00:00"/>
    <d v="2012-08-11T00:00:00"/>
    <n v="55"/>
    <n v="12"/>
    <n v="12"/>
    <n v="12"/>
    <n v="5"/>
    <n v="54"/>
    <x v="0"/>
    <n v="17"/>
    <x v="3"/>
    <m/>
    <x v="0"/>
    <x v="0"/>
    <x v="0"/>
    <n v="14"/>
    <x v="0"/>
  </r>
  <r>
    <n v="5909"/>
    <x v="31"/>
    <x v="0"/>
    <x v="2"/>
    <x v="709"/>
    <x v="0"/>
    <d v="1899-12-31T00:00:00"/>
    <d v="2013-09-19T00:00:00"/>
    <n v="25"/>
    <n v="10"/>
    <n v="0"/>
    <n v="0"/>
    <n v="8"/>
    <n v="62"/>
    <x v="0"/>
    <n v="8"/>
    <x v="3"/>
    <m/>
    <x v="0"/>
    <x v="0"/>
    <x v="0"/>
    <n v="13"/>
    <x v="0"/>
  </r>
  <r>
    <n v="10470"/>
    <x v="19"/>
    <x v="2"/>
    <x v="2"/>
    <x v="710"/>
    <x v="1"/>
    <d v="1899-12-30T00:00:00"/>
    <d v="2013-03-15T00:00:00"/>
    <n v="0"/>
    <n v="2"/>
    <n v="4"/>
    <n v="4"/>
    <n v="3"/>
    <n v="47"/>
    <x v="1"/>
    <n v="7"/>
    <x v="3"/>
    <m/>
    <x v="0"/>
    <x v="1"/>
    <x v="0"/>
    <n v="13"/>
    <x v="0"/>
  </r>
  <r>
    <n v="6488"/>
    <x v="12"/>
    <x v="1"/>
    <x v="2"/>
    <x v="711"/>
    <x v="0"/>
    <d v="1899-12-31T00:00:00"/>
    <d v="2014-04-06T00:00:00"/>
    <n v="86"/>
    <n v="0"/>
    <n v="0"/>
    <n v="0"/>
    <n v="2"/>
    <n v="67"/>
    <x v="0"/>
    <n v="2"/>
    <x v="3"/>
    <m/>
    <x v="0"/>
    <x v="1"/>
    <x v="0"/>
    <n v="12"/>
    <x v="0"/>
  </r>
  <r>
    <n v="10270"/>
    <x v="4"/>
    <x v="4"/>
    <x v="2"/>
    <x v="712"/>
    <x v="1"/>
    <d v="1899-12-30T00:00:00"/>
    <d v="2013-10-03T00:00:00"/>
    <n v="8"/>
    <n v="5"/>
    <n v="5"/>
    <n v="5"/>
    <n v="3"/>
    <n v="45"/>
    <x v="1"/>
    <n v="8"/>
    <x v="3"/>
    <m/>
    <x v="0"/>
    <x v="1"/>
    <x v="0"/>
    <n v="13"/>
    <x v="0"/>
  </r>
  <r>
    <n v="6887"/>
    <x v="5"/>
    <x v="0"/>
    <x v="0"/>
    <x v="713"/>
    <x v="1"/>
    <d v="1899-12-31T00:00:00"/>
    <d v="2014-04-24T00:00:00"/>
    <n v="33"/>
    <n v="16"/>
    <n v="43"/>
    <n v="43"/>
    <n v="8"/>
    <n v="59"/>
    <x v="0"/>
    <n v="51"/>
    <x v="3"/>
    <m/>
    <x v="0"/>
    <x v="3"/>
    <x v="0"/>
    <n v="12"/>
    <x v="0"/>
  </r>
  <r>
    <n v="6406"/>
    <x v="36"/>
    <x v="2"/>
    <x v="2"/>
    <x v="714"/>
    <x v="0"/>
    <d v="1899-12-30T00:00:00"/>
    <d v="2013-10-28T00:00:00"/>
    <n v="13"/>
    <n v="107"/>
    <n v="67"/>
    <n v="67"/>
    <n v="10"/>
    <n v="38"/>
    <x v="1"/>
    <n v="77"/>
    <x v="3"/>
    <m/>
    <x v="0"/>
    <x v="3"/>
    <x v="0"/>
    <n v="13"/>
    <x v="0"/>
  </r>
  <r>
    <n v="7573"/>
    <x v="33"/>
    <x v="1"/>
    <x v="0"/>
    <x v="715"/>
    <x v="1"/>
    <d v="1899-12-30T00:00:00"/>
    <d v="2013-05-10T00:00:00"/>
    <n v="12"/>
    <n v="1"/>
    <n v="1"/>
    <n v="1"/>
    <n v="2"/>
    <n v="48"/>
    <x v="1"/>
    <n v="3"/>
    <x v="3"/>
    <m/>
    <x v="0"/>
    <x v="1"/>
    <x v="0"/>
    <n v="13"/>
    <x v="0"/>
  </r>
  <r>
    <n v="4508"/>
    <x v="13"/>
    <x v="0"/>
    <x v="0"/>
    <x v="716"/>
    <x v="0"/>
    <d v="1899-12-30T00:00:00"/>
    <d v="2014-05-22T00:00:00"/>
    <n v="92"/>
    <n v="35"/>
    <n v="17"/>
    <n v="17"/>
    <n v="5"/>
    <n v="74"/>
    <x v="0"/>
    <n v="22"/>
    <x v="3"/>
    <m/>
    <x v="0"/>
    <x v="3"/>
    <x v="0"/>
    <n v="12"/>
    <x v="0"/>
  </r>
  <r>
    <n v="221"/>
    <x v="34"/>
    <x v="0"/>
    <x v="2"/>
    <x v="717"/>
    <x v="0"/>
    <d v="1899-12-31T00:00:00"/>
    <d v="2013-04-27T00:00:00"/>
    <n v="90"/>
    <n v="3"/>
    <n v="0"/>
    <n v="0"/>
    <n v="4"/>
    <n v="71"/>
    <x v="0"/>
    <n v="4"/>
    <x v="3"/>
    <m/>
    <x v="0"/>
    <x v="1"/>
    <x v="0"/>
    <n v="13"/>
    <x v="0"/>
  </r>
  <r>
    <n v="5331"/>
    <x v="32"/>
    <x v="0"/>
    <x v="2"/>
    <x v="718"/>
    <x v="0"/>
    <d v="1899-12-30T00:00:00"/>
    <d v="2012-09-11T00:00:00"/>
    <n v="8"/>
    <n v="51"/>
    <n v="0"/>
    <n v="0"/>
    <n v="7"/>
    <n v="49"/>
    <x v="1"/>
    <n v="7"/>
    <x v="3"/>
    <m/>
    <x v="0"/>
    <x v="0"/>
    <x v="0"/>
    <n v="14"/>
    <x v="0"/>
  </r>
  <r>
    <n v="1911"/>
    <x v="14"/>
    <x v="0"/>
    <x v="1"/>
    <x v="719"/>
    <x v="0"/>
    <d v="1899-12-30T00:00:00"/>
    <d v="2012-09-05T00:00:00"/>
    <n v="6"/>
    <n v="97"/>
    <n v="133"/>
    <n v="133"/>
    <n v="12"/>
    <n v="39"/>
    <x v="1"/>
    <n v="145"/>
    <x v="3"/>
    <m/>
    <x v="0"/>
    <x v="0"/>
    <x v="0"/>
    <n v="14"/>
    <x v="0"/>
  </r>
  <r>
    <n v="20"/>
    <x v="2"/>
    <x v="4"/>
    <x v="2"/>
    <x v="720"/>
    <x v="0"/>
    <d v="1899-12-31T00:00:00"/>
    <d v="2013-09-01T00:00:00"/>
    <n v="91"/>
    <n v="12"/>
    <n v="15"/>
    <n v="15"/>
    <n v="4"/>
    <n v="61"/>
    <x v="0"/>
    <n v="19"/>
    <x v="3"/>
    <m/>
    <x v="0"/>
    <x v="1"/>
    <x v="0"/>
    <n v="13"/>
    <x v="0"/>
  </r>
  <r>
    <n v="8786"/>
    <x v="46"/>
    <x v="2"/>
    <x v="2"/>
    <x v="721"/>
    <x v="0"/>
    <d v="1899-12-31T00:00:00"/>
    <d v="2013-05-26T00:00:00"/>
    <n v="52"/>
    <n v="7"/>
    <n v="0"/>
    <n v="0"/>
    <n v="7"/>
    <n v="70"/>
    <x v="0"/>
    <n v="7"/>
    <x v="3"/>
    <m/>
    <x v="0"/>
    <x v="0"/>
    <x v="0"/>
    <n v="13"/>
    <x v="0"/>
  </r>
  <r>
    <n v="10582"/>
    <x v="19"/>
    <x v="0"/>
    <x v="2"/>
    <x v="722"/>
    <x v="0"/>
    <d v="1899-12-31T00:00:00"/>
    <d v="2013-07-03T00:00:00"/>
    <n v="3"/>
    <n v="32"/>
    <n v="32"/>
    <n v="32"/>
    <n v="12"/>
    <n v="47"/>
    <x v="1"/>
    <n v="44"/>
    <x v="3"/>
    <m/>
    <x v="0"/>
    <x v="0"/>
    <x v="0"/>
    <n v="13"/>
    <x v="0"/>
  </r>
  <r>
    <n v="1915"/>
    <x v="20"/>
    <x v="1"/>
    <x v="2"/>
    <x v="723"/>
    <x v="0"/>
    <d v="1899-12-30T00:00:00"/>
    <d v="2013-12-12T00:00:00"/>
    <n v="57"/>
    <n v="115"/>
    <n v="0"/>
    <n v="0"/>
    <n v="6"/>
    <n v="75"/>
    <x v="0"/>
    <n v="6"/>
    <x v="3"/>
    <m/>
    <x v="0"/>
    <x v="3"/>
    <x v="0"/>
    <n v="13"/>
    <x v="0"/>
  </r>
  <r>
    <n v="8897"/>
    <x v="2"/>
    <x v="0"/>
    <x v="0"/>
    <x v="724"/>
    <x v="1"/>
    <d v="1899-12-31T00:00:00"/>
    <d v="2013-04-24T00:00:00"/>
    <n v="9"/>
    <n v="5"/>
    <n v="26"/>
    <n v="26"/>
    <n v="7"/>
    <n v="61"/>
    <x v="0"/>
    <n v="33"/>
    <x v="3"/>
    <m/>
    <x v="0"/>
    <x v="1"/>
    <x v="0"/>
    <n v="13"/>
    <x v="0"/>
  </r>
  <r>
    <n v="2371"/>
    <x v="39"/>
    <x v="0"/>
    <x v="2"/>
    <x v="725"/>
    <x v="1"/>
    <d v="1899-12-31T00:00:00"/>
    <d v="2013-04-13T00:00:00"/>
    <n v="22"/>
    <n v="1"/>
    <n v="4"/>
    <n v="4"/>
    <n v="4"/>
    <n v="54"/>
    <x v="0"/>
    <n v="8"/>
    <x v="3"/>
    <m/>
    <x v="0"/>
    <x v="1"/>
    <x v="0"/>
    <n v="13"/>
    <x v="0"/>
  </r>
  <r>
    <n v="4303"/>
    <x v="0"/>
    <x v="1"/>
    <x v="1"/>
    <x v="726"/>
    <x v="0"/>
    <d v="1899-12-31T00:00:00"/>
    <d v="2012-12-08T00:00:00"/>
    <n v="76"/>
    <n v="2"/>
    <n v="2"/>
    <n v="2"/>
    <n v="1"/>
    <n v="69"/>
    <x v="0"/>
    <n v="3"/>
    <x v="3"/>
    <m/>
    <x v="0"/>
    <x v="2"/>
    <x v="0"/>
    <n v="14"/>
    <x v="0"/>
  </r>
  <r>
    <n v="6825"/>
    <x v="44"/>
    <x v="0"/>
    <x v="1"/>
    <x v="727"/>
    <x v="1"/>
    <d v="1899-12-31T00:00:00"/>
    <d v="2013-03-06T00:00:00"/>
    <n v="86"/>
    <n v="0"/>
    <n v="0"/>
    <n v="0"/>
    <n v="2"/>
    <n v="73"/>
    <x v="0"/>
    <n v="2"/>
    <x v="3"/>
    <m/>
    <x v="0"/>
    <x v="1"/>
    <x v="0"/>
    <n v="13"/>
    <x v="0"/>
  </r>
  <r>
    <n v="1072"/>
    <x v="2"/>
    <x v="1"/>
    <x v="0"/>
    <x v="728"/>
    <x v="0"/>
    <d v="1899-12-31T00:00:00"/>
    <d v="2013-08-30T00:00:00"/>
    <n v="64"/>
    <n v="0"/>
    <n v="0"/>
    <n v="0"/>
    <n v="3"/>
    <n v="61"/>
    <x v="0"/>
    <n v="3"/>
    <x v="3"/>
    <m/>
    <x v="0"/>
    <x v="1"/>
    <x v="0"/>
    <n v="13"/>
    <x v="0"/>
  </r>
  <r>
    <n v="4964"/>
    <x v="38"/>
    <x v="1"/>
    <x v="1"/>
    <x v="729"/>
    <x v="0"/>
    <d v="1899-12-30T00:00:00"/>
    <d v="2014-01-26T00:00:00"/>
    <n v="90"/>
    <n v="11"/>
    <n v="0"/>
    <n v="0"/>
    <n v="4"/>
    <n v="68"/>
    <x v="0"/>
    <n v="4"/>
    <x v="3"/>
    <m/>
    <x v="0"/>
    <x v="0"/>
    <x v="0"/>
    <n v="12"/>
    <x v="0"/>
  </r>
  <r>
    <n v="2461"/>
    <x v="34"/>
    <x v="2"/>
    <x v="0"/>
    <x v="730"/>
    <x v="1"/>
    <d v="1899-12-31T00:00:00"/>
    <d v="2013-12-18T00:00:00"/>
    <n v="79"/>
    <n v="1"/>
    <n v="1"/>
    <n v="1"/>
    <n v="3"/>
    <n v="71"/>
    <x v="0"/>
    <n v="4"/>
    <x v="3"/>
    <m/>
    <x v="0"/>
    <x v="0"/>
    <x v="0"/>
    <n v="13"/>
    <x v="0"/>
  </r>
  <r>
    <n v="10736"/>
    <x v="6"/>
    <x v="0"/>
    <x v="0"/>
    <x v="731"/>
    <x v="0"/>
    <d v="1899-12-31T00:00:00"/>
    <d v="2013-09-12T00:00:00"/>
    <n v="28"/>
    <n v="0"/>
    <n v="120"/>
    <n v="120"/>
    <n v="5"/>
    <n v="55"/>
    <x v="0"/>
    <n v="125"/>
    <x v="3"/>
    <m/>
    <x v="0"/>
    <x v="0"/>
    <x v="0"/>
    <n v="13"/>
    <x v="0"/>
  </r>
  <r>
    <n v="3194"/>
    <x v="8"/>
    <x v="1"/>
    <x v="0"/>
    <x v="732"/>
    <x v="0"/>
    <d v="1899-12-30T00:00:00"/>
    <d v="2014-04-05T00:00:00"/>
    <n v="86"/>
    <n v="12"/>
    <n v="182"/>
    <n v="182"/>
    <n v="10"/>
    <n v="52"/>
    <x v="0"/>
    <n v="192"/>
    <x v="3"/>
    <m/>
    <x v="0"/>
    <x v="0"/>
    <x v="0"/>
    <n v="12"/>
    <x v="0"/>
  </r>
  <r>
    <n v="10839"/>
    <x v="11"/>
    <x v="0"/>
    <x v="1"/>
    <x v="733"/>
    <x v="1"/>
    <d v="1899-12-31T00:00:00"/>
    <d v="2014-04-14T00:00:00"/>
    <n v="42"/>
    <n v="5"/>
    <n v="0"/>
    <n v="0"/>
    <n v="3"/>
    <n v="50"/>
    <x v="1"/>
    <n v="3"/>
    <x v="3"/>
    <m/>
    <x v="0"/>
    <x v="1"/>
    <x v="0"/>
    <n v="12"/>
    <x v="0"/>
  </r>
  <r>
    <n v="49"/>
    <x v="25"/>
    <x v="0"/>
    <x v="0"/>
    <x v="734"/>
    <x v="1"/>
    <d v="1899-12-30T00:00:00"/>
    <d v="2014-05-11T00:00:00"/>
    <n v="39"/>
    <n v="3"/>
    <n v="1"/>
    <n v="1"/>
    <n v="2"/>
    <n v="56"/>
    <x v="0"/>
    <n v="3"/>
    <x v="3"/>
    <m/>
    <x v="0"/>
    <x v="2"/>
    <x v="0"/>
    <n v="12"/>
    <x v="0"/>
  </r>
  <r>
    <n v="4290"/>
    <x v="39"/>
    <x v="0"/>
    <x v="2"/>
    <x v="735"/>
    <x v="1"/>
    <d v="1899-12-30T00:00:00"/>
    <d v="2014-03-19T00:00:00"/>
    <n v="8"/>
    <n v="3"/>
    <n v="5"/>
    <n v="5"/>
    <n v="2"/>
    <n v="54"/>
    <x v="0"/>
    <n v="7"/>
    <x v="3"/>
    <m/>
    <x v="0"/>
    <x v="1"/>
    <x v="0"/>
    <n v="12"/>
    <x v="0"/>
  </r>
  <r>
    <n v="10219"/>
    <x v="39"/>
    <x v="0"/>
    <x v="1"/>
    <x v="736"/>
    <x v="1"/>
    <d v="1899-12-30T00:00:00"/>
    <d v="2013-06-18T00:00:00"/>
    <n v="40"/>
    <n v="2"/>
    <n v="6"/>
    <n v="6"/>
    <n v="3"/>
    <n v="54"/>
    <x v="0"/>
    <n v="9"/>
    <x v="3"/>
    <m/>
    <x v="0"/>
    <x v="1"/>
    <x v="0"/>
    <n v="13"/>
    <x v="0"/>
  </r>
  <r>
    <n v="4211"/>
    <x v="22"/>
    <x v="3"/>
    <x v="2"/>
    <x v="737"/>
    <x v="1"/>
    <d v="1899-12-30T00:00:00"/>
    <d v="2012-10-29T00:00:00"/>
    <n v="5"/>
    <n v="12"/>
    <n v="16"/>
    <n v="16"/>
    <n v="3"/>
    <n v="40"/>
    <x v="1"/>
    <n v="19"/>
    <x v="3"/>
    <m/>
    <x v="0"/>
    <x v="2"/>
    <x v="0"/>
    <n v="14"/>
    <x v="0"/>
  </r>
  <r>
    <n v="1135"/>
    <x v="40"/>
    <x v="2"/>
    <x v="1"/>
    <x v="738"/>
    <x v="1"/>
    <d v="1899-12-31T00:00:00"/>
    <d v="2014-02-15T00:00:00"/>
    <n v="96"/>
    <n v="2"/>
    <n v="2"/>
    <n v="2"/>
    <n v="4"/>
    <n v="66"/>
    <x v="0"/>
    <n v="6"/>
    <x v="3"/>
    <m/>
    <x v="0"/>
    <x v="2"/>
    <x v="0"/>
    <n v="12"/>
    <x v="0"/>
  </r>
  <r>
    <n v="6299"/>
    <x v="30"/>
    <x v="1"/>
    <x v="3"/>
    <x v="739"/>
    <x v="0"/>
    <d v="1899-12-31T00:00:00"/>
    <d v="2013-01-02T00:00:00"/>
    <n v="28"/>
    <n v="48"/>
    <n v="18"/>
    <n v="18"/>
    <n v="4"/>
    <n v="58"/>
    <x v="0"/>
    <n v="22"/>
    <x v="3"/>
    <m/>
    <x v="0"/>
    <x v="1"/>
    <x v="0"/>
    <n v="13"/>
    <x v="0"/>
  </r>
  <r>
    <n v="10846"/>
    <x v="33"/>
    <x v="2"/>
    <x v="2"/>
    <x v="740"/>
    <x v="1"/>
    <d v="1899-12-30T00:00:00"/>
    <d v="2014-05-29T00:00:00"/>
    <n v="22"/>
    <n v="9"/>
    <n v="4"/>
    <n v="4"/>
    <n v="8"/>
    <n v="48"/>
    <x v="1"/>
    <n v="12"/>
    <x v="3"/>
    <m/>
    <x v="0"/>
    <x v="1"/>
    <x v="0"/>
    <n v="12"/>
    <x v="0"/>
  </r>
  <r>
    <n v="347"/>
    <x v="11"/>
    <x v="0"/>
    <x v="3"/>
    <x v="741"/>
    <x v="0"/>
    <d v="1899-12-31T00:00:00"/>
    <d v="2012-09-08T00:00:00"/>
    <n v="30"/>
    <n v="27"/>
    <n v="3"/>
    <n v="3"/>
    <n v="5"/>
    <n v="50"/>
    <x v="1"/>
    <n v="8"/>
    <x v="3"/>
    <m/>
    <x v="0"/>
    <x v="1"/>
    <x v="0"/>
    <n v="14"/>
    <x v="0"/>
  </r>
  <r>
    <n v="6543"/>
    <x v="41"/>
    <x v="2"/>
    <x v="1"/>
    <x v="742"/>
    <x v="0"/>
    <d v="1899-12-30T00:00:00"/>
    <d v="2013-01-15T00:00:00"/>
    <n v="45"/>
    <n v="168"/>
    <n v="76"/>
    <n v="76"/>
    <n v="4"/>
    <n v="81"/>
    <x v="0"/>
    <n v="80"/>
    <x v="3"/>
    <m/>
    <x v="0"/>
    <x v="0"/>
    <x v="0"/>
    <n v="13"/>
    <x v="0"/>
  </r>
  <r>
    <n v="10446"/>
    <x v="0"/>
    <x v="1"/>
    <x v="2"/>
    <x v="743"/>
    <x v="0"/>
    <d v="1899-12-30T00:00:00"/>
    <d v="2012-11-07T00:00:00"/>
    <n v="58"/>
    <n v="23"/>
    <n v="23"/>
    <n v="23"/>
    <n v="7"/>
    <n v="69"/>
    <x v="0"/>
    <n v="30"/>
    <x v="3"/>
    <m/>
    <x v="0"/>
    <x v="3"/>
    <x v="0"/>
    <n v="14"/>
    <x v="0"/>
  </r>
  <r>
    <n v="3479"/>
    <x v="9"/>
    <x v="0"/>
    <x v="0"/>
    <x v="744"/>
    <x v="0"/>
    <d v="1899-12-30T00:00:00"/>
    <d v="2013-07-19T00:00:00"/>
    <n v="49"/>
    <n v="8"/>
    <n v="2"/>
    <n v="2"/>
    <n v="3"/>
    <n v="76"/>
    <x v="0"/>
    <n v="5"/>
    <x v="3"/>
    <m/>
    <x v="0"/>
    <x v="2"/>
    <x v="0"/>
    <n v="13"/>
    <x v="0"/>
  </r>
  <r>
    <n v="11075"/>
    <x v="33"/>
    <x v="0"/>
    <x v="2"/>
    <x v="745"/>
    <x v="1"/>
    <d v="1899-12-31T00:00:00"/>
    <d v="2013-10-29T00:00:00"/>
    <n v="37"/>
    <n v="2"/>
    <n v="2"/>
    <n v="2"/>
    <n v="5"/>
    <n v="48"/>
    <x v="1"/>
    <n v="7"/>
    <x v="3"/>
    <m/>
    <x v="0"/>
    <x v="0"/>
    <x v="0"/>
    <n v="13"/>
    <x v="0"/>
  </r>
  <r>
    <n v="4442"/>
    <x v="45"/>
    <x v="0"/>
    <x v="0"/>
    <x v="746"/>
    <x v="0"/>
    <d v="1899-12-31T00:00:00"/>
    <d v="2013-04-05T00:00:00"/>
    <n v="70"/>
    <n v="19"/>
    <n v="14"/>
    <n v="14"/>
    <n v="5"/>
    <n v="65"/>
    <x v="0"/>
    <n v="19"/>
    <x v="3"/>
    <m/>
    <x v="0"/>
    <x v="1"/>
    <x v="0"/>
    <n v="13"/>
    <x v="0"/>
  </r>
  <r>
    <n v="199"/>
    <x v="43"/>
    <x v="2"/>
    <x v="0"/>
    <x v="747"/>
    <x v="0"/>
    <d v="1899-12-30T00:00:00"/>
    <d v="2013-01-20T00:00:00"/>
    <n v="33"/>
    <n v="3"/>
    <n v="9"/>
    <n v="9"/>
    <n v="7"/>
    <n v="64"/>
    <x v="0"/>
    <n v="16"/>
    <x v="3"/>
    <m/>
    <x v="0"/>
    <x v="1"/>
    <x v="0"/>
    <n v="13"/>
    <x v="0"/>
  </r>
  <r>
    <n v="6722"/>
    <x v="1"/>
    <x v="1"/>
    <x v="2"/>
    <x v="748"/>
    <x v="0"/>
    <d v="1899-12-31T00:00:00"/>
    <d v="2014-06-28T00:00:00"/>
    <n v="98"/>
    <n v="28"/>
    <n v="14"/>
    <n v="14"/>
    <n v="7"/>
    <n v="72"/>
    <x v="0"/>
    <n v="21"/>
    <x v="3"/>
    <m/>
    <x v="0"/>
    <x v="0"/>
    <x v="0"/>
    <n v="12"/>
    <x v="0"/>
  </r>
  <r>
    <n v="796"/>
    <x v="2"/>
    <x v="4"/>
    <x v="3"/>
    <x v="749"/>
    <x v="0"/>
    <d v="1899-12-31T00:00:00"/>
    <d v="2012-10-23T00:00:00"/>
    <n v="17"/>
    <n v="44"/>
    <n v="8"/>
    <n v="8"/>
    <n v="8"/>
    <n v="61"/>
    <x v="0"/>
    <n v="16"/>
    <x v="3"/>
    <m/>
    <x v="0"/>
    <x v="0"/>
    <x v="0"/>
    <n v="14"/>
    <x v="0"/>
  </r>
  <r>
    <n v="3749"/>
    <x v="26"/>
    <x v="0"/>
    <x v="1"/>
    <x v="750"/>
    <x v="0"/>
    <d v="1899-12-30T00:00:00"/>
    <d v="2013-03-02T00:00:00"/>
    <n v="54"/>
    <n v="91"/>
    <n v="91"/>
    <n v="91"/>
    <n v="12"/>
    <n v="53"/>
    <x v="0"/>
    <n v="103"/>
    <x v="3"/>
    <m/>
    <x v="0"/>
    <x v="0"/>
    <x v="0"/>
    <n v="13"/>
    <x v="0"/>
  </r>
  <r>
    <n v="8523"/>
    <x v="30"/>
    <x v="0"/>
    <x v="2"/>
    <x v="751"/>
    <x v="1"/>
    <d v="1899-12-30T00:00:00"/>
    <d v="2013-12-14T00:00:00"/>
    <n v="39"/>
    <n v="1"/>
    <n v="2"/>
    <n v="2"/>
    <n v="3"/>
    <n v="58"/>
    <x v="0"/>
    <n v="5"/>
    <x v="3"/>
    <m/>
    <x v="0"/>
    <x v="2"/>
    <x v="0"/>
    <n v="13"/>
    <x v="0"/>
  </r>
  <r>
    <n v="310"/>
    <x v="25"/>
    <x v="2"/>
    <x v="2"/>
    <x v="752"/>
    <x v="0"/>
    <d v="1899-12-31T00:00:00"/>
    <d v="2013-12-13T00:00:00"/>
    <n v="81"/>
    <n v="5"/>
    <n v="27"/>
    <n v="27"/>
    <n v="9"/>
    <n v="56"/>
    <x v="0"/>
    <n v="36"/>
    <x v="3"/>
    <m/>
    <x v="0"/>
    <x v="0"/>
    <x v="0"/>
    <n v="13"/>
    <x v="0"/>
  </r>
  <r>
    <n v="8629"/>
    <x v="46"/>
    <x v="0"/>
    <x v="4"/>
    <x v="753"/>
    <x v="1"/>
    <d v="1899-12-31T00:00:00"/>
    <d v="2013-03-26T00:00:00"/>
    <n v="71"/>
    <n v="1"/>
    <n v="1"/>
    <n v="1"/>
    <n v="3"/>
    <n v="70"/>
    <x v="0"/>
    <n v="4"/>
    <x v="3"/>
    <m/>
    <x v="0"/>
    <x v="1"/>
    <x v="0"/>
    <n v="13"/>
    <x v="0"/>
  </r>
  <r>
    <n v="236"/>
    <x v="20"/>
    <x v="0"/>
    <x v="2"/>
    <x v="754"/>
    <x v="1"/>
    <d v="1899-12-31T00:00:00"/>
    <d v="2013-01-19T00:00:00"/>
    <n v="62"/>
    <n v="23"/>
    <n v="14"/>
    <n v="14"/>
    <n v="4"/>
    <n v="75"/>
    <x v="0"/>
    <n v="18"/>
    <x v="3"/>
    <m/>
    <x v="0"/>
    <x v="1"/>
    <x v="0"/>
    <n v="13"/>
    <x v="0"/>
  </r>
  <r>
    <n v="9930"/>
    <x v="56"/>
    <x v="1"/>
    <x v="0"/>
    <x v="755"/>
    <x v="0"/>
    <d v="1899-12-30T00:00:00"/>
    <d v="2013-11-05T00:00:00"/>
    <n v="8"/>
    <n v="148"/>
    <n v="148"/>
    <n v="148"/>
    <n v="13"/>
    <n v="82"/>
    <x v="0"/>
    <n v="161"/>
    <x v="3"/>
    <m/>
    <x v="0"/>
    <x v="3"/>
    <x v="0"/>
    <n v="13"/>
    <x v="0"/>
  </r>
  <r>
    <n v="3483"/>
    <x v="38"/>
    <x v="0"/>
    <x v="2"/>
    <x v="756"/>
    <x v="0"/>
    <d v="1899-12-30T00:00:00"/>
    <d v="2013-04-06T00:00:00"/>
    <n v="76"/>
    <n v="43"/>
    <n v="58"/>
    <n v="58"/>
    <n v="12"/>
    <n v="68"/>
    <x v="0"/>
    <n v="70"/>
    <x v="3"/>
    <m/>
    <x v="0"/>
    <x v="1"/>
    <x v="0"/>
    <n v="13"/>
    <x v="0"/>
  </r>
  <r>
    <n v="4599"/>
    <x v="11"/>
    <x v="2"/>
    <x v="2"/>
    <x v="757"/>
    <x v="0"/>
    <d v="1900-01-01T00:00:00"/>
    <d v="2013-11-04T00:00:00"/>
    <n v="66"/>
    <n v="0"/>
    <n v="0"/>
    <n v="0"/>
    <n v="7"/>
    <n v="50"/>
    <x v="1"/>
    <n v="7"/>
    <x v="3"/>
    <m/>
    <x v="0"/>
    <x v="1"/>
    <x v="0"/>
    <n v="13"/>
    <x v="0"/>
  </r>
  <r>
    <n v="7326"/>
    <x v="6"/>
    <x v="2"/>
    <x v="2"/>
    <x v="758"/>
    <x v="0"/>
    <d v="1899-12-31T00:00:00"/>
    <d v="2014-03-23T00:00:00"/>
    <n v="83"/>
    <n v="1"/>
    <n v="7"/>
    <n v="7"/>
    <n v="3"/>
    <n v="55"/>
    <x v="0"/>
    <n v="10"/>
    <x v="3"/>
    <m/>
    <x v="0"/>
    <x v="0"/>
    <x v="0"/>
    <n v="12"/>
    <x v="0"/>
  </r>
  <r>
    <n v="7352"/>
    <x v="0"/>
    <x v="0"/>
    <x v="2"/>
    <x v="759"/>
    <x v="0"/>
    <d v="1899-12-31T00:00:00"/>
    <d v="2013-10-21T00:00:00"/>
    <n v="28"/>
    <n v="28"/>
    <n v="3"/>
    <n v="3"/>
    <n v="6"/>
    <n v="69"/>
    <x v="0"/>
    <n v="9"/>
    <x v="3"/>
    <m/>
    <x v="0"/>
    <x v="0"/>
    <x v="0"/>
    <n v="13"/>
    <x v="0"/>
  </r>
  <r>
    <n v="2350"/>
    <x v="39"/>
    <x v="0"/>
    <x v="2"/>
    <x v="760"/>
    <x v="1"/>
    <d v="1899-12-31T00:00:00"/>
    <d v="2013-03-22T00:00:00"/>
    <n v="87"/>
    <n v="53"/>
    <n v="17"/>
    <n v="17"/>
    <n v="8"/>
    <n v="54"/>
    <x v="0"/>
    <n v="25"/>
    <x v="3"/>
    <m/>
    <x v="0"/>
    <x v="0"/>
    <x v="0"/>
    <n v="13"/>
    <x v="0"/>
  </r>
  <r>
    <n v="9145"/>
    <x v="39"/>
    <x v="0"/>
    <x v="0"/>
    <x v="761"/>
    <x v="0"/>
    <d v="1899-12-31T00:00:00"/>
    <d v="2013-04-06T00:00:00"/>
    <n v="43"/>
    <n v="26"/>
    <n v="161"/>
    <n v="161"/>
    <n v="6"/>
    <n v="54"/>
    <x v="0"/>
    <n v="167"/>
    <x v="3"/>
    <m/>
    <x v="0"/>
    <x v="0"/>
    <x v="0"/>
    <n v="13"/>
    <x v="0"/>
  </r>
  <r>
    <n v="2964"/>
    <x v="4"/>
    <x v="0"/>
    <x v="2"/>
    <x v="762"/>
    <x v="0"/>
    <d v="1899-12-30T00:00:00"/>
    <d v="2013-10-16T00:00:00"/>
    <n v="0"/>
    <n v="10"/>
    <n v="16"/>
    <n v="16"/>
    <n v="2"/>
    <n v="45"/>
    <x v="1"/>
    <n v="18"/>
    <x v="3"/>
    <m/>
    <x v="0"/>
    <x v="2"/>
    <x v="0"/>
    <n v="13"/>
    <x v="0"/>
  </r>
  <r>
    <n v="5585"/>
    <x v="39"/>
    <x v="0"/>
    <x v="0"/>
    <x v="763"/>
    <x v="1"/>
    <d v="1899-12-30T00:00:00"/>
    <d v="2013-04-20T00:00:00"/>
    <n v="1"/>
    <n v="2"/>
    <n v="1"/>
    <n v="1"/>
    <n v="3"/>
    <n v="54"/>
    <x v="0"/>
    <n v="4"/>
    <x v="3"/>
    <m/>
    <x v="0"/>
    <x v="2"/>
    <x v="0"/>
    <n v="13"/>
    <x v="0"/>
  </r>
  <r>
    <n v="9687"/>
    <x v="28"/>
    <x v="0"/>
    <x v="0"/>
    <x v="764"/>
    <x v="0"/>
    <d v="1899-12-30T00:00:00"/>
    <d v="2014-05-31T00:00:00"/>
    <n v="1"/>
    <n v="174"/>
    <n v="30"/>
    <n v="30"/>
    <n v="6"/>
    <n v="51"/>
    <x v="0"/>
    <n v="36"/>
    <x v="3"/>
    <m/>
    <x v="0"/>
    <x v="0"/>
    <x v="0"/>
    <n v="12"/>
    <x v="0"/>
  </r>
  <r>
    <n v="3732"/>
    <x v="34"/>
    <x v="2"/>
    <x v="2"/>
    <x v="765"/>
    <x v="0"/>
    <d v="1899-12-31T00:00:00"/>
    <d v="2013-02-04T00:00:00"/>
    <n v="72"/>
    <n v="0"/>
    <n v="69"/>
    <n v="69"/>
    <n v="9"/>
    <n v="71"/>
    <x v="0"/>
    <n v="78"/>
    <x v="3"/>
    <m/>
    <x v="0"/>
    <x v="0"/>
    <x v="0"/>
    <n v="13"/>
    <x v="0"/>
  </r>
  <r>
    <n v="6303"/>
    <x v="22"/>
    <x v="1"/>
    <x v="1"/>
    <x v="766"/>
    <x v="0"/>
    <d v="1899-12-30T00:00:00"/>
    <d v="2013-11-23T00:00:00"/>
    <n v="72"/>
    <n v="73"/>
    <n v="161"/>
    <n v="161"/>
    <n v="12"/>
    <n v="40"/>
    <x v="1"/>
    <n v="173"/>
    <x v="3"/>
    <m/>
    <x v="0"/>
    <x v="3"/>
    <x v="0"/>
    <n v="13"/>
    <x v="0"/>
  </r>
  <r>
    <n v="11176"/>
    <x v="25"/>
    <x v="1"/>
    <x v="1"/>
    <x v="767"/>
    <x v="0"/>
    <d v="1899-12-31T00:00:00"/>
    <d v="2014-05-12T00:00:00"/>
    <n v="12"/>
    <n v="9"/>
    <n v="4"/>
    <n v="4"/>
    <n v="7"/>
    <n v="56"/>
    <x v="0"/>
    <n v="11"/>
    <x v="3"/>
    <m/>
    <x v="0"/>
    <x v="0"/>
    <x v="0"/>
    <n v="12"/>
    <x v="0"/>
  </r>
  <r>
    <n v="2986"/>
    <x v="11"/>
    <x v="0"/>
    <x v="2"/>
    <x v="768"/>
    <x v="1"/>
    <d v="1899-12-31T00:00:00"/>
    <d v="2014-03-12T00:00:00"/>
    <n v="89"/>
    <n v="2"/>
    <n v="1"/>
    <n v="1"/>
    <n v="2"/>
    <n v="50"/>
    <x v="1"/>
    <n v="3"/>
    <x v="3"/>
    <m/>
    <x v="0"/>
    <x v="1"/>
    <x v="0"/>
    <n v="12"/>
    <x v="0"/>
  </r>
  <r>
    <n v="7462"/>
    <x v="1"/>
    <x v="0"/>
    <x v="0"/>
    <x v="769"/>
    <x v="0"/>
    <d v="1899-12-30T00:00:00"/>
    <d v="2012-11-24T00:00:00"/>
    <n v="67"/>
    <n v="0"/>
    <n v="157"/>
    <n v="157"/>
    <n v="4"/>
    <n v="72"/>
    <x v="0"/>
    <n v="161"/>
    <x v="3"/>
    <m/>
    <x v="0"/>
    <x v="2"/>
    <x v="0"/>
    <n v="14"/>
    <x v="0"/>
  </r>
  <r>
    <n v="3900"/>
    <x v="39"/>
    <x v="0"/>
    <x v="2"/>
    <x v="770"/>
    <x v="0"/>
    <d v="1899-12-31T00:00:00"/>
    <d v="2014-03-29T00:00:00"/>
    <n v="54"/>
    <n v="14"/>
    <n v="7"/>
    <n v="7"/>
    <n v="9"/>
    <n v="54"/>
    <x v="0"/>
    <n v="16"/>
    <x v="3"/>
    <m/>
    <x v="0"/>
    <x v="0"/>
    <x v="0"/>
    <n v="12"/>
    <x v="0"/>
  </r>
  <r>
    <n v="7034"/>
    <x v="33"/>
    <x v="4"/>
    <x v="2"/>
    <x v="771"/>
    <x v="1"/>
    <d v="1899-12-30T00:00:00"/>
    <d v="2013-09-01T00:00:00"/>
    <n v="34"/>
    <n v="7"/>
    <n v="6"/>
    <n v="6"/>
    <n v="3"/>
    <n v="48"/>
    <x v="1"/>
    <n v="9"/>
    <x v="3"/>
    <m/>
    <x v="0"/>
    <x v="2"/>
    <x v="0"/>
    <n v="13"/>
    <x v="0"/>
  </r>
  <r>
    <n v="9493"/>
    <x v="16"/>
    <x v="1"/>
    <x v="0"/>
    <x v="772"/>
    <x v="0"/>
    <d v="1899-12-30T00:00:00"/>
    <d v="2013-05-05T00:00:00"/>
    <n v="15"/>
    <n v="53"/>
    <n v="71"/>
    <n v="71"/>
    <n v="8"/>
    <n v="46"/>
    <x v="1"/>
    <n v="79"/>
    <x v="3"/>
    <m/>
    <x v="0"/>
    <x v="3"/>
    <x v="0"/>
    <n v="13"/>
    <x v="0"/>
  </r>
  <r>
    <n v="1143"/>
    <x v="39"/>
    <x v="0"/>
    <x v="2"/>
    <x v="773"/>
    <x v="1"/>
    <d v="1899-12-30T00:00:00"/>
    <d v="2013-08-08T00:00:00"/>
    <n v="43"/>
    <n v="10"/>
    <n v="11"/>
    <n v="11"/>
    <n v="3"/>
    <n v="54"/>
    <x v="0"/>
    <n v="14"/>
    <x v="3"/>
    <m/>
    <x v="0"/>
    <x v="2"/>
    <x v="0"/>
    <n v="13"/>
    <x v="0"/>
  </r>
  <r>
    <n v="1"/>
    <x v="45"/>
    <x v="0"/>
    <x v="0"/>
    <x v="774"/>
    <x v="0"/>
    <d v="1899-12-30T00:00:00"/>
    <d v="2014-06-15T00:00:00"/>
    <n v="0"/>
    <n v="5"/>
    <n v="0"/>
    <n v="0"/>
    <n v="7"/>
    <n v="65"/>
    <x v="0"/>
    <n v="7"/>
    <x v="3"/>
    <m/>
    <x v="0"/>
    <x v="0"/>
    <x v="0"/>
    <n v="12"/>
    <x v="0"/>
  </r>
  <r>
    <n v="3855"/>
    <x v="24"/>
    <x v="0"/>
    <x v="2"/>
    <x v="520"/>
    <x v="0"/>
    <d v="1899-12-30T00:00:00"/>
    <d v="2013-04-18T00:00:00"/>
    <n v="74"/>
    <n v="3"/>
    <n v="21"/>
    <n v="21"/>
    <n v="2"/>
    <n v="63"/>
    <x v="0"/>
    <n v="23"/>
    <x v="3"/>
    <m/>
    <x v="0"/>
    <x v="2"/>
    <x v="0"/>
    <n v="13"/>
    <x v="0"/>
  </r>
  <r>
    <n v="5536"/>
    <x v="12"/>
    <x v="0"/>
    <x v="1"/>
    <x v="526"/>
    <x v="0"/>
    <d v="1899-12-31T00:00:00"/>
    <d v="2013-05-22T00:00:00"/>
    <n v="61"/>
    <n v="38"/>
    <n v="57"/>
    <n v="57"/>
    <n v="4"/>
    <n v="67"/>
    <x v="0"/>
    <n v="61"/>
    <x v="3"/>
    <m/>
    <x v="0"/>
    <x v="3"/>
    <x v="0"/>
    <n v="13"/>
    <x v="0"/>
  </r>
  <r>
    <n v="5989"/>
    <x v="12"/>
    <x v="4"/>
    <x v="3"/>
    <x v="775"/>
    <x v="0"/>
    <d v="1899-12-31T00:00:00"/>
    <d v="2013-04-16T00:00:00"/>
    <n v="51"/>
    <n v="122"/>
    <n v="153"/>
    <n v="153"/>
    <n v="11"/>
    <n v="67"/>
    <x v="0"/>
    <n v="164"/>
    <x v="3"/>
    <m/>
    <x v="0"/>
    <x v="3"/>
    <x v="0"/>
    <n v="13"/>
    <x v="0"/>
  </r>
  <r>
    <n v="9499"/>
    <x v="1"/>
    <x v="0"/>
    <x v="2"/>
    <x v="776"/>
    <x v="1"/>
    <d v="1900-01-01T00:00:00"/>
    <d v="2013-05-07T00:00:00"/>
    <n v="97"/>
    <n v="15"/>
    <n v="0"/>
    <n v="0"/>
    <n v="7"/>
    <n v="72"/>
    <x v="0"/>
    <n v="7"/>
    <x v="3"/>
    <m/>
    <x v="0"/>
    <x v="3"/>
    <x v="0"/>
    <n v="13"/>
    <x v="0"/>
  </r>
  <r>
    <n v="6768"/>
    <x v="43"/>
    <x v="0"/>
    <x v="3"/>
    <x v="777"/>
    <x v="1"/>
    <d v="1900-01-01T00:00:00"/>
    <d v="2013-01-12T00:00:00"/>
    <n v="75"/>
    <n v="1"/>
    <n v="1"/>
    <n v="1"/>
    <n v="3"/>
    <n v="64"/>
    <x v="0"/>
    <n v="4"/>
    <x v="3"/>
    <m/>
    <x v="0"/>
    <x v="1"/>
    <x v="0"/>
    <n v="13"/>
    <x v="0"/>
  </r>
  <r>
    <n v="2150"/>
    <x v="38"/>
    <x v="1"/>
    <x v="4"/>
    <x v="778"/>
    <x v="0"/>
    <d v="1899-12-31T00:00:00"/>
    <d v="2013-05-11T00:00:00"/>
    <n v="83"/>
    <n v="28"/>
    <n v="56"/>
    <n v="56"/>
    <n v="4"/>
    <n v="68"/>
    <x v="0"/>
    <n v="60"/>
    <x v="3"/>
    <m/>
    <x v="0"/>
    <x v="3"/>
    <x v="0"/>
    <n v="13"/>
    <x v="0"/>
  </r>
  <r>
    <n v="6646"/>
    <x v="3"/>
    <x v="0"/>
    <x v="1"/>
    <x v="779"/>
    <x v="1"/>
    <d v="1899-12-30T00:00:00"/>
    <d v="2014-03-01T00:00:00"/>
    <n v="23"/>
    <n v="0"/>
    <n v="0"/>
    <n v="0"/>
    <n v="3"/>
    <n v="42"/>
    <x v="1"/>
    <n v="3"/>
    <x v="3"/>
    <m/>
    <x v="0"/>
    <x v="2"/>
    <x v="0"/>
    <n v="12"/>
    <x v="0"/>
  </r>
  <r>
    <n v="4887"/>
    <x v="11"/>
    <x v="1"/>
    <x v="3"/>
    <x v="780"/>
    <x v="1"/>
    <d v="1899-12-31T00:00:00"/>
    <d v="2013-11-22T00:00:00"/>
    <n v="65"/>
    <n v="5"/>
    <n v="1"/>
    <n v="1"/>
    <n v="3"/>
    <n v="50"/>
    <x v="1"/>
    <n v="4"/>
    <x v="3"/>
    <m/>
    <x v="0"/>
    <x v="0"/>
    <x v="0"/>
    <n v="13"/>
    <x v="0"/>
  </r>
  <r>
    <n v="8560"/>
    <x v="47"/>
    <x v="0"/>
    <x v="0"/>
    <x v="781"/>
    <x v="0"/>
    <d v="1899-12-30T00:00:00"/>
    <d v="2012-09-10T00:00:00"/>
    <n v="94"/>
    <n v="16"/>
    <n v="5"/>
    <n v="5"/>
    <n v="7"/>
    <n v="34"/>
    <x v="1"/>
    <n v="12"/>
    <x v="3"/>
    <m/>
    <x v="0"/>
    <x v="1"/>
    <x v="0"/>
    <n v="14"/>
    <x v="0"/>
  </r>
  <r>
    <n v="3321"/>
    <x v="5"/>
    <x v="1"/>
    <x v="1"/>
    <x v="782"/>
    <x v="0"/>
    <d v="1900-01-01T00:00:00"/>
    <d v="2013-05-05T00:00:00"/>
    <n v="42"/>
    <n v="5"/>
    <n v="16"/>
    <n v="16"/>
    <n v="7"/>
    <n v="59"/>
    <x v="0"/>
    <n v="23"/>
    <x v="3"/>
    <m/>
    <x v="0"/>
    <x v="0"/>
    <x v="0"/>
    <n v="13"/>
    <x v="0"/>
  </r>
  <r>
    <n v="11003"/>
    <x v="16"/>
    <x v="4"/>
    <x v="1"/>
    <x v="783"/>
    <x v="1"/>
    <d v="1899-12-30T00:00:00"/>
    <d v="2013-10-02T00:00:00"/>
    <n v="10"/>
    <n v="5"/>
    <n v="18"/>
    <n v="18"/>
    <n v="3"/>
    <n v="46"/>
    <x v="1"/>
    <n v="21"/>
    <x v="3"/>
    <m/>
    <x v="0"/>
    <x v="2"/>
    <x v="0"/>
    <n v="13"/>
    <x v="0"/>
  </r>
  <r>
    <n v="10402"/>
    <x v="5"/>
    <x v="0"/>
    <x v="2"/>
    <x v="784"/>
    <x v="1"/>
    <d v="1899-12-31T00:00:00"/>
    <d v="2013-02-14T00:00:00"/>
    <n v="94"/>
    <n v="1"/>
    <n v="1"/>
    <n v="1"/>
    <n v="3"/>
    <n v="59"/>
    <x v="0"/>
    <n v="4"/>
    <x v="3"/>
    <m/>
    <x v="0"/>
    <x v="1"/>
    <x v="0"/>
    <n v="13"/>
    <x v="0"/>
  </r>
  <r>
    <n v="9904"/>
    <x v="46"/>
    <x v="0"/>
    <x v="2"/>
    <x v="785"/>
    <x v="0"/>
    <d v="1899-12-31T00:00:00"/>
    <d v="2013-03-29T00:00:00"/>
    <n v="50"/>
    <n v="123"/>
    <n v="123"/>
    <n v="123"/>
    <n v="12"/>
    <n v="70"/>
    <x v="0"/>
    <n v="135"/>
    <x v="3"/>
    <m/>
    <x v="0"/>
    <x v="0"/>
    <x v="0"/>
    <n v="13"/>
    <x v="0"/>
  </r>
  <r>
    <n v="6141"/>
    <x v="39"/>
    <x v="2"/>
    <x v="0"/>
    <x v="786"/>
    <x v="1"/>
    <d v="1899-12-30T00:00:00"/>
    <d v="2013-04-25T00:00:00"/>
    <n v="46"/>
    <n v="9"/>
    <n v="6"/>
    <n v="6"/>
    <n v="5"/>
    <n v="54"/>
    <x v="0"/>
    <n v="11"/>
    <x v="3"/>
    <m/>
    <x v="0"/>
    <x v="1"/>
    <x v="0"/>
    <n v="13"/>
    <x v="0"/>
  </r>
  <r>
    <n v="5687"/>
    <x v="16"/>
    <x v="0"/>
    <x v="3"/>
    <x v="787"/>
    <x v="0"/>
    <d v="1899-12-30T00:00:00"/>
    <d v="2012-09-23T00:00:00"/>
    <n v="98"/>
    <n v="50"/>
    <n v="31"/>
    <n v="31"/>
    <n v="12"/>
    <n v="46"/>
    <x v="1"/>
    <n v="43"/>
    <x v="3"/>
    <m/>
    <x v="0"/>
    <x v="3"/>
    <x v="0"/>
    <n v="14"/>
    <x v="0"/>
  </r>
  <r>
    <n v="10856"/>
    <x v="16"/>
    <x v="4"/>
    <x v="0"/>
    <x v="788"/>
    <x v="0"/>
    <d v="1899-12-31T00:00:00"/>
    <d v="2013-07-02T00:00:00"/>
    <n v="42"/>
    <n v="0"/>
    <n v="1"/>
    <n v="1"/>
    <n v="3"/>
    <n v="46"/>
    <x v="1"/>
    <n v="4"/>
    <x v="3"/>
    <m/>
    <x v="0"/>
    <x v="1"/>
    <x v="0"/>
    <n v="13"/>
    <x v="0"/>
  </r>
  <r>
    <n v="5121"/>
    <x v="32"/>
    <x v="0"/>
    <x v="0"/>
    <x v="789"/>
    <x v="0"/>
    <d v="1899-12-31T00:00:00"/>
    <d v="2014-03-21T00:00:00"/>
    <n v="30"/>
    <n v="5"/>
    <n v="17"/>
    <n v="17"/>
    <n v="5"/>
    <n v="49"/>
    <x v="1"/>
    <n v="22"/>
    <x v="3"/>
    <m/>
    <x v="0"/>
    <x v="0"/>
    <x v="0"/>
    <n v="12"/>
    <x v="0"/>
  </r>
  <r>
    <n v="4186"/>
    <x v="9"/>
    <x v="0"/>
    <x v="1"/>
    <x v="790"/>
    <x v="1"/>
    <d v="1899-12-31T00:00:00"/>
    <d v="2013-08-05T00:00:00"/>
    <n v="11"/>
    <n v="6"/>
    <n v="8"/>
    <n v="8"/>
    <n v="3"/>
    <n v="76"/>
    <x v="0"/>
    <n v="11"/>
    <x v="3"/>
    <m/>
    <x v="0"/>
    <x v="1"/>
    <x v="0"/>
    <n v="13"/>
    <x v="0"/>
  </r>
  <r>
    <n v="368"/>
    <x v="8"/>
    <x v="0"/>
    <x v="2"/>
    <x v="791"/>
    <x v="0"/>
    <d v="1899-12-31T00:00:00"/>
    <d v="2012-11-29T00:00:00"/>
    <n v="61"/>
    <n v="65"/>
    <n v="44"/>
    <n v="44"/>
    <n v="6"/>
    <n v="52"/>
    <x v="0"/>
    <n v="50"/>
    <x v="3"/>
    <m/>
    <x v="0"/>
    <x v="1"/>
    <x v="0"/>
    <n v="14"/>
    <x v="0"/>
  </r>
  <r>
    <n v="3312"/>
    <x v="36"/>
    <x v="0"/>
    <x v="0"/>
    <x v="138"/>
    <x v="1"/>
    <d v="1899-12-30T00:00:00"/>
    <d v="2014-05-12T00:00:00"/>
    <n v="12"/>
    <n v="7"/>
    <n v="14"/>
    <n v="14"/>
    <n v="4"/>
    <n v="38"/>
    <x v="1"/>
    <n v="18"/>
    <x v="3"/>
    <m/>
    <x v="0"/>
    <x v="1"/>
    <x v="0"/>
    <n v="12"/>
    <x v="0"/>
  </r>
  <r>
    <n v="11121"/>
    <x v="4"/>
    <x v="0"/>
    <x v="2"/>
    <x v="792"/>
    <x v="1"/>
    <d v="1899-12-30T00:00:00"/>
    <d v="2012-11-10T00:00:00"/>
    <n v="76"/>
    <n v="14"/>
    <n v="3"/>
    <n v="3"/>
    <n v="3"/>
    <n v="45"/>
    <x v="1"/>
    <n v="6"/>
    <x v="3"/>
    <m/>
    <x v="0"/>
    <x v="2"/>
    <x v="0"/>
    <n v="14"/>
    <x v="0"/>
  </r>
  <r>
    <n v="5332"/>
    <x v="40"/>
    <x v="4"/>
    <x v="2"/>
    <x v="793"/>
    <x v="0"/>
    <d v="1899-12-30T00:00:00"/>
    <d v="2013-07-27T00:00:00"/>
    <n v="2"/>
    <n v="50"/>
    <n v="35"/>
    <n v="35"/>
    <n v="7"/>
    <n v="66"/>
    <x v="0"/>
    <n v="42"/>
    <x v="3"/>
    <m/>
    <x v="0"/>
    <x v="3"/>
    <x v="0"/>
    <n v="13"/>
    <x v="0"/>
  </r>
  <r>
    <n v="5848"/>
    <x v="25"/>
    <x v="0"/>
    <x v="1"/>
    <x v="794"/>
    <x v="0"/>
    <d v="1899-12-30T00:00:00"/>
    <d v="2014-01-13T00:00:00"/>
    <n v="43"/>
    <n v="74"/>
    <n v="55"/>
    <n v="55"/>
    <n v="7"/>
    <n v="56"/>
    <x v="0"/>
    <n v="62"/>
    <x v="3"/>
    <m/>
    <x v="0"/>
    <x v="3"/>
    <x v="0"/>
    <n v="12"/>
    <x v="0"/>
  </r>
  <r>
    <n v="10343"/>
    <x v="42"/>
    <x v="4"/>
    <x v="0"/>
    <x v="795"/>
    <x v="0"/>
    <d v="1899-12-30T00:00:00"/>
    <d v="2012-09-29T00:00:00"/>
    <n v="27"/>
    <n v="91"/>
    <n v="45"/>
    <n v="45"/>
    <n v="8"/>
    <n v="35"/>
    <x v="1"/>
    <n v="53"/>
    <x v="3"/>
    <m/>
    <x v="0"/>
    <x v="0"/>
    <x v="0"/>
    <n v="14"/>
    <x v="0"/>
  </r>
  <r>
    <n v="5935"/>
    <x v="46"/>
    <x v="2"/>
    <x v="0"/>
    <x v="796"/>
    <x v="0"/>
    <d v="1899-12-31T00:00:00"/>
    <d v="2012-12-24T00:00:00"/>
    <n v="60"/>
    <n v="7"/>
    <n v="7"/>
    <n v="7"/>
    <n v="8"/>
    <n v="70"/>
    <x v="0"/>
    <n v="15"/>
    <x v="3"/>
    <m/>
    <x v="0"/>
    <x v="0"/>
    <x v="0"/>
    <n v="14"/>
    <x v="0"/>
  </r>
  <r>
    <n v="2895"/>
    <x v="24"/>
    <x v="0"/>
    <x v="0"/>
    <x v="797"/>
    <x v="0"/>
    <d v="1899-12-31T00:00:00"/>
    <d v="2013-10-23T00:00:00"/>
    <n v="79"/>
    <n v="1"/>
    <n v="9"/>
    <n v="9"/>
    <n v="5"/>
    <n v="63"/>
    <x v="0"/>
    <n v="14"/>
    <x v="3"/>
    <m/>
    <x v="0"/>
    <x v="1"/>
    <x v="0"/>
    <n v="13"/>
    <x v="0"/>
  </r>
  <r>
    <n v="10262"/>
    <x v="16"/>
    <x v="0"/>
    <x v="2"/>
    <x v="798"/>
    <x v="2"/>
    <d v="1899-12-30T00:00:00"/>
    <d v="2013-05-10T00:00:00"/>
    <n v="96"/>
    <n v="2"/>
    <n v="10"/>
    <n v="10"/>
    <n v="3"/>
    <n v="46"/>
    <x v="1"/>
    <n v="13"/>
    <x v="3"/>
    <m/>
    <x v="0"/>
    <x v="2"/>
    <x v="0"/>
    <n v="13"/>
    <x v="0"/>
  </r>
  <r>
    <n v="7848"/>
    <x v="8"/>
    <x v="0"/>
    <x v="0"/>
    <x v="799"/>
    <x v="0"/>
    <d v="1899-12-31T00:00:00"/>
    <d v="2013-06-13T00:00:00"/>
    <n v="17"/>
    <n v="2"/>
    <n v="0"/>
    <n v="0"/>
    <n v="3"/>
    <n v="52"/>
    <x v="0"/>
    <n v="3"/>
    <x v="3"/>
    <m/>
    <x v="0"/>
    <x v="1"/>
    <x v="0"/>
    <n v="13"/>
    <x v="0"/>
  </r>
  <r>
    <n v="9477"/>
    <x v="1"/>
    <x v="1"/>
    <x v="2"/>
    <x v="23"/>
    <x v="0"/>
    <d v="1899-12-31T00:00:00"/>
    <d v="2014-01-11T00:00:00"/>
    <n v="0"/>
    <n v="0"/>
    <n v="32"/>
    <n v="32"/>
    <n v="9"/>
    <n v="72"/>
    <x v="0"/>
    <n v="41"/>
    <x v="3"/>
    <m/>
    <x v="0"/>
    <x v="0"/>
    <x v="0"/>
    <n v="12"/>
    <x v="0"/>
  </r>
  <r>
    <n v="4856"/>
    <x v="0"/>
    <x v="4"/>
    <x v="2"/>
    <x v="800"/>
    <x v="0"/>
    <d v="1899-12-30T00:00:00"/>
    <d v="2012-11-06T00:00:00"/>
    <n v="38"/>
    <n v="54"/>
    <n v="133"/>
    <n v="133"/>
    <n v="10"/>
    <n v="69"/>
    <x v="0"/>
    <n v="143"/>
    <x v="3"/>
    <m/>
    <x v="0"/>
    <x v="3"/>
    <x v="0"/>
    <n v="14"/>
    <x v="0"/>
  </r>
  <r>
    <n v="7186"/>
    <x v="35"/>
    <x v="1"/>
    <x v="1"/>
    <x v="801"/>
    <x v="1"/>
    <d v="1899-12-31T00:00:00"/>
    <d v="2014-05-26T00:00:00"/>
    <n v="43"/>
    <n v="0"/>
    <n v="0"/>
    <n v="0"/>
    <n v="2"/>
    <n v="60"/>
    <x v="0"/>
    <n v="2"/>
    <x v="3"/>
    <m/>
    <x v="0"/>
    <x v="1"/>
    <x v="0"/>
    <n v="12"/>
    <x v="0"/>
  </r>
  <r>
    <n v="5794"/>
    <x v="8"/>
    <x v="1"/>
    <x v="2"/>
    <x v="802"/>
    <x v="0"/>
    <d v="1899-12-31T00:00:00"/>
    <d v="2014-03-17T00:00:00"/>
    <n v="1"/>
    <n v="0"/>
    <n v="0"/>
    <n v="0"/>
    <n v="7"/>
    <n v="52"/>
    <x v="0"/>
    <n v="7"/>
    <x v="3"/>
    <m/>
    <x v="0"/>
    <x v="1"/>
    <x v="0"/>
    <n v="12"/>
    <x v="0"/>
  </r>
  <r>
    <n v="1456"/>
    <x v="19"/>
    <x v="0"/>
    <x v="0"/>
    <x v="803"/>
    <x v="0"/>
    <d v="1899-12-31T00:00:00"/>
    <d v="2013-04-01T00:00:00"/>
    <n v="25"/>
    <n v="199"/>
    <n v="9"/>
    <n v="9"/>
    <n v="12"/>
    <n v="47"/>
    <x v="1"/>
    <n v="21"/>
    <x v="3"/>
    <m/>
    <x v="0"/>
    <x v="0"/>
    <x v="0"/>
    <n v="13"/>
    <x v="0"/>
  </r>
  <r>
    <n v="4877"/>
    <x v="26"/>
    <x v="2"/>
    <x v="2"/>
    <x v="804"/>
    <x v="0"/>
    <d v="1899-12-31T00:00:00"/>
    <d v="2014-03-04T00:00:00"/>
    <n v="2"/>
    <n v="0"/>
    <n v="0"/>
    <n v="0"/>
    <n v="3"/>
    <n v="53"/>
    <x v="0"/>
    <n v="3"/>
    <x v="3"/>
    <m/>
    <x v="0"/>
    <x v="1"/>
    <x v="0"/>
    <n v="12"/>
    <x v="0"/>
  </r>
  <r>
    <n v="425"/>
    <x v="7"/>
    <x v="0"/>
    <x v="2"/>
    <x v="805"/>
    <x v="2"/>
    <d v="1899-12-30T00:00:00"/>
    <d v="2013-02-19T00:00:00"/>
    <n v="66"/>
    <n v="64"/>
    <n v="25"/>
    <n v="25"/>
    <n v="11"/>
    <n v="41"/>
    <x v="1"/>
    <n v="36"/>
    <x v="3"/>
    <m/>
    <x v="0"/>
    <x v="0"/>
    <x v="0"/>
    <n v="13"/>
    <x v="0"/>
  </r>
  <r>
    <n v="3007"/>
    <x v="35"/>
    <x v="0"/>
    <x v="1"/>
    <x v="806"/>
    <x v="1"/>
    <d v="1899-12-31T00:00:00"/>
    <d v="2012-10-04T00:00:00"/>
    <n v="49"/>
    <n v="2"/>
    <n v="0"/>
    <n v="0"/>
    <n v="3"/>
    <n v="60"/>
    <x v="0"/>
    <n v="3"/>
    <x v="3"/>
    <m/>
    <x v="0"/>
    <x v="1"/>
    <x v="0"/>
    <n v="14"/>
    <x v="0"/>
  </r>
  <r>
    <n v="1031"/>
    <x v="23"/>
    <x v="4"/>
    <x v="2"/>
    <x v="807"/>
    <x v="0"/>
    <d v="1899-12-30T00:00:00"/>
    <d v="2013-05-05T00:00:00"/>
    <n v="5"/>
    <n v="20"/>
    <n v="30"/>
    <n v="30"/>
    <n v="10"/>
    <n v="37"/>
    <x v="1"/>
    <n v="40"/>
    <x v="3"/>
    <m/>
    <x v="0"/>
    <x v="3"/>
    <x v="0"/>
    <n v="13"/>
    <x v="0"/>
  </r>
  <r>
    <n v="4297"/>
    <x v="21"/>
    <x v="0"/>
    <x v="1"/>
    <x v="147"/>
    <x v="1"/>
    <d v="1899-12-30T00:00:00"/>
    <d v="2014-01-26T00:00:00"/>
    <n v="71"/>
    <n v="2"/>
    <n v="1"/>
    <n v="1"/>
    <n v="3"/>
    <n v="57"/>
    <x v="0"/>
    <n v="4"/>
    <x v="3"/>
    <m/>
    <x v="0"/>
    <x v="2"/>
    <x v="0"/>
    <n v="12"/>
    <x v="0"/>
  </r>
  <r>
    <n v="807"/>
    <x v="21"/>
    <x v="2"/>
    <x v="1"/>
    <x v="808"/>
    <x v="1"/>
    <d v="1899-12-31T00:00:00"/>
    <d v="2014-02-15T00:00:00"/>
    <n v="35"/>
    <n v="2"/>
    <n v="0"/>
    <n v="0"/>
    <n v="4"/>
    <n v="57"/>
    <x v="0"/>
    <n v="4"/>
    <x v="3"/>
    <m/>
    <x v="0"/>
    <x v="1"/>
    <x v="0"/>
    <n v="12"/>
    <x v="0"/>
  </r>
  <r>
    <n v="9553"/>
    <x v="14"/>
    <x v="0"/>
    <x v="2"/>
    <x v="11"/>
    <x v="0"/>
    <d v="1899-12-30T00:00:00"/>
    <d v="2013-01-09T00:00:00"/>
    <n v="94"/>
    <n v="2"/>
    <n v="1"/>
    <n v="1"/>
    <n v="3"/>
    <n v="39"/>
    <x v="1"/>
    <n v="4"/>
    <x v="3"/>
    <m/>
    <x v="0"/>
    <x v="2"/>
    <x v="0"/>
    <n v="13"/>
    <x v="0"/>
  </r>
  <r>
    <n v="4271"/>
    <x v="23"/>
    <x v="4"/>
    <x v="1"/>
    <x v="809"/>
    <x v="1"/>
    <d v="1899-12-30T00:00:00"/>
    <d v="2012-10-04T00:00:00"/>
    <n v="80"/>
    <n v="35"/>
    <n v="41"/>
    <n v="41"/>
    <n v="6"/>
    <n v="37"/>
    <x v="1"/>
    <n v="47"/>
    <x v="3"/>
    <m/>
    <x v="0"/>
    <x v="1"/>
    <x v="0"/>
    <n v="14"/>
    <x v="0"/>
  </r>
  <r>
    <n v="4120"/>
    <x v="28"/>
    <x v="4"/>
    <x v="0"/>
    <x v="810"/>
    <x v="1"/>
    <d v="1899-12-30T00:00:00"/>
    <d v="2013-12-17T00:00:00"/>
    <n v="61"/>
    <n v="39"/>
    <n v="13"/>
    <n v="13"/>
    <n v="4"/>
    <n v="51"/>
    <x v="0"/>
    <n v="17"/>
    <x v="3"/>
    <m/>
    <x v="0"/>
    <x v="1"/>
    <x v="0"/>
    <n v="13"/>
    <x v="0"/>
  </r>
  <r>
    <n v="2036"/>
    <x v="26"/>
    <x v="1"/>
    <x v="1"/>
    <x v="811"/>
    <x v="0"/>
    <d v="1899-12-31T00:00:00"/>
    <d v="2013-06-11T00:00:00"/>
    <n v="29"/>
    <n v="11"/>
    <n v="3"/>
    <n v="3"/>
    <n v="8"/>
    <n v="53"/>
    <x v="0"/>
    <n v="11"/>
    <x v="3"/>
    <m/>
    <x v="0"/>
    <x v="0"/>
    <x v="0"/>
    <n v="13"/>
    <x v="0"/>
  </r>
  <r>
    <n v="115"/>
    <x v="35"/>
    <x v="2"/>
    <x v="0"/>
    <x v="812"/>
    <x v="0"/>
    <d v="1899-12-31T00:00:00"/>
    <d v="2013-03-26T00:00:00"/>
    <n v="0"/>
    <n v="11"/>
    <n v="7"/>
    <n v="7"/>
    <n v="8"/>
    <n v="60"/>
    <x v="0"/>
    <n v="15"/>
    <x v="3"/>
    <m/>
    <x v="0"/>
    <x v="1"/>
    <x v="0"/>
    <n v="13"/>
    <x v="0"/>
  </r>
  <r>
    <n v="4259"/>
    <x v="22"/>
    <x v="2"/>
    <x v="0"/>
    <x v="813"/>
    <x v="2"/>
    <d v="1899-12-30T00:00:00"/>
    <d v="2013-09-24T00:00:00"/>
    <n v="80"/>
    <n v="0"/>
    <n v="0"/>
    <n v="0"/>
    <n v="2"/>
    <n v="40"/>
    <x v="1"/>
    <n v="2"/>
    <x v="3"/>
    <m/>
    <x v="0"/>
    <x v="2"/>
    <x v="0"/>
    <n v="13"/>
    <x v="0"/>
  </r>
  <r>
    <n v="8687"/>
    <x v="33"/>
    <x v="0"/>
    <x v="1"/>
    <x v="814"/>
    <x v="0"/>
    <d v="1899-12-31T00:00:00"/>
    <d v="2013-05-06T00:00:00"/>
    <n v="54"/>
    <n v="62"/>
    <n v="20"/>
    <n v="20"/>
    <n v="8"/>
    <n v="48"/>
    <x v="1"/>
    <n v="28"/>
    <x v="3"/>
    <m/>
    <x v="0"/>
    <x v="0"/>
    <x v="0"/>
    <n v="13"/>
    <x v="0"/>
  </r>
  <r>
    <n v="2447"/>
    <x v="19"/>
    <x v="0"/>
    <x v="1"/>
    <x v="815"/>
    <x v="1"/>
    <d v="1899-12-30T00:00:00"/>
    <d v="2012-10-17T00:00:00"/>
    <n v="71"/>
    <n v="12"/>
    <n v="7"/>
    <n v="7"/>
    <n v="3"/>
    <n v="47"/>
    <x v="1"/>
    <n v="10"/>
    <x v="3"/>
    <m/>
    <x v="0"/>
    <x v="1"/>
    <x v="0"/>
    <n v="14"/>
    <x v="0"/>
  </r>
  <r>
    <n v="10140"/>
    <x v="10"/>
    <x v="1"/>
    <x v="1"/>
    <x v="816"/>
    <x v="0"/>
    <d v="1899-12-30T00:00:00"/>
    <d v="2013-09-28T00:00:00"/>
    <n v="27"/>
    <n v="0"/>
    <n v="0"/>
    <n v="0"/>
    <n v="4"/>
    <n v="43"/>
    <x v="1"/>
    <n v="4"/>
    <x v="3"/>
    <m/>
    <x v="0"/>
    <x v="0"/>
    <x v="0"/>
    <n v="13"/>
    <x v="0"/>
  </r>
  <r>
    <n v="9353"/>
    <x v="12"/>
    <x v="0"/>
    <x v="0"/>
    <x v="817"/>
    <x v="0"/>
    <d v="1899-12-31T00:00:00"/>
    <d v="2014-01-06T00:00:00"/>
    <n v="61"/>
    <n v="47"/>
    <n v="66"/>
    <n v="66"/>
    <n v="4"/>
    <n v="67"/>
    <x v="0"/>
    <n v="70"/>
    <x v="3"/>
    <m/>
    <x v="0"/>
    <x v="0"/>
    <x v="0"/>
    <n v="12"/>
    <x v="0"/>
  </r>
  <r>
    <n v="3623"/>
    <x v="11"/>
    <x v="0"/>
    <x v="1"/>
    <x v="818"/>
    <x v="1"/>
    <d v="1899-12-30T00:00:00"/>
    <d v="2014-06-11T00:00:00"/>
    <n v="55"/>
    <n v="0"/>
    <n v="4"/>
    <n v="4"/>
    <n v="3"/>
    <n v="50"/>
    <x v="1"/>
    <n v="7"/>
    <x v="3"/>
    <m/>
    <x v="0"/>
    <x v="2"/>
    <x v="0"/>
    <n v="12"/>
    <x v="0"/>
  </r>
  <r>
    <n v="738"/>
    <x v="4"/>
    <x v="4"/>
    <x v="0"/>
    <x v="819"/>
    <x v="1"/>
    <d v="1899-12-31T00:00:00"/>
    <d v="2014-04-04T00:00:00"/>
    <n v="35"/>
    <n v="13"/>
    <n v="15"/>
    <n v="15"/>
    <n v="4"/>
    <n v="45"/>
    <x v="1"/>
    <n v="19"/>
    <x v="3"/>
    <m/>
    <x v="0"/>
    <x v="1"/>
    <x v="0"/>
    <n v="12"/>
    <x v="0"/>
  </r>
  <r>
    <n v="7631"/>
    <x v="33"/>
    <x v="2"/>
    <x v="1"/>
    <x v="820"/>
    <x v="1"/>
    <d v="1899-12-30T00:00:00"/>
    <d v="2013-10-06T00:00:00"/>
    <n v="34"/>
    <n v="58"/>
    <n v="16"/>
    <n v="16"/>
    <n v="10"/>
    <n v="48"/>
    <x v="1"/>
    <n v="26"/>
    <x v="3"/>
    <m/>
    <x v="0"/>
    <x v="0"/>
    <x v="0"/>
    <n v="13"/>
    <x v="0"/>
  </r>
  <r>
    <n v="4789"/>
    <x v="44"/>
    <x v="0"/>
    <x v="1"/>
    <x v="821"/>
    <x v="0"/>
    <d v="1899-12-30T00:00:00"/>
    <d v="2013-09-17T00:00:00"/>
    <n v="95"/>
    <n v="22"/>
    <n v="143"/>
    <n v="143"/>
    <n v="5"/>
    <n v="73"/>
    <x v="0"/>
    <n v="148"/>
    <x v="3"/>
    <m/>
    <x v="0"/>
    <x v="3"/>
    <x v="0"/>
    <n v="13"/>
    <x v="0"/>
  </r>
  <r>
    <n v="773"/>
    <x v="6"/>
    <x v="2"/>
    <x v="3"/>
    <x v="822"/>
    <x v="1"/>
    <d v="1899-12-31T00:00:00"/>
    <d v="2013-06-30T00:00:00"/>
    <n v="64"/>
    <n v="4"/>
    <n v="9"/>
    <n v="9"/>
    <n v="4"/>
    <n v="55"/>
    <x v="0"/>
    <n v="13"/>
    <x v="3"/>
    <m/>
    <x v="0"/>
    <x v="1"/>
    <x v="0"/>
    <n v="13"/>
    <x v="0"/>
  </r>
  <r>
    <n v="10602"/>
    <x v="10"/>
    <x v="0"/>
    <x v="2"/>
    <x v="823"/>
    <x v="1"/>
    <d v="1899-12-30T00:00:00"/>
    <d v="2013-02-14T00:00:00"/>
    <n v="30"/>
    <n v="12"/>
    <n v="1"/>
    <n v="1"/>
    <n v="4"/>
    <n v="43"/>
    <x v="1"/>
    <n v="5"/>
    <x v="3"/>
    <m/>
    <x v="0"/>
    <x v="1"/>
    <x v="0"/>
    <n v="13"/>
    <x v="0"/>
  </r>
  <r>
    <n v="1446"/>
    <x v="46"/>
    <x v="2"/>
    <x v="0"/>
    <x v="824"/>
    <x v="0"/>
    <d v="1899-12-30T00:00:00"/>
    <d v="2014-04-05T00:00:00"/>
    <n v="12"/>
    <n v="68"/>
    <n v="45"/>
    <n v="45"/>
    <n v="12"/>
    <n v="70"/>
    <x v="0"/>
    <n v="57"/>
    <x v="3"/>
    <m/>
    <x v="0"/>
    <x v="3"/>
    <x v="0"/>
    <n v="12"/>
    <x v="0"/>
  </r>
  <r>
    <n v="3270"/>
    <x v="33"/>
    <x v="4"/>
    <x v="1"/>
    <x v="825"/>
    <x v="1"/>
    <d v="1899-12-30T00:00:00"/>
    <d v="2013-01-17T00:00:00"/>
    <n v="96"/>
    <n v="23"/>
    <n v="18"/>
    <n v="18"/>
    <n v="3"/>
    <n v="48"/>
    <x v="1"/>
    <n v="21"/>
    <x v="3"/>
    <m/>
    <x v="0"/>
    <x v="2"/>
    <x v="0"/>
    <n v="13"/>
    <x v="0"/>
  </r>
  <r>
    <n v="8443"/>
    <x v="39"/>
    <x v="0"/>
    <x v="0"/>
    <x v="826"/>
    <x v="1"/>
    <d v="1899-12-30T00:00:00"/>
    <d v="2014-02-10T00:00:00"/>
    <n v="16"/>
    <n v="10"/>
    <n v="15"/>
    <n v="15"/>
    <n v="2"/>
    <n v="54"/>
    <x v="0"/>
    <n v="17"/>
    <x v="3"/>
    <m/>
    <x v="0"/>
    <x v="2"/>
    <x v="0"/>
    <n v="12"/>
    <x v="0"/>
  </r>
  <r>
    <n v="9653"/>
    <x v="28"/>
    <x v="0"/>
    <x v="2"/>
    <x v="827"/>
    <x v="0"/>
    <d v="1899-12-31T00:00:00"/>
    <d v="2012-10-16T00:00:00"/>
    <n v="16"/>
    <n v="1"/>
    <n v="1"/>
    <n v="1"/>
    <n v="3"/>
    <n v="51"/>
    <x v="0"/>
    <n v="4"/>
    <x v="3"/>
    <m/>
    <x v="0"/>
    <x v="1"/>
    <x v="0"/>
    <n v="14"/>
    <x v="0"/>
  </r>
  <r>
    <n v="8916"/>
    <x v="28"/>
    <x v="0"/>
    <x v="3"/>
    <x v="828"/>
    <x v="2"/>
    <d v="1899-12-30T00:00:00"/>
    <d v="2013-07-23T00:00:00"/>
    <n v="78"/>
    <n v="1"/>
    <n v="0"/>
    <n v="0"/>
    <n v="3"/>
    <n v="51"/>
    <x v="0"/>
    <n v="3"/>
    <x v="3"/>
    <m/>
    <x v="0"/>
    <x v="1"/>
    <x v="0"/>
    <n v="13"/>
    <x v="0"/>
  </r>
  <r>
    <n v="8017"/>
    <x v="4"/>
    <x v="4"/>
    <x v="2"/>
    <x v="829"/>
    <x v="1"/>
    <d v="1899-12-31T00:00:00"/>
    <d v="2014-06-19T00:00:00"/>
    <n v="83"/>
    <n v="0"/>
    <n v="5"/>
    <n v="5"/>
    <n v="3"/>
    <n v="45"/>
    <x v="1"/>
    <n v="8"/>
    <x v="3"/>
    <m/>
    <x v="0"/>
    <x v="0"/>
    <x v="0"/>
    <n v="12"/>
    <x v="0"/>
  </r>
  <r>
    <n v="5830"/>
    <x v="39"/>
    <x v="1"/>
    <x v="0"/>
    <x v="645"/>
    <x v="0"/>
    <d v="1899-12-30T00:00:00"/>
    <d v="2012-09-12T00:00:00"/>
    <n v="96"/>
    <n v="102"/>
    <n v="102"/>
    <n v="102"/>
    <n v="10"/>
    <n v="54"/>
    <x v="0"/>
    <n v="112"/>
    <x v="3"/>
    <m/>
    <x v="0"/>
    <x v="3"/>
    <x v="0"/>
    <n v="14"/>
    <x v="0"/>
  </r>
  <r>
    <n v="4597"/>
    <x v="25"/>
    <x v="1"/>
    <x v="1"/>
    <x v="830"/>
    <x v="0"/>
    <d v="1899-12-30T00:00:00"/>
    <d v="2013-07-02T00:00:00"/>
    <n v="67"/>
    <n v="55"/>
    <n v="92"/>
    <n v="92"/>
    <n v="13"/>
    <n v="56"/>
    <x v="0"/>
    <n v="105"/>
    <x v="3"/>
    <m/>
    <x v="0"/>
    <x v="3"/>
    <x v="0"/>
    <n v="13"/>
    <x v="0"/>
  </r>
  <r>
    <n v="7023"/>
    <x v="44"/>
    <x v="1"/>
    <x v="0"/>
    <x v="831"/>
    <x v="2"/>
    <d v="1899-12-31T00:00:00"/>
    <d v="2012-11-26T00:00:00"/>
    <n v="87"/>
    <n v="2"/>
    <n v="5"/>
    <n v="5"/>
    <n v="4"/>
    <n v="73"/>
    <x v="0"/>
    <n v="9"/>
    <x v="3"/>
    <m/>
    <x v="0"/>
    <x v="1"/>
    <x v="0"/>
    <n v="14"/>
    <x v="0"/>
  </r>
  <r>
    <n v="8086"/>
    <x v="12"/>
    <x v="0"/>
    <x v="2"/>
    <x v="832"/>
    <x v="1"/>
    <d v="1899-12-31T00:00:00"/>
    <d v="2013-12-11T00:00:00"/>
    <n v="34"/>
    <n v="0"/>
    <n v="0"/>
    <n v="0"/>
    <n v="3"/>
    <n v="67"/>
    <x v="0"/>
    <n v="3"/>
    <x v="3"/>
    <m/>
    <x v="0"/>
    <x v="1"/>
    <x v="0"/>
    <n v="13"/>
    <x v="0"/>
  </r>
  <r>
    <n v="8825"/>
    <x v="43"/>
    <x v="0"/>
    <x v="1"/>
    <x v="833"/>
    <x v="1"/>
    <d v="1899-12-31T00:00:00"/>
    <d v="2013-04-01T00:00:00"/>
    <n v="46"/>
    <n v="14"/>
    <n v="24"/>
    <n v="24"/>
    <n v="5"/>
    <n v="64"/>
    <x v="0"/>
    <n v="29"/>
    <x v="3"/>
    <m/>
    <x v="0"/>
    <x v="0"/>
    <x v="0"/>
    <n v="13"/>
    <x v="0"/>
  </r>
  <r>
    <n v="2930"/>
    <x v="33"/>
    <x v="2"/>
    <x v="0"/>
    <x v="834"/>
    <x v="0"/>
    <d v="1899-12-30T00:00:00"/>
    <d v="2013-12-16T00:00:00"/>
    <n v="7"/>
    <n v="60"/>
    <n v="36"/>
    <n v="36"/>
    <n v="10"/>
    <n v="48"/>
    <x v="1"/>
    <n v="46"/>
    <x v="3"/>
    <m/>
    <x v="0"/>
    <x v="0"/>
    <x v="0"/>
    <n v="13"/>
    <x v="0"/>
  </r>
  <r>
    <n v="1928"/>
    <x v="26"/>
    <x v="0"/>
    <x v="2"/>
    <x v="835"/>
    <x v="1"/>
    <d v="1899-12-30T00:00:00"/>
    <d v="2013-02-09T00:00:00"/>
    <n v="73"/>
    <n v="3"/>
    <n v="1"/>
    <n v="1"/>
    <n v="3"/>
    <n v="53"/>
    <x v="0"/>
    <n v="4"/>
    <x v="3"/>
    <m/>
    <x v="0"/>
    <x v="1"/>
    <x v="0"/>
    <n v="13"/>
    <x v="0"/>
  </r>
  <r>
    <n v="7108"/>
    <x v="2"/>
    <x v="2"/>
    <x v="4"/>
    <x v="836"/>
    <x v="1"/>
    <d v="1899-12-31T00:00:00"/>
    <d v="2012-09-08T00:00:00"/>
    <n v="54"/>
    <n v="20"/>
    <n v="2"/>
    <n v="2"/>
    <n v="5"/>
    <n v="61"/>
    <x v="0"/>
    <n v="7"/>
    <x v="3"/>
    <m/>
    <x v="0"/>
    <x v="0"/>
    <x v="0"/>
    <n v="14"/>
    <x v="0"/>
  </r>
  <r>
    <n v="10925"/>
    <x v="10"/>
    <x v="0"/>
    <x v="2"/>
    <x v="837"/>
    <x v="0"/>
    <d v="1899-12-30T00:00:00"/>
    <d v="2014-01-14T00:00:00"/>
    <n v="93"/>
    <n v="31"/>
    <n v="56"/>
    <n v="56"/>
    <n v="11"/>
    <n v="43"/>
    <x v="1"/>
    <n v="67"/>
    <x v="3"/>
    <m/>
    <x v="0"/>
    <x v="3"/>
    <x v="0"/>
    <n v="12"/>
    <x v="0"/>
  </r>
  <r>
    <n v="9960"/>
    <x v="42"/>
    <x v="3"/>
    <x v="0"/>
    <x v="838"/>
    <x v="1"/>
    <d v="1899-12-30T00:00:00"/>
    <d v="2014-04-30T00:00:00"/>
    <n v="52"/>
    <n v="0"/>
    <n v="3"/>
    <n v="3"/>
    <n v="2"/>
    <n v="35"/>
    <x v="1"/>
    <n v="5"/>
    <x v="3"/>
    <m/>
    <x v="0"/>
    <x v="2"/>
    <x v="0"/>
    <n v="12"/>
    <x v="0"/>
  </r>
  <r>
    <n v="8800"/>
    <x v="27"/>
    <x v="1"/>
    <x v="3"/>
    <x v="38"/>
    <x v="0"/>
    <d v="1899-12-30T00:00:00"/>
    <d v="2013-02-01T00:00:00"/>
    <n v="53"/>
    <n v="8"/>
    <n v="49"/>
    <n v="49"/>
    <n v="5"/>
    <n v="83"/>
    <x v="0"/>
    <n v="54"/>
    <x v="3"/>
    <m/>
    <x v="0"/>
    <x v="1"/>
    <x v="0"/>
    <n v="13"/>
    <x v="0"/>
  </r>
  <r>
    <n v="9224"/>
    <x v="39"/>
    <x v="1"/>
    <x v="0"/>
    <x v="839"/>
    <x v="0"/>
    <d v="1899-12-31T00:00:00"/>
    <d v="2012-12-12T00:00:00"/>
    <n v="81"/>
    <n v="8"/>
    <n v="0"/>
    <n v="0"/>
    <n v="5"/>
    <n v="54"/>
    <x v="0"/>
    <n v="5"/>
    <x v="3"/>
    <m/>
    <x v="0"/>
    <x v="0"/>
    <x v="0"/>
    <n v="14"/>
    <x v="0"/>
  </r>
  <r>
    <n v="5519"/>
    <x v="46"/>
    <x v="0"/>
    <x v="1"/>
    <x v="840"/>
    <x v="0"/>
    <d v="1899-12-31T00:00:00"/>
    <d v="2013-08-07T00:00:00"/>
    <n v="8"/>
    <n v="58"/>
    <n v="51"/>
    <n v="51"/>
    <n v="4"/>
    <n v="70"/>
    <x v="0"/>
    <n v="55"/>
    <x v="3"/>
    <m/>
    <x v="0"/>
    <x v="0"/>
    <x v="0"/>
    <n v="13"/>
    <x v="0"/>
  </r>
  <r>
    <n v="5046"/>
    <x v="38"/>
    <x v="0"/>
    <x v="3"/>
    <x v="841"/>
    <x v="0"/>
    <d v="1899-12-31T00:00:00"/>
    <d v="2014-01-23T00:00:00"/>
    <n v="97"/>
    <n v="138"/>
    <n v="169"/>
    <n v="169"/>
    <n v="7"/>
    <n v="68"/>
    <x v="0"/>
    <n v="176"/>
    <x v="3"/>
    <m/>
    <x v="0"/>
    <x v="3"/>
    <x v="0"/>
    <n v="12"/>
    <x v="0"/>
  </r>
  <r>
    <n v="7037"/>
    <x v="8"/>
    <x v="1"/>
    <x v="2"/>
    <x v="842"/>
    <x v="1"/>
    <d v="1899-12-30T00:00:00"/>
    <d v="2013-08-11T00:00:00"/>
    <n v="50"/>
    <n v="55"/>
    <n v="0"/>
    <n v="0"/>
    <n v="8"/>
    <n v="52"/>
    <x v="0"/>
    <n v="8"/>
    <x v="3"/>
    <m/>
    <x v="0"/>
    <x v="1"/>
    <x v="0"/>
    <n v="13"/>
    <x v="0"/>
  </r>
  <r>
    <n v="905"/>
    <x v="22"/>
    <x v="0"/>
    <x v="3"/>
    <x v="843"/>
    <x v="1"/>
    <d v="1899-12-30T00:00:00"/>
    <d v="2013-10-22T00:00:00"/>
    <n v="38"/>
    <n v="17"/>
    <n v="10"/>
    <n v="10"/>
    <n v="3"/>
    <n v="40"/>
    <x v="1"/>
    <n v="13"/>
    <x v="3"/>
    <m/>
    <x v="0"/>
    <x v="2"/>
    <x v="0"/>
    <n v="13"/>
    <x v="0"/>
  </r>
  <r>
    <n v="8624"/>
    <x v="38"/>
    <x v="0"/>
    <x v="2"/>
    <x v="844"/>
    <x v="0"/>
    <d v="1899-12-30T00:00:00"/>
    <d v="2013-02-06T00:00:00"/>
    <n v="61"/>
    <n v="33"/>
    <n v="103"/>
    <n v="103"/>
    <n v="10"/>
    <n v="68"/>
    <x v="0"/>
    <n v="113"/>
    <x v="3"/>
    <m/>
    <x v="0"/>
    <x v="3"/>
    <x v="0"/>
    <n v="13"/>
    <x v="0"/>
  </r>
  <r>
    <n v="8945"/>
    <x v="25"/>
    <x v="0"/>
    <x v="3"/>
    <x v="845"/>
    <x v="0"/>
    <d v="1899-12-31T00:00:00"/>
    <d v="2013-08-16T00:00:00"/>
    <n v="46"/>
    <n v="0"/>
    <n v="1"/>
    <n v="1"/>
    <n v="4"/>
    <n v="56"/>
    <x v="0"/>
    <n v="5"/>
    <x v="3"/>
    <m/>
    <x v="0"/>
    <x v="0"/>
    <x v="0"/>
    <n v="13"/>
    <x v="0"/>
  </r>
  <r>
    <n v="6445"/>
    <x v="5"/>
    <x v="0"/>
    <x v="1"/>
    <x v="846"/>
    <x v="0"/>
    <d v="1899-12-30T00:00:00"/>
    <d v="2013-07-14T00:00:00"/>
    <n v="73"/>
    <n v="101"/>
    <n v="40"/>
    <n v="40"/>
    <n v="6"/>
    <n v="59"/>
    <x v="0"/>
    <n v="46"/>
    <x v="3"/>
    <m/>
    <x v="0"/>
    <x v="0"/>
    <x v="0"/>
    <n v="13"/>
    <x v="0"/>
  </r>
  <r>
    <n v="2727"/>
    <x v="26"/>
    <x v="0"/>
    <x v="1"/>
    <x v="847"/>
    <x v="0"/>
    <d v="1899-12-30T00:00:00"/>
    <d v="2013-12-04T00:00:00"/>
    <n v="19"/>
    <n v="21"/>
    <n v="3"/>
    <n v="3"/>
    <n v="6"/>
    <n v="53"/>
    <x v="0"/>
    <n v="9"/>
    <x v="3"/>
    <m/>
    <x v="0"/>
    <x v="0"/>
    <x v="0"/>
    <n v="13"/>
    <x v="0"/>
  </r>
  <r>
    <n v="6404"/>
    <x v="21"/>
    <x v="0"/>
    <x v="1"/>
    <x v="848"/>
    <x v="1"/>
    <d v="1900-01-01T00:00:00"/>
    <d v="2013-03-24T00:00:00"/>
    <n v="10"/>
    <n v="7"/>
    <n v="7"/>
    <n v="7"/>
    <n v="6"/>
    <n v="57"/>
    <x v="0"/>
    <n v="13"/>
    <x v="3"/>
    <m/>
    <x v="0"/>
    <x v="0"/>
    <x v="0"/>
    <n v="13"/>
    <x v="0"/>
  </r>
  <r>
    <n v="11074"/>
    <x v="32"/>
    <x v="0"/>
    <x v="0"/>
    <x v="849"/>
    <x v="0"/>
    <d v="1899-12-30T00:00:00"/>
    <d v="2014-04-09T00:00:00"/>
    <n v="94"/>
    <n v="92"/>
    <n v="11"/>
    <n v="11"/>
    <n v="10"/>
    <n v="49"/>
    <x v="1"/>
    <n v="21"/>
    <x v="3"/>
    <m/>
    <x v="0"/>
    <x v="3"/>
    <x v="0"/>
    <n v="12"/>
    <x v="0"/>
  </r>
  <r>
    <n v="10150"/>
    <x v="45"/>
    <x v="0"/>
    <x v="0"/>
    <x v="850"/>
    <x v="0"/>
    <d v="1899-12-30T00:00:00"/>
    <d v="2013-11-21T00:00:00"/>
    <n v="10"/>
    <n v="28"/>
    <n v="18"/>
    <n v="18"/>
    <n v="7"/>
    <n v="65"/>
    <x v="0"/>
    <n v="25"/>
    <x v="3"/>
    <m/>
    <x v="0"/>
    <x v="3"/>
    <x v="0"/>
    <n v="13"/>
    <x v="0"/>
  </r>
  <r>
    <n v="1968"/>
    <x v="6"/>
    <x v="0"/>
    <x v="4"/>
    <x v="851"/>
    <x v="1"/>
    <d v="1899-12-30T00:00:00"/>
    <d v="2013-12-02T00:00:00"/>
    <n v="37"/>
    <n v="1"/>
    <n v="0"/>
    <n v="0"/>
    <n v="2"/>
    <n v="55"/>
    <x v="0"/>
    <n v="2"/>
    <x v="3"/>
    <m/>
    <x v="0"/>
    <x v="1"/>
    <x v="0"/>
    <n v="13"/>
    <x v="0"/>
  </r>
  <r>
    <n v="6534"/>
    <x v="8"/>
    <x v="0"/>
    <x v="1"/>
    <x v="852"/>
    <x v="1"/>
    <d v="1899-12-30T00:00:00"/>
    <d v="2014-01-04T00:00:00"/>
    <n v="94"/>
    <n v="0"/>
    <n v="5"/>
    <n v="5"/>
    <n v="3"/>
    <n v="52"/>
    <x v="0"/>
    <n v="8"/>
    <x v="3"/>
    <m/>
    <x v="0"/>
    <x v="1"/>
    <x v="0"/>
    <n v="12"/>
    <x v="0"/>
  </r>
  <r>
    <n v="9485"/>
    <x v="22"/>
    <x v="1"/>
    <x v="2"/>
    <x v="853"/>
    <x v="0"/>
    <d v="1899-12-30T00:00:00"/>
    <d v="2014-03-10T00:00:00"/>
    <n v="23"/>
    <n v="9"/>
    <n v="3"/>
    <n v="3"/>
    <n v="6"/>
    <n v="40"/>
    <x v="1"/>
    <n v="9"/>
    <x v="3"/>
    <m/>
    <x v="0"/>
    <x v="1"/>
    <x v="0"/>
    <n v="12"/>
    <x v="0"/>
  </r>
  <r>
    <n v="7053"/>
    <x v="35"/>
    <x v="1"/>
    <x v="0"/>
    <x v="854"/>
    <x v="0"/>
    <d v="1899-12-30T00:00:00"/>
    <d v="2013-06-29T00:00:00"/>
    <n v="75"/>
    <n v="28"/>
    <n v="28"/>
    <n v="28"/>
    <n v="8"/>
    <n v="60"/>
    <x v="0"/>
    <n v="36"/>
    <x v="3"/>
    <m/>
    <x v="0"/>
    <x v="3"/>
    <x v="0"/>
    <n v="13"/>
    <x v="0"/>
  </r>
  <r>
    <n v="4654"/>
    <x v="47"/>
    <x v="0"/>
    <x v="1"/>
    <x v="855"/>
    <x v="0"/>
    <d v="1899-12-30T00:00:00"/>
    <d v="2013-11-07T00:00:00"/>
    <n v="40"/>
    <n v="12"/>
    <n v="60"/>
    <n v="60"/>
    <n v="5"/>
    <n v="34"/>
    <x v="1"/>
    <n v="65"/>
    <x v="3"/>
    <m/>
    <x v="0"/>
    <x v="3"/>
    <x v="0"/>
    <n v="13"/>
    <x v="0"/>
  </r>
  <r>
    <n v="9760"/>
    <x v="24"/>
    <x v="1"/>
    <x v="4"/>
    <x v="856"/>
    <x v="0"/>
    <d v="1899-12-31T00:00:00"/>
    <d v="2013-01-25T00:00:00"/>
    <n v="24"/>
    <n v="0"/>
    <n v="0"/>
    <n v="0"/>
    <n v="10"/>
    <n v="63"/>
    <x v="0"/>
    <n v="10"/>
    <x v="3"/>
    <m/>
    <x v="0"/>
    <x v="0"/>
    <x v="0"/>
    <n v="13"/>
    <x v="0"/>
  </r>
  <r>
    <n v="1048"/>
    <x v="39"/>
    <x v="2"/>
    <x v="2"/>
    <x v="857"/>
    <x v="1"/>
    <d v="1899-12-30T00:00:00"/>
    <d v="2013-07-14T00:00:00"/>
    <n v="11"/>
    <n v="3"/>
    <n v="9"/>
    <n v="9"/>
    <n v="4"/>
    <n v="54"/>
    <x v="0"/>
    <n v="13"/>
    <x v="3"/>
    <m/>
    <x v="0"/>
    <x v="1"/>
    <x v="0"/>
    <n v="13"/>
    <x v="0"/>
  </r>
  <r>
    <n v="10619"/>
    <x v="54"/>
    <x v="0"/>
    <x v="0"/>
    <x v="858"/>
    <x v="0"/>
    <d v="1899-12-30T00:00:00"/>
    <d v="2012-12-03T00:00:00"/>
    <n v="29"/>
    <n v="29"/>
    <n v="27"/>
    <n v="27"/>
    <n v="7"/>
    <n v="32"/>
    <x v="1"/>
    <n v="34"/>
    <x v="3"/>
    <m/>
    <x v="0"/>
    <x v="3"/>
    <x v="0"/>
    <n v="14"/>
    <x v="0"/>
  </r>
  <r>
    <n v="9308"/>
    <x v="1"/>
    <x v="0"/>
    <x v="2"/>
    <x v="859"/>
    <x v="0"/>
    <d v="1899-12-30T00:00:00"/>
    <d v="2013-05-11T00:00:00"/>
    <n v="51"/>
    <n v="61"/>
    <n v="61"/>
    <n v="61"/>
    <n v="6"/>
    <n v="72"/>
    <x v="0"/>
    <n v="67"/>
    <x v="3"/>
    <m/>
    <x v="0"/>
    <x v="0"/>
    <x v="0"/>
    <n v="13"/>
    <x v="0"/>
  </r>
  <r>
    <n v="10505"/>
    <x v="40"/>
    <x v="2"/>
    <x v="1"/>
    <x v="860"/>
    <x v="0"/>
    <d v="1899-12-30T00:00:00"/>
    <d v="2013-12-26T00:00:00"/>
    <n v="86"/>
    <n v="19"/>
    <n v="9"/>
    <n v="9"/>
    <n v="7"/>
    <n v="66"/>
    <x v="0"/>
    <n v="16"/>
    <x v="3"/>
    <m/>
    <x v="0"/>
    <x v="0"/>
    <x v="0"/>
    <n v="13"/>
    <x v="0"/>
  </r>
  <r>
    <n v="8362"/>
    <x v="18"/>
    <x v="1"/>
    <x v="2"/>
    <x v="510"/>
    <x v="0"/>
    <d v="1899-12-30T00:00:00"/>
    <d v="2013-08-07T00:00:00"/>
    <n v="9"/>
    <n v="19"/>
    <n v="19"/>
    <n v="19"/>
    <n v="6"/>
    <n v="44"/>
    <x v="1"/>
    <n v="25"/>
    <x v="3"/>
    <m/>
    <x v="0"/>
    <x v="3"/>
    <x v="0"/>
    <n v="13"/>
    <x v="0"/>
  </r>
  <r>
    <n v="2625"/>
    <x v="1"/>
    <x v="4"/>
    <x v="0"/>
    <x v="861"/>
    <x v="0"/>
    <d v="1899-12-31T00:00:00"/>
    <d v="2013-11-17T00:00:00"/>
    <n v="30"/>
    <n v="29"/>
    <n v="32"/>
    <n v="32"/>
    <n v="7"/>
    <n v="72"/>
    <x v="0"/>
    <n v="39"/>
    <x v="3"/>
    <m/>
    <x v="0"/>
    <x v="1"/>
    <x v="0"/>
    <n v="13"/>
    <x v="0"/>
  </r>
  <r>
    <n v="4637"/>
    <x v="1"/>
    <x v="1"/>
    <x v="0"/>
    <x v="862"/>
    <x v="0"/>
    <d v="1899-12-30T00:00:00"/>
    <d v="2013-05-18T00:00:00"/>
    <n v="73"/>
    <n v="64"/>
    <n v="0"/>
    <n v="0"/>
    <n v="9"/>
    <n v="72"/>
    <x v="0"/>
    <n v="9"/>
    <x v="3"/>
    <m/>
    <x v="0"/>
    <x v="0"/>
    <x v="0"/>
    <n v="13"/>
    <x v="0"/>
  </r>
  <r>
    <n v="9972"/>
    <x v="34"/>
    <x v="1"/>
    <x v="1"/>
    <x v="863"/>
    <x v="1"/>
    <d v="1899-12-31T00:00:00"/>
    <d v="2014-04-13T00:00:00"/>
    <n v="25"/>
    <n v="0"/>
    <n v="0"/>
    <n v="0"/>
    <n v="3"/>
    <n v="71"/>
    <x v="0"/>
    <n v="3"/>
    <x v="3"/>
    <m/>
    <x v="0"/>
    <x v="1"/>
    <x v="0"/>
    <n v="12"/>
    <x v="0"/>
  </r>
  <r>
    <n v="4483"/>
    <x v="53"/>
    <x v="0"/>
    <x v="0"/>
    <x v="864"/>
    <x v="0"/>
    <d v="1899-12-30T00:00:00"/>
    <d v="2013-04-17T00:00:00"/>
    <n v="67"/>
    <n v="26"/>
    <n v="12"/>
    <n v="12"/>
    <n v="6"/>
    <n v="33"/>
    <x v="1"/>
    <n v="18"/>
    <x v="3"/>
    <m/>
    <x v="0"/>
    <x v="0"/>
    <x v="0"/>
    <n v="13"/>
    <x v="0"/>
  </r>
  <r>
    <n v="4487"/>
    <x v="21"/>
    <x v="2"/>
    <x v="0"/>
    <x v="865"/>
    <x v="1"/>
    <d v="1899-12-30T00:00:00"/>
    <d v="2013-01-24T00:00:00"/>
    <n v="67"/>
    <n v="20"/>
    <n v="7"/>
    <n v="7"/>
    <n v="4"/>
    <n v="57"/>
    <x v="0"/>
    <n v="11"/>
    <x v="3"/>
    <m/>
    <x v="0"/>
    <x v="1"/>
    <x v="0"/>
    <n v="13"/>
    <x v="0"/>
  </r>
  <r>
    <n v="4988"/>
    <x v="37"/>
    <x v="1"/>
    <x v="2"/>
    <x v="866"/>
    <x v="1"/>
    <d v="1899-12-31T00:00:00"/>
    <d v="2014-05-04T00:00:00"/>
    <n v="58"/>
    <n v="6"/>
    <n v="5"/>
    <n v="5"/>
    <n v="4"/>
    <n v="78"/>
    <x v="0"/>
    <n v="9"/>
    <x v="3"/>
    <m/>
    <x v="0"/>
    <x v="1"/>
    <x v="0"/>
    <n v="12"/>
    <x v="0"/>
  </r>
  <r>
    <n v="8931"/>
    <x v="22"/>
    <x v="0"/>
    <x v="1"/>
    <x v="867"/>
    <x v="1"/>
    <d v="1899-12-30T00:00:00"/>
    <d v="2014-05-18T00:00:00"/>
    <n v="82"/>
    <n v="99"/>
    <n v="149"/>
    <n v="149"/>
    <n v="10"/>
    <n v="40"/>
    <x v="1"/>
    <n v="159"/>
    <x v="3"/>
    <m/>
    <x v="0"/>
    <x v="3"/>
    <x v="0"/>
    <n v="12"/>
    <x v="0"/>
  </r>
  <r>
    <n v="5871"/>
    <x v="19"/>
    <x v="2"/>
    <x v="1"/>
    <x v="868"/>
    <x v="0"/>
    <d v="1899-12-30T00:00:00"/>
    <d v="2012-08-31T00:00:00"/>
    <n v="98"/>
    <n v="28"/>
    <n v="24"/>
    <n v="24"/>
    <n v="6"/>
    <n v="47"/>
    <x v="1"/>
    <n v="30"/>
    <x v="3"/>
    <m/>
    <x v="0"/>
    <x v="2"/>
    <x v="0"/>
    <n v="14"/>
    <x v="0"/>
  </r>
  <r>
    <n v="2008"/>
    <x v="33"/>
    <x v="0"/>
    <x v="2"/>
    <x v="869"/>
    <x v="0"/>
    <d v="1899-12-30T00:00:00"/>
    <d v="2014-02-10T00:00:00"/>
    <n v="93"/>
    <n v="23"/>
    <n v="12"/>
    <n v="12"/>
    <n v="9"/>
    <n v="48"/>
    <x v="1"/>
    <n v="21"/>
    <x v="3"/>
    <m/>
    <x v="0"/>
    <x v="3"/>
    <x v="0"/>
    <n v="12"/>
    <x v="0"/>
  </r>
  <r>
    <n v="3139"/>
    <x v="18"/>
    <x v="4"/>
    <x v="0"/>
    <x v="870"/>
    <x v="0"/>
    <d v="1899-12-30T00:00:00"/>
    <d v="2013-12-30T00:00:00"/>
    <n v="53"/>
    <n v="111"/>
    <n v="55"/>
    <n v="55"/>
    <n v="10"/>
    <n v="44"/>
    <x v="1"/>
    <n v="65"/>
    <x v="3"/>
    <m/>
    <x v="0"/>
    <x v="0"/>
    <x v="0"/>
    <n v="13"/>
    <x v="0"/>
  </r>
  <r>
    <n v="10037"/>
    <x v="53"/>
    <x v="0"/>
    <x v="0"/>
    <x v="368"/>
    <x v="0"/>
    <d v="1899-12-30T00:00:00"/>
    <d v="2014-05-04T00:00:00"/>
    <n v="66"/>
    <n v="152"/>
    <n v="91"/>
    <n v="91"/>
    <n v="6"/>
    <n v="33"/>
    <x v="1"/>
    <n v="97"/>
    <x v="3"/>
    <m/>
    <x v="0"/>
    <x v="0"/>
    <x v="0"/>
    <n v="12"/>
    <x v="0"/>
  </r>
  <r>
    <n v="10673"/>
    <x v="11"/>
    <x v="1"/>
    <x v="2"/>
    <x v="871"/>
    <x v="0"/>
    <d v="1899-12-31T00:00:00"/>
    <d v="2013-11-17T00:00:00"/>
    <n v="6"/>
    <n v="80"/>
    <n v="13"/>
    <n v="13"/>
    <n v="5"/>
    <n v="50"/>
    <x v="1"/>
    <n v="18"/>
    <x v="3"/>
    <m/>
    <x v="0"/>
    <x v="0"/>
    <x v="0"/>
    <n v="13"/>
    <x v="0"/>
  </r>
  <r>
    <n v="5303"/>
    <x v="8"/>
    <x v="1"/>
    <x v="1"/>
    <x v="872"/>
    <x v="0"/>
    <d v="1899-12-30T00:00:00"/>
    <d v="2014-04-08T00:00:00"/>
    <n v="42"/>
    <n v="0"/>
    <n v="21"/>
    <n v="21"/>
    <n v="9"/>
    <n v="52"/>
    <x v="0"/>
    <n v="30"/>
    <x v="3"/>
    <m/>
    <x v="0"/>
    <x v="3"/>
    <x v="0"/>
    <n v="12"/>
    <x v="0"/>
  </r>
  <r>
    <n v="538"/>
    <x v="23"/>
    <x v="0"/>
    <x v="0"/>
    <x v="873"/>
    <x v="1"/>
    <d v="1899-12-30T00:00:00"/>
    <d v="2014-02-10T00:00:00"/>
    <n v="78"/>
    <n v="9"/>
    <n v="9"/>
    <n v="9"/>
    <n v="4"/>
    <n v="37"/>
    <x v="1"/>
    <n v="13"/>
    <x v="3"/>
    <m/>
    <x v="0"/>
    <x v="1"/>
    <x v="0"/>
    <n v="12"/>
    <x v="0"/>
  </r>
  <r>
    <n v="7922"/>
    <x v="20"/>
    <x v="1"/>
    <x v="0"/>
    <x v="874"/>
    <x v="0"/>
    <d v="1899-12-31T00:00:00"/>
    <d v="2012-08-12T00:00:00"/>
    <n v="29"/>
    <n v="0"/>
    <n v="0"/>
    <n v="0"/>
    <n v="10"/>
    <n v="75"/>
    <x v="0"/>
    <n v="10"/>
    <x v="3"/>
    <m/>
    <x v="0"/>
    <x v="0"/>
    <x v="0"/>
    <n v="14"/>
    <x v="0"/>
  </r>
  <r>
    <n v="5692"/>
    <x v="23"/>
    <x v="3"/>
    <x v="2"/>
    <x v="875"/>
    <x v="1"/>
    <d v="1899-12-30T00:00:00"/>
    <d v="2012-12-22T00:00:00"/>
    <n v="82"/>
    <n v="4"/>
    <n v="9"/>
    <n v="9"/>
    <n v="3"/>
    <n v="37"/>
    <x v="1"/>
    <n v="12"/>
    <x v="3"/>
    <m/>
    <x v="0"/>
    <x v="2"/>
    <x v="0"/>
    <n v="14"/>
    <x v="0"/>
  </r>
  <r>
    <n v="4843"/>
    <x v="13"/>
    <x v="0"/>
    <x v="0"/>
    <x v="716"/>
    <x v="0"/>
    <d v="1899-12-30T00:00:00"/>
    <d v="2014-05-22T00:00:00"/>
    <n v="92"/>
    <n v="35"/>
    <n v="17"/>
    <n v="17"/>
    <n v="5"/>
    <n v="74"/>
    <x v="0"/>
    <n v="22"/>
    <x v="3"/>
    <m/>
    <x v="0"/>
    <x v="3"/>
    <x v="0"/>
    <n v="12"/>
    <x v="0"/>
  </r>
  <r>
    <n v="6383"/>
    <x v="6"/>
    <x v="1"/>
    <x v="1"/>
    <x v="876"/>
    <x v="1"/>
    <d v="1899-12-30T00:00:00"/>
    <d v="2014-05-25T00:00:00"/>
    <n v="78"/>
    <n v="0"/>
    <n v="1"/>
    <n v="1"/>
    <n v="3"/>
    <n v="55"/>
    <x v="0"/>
    <n v="4"/>
    <x v="3"/>
    <m/>
    <x v="0"/>
    <x v="1"/>
    <x v="0"/>
    <n v="12"/>
    <x v="0"/>
  </r>
  <r>
    <n v="1628"/>
    <x v="6"/>
    <x v="0"/>
    <x v="1"/>
    <x v="877"/>
    <x v="0"/>
    <d v="1899-12-30T00:00:00"/>
    <d v="2013-10-24T00:00:00"/>
    <n v="54"/>
    <n v="21"/>
    <n v="75"/>
    <n v="75"/>
    <n v="4"/>
    <n v="55"/>
    <x v="0"/>
    <n v="79"/>
    <x v="3"/>
    <m/>
    <x v="0"/>
    <x v="0"/>
    <x v="0"/>
    <n v="13"/>
    <x v="0"/>
  </r>
  <r>
    <n v="1204"/>
    <x v="25"/>
    <x v="1"/>
    <x v="2"/>
    <x v="878"/>
    <x v="0"/>
    <d v="1899-12-31T00:00:00"/>
    <d v="2013-05-22T00:00:00"/>
    <n v="45"/>
    <n v="0"/>
    <n v="71"/>
    <n v="71"/>
    <n v="11"/>
    <n v="56"/>
    <x v="0"/>
    <n v="82"/>
    <x v="3"/>
    <m/>
    <x v="0"/>
    <x v="0"/>
    <x v="0"/>
    <n v="13"/>
    <x v="0"/>
  </r>
  <r>
    <n v="3673"/>
    <x v="6"/>
    <x v="0"/>
    <x v="0"/>
    <x v="879"/>
    <x v="0"/>
    <d v="1899-12-31T00:00:00"/>
    <d v="2013-07-14T00:00:00"/>
    <n v="59"/>
    <n v="17"/>
    <n v="24"/>
    <n v="24"/>
    <n v="11"/>
    <n v="55"/>
    <x v="0"/>
    <n v="35"/>
    <x v="3"/>
    <m/>
    <x v="0"/>
    <x v="0"/>
    <x v="0"/>
    <n v="13"/>
    <x v="0"/>
  </r>
  <r>
    <n v="760"/>
    <x v="28"/>
    <x v="1"/>
    <x v="3"/>
    <x v="880"/>
    <x v="1"/>
    <d v="1899-12-30T00:00:00"/>
    <d v="2013-08-09T00:00:00"/>
    <n v="8"/>
    <n v="7"/>
    <n v="15"/>
    <n v="15"/>
    <n v="9"/>
    <n v="51"/>
    <x v="0"/>
    <n v="24"/>
    <x v="3"/>
    <m/>
    <x v="0"/>
    <x v="0"/>
    <x v="0"/>
    <n v="13"/>
    <x v="0"/>
  </r>
  <r>
    <n v="8957"/>
    <x v="13"/>
    <x v="4"/>
    <x v="0"/>
    <x v="881"/>
    <x v="1"/>
    <d v="1899-12-31T00:00:00"/>
    <d v="2013-06-10T00:00:00"/>
    <n v="51"/>
    <n v="86"/>
    <n v="86"/>
    <n v="86"/>
    <n v="5"/>
    <n v="74"/>
    <x v="0"/>
    <n v="91"/>
    <x v="3"/>
    <m/>
    <x v="0"/>
    <x v="0"/>
    <x v="0"/>
    <n v="13"/>
    <x v="0"/>
  </r>
  <r>
    <n v="4128"/>
    <x v="43"/>
    <x v="1"/>
    <x v="1"/>
    <x v="882"/>
    <x v="0"/>
    <d v="1899-12-31T00:00:00"/>
    <d v="2013-07-20T00:00:00"/>
    <n v="51"/>
    <n v="12"/>
    <n v="6"/>
    <n v="6"/>
    <n v="7"/>
    <n v="64"/>
    <x v="0"/>
    <n v="13"/>
    <x v="3"/>
    <m/>
    <x v="0"/>
    <x v="0"/>
    <x v="0"/>
    <n v="13"/>
    <x v="0"/>
  </r>
  <r>
    <n v="6810"/>
    <x v="10"/>
    <x v="0"/>
    <x v="3"/>
    <x v="883"/>
    <x v="0"/>
    <d v="1899-12-30T00:00:00"/>
    <d v="2013-05-28T00:00:00"/>
    <n v="76"/>
    <n v="98"/>
    <n v="70"/>
    <n v="70"/>
    <n v="6"/>
    <n v="43"/>
    <x v="1"/>
    <n v="76"/>
    <x v="3"/>
    <m/>
    <x v="0"/>
    <x v="3"/>
    <x v="0"/>
    <n v="13"/>
    <x v="0"/>
  </r>
  <r>
    <n v="5386"/>
    <x v="44"/>
    <x v="0"/>
    <x v="1"/>
    <x v="884"/>
    <x v="0"/>
    <d v="1899-12-30T00:00:00"/>
    <d v="2013-03-04T00:00:00"/>
    <n v="62"/>
    <n v="24"/>
    <n v="45"/>
    <n v="45"/>
    <n v="5"/>
    <n v="73"/>
    <x v="0"/>
    <n v="50"/>
    <x v="3"/>
    <m/>
    <x v="0"/>
    <x v="3"/>
    <x v="0"/>
    <n v="13"/>
    <x v="0"/>
  </r>
  <r>
    <n v="8700"/>
    <x v="22"/>
    <x v="3"/>
    <x v="0"/>
    <x v="885"/>
    <x v="0"/>
    <d v="1899-12-30T00:00:00"/>
    <d v="2012-12-22T00:00:00"/>
    <n v="86"/>
    <n v="7"/>
    <n v="16"/>
    <n v="16"/>
    <n v="3"/>
    <n v="40"/>
    <x v="1"/>
    <n v="19"/>
    <x v="3"/>
    <m/>
    <x v="0"/>
    <x v="2"/>
    <x v="0"/>
    <n v="14"/>
    <x v="0"/>
  </r>
  <r>
    <n v="3202"/>
    <x v="14"/>
    <x v="1"/>
    <x v="2"/>
    <x v="886"/>
    <x v="0"/>
    <d v="1899-12-30T00:00:00"/>
    <d v="2012-10-01T00:00:00"/>
    <n v="60"/>
    <n v="0"/>
    <n v="0"/>
    <n v="0"/>
    <n v="10"/>
    <n v="39"/>
    <x v="1"/>
    <n v="10"/>
    <x v="3"/>
    <m/>
    <x v="0"/>
    <x v="0"/>
    <x v="0"/>
    <n v="14"/>
    <x v="0"/>
  </r>
  <r>
    <n v="1328"/>
    <x v="18"/>
    <x v="4"/>
    <x v="2"/>
    <x v="887"/>
    <x v="0"/>
    <d v="1899-12-31T00:00:00"/>
    <d v="2014-02-16T00:00:00"/>
    <n v="56"/>
    <n v="42"/>
    <n v="48"/>
    <n v="48"/>
    <n v="9"/>
    <n v="44"/>
    <x v="1"/>
    <n v="57"/>
    <x v="3"/>
    <m/>
    <x v="0"/>
    <x v="0"/>
    <x v="0"/>
    <n v="12"/>
    <x v="0"/>
  </r>
  <r>
    <n v="8405"/>
    <x v="19"/>
    <x v="0"/>
    <x v="3"/>
    <x v="888"/>
    <x v="1"/>
    <d v="1899-12-31T00:00:00"/>
    <d v="2013-09-30T00:00:00"/>
    <n v="83"/>
    <n v="25"/>
    <n v="25"/>
    <n v="25"/>
    <n v="5"/>
    <n v="47"/>
    <x v="1"/>
    <n v="30"/>
    <x v="3"/>
    <m/>
    <x v="0"/>
    <x v="0"/>
    <x v="0"/>
    <n v="13"/>
    <x v="0"/>
  </r>
  <r>
    <n v="6515"/>
    <x v="32"/>
    <x v="0"/>
    <x v="1"/>
    <x v="889"/>
    <x v="1"/>
    <d v="1899-12-30T00:00:00"/>
    <d v="2013-12-06T00:00:00"/>
    <n v="92"/>
    <n v="2"/>
    <n v="8"/>
    <n v="8"/>
    <n v="3"/>
    <n v="49"/>
    <x v="1"/>
    <n v="11"/>
    <x v="3"/>
    <m/>
    <x v="0"/>
    <x v="1"/>
    <x v="0"/>
    <n v="13"/>
    <x v="0"/>
  </r>
  <r>
    <n v="2882"/>
    <x v="28"/>
    <x v="4"/>
    <x v="3"/>
    <x v="890"/>
    <x v="0"/>
    <d v="1899-12-31T00:00:00"/>
    <d v="2012-10-01T00:00:00"/>
    <n v="31"/>
    <n v="28"/>
    <n v="18"/>
    <n v="18"/>
    <n v="9"/>
    <n v="51"/>
    <x v="0"/>
    <n v="27"/>
    <x v="3"/>
    <m/>
    <x v="0"/>
    <x v="0"/>
    <x v="0"/>
    <n v="14"/>
    <x v="0"/>
  </r>
  <r>
    <n v="7574"/>
    <x v="19"/>
    <x v="1"/>
    <x v="1"/>
    <x v="891"/>
    <x v="1"/>
    <d v="1899-12-30T00:00:00"/>
    <d v="2014-05-10T00:00:00"/>
    <n v="80"/>
    <n v="0"/>
    <n v="4"/>
    <n v="4"/>
    <n v="3"/>
    <n v="47"/>
    <x v="1"/>
    <n v="7"/>
    <x v="3"/>
    <m/>
    <x v="0"/>
    <x v="2"/>
    <x v="0"/>
    <n v="12"/>
    <x v="0"/>
  </r>
  <r>
    <n v="6387"/>
    <x v="11"/>
    <x v="1"/>
    <x v="1"/>
    <x v="892"/>
    <x v="1"/>
    <d v="1899-12-31T00:00:00"/>
    <d v="2014-05-08T00:00:00"/>
    <n v="39"/>
    <n v="0"/>
    <n v="0"/>
    <n v="0"/>
    <n v="3"/>
    <n v="50"/>
    <x v="1"/>
    <n v="3"/>
    <x v="3"/>
    <m/>
    <x v="0"/>
    <x v="0"/>
    <x v="0"/>
    <n v="12"/>
    <x v="0"/>
  </r>
  <r>
    <n v="5320"/>
    <x v="26"/>
    <x v="2"/>
    <x v="3"/>
    <x v="893"/>
    <x v="1"/>
    <d v="1899-12-31T00:00:00"/>
    <d v="2013-01-29T00:00:00"/>
    <n v="20"/>
    <n v="7"/>
    <n v="3"/>
    <n v="3"/>
    <n v="4"/>
    <n v="53"/>
    <x v="0"/>
    <n v="7"/>
    <x v="3"/>
    <m/>
    <x v="0"/>
    <x v="1"/>
    <x v="0"/>
    <n v="13"/>
    <x v="0"/>
  </r>
  <r>
    <n v="5048"/>
    <x v="6"/>
    <x v="1"/>
    <x v="0"/>
    <x v="894"/>
    <x v="2"/>
    <d v="1899-12-30T00:00:00"/>
    <d v="2013-05-11T00:00:00"/>
    <n v="53"/>
    <n v="6"/>
    <n v="5"/>
    <n v="5"/>
    <n v="2"/>
    <n v="55"/>
    <x v="0"/>
    <n v="7"/>
    <x v="3"/>
    <m/>
    <x v="0"/>
    <x v="1"/>
    <x v="0"/>
    <n v="13"/>
    <x v="0"/>
  </r>
  <r>
    <n v="8146"/>
    <x v="11"/>
    <x v="2"/>
    <x v="1"/>
    <x v="895"/>
    <x v="1"/>
    <d v="1899-12-31T00:00:00"/>
    <d v="2014-05-11T00:00:00"/>
    <n v="84"/>
    <n v="0"/>
    <n v="0"/>
    <n v="0"/>
    <n v="2"/>
    <n v="50"/>
    <x v="1"/>
    <n v="2"/>
    <x v="3"/>
    <m/>
    <x v="0"/>
    <x v="1"/>
    <x v="0"/>
    <n v="12"/>
    <x v="0"/>
  </r>
  <r>
    <n v="10031"/>
    <x v="11"/>
    <x v="1"/>
    <x v="2"/>
    <x v="896"/>
    <x v="1"/>
    <d v="1899-12-31T00:00:00"/>
    <d v="2013-02-10T00:00:00"/>
    <n v="50"/>
    <n v="2"/>
    <n v="1"/>
    <n v="1"/>
    <n v="4"/>
    <n v="50"/>
    <x v="1"/>
    <n v="5"/>
    <x v="3"/>
    <m/>
    <x v="0"/>
    <x v="2"/>
    <x v="0"/>
    <n v="13"/>
    <x v="0"/>
  </r>
  <r>
    <n v="5748"/>
    <x v="2"/>
    <x v="0"/>
    <x v="2"/>
    <x v="897"/>
    <x v="0"/>
    <d v="1899-12-31T00:00:00"/>
    <d v="2012-12-01T00:00:00"/>
    <n v="96"/>
    <n v="27"/>
    <n v="146"/>
    <n v="146"/>
    <n v="6"/>
    <n v="61"/>
    <x v="0"/>
    <n v="152"/>
    <x v="3"/>
    <m/>
    <x v="0"/>
    <x v="0"/>
    <x v="0"/>
    <n v="14"/>
    <x v="0"/>
  </r>
  <r>
    <n v="2134"/>
    <x v="13"/>
    <x v="0"/>
    <x v="0"/>
    <x v="898"/>
    <x v="0"/>
    <d v="1899-12-31T00:00:00"/>
    <d v="2012-08-17T00:00:00"/>
    <n v="94"/>
    <n v="5"/>
    <n v="41"/>
    <n v="41"/>
    <n v="8"/>
    <n v="74"/>
    <x v="0"/>
    <n v="49"/>
    <x v="3"/>
    <m/>
    <x v="0"/>
    <x v="0"/>
    <x v="0"/>
    <n v="14"/>
    <x v="0"/>
  </r>
  <r>
    <n v="1523"/>
    <x v="26"/>
    <x v="0"/>
    <x v="2"/>
    <x v="899"/>
    <x v="1"/>
    <d v="1899-12-31T00:00:00"/>
    <d v="2014-05-07T00:00:00"/>
    <n v="25"/>
    <n v="2"/>
    <n v="2"/>
    <n v="2"/>
    <n v="4"/>
    <n v="53"/>
    <x v="0"/>
    <n v="6"/>
    <x v="3"/>
    <m/>
    <x v="0"/>
    <x v="0"/>
    <x v="0"/>
    <n v="12"/>
    <x v="0"/>
  </r>
  <r>
    <n v="9665"/>
    <x v="0"/>
    <x v="1"/>
    <x v="3"/>
    <x v="900"/>
    <x v="0"/>
    <d v="1899-12-31T00:00:00"/>
    <d v="2013-04-27T00:00:00"/>
    <n v="48"/>
    <n v="3"/>
    <n v="0"/>
    <n v="0"/>
    <n v="5"/>
    <n v="69"/>
    <x v="0"/>
    <n v="5"/>
    <x v="3"/>
    <m/>
    <x v="0"/>
    <x v="0"/>
    <x v="0"/>
    <n v="13"/>
    <x v="0"/>
  </r>
  <r>
    <n v="4640"/>
    <x v="5"/>
    <x v="0"/>
    <x v="3"/>
    <x v="901"/>
    <x v="0"/>
    <d v="1899-12-31T00:00:00"/>
    <d v="2012-09-21T00:00:00"/>
    <n v="65"/>
    <n v="85"/>
    <n v="123"/>
    <n v="123"/>
    <n v="13"/>
    <n v="59"/>
    <x v="0"/>
    <n v="136"/>
    <x v="3"/>
    <m/>
    <x v="0"/>
    <x v="0"/>
    <x v="0"/>
    <n v="14"/>
    <x v="0"/>
  </r>
  <r>
    <n v="3635"/>
    <x v="43"/>
    <x v="1"/>
    <x v="0"/>
    <x v="902"/>
    <x v="0"/>
    <d v="1899-12-31T00:00:00"/>
    <d v="2014-05-07T00:00:00"/>
    <n v="69"/>
    <n v="0"/>
    <n v="0"/>
    <n v="0"/>
    <n v="8"/>
    <n v="64"/>
    <x v="0"/>
    <n v="8"/>
    <x v="3"/>
    <m/>
    <x v="0"/>
    <x v="0"/>
    <x v="0"/>
    <n v="12"/>
    <x v="0"/>
  </r>
  <r>
    <n v="3547"/>
    <x v="21"/>
    <x v="2"/>
    <x v="1"/>
    <x v="903"/>
    <x v="1"/>
    <d v="1899-12-30T00:00:00"/>
    <d v="2012-12-30T00:00:00"/>
    <n v="12"/>
    <n v="7"/>
    <n v="16"/>
    <n v="16"/>
    <n v="3"/>
    <n v="57"/>
    <x v="0"/>
    <n v="19"/>
    <x v="3"/>
    <m/>
    <x v="0"/>
    <x v="1"/>
    <x v="0"/>
    <n v="14"/>
    <x v="0"/>
  </r>
  <r>
    <n v="2456"/>
    <x v="28"/>
    <x v="1"/>
    <x v="2"/>
    <x v="904"/>
    <x v="0"/>
    <d v="1899-12-31T00:00:00"/>
    <d v="2013-10-14T00:00:00"/>
    <n v="84"/>
    <n v="4"/>
    <n v="17"/>
    <n v="17"/>
    <n v="5"/>
    <n v="51"/>
    <x v="0"/>
    <n v="22"/>
    <x v="3"/>
    <m/>
    <x v="0"/>
    <x v="1"/>
    <x v="0"/>
    <n v="13"/>
    <x v="0"/>
  </r>
  <r>
    <n v="5633"/>
    <x v="16"/>
    <x v="0"/>
    <x v="2"/>
    <x v="905"/>
    <x v="1"/>
    <d v="1899-12-31T00:00:00"/>
    <d v="2014-06-25T00:00:00"/>
    <n v="47"/>
    <n v="12"/>
    <n v="10"/>
    <n v="10"/>
    <n v="6"/>
    <n v="46"/>
    <x v="1"/>
    <n v="16"/>
    <x v="3"/>
    <m/>
    <x v="0"/>
    <x v="0"/>
    <x v="0"/>
    <n v="12"/>
    <x v="0"/>
  </r>
  <r>
    <n v="7801"/>
    <x v="12"/>
    <x v="0"/>
    <x v="1"/>
    <x v="906"/>
    <x v="0"/>
    <d v="1899-12-31T00:00:00"/>
    <d v="2013-09-12T00:00:00"/>
    <n v="87"/>
    <n v="107"/>
    <n v="59"/>
    <n v="59"/>
    <n v="11"/>
    <n v="67"/>
    <x v="0"/>
    <n v="70"/>
    <x v="3"/>
    <m/>
    <x v="0"/>
    <x v="0"/>
    <x v="0"/>
    <n v="13"/>
    <x v="0"/>
  </r>
  <r>
    <n v="10489"/>
    <x v="26"/>
    <x v="0"/>
    <x v="2"/>
    <x v="907"/>
    <x v="0"/>
    <d v="1899-12-30T00:00:00"/>
    <d v="2013-08-19T00:00:00"/>
    <n v="35"/>
    <n v="21"/>
    <n v="24"/>
    <n v="24"/>
    <n v="9"/>
    <n v="53"/>
    <x v="0"/>
    <n v="33"/>
    <x v="3"/>
    <m/>
    <x v="0"/>
    <x v="3"/>
    <x v="0"/>
    <n v="13"/>
    <x v="0"/>
  </r>
  <r>
    <n v="7011"/>
    <x v="26"/>
    <x v="0"/>
    <x v="2"/>
    <x v="908"/>
    <x v="1"/>
    <d v="1899-12-30T00:00:00"/>
    <d v="2012-10-12T00:00:00"/>
    <n v="47"/>
    <n v="2"/>
    <n v="9"/>
    <n v="9"/>
    <n v="4"/>
    <n v="53"/>
    <x v="0"/>
    <n v="13"/>
    <x v="3"/>
    <m/>
    <x v="0"/>
    <x v="1"/>
    <x v="0"/>
    <n v="14"/>
    <x v="0"/>
  </r>
  <r>
    <n v="2620"/>
    <x v="8"/>
    <x v="1"/>
    <x v="2"/>
    <x v="909"/>
    <x v="1"/>
    <d v="1899-12-30T00:00:00"/>
    <d v="2013-04-13T00:00:00"/>
    <n v="48"/>
    <n v="0"/>
    <n v="0"/>
    <n v="0"/>
    <n v="2"/>
    <n v="52"/>
    <x v="0"/>
    <n v="2"/>
    <x v="3"/>
    <m/>
    <x v="0"/>
    <x v="1"/>
    <x v="0"/>
    <n v="13"/>
    <x v="0"/>
  </r>
  <r>
    <n v="3933"/>
    <x v="16"/>
    <x v="0"/>
    <x v="1"/>
    <x v="910"/>
    <x v="1"/>
    <d v="1899-12-30T00:00:00"/>
    <d v="2012-10-13T00:00:00"/>
    <n v="46"/>
    <n v="36"/>
    <n v="72"/>
    <n v="72"/>
    <n v="6"/>
    <n v="46"/>
    <x v="1"/>
    <n v="78"/>
    <x v="3"/>
    <m/>
    <x v="0"/>
    <x v="1"/>
    <x v="0"/>
    <n v="14"/>
    <x v="0"/>
  </r>
  <r>
    <n v="10981"/>
    <x v="36"/>
    <x v="0"/>
    <x v="2"/>
    <x v="911"/>
    <x v="0"/>
    <d v="1899-12-30T00:00:00"/>
    <d v="2014-02-02T00:00:00"/>
    <n v="27"/>
    <n v="137"/>
    <n v="137"/>
    <n v="137"/>
    <n v="10"/>
    <n v="38"/>
    <x v="1"/>
    <n v="147"/>
    <x v="3"/>
    <m/>
    <x v="0"/>
    <x v="3"/>
    <x v="0"/>
    <n v="12"/>
    <x v="0"/>
  </r>
  <r>
    <n v="1734"/>
    <x v="30"/>
    <x v="1"/>
    <x v="1"/>
    <x v="912"/>
    <x v="2"/>
    <d v="1899-12-31T00:00:00"/>
    <d v="2013-01-17T00:00:00"/>
    <n v="37"/>
    <n v="0"/>
    <n v="2"/>
    <n v="2"/>
    <n v="4"/>
    <n v="58"/>
    <x v="0"/>
    <n v="6"/>
    <x v="3"/>
    <m/>
    <x v="0"/>
    <x v="1"/>
    <x v="0"/>
    <n v="13"/>
    <x v="0"/>
  </r>
  <r>
    <n v="10995"/>
    <x v="36"/>
    <x v="4"/>
    <x v="2"/>
    <x v="913"/>
    <x v="1"/>
    <d v="1899-12-30T00:00:00"/>
    <d v="2012-11-12T00:00:00"/>
    <n v="8"/>
    <n v="5"/>
    <n v="7"/>
    <n v="7"/>
    <n v="4"/>
    <n v="38"/>
    <x v="1"/>
    <n v="11"/>
    <x v="3"/>
    <m/>
    <x v="0"/>
    <x v="2"/>
    <x v="0"/>
    <n v="14"/>
    <x v="0"/>
  </r>
  <r>
    <n v="6357"/>
    <x v="12"/>
    <x v="4"/>
    <x v="3"/>
    <x v="914"/>
    <x v="0"/>
    <d v="1899-12-31T00:00:00"/>
    <d v="2013-11-17T00:00:00"/>
    <n v="29"/>
    <n v="35"/>
    <n v="57"/>
    <n v="57"/>
    <n v="7"/>
    <n v="67"/>
    <x v="0"/>
    <n v="64"/>
    <x v="3"/>
    <m/>
    <x v="0"/>
    <x v="0"/>
    <x v="0"/>
    <n v="13"/>
    <x v="0"/>
  </r>
  <r>
    <n v="9209"/>
    <x v="6"/>
    <x v="2"/>
    <x v="1"/>
    <x v="915"/>
    <x v="0"/>
    <d v="1899-12-30T00:00:00"/>
    <d v="2012-10-14T00:00:00"/>
    <n v="85"/>
    <n v="138"/>
    <n v="92"/>
    <n v="92"/>
    <n v="13"/>
    <n v="55"/>
    <x v="0"/>
    <n v="105"/>
    <x v="3"/>
    <m/>
    <x v="0"/>
    <x v="3"/>
    <x v="0"/>
    <n v="14"/>
    <x v="0"/>
  </r>
  <r>
    <n v="10286"/>
    <x v="43"/>
    <x v="0"/>
    <x v="2"/>
    <x v="916"/>
    <x v="0"/>
    <d v="1899-12-30T00:00:00"/>
    <d v="2014-02-03T00:00:00"/>
    <n v="2"/>
    <n v="8"/>
    <n v="35"/>
    <n v="35"/>
    <n v="13"/>
    <n v="64"/>
    <x v="0"/>
    <n v="48"/>
    <x v="3"/>
    <m/>
    <x v="0"/>
    <x v="3"/>
    <x v="0"/>
    <n v="12"/>
    <x v="0"/>
  </r>
  <r>
    <n v="2611"/>
    <x v="12"/>
    <x v="2"/>
    <x v="1"/>
    <x v="917"/>
    <x v="0"/>
    <d v="1899-12-30T00:00:00"/>
    <d v="2012-08-01T00:00:00"/>
    <n v="66"/>
    <n v="55"/>
    <n v="18"/>
    <n v="18"/>
    <n v="12"/>
    <n v="67"/>
    <x v="0"/>
    <n v="30"/>
    <x v="3"/>
    <m/>
    <x v="0"/>
    <x v="3"/>
    <x v="0"/>
    <n v="14"/>
    <x v="0"/>
  </r>
  <r>
    <n v="1600"/>
    <x v="2"/>
    <x v="2"/>
    <x v="2"/>
    <x v="683"/>
    <x v="2"/>
    <d v="1899-12-31T00:00:00"/>
    <d v="2013-10-11T00:00:00"/>
    <n v="60"/>
    <n v="3"/>
    <n v="3"/>
    <n v="3"/>
    <n v="5"/>
    <n v="61"/>
    <x v="0"/>
    <n v="8"/>
    <x v="3"/>
    <m/>
    <x v="0"/>
    <x v="0"/>
    <x v="0"/>
    <n v="13"/>
    <x v="0"/>
  </r>
  <r>
    <n v="3308"/>
    <x v="13"/>
    <x v="0"/>
    <x v="2"/>
    <x v="918"/>
    <x v="1"/>
    <d v="1899-12-31T00:00:00"/>
    <d v="2014-01-03T00:00:00"/>
    <n v="54"/>
    <n v="9"/>
    <n v="11"/>
    <n v="11"/>
    <n v="4"/>
    <n v="74"/>
    <x v="0"/>
    <n v="15"/>
    <x v="3"/>
    <m/>
    <x v="0"/>
    <x v="1"/>
    <x v="0"/>
    <n v="12"/>
    <x v="0"/>
  </r>
  <r>
    <n v="5407"/>
    <x v="1"/>
    <x v="0"/>
    <x v="1"/>
    <x v="919"/>
    <x v="0"/>
    <d v="1899-12-31T00:00:00"/>
    <d v="2013-09-12T00:00:00"/>
    <n v="70"/>
    <n v="17"/>
    <n v="0"/>
    <n v="0"/>
    <n v="7"/>
    <n v="72"/>
    <x v="0"/>
    <n v="7"/>
    <x v="3"/>
    <m/>
    <x v="0"/>
    <x v="0"/>
    <x v="0"/>
    <n v="13"/>
    <x v="0"/>
  </r>
  <r>
    <n v="2166"/>
    <x v="40"/>
    <x v="4"/>
    <x v="4"/>
    <x v="920"/>
    <x v="1"/>
    <d v="1899-12-31T00:00:00"/>
    <d v="2013-07-12T00:00:00"/>
    <n v="55"/>
    <n v="1"/>
    <n v="0"/>
    <n v="0"/>
    <n v="2"/>
    <n v="66"/>
    <x v="0"/>
    <n v="2"/>
    <x v="3"/>
    <m/>
    <x v="0"/>
    <x v="1"/>
    <x v="0"/>
    <n v="13"/>
    <x v="0"/>
  </r>
  <r>
    <n v="3955"/>
    <x v="2"/>
    <x v="0"/>
    <x v="3"/>
    <x v="921"/>
    <x v="0"/>
    <d v="1899-12-30T00:00:00"/>
    <d v="2014-06-22T00:00:00"/>
    <n v="20"/>
    <n v="1"/>
    <n v="0"/>
    <n v="0"/>
    <n v="0"/>
    <n v="61"/>
    <x v="0"/>
    <n v="0"/>
    <x v="3"/>
    <m/>
    <x v="0"/>
    <x v="2"/>
    <x v="0"/>
    <n v="12"/>
    <x v="0"/>
  </r>
  <r>
    <n v="6634"/>
    <x v="19"/>
    <x v="2"/>
    <x v="3"/>
    <x v="922"/>
    <x v="1"/>
    <d v="1899-12-30T00:00:00"/>
    <d v="2013-08-07T00:00:00"/>
    <n v="78"/>
    <n v="3"/>
    <n v="0"/>
    <n v="0"/>
    <n v="3"/>
    <n v="47"/>
    <x v="1"/>
    <n v="3"/>
    <x v="3"/>
    <m/>
    <x v="0"/>
    <x v="1"/>
    <x v="0"/>
    <n v="13"/>
    <x v="0"/>
  </r>
  <r>
    <n v="3056"/>
    <x v="33"/>
    <x v="0"/>
    <x v="3"/>
    <x v="186"/>
    <x v="0"/>
    <d v="1899-12-31T00:00:00"/>
    <d v="2013-10-14T00:00:00"/>
    <n v="63"/>
    <n v="43"/>
    <n v="87"/>
    <n v="87"/>
    <n v="9"/>
    <n v="48"/>
    <x v="1"/>
    <n v="96"/>
    <x v="3"/>
    <m/>
    <x v="0"/>
    <x v="0"/>
    <x v="0"/>
    <n v="13"/>
    <x v="0"/>
  </r>
  <r>
    <n v="5718"/>
    <x v="9"/>
    <x v="0"/>
    <x v="2"/>
    <x v="923"/>
    <x v="0"/>
    <d v="1899-12-30T00:00:00"/>
    <d v="2013-08-15T00:00:00"/>
    <n v="17"/>
    <n v="168"/>
    <n v="42"/>
    <n v="42"/>
    <n v="6"/>
    <n v="76"/>
    <x v="0"/>
    <n v="48"/>
    <x v="3"/>
    <m/>
    <x v="0"/>
    <x v="3"/>
    <x v="0"/>
    <n v="13"/>
    <x v="0"/>
  </r>
  <r>
    <n v="6872"/>
    <x v="8"/>
    <x v="1"/>
    <x v="2"/>
    <x v="924"/>
    <x v="0"/>
    <d v="1899-12-31T00:00:00"/>
    <d v="2013-08-21T00:00:00"/>
    <n v="43"/>
    <n v="3"/>
    <n v="7"/>
    <n v="7"/>
    <n v="8"/>
    <n v="52"/>
    <x v="0"/>
    <n v="15"/>
    <x v="3"/>
    <m/>
    <x v="0"/>
    <x v="0"/>
    <x v="0"/>
    <n v="13"/>
    <x v="0"/>
  </r>
  <r>
    <n v="8164"/>
    <x v="33"/>
    <x v="1"/>
    <x v="2"/>
    <x v="925"/>
    <x v="0"/>
    <d v="1899-12-30T00:00:00"/>
    <d v="2013-11-25T00:00:00"/>
    <n v="13"/>
    <n v="93"/>
    <n v="55"/>
    <n v="55"/>
    <n v="7"/>
    <n v="48"/>
    <x v="1"/>
    <n v="62"/>
    <x v="3"/>
    <m/>
    <x v="0"/>
    <x v="3"/>
    <x v="0"/>
    <n v="13"/>
    <x v="0"/>
  </r>
  <r>
    <n v="4580"/>
    <x v="21"/>
    <x v="0"/>
    <x v="2"/>
    <x v="926"/>
    <x v="0"/>
    <d v="1899-12-30T00:00:00"/>
    <d v="2013-10-25T00:00:00"/>
    <n v="46"/>
    <n v="22"/>
    <n v="91"/>
    <n v="91"/>
    <n v="9"/>
    <n v="57"/>
    <x v="0"/>
    <n v="100"/>
    <x v="3"/>
    <m/>
    <x v="0"/>
    <x v="3"/>
    <x v="0"/>
    <n v="13"/>
    <x v="0"/>
  </r>
  <r>
    <n v="9305"/>
    <x v="11"/>
    <x v="4"/>
    <x v="0"/>
    <x v="927"/>
    <x v="0"/>
    <d v="1899-12-30T00:00:00"/>
    <d v="2013-05-12T00:00:00"/>
    <n v="65"/>
    <n v="26"/>
    <n v="37"/>
    <n v="37"/>
    <n v="13"/>
    <n v="50"/>
    <x v="1"/>
    <n v="50"/>
    <x v="3"/>
    <m/>
    <x v="0"/>
    <x v="3"/>
    <x v="0"/>
    <n v="13"/>
    <x v="0"/>
  </r>
  <r>
    <n v="453"/>
    <x v="46"/>
    <x v="1"/>
    <x v="4"/>
    <x v="928"/>
    <x v="1"/>
    <d v="1899-12-31T00:00:00"/>
    <d v="2014-06-29T00:00:00"/>
    <n v="1"/>
    <n v="0"/>
    <n v="1"/>
    <n v="1"/>
    <n v="3"/>
    <n v="70"/>
    <x v="0"/>
    <n v="4"/>
    <x v="3"/>
    <m/>
    <x v="0"/>
    <x v="1"/>
    <x v="0"/>
    <n v="12"/>
    <x v="0"/>
  </r>
  <r>
    <n v="8545"/>
    <x v="1"/>
    <x v="0"/>
    <x v="3"/>
    <x v="929"/>
    <x v="0"/>
    <d v="1899-12-30T00:00:00"/>
    <d v="2014-03-21T00:00:00"/>
    <n v="6"/>
    <n v="17"/>
    <n v="69"/>
    <n v="69"/>
    <n v="10"/>
    <n v="72"/>
    <x v="0"/>
    <n v="79"/>
    <x v="3"/>
    <m/>
    <x v="0"/>
    <x v="3"/>
    <x v="0"/>
    <n v="12"/>
    <x v="0"/>
  </r>
  <r>
    <n v="9850"/>
    <x v="39"/>
    <x v="4"/>
    <x v="2"/>
    <x v="930"/>
    <x v="1"/>
    <d v="1899-12-30T00:00:00"/>
    <d v="2012-11-29T00:00:00"/>
    <n v="32"/>
    <n v="6"/>
    <n v="0"/>
    <n v="0"/>
    <n v="3"/>
    <n v="54"/>
    <x v="0"/>
    <n v="3"/>
    <x v="3"/>
    <m/>
    <x v="0"/>
    <x v="2"/>
    <x v="0"/>
    <n v="14"/>
    <x v="0"/>
  </r>
  <r>
    <n v="7378"/>
    <x v="4"/>
    <x v="2"/>
    <x v="1"/>
    <x v="931"/>
    <x v="1"/>
    <d v="1899-12-30T00:00:00"/>
    <d v="2012-08-31T00:00:00"/>
    <n v="34"/>
    <n v="5"/>
    <n v="5"/>
    <n v="5"/>
    <n v="6"/>
    <n v="45"/>
    <x v="1"/>
    <n v="11"/>
    <x v="3"/>
    <m/>
    <x v="0"/>
    <x v="1"/>
    <x v="0"/>
    <n v="14"/>
    <x v="0"/>
  </r>
  <r>
    <n v="7646"/>
    <x v="23"/>
    <x v="0"/>
    <x v="0"/>
    <x v="932"/>
    <x v="1"/>
    <d v="1899-12-30T00:00:00"/>
    <d v="2014-02-18T00:00:00"/>
    <n v="70"/>
    <n v="63"/>
    <n v="35"/>
    <n v="35"/>
    <n v="12"/>
    <n v="37"/>
    <x v="1"/>
    <n v="47"/>
    <x v="3"/>
    <m/>
    <x v="0"/>
    <x v="0"/>
    <x v="0"/>
    <n v="12"/>
    <x v="0"/>
  </r>
  <r>
    <n v="1640"/>
    <x v="1"/>
    <x v="0"/>
    <x v="3"/>
    <x v="933"/>
    <x v="1"/>
    <d v="1899-12-31T00:00:00"/>
    <d v="2014-06-22T00:00:00"/>
    <n v="49"/>
    <n v="0"/>
    <n v="6"/>
    <n v="6"/>
    <n v="4"/>
    <n v="72"/>
    <x v="0"/>
    <n v="10"/>
    <x v="3"/>
    <m/>
    <x v="0"/>
    <x v="0"/>
    <x v="0"/>
    <n v="12"/>
    <x v="0"/>
  </r>
  <r>
    <n v="5184"/>
    <x v="57"/>
    <x v="0"/>
    <x v="0"/>
    <x v="655"/>
    <x v="0"/>
    <d v="1899-12-30T00:00:00"/>
    <d v="2014-03-26T00:00:00"/>
    <n v="65"/>
    <n v="2"/>
    <n v="0"/>
    <n v="0"/>
    <n v="2"/>
    <n v="31"/>
    <x v="1"/>
    <n v="2"/>
    <x v="3"/>
    <m/>
    <x v="0"/>
    <x v="1"/>
    <x v="0"/>
    <n v="12"/>
    <x v="0"/>
  </r>
  <r>
    <n v="8492"/>
    <x v="33"/>
    <x v="0"/>
    <x v="1"/>
    <x v="934"/>
    <x v="0"/>
    <d v="1899-12-30T00:00:00"/>
    <d v="2013-11-09T00:00:00"/>
    <n v="25"/>
    <n v="0"/>
    <n v="58"/>
    <n v="58"/>
    <n v="10"/>
    <n v="48"/>
    <x v="1"/>
    <n v="68"/>
    <x v="3"/>
    <m/>
    <x v="0"/>
    <x v="3"/>
    <x v="0"/>
    <n v="13"/>
    <x v="0"/>
  </r>
  <r>
    <n v="11188"/>
    <x v="0"/>
    <x v="0"/>
    <x v="1"/>
    <x v="154"/>
    <x v="1"/>
    <d v="1899-12-31T00:00:00"/>
    <d v="2014-02-25T00:00:00"/>
    <n v="84"/>
    <n v="10"/>
    <n v="17"/>
    <n v="17"/>
    <n v="3"/>
    <n v="69"/>
    <x v="0"/>
    <n v="20"/>
    <x v="3"/>
    <m/>
    <x v="0"/>
    <x v="2"/>
    <x v="0"/>
    <n v="12"/>
    <x v="0"/>
  </r>
  <r>
    <n v="1212"/>
    <x v="26"/>
    <x v="0"/>
    <x v="2"/>
    <x v="935"/>
    <x v="1"/>
    <d v="1899-12-30T00:00:00"/>
    <d v="2013-08-13T00:00:00"/>
    <n v="7"/>
    <n v="25"/>
    <n v="41"/>
    <n v="41"/>
    <n v="6"/>
    <n v="53"/>
    <x v="0"/>
    <n v="47"/>
    <x v="3"/>
    <m/>
    <x v="0"/>
    <x v="0"/>
    <x v="0"/>
    <n v="13"/>
    <x v="0"/>
  </r>
  <r>
    <n v="9097"/>
    <x v="46"/>
    <x v="0"/>
    <x v="3"/>
    <x v="936"/>
    <x v="0"/>
    <d v="1899-12-31T00:00:00"/>
    <d v="2013-11-03T00:00:00"/>
    <n v="34"/>
    <n v="8"/>
    <n v="2"/>
    <n v="2"/>
    <n v="8"/>
    <n v="70"/>
    <x v="0"/>
    <n v="10"/>
    <x v="3"/>
    <m/>
    <x v="0"/>
    <x v="1"/>
    <x v="0"/>
    <n v="13"/>
    <x v="0"/>
  </r>
  <r>
    <n v="10473"/>
    <x v="46"/>
    <x v="1"/>
    <x v="4"/>
    <x v="937"/>
    <x v="0"/>
    <d v="1899-12-31T00:00:00"/>
    <d v="2012-09-10T00:00:00"/>
    <n v="38"/>
    <n v="19"/>
    <n v="0"/>
    <n v="0"/>
    <n v="9"/>
    <n v="70"/>
    <x v="0"/>
    <n v="9"/>
    <x v="3"/>
    <m/>
    <x v="0"/>
    <x v="3"/>
    <x v="0"/>
    <n v="14"/>
    <x v="0"/>
  </r>
  <r>
    <n v="7962"/>
    <x v="14"/>
    <x v="1"/>
    <x v="0"/>
    <x v="938"/>
    <x v="0"/>
    <d v="1899-12-30T00:00:00"/>
    <d v="2013-10-09T00:00:00"/>
    <n v="1"/>
    <n v="21"/>
    <n v="20"/>
    <n v="20"/>
    <n v="4"/>
    <n v="39"/>
    <x v="1"/>
    <n v="24"/>
    <x v="3"/>
    <m/>
    <x v="0"/>
    <x v="3"/>
    <x v="0"/>
    <n v="13"/>
    <x v="0"/>
  </r>
  <r>
    <n v="9984"/>
    <x v="4"/>
    <x v="4"/>
    <x v="2"/>
    <x v="939"/>
    <x v="1"/>
    <d v="1899-12-31T00:00:00"/>
    <d v="2013-03-27T00:00:00"/>
    <n v="25"/>
    <n v="16"/>
    <n v="5"/>
    <n v="5"/>
    <n v="4"/>
    <n v="45"/>
    <x v="1"/>
    <n v="9"/>
    <x v="3"/>
    <m/>
    <x v="0"/>
    <x v="0"/>
    <x v="0"/>
    <n v="13"/>
    <x v="0"/>
  </r>
  <r>
    <n v="5527"/>
    <x v="14"/>
    <x v="0"/>
    <x v="1"/>
    <x v="940"/>
    <x v="1"/>
    <d v="1899-12-30T00:00:00"/>
    <d v="2013-02-13T00:00:00"/>
    <n v="25"/>
    <n v="12"/>
    <n v="13"/>
    <n v="13"/>
    <n v="3"/>
    <n v="39"/>
    <x v="1"/>
    <n v="16"/>
    <x v="3"/>
    <m/>
    <x v="0"/>
    <x v="2"/>
    <x v="0"/>
    <n v="13"/>
    <x v="0"/>
  </r>
  <r>
    <n v="6374"/>
    <x v="1"/>
    <x v="1"/>
    <x v="2"/>
    <x v="941"/>
    <x v="0"/>
    <d v="1899-12-31T00:00:00"/>
    <d v="2013-05-17T00:00:00"/>
    <n v="50"/>
    <n v="2"/>
    <n v="2"/>
    <n v="2"/>
    <n v="4"/>
    <n v="72"/>
    <x v="0"/>
    <n v="6"/>
    <x v="3"/>
    <m/>
    <x v="0"/>
    <x v="1"/>
    <x v="0"/>
    <n v="13"/>
    <x v="0"/>
  </r>
  <r>
    <n v="7453"/>
    <x v="1"/>
    <x v="0"/>
    <x v="0"/>
    <x v="942"/>
    <x v="0"/>
    <d v="1899-12-31T00:00:00"/>
    <d v="2013-02-02T00:00:00"/>
    <n v="46"/>
    <n v="43"/>
    <n v="56"/>
    <n v="56"/>
    <n v="4"/>
    <n v="72"/>
    <x v="0"/>
    <n v="60"/>
    <x v="3"/>
    <m/>
    <x v="0"/>
    <x v="1"/>
    <x v="0"/>
    <n v="13"/>
    <x v="0"/>
  </r>
  <r>
    <n v="8952"/>
    <x v="44"/>
    <x v="2"/>
    <x v="2"/>
    <x v="943"/>
    <x v="0"/>
    <d v="1899-12-31T00:00:00"/>
    <d v="2012-11-05T00:00:00"/>
    <n v="96"/>
    <n v="46"/>
    <n v="38"/>
    <n v="38"/>
    <n v="10"/>
    <n v="73"/>
    <x v="0"/>
    <n v="48"/>
    <x v="3"/>
    <m/>
    <x v="0"/>
    <x v="0"/>
    <x v="0"/>
    <n v="14"/>
    <x v="0"/>
  </r>
  <r>
    <n v="241"/>
    <x v="13"/>
    <x v="0"/>
    <x v="1"/>
    <x v="698"/>
    <x v="0"/>
    <d v="1899-12-30T00:00:00"/>
    <d v="2013-05-12T00:00:00"/>
    <n v="57"/>
    <n v="31"/>
    <n v="31"/>
    <n v="31"/>
    <n v="11"/>
    <n v="74"/>
    <x v="0"/>
    <n v="42"/>
    <x v="3"/>
    <m/>
    <x v="0"/>
    <x v="3"/>
    <x v="0"/>
    <n v="13"/>
    <x v="0"/>
  </r>
  <r>
    <n v="8975"/>
    <x v="30"/>
    <x v="0"/>
    <x v="2"/>
    <x v="515"/>
    <x v="1"/>
    <d v="1899-12-31T00:00:00"/>
    <d v="2014-01-26T00:00:00"/>
    <n v="47"/>
    <n v="3"/>
    <n v="1"/>
    <n v="1"/>
    <n v="2"/>
    <n v="58"/>
    <x v="0"/>
    <n v="3"/>
    <x v="3"/>
    <m/>
    <x v="0"/>
    <x v="2"/>
    <x v="0"/>
    <n v="12"/>
    <x v="0"/>
  </r>
  <r>
    <n v="6119"/>
    <x v="24"/>
    <x v="1"/>
    <x v="0"/>
    <x v="944"/>
    <x v="1"/>
    <d v="1899-12-31T00:00:00"/>
    <d v="2013-05-10T00:00:00"/>
    <n v="52"/>
    <n v="0"/>
    <n v="0"/>
    <n v="0"/>
    <n v="2"/>
    <n v="63"/>
    <x v="0"/>
    <n v="2"/>
    <x v="3"/>
    <m/>
    <x v="0"/>
    <x v="1"/>
    <x v="0"/>
    <n v="13"/>
    <x v="0"/>
  </r>
  <r>
    <n v="5236"/>
    <x v="19"/>
    <x v="0"/>
    <x v="1"/>
    <x v="945"/>
    <x v="0"/>
    <d v="1899-12-31T00:00:00"/>
    <d v="2012-08-25T00:00:00"/>
    <n v="30"/>
    <n v="0"/>
    <n v="178"/>
    <n v="178"/>
    <n v="8"/>
    <n v="47"/>
    <x v="1"/>
    <n v="186"/>
    <x v="3"/>
    <m/>
    <x v="0"/>
    <x v="3"/>
    <x v="0"/>
    <n v="14"/>
    <x v="0"/>
  </r>
  <r>
    <n v="5723"/>
    <x v="11"/>
    <x v="1"/>
    <x v="1"/>
    <x v="946"/>
    <x v="0"/>
    <d v="1899-12-31T00:00:00"/>
    <d v="2014-01-11T00:00:00"/>
    <n v="63"/>
    <n v="1"/>
    <n v="1"/>
    <n v="1"/>
    <n v="5"/>
    <n v="50"/>
    <x v="1"/>
    <n v="6"/>
    <x v="3"/>
    <m/>
    <x v="0"/>
    <x v="1"/>
    <x v="0"/>
    <n v="12"/>
    <x v="0"/>
  </r>
  <r>
    <n v="1710"/>
    <x v="33"/>
    <x v="0"/>
    <x v="0"/>
    <x v="947"/>
    <x v="1"/>
    <d v="1899-12-30T00:00:00"/>
    <d v="2013-03-07T00:00:00"/>
    <n v="51"/>
    <n v="20"/>
    <n v="12"/>
    <n v="12"/>
    <n v="4"/>
    <n v="48"/>
    <x v="1"/>
    <n v="16"/>
    <x v="3"/>
    <m/>
    <x v="0"/>
    <x v="1"/>
    <x v="0"/>
    <n v="13"/>
    <x v="0"/>
  </r>
  <r>
    <n v="1970"/>
    <x v="30"/>
    <x v="2"/>
    <x v="1"/>
    <x v="948"/>
    <x v="0"/>
    <d v="1899-12-31T00:00:00"/>
    <d v="2012-09-10T00:00:00"/>
    <n v="14"/>
    <n v="0"/>
    <n v="0"/>
    <n v="0"/>
    <n v="3"/>
    <n v="58"/>
    <x v="0"/>
    <n v="3"/>
    <x v="3"/>
    <m/>
    <x v="0"/>
    <x v="1"/>
    <x v="0"/>
    <n v="14"/>
    <x v="0"/>
  </r>
  <r>
    <n v="5313"/>
    <x v="6"/>
    <x v="2"/>
    <x v="2"/>
    <x v="949"/>
    <x v="1"/>
    <d v="1899-12-31T00:00:00"/>
    <d v="2014-04-18T00:00:00"/>
    <n v="20"/>
    <n v="0"/>
    <n v="0"/>
    <n v="0"/>
    <n v="4"/>
    <n v="55"/>
    <x v="0"/>
    <n v="4"/>
    <x v="3"/>
    <m/>
    <x v="0"/>
    <x v="1"/>
    <x v="0"/>
    <n v="12"/>
    <x v="0"/>
  </r>
  <r>
    <n v="10634"/>
    <x v="20"/>
    <x v="2"/>
    <x v="2"/>
    <x v="950"/>
    <x v="0"/>
    <d v="1899-12-30T00:00:00"/>
    <d v="2014-04-19T00:00:00"/>
    <n v="56"/>
    <n v="67"/>
    <n v="43"/>
    <n v="43"/>
    <n v="8"/>
    <n v="75"/>
    <x v="0"/>
    <n v="51"/>
    <x v="3"/>
    <m/>
    <x v="0"/>
    <x v="0"/>
    <x v="0"/>
    <n v="12"/>
    <x v="0"/>
  </r>
  <r>
    <n v="7010"/>
    <x v="2"/>
    <x v="4"/>
    <x v="2"/>
    <x v="951"/>
    <x v="0"/>
    <d v="1899-12-30T00:00:00"/>
    <d v="2014-04-07T00:00:00"/>
    <n v="41"/>
    <n v="114"/>
    <n v="152"/>
    <n v="152"/>
    <n v="7"/>
    <n v="61"/>
    <x v="0"/>
    <n v="159"/>
    <x v="3"/>
    <m/>
    <x v="0"/>
    <x v="0"/>
    <x v="0"/>
    <n v="12"/>
    <x v="0"/>
  </r>
  <r>
    <n v="8562"/>
    <x v="21"/>
    <x v="0"/>
    <x v="1"/>
    <x v="952"/>
    <x v="0"/>
    <d v="1899-12-30T00:00:00"/>
    <d v="2013-05-28T00:00:00"/>
    <n v="72"/>
    <n v="4"/>
    <n v="6"/>
    <n v="6"/>
    <n v="7"/>
    <n v="57"/>
    <x v="0"/>
    <n v="13"/>
    <x v="3"/>
    <m/>
    <x v="0"/>
    <x v="0"/>
    <x v="0"/>
    <n v="13"/>
    <x v="0"/>
  </r>
  <r>
    <n v="3158"/>
    <x v="26"/>
    <x v="0"/>
    <x v="2"/>
    <x v="953"/>
    <x v="1"/>
    <d v="1899-12-30T00:00:00"/>
    <d v="2013-01-03T00:00:00"/>
    <n v="1"/>
    <n v="3"/>
    <n v="5"/>
    <n v="5"/>
    <n v="3"/>
    <n v="53"/>
    <x v="0"/>
    <n v="8"/>
    <x v="3"/>
    <m/>
    <x v="0"/>
    <x v="1"/>
    <x v="0"/>
    <n v="13"/>
    <x v="0"/>
  </r>
  <r>
    <n v="4436"/>
    <x v="11"/>
    <x v="0"/>
    <x v="0"/>
    <x v="954"/>
    <x v="0"/>
    <d v="1899-12-30T00:00:00"/>
    <d v="2013-02-20T00:00:00"/>
    <n v="27"/>
    <n v="42"/>
    <n v="20"/>
    <n v="20"/>
    <n v="4"/>
    <n v="50"/>
    <x v="1"/>
    <n v="24"/>
    <x v="3"/>
    <m/>
    <x v="0"/>
    <x v="2"/>
    <x v="0"/>
    <n v="13"/>
    <x v="0"/>
  </r>
  <r>
    <n v="5287"/>
    <x v="26"/>
    <x v="0"/>
    <x v="2"/>
    <x v="955"/>
    <x v="1"/>
    <d v="1899-12-30T00:00:00"/>
    <d v="2014-06-19T00:00:00"/>
    <n v="77"/>
    <n v="2"/>
    <n v="1"/>
    <n v="1"/>
    <n v="3"/>
    <n v="53"/>
    <x v="0"/>
    <n v="4"/>
    <x v="3"/>
    <m/>
    <x v="0"/>
    <x v="1"/>
    <x v="0"/>
    <n v="12"/>
    <x v="0"/>
  </r>
  <r>
    <n v="2445"/>
    <x v="8"/>
    <x v="1"/>
    <x v="1"/>
    <x v="956"/>
    <x v="1"/>
    <d v="1899-12-30T00:00:00"/>
    <d v="2013-07-07T00:00:00"/>
    <n v="87"/>
    <n v="1"/>
    <n v="0"/>
    <n v="0"/>
    <n v="3"/>
    <n v="52"/>
    <x v="0"/>
    <n v="3"/>
    <x v="3"/>
    <m/>
    <x v="0"/>
    <x v="2"/>
    <x v="0"/>
    <n v="13"/>
    <x v="0"/>
  </r>
  <r>
    <n v="6059"/>
    <x v="44"/>
    <x v="1"/>
    <x v="1"/>
    <x v="957"/>
    <x v="1"/>
    <d v="1900-01-01T00:00:00"/>
    <d v="2013-03-04T00:00:00"/>
    <n v="81"/>
    <n v="36"/>
    <n v="0"/>
    <n v="0"/>
    <n v="4"/>
    <n v="73"/>
    <x v="0"/>
    <n v="4"/>
    <x v="3"/>
    <m/>
    <x v="0"/>
    <x v="0"/>
    <x v="0"/>
    <n v="13"/>
    <x v="0"/>
  </r>
  <r>
    <n v="4550"/>
    <x v="35"/>
    <x v="2"/>
    <x v="1"/>
    <x v="958"/>
    <x v="0"/>
    <d v="1899-12-31T00:00:00"/>
    <d v="2014-06-24T00:00:00"/>
    <n v="51"/>
    <n v="0"/>
    <n v="0"/>
    <n v="0"/>
    <n v="3"/>
    <n v="60"/>
    <x v="0"/>
    <n v="3"/>
    <x v="3"/>
    <m/>
    <x v="0"/>
    <x v="1"/>
    <x v="0"/>
    <n v="12"/>
    <x v="0"/>
  </r>
  <r>
    <n v="4240"/>
    <x v="33"/>
    <x v="0"/>
    <x v="2"/>
    <x v="959"/>
    <x v="1"/>
    <d v="1899-12-30T00:00:00"/>
    <d v="2012-11-03T00:00:00"/>
    <n v="79"/>
    <n v="9"/>
    <n v="0"/>
    <n v="0"/>
    <n v="2"/>
    <n v="48"/>
    <x v="1"/>
    <n v="2"/>
    <x v="3"/>
    <m/>
    <x v="0"/>
    <x v="2"/>
    <x v="0"/>
    <n v="14"/>
    <x v="0"/>
  </r>
  <r>
    <n v="8911"/>
    <x v="5"/>
    <x v="1"/>
    <x v="2"/>
    <x v="960"/>
    <x v="0"/>
    <d v="1899-12-31T00:00:00"/>
    <d v="2013-04-08T00:00:00"/>
    <n v="11"/>
    <n v="53"/>
    <n v="77"/>
    <n v="77"/>
    <n v="9"/>
    <n v="59"/>
    <x v="0"/>
    <n v="86"/>
    <x v="3"/>
    <m/>
    <x v="0"/>
    <x v="0"/>
    <x v="0"/>
    <n v="13"/>
    <x v="0"/>
  </r>
  <r>
    <n v="3706"/>
    <x v="33"/>
    <x v="0"/>
    <x v="0"/>
    <x v="961"/>
    <x v="1"/>
    <d v="1899-12-30T00:00:00"/>
    <d v="2013-08-21T00:00:00"/>
    <n v="54"/>
    <n v="8"/>
    <n v="12"/>
    <n v="12"/>
    <n v="2"/>
    <n v="48"/>
    <x v="1"/>
    <n v="14"/>
    <x v="3"/>
    <m/>
    <x v="0"/>
    <x v="2"/>
    <x v="0"/>
    <n v="13"/>
    <x v="0"/>
  </r>
  <r>
    <n v="3628"/>
    <x v="14"/>
    <x v="3"/>
    <x v="0"/>
    <x v="962"/>
    <x v="1"/>
    <d v="1899-12-30T00:00:00"/>
    <d v="2013-01-29T00:00:00"/>
    <n v="93"/>
    <n v="8"/>
    <n v="12"/>
    <n v="12"/>
    <n v="2"/>
    <n v="39"/>
    <x v="1"/>
    <n v="14"/>
    <x v="3"/>
    <m/>
    <x v="0"/>
    <x v="2"/>
    <x v="0"/>
    <n v="13"/>
    <x v="0"/>
  </r>
  <r>
    <n v="10175"/>
    <x v="38"/>
    <x v="1"/>
    <x v="3"/>
    <x v="963"/>
    <x v="0"/>
    <d v="1899-12-31T00:00:00"/>
    <d v="2013-08-01T00:00:00"/>
    <n v="0"/>
    <n v="0"/>
    <n v="0"/>
    <n v="0"/>
    <n v="3"/>
    <n v="68"/>
    <x v="0"/>
    <n v="3"/>
    <x v="3"/>
    <m/>
    <x v="0"/>
    <x v="1"/>
    <x v="0"/>
    <n v="13"/>
    <x v="0"/>
  </r>
  <r>
    <n v="8985"/>
    <x v="31"/>
    <x v="4"/>
    <x v="1"/>
    <x v="964"/>
    <x v="0"/>
    <d v="1899-12-31T00:00:00"/>
    <d v="2012-11-04T00:00:00"/>
    <n v="54"/>
    <n v="80"/>
    <n v="11"/>
    <n v="11"/>
    <n v="10"/>
    <n v="62"/>
    <x v="0"/>
    <n v="21"/>
    <x v="3"/>
    <m/>
    <x v="0"/>
    <x v="0"/>
    <x v="0"/>
    <n v="14"/>
    <x v="0"/>
  </r>
  <r>
    <n v="5204"/>
    <x v="6"/>
    <x v="0"/>
    <x v="1"/>
    <x v="965"/>
    <x v="0"/>
    <d v="1899-12-30T00:00:00"/>
    <d v="2013-06-29T00:00:00"/>
    <n v="21"/>
    <n v="98"/>
    <n v="112"/>
    <n v="112"/>
    <n v="5"/>
    <n v="55"/>
    <x v="0"/>
    <n v="117"/>
    <x v="3"/>
    <m/>
    <x v="0"/>
    <x v="0"/>
    <x v="0"/>
    <n v="13"/>
    <x v="0"/>
  </r>
  <r>
    <n v="9220"/>
    <x v="6"/>
    <x v="0"/>
    <x v="0"/>
    <x v="966"/>
    <x v="0"/>
    <d v="1899-12-30T00:00:00"/>
    <d v="2013-01-17T00:00:00"/>
    <n v="58"/>
    <n v="172"/>
    <n v="115"/>
    <n v="115"/>
    <n v="5"/>
    <n v="55"/>
    <x v="0"/>
    <n v="120"/>
    <x v="3"/>
    <m/>
    <x v="0"/>
    <x v="3"/>
    <x v="0"/>
    <n v="13"/>
    <x v="0"/>
  </r>
  <r>
    <n v="9888"/>
    <x v="21"/>
    <x v="0"/>
    <x v="1"/>
    <x v="967"/>
    <x v="0"/>
    <d v="1899-12-30T00:00:00"/>
    <d v="2014-06-25T00:00:00"/>
    <n v="3"/>
    <n v="81"/>
    <n v="50"/>
    <n v="50"/>
    <n v="7"/>
    <n v="57"/>
    <x v="0"/>
    <n v="57"/>
    <x v="3"/>
    <m/>
    <x v="0"/>
    <x v="0"/>
    <x v="0"/>
    <n v="12"/>
    <x v="0"/>
  </r>
  <r>
    <n v="5263"/>
    <x v="32"/>
    <x v="4"/>
    <x v="2"/>
    <x v="968"/>
    <x v="1"/>
    <d v="1899-12-30T00:00:00"/>
    <d v="2013-01-22T00:00:00"/>
    <n v="99"/>
    <n v="10"/>
    <n v="8"/>
    <n v="8"/>
    <n v="3"/>
    <n v="49"/>
    <x v="1"/>
    <n v="11"/>
    <x v="3"/>
    <m/>
    <x v="0"/>
    <x v="1"/>
    <x v="0"/>
    <n v="13"/>
    <x v="0"/>
  </r>
  <r>
    <n v="1020"/>
    <x v="26"/>
    <x v="0"/>
    <x v="2"/>
    <x v="80"/>
    <x v="0"/>
    <d v="1899-12-30T00:00:00"/>
    <d v="2014-05-12T00:00:00"/>
    <n v="70"/>
    <n v="60"/>
    <n v="133"/>
    <n v="133"/>
    <n v="7"/>
    <n v="53"/>
    <x v="0"/>
    <n v="140"/>
    <x v="3"/>
    <m/>
    <x v="0"/>
    <x v="3"/>
    <x v="0"/>
    <n v="12"/>
    <x v="0"/>
  </r>
  <r>
    <n v="9503"/>
    <x v="16"/>
    <x v="0"/>
    <x v="0"/>
    <x v="969"/>
    <x v="0"/>
    <d v="1899-12-30T00:00:00"/>
    <d v="2012-08-29T00:00:00"/>
    <n v="65"/>
    <n v="33"/>
    <n v="26"/>
    <n v="26"/>
    <n v="5"/>
    <n v="46"/>
    <x v="1"/>
    <n v="31"/>
    <x v="3"/>
    <m/>
    <x v="0"/>
    <x v="2"/>
    <x v="0"/>
    <n v="14"/>
    <x v="0"/>
  </r>
  <r>
    <n v="10613"/>
    <x v="38"/>
    <x v="1"/>
    <x v="1"/>
    <x v="970"/>
    <x v="1"/>
    <d v="1899-12-31T00:00:00"/>
    <d v="2014-02-26T00:00:00"/>
    <n v="44"/>
    <n v="1"/>
    <n v="2"/>
    <n v="2"/>
    <n v="4"/>
    <n v="68"/>
    <x v="0"/>
    <n v="6"/>
    <x v="3"/>
    <m/>
    <x v="0"/>
    <x v="1"/>
    <x v="0"/>
    <n v="12"/>
    <x v="0"/>
  </r>
  <r>
    <n v="67"/>
    <x v="39"/>
    <x v="2"/>
    <x v="0"/>
    <x v="971"/>
    <x v="1"/>
    <d v="1899-12-31T00:00:00"/>
    <d v="2013-09-18T00:00:00"/>
    <n v="6"/>
    <n v="0"/>
    <n v="0"/>
    <n v="0"/>
    <n v="4"/>
    <n v="54"/>
    <x v="0"/>
    <n v="4"/>
    <x v="3"/>
    <m/>
    <x v="0"/>
    <x v="1"/>
    <x v="0"/>
    <n v="13"/>
    <x v="0"/>
  </r>
  <r>
    <n v="6019"/>
    <x v="6"/>
    <x v="1"/>
    <x v="2"/>
    <x v="972"/>
    <x v="1"/>
    <d v="1899-12-30T00:00:00"/>
    <d v="2014-03-30T00:00:00"/>
    <n v="9"/>
    <n v="3"/>
    <n v="4"/>
    <n v="4"/>
    <n v="2"/>
    <n v="55"/>
    <x v="0"/>
    <n v="6"/>
    <x v="3"/>
    <m/>
    <x v="0"/>
    <x v="1"/>
    <x v="0"/>
    <n v="12"/>
    <x v="0"/>
  </r>
  <r>
    <n v="5863"/>
    <x v="44"/>
    <x v="0"/>
    <x v="2"/>
    <x v="973"/>
    <x v="0"/>
    <d v="1899-12-31T00:00:00"/>
    <d v="2013-05-29T00:00:00"/>
    <n v="95"/>
    <n v="0"/>
    <n v="26"/>
    <n v="26"/>
    <n v="8"/>
    <n v="73"/>
    <x v="0"/>
    <n v="34"/>
    <x v="3"/>
    <m/>
    <x v="0"/>
    <x v="1"/>
    <x v="0"/>
    <n v="13"/>
    <x v="0"/>
  </r>
  <r>
    <n v="3717"/>
    <x v="12"/>
    <x v="0"/>
    <x v="2"/>
    <x v="974"/>
    <x v="0"/>
    <d v="1899-12-31T00:00:00"/>
    <d v="2014-04-23T00:00:00"/>
    <n v="70"/>
    <n v="24"/>
    <n v="24"/>
    <n v="24"/>
    <n v="6"/>
    <n v="67"/>
    <x v="0"/>
    <n v="30"/>
    <x v="3"/>
    <m/>
    <x v="0"/>
    <x v="0"/>
    <x v="0"/>
    <n v="12"/>
    <x v="0"/>
  </r>
  <r>
    <n v="6730"/>
    <x v="1"/>
    <x v="0"/>
    <x v="2"/>
    <x v="975"/>
    <x v="1"/>
    <d v="1899-12-31T00:00:00"/>
    <d v="2012-11-03T00:00:00"/>
    <n v="92"/>
    <n v="1"/>
    <n v="0"/>
    <n v="0"/>
    <n v="3"/>
    <n v="72"/>
    <x v="0"/>
    <n v="3"/>
    <x v="3"/>
    <m/>
    <x v="0"/>
    <x v="1"/>
    <x v="0"/>
    <n v="14"/>
    <x v="0"/>
  </r>
  <r>
    <n v="10749"/>
    <x v="42"/>
    <x v="0"/>
    <x v="0"/>
    <x v="976"/>
    <x v="0"/>
    <d v="1899-12-30T00:00:00"/>
    <d v="2012-09-18T00:00:00"/>
    <n v="62"/>
    <n v="18"/>
    <n v="12"/>
    <n v="12"/>
    <n v="0"/>
    <n v="35"/>
    <x v="1"/>
    <n v="12"/>
    <x v="3"/>
    <m/>
    <x v="0"/>
    <x v="2"/>
    <x v="0"/>
    <n v="14"/>
    <x v="0"/>
  </r>
  <r>
    <n v="4998"/>
    <x v="43"/>
    <x v="0"/>
    <x v="1"/>
    <x v="977"/>
    <x v="0"/>
    <d v="1899-12-30T00:00:00"/>
    <d v="2014-05-23T00:00:00"/>
    <n v="85"/>
    <n v="30"/>
    <n v="33"/>
    <n v="33"/>
    <n v="4"/>
    <n v="64"/>
    <x v="0"/>
    <n v="37"/>
    <x v="3"/>
    <m/>
    <x v="0"/>
    <x v="3"/>
    <x v="0"/>
    <n v="12"/>
    <x v="0"/>
  </r>
  <r>
    <n v="6287"/>
    <x v="22"/>
    <x v="0"/>
    <x v="1"/>
    <x v="978"/>
    <x v="1"/>
    <d v="1899-12-30T00:00:00"/>
    <d v="2013-07-30T00:00:00"/>
    <n v="2"/>
    <n v="0"/>
    <n v="0"/>
    <n v="0"/>
    <n v="2"/>
    <n v="40"/>
    <x v="1"/>
    <n v="2"/>
    <x v="3"/>
    <m/>
    <x v="0"/>
    <x v="1"/>
    <x v="0"/>
    <n v="13"/>
    <x v="0"/>
  </r>
  <r>
    <n v="5985"/>
    <x v="2"/>
    <x v="2"/>
    <x v="0"/>
    <x v="979"/>
    <x v="0"/>
    <d v="1899-12-31T00:00:00"/>
    <d v="2012-10-13T00:00:00"/>
    <n v="0"/>
    <n v="1"/>
    <n v="1"/>
    <n v="1"/>
    <n v="4"/>
    <n v="61"/>
    <x v="0"/>
    <n v="5"/>
    <x v="3"/>
    <m/>
    <x v="0"/>
    <x v="1"/>
    <x v="0"/>
    <n v="14"/>
    <x v="0"/>
  </r>
  <r>
    <n v="4754"/>
    <x v="35"/>
    <x v="2"/>
    <x v="2"/>
    <x v="980"/>
    <x v="0"/>
    <d v="1899-12-31T00:00:00"/>
    <d v="2013-09-25T00:00:00"/>
    <n v="91"/>
    <n v="11"/>
    <n v="6"/>
    <n v="6"/>
    <n v="4"/>
    <n v="60"/>
    <x v="0"/>
    <n v="10"/>
    <x v="3"/>
    <m/>
    <x v="0"/>
    <x v="1"/>
    <x v="0"/>
    <n v="13"/>
    <x v="0"/>
  </r>
  <r>
    <n v="4002"/>
    <x v="40"/>
    <x v="1"/>
    <x v="2"/>
    <x v="981"/>
    <x v="0"/>
    <d v="1899-12-31T00:00:00"/>
    <d v="2013-10-13T00:00:00"/>
    <n v="3"/>
    <n v="96"/>
    <n v="53"/>
    <n v="53"/>
    <n v="12"/>
    <n v="66"/>
    <x v="0"/>
    <n v="65"/>
    <x v="3"/>
    <m/>
    <x v="0"/>
    <x v="3"/>
    <x v="0"/>
    <n v="13"/>
    <x v="0"/>
  </r>
  <r>
    <n v="8870"/>
    <x v="3"/>
    <x v="0"/>
    <x v="1"/>
    <x v="982"/>
    <x v="1"/>
    <d v="1899-12-30T00:00:00"/>
    <d v="2012-11-13T00:00:00"/>
    <n v="68"/>
    <n v="12"/>
    <n v="39"/>
    <n v="39"/>
    <n v="5"/>
    <n v="42"/>
    <x v="1"/>
    <n v="44"/>
    <x v="3"/>
    <m/>
    <x v="0"/>
    <x v="1"/>
    <x v="0"/>
    <n v="14"/>
    <x v="0"/>
  </r>
  <r>
    <n v="966"/>
    <x v="35"/>
    <x v="0"/>
    <x v="2"/>
    <x v="983"/>
    <x v="0"/>
    <d v="1899-12-31T00:00:00"/>
    <d v="2013-07-05T00:00:00"/>
    <n v="98"/>
    <n v="13"/>
    <n v="6"/>
    <n v="6"/>
    <n v="11"/>
    <n v="60"/>
    <x v="0"/>
    <n v="17"/>
    <x v="3"/>
    <m/>
    <x v="0"/>
    <x v="1"/>
    <x v="0"/>
    <n v="13"/>
    <x v="0"/>
  </r>
  <r>
    <n v="4767"/>
    <x v="2"/>
    <x v="4"/>
    <x v="2"/>
    <x v="951"/>
    <x v="0"/>
    <d v="1899-12-30T00:00:00"/>
    <d v="2014-04-07T00:00:00"/>
    <n v="41"/>
    <n v="114"/>
    <n v="152"/>
    <n v="152"/>
    <n v="7"/>
    <n v="61"/>
    <x v="0"/>
    <n v="159"/>
    <x v="3"/>
    <m/>
    <x v="0"/>
    <x v="0"/>
    <x v="0"/>
    <n v="12"/>
    <x v="0"/>
  </r>
  <r>
    <n v="9725"/>
    <x v="35"/>
    <x v="1"/>
    <x v="1"/>
    <x v="984"/>
    <x v="1"/>
    <d v="1899-12-31T00:00:00"/>
    <d v="2014-06-05T00:00:00"/>
    <n v="16"/>
    <n v="0"/>
    <n v="0"/>
    <n v="0"/>
    <n v="2"/>
    <n v="60"/>
    <x v="0"/>
    <n v="2"/>
    <x v="3"/>
    <m/>
    <x v="0"/>
    <x v="2"/>
    <x v="0"/>
    <n v="12"/>
    <x v="0"/>
  </r>
  <r>
    <n v="4475"/>
    <x v="17"/>
    <x v="1"/>
    <x v="2"/>
    <x v="985"/>
    <x v="0"/>
    <d v="1899-12-30T00:00:00"/>
    <d v="2013-02-16T00:00:00"/>
    <n v="82"/>
    <n v="22"/>
    <n v="0"/>
    <n v="0"/>
    <n v="9"/>
    <n v="77"/>
    <x v="0"/>
    <n v="9"/>
    <x v="3"/>
    <m/>
    <x v="0"/>
    <x v="0"/>
    <x v="0"/>
    <n v="13"/>
    <x v="0"/>
  </r>
  <r>
    <n v="5740"/>
    <x v="25"/>
    <x v="4"/>
    <x v="3"/>
    <x v="986"/>
    <x v="1"/>
    <d v="1899-12-31T00:00:00"/>
    <d v="2013-02-14T00:00:00"/>
    <n v="1"/>
    <n v="2"/>
    <n v="5"/>
    <n v="5"/>
    <n v="2"/>
    <n v="56"/>
    <x v="0"/>
    <n v="7"/>
    <x v="3"/>
    <m/>
    <x v="0"/>
    <x v="2"/>
    <x v="0"/>
    <n v="13"/>
    <x v="0"/>
  </r>
  <r>
    <n v="5731"/>
    <x v="10"/>
    <x v="2"/>
    <x v="2"/>
    <x v="987"/>
    <x v="1"/>
    <d v="1899-12-30T00:00:00"/>
    <d v="2013-04-05T00:00:00"/>
    <n v="64"/>
    <n v="0"/>
    <n v="0"/>
    <n v="0"/>
    <n v="3"/>
    <n v="43"/>
    <x v="1"/>
    <n v="3"/>
    <x v="3"/>
    <m/>
    <x v="0"/>
    <x v="2"/>
    <x v="0"/>
    <n v="13"/>
    <x v="0"/>
  </r>
  <r>
    <n v="7290"/>
    <x v="7"/>
    <x v="0"/>
    <x v="0"/>
    <x v="988"/>
    <x v="0"/>
    <d v="1899-12-30T00:00:00"/>
    <d v="2012-10-05T00:00:00"/>
    <n v="68"/>
    <n v="44"/>
    <n v="0"/>
    <n v="0"/>
    <n v="12"/>
    <n v="41"/>
    <x v="1"/>
    <n v="12"/>
    <x v="3"/>
    <m/>
    <x v="0"/>
    <x v="0"/>
    <x v="0"/>
    <n v="14"/>
    <x v="0"/>
  </r>
  <r>
    <n v="3846"/>
    <x v="8"/>
    <x v="0"/>
    <x v="2"/>
    <x v="989"/>
    <x v="0"/>
    <d v="1899-12-31T00:00:00"/>
    <d v="2012-08-29T00:00:00"/>
    <n v="98"/>
    <n v="5"/>
    <n v="5"/>
    <n v="5"/>
    <n v="4"/>
    <n v="52"/>
    <x v="0"/>
    <n v="9"/>
    <x v="3"/>
    <m/>
    <x v="0"/>
    <x v="1"/>
    <x v="0"/>
    <n v="14"/>
    <x v="0"/>
  </r>
  <r>
    <n v="8104"/>
    <x v="20"/>
    <x v="1"/>
    <x v="2"/>
    <x v="990"/>
    <x v="0"/>
    <d v="1899-12-30T00:00:00"/>
    <d v="2013-08-09T00:00:00"/>
    <n v="32"/>
    <n v="0"/>
    <n v="0"/>
    <n v="0"/>
    <n v="5"/>
    <n v="75"/>
    <x v="0"/>
    <n v="5"/>
    <x v="3"/>
    <m/>
    <x v="0"/>
    <x v="0"/>
    <x v="0"/>
    <n v="13"/>
    <x v="0"/>
  </r>
  <r>
    <n v="4507"/>
    <x v="13"/>
    <x v="0"/>
    <x v="0"/>
    <x v="991"/>
    <x v="0"/>
    <d v="1899-12-30T00:00:00"/>
    <d v="2012-11-27T00:00:00"/>
    <n v="87"/>
    <n v="28"/>
    <n v="14"/>
    <n v="14"/>
    <n v="8"/>
    <n v="74"/>
    <x v="0"/>
    <n v="22"/>
    <x v="3"/>
    <m/>
    <x v="0"/>
    <x v="0"/>
    <x v="0"/>
    <n v="14"/>
    <x v="0"/>
  </r>
  <r>
    <n v="11013"/>
    <x v="14"/>
    <x v="0"/>
    <x v="1"/>
    <x v="992"/>
    <x v="0"/>
    <d v="1899-12-30T00:00:00"/>
    <d v="2013-03-31T00:00:00"/>
    <n v="84"/>
    <n v="28"/>
    <n v="54"/>
    <n v="54"/>
    <n v="6"/>
    <n v="39"/>
    <x v="1"/>
    <n v="60"/>
    <x v="3"/>
    <m/>
    <x v="0"/>
    <x v="0"/>
    <x v="0"/>
    <n v="13"/>
    <x v="0"/>
  </r>
  <r>
    <n v="4491"/>
    <x v="17"/>
    <x v="2"/>
    <x v="2"/>
    <x v="993"/>
    <x v="1"/>
    <d v="1899-12-31T00:00:00"/>
    <d v="2012-10-01T00:00:00"/>
    <n v="3"/>
    <n v="0"/>
    <n v="0"/>
    <n v="0"/>
    <n v="10"/>
    <n v="77"/>
    <x v="0"/>
    <n v="10"/>
    <x v="3"/>
    <m/>
    <x v="0"/>
    <x v="0"/>
    <x v="0"/>
    <n v="14"/>
    <x v="0"/>
  </r>
  <r>
    <n v="3759"/>
    <x v="38"/>
    <x v="0"/>
    <x v="1"/>
    <x v="994"/>
    <x v="0"/>
    <d v="1900-01-01T00:00:00"/>
    <d v="2013-07-25T00:00:00"/>
    <n v="34"/>
    <n v="19"/>
    <n v="0"/>
    <n v="0"/>
    <n v="11"/>
    <n v="68"/>
    <x v="0"/>
    <n v="11"/>
    <x v="3"/>
    <m/>
    <x v="0"/>
    <x v="0"/>
    <x v="0"/>
    <n v="13"/>
    <x v="0"/>
  </r>
  <r>
    <n v="1162"/>
    <x v="14"/>
    <x v="1"/>
    <x v="0"/>
    <x v="995"/>
    <x v="0"/>
    <d v="1899-12-30T00:00:00"/>
    <d v="2013-01-10T00:00:00"/>
    <n v="23"/>
    <n v="83"/>
    <n v="59"/>
    <n v="59"/>
    <n v="11"/>
    <n v="39"/>
    <x v="1"/>
    <n v="70"/>
    <x v="3"/>
    <m/>
    <x v="0"/>
    <x v="1"/>
    <x v="0"/>
    <n v="13"/>
    <x v="0"/>
  </r>
  <r>
    <n v="2055"/>
    <x v="26"/>
    <x v="1"/>
    <x v="3"/>
    <x v="125"/>
    <x v="1"/>
    <d v="1899-12-31T00:00:00"/>
    <d v="2014-05-19T00:00:00"/>
    <n v="37"/>
    <n v="0"/>
    <n v="2"/>
    <n v="2"/>
    <n v="2"/>
    <n v="53"/>
    <x v="0"/>
    <n v="4"/>
    <x v="3"/>
    <m/>
    <x v="0"/>
    <x v="1"/>
    <x v="0"/>
    <n v="12"/>
    <x v="0"/>
  </r>
  <r>
    <n v="10766"/>
    <x v="31"/>
    <x v="1"/>
    <x v="2"/>
    <x v="996"/>
    <x v="0"/>
    <d v="1899-12-31T00:00:00"/>
    <d v="2014-04-11T00:00:00"/>
    <n v="22"/>
    <n v="19"/>
    <n v="0"/>
    <n v="0"/>
    <n v="8"/>
    <n v="62"/>
    <x v="0"/>
    <n v="8"/>
    <x v="3"/>
    <m/>
    <x v="0"/>
    <x v="0"/>
    <x v="0"/>
    <n v="12"/>
    <x v="0"/>
  </r>
  <r>
    <n v="4415"/>
    <x v="45"/>
    <x v="0"/>
    <x v="2"/>
    <x v="997"/>
    <x v="1"/>
    <d v="1899-12-31T00:00:00"/>
    <d v="2012-09-12T00:00:00"/>
    <n v="19"/>
    <n v="4"/>
    <n v="3"/>
    <n v="3"/>
    <n v="3"/>
    <n v="65"/>
    <x v="0"/>
    <n v="6"/>
    <x v="3"/>
    <m/>
    <x v="0"/>
    <x v="2"/>
    <x v="0"/>
    <n v="14"/>
    <x v="0"/>
  </r>
  <r>
    <n v="3005"/>
    <x v="47"/>
    <x v="0"/>
    <x v="0"/>
    <x v="998"/>
    <x v="0"/>
    <d v="1899-12-30T00:00:00"/>
    <d v="2014-05-01T00:00:00"/>
    <n v="7"/>
    <n v="117"/>
    <n v="44"/>
    <n v="44"/>
    <n v="8"/>
    <n v="34"/>
    <x v="1"/>
    <n v="52"/>
    <x v="3"/>
    <m/>
    <x v="0"/>
    <x v="3"/>
    <x v="0"/>
    <n v="12"/>
    <x v="0"/>
  </r>
  <r>
    <n v="2223"/>
    <x v="2"/>
    <x v="4"/>
    <x v="3"/>
    <x v="999"/>
    <x v="0"/>
    <d v="1899-12-31T00:00:00"/>
    <d v="2012-08-03T00:00:00"/>
    <n v="52"/>
    <n v="33"/>
    <n v="116"/>
    <n v="116"/>
    <n v="8"/>
    <n v="61"/>
    <x v="0"/>
    <n v="124"/>
    <x v="3"/>
    <m/>
    <x v="0"/>
    <x v="0"/>
    <x v="0"/>
    <n v="14"/>
    <x v="0"/>
  </r>
  <r>
    <n v="4817"/>
    <x v="46"/>
    <x v="0"/>
    <x v="3"/>
    <x v="1000"/>
    <x v="0"/>
    <d v="1899-12-30T00:00:00"/>
    <d v="2012-08-04T00:00:00"/>
    <n v="91"/>
    <n v="2"/>
    <n v="4"/>
    <n v="4"/>
    <n v="2"/>
    <n v="70"/>
    <x v="0"/>
    <n v="6"/>
    <x v="3"/>
    <m/>
    <x v="0"/>
    <x v="2"/>
    <x v="0"/>
    <n v="14"/>
    <x v="0"/>
  </r>
  <r>
    <n v="2875"/>
    <x v="33"/>
    <x v="0"/>
    <x v="2"/>
    <x v="1001"/>
    <x v="0"/>
    <d v="1899-12-30T00:00:00"/>
    <d v="2014-03-04T00:00:00"/>
    <n v="93"/>
    <n v="44"/>
    <n v="8"/>
    <n v="8"/>
    <n v="13"/>
    <n v="48"/>
    <x v="1"/>
    <n v="21"/>
    <x v="3"/>
    <m/>
    <x v="0"/>
    <x v="0"/>
    <x v="0"/>
    <n v="12"/>
    <x v="0"/>
  </r>
  <r>
    <n v="10536"/>
    <x v="6"/>
    <x v="1"/>
    <x v="1"/>
    <x v="876"/>
    <x v="1"/>
    <d v="1899-12-30T00:00:00"/>
    <d v="2014-05-25T00:00:00"/>
    <n v="78"/>
    <n v="0"/>
    <n v="1"/>
    <n v="1"/>
    <n v="3"/>
    <n v="55"/>
    <x v="0"/>
    <n v="4"/>
    <x v="3"/>
    <m/>
    <x v="0"/>
    <x v="1"/>
    <x v="0"/>
    <n v="12"/>
    <x v="0"/>
  </r>
  <r>
    <n v="11112"/>
    <x v="35"/>
    <x v="0"/>
    <x v="1"/>
    <x v="1002"/>
    <x v="0"/>
    <d v="1899-12-31T00:00:00"/>
    <d v="2012-12-03T00:00:00"/>
    <n v="23"/>
    <n v="114"/>
    <n v="76"/>
    <n v="76"/>
    <n v="8"/>
    <n v="60"/>
    <x v="0"/>
    <n v="84"/>
    <x v="3"/>
    <m/>
    <x v="0"/>
    <x v="0"/>
    <x v="0"/>
    <n v="14"/>
    <x v="0"/>
  </r>
  <r>
    <n v="3807"/>
    <x v="34"/>
    <x v="0"/>
    <x v="1"/>
    <x v="1003"/>
    <x v="0"/>
    <d v="1899-12-31T00:00:00"/>
    <d v="2012-11-30T00:00:00"/>
    <n v="83"/>
    <n v="21"/>
    <n v="21"/>
    <n v="21"/>
    <n v="9"/>
    <n v="71"/>
    <x v="0"/>
    <n v="30"/>
    <x v="3"/>
    <m/>
    <x v="0"/>
    <x v="0"/>
    <x v="0"/>
    <n v="14"/>
    <x v="0"/>
  </r>
  <r>
    <n v="9197"/>
    <x v="44"/>
    <x v="0"/>
    <x v="2"/>
    <x v="1004"/>
    <x v="0"/>
    <d v="1899-12-31T00:00:00"/>
    <d v="2014-02-24T00:00:00"/>
    <n v="92"/>
    <n v="0"/>
    <n v="0"/>
    <n v="0"/>
    <n v="3"/>
    <n v="73"/>
    <x v="0"/>
    <n v="3"/>
    <x v="3"/>
    <m/>
    <x v="0"/>
    <x v="1"/>
    <x v="0"/>
    <n v="12"/>
    <x v="0"/>
  </r>
  <r>
    <n v="10832"/>
    <x v="38"/>
    <x v="0"/>
    <x v="1"/>
    <x v="32"/>
    <x v="0"/>
    <d v="1899-12-30T00:00:00"/>
    <d v="2013-07-18T00:00:00"/>
    <n v="4"/>
    <n v="10"/>
    <n v="10"/>
    <n v="10"/>
    <n v="6"/>
    <n v="68"/>
    <x v="0"/>
    <n v="16"/>
    <x v="3"/>
    <m/>
    <x v="0"/>
    <x v="1"/>
    <x v="0"/>
    <n v="13"/>
    <x v="0"/>
  </r>
  <r>
    <n v="6421"/>
    <x v="45"/>
    <x v="0"/>
    <x v="1"/>
    <x v="1005"/>
    <x v="0"/>
    <d v="1899-12-30T00:00:00"/>
    <d v="2013-07-03T00:00:00"/>
    <n v="32"/>
    <n v="178"/>
    <n v="138"/>
    <n v="138"/>
    <n v="9"/>
    <n v="65"/>
    <x v="0"/>
    <n v="147"/>
    <x v="3"/>
    <m/>
    <x v="0"/>
    <x v="3"/>
    <x v="0"/>
    <n v="13"/>
    <x v="0"/>
  </r>
  <r>
    <n v="4207"/>
    <x v="4"/>
    <x v="1"/>
    <x v="2"/>
    <x v="1006"/>
    <x v="0"/>
    <d v="1899-12-30T00:00:00"/>
    <d v="2013-05-01T00:00:00"/>
    <n v="27"/>
    <n v="44"/>
    <n v="44"/>
    <n v="44"/>
    <n v="11"/>
    <n v="45"/>
    <x v="1"/>
    <n v="55"/>
    <x v="3"/>
    <m/>
    <x v="0"/>
    <x v="3"/>
    <x v="0"/>
    <n v="13"/>
    <x v="0"/>
  </r>
  <r>
    <n v="577"/>
    <x v="11"/>
    <x v="4"/>
    <x v="1"/>
    <x v="1007"/>
    <x v="1"/>
    <d v="1899-12-31T00:00:00"/>
    <d v="2013-08-20T00:00:00"/>
    <n v="10"/>
    <n v="1"/>
    <n v="3"/>
    <n v="3"/>
    <n v="3"/>
    <n v="50"/>
    <x v="1"/>
    <n v="6"/>
    <x v="3"/>
    <m/>
    <x v="0"/>
    <x v="2"/>
    <x v="0"/>
    <n v="13"/>
    <x v="0"/>
  </r>
  <r>
    <n v="10855"/>
    <x v="30"/>
    <x v="2"/>
    <x v="0"/>
    <x v="1008"/>
    <x v="1"/>
    <d v="1899-12-30T00:00:00"/>
    <d v="2014-01-22T00:00:00"/>
    <n v="9"/>
    <n v="14"/>
    <n v="10"/>
    <n v="10"/>
    <n v="8"/>
    <n v="58"/>
    <x v="0"/>
    <n v="18"/>
    <x v="3"/>
    <m/>
    <x v="0"/>
    <x v="0"/>
    <x v="0"/>
    <n v="12"/>
    <x v="0"/>
  </r>
  <r>
    <n v="3081"/>
    <x v="33"/>
    <x v="1"/>
    <x v="2"/>
    <x v="1009"/>
    <x v="1"/>
    <d v="1899-12-30T00:00:00"/>
    <d v="2013-04-22T00:00:00"/>
    <n v="65"/>
    <n v="2"/>
    <n v="0"/>
    <n v="0"/>
    <n v="2"/>
    <n v="48"/>
    <x v="1"/>
    <n v="2"/>
    <x v="3"/>
    <m/>
    <x v="0"/>
    <x v="1"/>
    <x v="0"/>
    <n v="13"/>
    <x v="0"/>
  </r>
  <r>
    <n v="3535"/>
    <x v="2"/>
    <x v="0"/>
    <x v="0"/>
    <x v="1010"/>
    <x v="0"/>
    <d v="1899-12-30T00:00:00"/>
    <d v="2014-03-17T00:00:00"/>
    <n v="68"/>
    <n v="108"/>
    <n v="92"/>
    <n v="92"/>
    <n v="5"/>
    <n v="61"/>
    <x v="0"/>
    <n v="97"/>
    <x v="3"/>
    <m/>
    <x v="0"/>
    <x v="0"/>
    <x v="0"/>
    <n v="12"/>
    <x v="0"/>
  </r>
  <r>
    <n v="247"/>
    <x v="6"/>
    <x v="0"/>
    <x v="2"/>
    <x v="1011"/>
    <x v="1"/>
    <d v="1899-12-30T00:00:00"/>
    <d v="2012-11-17T00:00:00"/>
    <n v="16"/>
    <n v="10"/>
    <n v="13"/>
    <n v="13"/>
    <n v="4"/>
    <n v="55"/>
    <x v="0"/>
    <n v="17"/>
    <x v="3"/>
    <m/>
    <x v="0"/>
    <x v="1"/>
    <x v="0"/>
    <n v="14"/>
    <x v="0"/>
  </r>
  <r>
    <n v="8707"/>
    <x v="46"/>
    <x v="0"/>
    <x v="2"/>
    <x v="1012"/>
    <x v="0"/>
    <d v="1899-12-30T00:00:00"/>
    <d v="2012-08-22T00:00:00"/>
    <n v="12"/>
    <n v="42"/>
    <n v="83"/>
    <n v="83"/>
    <n v="4"/>
    <n v="70"/>
    <x v="0"/>
    <n v="87"/>
    <x v="3"/>
    <m/>
    <x v="0"/>
    <x v="3"/>
    <x v="0"/>
    <n v="14"/>
    <x v="0"/>
  </r>
  <r>
    <n v="9523"/>
    <x v="18"/>
    <x v="0"/>
    <x v="1"/>
    <x v="1013"/>
    <x v="1"/>
    <d v="1899-12-30T00:00:00"/>
    <d v="2013-08-17T00:00:00"/>
    <n v="95"/>
    <n v="0"/>
    <n v="0"/>
    <n v="0"/>
    <n v="3"/>
    <n v="44"/>
    <x v="1"/>
    <n v="3"/>
    <x v="3"/>
    <m/>
    <x v="0"/>
    <x v="1"/>
    <x v="0"/>
    <n v="13"/>
    <x v="0"/>
  </r>
  <r>
    <n v="6072"/>
    <x v="25"/>
    <x v="2"/>
    <x v="0"/>
    <x v="1014"/>
    <x v="0"/>
    <d v="1899-12-30T00:00:00"/>
    <d v="2013-02-02T00:00:00"/>
    <n v="16"/>
    <n v="57"/>
    <n v="38"/>
    <n v="38"/>
    <n v="6"/>
    <n v="56"/>
    <x v="0"/>
    <n v="44"/>
    <x v="3"/>
    <m/>
    <x v="0"/>
    <x v="3"/>
    <x v="0"/>
    <n v="13"/>
    <x v="0"/>
  </r>
  <r>
    <n v="6295"/>
    <x v="32"/>
    <x v="0"/>
    <x v="2"/>
    <x v="1015"/>
    <x v="0"/>
    <d v="1899-12-31T00:00:00"/>
    <d v="2013-02-04T00:00:00"/>
    <n v="46"/>
    <n v="8"/>
    <n v="0"/>
    <n v="0"/>
    <n v="5"/>
    <n v="49"/>
    <x v="1"/>
    <n v="5"/>
    <x v="3"/>
    <m/>
    <x v="0"/>
    <x v="0"/>
    <x v="0"/>
    <n v="13"/>
    <x v="0"/>
  </r>
  <r>
    <n v="10914"/>
    <x v="25"/>
    <x v="0"/>
    <x v="0"/>
    <x v="1016"/>
    <x v="1"/>
    <d v="1899-12-31T00:00:00"/>
    <d v="2013-10-12T00:00:00"/>
    <n v="3"/>
    <n v="1"/>
    <n v="1"/>
    <n v="1"/>
    <n v="3"/>
    <n v="56"/>
    <x v="0"/>
    <n v="4"/>
    <x v="3"/>
    <m/>
    <x v="0"/>
    <x v="2"/>
    <x v="0"/>
    <n v="13"/>
    <x v="0"/>
  </r>
  <r>
    <n v="1509"/>
    <x v="38"/>
    <x v="1"/>
    <x v="1"/>
    <x v="1017"/>
    <x v="0"/>
    <d v="1899-12-30T00:00:00"/>
    <d v="2013-01-04T00:00:00"/>
    <n v="80"/>
    <n v="27"/>
    <n v="54"/>
    <n v="54"/>
    <n v="4"/>
    <n v="68"/>
    <x v="0"/>
    <n v="58"/>
    <x v="3"/>
    <m/>
    <x v="0"/>
    <x v="3"/>
    <x v="0"/>
    <n v="13"/>
    <x v="0"/>
  </r>
  <r>
    <n v="5577"/>
    <x v="10"/>
    <x v="0"/>
    <x v="1"/>
    <x v="247"/>
    <x v="1"/>
    <d v="1899-12-30T00:00:00"/>
    <d v="2014-05-03T00:00:00"/>
    <n v="77"/>
    <n v="0"/>
    <n v="1"/>
    <n v="1"/>
    <n v="2"/>
    <n v="43"/>
    <x v="1"/>
    <n v="3"/>
    <x v="3"/>
    <m/>
    <x v="0"/>
    <x v="1"/>
    <x v="0"/>
    <n v="12"/>
    <x v="0"/>
  </r>
  <r>
    <n v="7348"/>
    <x v="38"/>
    <x v="1"/>
    <x v="0"/>
    <x v="1018"/>
    <x v="0"/>
    <d v="1899-12-30T00:00:00"/>
    <d v="2014-03-17T00:00:00"/>
    <n v="0"/>
    <n v="130"/>
    <n v="32"/>
    <n v="32"/>
    <n v="5"/>
    <n v="68"/>
    <x v="0"/>
    <n v="37"/>
    <x v="3"/>
    <m/>
    <x v="0"/>
    <x v="0"/>
    <x v="0"/>
    <n v="12"/>
    <x v="0"/>
  </r>
  <r>
    <n v="1127"/>
    <x v="26"/>
    <x v="1"/>
    <x v="2"/>
    <x v="1019"/>
    <x v="0"/>
    <d v="1899-12-30T00:00:00"/>
    <d v="2014-05-29T00:00:00"/>
    <n v="62"/>
    <n v="19"/>
    <n v="95"/>
    <n v="95"/>
    <n v="7"/>
    <n v="53"/>
    <x v="0"/>
    <n v="102"/>
    <x v="3"/>
    <m/>
    <x v="0"/>
    <x v="3"/>
    <x v="0"/>
    <n v="12"/>
    <x v="0"/>
  </r>
  <r>
    <n v="1833"/>
    <x v="8"/>
    <x v="1"/>
    <x v="0"/>
    <x v="1020"/>
    <x v="1"/>
    <d v="1899-12-30T00:00:00"/>
    <d v="2014-04-26T00:00:00"/>
    <n v="91"/>
    <n v="8"/>
    <n v="8"/>
    <n v="8"/>
    <n v="4"/>
    <n v="52"/>
    <x v="0"/>
    <n v="12"/>
    <x v="3"/>
    <m/>
    <x v="0"/>
    <x v="1"/>
    <x v="0"/>
    <n v="12"/>
    <x v="0"/>
  </r>
  <r>
    <n v="4944"/>
    <x v="12"/>
    <x v="0"/>
    <x v="1"/>
    <x v="485"/>
    <x v="0"/>
    <d v="1899-12-30T00:00:00"/>
    <d v="2013-08-23T00:00:00"/>
    <n v="24"/>
    <n v="23"/>
    <n v="21"/>
    <n v="21"/>
    <n v="7"/>
    <n v="67"/>
    <x v="0"/>
    <n v="28"/>
    <x v="3"/>
    <m/>
    <x v="0"/>
    <x v="0"/>
    <x v="0"/>
    <n v="13"/>
    <x v="0"/>
  </r>
  <r>
    <n v="9080"/>
    <x v="39"/>
    <x v="1"/>
    <x v="0"/>
    <x v="351"/>
    <x v="1"/>
    <d v="1899-12-31T00:00:00"/>
    <d v="2013-06-22T00:00:00"/>
    <n v="2"/>
    <n v="4"/>
    <n v="3"/>
    <n v="3"/>
    <n v="3"/>
    <n v="54"/>
    <x v="0"/>
    <n v="6"/>
    <x v="3"/>
    <m/>
    <x v="0"/>
    <x v="1"/>
    <x v="0"/>
    <n v="13"/>
    <x v="0"/>
  </r>
  <r>
    <n v="6466"/>
    <x v="2"/>
    <x v="1"/>
    <x v="2"/>
    <x v="1021"/>
    <x v="1"/>
    <d v="1899-12-31T00:00:00"/>
    <d v="2014-03-12T00:00:00"/>
    <n v="22"/>
    <n v="0"/>
    <n v="1"/>
    <n v="1"/>
    <n v="4"/>
    <n v="61"/>
    <x v="0"/>
    <n v="5"/>
    <x v="3"/>
    <m/>
    <x v="0"/>
    <x v="0"/>
    <x v="0"/>
    <n v="12"/>
    <x v="0"/>
  </r>
  <r>
    <n v="9964"/>
    <x v="19"/>
    <x v="0"/>
    <x v="0"/>
    <x v="1022"/>
    <x v="0"/>
    <d v="1899-12-31T00:00:00"/>
    <d v="2013-08-07T00:00:00"/>
    <n v="56"/>
    <n v="50"/>
    <n v="30"/>
    <n v="30"/>
    <n v="8"/>
    <n v="47"/>
    <x v="1"/>
    <n v="38"/>
    <x v="3"/>
    <m/>
    <x v="0"/>
    <x v="0"/>
    <x v="0"/>
    <n v="13"/>
    <x v="0"/>
  </r>
  <r>
    <n v="4790"/>
    <x v="38"/>
    <x v="0"/>
    <x v="3"/>
    <x v="1023"/>
    <x v="0"/>
    <d v="1899-12-31T00:00:00"/>
    <d v="2014-06-02T00:00:00"/>
    <n v="54"/>
    <n v="8"/>
    <n v="16"/>
    <n v="16"/>
    <n v="5"/>
    <n v="68"/>
    <x v="0"/>
    <n v="21"/>
    <x v="3"/>
    <m/>
    <x v="0"/>
    <x v="3"/>
    <x v="0"/>
    <n v="12"/>
    <x v="0"/>
  </r>
  <r>
    <n v="10245"/>
    <x v="22"/>
    <x v="4"/>
    <x v="0"/>
    <x v="1024"/>
    <x v="0"/>
    <d v="1899-12-30T00:00:00"/>
    <d v="2012-10-31T00:00:00"/>
    <n v="71"/>
    <n v="80"/>
    <n v="39"/>
    <n v="39"/>
    <n v="8"/>
    <n v="40"/>
    <x v="1"/>
    <n v="47"/>
    <x v="3"/>
    <m/>
    <x v="0"/>
    <x v="3"/>
    <x v="0"/>
    <n v="14"/>
    <x v="0"/>
  </r>
  <r>
    <n v="1109"/>
    <x v="18"/>
    <x v="2"/>
    <x v="1"/>
    <x v="1025"/>
    <x v="1"/>
    <d v="1899-12-30T00:00:00"/>
    <d v="2013-04-23T00:00:00"/>
    <n v="38"/>
    <n v="0"/>
    <n v="0"/>
    <n v="0"/>
    <n v="2"/>
    <n v="44"/>
    <x v="1"/>
    <n v="2"/>
    <x v="3"/>
    <m/>
    <x v="0"/>
    <x v="2"/>
    <x v="0"/>
    <n v="13"/>
    <x v="0"/>
  </r>
  <r>
    <n v="6001"/>
    <x v="19"/>
    <x v="0"/>
    <x v="2"/>
    <x v="1026"/>
    <x v="0"/>
    <d v="1899-12-31T00:00:00"/>
    <d v="2013-01-02T00:00:00"/>
    <n v="62"/>
    <n v="35"/>
    <n v="35"/>
    <n v="35"/>
    <n v="10"/>
    <n v="47"/>
    <x v="1"/>
    <n v="45"/>
    <x v="3"/>
    <m/>
    <x v="0"/>
    <x v="0"/>
    <x v="0"/>
    <n v="13"/>
    <x v="0"/>
  </r>
  <r>
    <n v="5538"/>
    <x v="28"/>
    <x v="0"/>
    <x v="3"/>
    <x v="1027"/>
    <x v="0"/>
    <d v="1899-12-30T00:00:00"/>
    <d v="2013-10-08T00:00:00"/>
    <n v="78"/>
    <n v="161"/>
    <n v="161"/>
    <n v="161"/>
    <n v="6"/>
    <n v="51"/>
    <x v="0"/>
    <n v="167"/>
    <x v="3"/>
    <m/>
    <x v="0"/>
    <x v="3"/>
    <x v="0"/>
    <n v="13"/>
    <x v="0"/>
  </r>
  <r>
    <n v="10552"/>
    <x v="19"/>
    <x v="4"/>
    <x v="2"/>
    <x v="1028"/>
    <x v="0"/>
    <d v="1899-12-31T00:00:00"/>
    <d v="2013-05-20T00:00:00"/>
    <n v="18"/>
    <n v="54"/>
    <n v="9"/>
    <n v="9"/>
    <n v="7"/>
    <n v="47"/>
    <x v="1"/>
    <n v="16"/>
    <x v="3"/>
    <m/>
    <x v="0"/>
    <x v="0"/>
    <x v="0"/>
    <n v="13"/>
    <x v="0"/>
  </r>
  <r>
    <n v="1545"/>
    <x v="22"/>
    <x v="0"/>
    <x v="2"/>
    <x v="1029"/>
    <x v="1"/>
    <d v="1899-12-30T00:00:00"/>
    <d v="2013-08-02T00:00:00"/>
    <n v="95"/>
    <n v="19"/>
    <n v="19"/>
    <n v="19"/>
    <n v="5"/>
    <n v="40"/>
    <x v="1"/>
    <n v="24"/>
    <x v="3"/>
    <m/>
    <x v="0"/>
    <x v="1"/>
    <x v="0"/>
    <n v="13"/>
    <x v="0"/>
  </r>
  <r>
    <n v="7409"/>
    <x v="25"/>
    <x v="0"/>
    <x v="1"/>
    <x v="1030"/>
    <x v="1"/>
    <d v="1899-12-30T00:00:00"/>
    <d v="2013-10-26T00:00:00"/>
    <n v="66"/>
    <n v="2"/>
    <n v="7"/>
    <n v="7"/>
    <n v="6"/>
    <n v="56"/>
    <x v="0"/>
    <n v="13"/>
    <x v="3"/>
    <m/>
    <x v="0"/>
    <x v="0"/>
    <x v="0"/>
    <n v="13"/>
    <x v="0"/>
  </r>
  <r>
    <n v="4444"/>
    <x v="39"/>
    <x v="0"/>
    <x v="2"/>
    <x v="1031"/>
    <x v="1"/>
    <d v="1899-12-30T00:00:00"/>
    <d v="2014-03-24T00:00:00"/>
    <n v="28"/>
    <n v="0"/>
    <n v="6"/>
    <n v="6"/>
    <n v="3"/>
    <n v="54"/>
    <x v="0"/>
    <n v="9"/>
    <x v="3"/>
    <m/>
    <x v="0"/>
    <x v="1"/>
    <x v="0"/>
    <n v="12"/>
    <x v="0"/>
  </r>
  <r>
    <n v="146"/>
    <x v="40"/>
    <x v="1"/>
    <x v="0"/>
    <x v="1032"/>
    <x v="0"/>
    <d v="1899-12-30T00:00:00"/>
    <d v="2013-11-15T00:00:00"/>
    <n v="78"/>
    <n v="53"/>
    <n v="93"/>
    <n v="93"/>
    <n v="11"/>
    <n v="66"/>
    <x v="0"/>
    <n v="104"/>
    <x v="3"/>
    <m/>
    <x v="0"/>
    <x v="3"/>
    <x v="0"/>
    <n v="13"/>
    <x v="0"/>
  </r>
  <r>
    <n v="6271"/>
    <x v="13"/>
    <x v="1"/>
    <x v="2"/>
    <x v="1033"/>
    <x v="0"/>
    <d v="1899-12-31T00:00:00"/>
    <d v="2014-06-19T00:00:00"/>
    <n v="13"/>
    <n v="0"/>
    <n v="0"/>
    <n v="0"/>
    <n v="3"/>
    <n v="74"/>
    <x v="0"/>
    <n v="3"/>
    <x v="3"/>
    <m/>
    <x v="0"/>
    <x v="0"/>
    <x v="0"/>
    <n v="12"/>
    <x v="0"/>
  </r>
  <r>
    <n v="10065"/>
    <x v="25"/>
    <x v="4"/>
    <x v="2"/>
    <x v="525"/>
    <x v="0"/>
    <d v="1899-12-30T00:00:00"/>
    <d v="2013-08-03T00:00:00"/>
    <n v="27"/>
    <n v="4"/>
    <n v="8"/>
    <n v="8"/>
    <n v="4"/>
    <n v="56"/>
    <x v="0"/>
    <n v="12"/>
    <x v="3"/>
    <m/>
    <x v="0"/>
    <x v="2"/>
    <x v="0"/>
    <n v="13"/>
    <x v="0"/>
  </r>
  <r>
    <n v="4741"/>
    <x v="8"/>
    <x v="4"/>
    <x v="2"/>
    <x v="1034"/>
    <x v="1"/>
    <d v="1899-12-30T00:00:00"/>
    <d v="2014-01-30T00:00:00"/>
    <n v="17"/>
    <n v="32"/>
    <n v="32"/>
    <n v="32"/>
    <n v="9"/>
    <n v="52"/>
    <x v="0"/>
    <n v="41"/>
    <x v="3"/>
    <m/>
    <x v="0"/>
    <x v="0"/>
    <x v="0"/>
    <n v="12"/>
    <x v="0"/>
  </r>
  <r>
    <n v="246"/>
    <x v="2"/>
    <x v="0"/>
    <x v="2"/>
    <x v="1035"/>
    <x v="1"/>
    <d v="1899-12-31T00:00:00"/>
    <d v="2014-05-31T00:00:00"/>
    <n v="71"/>
    <n v="9"/>
    <n v="21"/>
    <n v="21"/>
    <n v="7"/>
    <n v="61"/>
    <x v="0"/>
    <n v="28"/>
    <x v="3"/>
    <m/>
    <x v="0"/>
    <x v="0"/>
    <x v="0"/>
    <n v="12"/>
    <x v="0"/>
  </r>
  <r>
    <n v="375"/>
    <x v="1"/>
    <x v="0"/>
    <x v="3"/>
    <x v="1036"/>
    <x v="0"/>
    <d v="1899-12-30T00:00:00"/>
    <d v="2013-02-25T00:00:00"/>
    <n v="79"/>
    <n v="56"/>
    <n v="33"/>
    <n v="33"/>
    <n v="11"/>
    <n v="72"/>
    <x v="0"/>
    <n v="44"/>
    <x v="3"/>
    <m/>
    <x v="0"/>
    <x v="3"/>
    <x v="0"/>
    <n v="13"/>
    <x v="0"/>
  </r>
  <r>
    <n v="1524"/>
    <x v="10"/>
    <x v="4"/>
    <x v="0"/>
    <x v="521"/>
    <x v="0"/>
    <d v="1899-12-30T00:00:00"/>
    <d v="2013-03-01T00:00:00"/>
    <n v="1"/>
    <n v="45"/>
    <n v="160"/>
    <n v="160"/>
    <n v="5"/>
    <n v="43"/>
    <x v="1"/>
    <n v="165"/>
    <x v="3"/>
    <m/>
    <x v="0"/>
    <x v="3"/>
    <x v="0"/>
    <n v="13"/>
    <x v="0"/>
  </r>
  <r>
    <n v="10022"/>
    <x v="26"/>
    <x v="1"/>
    <x v="0"/>
    <x v="1037"/>
    <x v="1"/>
    <d v="1899-12-31T00:00:00"/>
    <d v="2014-02-09T00:00:00"/>
    <n v="78"/>
    <n v="0"/>
    <n v="0"/>
    <n v="0"/>
    <n v="2"/>
    <n v="53"/>
    <x v="0"/>
    <n v="2"/>
    <x v="3"/>
    <m/>
    <x v="0"/>
    <x v="0"/>
    <x v="0"/>
    <n v="12"/>
    <x v="0"/>
  </r>
  <r>
    <n v="7451"/>
    <x v="40"/>
    <x v="2"/>
    <x v="0"/>
    <x v="612"/>
    <x v="0"/>
    <d v="1899-12-30T00:00:00"/>
    <d v="2014-02-17T00:00:00"/>
    <n v="23"/>
    <n v="19"/>
    <n v="115"/>
    <n v="115"/>
    <n v="9"/>
    <n v="66"/>
    <x v="0"/>
    <n v="124"/>
    <x v="3"/>
    <m/>
    <x v="0"/>
    <x v="3"/>
    <x v="0"/>
    <n v="12"/>
    <x v="0"/>
  </r>
  <r>
    <n v="11010"/>
    <x v="3"/>
    <x v="1"/>
    <x v="0"/>
    <x v="1038"/>
    <x v="1"/>
    <d v="1899-12-30T00:00:00"/>
    <d v="2013-08-30T00:00:00"/>
    <n v="75"/>
    <n v="3"/>
    <n v="1"/>
    <n v="1"/>
    <n v="3"/>
    <n v="42"/>
    <x v="1"/>
    <n v="4"/>
    <x v="3"/>
    <m/>
    <x v="0"/>
    <x v="2"/>
    <x v="0"/>
    <n v="13"/>
    <x v="0"/>
  </r>
  <r>
    <n v="4356"/>
    <x v="6"/>
    <x v="0"/>
    <x v="1"/>
    <x v="1039"/>
    <x v="0"/>
    <d v="1899-12-31T00:00:00"/>
    <d v="2013-08-28T00:00:00"/>
    <n v="70"/>
    <n v="28"/>
    <n v="14"/>
    <n v="14"/>
    <n v="5"/>
    <n v="55"/>
    <x v="0"/>
    <n v="19"/>
    <x v="3"/>
    <m/>
    <x v="0"/>
    <x v="0"/>
    <x v="0"/>
    <n v="13"/>
    <x v="0"/>
  </r>
  <r>
    <n v="3885"/>
    <x v="10"/>
    <x v="1"/>
    <x v="2"/>
    <x v="1040"/>
    <x v="1"/>
    <d v="1899-12-30T00:00:00"/>
    <d v="2013-10-16T00:00:00"/>
    <n v="10"/>
    <n v="2"/>
    <n v="0"/>
    <n v="0"/>
    <n v="2"/>
    <n v="43"/>
    <x v="1"/>
    <n v="2"/>
    <x v="3"/>
    <m/>
    <x v="0"/>
    <x v="1"/>
    <x v="0"/>
    <n v="13"/>
    <x v="0"/>
  </r>
  <r>
    <n v="1175"/>
    <x v="10"/>
    <x v="2"/>
    <x v="2"/>
    <x v="1041"/>
    <x v="0"/>
    <d v="1899-12-30T00:00:00"/>
    <d v="2013-09-20T00:00:00"/>
    <n v="24"/>
    <n v="39"/>
    <n v="28"/>
    <n v="28"/>
    <n v="3"/>
    <n v="43"/>
    <x v="1"/>
    <n v="31"/>
    <x v="3"/>
    <m/>
    <x v="0"/>
    <x v="1"/>
    <x v="0"/>
    <n v="13"/>
    <x v="0"/>
  </r>
  <r>
    <n v="880"/>
    <x v="35"/>
    <x v="3"/>
    <x v="1"/>
    <x v="1042"/>
    <x v="0"/>
    <d v="1899-12-30T00:00:00"/>
    <d v="2013-01-16T00:00:00"/>
    <n v="47"/>
    <n v="23"/>
    <n v="6"/>
    <n v="6"/>
    <n v="2"/>
    <n v="60"/>
    <x v="0"/>
    <n v="8"/>
    <x v="3"/>
    <m/>
    <x v="0"/>
    <x v="2"/>
    <x v="0"/>
    <n v="13"/>
    <x v="0"/>
  </r>
  <r>
    <n v="2320"/>
    <x v="33"/>
    <x v="4"/>
    <x v="2"/>
    <x v="301"/>
    <x v="0"/>
    <d v="1899-12-31T00:00:00"/>
    <d v="2013-09-12T00:00:00"/>
    <n v="98"/>
    <n v="11"/>
    <n v="5"/>
    <n v="5"/>
    <n v="6"/>
    <n v="48"/>
    <x v="1"/>
    <n v="11"/>
    <x v="3"/>
    <m/>
    <x v="0"/>
    <x v="1"/>
    <x v="0"/>
    <n v="13"/>
    <x v="0"/>
  </r>
  <r>
    <n v="850"/>
    <x v="30"/>
    <x v="0"/>
    <x v="0"/>
    <x v="1043"/>
    <x v="0"/>
    <d v="1899-12-31T00:00:00"/>
    <d v="2013-10-06T00:00:00"/>
    <n v="4"/>
    <n v="28"/>
    <n v="28"/>
    <n v="28"/>
    <n v="9"/>
    <n v="58"/>
    <x v="0"/>
    <n v="37"/>
    <x v="3"/>
    <m/>
    <x v="0"/>
    <x v="0"/>
    <x v="0"/>
    <n v="13"/>
    <x v="0"/>
  </r>
  <r>
    <n v="4713"/>
    <x v="19"/>
    <x v="1"/>
    <x v="2"/>
    <x v="1044"/>
    <x v="1"/>
    <d v="1899-12-30T00:00:00"/>
    <d v="2012-11-22T00:00:00"/>
    <n v="15"/>
    <n v="0"/>
    <n v="1"/>
    <n v="1"/>
    <n v="4"/>
    <n v="47"/>
    <x v="1"/>
    <n v="5"/>
    <x v="3"/>
    <m/>
    <x v="0"/>
    <x v="1"/>
    <x v="0"/>
    <n v="14"/>
    <x v="0"/>
  </r>
  <r>
    <n v="675"/>
    <x v="26"/>
    <x v="2"/>
    <x v="3"/>
    <x v="1045"/>
    <x v="1"/>
    <d v="1899-12-31T00:00:00"/>
    <d v="2013-05-17T00:00:00"/>
    <n v="67"/>
    <n v="0"/>
    <n v="13"/>
    <n v="13"/>
    <n v="5"/>
    <n v="53"/>
    <x v="0"/>
    <n v="18"/>
    <x v="3"/>
    <m/>
    <x v="0"/>
    <x v="0"/>
    <x v="0"/>
    <n v="13"/>
    <x v="0"/>
  </r>
  <r>
    <n v="5025"/>
    <x v="19"/>
    <x v="0"/>
    <x v="0"/>
    <x v="1046"/>
    <x v="1"/>
    <d v="1899-12-30T00:00:00"/>
    <d v="2013-12-24T00:00:00"/>
    <n v="32"/>
    <n v="17"/>
    <n v="20"/>
    <n v="20"/>
    <n v="4"/>
    <n v="47"/>
    <x v="1"/>
    <n v="24"/>
    <x v="3"/>
    <m/>
    <x v="0"/>
    <x v="1"/>
    <x v="0"/>
    <n v="13"/>
    <x v="0"/>
  </r>
  <r>
    <n v="2308"/>
    <x v="1"/>
    <x v="0"/>
    <x v="2"/>
    <x v="620"/>
    <x v="0"/>
    <d v="1899-12-31T00:00:00"/>
    <d v="2012-11-18T00:00:00"/>
    <n v="40"/>
    <n v="5"/>
    <n v="23"/>
    <n v="23"/>
    <n v="5"/>
    <n v="72"/>
    <x v="0"/>
    <n v="28"/>
    <x v="3"/>
    <m/>
    <x v="0"/>
    <x v="1"/>
    <x v="0"/>
    <n v="14"/>
    <x v="0"/>
  </r>
  <r>
    <n v="5995"/>
    <x v="43"/>
    <x v="0"/>
    <x v="3"/>
    <x v="1047"/>
    <x v="1"/>
    <d v="1899-12-31T00:00:00"/>
    <d v="2012-12-18T00:00:00"/>
    <n v="54"/>
    <n v="3"/>
    <n v="24"/>
    <n v="24"/>
    <n v="5"/>
    <n v="64"/>
    <x v="0"/>
    <n v="29"/>
    <x v="3"/>
    <m/>
    <x v="0"/>
    <x v="1"/>
    <x v="0"/>
    <n v="14"/>
    <x v="0"/>
  </r>
  <r>
    <n v="6749"/>
    <x v="35"/>
    <x v="0"/>
    <x v="0"/>
    <x v="1048"/>
    <x v="1"/>
    <d v="1899-12-31T00:00:00"/>
    <d v="2012-08-08T00:00:00"/>
    <n v="78"/>
    <n v="47"/>
    <n v="47"/>
    <n v="47"/>
    <n v="6"/>
    <n v="60"/>
    <x v="0"/>
    <n v="53"/>
    <x v="3"/>
    <m/>
    <x v="0"/>
    <x v="3"/>
    <x v="0"/>
    <n v="14"/>
    <x v="0"/>
  </r>
  <r>
    <n v="1010"/>
    <x v="32"/>
    <x v="0"/>
    <x v="1"/>
    <x v="1049"/>
    <x v="2"/>
    <d v="1899-12-31T00:00:00"/>
    <d v="2014-04-24T00:00:00"/>
    <n v="94"/>
    <n v="0"/>
    <n v="1"/>
    <n v="1"/>
    <n v="3"/>
    <n v="49"/>
    <x v="1"/>
    <n v="4"/>
    <x v="3"/>
    <m/>
    <x v="0"/>
    <x v="1"/>
    <x v="0"/>
    <n v="12"/>
    <x v="0"/>
  </r>
  <r>
    <n v="8977"/>
    <x v="7"/>
    <x v="3"/>
    <x v="0"/>
    <x v="1050"/>
    <x v="0"/>
    <d v="1899-12-30T00:00:00"/>
    <d v="2013-01-12T00:00:00"/>
    <n v="51"/>
    <n v="3"/>
    <n v="3"/>
    <n v="3"/>
    <n v="3"/>
    <n v="41"/>
    <x v="1"/>
    <n v="6"/>
    <x v="3"/>
    <m/>
    <x v="0"/>
    <x v="2"/>
    <x v="0"/>
    <n v="13"/>
    <x v="0"/>
  </r>
  <r>
    <n v="4756"/>
    <x v="13"/>
    <x v="4"/>
    <x v="3"/>
    <x v="1051"/>
    <x v="0"/>
    <d v="1899-12-30T00:00:00"/>
    <d v="2013-12-20T00:00:00"/>
    <n v="42"/>
    <n v="29"/>
    <n v="33"/>
    <n v="33"/>
    <n v="11"/>
    <n v="74"/>
    <x v="0"/>
    <n v="44"/>
    <x v="3"/>
    <m/>
    <x v="0"/>
    <x v="0"/>
    <x v="0"/>
    <n v="13"/>
    <x v="0"/>
  </r>
  <r>
    <n v="3412"/>
    <x v="20"/>
    <x v="2"/>
    <x v="2"/>
    <x v="1052"/>
    <x v="0"/>
    <d v="1899-12-31T00:00:00"/>
    <d v="2013-01-15T00:00:00"/>
    <n v="67"/>
    <n v="8"/>
    <n v="0"/>
    <n v="0"/>
    <n v="9"/>
    <n v="75"/>
    <x v="0"/>
    <n v="9"/>
    <x v="3"/>
    <m/>
    <x v="0"/>
    <x v="0"/>
    <x v="0"/>
    <n v="13"/>
    <x v="0"/>
  </r>
  <r>
    <n v="606"/>
    <x v="5"/>
    <x v="0"/>
    <x v="0"/>
    <x v="1053"/>
    <x v="1"/>
    <d v="1899-12-31T00:00:00"/>
    <d v="2013-10-10T00:00:00"/>
    <n v="87"/>
    <n v="1"/>
    <n v="0"/>
    <n v="0"/>
    <n v="2"/>
    <n v="59"/>
    <x v="0"/>
    <n v="2"/>
    <x v="3"/>
    <m/>
    <x v="0"/>
    <x v="2"/>
    <x v="0"/>
    <n v="13"/>
    <x v="0"/>
  </r>
  <r>
    <n v="5961"/>
    <x v="33"/>
    <x v="0"/>
    <x v="2"/>
    <x v="1054"/>
    <x v="1"/>
    <d v="1899-12-30T00:00:00"/>
    <d v="2014-06-07T00:00:00"/>
    <n v="29"/>
    <n v="4"/>
    <n v="3"/>
    <n v="3"/>
    <n v="3"/>
    <n v="48"/>
    <x v="1"/>
    <n v="6"/>
    <x v="3"/>
    <m/>
    <x v="0"/>
    <x v="1"/>
    <x v="0"/>
    <n v="12"/>
    <x v="0"/>
  </r>
  <r>
    <n v="2975"/>
    <x v="11"/>
    <x v="0"/>
    <x v="1"/>
    <x v="1055"/>
    <x v="0"/>
    <d v="1899-12-31T00:00:00"/>
    <d v="2012-11-12T00:00:00"/>
    <n v="89"/>
    <n v="42"/>
    <n v="30"/>
    <n v="30"/>
    <n v="9"/>
    <n v="50"/>
    <x v="1"/>
    <n v="39"/>
    <x v="3"/>
    <m/>
    <x v="0"/>
    <x v="3"/>
    <x v="0"/>
    <n v="14"/>
    <x v="0"/>
  </r>
  <r>
    <n v="2894"/>
    <x v="7"/>
    <x v="0"/>
    <x v="0"/>
    <x v="1056"/>
    <x v="0"/>
    <d v="1899-12-30T00:00:00"/>
    <d v="2013-10-29T00:00:00"/>
    <n v="74"/>
    <n v="138"/>
    <n v="19"/>
    <n v="19"/>
    <n v="8"/>
    <n v="41"/>
    <x v="1"/>
    <n v="27"/>
    <x v="3"/>
    <m/>
    <x v="0"/>
    <x v="0"/>
    <x v="0"/>
    <n v="13"/>
    <x v="0"/>
  </r>
  <r>
    <n v="7613"/>
    <x v="8"/>
    <x v="4"/>
    <x v="1"/>
    <x v="1057"/>
    <x v="1"/>
    <d v="1899-12-30T00:00:00"/>
    <d v="2014-05-24T00:00:00"/>
    <n v="97"/>
    <n v="5"/>
    <n v="8"/>
    <n v="8"/>
    <n v="6"/>
    <n v="52"/>
    <x v="0"/>
    <n v="14"/>
    <x v="3"/>
    <m/>
    <x v="0"/>
    <x v="1"/>
    <x v="0"/>
    <n v="12"/>
    <x v="0"/>
  </r>
  <r>
    <n v="10542"/>
    <x v="30"/>
    <x v="1"/>
    <x v="2"/>
    <x v="1058"/>
    <x v="1"/>
    <d v="1899-12-31T00:00:00"/>
    <d v="2012-08-05T00:00:00"/>
    <n v="63"/>
    <n v="4"/>
    <n v="4"/>
    <n v="4"/>
    <n v="3"/>
    <n v="58"/>
    <x v="0"/>
    <n v="7"/>
    <x v="3"/>
    <m/>
    <x v="0"/>
    <x v="1"/>
    <x v="0"/>
    <n v="14"/>
    <x v="0"/>
  </r>
  <r>
    <n v="8015"/>
    <x v="43"/>
    <x v="1"/>
    <x v="3"/>
    <x v="1059"/>
    <x v="0"/>
    <d v="1899-12-30T00:00:00"/>
    <d v="2013-05-03T00:00:00"/>
    <n v="88"/>
    <n v="76"/>
    <n v="0"/>
    <n v="0"/>
    <n v="9"/>
    <n v="64"/>
    <x v="0"/>
    <n v="9"/>
    <x v="3"/>
    <m/>
    <x v="0"/>
    <x v="3"/>
    <x v="0"/>
    <n v="13"/>
    <x v="0"/>
  </r>
  <r>
    <n v="10617"/>
    <x v="23"/>
    <x v="2"/>
    <x v="3"/>
    <x v="29"/>
    <x v="0"/>
    <d v="1899-12-30T00:00:00"/>
    <d v="2014-05-22T00:00:00"/>
    <n v="34"/>
    <n v="4"/>
    <n v="2"/>
    <n v="2"/>
    <n v="3"/>
    <n v="37"/>
    <x v="1"/>
    <n v="5"/>
    <x v="3"/>
    <m/>
    <x v="0"/>
    <x v="2"/>
    <x v="0"/>
    <n v="12"/>
    <x v="0"/>
  </r>
  <r>
    <n v="11166"/>
    <x v="45"/>
    <x v="0"/>
    <x v="2"/>
    <x v="1060"/>
    <x v="0"/>
    <d v="1899-12-31T00:00:00"/>
    <d v="2013-02-02T00:00:00"/>
    <n v="81"/>
    <n v="5"/>
    <n v="2"/>
    <n v="2"/>
    <n v="4"/>
    <n v="65"/>
    <x v="0"/>
    <n v="6"/>
    <x v="3"/>
    <m/>
    <x v="0"/>
    <x v="1"/>
    <x v="0"/>
    <n v="13"/>
    <x v="0"/>
  </r>
  <r>
    <n v="849"/>
    <x v="44"/>
    <x v="2"/>
    <x v="1"/>
    <x v="109"/>
    <x v="0"/>
    <d v="1899-12-31T00:00:00"/>
    <d v="2013-06-20T00:00:00"/>
    <n v="65"/>
    <n v="48"/>
    <n v="72"/>
    <n v="72"/>
    <n v="10"/>
    <n v="73"/>
    <x v="0"/>
    <n v="82"/>
    <x v="3"/>
    <m/>
    <x v="0"/>
    <x v="0"/>
    <x v="0"/>
    <n v="13"/>
    <x v="0"/>
  </r>
  <r>
    <n v="523"/>
    <x v="23"/>
    <x v="0"/>
    <x v="2"/>
    <x v="1061"/>
    <x v="1"/>
    <d v="1899-12-30T00:00:00"/>
    <d v="2013-01-31T00:00:00"/>
    <n v="51"/>
    <n v="0"/>
    <n v="15"/>
    <n v="15"/>
    <n v="4"/>
    <n v="37"/>
    <x v="1"/>
    <n v="19"/>
    <x v="3"/>
    <m/>
    <x v="0"/>
    <x v="1"/>
    <x v="0"/>
    <n v="13"/>
    <x v="0"/>
  </r>
  <r>
    <n v="4066"/>
    <x v="33"/>
    <x v="4"/>
    <x v="3"/>
    <x v="1062"/>
    <x v="1"/>
    <d v="1899-12-30T00:00:00"/>
    <d v="2014-05-11T00:00:00"/>
    <n v="76"/>
    <n v="5"/>
    <n v="8"/>
    <n v="8"/>
    <n v="2"/>
    <n v="48"/>
    <x v="1"/>
    <n v="10"/>
    <x v="3"/>
    <m/>
    <x v="0"/>
    <x v="2"/>
    <x v="0"/>
    <n v="12"/>
    <x v="0"/>
  </r>
  <r>
    <n v="8414"/>
    <x v="43"/>
    <x v="1"/>
    <x v="0"/>
    <x v="1063"/>
    <x v="0"/>
    <d v="1899-12-31T00:00:00"/>
    <d v="2013-08-17T00:00:00"/>
    <n v="76"/>
    <n v="0"/>
    <n v="0"/>
    <n v="0"/>
    <n v="4"/>
    <n v="64"/>
    <x v="0"/>
    <n v="4"/>
    <x v="3"/>
    <m/>
    <x v="0"/>
    <x v="1"/>
    <x v="0"/>
    <n v="13"/>
    <x v="0"/>
  </r>
  <r>
    <n v="819"/>
    <x v="41"/>
    <x v="0"/>
    <x v="4"/>
    <x v="1064"/>
    <x v="0"/>
    <d v="1899-12-30T00:00:00"/>
    <d v="2013-11-05T00:00:00"/>
    <n v="84"/>
    <n v="124"/>
    <n v="38"/>
    <n v="38"/>
    <n v="13"/>
    <n v="81"/>
    <x v="0"/>
    <n v="51"/>
    <x v="3"/>
    <m/>
    <x v="0"/>
    <x v="0"/>
    <x v="0"/>
    <n v="13"/>
    <x v="0"/>
  </r>
  <r>
    <n v="4961"/>
    <x v="8"/>
    <x v="2"/>
    <x v="1"/>
    <x v="1065"/>
    <x v="1"/>
    <d v="1899-12-30T00:00:00"/>
    <d v="2014-01-21T00:00:00"/>
    <n v="56"/>
    <n v="0"/>
    <n v="2"/>
    <n v="2"/>
    <n v="4"/>
    <n v="52"/>
    <x v="0"/>
    <n v="6"/>
    <x v="3"/>
    <m/>
    <x v="0"/>
    <x v="2"/>
    <x v="0"/>
    <n v="12"/>
    <x v="0"/>
  </r>
  <r>
    <n v="749"/>
    <x v="4"/>
    <x v="0"/>
    <x v="1"/>
    <x v="1066"/>
    <x v="1"/>
    <d v="1899-12-30T00:00:00"/>
    <d v="2013-11-19T00:00:00"/>
    <n v="31"/>
    <n v="7"/>
    <n v="4"/>
    <n v="4"/>
    <n v="3"/>
    <n v="45"/>
    <x v="1"/>
    <n v="7"/>
    <x v="3"/>
    <m/>
    <x v="0"/>
    <x v="1"/>
    <x v="0"/>
    <n v="13"/>
    <x v="0"/>
  </r>
  <r>
    <n v="5430"/>
    <x v="46"/>
    <x v="0"/>
    <x v="1"/>
    <x v="1067"/>
    <x v="1"/>
    <d v="1899-12-31T00:00:00"/>
    <d v="2012-09-14T00:00:00"/>
    <n v="0"/>
    <n v="0"/>
    <n v="19"/>
    <n v="19"/>
    <n v="8"/>
    <n v="70"/>
    <x v="0"/>
    <n v="27"/>
    <x v="3"/>
    <m/>
    <x v="0"/>
    <x v="0"/>
    <x v="0"/>
    <n v="14"/>
    <x v="0"/>
  </r>
  <r>
    <n v="7755"/>
    <x v="1"/>
    <x v="1"/>
    <x v="2"/>
    <x v="1068"/>
    <x v="0"/>
    <d v="1899-12-31T00:00:00"/>
    <d v="2013-11-12T00:00:00"/>
    <n v="91"/>
    <n v="3"/>
    <n v="0"/>
    <n v="0"/>
    <n v="4"/>
    <n v="72"/>
    <x v="0"/>
    <n v="4"/>
    <x v="3"/>
    <m/>
    <x v="0"/>
    <x v="0"/>
    <x v="0"/>
    <n v="13"/>
    <x v="0"/>
  </r>
  <r>
    <n v="10525"/>
    <x v="22"/>
    <x v="0"/>
    <x v="0"/>
    <x v="1069"/>
    <x v="1"/>
    <d v="1899-12-30T00:00:00"/>
    <d v="2012-10-13T00:00:00"/>
    <n v="40"/>
    <n v="0"/>
    <n v="0"/>
    <n v="0"/>
    <n v="2"/>
    <n v="40"/>
    <x v="1"/>
    <n v="2"/>
    <x v="3"/>
    <m/>
    <x v="0"/>
    <x v="2"/>
    <x v="0"/>
    <n v="14"/>
    <x v="0"/>
  </r>
  <r>
    <n v="1453"/>
    <x v="27"/>
    <x v="1"/>
    <x v="4"/>
    <x v="1070"/>
    <x v="0"/>
    <d v="1899-12-30T00:00:00"/>
    <d v="2013-07-06T00:00:00"/>
    <n v="59"/>
    <n v="40"/>
    <n v="20"/>
    <n v="20"/>
    <n v="13"/>
    <n v="83"/>
    <x v="0"/>
    <n v="33"/>
    <x v="3"/>
    <m/>
    <x v="0"/>
    <x v="0"/>
    <x v="0"/>
    <n v="13"/>
    <x v="0"/>
  </r>
  <r>
    <n v="8310"/>
    <x v="31"/>
    <x v="0"/>
    <x v="1"/>
    <x v="1071"/>
    <x v="0"/>
    <d v="1899-12-31T00:00:00"/>
    <d v="2012-08-29T00:00:00"/>
    <n v="96"/>
    <n v="126"/>
    <n v="112"/>
    <n v="112"/>
    <n v="7"/>
    <n v="62"/>
    <x v="0"/>
    <n v="119"/>
    <x v="3"/>
    <m/>
    <x v="0"/>
    <x v="0"/>
    <x v="0"/>
    <n v="14"/>
    <x v="0"/>
  </r>
  <r>
    <n v="10710"/>
    <x v="19"/>
    <x v="0"/>
    <x v="2"/>
    <x v="11"/>
    <x v="0"/>
    <d v="1899-12-31T00:00:00"/>
    <d v="2012-08-29T00:00:00"/>
    <n v="61"/>
    <n v="2"/>
    <n v="0"/>
    <n v="0"/>
    <n v="2"/>
    <n v="47"/>
    <x v="1"/>
    <n v="2"/>
    <x v="3"/>
    <m/>
    <x v="0"/>
    <x v="2"/>
    <x v="0"/>
    <n v="14"/>
    <x v="0"/>
  </r>
  <r>
    <n v="5031"/>
    <x v="8"/>
    <x v="0"/>
    <x v="1"/>
    <x v="1072"/>
    <x v="0"/>
    <d v="1899-12-30T00:00:00"/>
    <d v="2012-09-22T00:00:00"/>
    <n v="14"/>
    <n v="35"/>
    <n v="137"/>
    <n v="137"/>
    <n v="11"/>
    <n v="52"/>
    <x v="0"/>
    <n v="148"/>
    <x v="3"/>
    <m/>
    <x v="0"/>
    <x v="3"/>
    <x v="0"/>
    <n v="14"/>
    <x v="0"/>
  </r>
  <r>
    <n v="2613"/>
    <x v="40"/>
    <x v="2"/>
    <x v="2"/>
    <x v="1073"/>
    <x v="0"/>
    <d v="1899-12-31T00:00:00"/>
    <d v="2014-04-03T00:00:00"/>
    <n v="16"/>
    <n v="6"/>
    <n v="13"/>
    <n v="13"/>
    <n v="6"/>
    <n v="66"/>
    <x v="0"/>
    <n v="19"/>
    <x v="3"/>
    <m/>
    <x v="0"/>
    <x v="0"/>
    <x v="0"/>
    <n v="12"/>
    <x v="0"/>
  </r>
  <r>
    <n v="213"/>
    <x v="24"/>
    <x v="1"/>
    <x v="0"/>
    <x v="1074"/>
    <x v="1"/>
    <d v="1899-12-31T00:00:00"/>
    <d v="2014-05-28T00:00:00"/>
    <n v="98"/>
    <n v="0"/>
    <n v="0"/>
    <n v="0"/>
    <n v="3"/>
    <n v="63"/>
    <x v="0"/>
    <n v="3"/>
    <x v="3"/>
    <m/>
    <x v="0"/>
    <x v="2"/>
    <x v="0"/>
    <n v="12"/>
    <x v="0"/>
  </r>
  <r>
    <n v="967"/>
    <x v="11"/>
    <x v="0"/>
    <x v="2"/>
    <x v="1075"/>
    <x v="1"/>
    <d v="1899-12-31T00:00:00"/>
    <d v="2013-07-21T00:00:00"/>
    <n v="11"/>
    <n v="9"/>
    <n v="14"/>
    <n v="14"/>
    <n v="9"/>
    <n v="50"/>
    <x v="1"/>
    <n v="23"/>
    <x v="3"/>
    <m/>
    <x v="0"/>
    <x v="1"/>
    <x v="0"/>
    <n v="13"/>
    <x v="0"/>
  </r>
  <r>
    <n v="1077"/>
    <x v="8"/>
    <x v="0"/>
    <x v="1"/>
    <x v="1076"/>
    <x v="0"/>
    <d v="1899-12-30T00:00:00"/>
    <d v="2012-12-05T00:00:00"/>
    <n v="52"/>
    <n v="105"/>
    <n v="172"/>
    <n v="172"/>
    <n v="4"/>
    <n v="52"/>
    <x v="0"/>
    <n v="176"/>
    <x v="3"/>
    <m/>
    <x v="0"/>
    <x v="0"/>
    <x v="0"/>
    <n v="14"/>
    <x v="0"/>
  </r>
  <r>
    <n v="7959"/>
    <x v="45"/>
    <x v="0"/>
    <x v="2"/>
    <x v="1077"/>
    <x v="0"/>
    <d v="1899-12-30T00:00:00"/>
    <d v="2014-05-29T00:00:00"/>
    <n v="19"/>
    <n v="80"/>
    <n v="13"/>
    <n v="13"/>
    <n v="5"/>
    <n v="65"/>
    <x v="0"/>
    <n v="18"/>
    <x v="3"/>
    <m/>
    <x v="0"/>
    <x v="3"/>
    <x v="0"/>
    <n v="12"/>
    <x v="0"/>
  </r>
  <r>
    <n v="640"/>
    <x v="20"/>
    <x v="0"/>
    <x v="2"/>
    <x v="1078"/>
    <x v="0"/>
    <d v="1899-12-31T00:00:00"/>
    <d v="2013-03-11T00:00:00"/>
    <n v="61"/>
    <n v="80"/>
    <n v="17"/>
    <n v="17"/>
    <n v="10"/>
    <n v="75"/>
    <x v="0"/>
    <n v="27"/>
    <x v="3"/>
    <m/>
    <x v="0"/>
    <x v="0"/>
    <x v="0"/>
    <n v="13"/>
    <x v="0"/>
  </r>
  <r>
    <n v="4252"/>
    <x v="2"/>
    <x v="0"/>
    <x v="2"/>
    <x v="1079"/>
    <x v="0"/>
    <d v="1899-12-31T00:00:00"/>
    <d v="2014-03-23T00:00:00"/>
    <n v="73"/>
    <n v="5"/>
    <n v="7"/>
    <n v="7"/>
    <n v="6"/>
    <n v="61"/>
    <x v="0"/>
    <n v="13"/>
    <x v="3"/>
    <m/>
    <x v="0"/>
    <x v="1"/>
    <x v="0"/>
    <n v="12"/>
    <x v="0"/>
  </r>
  <r>
    <n v="8432"/>
    <x v="46"/>
    <x v="0"/>
    <x v="1"/>
    <x v="1067"/>
    <x v="1"/>
    <d v="1899-12-31T00:00:00"/>
    <d v="2012-09-14T00:00:00"/>
    <n v="0"/>
    <n v="0"/>
    <n v="19"/>
    <n v="19"/>
    <n v="8"/>
    <n v="70"/>
    <x v="0"/>
    <n v="27"/>
    <x v="3"/>
    <m/>
    <x v="0"/>
    <x v="0"/>
    <x v="0"/>
    <n v="14"/>
    <x v="0"/>
  </r>
  <r>
    <n v="6218"/>
    <x v="2"/>
    <x v="0"/>
    <x v="2"/>
    <x v="1080"/>
    <x v="0"/>
    <d v="1899-12-31T00:00:00"/>
    <d v="2012-10-20T00:00:00"/>
    <n v="74"/>
    <n v="4"/>
    <n v="0"/>
    <n v="0"/>
    <n v="7"/>
    <n v="61"/>
    <x v="0"/>
    <n v="7"/>
    <x v="3"/>
    <m/>
    <x v="0"/>
    <x v="0"/>
    <x v="0"/>
    <n v="14"/>
    <x v="0"/>
  </r>
  <r>
    <n v="6905"/>
    <x v="54"/>
    <x v="0"/>
    <x v="1"/>
    <x v="1081"/>
    <x v="0"/>
    <d v="1899-12-30T00:00:00"/>
    <d v="2012-08-22T00:00:00"/>
    <n v="55"/>
    <n v="45"/>
    <n v="26"/>
    <n v="26"/>
    <n v="10"/>
    <n v="32"/>
    <x v="1"/>
    <n v="36"/>
    <x v="3"/>
    <m/>
    <x v="0"/>
    <x v="3"/>
    <x v="0"/>
    <n v="14"/>
    <x v="0"/>
  </r>
  <r>
    <n v="5922"/>
    <x v="8"/>
    <x v="1"/>
    <x v="2"/>
    <x v="1082"/>
    <x v="0"/>
    <d v="1899-12-31T00:00:00"/>
    <d v="2013-10-13T00:00:00"/>
    <n v="48"/>
    <n v="0"/>
    <n v="0"/>
    <n v="0"/>
    <n v="5"/>
    <n v="52"/>
    <x v="0"/>
    <n v="5"/>
    <x v="3"/>
    <m/>
    <x v="0"/>
    <x v="1"/>
    <x v="0"/>
    <n v="13"/>
    <x v="0"/>
  </r>
  <r>
    <n v="3598"/>
    <x v="39"/>
    <x v="0"/>
    <x v="2"/>
    <x v="1083"/>
    <x v="0"/>
    <d v="1899-12-31T00:00:00"/>
    <d v="2013-05-23T00:00:00"/>
    <n v="53"/>
    <n v="35"/>
    <n v="29"/>
    <n v="29"/>
    <n v="12"/>
    <n v="54"/>
    <x v="0"/>
    <n v="41"/>
    <x v="3"/>
    <m/>
    <x v="0"/>
    <x v="0"/>
    <x v="0"/>
    <n v="13"/>
    <x v="0"/>
  </r>
  <r>
    <n v="6116"/>
    <x v="30"/>
    <x v="4"/>
    <x v="2"/>
    <x v="1084"/>
    <x v="0"/>
    <d v="1899-12-31T00:00:00"/>
    <d v="2013-07-05T00:00:00"/>
    <n v="13"/>
    <n v="13"/>
    <n v="7"/>
    <n v="7"/>
    <n v="3"/>
    <n v="58"/>
    <x v="0"/>
    <n v="10"/>
    <x v="3"/>
    <m/>
    <x v="0"/>
    <x v="1"/>
    <x v="0"/>
    <n v="13"/>
    <x v="0"/>
  </r>
  <r>
    <n v="6263"/>
    <x v="30"/>
    <x v="0"/>
    <x v="1"/>
    <x v="1085"/>
    <x v="1"/>
    <d v="1900-01-01T00:00:00"/>
    <d v="2012-08-22T00:00:00"/>
    <n v="34"/>
    <n v="9"/>
    <n v="7"/>
    <n v="7"/>
    <n v="4"/>
    <n v="58"/>
    <x v="0"/>
    <n v="11"/>
    <x v="3"/>
    <m/>
    <x v="0"/>
    <x v="1"/>
    <x v="0"/>
    <n v="14"/>
    <x v="0"/>
  </r>
  <r>
    <n v="10486"/>
    <x v="37"/>
    <x v="0"/>
    <x v="2"/>
    <x v="1086"/>
    <x v="0"/>
    <d v="1899-12-30T00:00:00"/>
    <d v="2013-05-29T00:00:00"/>
    <n v="54"/>
    <n v="75"/>
    <n v="151"/>
    <n v="151"/>
    <n v="8"/>
    <n v="78"/>
    <x v="0"/>
    <n v="159"/>
    <x v="3"/>
    <m/>
    <x v="0"/>
    <x v="3"/>
    <x v="0"/>
    <n v="13"/>
    <x v="0"/>
  </r>
  <r>
    <n v="2410"/>
    <x v="21"/>
    <x v="0"/>
    <x v="0"/>
    <x v="1087"/>
    <x v="0"/>
    <d v="1899-12-30T00:00:00"/>
    <d v="2014-01-22T00:00:00"/>
    <n v="69"/>
    <n v="40"/>
    <n v="60"/>
    <n v="60"/>
    <n v="8"/>
    <n v="57"/>
    <x v="0"/>
    <n v="68"/>
    <x v="3"/>
    <m/>
    <x v="0"/>
    <x v="3"/>
    <x v="0"/>
    <n v="12"/>
    <x v="0"/>
  </r>
  <r>
    <n v="193"/>
    <x v="29"/>
    <x v="3"/>
    <x v="2"/>
    <x v="1088"/>
    <x v="0"/>
    <d v="1899-12-30T00:00:00"/>
    <d v="2014-02-17T00:00:00"/>
    <n v="81"/>
    <n v="0"/>
    <n v="3"/>
    <n v="3"/>
    <n v="2"/>
    <n v="30"/>
    <x v="1"/>
    <n v="5"/>
    <x v="3"/>
    <m/>
    <x v="0"/>
    <x v="2"/>
    <x v="0"/>
    <n v="12"/>
    <x v="0"/>
  </r>
  <r>
    <n v="3363"/>
    <x v="8"/>
    <x v="4"/>
    <x v="2"/>
    <x v="415"/>
    <x v="0"/>
    <d v="1899-12-30T00:00:00"/>
    <d v="2014-03-17T00:00:00"/>
    <n v="99"/>
    <n v="6"/>
    <n v="6"/>
    <n v="6"/>
    <n v="3"/>
    <n v="52"/>
    <x v="0"/>
    <n v="9"/>
    <x v="3"/>
    <m/>
    <x v="0"/>
    <x v="2"/>
    <x v="0"/>
    <n v="12"/>
    <x v="0"/>
  </r>
  <r>
    <n v="8278"/>
    <x v="50"/>
    <x v="1"/>
    <x v="2"/>
    <x v="1089"/>
    <x v="0"/>
    <d v="1899-12-30T00:00:00"/>
    <d v="2012-08-26T00:00:00"/>
    <n v="3"/>
    <n v="83"/>
    <n v="99"/>
    <n v="99"/>
    <n v="5"/>
    <n v="36"/>
    <x v="1"/>
    <n v="104"/>
    <x v="3"/>
    <m/>
    <x v="0"/>
    <x v="0"/>
    <x v="0"/>
    <n v="14"/>
    <x v="0"/>
  </r>
  <r>
    <n v="10660"/>
    <x v="0"/>
    <x v="2"/>
    <x v="2"/>
    <x v="1090"/>
    <x v="1"/>
    <d v="1899-12-31T00:00:00"/>
    <d v="2014-01-12T00:00:00"/>
    <n v="61"/>
    <n v="7"/>
    <n v="0"/>
    <n v="0"/>
    <n v="4"/>
    <n v="69"/>
    <x v="0"/>
    <n v="4"/>
    <x v="3"/>
    <m/>
    <x v="0"/>
    <x v="0"/>
    <x v="0"/>
    <n v="12"/>
    <x v="0"/>
  </r>
  <r>
    <n v="8686"/>
    <x v="19"/>
    <x v="3"/>
    <x v="1"/>
    <x v="1091"/>
    <x v="1"/>
    <d v="1899-12-30T00:00:00"/>
    <d v="2013-01-08T00:00:00"/>
    <n v="65"/>
    <n v="23"/>
    <n v="18"/>
    <n v="18"/>
    <n v="3"/>
    <n v="47"/>
    <x v="1"/>
    <n v="21"/>
    <x v="3"/>
    <m/>
    <x v="0"/>
    <x v="2"/>
    <x v="0"/>
    <n v="13"/>
    <x v="0"/>
  </r>
  <r>
    <n v="1604"/>
    <x v="40"/>
    <x v="2"/>
    <x v="2"/>
    <x v="1092"/>
    <x v="0"/>
    <d v="1899-12-31T00:00:00"/>
    <d v="2013-11-13T00:00:00"/>
    <n v="93"/>
    <n v="2"/>
    <n v="8"/>
    <n v="8"/>
    <n v="6"/>
    <n v="66"/>
    <x v="0"/>
    <n v="14"/>
    <x v="3"/>
    <m/>
    <x v="0"/>
    <x v="1"/>
    <x v="0"/>
    <n v="13"/>
    <x v="0"/>
  </r>
  <r>
    <n v="5907"/>
    <x v="13"/>
    <x v="2"/>
    <x v="2"/>
    <x v="1093"/>
    <x v="1"/>
    <d v="1899-12-31T00:00:00"/>
    <d v="2012-11-03T00:00:00"/>
    <n v="24"/>
    <n v="0"/>
    <n v="0"/>
    <n v="0"/>
    <n v="2"/>
    <n v="74"/>
    <x v="0"/>
    <n v="2"/>
    <x v="3"/>
    <m/>
    <x v="0"/>
    <x v="1"/>
    <x v="0"/>
    <n v="14"/>
    <x v="0"/>
  </r>
  <r>
    <n v="10669"/>
    <x v="4"/>
    <x v="0"/>
    <x v="2"/>
    <x v="1094"/>
    <x v="0"/>
    <d v="1899-12-31T00:00:00"/>
    <d v="2013-05-17T00:00:00"/>
    <n v="8"/>
    <n v="21"/>
    <n v="21"/>
    <n v="21"/>
    <n v="10"/>
    <n v="45"/>
    <x v="1"/>
    <n v="31"/>
    <x v="3"/>
    <m/>
    <x v="0"/>
    <x v="0"/>
    <x v="0"/>
    <n v="13"/>
    <x v="0"/>
  </r>
  <r>
    <n v="2918"/>
    <x v="4"/>
    <x v="0"/>
    <x v="3"/>
    <x v="1095"/>
    <x v="1"/>
    <d v="1899-12-31T00:00:00"/>
    <d v="2013-04-13T00:00:00"/>
    <n v="72"/>
    <n v="5"/>
    <n v="4"/>
    <n v="4"/>
    <n v="4"/>
    <n v="45"/>
    <x v="1"/>
    <n v="8"/>
    <x v="3"/>
    <m/>
    <x v="0"/>
    <x v="2"/>
    <x v="0"/>
    <n v="13"/>
    <x v="0"/>
  </r>
  <r>
    <n v="5735"/>
    <x v="42"/>
    <x v="2"/>
    <x v="0"/>
    <x v="1096"/>
    <x v="0"/>
    <d v="1899-12-30T00:00:00"/>
    <d v="2014-02-13T00:00:00"/>
    <n v="29"/>
    <n v="120"/>
    <n v="144"/>
    <n v="144"/>
    <n v="10"/>
    <n v="35"/>
    <x v="1"/>
    <n v="154"/>
    <x v="3"/>
    <m/>
    <x v="0"/>
    <x v="3"/>
    <x v="0"/>
    <n v="12"/>
    <x v="0"/>
  </r>
  <r>
    <n v="359"/>
    <x v="9"/>
    <x v="0"/>
    <x v="1"/>
    <x v="1097"/>
    <x v="0"/>
    <d v="1899-12-31T00:00:00"/>
    <d v="2013-01-13T00:00:00"/>
    <n v="33"/>
    <n v="14"/>
    <n v="9"/>
    <n v="9"/>
    <n v="6"/>
    <n v="76"/>
    <x v="0"/>
    <n v="15"/>
    <x v="3"/>
    <m/>
    <x v="0"/>
    <x v="1"/>
    <x v="0"/>
    <n v="13"/>
    <x v="0"/>
  </r>
  <r>
    <n v="8387"/>
    <x v="0"/>
    <x v="0"/>
    <x v="2"/>
    <x v="1098"/>
    <x v="0"/>
    <d v="1899-12-31T00:00:00"/>
    <d v="2013-01-05T00:00:00"/>
    <n v="68"/>
    <n v="8"/>
    <n v="0"/>
    <n v="0"/>
    <n v="5"/>
    <n v="69"/>
    <x v="0"/>
    <n v="5"/>
    <x v="3"/>
    <m/>
    <x v="0"/>
    <x v="1"/>
    <x v="0"/>
    <n v="13"/>
    <x v="0"/>
  </r>
  <r>
    <n v="1829"/>
    <x v="45"/>
    <x v="1"/>
    <x v="3"/>
    <x v="1099"/>
    <x v="0"/>
    <d v="1899-12-31T00:00:00"/>
    <d v="2013-01-19T00:00:00"/>
    <n v="55"/>
    <n v="0"/>
    <n v="0"/>
    <n v="0"/>
    <n v="4"/>
    <n v="65"/>
    <x v="0"/>
    <n v="4"/>
    <x v="3"/>
    <m/>
    <x v="0"/>
    <x v="0"/>
    <x v="0"/>
    <n v="13"/>
    <x v="0"/>
  </r>
  <r>
    <n v="3839"/>
    <x v="38"/>
    <x v="3"/>
    <x v="0"/>
    <x v="1100"/>
    <x v="1"/>
    <d v="1899-12-31T00:00:00"/>
    <d v="2013-05-03T00:00:00"/>
    <n v="76"/>
    <n v="12"/>
    <n v="6"/>
    <n v="6"/>
    <n v="3"/>
    <n v="68"/>
    <x v="0"/>
    <n v="9"/>
    <x v="3"/>
    <m/>
    <x v="0"/>
    <x v="2"/>
    <x v="0"/>
    <n v="13"/>
    <x v="0"/>
  </r>
  <r>
    <n v="9392"/>
    <x v="6"/>
    <x v="0"/>
    <x v="0"/>
    <x v="1101"/>
    <x v="1"/>
    <d v="1899-12-30T00:00:00"/>
    <d v="2014-05-08T00:00:00"/>
    <n v="17"/>
    <n v="1"/>
    <n v="0"/>
    <n v="0"/>
    <n v="2"/>
    <n v="55"/>
    <x v="0"/>
    <n v="2"/>
    <x v="3"/>
    <m/>
    <x v="0"/>
    <x v="2"/>
    <x v="0"/>
    <n v="12"/>
    <x v="0"/>
  </r>
  <r>
    <n v="2292"/>
    <x v="7"/>
    <x v="0"/>
    <x v="0"/>
    <x v="1102"/>
    <x v="1"/>
    <d v="1899-12-30T00:00:00"/>
    <d v="2013-08-02T00:00:00"/>
    <n v="94"/>
    <n v="4"/>
    <n v="0"/>
    <n v="0"/>
    <n v="3"/>
    <n v="41"/>
    <x v="1"/>
    <n v="3"/>
    <x v="3"/>
    <m/>
    <x v="0"/>
    <x v="2"/>
    <x v="0"/>
    <n v="13"/>
    <x v="0"/>
  </r>
  <r>
    <n v="10466"/>
    <x v="2"/>
    <x v="0"/>
    <x v="2"/>
    <x v="1103"/>
    <x v="1"/>
    <d v="1899-12-31T00:00:00"/>
    <d v="2013-08-22T00:00:00"/>
    <n v="86"/>
    <n v="2"/>
    <n v="2"/>
    <n v="2"/>
    <n v="4"/>
    <n v="61"/>
    <x v="0"/>
    <n v="6"/>
    <x v="3"/>
    <m/>
    <x v="0"/>
    <x v="1"/>
    <x v="0"/>
    <n v="13"/>
    <x v="0"/>
  </r>
  <r>
    <n v="9855"/>
    <x v="13"/>
    <x v="1"/>
    <x v="0"/>
    <x v="1104"/>
    <x v="0"/>
    <d v="1899-12-31T00:00:00"/>
    <d v="2013-08-25T00:00:00"/>
    <n v="25"/>
    <n v="0"/>
    <n v="0"/>
    <n v="0"/>
    <n v="13"/>
    <n v="74"/>
    <x v="0"/>
    <n v="13"/>
    <x v="3"/>
    <m/>
    <x v="0"/>
    <x v="0"/>
    <x v="0"/>
    <n v="13"/>
    <x v="0"/>
  </r>
  <r>
    <n v="4088"/>
    <x v="43"/>
    <x v="1"/>
    <x v="1"/>
    <x v="1105"/>
    <x v="0"/>
    <d v="1899-12-31T00:00:00"/>
    <d v="2012-12-06T00:00:00"/>
    <n v="22"/>
    <n v="1"/>
    <n v="1"/>
    <n v="1"/>
    <n v="4"/>
    <n v="64"/>
    <x v="0"/>
    <n v="5"/>
    <x v="3"/>
    <m/>
    <x v="0"/>
    <x v="1"/>
    <x v="0"/>
    <n v="14"/>
    <x v="0"/>
  </r>
  <r>
    <n v="5231"/>
    <x v="8"/>
    <x v="4"/>
    <x v="2"/>
    <x v="1106"/>
    <x v="0"/>
    <d v="1900-01-01T00:00:00"/>
    <d v="2014-02-27T00:00:00"/>
    <n v="15"/>
    <n v="2"/>
    <n v="2"/>
    <n v="2"/>
    <n v="3"/>
    <n v="52"/>
    <x v="0"/>
    <n v="5"/>
    <x v="3"/>
    <m/>
    <x v="0"/>
    <x v="1"/>
    <x v="0"/>
    <n v="12"/>
    <x v="0"/>
  </r>
  <r>
    <n v="590"/>
    <x v="25"/>
    <x v="2"/>
    <x v="3"/>
    <x v="1107"/>
    <x v="0"/>
    <d v="1899-12-30T00:00:00"/>
    <d v="2012-12-22T00:00:00"/>
    <n v="35"/>
    <n v="66"/>
    <n v="66"/>
    <n v="66"/>
    <n v="4"/>
    <n v="56"/>
    <x v="0"/>
    <n v="70"/>
    <x v="3"/>
    <m/>
    <x v="0"/>
    <x v="3"/>
    <x v="0"/>
    <n v="14"/>
    <x v="0"/>
  </r>
  <r>
    <n v="8732"/>
    <x v="21"/>
    <x v="2"/>
    <x v="4"/>
    <x v="1108"/>
    <x v="0"/>
    <d v="1899-12-31T00:00:00"/>
    <d v="2012-11-17T00:00:00"/>
    <n v="81"/>
    <n v="0"/>
    <n v="14"/>
    <n v="14"/>
    <n v="10"/>
    <n v="57"/>
    <x v="0"/>
    <n v="24"/>
    <x v="3"/>
    <m/>
    <x v="0"/>
    <x v="0"/>
    <x v="0"/>
    <n v="14"/>
    <x v="0"/>
  </r>
  <r>
    <n v="2315"/>
    <x v="40"/>
    <x v="0"/>
    <x v="3"/>
    <x v="1109"/>
    <x v="0"/>
    <d v="1899-12-31T00:00:00"/>
    <d v="2014-04-20T00:00:00"/>
    <n v="55"/>
    <n v="0"/>
    <n v="29"/>
    <n v="29"/>
    <n v="2"/>
    <n v="66"/>
    <x v="0"/>
    <n v="31"/>
    <x v="3"/>
    <m/>
    <x v="0"/>
    <x v="0"/>
    <x v="0"/>
    <n v="12"/>
    <x v="0"/>
  </r>
  <r>
    <n v="3515"/>
    <x v="13"/>
    <x v="0"/>
    <x v="0"/>
    <x v="1110"/>
    <x v="0"/>
    <d v="1899-12-31T00:00:00"/>
    <d v="2014-02-17T00:00:00"/>
    <n v="94"/>
    <n v="13"/>
    <n v="6"/>
    <n v="6"/>
    <n v="4"/>
    <n v="74"/>
    <x v="0"/>
    <n v="10"/>
    <x v="3"/>
    <m/>
    <x v="0"/>
    <x v="0"/>
    <x v="0"/>
    <n v="12"/>
    <x v="0"/>
  </r>
  <r>
    <n v="2245"/>
    <x v="21"/>
    <x v="2"/>
    <x v="2"/>
    <x v="1111"/>
    <x v="1"/>
    <d v="1899-12-31T00:00:00"/>
    <d v="2013-04-22T00:00:00"/>
    <n v="50"/>
    <n v="2"/>
    <n v="2"/>
    <n v="2"/>
    <n v="4"/>
    <n v="57"/>
    <x v="0"/>
    <n v="6"/>
    <x v="3"/>
    <m/>
    <x v="0"/>
    <x v="1"/>
    <x v="0"/>
    <n v="13"/>
    <x v="0"/>
  </r>
  <r>
    <n v="6283"/>
    <x v="30"/>
    <x v="2"/>
    <x v="3"/>
    <x v="262"/>
    <x v="0"/>
    <d v="1899-12-31T00:00:00"/>
    <d v="2013-04-21T00:00:00"/>
    <n v="64"/>
    <n v="15"/>
    <n v="7"/>
    <n v="7"/>
    <n v="9"/>
    <n v="58"/>
    <x v="0"/>
    <n v="16"/>
    <x v="3"/>
    <m/>
    <x v="0"/>
    <x v="0"/>
    <x v="0"/>
    <n v="13"/>
    <x v="0"/>
  </r>
  <r>
    <n v="2246"/>
    <x v="2"/>
    <x v="4"/>
    <x v="2"/>
    <x v="720"/>
    <x v="0"/>
    <d v="1899-12-31T00:00:00"/>
    <d v="2013-09-01T00:00:00"/>
    <n v="91"/>
    <n v="12"/>
    <n v="15"/>
    <n v="15"/>
    <n v="4"/>
    <n v="61"/>
    <x v="0"/>
    <n v="19"/>
    <x v="3"/>
    <m/>
    <x v="0"/>
    <x v="1"/>
    <x v="0"/>
    <n v="13"/>
    <x v="0"/>
  </r>
  <r>
    <n v="6606"/>
    <x v="21"/>
    <x v="2"/>
    <x v="2"/>
    <x v="1112"/>
    <x v="1"/>
    <d v="1899-12-30T00:00:00"/>
    <d v="2013-03-31T00:00:00"/>
    <n v="11"/>
    <n v="34"/>
    <n v="0"/>
    <n v="0"/>
    <n v="10"/>
    <n v="57"/>
    <x v="0"/>
    <n v="10"/>
    <x v="3"/>
    <m/>
    <x v="0"/>
    <x v="0"/>
    <x v="0"/>
    <n v="13"/>
    <x v="0"/>
  </r>
  <r>
    <n v="5545"/>
    <x v="39"/>
    <x v="1"/>
    <x v="2"/>
    <x v="1113"/>
    <x v="0"/>
    <d v="1899-12-30T00:00:00"/>
    <d v="2014-04-05T00:00:00"/>
    <n v="72"/>
    <n v="8"/>
    <n v="35"/>
    <n v="35"/>
    <n v="5"/>
    <n v="54"/>
    <x v="0"/>
    <n v="40"/>
    <x v="3"/>
    <m/>
    <x v="0"/>
    <x v="3"/>
    <x v="0"/>
    <n v="12"/>
    <x v="0"/>
  </r>
  <r>
    <n v="7342"/>
    <x v="45"/>
    <x v="4"/>
    <x v="4"/>
    <x v="1114"/>
    <x v="0"/>
    <d v="1899-12-31T00:00:00"/>
    <d v="2012-09-09T00:00:00"/>
    <n v="6"/>
    <n v="142"/>
    <n v="151"/>
    <n v="151"/>
    <n v="12"/>
    <n v="65"/>
    <x v="0"/>
    <n v="163"/>
    <x v="3"/>
    <m/>
    <x v="0"/>
    <x v="0"/>
    <x v="0"/>
    <n v="14"/>
    <x v="0"/>
  </r>
  <r>
    <n v="837"/>
    <x v="32"/>
    <x v="0"/>
    <x v="2"/>
    <x v="1115"/>
    <x v="1"/>
    <d v="1899-12-31T00:00:00"/>
    <d v="2013-09-11T00:00:00"/>
    <n v="0"/>
    <n v="6"/>
    <n v="13"/>
    <n v="13"/>
    <n v="5"/>
    <n v="49"/>
    <x v="1"/>
    <n v="18"/>
    <x v="3"/>
    <m/>
    <x v="0"/>
    <x v="0"/>
    <x v="0"/>
    <n v="13"/>
    <x v="0"/>
  </r>
  <r>
    <n v="9500"/>
    <x v="12"/>
    <x v="0"/>
    <x v="2"/>
    <x v="1116"/>
    <x v="0"/>
    <d v="1899-12-31T00:00:00"/>
    <d v="2013-01-25T00:00:00"/>
    <n v="66"/>
    <n v="104"/>
    <n v="78"/>
    <n v="78"/>
    <n v="8"/>
    <n v="67"/>
    <x v="0"/>
    <n v="86"/>
    <x v="3"/>
    <m/>
    <x v="0"/>
    <x v="0"/>
    <x v="0"/>
    <n v="13"/>
    <x v="0"/>
  </r>
  <r>
    <n v="3602"/>
    <x v="38"/>
    <x v="2"/>
    <x v="2"/>
    <x v="1117"/>
    <x v="0"/>
    <d v="1899-12-31T00:00:00"/>
    <d v="2013-12-31T00:00:00"/>
    <n v="42"/>
    <n v="3"/>
    <n v="5"/>
    <n v="5"/>
    <n v="4"/>
    <n v="68"/>
    <x v="0"/>
    <n v="9"/>
    <x v="3"/>
    <m/>
    <x v="0"/>
    <x v="0"/>
    <x v="0"/>
    <n v="13"/>
    <x v="0"/>
  </r>
  <r>
    <n v="234"/>
    <x v="19"/>
    <x v="0"/>
    <x v="3"/>
    <x v="243"/>
    <x v="1"/>
    <d v="1899-12-30T00:00:00"/>
    <d v="2012-10-10T00:00:00"/>
    <n v="60"/>
    <n v="2"/>
    <n v="3"/>
    <n v="3"/>
    <n v="2"/>
    <n v="47"/>
    <x v="1"/>
    <n v="5"/>
    <x v="3"/>
    <m/>
    <x v="0"/>
    <x v="2"/>
    <x v="0"/>
    <n v="14"/>
    <x v="0"/>
  </r>
  <r>
    <n v="2995"/>
    <x v="0"/>
    <x v="2"/>
    <x v="1"/>
    <x v="1118"/>
    <x v="0"/>
    <d v="1899-12-30T00:00:00"/>
    <d v="2013-08-17T00:00:00"/>
    <n v="64"/>
    <n v="10"/>
    <n v="10"/>
    <n v="10"/>
    <n v="9"/>
    <n v="69"/>
    <x v="0"/>
    <n v="19"/>
    <x v="3"/>
    <m/>
    <x v="0"/>
    <x v="0"/>
    <x v="0"/>
    <n v="13"/>
    <x v="0"/>
  </r>
  <r>
    <n v="1118"/>
    <x v="46"/>
    <x v="2"/>
    <x v="2"/>
    <x v="1119"/>
    <x v="0"/>
    <d v="1899-12-31T00:00:00"/>
    <d v="2013-02-20T00:00:00"/>
    <n v="87"/>
    <n v="13"/>
    <n v="6"/>
    <n v="6"/>
    <n v="5"/>
    <n v="70"/>
    <x v="0"/>
    <n v="11"/>
    <x v="3"/>
    <m/>
    <x v="0"/>
    <x v="0"/>
    <x v="0"/>
    <n v="13"/>
    <x v="0"/>
  </r>
  <r>
    <n v="7789"/>
    <x v="2"/>
    <x v="1"/>
    <x v="2"/>
    <x v="28"/>
    <x v="0"/>
    <d v="1899-12-30T00:00:00"/>
    <d v="2013-11-22T00:00:00"/>
    <n v="96"/>
    <n v="100"/>
    <n v="66"/>
    <n v="66"/>
    <n v="10"/>
    <n v="61"/>
    <x v="0"/>
    <n v="76"/>
    <x v="3"/>
    <m/>
    <x v="0"/>
    <x v="3"/>
    <x v="0"/>
    <n v="13"/>
    <x v="0"/>
  </r>
  <r>
    <n v="3068"/>
    <x v="50"/>
    <x v="0"/>
    <x v="2"/>
    <x v="1120"/>
    <x v="0"/>
    <d v="1899-12-30T00:00:00"/>
    <d v="2013-10-29T00:00:00"/>
    <n v="1"/>
    <n v="12"/>
    <n v="14"/>
    <n v="14"/>
    <n v="3"/>
    <n v="36"/>
    <x v="1"/>
    <n v="17"/>
    <x v="3"/>
    <m/>
    <x v="0"/>
    <x v="2"/>
    <x v="0"/>
    <n v="13"/>
    <x v="0"/>
  </r>
  <r>
    <n v="8955"/>
    <x v="0"/>
    <x v="1"/>
    <x v="1"/>
    <x v="1121"/>
    <x v="0"/>
    <d v="1900-01-01T00:00:00"/>
    <d v="2014-02-16T00:00:00"/>
    <n v="54"/>
    <n v="0"/>
    <n v="0"/>
    <n v="0"/>
    <n v="2"/>
    <n v="69"/>
    <x v="0"/>
    <n v="2"/>
    <x v="3"/>
    <m/>
    <x v="0"/>
    <x v="1"/>
    <x v="0"/>
    <n v="12"/>
    <x v="0"/>
  </r>
  <r>
    <n v="945"/>
    <x v="2"/>
    <x v="0"/>
    <x v="1"/>
    <x v="1122"/>
    <x v="0"/>
    <d v="1899-12-31T00:00:00"/>
    <d v="2013-05-22T00:00:00"/>
    <n v="53"/>
    <n v="3"/>
    <n v="2"/>
    <n v="2"/>
    <n v="4"/>
    <n v="61"/>
    <x v="0"/>
    <n v="6"/>
    <x v="3"/>
    <m/>
    <x v="0"/>
    <x v="1"/>
    <x v="0"/>
    <n v="13"/>
    <x v="0"/>
  </r>
  <r>
    <n v="5644"/>
    <x v="0"/>
    <x v="0"/>
    <x v="1"/>
    <x v="1123"/>
    <x v="0"/>
    <d v="1899-12-31T00:00:00"/>
    <d v="2013-10-12T00:00:00"/>
    <n v="96"/>
    <n v="3"/>
    <n v="3"/>
    <n v="3"/>
    <n v="7"/>
    <n v="69"/>
    <x v="0"/>
    <n v="10"/>
    <x v="3"/>
    <m/>
    <x v="0"/>
    <x v="1"/>
    <x v="0"/>
    <n v="13"/>
    <x v="0"/>
  </r>
  <r>
    <n v="7192"/>
    <x v="34"/>
    <x v="0"/>
    <x v="1"/>
    <x v="1124"/>
    <x v="0"/>
    <d v="1899-12-31T00:00:00"/>
    <d v="2013-04-15T00:00:00"/>
    <n v="58"/>
    <n v="73"/>
    <n v="78"/>
    <n v="78"/>
    <n v="10"/>
    <n v="71"/>
    <x v="0"/>
    <n v="88"/>
    <x v="3"/>
    <m/>
    <x v="0"/>
    <x v="0"/>
    <x v="0"/>
    <n v="13"/>
    <x v="0"/>
  </r>
  <r>
    <n v="2324"/>
    <x v="39"/>
    <x v="0"/>
    <x v="1"/>
    <x v="1125"/>
    <x v="0"/>
    <d v="1899-12-31T00:00:00"/>
    <d v="2013-10-27T00:00:00"/>
    <n v="12"/>
    <n v="38"/>
    <n v="34"/>
    <n v="34"/>
    <n v="11"/>
    <n v="54"/>
    <x v="0"/>
    <n v="45"/>
    <x v="3"/>
    <m/>
    <x v="0"/>
    <x v="3"/>
    <x v="0"/>
    <n v="13"/>
    <x v="0"/>
  </r>
  <r>
    <n v="697"/>
    <x v="21"/>
    <x v="0"/>
    <x v="1"/>
    <x v="1126"/>
    <x v="0"/>
    <d v="1899-12-30T00:00:00"/>
    <d v="2013-03-12T00:00:00"/>
    <n v="78"/>
    <n v="59"/>
    <n v="19"/>
    <n v="19"/>
    <n v="6"/>
    <n v="57"/>
    <x v="0"/>
    <n v="25"/>
    <x v="3"/>
    <m/>
    <x v="0"/>
    <x v="0"/>
    <x v="0"/>
    <n v="13"/>
    <x v="0"/>
  </r>
  <r>
    <n v="3439"/>
    <x v="39"/>
    <x v="0"/>
    <x v="2"/>
    <x v="1127"/>
    <x v="1"/>
    <d v="1899-12-31T00:00:00"/>
    <d v="2012-10-31T00:00:00"/>
    <n v="64"/>
    <n v="6"/>
    <n v="13"/>
    <n v="13"/>
    <n v="5"/>
    <n v="54"/>
    <x v="0"/>
    <n v="18"/>
    <x v="3"/>
    <m/>
    <x v="0"/>
    <x v="0"/>
    <x v="0"/>
    <n v="14"/>
    <x v="0"/>
  </r>
  <r>
    <n v="1506"/>
    <x v="28"/>
    <x v="0"/>
    <x v="0"/>
    <x v="1128"/>
    <x v="1"/>
    <d v="1899-12-31T00:00:00"/>
    <d v="2013-06-28T00:00:00"/>
    <n v="26"/>
    <n v="9"/>
    <n v="15"/>
    <n v="15"/>
    <n v="4"/>
    <n v="51"/>
    <x v="0"/>
    <n v="19"/>
    <x v="3"/>
    <m/>
    <x v="0"/>
    <x v="1"/>
    <x v="0"/>
    <n v="13"/>
    <x v="0"/>
  </r>
  <r>
    <n v="232"/>
    <x v="2"/>
    <x v="0"/>
    <x v="0"/>
    <x v="1129"/>
    <x v="0"/>
    <d v="1899-12-31T00:00:00"/>
    <d v="2013-07-17T00:00:00"/>
    <n v="8"/>
    <n v="83"/>
    <n v="14"/>
    <n v="14"/>
    <n v="10"/>
    <n v="61"/>
    <x v="0"/>
    <n v="24"/>
    <x v="3"/>
    <m/>
    <x v="0"/>
    <x v="0"/>
    <x v="0"/>
    <n v="13"/>
    <x v="0"/>
  </r>
  <r>
    <n v="8876"/>
    <x v="24"/>
    <x v="1"/>
    <x v="1"/>
    <x v="1130"/>
    <x v="1"/>
    <d v="1899-12-31T00:00:00"/>
    <d v="2012-08-08T00:00:00"/>
    <n v="49"/>
    <n v="0"/>
    <n v="0"/>
    <n v="0"/>
    <n v="4"/>
    <n v="63"/>
    <x v="0"/>
    <n v="4"/>
    <x v="3"/>
    <m/>
    <x v="0"/>
    <x v="1"/>
    <x v="0"/>
    <n v="14"/>
    <x v="0"/>
  </r>
  <r>
    <n v="4500"/>
    <x v="42"/>
    <x v="1"/>
    <x v="1"/>
    <x v="371"/>
    <x v="0"/>
    <d v="1899-12-30T00:00:00"/>
    <d v="2013-10-06T00:00:00"/>
    <n v="56"/>
    <n v="0"/>
    <n v="30"/>
    <n v="30"/>
    <n v="10"/>
    <n v="35"/>
    <x v="1"/>
    <n v="40"/>
    <x v="3"/>
    <m/>
    <x v="0"/>
    <x v="0"/>
    <x v="0"/>
    <n v="13"/>
    <x v="0"/>
  </r>
  <r>
    <n v="9739"/>
    <x v="24"/>
    <x v="0"/>
    <x v="0"/>
    <x v="1131"/>
    <x v="0"/>
    <d v="1899-12-31T00:00:00"/>
    <d v="2013-01-19T00:00:00"/>
    <n v="55"/>
    <n v="0"/>
    <n v="1"/>
    <n v="1"/>
    <n v="2"/>
    <n v="63"/>
    <x v="0"/>
    <n v="3"/>
    <x v="3"/>
    <m/>
    <x v="0"/>
    <x v="1"/>
    <x v="0"/>
    <n v="13"/>
    <x v="0"/>
  </r>
  <r>
    <n v="10395"/>
    <x v="22"/>
    <x v="3"/>
    <x v="0"/>
    <x v="1132"/>
    <x v="1"/>
    <d v="1899-12-30T00:00:00"/>
    <d v="2012-08-22T00:00:00"/>
    <n v="25"/>
    <n v="45"/>
    <n v="6"/>
    <n v="6"/>
    <n v="3"/>
    <n v="40"/>
    <x v="1"/>
    <n v="9"/>
    <x v="3"/>
    <m/>
    <x v="0"/>
    <x v="2"/>
    <x v="0"/>
    <n v="14"/>
    <x v="0"/>
  </r>
  <r>
    <n v="1176"/>
    <x v="26"/>
    <x v="0"/>
    <x v="2"/>
    <x v="1133"/>
    <x v="1"/>
    <d v="1899-12-30T00:00:00"/>
    <d v="2013-09-22T00:00:00"/>
    <n v="50"/>
    <n v="6"/>
    <n v="1"/>
    <n v="1"/>
    <n v="2"/>
    <n v="53"/>
    <x v="0"/>
    <n v="3"/>
    <x v="3"/>
    <m/>
    <x v="0"/>
    <x v="2"/>
    <x v="0"/>
    <n v="13"/>
    <x v="0"/>
  </r>
  <r>
    <n v="1627"/>
    <x v="0"/>
    <x v="4"/>
    <x v="3"/>
    <x v="1134"/>
    <x v="0"/>
    <d v="1899-12-30T00:00:00"/>
    <d v="2013-01-26T00:00:00"/>
    <n v="84"/>
    <n v="61"/>
    <n v="122"/>
    <n v="122"/>
    <n v="9"/>
    <n v="69"/>
    <x v="0"/>
    <n v="131"/>
    <x v="3"/>
    <m/>
    <x v="0"/>
    <x v="3"/>
    <x v="0"/>
    <n v="13"/>
    <x v="0"/>
  </r>
  <r>
    <n v="938"/>
    <x v="4"/>
    <x v="0"/>
    <x v="2"/>
    <x v="1135"/>
    <x v="1"/>
    <d v="1899-12-31T00:00:00"/>
    <d v="2013-07-30T00:00:00"/>
    <n v="30"/>
    <n v="1"/>
    <n v="1"/>
    <n v="1"/>
    <n v="2"/>
    <n v="45"/>
    <x v="1"/>
    <n v="3"/>
    <x v="3"/>
    <m/>
    <x v="0"/>
    <x v="1"/>
    <x v="0"/>
    <n v="13"/>
    <x v="0"/>
  </r>
  <r>
    <n v="2740"/>
    <x v="38"/>
    <x v="1"/>
    <x v="4"/>
    <x v="1136"/>
    <x v="1"/>
    <d v="1899-12-31T00:00:00"/>
    <d v="2013-09-22T00:00:00"/>
    <n v="81"/>
    <n v="1"/>
    <n v="2"/>
    <n v="2"/>
    <n v="4"/>
    <n v="68"/>
    <x v="0"/>
    <n v="6"/>
    <x v="3"/>
    <m/>
    <x v="0"/>
    <x v="1"/>
    <x v="0"/>
    <n v="13"/>
    <x v="0"/>
  </r>
  <r>
    <n v="257"/>
    <x v="12"/>
    <x v="1"/>
    <x v="2"/>
    <x v="1137"/>
    <x v="0"/>
    <d v="1899-12-31T00:00:00"/>
    <d v="2013-04-28T00:00:00"/>
    <n v="74"/>
    <n v="12"/>
    <n v="12"/>
    <n v="12"/>
    <n v="9"/>
    <n v="67"/>
    <x v="0"/>
    <n v="21"/>
    <x v="3"/>
    <m/>
    <x v="0"/>
    <x v="3"/>
    <x v="0"/>
    <n v="13"/>
    <x v="0"/>
  </r>
  <r>
    <n v="4058"/>
    <x v="34"/>
    <x v="1"/>
    <x v="0"/>
    <x v="1138"/>
    <x v="0"/>
    <d v="1899-12-30T00:00:00"/>
    <d v="2013-10-12T00:00:00"/>
    <n v="76"/>
    <n v="15"/>
    <n v="7"/>
    <n v="7"/>
    <n v="8"/>
    <n v="71"/>
    <x v="0"/>
    <n v="15"/>
    <x v="3"/>
    <m/>
    <x v="0"/>
    <x v="0"/>
    <x v="0"/>
    <n v="13"/>
    <x v="0"/>
  </r>
  <r>
    <n v="7736"/>
    <x v="22"/>
    <x v="0"/>
    <x v="2"/>
    <x v="1139"/>
    <x v="1"/>
    <d v="1899-12-30T00:00:00"/>
    <d v="2012-10-22T00:00:00"/>
    <n v="36"/>
    <n v="7"/>
    <n v="2"/>
    <n v="2"/>
    <n v="2"/>
    <n v="40"/>
    <x v="1"/>
    <n v="4"/>
    <x v="3"/>
    <m/>
    <x v="0"/>
    <x v="2"/>
    <x v="0"/>
    <n v="14"/>
    <x v="0"/>
  </r>
  <r>
    <n v="8210"/>
    <x v="28"/>
    <x v="2"/>
    <x v="2"/>
    <x v="1140"/>
    <x v="0"/>
    <d v="1899-12-31T00:00:00"/>
    <d v="2013-08-15T00:00:00"/>
    <n v="64"/>
    <n v="3"/>
    <n v="7"/>
    <n v="7"/>
    <n v="8"/>
    <n v="51"/>
    <x v="0"/>
    <n v="15"/>
    <x v="3"/>
    <m/>
    <x v="0"/>
    <x v="0"/>
    <x v="0"/>
    <n v="13"/>
    <x v="0"/>
  </r>
  <r>
    <n v="833"/>
    <x v="34"/>
    <x v="2"/>
    <x v="2"/>
    <x v="1141"/>
    <x v="1"/>
    <d v="1899-12-31T00:00:00"/>
    <d v="2014-03-30T00:00:00"/>
    <n v="62"/>
    <n v="0"/>
    <n v="0"/>
    <n v="0"/>
    <n v="3"/>
    <n v="71"/>
    <x v="0"/>
    <n v="3"/>
    <x v="3"/>
    <m/>
    <x v="0"/>
    <x v="1"/>
    <x v="0"/>
    <n v="12"/>
    <x v="0"/>
  </r>
  <r>
    <n v="6230"/>
    <x v="6"/>
    <x v="0"/>
    <x v="3"/>
    <x v="1142"/>
    <x v="1"/>
    <d v="1899-12-31T00:00:00"/>
    <d v="2013-02-15T00:00:00"/>
    <n v="53"/>
    <n v="5"/>
    <n v="1"/>
    <n v="1"/>
    <n v="4"/>
    <n v="55"/>
    <x v="0"/>
    <n v="5"/>
    <x v="3"/>
    <m/>
    <x v="0"/>
    <x v="1"/>
    <x v="0"/>
    <n v="13"/>
    <x v="0"/>
  </r>
  <r>
    <n v="7325"/>
    <x v="22"/>
    <x v="1"/>
    <x v="1"/>
    <x v="1143"/>
    <x v="1"/>
    <d v="1899-12-30T00:00:00"/>
    <d v="2013-06-29T00:00:00"/>
    <n v="86"/>
    <n v="0"/>
    <n v="1"/>
    <n v="1"/>
    <n v="3"/>
    <n v="40"/>
    <x v="1"/>
    <n v="4"/>
    <x v="3"/>
    <m/>
    <x v="0"/>
    <x v="1"/>
    <x v="0"/>
    <n v="13"/>
    <x v="0"/>
  </r>
  <r>
    <n v="1307"/>
    <x v="33"/>
    <x v="0"/>
    <x v="3"/>
    <x v="1144"/>
    <x v="0"/>
    <d v="1899-12-31T00:00:00"/>
    <d v="2014-02-09T00:00:00"/>
    <n v="15"/>
    <n v="5"/>
    <n v="3"/>
    <n v="3"/>
    <n v="4"/>
    <n v="48"/>
    <x v="1"/>
    <n v="7"/>
    <x v="3"/>
    <m/>
    <x v="0"/>
    <x v="1"/>
    <x v="0"/>
    <n v="12"/>
    <x v="0"/>
  </r>
  <r>
    <n v="1502"/>
    <x v="10"/>
    <x v="0"/>
    <x v="1"/>
    <x v="1145"/>
    <x v="1"/>
    <d v="1899-12-30T00:00:00"/>
    <d v="2013-03-21T00:00:00"/>
    <n v="67"/>
    <n v="3"/>
    <n v="3"/>
    <n v="3"/>
    <n v="3"/>
    <n v="43"/>
    <x v="1"/>
    <n v="6"/>
    <x v="3"/>
    <m/>
    <x v="0"/>
    <x v="2"/>
    <x v="0"/>
    <n v="13"/>
    <x v="0"/>
  </r>
  <r>
    <n v="6211"/>
    <x v="11"/>
    <x v="1"/>
    <x v="1"/>
    <x v="1146"/>
    <x v="1"/>
    <d v="1899-12-30T00:00:00"/>
    <d v="2014-05-02T00:00:00"/>
    <n v="47"/>
    <n v="0"/>
    <n v="1"/>
    <n v="1"/>
    <n v="3"/>
    <n v="50"/>
    <x v="1"/>
    <n v="4"/>
    <x v="3"/>
    <m/>
    <x v="0"/>
    <x v="1"/>
    <x v="0"/>
    <n v="12"/>
    <x v="0"/>
  </r>
  <r>
    <n v="843"/>
    <x v="6"/>
    <x v="0"/>
    <x v="2"/>
    <x v="1147"/>
    <x v="1"/>
    <d v="1899-12-30T00:00:00"/>
    <d v="2014-05-26T00:00:00"/>
    <n v="47"/>
    <n v="0"/>
    <n v="147"/>
    <n v="147"/>
    <n v="11"/>
    <n v="55"/>
    <x v="0"/>
    <n v="158"/>
    <x v="3"/>
    <m/>
    <x v="0"/>
    <x v="0"/>
    <x v="0"/>
    <n v="12"/>
    <x v="0"/>
  </r>
  <r>
    <n v="4174"/>
    <x v="46"/>
    <x v="2"/>
    <x v="1"/>
    <x v="1148"/>
    <x v="0"/>
    <d v="1899-12-31T00:00:00"/>
    <d v="2014-04-17T00:00:00"/>
    <n v="81"/>
    <n v="1"/>
    <n v="0"/>
    <n v="0"/>
    <n v="4"/>
    <n v="70"/>
    <x v="0"/>
    <n v="4"/>
    <x v="3"/>
    <m/>
    <x v="0"/>
    <x v="0"/>
    <x v="0"/>
    <n v="12"/>
    <x v="0"/>
  </r>
  <r>
    <n v="9757"/>
    <x v="39"/>
    <x v="0"/>
    <x v="1"/>
    <x v="1149"/>
    <x v="0"/>
    <d v="1899-12-30T00:00:00"/>
    <d v="2013-10-04T00:00:00"/>
    <n v="98"/>
    <n v="15"/>
    <n v="30"/>
    <n v="30"/>
    <n v="12"/>
    <n v="54"/>
    <x v="0"/>
    <n v="42"/>
    <x v="3"/>
    <m/>
    <x v="0"/>
    <x v="3"/>
    <x v="0"/>
    <n v="13"/>
    <x v="0"/>
  </r>
  <r>
    <n v="6918"/>
    <x v="23"/>
    <x v="0"/>
    <x v="2"/>
    <x v="412"/>
    <x v="1"/>
    <d v="1899-12-30T00:00:00"/>
    <d v="2013-07-04T00:00:00"/>
    <n v="56"/>
    <n v="4"/>
    <n v="0"/>
    <n v="0"/>
    <n v="3"/>
    <n v="37"/>
    <x v="1"/>
    <n v="3"/>
    <x v="3"/>
    <m/>
    <x v="0"/>
    <x v="2"/>
    <x v="0"/>
    <n v="13"/>
    <x v="0"/>
  </r>
  <r>
    <n v="286"/>
    <x v="13"/>
    <x v="0"/>
    <x v="0"/>
    <x v="1150"/>
    <x v="1"/>
    <d v="1899-12-31T00:00:00"/>
    <d v="2013-11-29T00:00:00"/>
    <n v="48"/>
    <n v="11"/>
    <n v="4"/>
    <n v="4"/>
    <n v="5"/>
    <n v="74"/>
    <x v="0"/>
    <n v="9"/>
    <x v="3"/>
    <m/>
    <x v="0"/>
    <x v="1"/>
    <x v="0"/>
    <n v="13"/>
    <x v="0"/>
  </r>
  <r>
    <n v="11086"/>
    <x v="3"/>
    <x v="3"/>
    <x v="0"/>
    <x v="1151"/>
    <x v="1"/>
    <d v="1899-12-30T00:00:00"/>
    <d v="2014-01-18T00:00:00"/>
    <n v="18"/>
    <n v="6"/>
    <n v="6"/>
    <n v="6"/>
    <n v="3"/>
    <n v="42"/>
    <x v="1"/>
    <n v="9"/>
    <x v="3"/>
    <m/>
    <x v="0"/>
    <x v="2"/>
    <x v="0"/>
    <n v="12"/>
    <x v="0"/>
  </r>
  <r>
    <n v="1921"/>
    <x v="5"/>
    <x v="1"/>
    <x v="2"/>
    <x v="1152"/>
    <x v="2"/>
    <d v="1899-12-31T00:00:00"/>
    <d v="2013-10-03T00:00:00"/>
    <n v="74"/>
    <n v="1"/>
    <n v="0"/>
    <n v="0"/>
    <n v="3"/>
    <n v="59"/>
    <x v="0"/>
    <n v="3"/>
    <x v="3"/>
    <m/>
    <x v="0"/>
    <x v="0"/>
    <x v="0"/>
    <n v="13"/>
    <x v="0"/>
  </r>
  <r>
    <n v="4138"/>
    <x v="43"/>
    <x v="0"/>
    <x v="0"/>
    <x v="1153"/>
    <x v="0"/>
    <d v="1899-12-31T00:00:00"/>
    <d v="2014-05-24T00:00:00"/>
    <n v="68"/>
    <n v="106"/>
    <n v="115"/>
    <n v="115"/>
    <n v="7"/>
    <n v="64"/>
    <x v="0"/>
    <n v="122"/>
    <x v="3"/>
    <m/>
    <x v="0"/>
    <x v="3"/>
    <x v="0"/>
    <n v="12"/>
    <x v="0"/>
  </r>
  <r>
    <n v="7718"/>
    <x v="51"/>
    <x v="2"/>
    <x v="1"/>
    <x v="1154"/>
    <x v="0"/>
    <d v="1899-12-30T00:00:00"/>
    <d v="2014-04-20T00:00:00"/>
    <n v="36"/>
    <n v="51"/>
    <n v="0"/>
    <n v="0"/>
    <n v="5"/>
    <n v="79"/>
    <x v="0"/>
    <n v="5"/>
    <x v="3"/>
    <m/>
    <x v="0"/>
    <x v="0"/>
    <x v="0"/>
    <n v="12"/>
    <x v="0"/>
  </r>
  <r>
    <n v="1291"/>
    <x v="33"/>
    <x v="1"/>
    <x v="1"/>
    <x v="1155"/>
    <x v="1"/>
    <d v="1899-12-30T00:00:00"/>
    <d v="2012-08-04T00:00:00"/>
    <n v="90"/>
    <n v="9"/>
    <n v="12"/>
    <n v="12"/>
    <n v="4"/>
    <n v="48"/>
    <x v="1"/>
    <n v="16"/>
    <x v="3"/>
    <m/>
    <x v="0"/>
    <x v="2"/>
    <x v="0"/>
    <n v="14"/>
    <x v="0"/>
  </r>
  <r>
    <n v="6862"/>
    <x v="6"/>
    <x v="0"/>
    <x v="3"/>
    <x v="1156"/>
    <x v="0"/>
    <d v="1899-12-30T00:00:00"/>
    <d v="2014-05-18T00:00:00"/>
    <n v="65"/>
    <n v="1"/>
    <n v="1"/>
    <n v="1"/>
    <n v="0"/>
    <n v="55"/>
    <x v="0"/>
    <n v="1"/>
    <x v="3"/>
    <m/>
    <x v="0"/>
    <x v="2"/>
    <x v="0"/>
    <n v="12"/>
    <x v="0"/>
  </r>
  <r>
    <n v="4136"/>
    <x v="47"/>
    <x v="3"/>
    <x v="0"/>
    <x v="11"/>
    <x v="1"/>
    <d v="1899-12-30T00:00:00"/>
    <d v="2012-12-03T00:00:00"/>
    <n v="63"/>
    <n v="17"/>
    <n v="26"/>
    <n v="26"/>
    <n v="2"/>
    <n v="34"/>
    <x v="1"/>
    <n v="28"/>
    <x v="3"/>
    <m/>
    <x v="0"/>
    <x v="2"/>
    <x v="0"/>
    <n v="14"/>
    <x v="0"/>
  </r>
  <r>
    <n v="803"/>
    <x v="30"/>
    <x v="0"/>
    <x v="1"/>
    <x v="1157"/>
    <x v="1"/>
    <d v="1899-12-31T00:00:00"/>
    <d v="2013-04-05T00:00:00"/>
    <n v="82"/>
    <n v="0"/>
    <n v="0"/>
    <n v="0"/>
    <n v="2"/>
    <n v="58"/>
    <x v="0"/>
    <n v="2"/>
    <x v="3"/>
    <m/>
    <x v="0"/>
    <x v="1"/>
    <x v="0"/>
    <n v="13"/>
    <x v="0"/>
  </r>
  <r>
    <n v="4298"/>
    <x v="26"/>
    <x v="1"/>
    <x v="1"/>
    <x v="1158"/>
    <x v="1"/>
    <d v="1899-12-30T00:00:00"/>
    <d v="2014-03-24T00:00:00"/>
    <n v="63"/>
    <n v="0"/>
    <n v="0"/>
    <n v="0"/>
    <n v="2"/>
    <n v="53"/>
    <x v="0"/>
    <n v="2"/>
    <x v="3"/>
    <m/>
    <x v="0"/>
    <x v="2"/>
    <x v="0"/>
    <n v="12"/>
    <x v="0"/>
  </r>
  <r>
    <n v="10833"/>
    <x v="28"/>
    <x v="0"/>
    <x v="2"/>
    <x v="1159"/>
    <x v="0"/>
    <d v="1899-12-31T00:00:00"/>
    <d v="2014-05-24T00:00:00"/>
    <n v="55"/>
    <n v="19"/>
    <n v="0"/>
    <n v="0"/>
    <n v="13"/>
    <n v="51"/>
    <x v="0"/>
    <n v="13"/>
    <x v="3"/>
    <m/>
    <x v="0"/>
    <x v="0"/>
    <x v="0"/>
    <n v="12"/>
    <x v="0"/>
  </r>
  <r>
    <n v="9606"/>
    <x v="2"/>
    <x v="1"/>
    <x v="2"/>
    <x v="1160"/>
    <x v="0"/>
    <d v="1899-12-30T00:00:00"/>
    <d v="2013-08-27T00:00:00"/>
    <n v="64"/>
    <n v="29"/>
    <n v="29"/>
    <n v="29"/>
    <n v="6"/>
    <n v="61"/>
    <x v="0"/>
    <n v="35"/>
    <x v="3"/>
    <m/>
    <x v="0"/>
    <x v="0"/>
    <x v="0"/>
    <n v="13"/>
    <x v="0"/>
  </r>
  <r>
    <n v="8534"/>
    <x v="13"/>
    <x v="0"/>
    <x v="2"/>
    <x v="1161"/>
    <x v="0"/>
    <d v="1900-01-01T00:00:00"/>
    <d v="2013-07-16T00:00:00"/>
    <n v="51"/>
    <n v="28"/>
    <n v="48"/>
    <n v="48"/>
    <n v="13"/>
    <n v="74"/>
    <x v="0"/>
    <n v="61"/>
    <x v="3"/>
    <m/>
    <x v="0"/>
    <x v="0"/>
    <x v="0"/>
    <n v="13"/>
    <x v="0"/>
  </r>
  <r>
    <n v="5153"/>
    <x v="5"/>
    <x v="1"/>
    <x v="2"/>
    <x v="1162"/>
    <x v="0"/>
    <d v="1899-12-31T00:00:00"/>
    <d v="2013-02-22T00:00:00"/>
    <n v="97"/>
    <n v="59"/>
    <n v="59"/>
    <n v="59"/>
    <n v="11"/>
    <n v="59"/>
    <x v="0"/>
    <n v="70"/>
    <x v="3"/>
    <m/>
    <x v="0"/>
    <x v="3"/>
    <x v="0"/>
    <n v="13"/>
    <x v="0"/>
  </r>
  <r>
    <n v="961"/>
    <x v="39"/>
    <x v="0"/>
    <x v="2"/>
    <x v="1163"/>
    <x v="0"/>
    <d v="1899-12-31T00:00:00"/>
    <d v="2013-09-12T00:00:00"/>
    <n v="92"/>
    <n v="27"/>
    <n v="195"/>
    <n v="195"/>
    <n v="5"/>
    <n v="54"/>
    <x v="0"/>
    <n v="200"/>
    <x v="3"/>
    <m/>
    <x v="0"/>
    <x v="0"/>
    <x v="0"/>
    <n v="13"/>
    <x v="0"/>
  </r>
  <r>
    <n v="5011"/>
    <x v="24"/>
    <x v="0"/>
    <x v="3"/>
    <x v="639"/>
    <x v="0"/>
    <d v="1899-12-31T00:00:00"/>
    <d v="2013-10-18T00:00:00"/>
    <n v="51"/>
    <n v="23"/>
    <n v="23"/>
    <n v="23"/>
    <n v="4"/>
    <n v="63"/>
    <x v="0"/>
    <n v="27"/>
    <x v="3"/>
    <m/>
    <x v="0"/>
    <x v="0"/>
    <x v="0"/>
    <n v="13"/>
    <x v="0"/>
  </r>
  <r>
    <n v="6653"/>
    <x v="25"/>
    <x v="1"/>
    <x v="2"/>
    <x v="1164"/>
    <x v="1"/>
    <d v="1899-12-31T00:00:00"/>
    <d v="2012-07-30T00:00:00"/>
    <n v="72"/>
    <n v="0"/>
    <n v="11"/>
    <n v="11"/>
    <n v="5"/>
    <n v="56"/>
    <x v="0"/>
    <n v="16"/>
    <x v="3"/>
    <m/>
    <x v="0"/>
    <x v="0"/>
    <x v="0"/>
    <n v="14"/>
    <x v="0"/>
  </r>
  <r>
    <n v="9094"/>
    <x v="34"/>
    <x v="4"/>
    <x v="2"/>
    <x v="1165"/>
    <x v="0"/>
    <d v="1899-12-31T00:00:00"/>
    <d v="2012-08-03T00:00:00"/>
    <n v="39"/>
    <n v="15"/>
    <n v="0"/>
    <n v="0"/>
    <n v="3"/>
    <n v="71"/>
    <x v="0"/>
    <n v="3"/>
    <x v="3"/>
    <m/>
    <x v="0"/>
    <x v="0"/>
    <x v="0"/>
    <n v="14"/>
    <x v="0"/>
  </r>
  <r>
    <n v="810"/>
    <x v="28"/>
    <x v="0"/>
    <x v="2"/>
    <x v="1166"/>
    <x v="0"/>
    <d v="1899-12-31T00:00:00"/>
    <d v="2014-05-12T00:00:00"/>
    <n v="49"/>
    <n v="81"/>
    <n v="91"/>
    <n v="91"/>
    <n v="11"/>
    <n v="51"/>
    <x v="0"/>
    <n v="102"/>
    <x v="3"/>
    <m/>
    <x v="0"/>
    <x v="0"/>
    <x v="0"/>
    <n v="12"/>
    <x v="0"/>
  </r>
  <r>
    <n v="5493"/>
    <x v="11"/>
    <x v="0"/>
    <x v="2"/>
    <x v="1167"/>
    <x v="1"/>
    <d v="1899-12-31T00:00:00"/>
    <d v="2014-03-19T00:00:00"/>
    <n v="21"/>
    <n v="0"/>
    <n v="0"/>
    <n v="0"/>
    <n v="2"/>
    <n v="50"/>
    <x v="1"/>
    <n v="2"/>
    <x v="3"/>
    <m/>
    <x v="0"/>
    <x v="1"/>
    <x v="0"/>
    <n v="12"/>
    <x v="0"/>
  </r>
  <r>
    <n v="2147"/>
    <x v="21"/>
    <x v="0"/>
    <x v="1"/>
    <x v="1168"/>
    <x v="0"/>
    <d v="1899-12-30T00:00:00"/>
    <d v="2013-08-16T00:00:00"/>
    <n v="91"/>
    <n v="63"/>
    <n v="189"/>
    <n v="189"/>
    <n v="11"/>
    <n v="57"/>
    <x v="0"/>
    <n v="200"/>
    <x v="3"/>
    <m/>
    <x v="0"/>
    <x v="3"/>
    <x v="0"/>
    <n v="13"/>
    <x v="0"/>
  </r>
  <r>
    <n v="5107"/>
    <x v="26"/>
    <x v="1"/>
    <x v="3"/>
    <x v="125"/>
    <x v="1"/>
    <d v="1899-12-31T00:00:00"/>
    <d v="2014-05-19T00:00:00"/>
    <n v="37"/>
    <n v="0"/>
    <n v="2"/>
    <n v="2"/>
    <n v="2"/>
    <n v="53"/>
    <x v="0"/>
    <n v="4"/>
    <x v="3"/>
    <m/>
    <x v="0"/>
    <x v="1"/>
    <x v="0"/>
    <n v="12"/>
    <x v="0"/>
  </r>
  <r>
    <n v="3979"/>
    <x v="10"/>
    <x v="1"/>
    <x v="3"/>
    <x v="1169"/>
    <x v="0"/>
    <d v="1899-12-30T00:00:00"/>
    <d v="2013-05-22T00:00:00"/>
    <n v="98"/>
    <n v="17"/>
    <n v="34"/>
    <n v="34"/>
    <n v="8"/>
    <n v="43"/>
    <x v="1"/>
    <n v="42"/>
    <x v="3"/>
    <m/>
    <x v="0"/>
    <x v="3"/>
    <x v="0"/>
    <n v="13"/>
    <x v="0"/>
  </r>
  <r>
    <n v="6049"/>
    <x v="18"/>
    <x v="2"/>
    <x v="1"/>
    <x v="1170"/>
    <x v="0"/>
    <d v="1899-12-30T00:00:00"/>
    <d v="2013-12-05T00:00:00"/>
    <n v="85"/>
    <n v="51"/>
    <n v="69"/>
    <n v="69"/>
    <n v="11"/>
    <n v="44"/>
    <x v="1"/>
    <n v="80"/>
    <x v="3"/>
    <m/>
    <x v="0"/>
    <x v="0"/>
    <x v="0"/>
    <n v="13"/>
    <x v="0"/>
  </r>
  <r>
    <n v="8147"/>
    <x v="40"/>
    <x v="0"/>
    <x v="2"/>
    <x v="1171"/>
    <x v="1"/>
    <d v="1899-12-31T00:00:00"/>
    <d v="2013-07-06T00:00:00"/>
    <n v="40"/>
    <n v="0"/>
    <n v="0"/>
    <n v="0"/>
    <n v="3"/>
    <n v="66"/>
    <x v="0"/>
    <n v="3"/>
    <x v="3"/>
    <m/>
    <x v="0"/>
    <x v="1"/>
    <x v="0"/>
    <n v="13"/>
    <x v="0"/>
  </r>
  <r>
    <n v="1857"/>
    <x v="13"/>
    <x v="0"/>
    <x v="0"/>
    <x v="1172"/>
    <x v="1"/>
    <d v="1899-12-31T00:00:00"/>
    <d v="2014-03-06T00:00:00"/>
    <n v="2"/>
    <n v="0"/>
    <n v="2"/>
    <n v="2"/>
    <n v="2"/>
    <n v="74"/>
    <x v="0"/>
    <n v="4"/>
    <x v="3"/>
    <m/>
    <x v="0"/>
    <x v="1"/>
    <x v="0"/>
    <n v="12"/>
    <x v="0"/>
  </r>
  <r>
    <n v="3910"/>
    <x v="28"/>
    <x v="0"/>
    <x v="3"/>
    <x v="1027"/>
    <x v="0"/>
    <d v="1899-12-30T00:00:00"/>
    <d v="2013-10-08T00:00:00"/>
    <n v="78"/>
    <n v="161"/>
    <n v="161"/>
    <n v="161"/>
    <n v="6"/>
    <n v="51"/>
    <x v="0"/>
    <n v="167"/>
    <x v="3"/>
    <m/>
    <x v="0"/>
    <x v="3"/>
    <x v="0"/>
    <n v="13"/>
    <x v="0"/>
  </r>
  <r>
    <n v="5207"/>
    <x v="24"/>
    <x v="1"/>
    <x v="2"/>
    <x v="1173"/>
    <x v="1"/>
    <d v="1899-12-31T00:00:00"/>
    <d v="2012-09-24T00:00:00"/>
    <n v="41"/>
    <n v="6"/>
    <n v="6"/>
    <n v="6"/>
    <n v="6"/>
    <n v="63"/>
    <x v="0"/>
    <n v="12"/>
    <x v="3"/>
    <m/>
    <x v="0"/>
    <x v="0"/>
    <x v="0"/>
    <n v="14"/>
    <x v="0"/>
  </r>
  <r>
    <n v="11114"/>
    <x v="25"/>
    <x v="0"/>
    <x v="1"/>
    <x v="1174"/>
    <x v="1"/>
    <d v="1899-12-30T00:00:00"/>
    <d v="2013-02-08T00:00:00"/>
    <n v="94"/>
    <n v="4"/>
    <n v="8"/>
    <n v="8"/>
    <n v="3"/>
    <n v="56"/>
    <x v="0"/>
    <n v="11"/>
    <x v="3"/>
    <m/>
    <x v="0"/>
    <x v="2"/>
    <x v="0"/>
    <n v="13"/>
    <x v="0"/>
  </r>
  <r>
    <n v="5429"/>
    <x v="37"/>
    <x v="1"/>
    <x v="2"/>
    <x v="1175"/>
    <x v="0"/>
    <d v="1899-12-31T00:00:00"/>
    <d v="2013-08-20T00:00:00"/>
    <n v="10"/>
    <n v="1"/>
    <n v="1"/>
    <n v="1"/>
    <n v="4"/>
    <n v="78"/>
    <x v="0"/>
    <n v="5"/>
    <x v="3"/>
    <m/>
    <x v="0"/>
    <x v="1"/>
    <x v="0"/>
    <n v="13"/>
    <x v="0"/>
  </r>
  <r>
    <n v="9400"/>
    <x v="38"/>
    <x v="4"/>
    <x v="0"/>
    <x v="1176"/>
    <x v="0"/>
    <d v="1899-12-30T00:00:00"/>
    <d v="2014-06-21T00:00:00"/>
    <n v="73"/>
    <n v="26"/>
    <n v="18"/>
    <n v="18"/>
    <n v="6"/>
    <n v="68"/>
    <x v="0"/>
    <n v="24"/>
    <x v="3"/>
    <m/>
    <x v="0"/>
    <x v="3"/>
    <x v="0"/>
    <n v="12"/>
    <x v="0"/>
  </r>
  <r>
    <n v="1740"/>
    <x v="56"/>
    <x v="0"/>
    <x v="2"/>
    <x v="1177"/>
    <x v="0"/>
    <d v="1899-12-30T00:00:00"/>
    <d v="2014-04-07T00:00:00"/>
    <n v="22"/>
    <n v="38"/>
    <n v="9"/>
    <n v="9"/>
    <n v="4"/>
    <n v="82"/>
    <x v="0"/>
    <n v="13"/>
    <x v="3"/>
    <m/>
    <x v="0"/>
    <x v="0"/>
    <x v="0"/>
    <n v="12"/>
    <x v="0"/>
  </r>
  <r>
    <n v="7488"/>
    <x v="24"/>
    <x v="2"/>
    <x v="0"/>
    <x v="1178"/>
    <x v="0"/>
    <d v="1899-12-31T00:00:00"/>
    <d v="2013-01-22T00:00:00"/>
    <n v="30"/>
    <n v="15"/>
    <n v="38"/>
    <n v="38"/>
    <n v="13"/>
    <n v="63"/>
    <x v="0"/>
    <n v="51"/>
    <x v="3"/>
    <m/>
    <x v="0"/>
    <x v="0"/>
    <x v="0"/>
    <n v="13"/>
    <x v="0"/>
  </r>
  <r>
    <n v="195"/>
    <x v="39"/>
    <x v="0"/>
    <x v="0"/>
    <x v="1179"/>
    <x v="1"/>
    <d v="1899-12-30T00:00:00"/>
    <d v="2012-08-26T00:00:00"/>
    <n v="21"/>
    <n v="17"/>
    <n v="19"/>
    <n v="19"/>
    <n v="4"/>
    <n v="54"/>
    <x v="0"/>
    <n v="23"/>
    <x v="3"/>
    <m/>
    <x v="0"/>
    <x v="1"/>
    <x v="0"/>
    <n v="14"/>
    <x v="0"/>
  </r>
  <r>
    <n v="635"/>
    <x v="35"/>
    <x v="2"/>
    <x v="2"/>
    <x v="1180"/>
    <x v="1"/>
    <d v="1899-12-31T00:00:00"/>
    <d v="2013-03-19T00:00:00"/>
    <n v="51"/>
    <n v="5"/>
    <n v="0"/>
    <n v="0"/>
    <n v="7"/>
    <n v="60"/>
    <x v="0"/>
    <n v="7"/>
    <x v="3"/>
    <m/>
    <x v="0"/>
    <x v="0"/>
    <x v="0"/>
    <n v="13"/>
    <x v="0"/>
  </r>
  <r>
    <n v="7527"/>
    <x v="30"/>
    <x v="2"/>
    <x v="3"/>
    <x v="1181"/>
    <x v="1"/>
    <d v="1899-12-30T00:00:00"/>
    <d v="2012-11-21T00:00:00"/>
    <n v="97"/>
    <n v="6"/>
    <n v="15"/>
    <n v="15"/>
    <n v="3"/>
    <n v="58"/>
    <x v="0"/>
    <n v="18"/>
    <x v="3"/>
    <m/>
    <x v="0"/>
    <x v="2"/>
    <x v="0"/>
    <n v="14"/>
    <x v="0"/>
  </r>
  <r>
    <n v="10319"/>
    <x v="6"/>
    <x v="0"/>
    <x v="2"/>
    <x v="1182"/>
    <x v="0"/>
    <d v="1899-12-31T00:00:00"/>
    <d v="2013-02-26T00:00:00"/>
    <n v="56"/>
    <n v="12"/>
    <n v="12"/>
    <n v="12"/>
    <n v="11"/>
    <n v="55"/>
    <x v="0"/>
    <n v="23"/>
    <x v="3"/>
    <m/>
    <x v="0"/>
    <x v="0"/>
    <x v="0"/>
    <n v="13"/>
    <x v="0"/>
  </r>
  <r>
    <n v="2296"/>
    <x v="28"/>
    <x v="2"/>
    <x v="2"/>
    <x v="1183"/>
    <x v="1"/>
    <d v="1899-12-30T00:00:00"/>
    <d v="2013-12-16T00:00:00"/>
    <n v="4"/>
    <n v="2"/>
    <n v="2"/>
    <n v="2"/>
    <n v="2"/>
    <n v="51"/>
    <x v="0"/>
    <n v="4"/>
    <x v="3"/>
    <m/>
    <x v="0"/>
    <x v="1"/>
    <x v="0"/>
    <n v="13"/>
    <x v="0"/>
  </r>
  <r>
    <n v="10637"/>
    <x v="31"/>
    <x v="0"/>
    <x v="2"/>
    <x v="1184"/>
    <x v="1"/>
    <d v="1900-01-01T00:00:00"/>
    <d v="2013-01-01T00:00:00"/>
    <n v="77"/>
    <n v="0"/>
    <n v="30"/>
    <n v="30"/>
    <n v="3"/>
    <n v="62"/>
    <x v="0"/>
    <n v="33"/>
    <x v="3"/>
    <m/>
    <x v="0"/>
    <x v="1"/>
    <x v="0"/>
    <n v="13"/>
    <x v="0"/>
  </r>
  <r>
    <n v="2931"/>
    <x v="33"/>
    <x v="0"/>
    <x v="3"/>
    <x v="1185"/>
    <x v="0"/>
    <d v="1899-12-30T00:00:00"/>
    <d v="2012-09-21T00:00:00"/>
    <n v="95"/>
    <n v="21"/>
    <n v="63"/>
    <n v="63"/>
    <n v="9"/>
    <n v="48"/>
    <x v="1"/>
    <n v="72"/>
    <x v="3"/>
    <m/>
    <x v="0"/>
    <x v="0"/>
    <x v="0"/>
    <n v="14"/>
    <x v="0"/>
  </r>
  <r>
    <n v="907"/>
    <x v="28"/>
    <x v="0"/>
    <x v="2"/>
    <x v="1186"/>
    <x v="0"/>
    <d v="1899-12-31T00:00:00"/>
    <d v="2013-11-29T00:00:00"/>
    <n v="36"/>
    <n v="6"/>
    <n v="0"/>
    <n v="0"/>
    <n v="7"/>
    <n v="51"/>
    <x v="0"/>
    <n v="7"/>
    <x v="3"/>
    <m/>
    <x v="0"/>
    <x v="1"/>
    <x v="0"/>
    <n v="13"/>
    <x v="0"/>
  </r>
  <r>
    <n v="3698"/>
    <x v="10"/>
    <x v="0"/>
    <x v="1"/>
    <x v="1187"/>
    <x v="0"/>
    <d v="1899-12-30T00:00:00"/>
    <d v="2012-08-09T00:00:00"/>
    <n v="13"/>
    <n v="185"/>
    <n v="55"/>
    <n v="55"/>
    <n v="8"/>
    <n v="43"/>
    <x v="1"/>
    <n v="63"/>
    <x v="3"/>
    <m/>
    <x v="0"/>
    <x v="3"/>
    <x v="0"/>
    <n v="14"/>
    <x v="0"/>
  </r>
  <r>
    <n v="9516"/>
    <x v="6"/>
    <x v="4"/>
    <x v="3"/>
    <x v="1188"/>
    <x v="0"/>
    <d v="1899-12-30T00:00:00"/>
    <d v="2012-08-18T00:00:00"/>
    <n v="90"/>
    <n v="54"/>
    <n v="98"/>
    <n v="98"/>
    <n v="10"/>
    <n v="55"/>
    <x v="0"/>
    <n v="108"/>
    <x v="3"/>
    <m/>
    <x v="0"/>
    <x v="1"/>
    <x v="0"/>
    <n v="14"/>
    <x v="0"/>
  </r>
  <r>
    <n v="679"/>
    <x v="0"/>
    <x v="1"/>
    <x v="2"/>
    <x v="1189"/>
    <x v="1"/>
    <d v="1899-12-31T00:00:00"/>
    <d v="2012-09-20T00:00:00"/>
    <n v="49"/>
    <n v="4"/>
    <n v="0"/>
    <n v="0"/>
    <n v="3"/>
    <n v="69"/>
    <x v="0"/>
    <n v="3"/>
    <x v="3"/>
    <m/>
    <x v="0"/>
    <x v="1"/>
    <x v="0"/>
    <n v="14"/>
    <x v="0"/>
  </r>
  <r>
    <n v="7384"/>
    <x v="20"/>
    <x v="2"/>
    <x v="1"/>
    <x v="1190"/>
    <x v="0"/>
    <d v="1899-12-30T00:00:00"/>
    <d v="2013-07-21T00:00:00"/>
    <n v="18"/>
    <n v="61"/>
    <n v="26"/>
    <n v="26"/>
    <n v="7"/>
    <n v="75"/>
    <x v="0"/>
    <n v="33"/>
    <x v="3"/>
    <m/>
    <x v="0"/>
    <x v="1"/>
    <x v="0"/>
    <n v="13"/>
    <x v="0"/>
  </r>
  <r>
    <n v="5043"/>
    <x v="20"/>
    <x v="3"/>
    <x v="2"/>
    <x v="1191"/>
    <x v="0"/>
    <d v="1899-12-30T00:00:00"/>
    <d v="2012-11-05T00:00:00"/>
    <n v="89"/>
    <n v="23"/>
    <n v="49"/>
    <n v="49"/>
    <n v="5"/>
    <n v="75"/>
    <x v="0"/>
    <n v="54"/>
    <x v="3"/>
    <m/>
    <x v="0"/>
    <x v="2"/>
    <x v="0"/>
    <n v="14"/>
    <x v="0"/>
  </r>
  <r>
    <n v="5267"/>
    <x v="25"/>
    <x v="0"/>
    <x v="3"/>
    <x v="1192"/>
    <x v="1"/>
    <d v="1899-12-30T00:00:00"/>
    <d v="2013-03-14T00:00:00"/>
    <n v="43"/>
    <n v="2"/>
    <n v="1"/>
    <n v="1"/>
    <n v="3"/>
    <n v="56"/>
    <x v="0"/>
    <n v="4"/>
    <x v="3"/>
    <m/>
    <x v="0"/>
    <x v="1"/>
    <x v="0"/>
    <n v="13"/>
    <x v="0"/>
  </r>
  <r>
    <n v="339"/>
    <x v="39"/>
    <x v="1"/>
    <x v="2"/>
    <x v="774"/>
    <x v="0"/>
    <d v="1899-12-31T00:00:00"/>
    <d v="2012-11-23T00:00:00"/>
    <n v="82"/>
    <n v="0"/>
    <n v="0"/>
    <n v="0"/>
    <n v="5"/>
    <n v="54"/>
    <x v="0"/>
    <n v="5"/>
    <x v="3"/>
    <m/>
    <x v="0"/>
    <x v="0"/>
    <x v="0"/>
    <n v="14"/>
    <x v="0"/>
  </r>
  <r>
    <n v="2516"/>
    <x v="21"/>
    <x v="4"/>
    <x v="2"/>
    <x v="1193"/>
    <x v="1"/>
    <d v="1899-12-31T00:00:00"/>
    <d v="2013-06-08T00:00:00"/>
    <n v="84"/>
    <n v="2"/>
    <n v="4"/>
    <n v="4"/>
    <n v="2"/>
    <n v="57"/>
    <x v="0"/>
    <n v="6"/>
    <x v="3"/>
    <m/>
    <x v="0"/>
    <x v="1"/>
    <x v="0"/>
    <n v="13"/>
    <x v="0"/>
  </r>
  <r>
    <n v="9010"/>
    <x v="39"/>
    <x v="2"/>
    <x v="2"/>
    <x v="453"/>
    <x v="0"/>
    <d v="1899-12-30T00:00:00"/>
    <d v="2013-02-10T00:00:00"/>
    <n v="80"/>
    <n v="147"/>
    <n v="42"/>
    <n v="42"/>
    <n v="10"/>
    <n v="54"/>
    <x v="0"/>
    <n v="52"/>
    <x v="3"/>
    <m/>
    <x v="0"/>
    <x v="3"/>
    <x v="0"/>
    <n v="13"/>
    <x v="0"/>
  </r>
  <r>
    <n v="378"/>
    <x v="6"/>
    <x v="0"/>
    <x v="2"/>
    <x v="1194"/>
    <x v="0"/>
    <d v="1899-12-30T00:00:00"/>
    <d v="2012-12-30T00:00:00"/>
    <n v="68"/>
    <n v="112"/>
    <n v="72"/>
    <n v="72"/>
    <n v="10"/>
    <n v="55"/>
    <x v="0"/>
    <n v="82"/>
    <x v="3"/>
    <m/>
    <x v="0"/>
    <x v="0"/>
    <x v="0"/>
    <n v="14"/>
    <x v="0"/>
  </r>
  <r>
    <n v="4808"/>
    <x v="46"/>
    <x v="0"/>
    <x v="2"/>
    <x v="1195"/>
    <x v="0"/>
    <d v="1899-12-30T00:00:00"/>
    <d v="2013-09-05T00:00:00"/>
    <n v="12"/>
    <n v="2"/>
    <n v="0"/>
    <n v="0"/>
    <n v="2"/>
    <n v="70"/>
    <x v="0"/>
    <n v="2"/>
    <x v="3"/>
    <m/>
    <x v="0"/>
    <x v="2"/>
    <x v="0"/>
    <n v="13"/>
    <x v="0"/>
  </r>
  <r>
    <n v="5068"/>
    <x v="6"/>
    <x v="0"/>
    <x v="0"/>
    <x v="225"/>
    <x v="1"/>
    <d v="1899-12-30T00:00:00"/>
    <d v="2013-07-31T00:00:00"/>
    <n v="75"/>
    <n v="1"/>
    <n v="1"/>
    <n v="1"/>
    <n v="2"/>
    <n v="55"/>
    <x v="0"/>
    <n v="3"/>
    <x v="3"/>
    <m/>
    <x v="0"/>
    <x v="2"/>
    <x v="0"/>
    <n v="13"/>
    <x v="0"/>
  </r>
  <r>
    <n v="7628"/>
    <x v="26"/>
    <x v="4"/>
    <x v="2"/>
    <x v="1196"/>
    <x v="1"/>
    <d v="1899-12-30T00:00:00"/>
    <d v="2014-03-18T00:00:00"/>
    <n v="10"/>
    <n v="5"/>
    <n v="3"/>
    <n v="3"/>
    <n v="4"/>
    <n v="53"/>
    <x v="0"/>
    <n v="7"/>
    <x v="3"/>
    <m/>
    <x v="0"/>
    <x v="1"/>
    <x v="0"/>
    <n v="12"/>
    <x v="0"/>
  </r>
  <r>
    <n v="7128"/>
    <x v="32"/>
    <x v="1"/>
    <x v="0"/>
    <x v="1197"/>
    <x v="1"/>
    <d v="1899-12-31T00:00:00"/>
    <d v="2013-12-07T00:00:00"/>
    <n v="91"/>
    <n v="0"/>
    <n v="1"/>
    <n v="1"/>
    <n v="2"/>
    <n v="49"/>
    <x v="1"/>
    <n v="3"/>
    <x v="3"/>
    <m/>
    <x v="0"/>
    <x v="1"/>
    <x v="0"/>
    <n v="13"/>
    <x v="0"/>
  </r>
  <r>
    <n v="2811"/>
    <x v="24"/>
    <x v="1"/>
    <x v="0"/>
    <x v="1198"/>
    <x v="1"/>
    <d v="1899-12-31T00:00:00"/>
    <d v="2014-04-12T00:00:00"/>
    <n v="21"/>
    <n v="0"/>
    <n v="0"/>
    <n v="0"/>
    <n v="4"/>
    <n v="63"/>
    <x v="0"/>
    <n v="4"/>
    <x v="3"/>
    <m/>
    <x v="0"/>
    <x v="1"/>
    <x v="0"/>
    <n v="12"/>
    <x v="0"/>
  </r>
  <r>
    <n v="3551"/>
    <x v="1"/>
    <x v="2"/>
    <x v="1"/>
    <x v="1199"/>
    <x v="0"/>
    <d v="1899-12-31T00:00:00"/>
    <d v="2014-03-29T00:00:00"/>
    <n v="28"/>
    <n v="1"/>
    <n v="11"/>
    <n v="11"/>
    <n v="5"/>
    <n v="72"/>
    <x v="0"/>
    <n v="16"/>
    <x v="3"/>
    <m/>
    <x v="0"/>
    <x v="0"/>
    <x v="0"/>
    <n v="12"/>
    <x v="0"/>
  </r>
  <r>
    <n v="1663"/>
    <x v="33"/>
    <x v="1"/>
    <x v="1"/>
    <x v="1200"/>
    <x v="1"/>
    <d v="1899-12-30T00:00:00"/>
    <d v="2013-10-25T00:00:00"/>
    <n v="97"/>
    <n v="2"/>
    <n v="0"/>
    <n v="0"/>
    <n v="2"/>
    <n v="48"/>
    <x v="1"/>
    <n v="2"/>
    <x v="3"/>
    <m/>
    <x v="0"/>
    <x v="1"/>
    <x v="0"/>
    <n v="13"/>
    <x v="0"/>
  </r>
  <r>
    <n v="5543"/>
    <x v="35"/>
    <x v="0"/>
    <x v="1"/>
    <x v="1201"/>
    <x v="0"/>
    <d v="1899-12-31T00:00:00"/>
    <d v="2013-06-24T00:00:00"/>
    <n v="49"/>
    <n v="7"/>
    <n v="21"/>
    <n v="21"/>
    <n v="11"/>
    <n v="60"/>
    <x v="0"/>
    <n v="32"/>
    <x v="3"/>
    <m/>
    <x v="0"/>
    <x v="0"/>
    <x v="0"/>
    <n v="13"/>
    <x v="0"/>
  </r>
  <r>
    <n v="1577"/>
    <x v="15"/>
    <x v="0"/>
    <x v="2"/>
    <x v="1202"/>
    <x v="0"/>
    <d v="1899-12-30T00:00:00"/>
    <d v="2014-02-19T00:00:00"/>
    <n v="14"/>
    <n v="79"/>
    <n v="175"/>
    <n v="175"/>
    <n v="4"/>
    <n v="80"/>
    <x v="0"/>
    <n v="179"/>
    <x v="3"/>
    <m/>
    <x v="0"/>
    <x v="3"/>
    <x v="0"/>
    <n v="12"/>
    <x v="0"/>
  </r>
  <r>
    <n v="10641"/>
    <x v="33"/>
    <x v="0"/>
    <x v="0"/>
    <x v="11"/>
    <x v="1"/>
    <d v="1899-12-31T00:00:00"/>
    <d v="2012-12-27T00:00:00"/>
    <n v="5"/>
    <n v="5"/>
    <n v="4"/>
    <n v="4"/>
    <n v="3"/>
    <n v="48"/>
    <x v="1"/>
    <n v="7"/>
    <x v="3"/>
    <m/>
    <x v="0"/>
    <x v="2"/>
    <x v="0"/>
    <n v="14"/>
    <x v="0"/>
  </r>
  <r>
    <n v="5336"/>
    <x v="6"/>
    <x v="2"/>
    <x v="1"/>
    <x v="1203"/>
    <x v="1"/>
    <d v="1899-12-30T00:00:00"/>
    <d v="2013-06-04T00:00:00"/>
    <n v="37"/>
    <n v="1"/>
    <n v="0"/>
    <n v="0"/>
    <n v="1"/>
    <n v="55"/>
    <x v="0"/>
    <n v="1"/>
    <x v="3"/>
    <m/>
    <x v="0"/>
    <x v="4"/>
    <x v="0"/>
    <n v="13"/>
    <x v="0"/>
  </r>
  <r>
    <n v="6024"/>
    <x v="44"/>
    <x v="0"/>
    <x v="1"/>
    <x v="884"/>
    <x v="0"/>
    <d v="1899-12-30T00:00:00"/>
    <d v="2013-03-04T00:00:00"/>
    <n v="62"/>
    <n v="24"/>
    <n v="45"/>
    <n v="45"/>
    <n v="5"/>
    <n v="73"/>
    <x v="0"/>
    <n v="50"/>
    <x v="3"/>
    <m/>
    <x v="0"/>
    <x v="3"/>
    <x v="0"/>
    <n v="13"/>
    <x v="0"/>
  </r>
  <r>
    <n v="1878"/>
    <x v="7"/>
    <x v="4"/>
    <x v="2"/>
    <x v="1204"/>
    <x v="0"/>
    <d v="1899-12-30T00:00:00"/>
    <d v="2014-02-18T00:00:00"/>
    <n v="83"/>
    <n v="6"/>
    <n v="3"/>
    <n v="3"/>
    <n v="3"/>
    <n v="41"/>
    <x v="1"/>
    <n v="6"/>
    <x v="3"/>
    <m/>
    <x v="0"/>
    <x v="2"/>
    <x v="0"/>
    <n v="12"/>
    <x v="0"/>
  </r>
  <r>
    <n v="3099"/>
    <x v="25"/>
    <x v="0"/>
    <x v="3"/>
    <x v="1205"/>
    <x v="1"/>
    <d v="1899-12-31T00:00:00"/>
    <d v="2013-02-25T00:00:00"/>
    <n v="48"/>
    <n v="5"/>
    <n v="5"/>
    <n v="5"/>
    <n v="4"/>
    <n v="56"/>
    <x v="0"/>
    <n v="9"/>
    <x v="3"/>
    <m/>
    <x v="0"/>
    <x v="1"/>
    <x v="0"/>
    <n v="13"/>
    <x v="0"/>
  </r>
  <r>
    <n v="6055"/>
    <x v="19"/>
    <x v="0"/>
    <x v="2"/>
    <x v="1206"/>
    <x v="0"/>
    <d v="1899-12-30T00:00:00"/>
    <d v="2012-11-01T00:00:00"/>
    <n v="94"/>
    <n v="72"/>
    <n v="145"/>
    <n v="145"/>
    <n v="8"/>
    <n v="47"/>
    <x v="1"/>
    <n v="153"/>
    <x v="3"/>
    <m/>
    <x v="0"/>
    <x v="0"/>
    <x v="0"/>
    <n v="14"/>
    <x v="0"/>
  </r>
  <r>
    <n v="5841"/>
    <x v="35"/>
    <x v="0"/>
    <x v="1"/>
    <x v="1207"/>
    <x v="0"/>
    <d v="1899-12-31T00:00:00"/>
    <d v="2013-06-28T00:00:00"/>
    <n v="61"/>
    <n v="7"/>
    <n v="0"/>
    <n v="0"/>
    <n v="8"/>
    <n v="60"/>
    <x v="0"/>
    <n v="8"/>
    <x v="3"/>
    <m/>
    <x v="0"/>
    <x v="0"/>
    <x v="0"/>
    <n v="13"/>
    <x v="0"/>
  </r>
  <r>
    <n v="3972"/>
    <x v="11"/>
    <x v="0"/>
    <x v="1"/>
    <x v="1208"/>
    <x v="1"/>
    <d v="1899-12-31T00:00:00"/>
    <d v="2013-04-03T00:00:00"/>
    <n v="70"/>
    <n v="6"/>
    <n v="6"/>
    <n v="6"/>
    <n v="5"/>
    <n v="50"/>
    <x v="1"/>
    <n v="11"/>
    <x v="3"/>
    <m/>
    <x v="0"/>
    <x v="0"/>
    <x v="0"/>
    <n v="13"/>
    <x v="0"/>
  </r>
  <r>
    <n v="4394"/>
    <x v="2"/>
    <x v="1"/>
    <x v="2"/>
    <x v="1209"/>
    <x v="0"/>
    <d v="1899-12-30T00:00:00"/>
    <d v="2014-05-23T00:00:00"/>
    <n v="43"/>
    <n v="29"/>
    <n v="29"/>
    <n v="29"/>
    <n v="12"/>
    <n v="61"/>
    <x v="0"/>
    <n v="41"/>
    <x v="3"/>
    <m/>
    <x v="0"/>
    <x v="3"/>
    <x v="0"/>
    <n v="12"/>
    <x v="0"/>
  </r>
  <r>
    <n v="5758"/>
    <x v="18"/>
    <x v="0"/>
    <x v="2"/>
    <x v="1210"/>
    <x v="0"/>
    <d v="1899-12-30T00:00:00"/>
    <d v="2014-01-14T00:00:00"/>
    <n v="23"/>
    <n v="0"/>
    <n v="0"/>
    <n v="0"/>
    <n v="13"/>
    <n v="44"/>
    <x v="1"/>
    <n v="13"/>
    <x v="3"/>
    <m/>
    <x v="0"/>
    <x v="0"/>
    <x v="0"/>
    <n v="12"/>
    <x v="0"/>
  </r>
  <r>
    <n v="6658"/>
    <x v="39"/>
    <x v="0"/>
    <x v="1"/>
    <x v="1211"/>
    <x v="0"/>
    <d v="1899-12-31T00:00:00"/>
    <d v="2013-07-22T00:00:00"/>
    <n v="37"/>
    <n v="51"/>
    <n v="10"/>
    <n v="10"/>
    <n v="12"/>
    <n v="54"/>
    <x v="0"/>
    <n v="22"/>
    <x v="3"/>
    <m/>
    <x v="0"/>
    <x v="0"/>
    <x v="0"/>
    <n v="13"/>
    <x v="0"/>
  </r>
  <r>
    <n v="4603"/>
    <x v="40"/>
    <x v="1"/>
    <x v="2"/>
    <x v="1212"/>
    <x v="0"/>
    <d v="1899-12-31T00:00:00"/>
    <d v="2014-01-31T00:00:00"/>
    <n v="50"/>
    <n v="32"/>
    <n v="58"/>
    <n v="58"/>
    <n v="10"/>
    <n v="66"/>
    <x v="0"/>
    <n v="68"/>
    <x v="3"/>
    <m/>
    <x v="0"/>
    <x v="0"/>
    <x v="0"/>
    <n v="12"/>
    <x v="0"/>
  </r>
  <r>
    <n v="8427"/>
    <x v="46"/>
    <x v="2"/>
    <x v="0"/>
    <x v="1213"/>
    <x v="0"/>
    <d v="1899-12-30T00:00:00"/>
    <d v="2012-11-23T00:00:00"/>
    <n v="78"/>
    <n v="14"/>
    <n v="0"/>
    <n v="0"/>
    <n v="10"/>
    <n v="70"/>
    <x v="0"/>
    <n v="10"/>
    <x v="3"/>
    <m/>
    <x v="0"/>
    <x v="0"/>
    <x v="0"/>
    <n v="14"/>
    <x v="0"/>
  </r>
  <r>
    <n v="10260"/>
    <x v="2"/>
    <x v="2"/>
    <x v="1"/>
    <x v="1214"/>
    <x v="0"/>
    <d v="1899-12-31T00:00:00"/>
    <d v="2013-08-26T00:00:00"/>
    <n v="74"/>
    <n v="5"/>
    <n v="5"/>
    <n v="5"/>
    <n v="5"/>
    <n v="61"/>
    <x v="0"/>
    <n v="10"/>
    <x v="3"/>
    <m/>
    <x v="0"/>
    <x v="1"/>
    <x v="0"/>
    <n v="13"/>
    <x v="0"/>
  </r>
  <r>
    <n v="7143"/>
    <x v="34"/>
    <x v="4"/>
    <x v="1"/>
    <x v="1215"/>
    <x v="0"/>
    <d v="1899-12-31T00:00:00"/>
    <d v="2013-11-06T00:00:00"/>
    <n v="14"/>
    <n v="162"/>
    <n v="162"/>
    <n v="162"/>
    <n v="10"/>
    <n v="71"/>
    <x v="0"/>
    <n v="172"/>
    <x v="3"/>
    <m/>
    <x v="0"/>
    <x v="0"/>
    <x v="0"/>
    <n v="13"/>
    <x v="0"/>
  </r>
  <r>
    <n v="8789"/>
    <x v="23"/>
    <x v="4"/>
    <x v="2"/>
    <x v="1216"/>
    <x v="1"/>
    <d v="1899-12-30T00:00:00"/>
    <d v="2014-01-11T00:00:00"/>
    <n v="77"/>
    <n v="40"/>
    <n v="40"/>
    <n v="40"/>
    <n v="7"/>
    <n v="37"/>
    <x v="1"/>
    <n v="47"/>
    <x v="3"/>
    <m/>
    <x v="0"/>
    <x v="0"/>
    <x v="0"/>
    <n v="12"/>
    <x v="0"/>
  </r>
  <r>
    <n v="6197"/>
    <x v="43"/>
    <x v="1"/>
    <x v="0"/>
    <x v="1217"/>
    <x v="1"/>
    <d v="1899-12-31T00:00:00"/>
    <d v="2013-04-20T00:00:00"/>
    <n v="39"/>
    <n v="0"/>
    <n v="0"/>
    <n v="0"/>
    <n v="3"/>
    <n v="64"/>
    <x v="0"/>
    <n v="3"/>
    <x v="3"/>
    <m/>
    <x v="0"/>
    <x v="2"/>
    <x v="0"/>
    <n v="13"/>
    <x v="0"/>
  </r>
  <r>
    <n v="4554"/>
    <x v="2"/>
    <x v="0"/>
    <x v="1"/>
    <x v="1218"/>
    <x v="0"/>
    <d v="1899-12-31T00:00:00"/>
    <d v="2013-10-01T00:00:00"/>
    <n v="89"/>
    <n v="45"/>
    <n v="10"/>
    <n v="10"/>
    <n v="8"/>
    <n v="61"/>
    <x v="0"/>
    <n v="18"/>
    <x v="3"/>
    <m/>
    <x v="0"/>
    <x v="1"/>
    <x v="0"/>
    <n v="13"/>
    <x v="0"/>
  </r>
  <r>
    <n v="4937"/>
    <x v="26"/>
    <x v="4"/>
    <x v="2"/>
    <x v="1219"/>
    <x v="1"/>
    <d v="1899-12-31T00:00:00"/>
    <d v="2014-06-10T00:00:00"/>
    <n v="62"/>
    <n v="2"/>
    <n v="2"/>
    <n v="2"/>
    <n v="3"/>
    <n v="53"/>
    <x v="0"/>
    <n v="5"/>
    <x v="3"/>
    <m/>
    <x v="0"/>
    <x v="1"/>
    <x v="0"/>
    <n v="12"/>
    <x v="0"/>
  </r>
  <r>
    <n v="1920"/>
    <x v="39"/>
    <x v="0"/>
    <x v="2"/>
    <x v="296"/>
    <x v="1"/>
    <d v="1899-12-31T00:00:00"/>
    <d v="2013-07-29T00:00:00"/>
    <n v="59"/>
    <n v="4"/>
    <n v="0"/>
    <n v="0"/>
    <n v="3"/>
    <n v="54"/>
    <x v="0"/>
    <n v="3"/>
    <x v="3"/>
    <m/>
    <x v="0"/>
    <x v="1"/>
    <x v="0"/>
    <n v="13"/>
    <x v="0"/>
  </r>
  <r>
    <n v="8749"/>
    <x v="3"/>
    <x v="0"/>
    <x v="1"/>
    <x v="1220"/>
    <x v="1"/>
    <d v="1899-12-30T00:00:00"/>
    <d v="2014-02-01T00:00:00"/>
    <n v="68"/>
    <n v="2"/>
    <n v="6"/>
    <n v="6"/>
    <n v="2"/>
    <n v="42"/>
    <x v="1"/>
    <n v="8"/>
    <x v="3"/>
    <m/>
    <x v="0"/>
    <x v="1"/>
    <x v="0"/>
    <n v="12"/>
    <x v="0"/>
  </r>
  <r>
    <n v="1650"/>
    <x v="40"/>
    <x v="2"/>
    <x v="2"/>
    <x v="1221"/>
    <x v="0"/>
    <d v="1899-12-30T00:00:00"/>
    <d v="2013-04-22T00:00:00"/>
    <n v="13"/>
    <n v="86"/>
    <n v="69"/>
    <n v="69"/>
    <n v="12"/>
    <n v="66"/>
    <x v="0"/>
    <n v="81"/>
    <x v="3"/>
    <m/>
    <x v="0"/>
    <x v="3"/>
    <x v="0"/>
    <n v="13"/>
    <x v="0"/>
  </r>
  <r>
    <n v="10377"/>
    <x v="38"/>
    <x v="2"/>
    <x v="1"/>
    <x v="1222"/>
    <x v="0"/>
    <d v="1899-12-31T00:00:00"/>
    <d v="2013-06-06T00:00:00"/>
    <n v="37"/>
    <n v="6"/>
    <n v="12"/>
    <n v="12"/>
    <n v="5"/>
    <n v="68"/>
    <x v="0"/>
    <n v="17"/>
    <x v="3"/>
    <m/>
    <x v="0"/>
    <x v="1"/>
    <x v="0"/>
    <n v="13"/>
    <x v="0"/>
  </r>
  <r>
    <n v="9206"/>
    <x v="30"/>
    <x v="0"/>
    <x v="1"/>
    <x v="1223"/>
    <x v="0"/>
    <d v="1899-12-31T00:00:00"/>
    <d v="2014-01-07T00:00:00"/>
    <n v="36"/>
    <n v="48"/>
    <n v="105"/>
    <n v="105"/>
    <n v="12"/>
    <n v="58"/>
    <x v="0"/>
    <n v="117"/>
    <x v="3"/>
    <m/>
    <x v="0"/>
    <x v="3"/>
    <x v="0"/>
    <n v="12"/>
    <x v="0"/>
  </r>
  <r>
    <n v="10971"/>
    <x v="32"/>
    <x v="0"/>
    <x v="0"/>
    <x v="1224"/>
    <x v="2"/>
    <d v="1899-12-30T00:00:00"/>
    <d v="2012-09-03T00:00:00"/>
    <n v="28"/>
    <n v="8"/>
    <n v="2"/>
    <n v="2"/>
    <n v="3"/>
    <n v="49"/>
    <x v="1"/>
    <n v="5"/>
    <x v="3"/>
    <m/>
    <x v="0"/>
    <x v="1"/>
    <x v="0"/>
    <n v="14"/>
    <x v="0"/>
  </r>
  <r>
    <n v="6398"/>
    <x v="8"/>
    <x v="3"/>
    <x v="2"/>
    <x v="1225"/>
    <x v="1"/>
    <d v="1899-12-30T00:00:00"/>
    <d v="2014-03-29T00:00:00"/>
    <n v="2"/>
    <n v="10"/>
    <n v="0"/>
    <n v="0"/>
    <n v="3"/>
    <n v="52"/>
    <x v="0"/>
    <n v="3"/>
    <x v="3"/>
    <m/>
    <x v="0"/>
    <x v="2"/>
    <x v="0"/>
    <n v="12"/>
    <x v="0"/>
  </r>
  <r>
    <n v="9212"/>
    <x v="43"/>
    <x v="2"/>
    <x v="2"/>
    <x v="1226"/>
    <x v="0"/>
    <d v="1899-12-31T00:00:00"/>
    <d v="2013-02-14T00:00:00"/>
    <n v="17"/>
    <n v="0"/>
    <n v="14"/>
    <n v="14"/>
    <n v="13"/>
    <n v="64"/>
    <x v="0"/>
    <n v="27"/>
    <x v="3"/>
    <m/>
    <x v="0"/>
    <x v="0"/>
    <x v="0"/>
    <n v="13"/>
    <x v="0"/>
  </r>
  <r>
    <n v="7937"/>
    <x v="18"/>
    <x v="0"/>
    <x v="2"/>
    <x v="1227"/>
    <x v="0"/>
    <d v="1899-12-30T00:00:00"/>
    <d v="2014-04-18T00:00:00"/>
    <n v="86"/>
    <n v="7"/>
    <n v="3"/>
    <n v="3"/>
    <n v="3"/>
    <n v="44"/>
    <x v="1"/>
    <n v="6"/>
    <x v="3"/>
    <m/>
    <x v="0"/>
    <x v="2"/>
    <x v="0"/>
    <n v="12"/>
    <x v="0"/>
  </r>
  <r>
    <n v="839"/>
    <x v="28"/>
    <x v="1"/>
    <x v="2"/>
    <x v="1228"/>
    <x v="1"/>
    <d v="1899-12-30T00:00:00"/>
    <d v="2013-09-25T00:00:00"/>
    <n v="54"/>
    <n v="4"/>
    <n v="1"/>
    <n v="1"/>
    <n v="4"/>
    <n v="51"/>
    <x v="0"/>
    <n v="5"/>
    <x v="3"/>
    <m/>
    <x v="0"/>
    <x v="1"/>
    <x v="0"/>
    <n v="13"/>
    <x v="0"/>
  </r>
  <r>
    <n v="4246"/>
    <x v="18"/>
    <x v="2"/>
    <x v="0"/>
    <x v="1229"/>
    <x v="0"/>
    <d v="1899-12-30T00:00:00"/>
    <d v="2013-12-12T00:00:00"/>
    <n v="2"/>
    <n v="11"/>
    <n v="3"/>
    <n v="3"/>
    <n v="1"/>
    <n v="44"/>
    <x v="1"/>
    <n v="4"/>
    <x v="3"/>
    <m/>
    <x v="0"/>
    <x v="2"/>
    <x v="0"/>
    <n v="13"/>
    <x v="0"/>
  </r>
  <r>
    <n v="158"/>
    <x v="41"/>
    <x v="1"/>
    <x v="1"/>
    <x v="1230"/>
    <x v="0"/>
    <d v="1899-12-30T00:00:00"/>
    <d v="2013-11-17T00:00:00"/>
    <n v="3"/>
    <n v="53"/>
    <n v="75"/>
    <n v="75"/>
    <n v="5"/>
    <n v="81"/>
    <x v="0"/>
    <n v="80"/>
    <x v="3"/>
    <m/>
    <x v="0"/>
    <x v="0"/>
    <x v="0"/>
    <n v="13"/>
    <x v="0"/>
  </r>
  <r>
    <n v="4832"/>
    <x v="19"/>
    <x v="0"/>
    <x v="2"/>
    <x v="1231"/>
    <x v="1"/>
    <d v="1899-12-30T00:00:00"/>
    <d v="2014-03-07T00:00:00"/>
    <n v="84"/>
    <n v="5"/>
    <n v="24"/>
    <n v="24"/>
    <n v="2"/>
    <n v="47"/>
    <x v="1"/>
    <n v="26"/>
    <x v="3"/>
    <m/>
    <x v="0"/>
    <x v="2"/>
    <x v="0"/>
    <n v="12"/>
    <x v="0"/>
  </r>
  <r>
    <n v="5621"/>
    <x v="21"/>
    <x v="0"/>
    <x v="2"/>
    <x v="1232"/>
    <x v="1"/>
    <d v="1899-12-31T00:00:00"/>
    <d v="2012-12-12T00:00:00"/>
    <n v="8"/>
    <n v="57"/>
    <n v="15"/>
    <n v="15"/>
    <n v="5"/>
    <n v="57"/>
    <x v="0"/>
    <n v="20"/>
    <x v="3"/>
    <m/>
    <x v="0"/>
    <x v="1"/>
    <x v="0"/>
    <n v="14"/>
    <x v="0"/>
  </r>
  <r>
    <n v="1945"/>
    <x v="43"/>
    <x v="0"/>
    <x v="2"/>
    <x v="1233"/>
    <x v="0"/>
    <d v="1899-12-31T00:00:00"/>
    <d v="2013-09-18T00:00:00"/>
    <n v="4"/>
    <n v="36"/>
    <n v="96"/>
    <n v="96"/>
    <n v="7"/>
    <n v="64"/>
    <x v="0"/>
    <n v="103"/>
    <x v="3"/>
    <m/>
    <x v="0"/>
    <x v="0"/>
    <x v="0"/>
    <n v="13"/>
    <x v="0"/>
  </r>
  <r>
    <n v="5147"/>
    <x v="37"/>
    <x v="0"/>
    <x v="0"/>
    <x v="1234"/>
    <x v="0"/>
    <d v="1899-12-30T00:00:00"/>
    <d v="2013-07-29T00:00:00"/>
    <n v="57"/>
    <n v="70"/>
    <n v="187"/>
    <n v="187"/>
    <n v="13"/>
    <n v="78"/>
    <x v="0"/>
    <n v="200"/>
    <x v="3"/>
    <m/>
    <x v="0"/>
    <x v="3"/>
    <x v="0"/>
    <n v="13"/>
    <x v="0"/>
  </r>
  <r>
    <n v="2535"/>
    <x v="33"/>
    <x v="2"/>
    <x v="2"/>
    <x v="1235"/>
    <x v="1"/>
    <d v="1899-12-30T00:00:00"/>
    <d v="2012-08-18T00:00:00"/>
    <n v="24"/>
    <n v="0"/>
    <n v="126"/>
    <n v="126"/>
    <n v="8"/>
    <n v="48"/>
    <x v="1"/>
    <n v="134"/>
    <x v="3"/>
    <m/>
    <x v="0"/>
    <x v="3"/>
    <x v="0"/>
    <n v="14"/>
    <x v="0"/>
  </r>
  <r>
    <n v="11039"/>
    <x v="28"/>
    <x v="0"/>
    <x v="2"/>
    <x v="1236"/>
    <x v="0"/>
    <d v="1899-12-31T00:00:00"/>
    <d v="2013-09-17T00:00:00"/>
    <n v="51"/>
    <n v="33"/>
    <n v="30"/>
    <n v="30"/>
    <n v="4"/>
    <n v="51"/>
    <x v="0"/>
    <n v="34"/>
    <x v="3"/>
    <m/>
    <x v="0"/>
    <x v="0"/>
    <x v="0"/>
    <n v="13"/>
    <x v="0"/>
  </r>
  <r>
    <n v="9495"/>
    <x v="18"/>
    <x v="0"/>
    <x v="1"/>
    <x v="1237"/>
    <x v="0"/>
    <d v="1899-12-30T00:00:00"/>
    <d v="2013-05-08T00:00:00"/>
    <n v="29"/>
    <n v="108"/>
    <n v="97"/>
    <n v="97"/>
    <n v="6"/>
    <n v="44"/>
    <x v="1"/>
    <n v="103"/>
    <x v="3"/>
    <m/>
    <x v="0"/>
    <x v="0"/>
    <x v="0"/>
    <n v="13"/>
    <x v="0"/>
  </r>
  <r>
    <n v="9635"/>
    <x v="10"/>
    <x v="2"/>
    <x v="2"/>
    <x v="1238"/>
    <x v="0"/>
    <d v="1899-12-30T00:00:00"/>
    <d v="2014-04-20T00:00:00"/>
    <n v="13"/>
    <n v="2"/>
    <n v="3"/>
    <n v="3"/>
    <n v="3"/>
    <n v="43"/>
    <x v="1"/>
    <n v="6"/>
    <x v="3"/>
    <m/>
    <x v="0"/>
    <x v="1"/>
    <x v="0"/>
    <n v="12"/>
    <x v="0"/>
  </r>
  <r>
    <n v="2173"/>
    <x v="13"/>
    <x v="0"/>
    <x v="4"/>
    <x v="791"/>
    <x v="0"/>
    <d v="1899-12-31T00:00:00"/>
    <d v="2013-10-16T00:00:00"/>
    <n v="23"/>
    <n v="6"/>
    <n v="3"/>
    <n v="3"/>
    <n v="3"/>
    <n v="74"/>
    <x v="0"/>
    <n v="6"/>
    <x v="3"/>
    <m/>
    <x v="0"/>
    <x v="1"/>
    <x v="0"/>
    <n v="13"/>
    <x v="0"/>
  </r>
  <r>
    <n v="942"/>
    <x v="18"/>
    <x v="0"/>
    <x v="0"/>
    <x v="1239"/>
    <x v="1"/>
    <d v="1899-12-30T00:00:00"/>
    <d v="2012-08-08T00:00:00"/>
    <n v="36"/>
    <n v="13"/>
    <n v="13"/>
    <n v="13"/>
    <n v="3"/>
    <n v="44"/>
    <x v="1"/>
    <n v="16"/>
    <x v="3"/>
    <m/>
    <x v="0"/>
    <x v="1"/>
    <x v="0"/>
    <n v="14"/>
    <x v="0"/>
  </r>
  <r>
    <n v="9386"/>
    <x v="43"/>
    <x v="0"/>
    <x v="1"/>
    <x v="1240"/>
    <x v="0"/>
    <d v="1899-12-31T00:00:00"/>
    <d v="2014-05-29T00:00:00"/>
    <n v="88"/>
    <n v="0"/>
    <n v="6"/>
    <n v="6"/>
    <n v="6"/>
    <n v="64"/>
    <x v="0"/>
    <n v="12"/>
    <x v="3"/>
    <m/>
    <x v="0"/>
    <x v="0"/>
    <x v="0"/>
    <n v="12"/>
    <x v="0"/>
  </r>
  <r>
    <n v="5510"/>
    <x v="32"/>
    <x v="2"/>
    <x v="2"/>
    <x v="1241"/>
    <x v="0"/>
    <d v="1899-12-31T00:00:00"/>
    <d v="2012-11-21T00:00:00"/>
    <n v="2"/>
    <n v="6"/>
    <n v="10"/>
    <n v="10"/>
    <n v="6"/>
    <n v="49"/>
    <x v="1"/>
    <n v="16"/>
    <x v="3"/>
    <m/>
    <x v="0"/>
    <x v="1"/>
    <x v="0"/>
    <n v="14"/>
    <x v="0"/>
  </r>
  <r>
    <n v="873"/>
    <x v="17"/>
    <x v="2"/>
    <x v="2"/>
    <x v="993"/>
    <x v="1"/>
    <d v="1899-12-31T00:00:00"/>
    <d v="2012-10-01T00:00:00"/>
    <n v="3"/>
    <n v="0"/>
    <n v="0"/>
    <n v="0"/>
    <n v="10"/>
    <n v="77"/>
    <x v="0"/>
    <n v="10"/>
    <x v="3"/>
    <m/>
    <x v="0"/>
    <x v="0"/>
    <x v="0"/>
    <n v="14"/>
    <x v="0"/>
  </r>
  <r>
    <n v="2253"/>
    <x v="50"/>
    <x v="0"/>
    <x v="2"/>
    <x v="1242"/>
    <x v="0"/>
    <d v="1899-12-30T00:00:00"/>
    <d v="2013-02-16T00:00:00"/>
    <n v="15"/>
    <n v="0"/>
    <n v="4"/>
    <n v="4"/>
    <n v="4"/>
    <n v="36"/>
    <x v="1"/>
    <n v="8"/>
    <x v="3"/>
    <m/>
    <x v="0"/>
    <x v="2"/>
    <x v="0"/>
    <n v="13"/>
    <x v="0"/>
  </r>
  <r>
    <n v="5181"/>
    <x v="18"/>
    <x v="3"/>
    <x v="0"/>
    <x v="1243"/>
    <x v="1"/>
    <d v="1899-12-30T00:00:00"/>
    <d v="2013-03-20T00:00:00"/>
    <n v="58"/>
    <n v="4"/>
    <n v="11"/>
    <n v="11"/>
    <n v="2"/>
    <n v="44"/>
    <x v="1"/>
    <n v="13"/>
    <x v="3"/>
    <m/>
    <x v="0"/>
    <x v="2"/>
    <x v="0"/>
    <n v="13"/>
    <x v="0"/>
  </r>
  <r>
    <n v="979"/>
    <x v="28"/>
    <x v="0"/>
    <x v="0"/>
    <x v="669"/>
    <x v="1"/>
    <d v="1899-12-30T00:00:00"/>
    <d v="2013-02-20T00:00:00"/>
    <n v="11"/>
    <n v="10"/>
    <n v="14"/>
    <n v="14"/>
    <n v="3"/>
    <n v="51"/>
    <x v="0"/>
    <n v="17"/>
    <x v="3"/>
    <m/>
    <x v="0"/>
    <x v="1"/>
    <x v="0"/>
    <n v="13"/>
    <x v="0"/>
  </r>
  <r>
    <n v="10390"/>
    <x v="12"/>
    <x v="4"/>
    <x v="2"/>
    <x v="1244"/>
    <x v="0"/>
    <d v="1899-12-31T00:00:00"/>
    <d v="2013-02-10T00:00:00"/>
    <n v="27"/>
    <n v="7"/>
    <n v="4"/>
    <n v="4"/>
    <n v="3"/>
    <n v="67"/>
    <x v="0"/>
    <n v="7"/>
    <x v="3"/>
    <m/>
    <x v="0"/>
    <x v="2"/>
    <x v="0"/>
    <n v="13"/>
    <x v="0"/>
  </r>
  <r>
    <n v="4698"/>
    <x v="10"/>
    <x v="1"/>
    <x v="2"/>
    <x v="88"/>
    <x v="0"/>
    <d v="1899-12-30T00:00:00"/>
    <d v="2013-06-20T00:00:00"/>
    <n v="32"/>
    <n v="46"/>
    <n v="61"/>
    <n v="61"/>
    <n v="7"/>
    <n v="43"/>
    <x v="1"/>
    <n v="68"/>
    <x v="3"/>
    <m/>
    <x v="0"/>
    <x v="0"/>
    <x v="0"/>
    <n v="13"/>
    <x v="0"/>
  </r>
  <r>
    <n v="7793"/>
    <x v="11"/>
    <x v="0"/>
    <x v="1"/>
    <x v="1245"/>
    <x v="0"/>
    <d v="1899-12-31T00:00:00"/>
    <d v="2013-08-31T00:00:00"/>
    <n v="12"/>
    <n v="7"/>
    <n v="30"/>
    <n v="30"/>
    <n v="7"/>
    <n v="50"/>
    <x v="1"/>
    <n v="37"/>
    <x v="3"/>
    <m/>
    <x v="0"/>
    <x v="0"/>
    <x v="0"/>
    <n v="13"/>
    <x v="0"/>
  </r>
  <r>
    <n v="1745"/>
    <x v="43"/>
    <x v="1"/>
    <x v="3"/>
    <x v="1059"/>
    <x v="0"/>
    <d v="1899-12-30T00:00:00"/>
    <d v="2013-05-03T00:00:00"/>
    <n v="88"/>
    <n v="76"/>
    <n v="0"/>
    <n v="0"/>
    <n v="9"/>
    <n v="64"/>
    <x v="0"/>
    <n v="9"/>
    <x v="3"/>
    <m/>
    <x v="0"/>
    <x v="3"/>
    <x v="0"/>
    <n v="13"/>
    <x v="0"/>
  </r>
  <r>
    <n v="10590"/>
    <x v="46"/>
    <x v="1"/>
    <x v="1"/>
    <x v="1246"/>
    <x v="0"/>
    <d v="1899-12-30T00:00:00"/>
    <d v="2013-03-30T00:00:00"/>
    <n v="91"/>
    <n v="73"/>
    <n v="29"/>
    <n v="29"/>
    <n v="10"/>
    <n v="70"/>
    <x v="0"/>
    <n v="39"/>
    <x v="3"/>
    <m/>
    <x v="0"/>
    <x v="3"/>
    <x v="0"/>
    <n v="13"/>
    <x v="0"/>
  </r>
  <r>
    <n v="5080"/>
    <x v="53"/>
    <x v="0"/>
    <x v="0"/>
    <x v="1247"/>
    <x v="0"/>
    <d v="1899-12-30T00:00:00"/>
    <d v="2013-10-21T00:00:00"/>
    <n v="12"/>
    <n v="0"/>
    <n v="64"/>
    <n v="64"/>
    <n v="4"/>
    <n v="33"/>
    <x v="1"/>
    <n v="68"/>
    <x v="3"/>
    <m/>
    <x v="0"/>
    <x v="0"/>
    <x v="0"/>
    <n v="13"/>
    <x v="0"/>
  </r>
  <r>
    <n v="8369"/>
    <x v="14"/>
    <x v="0"/>
    <x v="1"/>
    <x v="1248"/>
    <x v="1"/>
    <d v="1899-12-30T00:00:00"/>
    <d v="2012-11-08T00:00:00"/>
    <n v="21"/>
    <n v="2"/>
    <n v="3"/>
    <n v="3"/>
    <n v="2"/>
    <n v="39"/>
    <x v="1"/>
    <n v="5"/>
    <x v="3"/>
    <m/>
    <x v="0"/>
    <x v="2"/>
    <x v="0"/>
    <n v="14"/>
    <x v="0"/>
  </r>
  <r>
    <n v="5232"/>
    <x v="2"/>
    <x v="0"/>
    <x v="2"/>
    <x v="1249"/>
    <x v="0"/>
    <d v="1899-12-31T00:00:00"/>
    <d v="2014-01-27T00:00:00"/>
    <n v="23"/>
    <n v="12"/>
    <n v="15"/>
    <n v="15"/>
    <n v="5"/>
    <n v="61"/>
    <x v="0"/>
    <n v="20"/>
    <x v="3"/>
    <m/>
    <x v="0"/>
    <x v="0"/>
    <x v="0"/>
    <n v="12"/>
    <x v="0"/>
  </r>
  <r>
    <n v="2407"/>
    <x v="18"/>
    <x v="0"/>
    <x v="2"/>
    <x v="1250"/>
    <x v="0"/>
    <d v="1899-12-30T00:00:00"/>
    <d v="2012-11-09T00:00:00"/>
    <n v="10"/>
    <n v="25"/>
    <n v="29"/>
    <n v="29"/>
    <n v="7"/>
    <n v="44"/>
    <x v="1"/>
    <n v="36"/>
    <x v="3"/>
    <m/>
    <x v="0"/>
    <x v="0"/>
    <x v="0"/>
    <n v="14"/>
    <x v="0"/>
  </r>
  <r>
    <n v="3834"/>
    <x v="43"/>
    <x v="0"/>
    <x v="0"/>
    <x v="1251"/>
    <x v="0"/>
    <d v="1899-12-31T00:00:00"/>
    <d v="2013-03-17T00:00:00"/>
    <n v="35"/>
    <n v="161"/>
    <n v="30"/>
    <n v="30"/>
    <n v="11"/>
    <n v="64"/>
    <x v="0"/>
    <n v="41"/>
    <x v="3"/>
    <m/>
    <x v="0"/>
    <x v="0"/>
    <x v="0"/>
    <n v="13"/>
    <x v="0"/>
  </r>
  <r>
    <n v="7912"/>
    <x v="33"/>
    <x v="0"/>
    <x v="2"/>
    <x v="1252"/>
    <x v="1"/>
    <d v="1899-12-30T00:00:00"/>
    <d v="2013-04-22T00:00:00"/>
    <n v="69"/>
    <n v="15"/>
    <n v="20"/>
    <n v="20"/>
    <n v="2"/>
    <n v="48"/>
    <x v="1"/>
    <n v="22"/>
    <x v="3"/>
    <m/>
    <x v="0"/>
    <x v="1"/>
    <x v="0"/>
    <n v="13"/>
    <x v="0"/>
  </r>
  <r>
    <n v="7712"/>
    <x v="15"/>
    <x v="1"/>
    <x v="0"/>
    <x v="1253"/>
    <x v="0"/>
    <d v="1899-12-30T00:00:00"/>
    <d v="2014-04-28T00:00:00"/>
    <n v="68"/>
    <n v="17"/>
    <n v="70"/>
    <n v="70"/>
    <n v="10"/>
    <n v="80"/>
    <x v="0"/>
    <n v="80"/>
    <x v="3"/>
    <m/>
    <x v="0"/>
    <x v="0"/>
    <x v="0"/>
    <n v="12"/>
    <x v="0"/>
  </r>
  <r>
    <n v="1065"/>
    <x v="24"/>
    <x v="0"/>
    <x v="0"/>
    <x v="1254"/>
    <x v="0"/>
    <d v="1899-12-30T00:00:00"/>
    <d v="2013-12-29T00:00:00"/>
    <n v="85"/>
    <n v="129"/>
    <n v="37"/>
    <n v="37"/>
    <n v="5"/>
    <n v="63"/>
    <x v="0"/>
    <n v="42"/>
    <x v="3"/>
    <m/>
    <x v="0"/>
    <x v="3"/>
    <x v="0"/>
    <n v="13"/>
    <x v="0"/>
  </r>
  <r>
    <n v="7275"/>
    <x v="6"/>
    <x v="2"/>
    <x v="0"/>
    <x v="1255"/>
    <x v="1"/>
    <d v="1899-12-31T00:00:00"/>
    <d v="2013-10-04T00:00:00"/>
    <n v="34"/>
    <n v="1"/>
    <n v="4"/>
    <n v="4"/>
    <n v="4"/>
    <n v="55"/>
    <x v="0"/>
    <n v="8"/>
    <x v="3"/>
    <m/>
    <x v="0"/>
    <x v="1"/>
    <x v="0"/>
    <n v="13"/>
    <x v="0"/>
  </r>
  <r>
    <n v="1343"/>
    <x v="30"/>
    <x v="0"/>
    <x v="1"/>
    <x v="1256"/>
    <x v="1"/>
    <d v="1899-12-31T00:00:00"/>
    <d v="2012-09-26T00:00:00"/>
    <n v="55"/>
    <n v="24"/>
    <n v="0"/>
    <n v="0"/>
    <n v="6"/>
    <n v="58"/>
    <x v="0"/>
    <n v="6"/>
    <x v="3"/>
    <m/>
    <x v="0"/>
    <x v="0"/>
    <x v="0"/>
    <n v="14"/>
    <x v="0"/>
  </r>
  <r>
    <n v="1384"/>
    <x v="47"/>
    <x v="3"/>
    <x v="2"/>
    <x v="1257"/>
    <x v="1"/>
    <d v="1899-12-30T00:00:00"/>
    <d v="2013-11-23T00:00:00"/>
    <n v="10"/>
    <n v="4"/>
    <n v="8"/>
    <n v="8"/>
    <n v="2"/>
    <n v="34"/>
    <x v="1"/>
    <n v="10"/>
    <x v="3"/>
    <m/>
    <x v="0"/>
    <x v="2"/>
    <x v="0"/>
    <n v="13"/>
    <x v="0"/>
  </r>
  <r>
    <n v="9967"/>
    <x v="8"/>
    <x v="0"/>
    <x v="3"/>
    <x v="1258"/>
    <x v="1"/>
    <d v="1899-12-31T00:00:00"/>
    <d v="2013-05-30T00:00:00"/>
    <n v="30"/>
    <n v="15"/>
    <n v="11"/>
    <n v="11"/>
    <n v="7"/>
    <n v="52"/>
    <x v="0"/>
    <n v="18"/>
    <x v="3"/>
    <m/>
    <x v="0"/>
    <x v="0"/>
    <x v="0"/>
    <n v="13"/>
    <x v="0"/>
  </r>
  <r>
    <n v="6181"/>
    <x v="9"/>
    <x v="4"/>
    <x v="1"/>
    <x v="1259"/>
    <x v="0"/>
    <d v="1899-12-30T00:00:00"/>
    <d v="2012-07-31T00:00:00"/>
    <n v="36"/>
    <n v="21"/>
    <n v="108"/>
    <n v="108"/>
    <n v="11"/>
    <n v="76"/>
    <x v="0"/>
    <n v="119"/>
    <x v="3"/>
    <m/>
    <x v="0"/>
    <x v="0"/>
    <x v="0"/>
    <n v="14"/>
    <x v="0"/>
  </r>
  <r>
    <n v="10507"/>
    <x v="32"/>
    <x v="4"/>
    <x v="3"/>
    <x v="1260"/>
    <x v="0"/>
    <d v="1899-12-31T00:00:00"/>
    <d v="2013-07-25T00:00:00"/>
    <n v="14"/>
    <n v="7"/>
    <n v="7"/>
    <n v="7"/>
    <n v="7"/>
    <n v="49"/>
    <x v="1"/>
    <n v="14"/>
    <x v="3"/>
    <m/>
    <x v="0"/>
    <x v="0"/>
    <x v="0"/>
    <n v="13"/>
    <x v="0"/>
  </r>
  <r>
    <n v="2674"/>
    <x v="38"/>
    <x v="2"/>
    <x v="0"/>
    <x v="1261"/>
    <x v="0"/>
    <d v="1899-12-31T00:00:00"/>
    <d v="2012-09-04T00:00:00"/>
    <n v="79"/>
    <n v="10"/>
    <n v="143"/>
    <n v="143"/>
    <n v="6"/>
    <n v="68"/>
    <x v="0"/>
    <n v="149"/>
    <x v="3"/>
    <m/>
    <x v="0"/>
    <x v="3"/>
    <x v="0"/>
    <n v="14"/>
    <x v="0"/>
  </r>
  <r>
    <n v="2698"/>
    <x v="11"/>
    <x v="0"/>
    <x v="0"/>
    <x v="301"/>
    <x v="0"/>
    <d v="1899-12-31T00:00:00"/>
    <d v="2013-11-07T00:00:00"/>
    <n v="52"/>
    <n v="7"/>
    <n v="0"/>
    <n v="0"/>
    <n v="5"/>
    <n v="50"/>
    <x v="1"/>
    <n v="5"/>
    <x v="3"/>
    <m/>
    <x v="0"/>
    <x v="1"/>
    <x v="0"/>
    <n v="13"/>
    <x v="0"/>
  </r>
  <r>
    <n v="3231"/>
    <x v="26"/>
    <x v="0"/>
    <x v="2"/>
    <x v="1262"/>
    <x v="1"/>
    <d v="1899-12-30T00:00:00"/>
    <d v="2013-11-25T00:00:00"/>
    <n v="97"/>
    <n v="4"/>
    <n v="2"/>
    <n v="2"/>
    <n v="3"/>
    <n v="53"/>
    <x v="0"/>
    <n v="5"/>
    <x v="3"/>
    <m/>
    <x v="0"/>
    <x v="1"/>
    <x v="0"/>
    <n v="13"/>
    <x v="0"/>
  </r>
  <r>
    <n v="4096"/>
    <x v="30"/>
    <x v="2"/>
    <x v="3"/>
    <x v="663"/>
    <x v="1"/>
    <d v="1899-12-30T00:00:00"/>
    <d v="2013-12-26T00:00:00"/>
    <n v="24"/>
    <n v="19"/>
    <n v="14"/>
    <n v="14"/>
    <n v="4"/>
    <n v="58"/>
    <x v="0"/>
    <n v="18"/>
    <x v="3"/>
    <m/>
    <x v="0"/>
    <x v="1"/>
    <x v="0"/>
    <n v="13"/>
    <x v="0"/>
  </r>
  <r>
    <n v="10476"/>
    <x v="38"/>
    <x v="0"/>
    <x v="2"/>
    <x v="1263"/>
    <x v="0"/>
    <d v="1899-12-31T00:00:00"/>
    <d v="2014-05-13T00:00:00"/>
    <n v="0"/>
    <n v="11"/>
    <n v="2"/>
    <n v="2"/>
    <n v="5"/>
    <n v="68"/>
    <x v="0"/>
    <n v="7"/>
    <x v="3"/>
    <m/>
    <x v="0"/>
    <x v="0"/>
    <x v="0"/>
    <n v="12"/>
    <x v="0"/>
  </r>
  <r>
    <n v="5948"/>
    <x v="28"/>
    <x v="0"/>
    <x v="0"/>
    <x v="1264"/>
    <x v="0"/>
    <d v="1899-12-31T00:00:00"/>
    <d v="2014-04-29T00:00:00"/>
    <n v="96"/>
    <n v="6"/>
    <n v="8"/>
    <n v="8"/>
    <n v="5"/>
    <n v="51"/>
    <x v="0"/>
    <n v="13"/>
    <x v="3"/>
    <m/>
    <x v="0"/>
    <x v="0"/>
    <x v="0"/>
    <n v="12"/>
    <x v="0"/>
  </r>
  <r>
    <n v="9140"/>
    <x v="40"/>
    <x v="4"/>
    <x v="1"/>
    <x v="1265"/>
    <x v="1"/>
    <d v="1899-12-31T00:00:00"/>
    <d v="2013-12-25T00:00:00"/>
    <n v="89"/>
    <n v="4"/>
    <n v="7"/>
    <n v="7"/>
    <n v="4"/>
    <n v="66"/>
    <x v="0"/>
    <n v="11"/>
    <x v="3"/>
    <m/>
    <x v="0"/>
    <x v="0"/>
    <x v="0"/>
    <n v="13"/>
    <x v="0"/>
  </r>
  <r>
    <n v="10258"/>
    <x v="2"/>
    <x v="2"/>
    <x v="0"/>
    <x v="580"/>
    <x v="2"/>
    <d v="1899-12-31T00:00:00"/>
    <d v="2013-05-06T00:00:00"/>
    <n v="94"/>
    <n v="0"/>
    <n v="0"/>
    <n v="0"/>
    <n v="3"/>
    <n v="61"/>
    <x v="0"/>
    <n v="3"/>
    <x v="3"/>
    <m/>
    <x v="0"/>
    <x v="1"/>
    <x v="0"/>
    <n v="13"/>
    <x v="0"/>
  </r>
  <r>
    <n v="5675"/>
    <x v="40"/>
    <x v="1"/>
    <x v="3"/>
    <x v="649"/>
    <x v="0"/>
    <d v="1899-12-31T00:00:00"/>
    <d v="2012-10-04T00:00:00"/>
    <n v="98"/>
    <n v="0"/>
    <n v="0"/>
    <n v="0"/>
    <n v="7"/>
    <n v="66"/>
    <x v="0"/>
    <n v="7"/>
    <x v="3"/>
    <m/>
    <x v="0"/>
    <x v="0"/>
    <x v="0"/>
    <n v="14"/>
    <x v="0"/>
  </r>
  <r>
    <n v="4743"/>
    <x v="21"/>
    <x v="1"/>
    <x v="2"/>
    <x v="1266"/>
    <x v="0"/>
    <d v="1899-12-31T00:00:00"/>
    <d v="2013-03-03T00:00:00"/>
    <n v="72"/>
    <n v="8"/>
    <n v="8"/>
    <n v="8"/>
    <n v="11"/>
    <n v="57"/>
    <x v="0"/>
    <n v="19"/>
    <x v="3"/>
    <m/>
    <x v="0"/>
    <x v="0"/>
    <x v="0"/>
    <n v="13"/>
    <x v="0"/>
  </r>
  <r>
    <n v="8805"/>
    <x v="40"/>
    <x v="0"/>
    <x v="0"/>
    <x v="1267"/>
    <x v="0"/>
    <d v="1899-12-31T00:00:00"/>
    <d v="2012-12-02T00:00:00"/>
    <n v="1"/>
    <n v="10"/>
    <n v="13"/>
    <n v="13"/>
    <n v="4"/>
    <n v="66"/>
    <x v="0"/>
    <n v="17"/>
    <x v="3"/>
    <m/>
    <x v="0"/>
    <x v="1"/>
    <x v="0"/>
    <n v="14"/>
    <x v="0"/>
  </r>
  <r>
    <n v="1542"/>
    <x v="28"/>
    <x v="0"/>
    <x v="0"/>
    <x v="1268"/>
    <x v="1"/>
    <d v="1900-01-01T00:00:00"/>
    <d v="2013-12-30T00:00:00"/>
    <n v="26"/>
    <n v="0"/>
    <n v="3"/>
    <n v="3"/>
    <n v="8"/>
    <n v="51"/>
    <x v="0"/>
    <n v="11"/>
    <x v="3"/>
    <m/>
    <x v="0"/>
    <x v="0"/>
    <x v="0"/>
    <n v="13"/>
    <x v="0"/>
  </r>
  <r>
    <n v="6770"/>
    <x v="7"/>
    <x v="0"/>
    <x v="2"/>
    <x v="1269"/>
    <x v="1"/>
    <d v="1899-12-30T00:00:00"/>
    <d v="2013-08-20T00:00:00"/>
    <n v="5"/>
    <n v="13"/>
    <n v="5"/>
    <n v="5"/>
    <n v="2"/>
    <n v="41"/>
    <x v="1"/>
    <n v="7"/>
    <x v="3"/>
    <m/>
    <x v="0"/>
    <x v="2"/>
    <x v="0"/>
    <n v="13"/>
    <x v="0"/>
  </r>
  <r>
    <n v="8773"/>
    <x v="6"/>
    <x v="2"/>
    <x v="1"/>
    <x v="1270"/>
    <x v="0"/>
    <d v="1899-12-31T00:00:00"/>
    <d v="2013-06-25T00:00:00"/>
    <n v="22"/>
    <n v="0"/>
    <n v="0"/>
    <n v="0"/>
    <n v="6"/>
    <n v="55"/>
    <x v="0"/>
    <n v="6"/>
    <x v="3"/>
    <m/>
    <x v="0"/>
    <x v="0"/>
    <x v="0"/>
    <n v="13"/>
    <x v="0"/>
  </r>
  <r>
    <n v="10475"/>
    <x v="25"/>
    <x v="2"/>
    <x v="1"/>
    <x v="10"/>
    <x v="0"/>
    <d v="1899-12-31T00:00:00"/>
    <d v="2013-04-01T00:00:00"/>
    <n v="39"/>
    <n v="5"/>
    <n v="20"/>
    <n v="20"/>
    <n v="6"/>
    <n v="56"/>
    <x v="0"/>
    <n v="26"/>
    <x v="3"/>
    <m/>
    <x v="0"/>
    <x v="2"/>
    <x v="0"/>
    <n v="13"/>
    <x v="0"/>
  </r>
  <r>
    <n v="10420"/>
    <x v="34"/>
    <x v="2"/>
    <x v="3"/>
    <x v="1271"/>
    <x v="0"/>
    <d v="1899-12-31T00:00:00"/>
    <d v="2014-05-05T00:00:00"/>
    <n v="56"/>
    <n v="14"/>
    <n v="9"/>
    <n v="9"/>
    <n v="3"/>
    <n v="71"/>
    <x v="0"/>
    <n v="12"/>
    <x v="3"/>
    <m/>
    <x v="0"/>
    <x v="1"/>
    <x v="0"/>
    <n v="12"/>
    <x v="0"/>
  </r>
  <r>
    <n v="7514"/>
    <x v="46"/>
    <x v="4"/>
    <x v="1"/>
    <x v="1272"/>
    <x v="1"/>
    <d v="1899-12-31T00:00:00"/>
    <d v="2013-07-03T00:00:00"/>
    <n v="74"/>
    <n v="10"/>
    <n v="10"/>
    <n v="10"/>
    <n v="4"/>
    <n v="70"/>
    <x v="0"/>
    <n v="14"/>
    <x v="3"/>
    <m/>
    <x v="0"/>
    <x v="0"/>
    <x v="0"/>
    <n v="13"/>
    <x v="0"/>
  </r>
  <r>
    <n v="2902"/>
    <x v="38"/>
    <x v="0"/>
    <x v="1"/>
    <x v="10"/>
    <x v="1"/>
    <d v="1899-12-31T00:00:00"/>
    <d v="2012-09-03T00:00:00"/>
    <n v="87"/>
    <n v="4"/>
    <n v="2"/>
    <n v="2"/>
    <n v="3"/>
    <n v="68"/>
    <x v="0"/>
    <n v="5"/>
    <x v="3"/>
    <m/>
    <x v="0"/>
    <x v="2"/>
    <x v="0"/>
    <n v="14"/>
    <x v="0"/>
  </r>
  <r>
    <n v="4345"/>
    <x v="31"/>
    <x v="4"/>
    <x v="0"/>
    <x v="10"/>
    <x v="1"/>
    <d v="1899-12-31T00:00:00"/>
    <d v="2014-01-12T00:00:00"/>
    <n v="49"/>
    <n v="1"/>
    <n v="0"/>
    <n v="0"/>
    <n v="2"/>
    <n v="62"/>
    <x v="0"/>
    <n v="2"/>
    <x v="3"/>
    <m/>
    <x v="0"/>
    <x v="2"/>
    <x v="0"/>
    <n v="12"/>
    <x v="0"/>
  </r>
  <r>
    <n v="793"/>
    <x v="26"/>
    <x v="0"/>
    <x v="2"/>
    <x v="1273"/>
    <x v="1"/>
    <d v="1899-12-30T00:00:00"/>
    <d v="2012-10-06T00:00:00"/>
    <n v="24"/>
    <n v="3"/>
    <n v="0"/>
    <n v="0"/>
    <n v="3"/>
    <n v="53"/>
    <x v="0"/>
    <n v="3"/>
    <x v="3"/>
    <m/>
    <x v="0"/>
    <x v="2"/>
    <x v="0"/>
    <n v="14"/>
    <x v="0"/>
  </r>
  <r>
    <n v="10909"/>
    <x v="37"/>
    <x v="0"/>
    <x v="2"/>
    <x v="1274"/>
    <x v="0"/>
    <d v="1899-12-30T00:00:00"/>
    <d v="2014-01-15T00:00:00"/>
    <n v="9"/>
    <n v="24"/>
    <n v="19"/>
    <n v="19"/>
    <n v="5"/>
    <n v="78"/>
    <x v="0"/>
    <n v="24"/>
    <x v="3"/>
    <m/>
    <x v="0"/>
    <x v="3"/>
    <x v="0"/>
    <n v="12"/>
    <x v="0"/>
  </r>
  <r>
    <n v="3769"/>
    <x v="39"/>
    <x v="1"/>
    <x v="1"/>
    <x v="10"/>
    <x v="1"/>
    <d v="1899-12-30T00:00:00"/>
    <d v="2014-03-02T00:00:00"/>
    <n v="17"/>
    <n v="1"/>
    <n v="0"/>
    <n v="0"/>
    <n v="3"/>
    <n v="54"/>
    <x v="0"/>
    <n v="3"/>
    <x v="3"/>
    <m/>
    <x v="0"/>
    <x v="2"/>
    <x v="0"/>
    <n v="12"/>
    <x v="0"/>
  </r>
  <r>
    <n v="8702"/>
    <x v="11"/>
    <x v="4"/>
    <x v="1"/>
    <x v="1007"/>
    <x v="1"/>
    <d v="1899-12-31T00:00:00"/>
    <d v="2013-08-20T00:00:00"/>
    <n v="10"/>
    <n v="1"/>
    <n v="3"/>
    <n v="3"/>
    <n v="3"/>
    <n v="50"/>
    <x v="1"/>
    <n v="6"/>
    <x v="3"/>
    <m/>
    <x v="0"/>
    <x v="2"/>
    <x v="0"/>
    <n v="13"/>
    <x v="0"/>
  </r>
  <r>
    <n v="4791"/>
    <x v="16"/>
    <x v="0"/>
    <x v="1"/>
    <x v="1275"/>
    <x v="1"/>
    <d v="1899-12-31T00:00:00"/>
    <d v="2012-12-16T00:00:00"/>
    <n v="35"/>
    <n v="1"/>
    <n v="0"/>
    <n v="0"/>
    <n v="3"/>
    <n v="46"/>
    <x v="1"/>
    <n v="3"/>
    <x v="3"/>
    <m/>
    <x v="0"/>
    <x v="1"/>
    <x v="0"/>
    <n v="14"/>
    <x v="0"/>
  </r>
  <r>
    <n v="2963"/>
    <x v="19"/>
    <x v="0"/>
    <x v="1"/>
    <x v="706"/>
    <x v="0"/>
    <d v="1899-12-30T00:00:00"/>
    <d v="2014-05-02T00:00:00"/>
    <n v="56"/>
    <n v="93"/>
    <n v="80"/>
    <n v="80"/>
    <n v="6"/>
    <n v="47"/>
    <x v="1"/>
    <n v="86"/>
    <x v="3"/>
    <m/>
    <x v="0"/>
    <x v="3"/>
    <x v="0"/>
    <n v="12"/>
    <x v="0"/>
  </r>
  <r>
    <n v="8216"/>
    <x v="39"/>
    <x v="2"/>
    <x v="2"/>
    <x v="1276"/>
    <x v="1"/>
    <d v="1899-12-31T00:00:00"/>
    <d v="2013-10-11T00:00:00"/>
    <n v="7"/>
    <n v="0"/>
    <n v="7"/>
    <n v="7"/>
    <n v="3"/>
    <n v="54"/>
    <x v="0"/>
    <n v="10"/>
    <x v="3"/>
    <m/>
    <x v="0"/>
    <x v="0"/>
    <x v="0"/>
    <n v="13"/>
    <x v="0"/>
  </r>
  <r>
    <n v="8140"/>
    <x v="26"/>
    <x v="0"/>
    <x v="1"/>
    <x v="1277"/>
    <x v="1"/>
    <d v="1899-12-30T00:00:00"/>
    <d v="2013-10-03T00:00:00"/>
    <n v="51"/>
    <n v="14"/>
    <n v="2"/>
    <n v="2"/>
    <n v="4"/>
    <n v="53"/>
    <x v="0"/>
    <n v="6"/>
    <x v="3"/>
    <m/>
    <x v="0"/>
    <x v="2"/>
    <x v="0"/>
    <n v="13"/>
    <x v="0"/>
  </r>
  <r>
    <n v="10146"/>
    <x v="39"/>
    <x v="1"/>
    <x v="1"/>
    <x v="1278"/>
    <x v="1"/>
    <d v="1899-12-30T00:00:00"/>
    <d v="2014-03-02T00:00:00"/>
    <n v="17"/>
    <n v="1"/>
    <n v="0"/>
    <n v="0"/>
    <n v="3"/>
    <n v="54"/>
    <x v="0"/>
    <n v="3"/>
    <x v="3"/>
    <m/>
    <x v="0"/>
    <x v="1"/>
    <x v="0"/>
    <n v="12"/>
    <x v="0"/>
  </r>
  <r>
    <n v="5289"/>
    <x v="28"/>
    <x v="4"/>
    <x v="0"/>
    <x v="1279"/>
    <x v="1"/>
    <d v="1899-12-31T00:00:00"/>
    <d v="2012-11-09T00:00:00"/>
    <n v="30"/>
    <n v="4"/>
    <n v="4"/>
    <n v="4"/>
    <n v="2"/>
    <n v="51"/>
    <x v="0"/>
    <n v="6"/>
    <x v="3"/>
    <m/>
    <x v="0"/>
    <x v="1"/>
    <x v="0"/>
    <n v="14"/>
    <x v="0"/>
  </r>
  <r>
    <n v="2587"/>
    <x v="39"/>
    <x v="1"/>
    <x v="2"/>
    <x v="1280"/>
    <x v="1"/>
    <d v="1899-12-30T00:00:00"/>
    <d v="2014-05-15T00:00:00"/>
    <n v="21"/>
    <n v="0"/>
    <n v="0"/>
    <n v="0"/>
    <n v="3"/>
    <n v="54"/>
    <x v="0"/>
    <n v="3"/>
    <x v="3"/>
    <m/>
    <x v="0"/>
    <x v="2"/>
    <x v="0"/>
    <n v="12"/>
    <x v="0"/>
  </r>
  <r>
    <n v="4405"/>
    <x v="46"/>
    <x v="2"/>
    <x v="2"/>
    <x v="1281"/>
    <x v="0"/>
    <d v="1900-01-01T00:00:00"/>
    <d v="2013-07-30T00:00:00"/>
    <n v="2"/>
    <n v="7"/>
    <n v="0"/>
    <n v="0"/>
    <n v="12"/>
    <n v="70"/>
    <x v="0"/>
    <n v="12"/>
    <x v="3"/>
    <m/>
    <x v="0"/>
    <x v="0"/>
    <x v="0"/>
    <n v="13"/>
    <x v="0"/>
  </r>
  <r>
    <n v="8663"/>
    <x v="8"/>
    <x v="0"/>
    <x v="3"/>
    <x v="1282"/>
    <x v="1"/>
    <d v="1899-12-31T00:00:00"/>
    <d v="2014-05-22T00:00:00"/>
    <n v="85"/>
    <n v="0"/>
    <n v="0"/>
    <n v="0"/>
    <n v="2"/>
    <n v="52"/>
    <x v="0"/>
    <n v="2"/>
    <x v="3"/>
    <m/>
    <x v="0"/>
    <x v="1"/>
    <x v="0"/>
    <n v="12"/>
    <x v="0"/>
  </r>
  <r>
    <n v="2589"/>
    <x v="39"/>
    <x v="0"/>
    <x v="3"/>
    <x v="1283"/>
    <x v="1"/>
    <d v="1899-12-30T00:00:00"/>
    <d v="2014-02-07T00:00:00"/>
    <n v="65"/>
    <n v="3"/>
    <n v="5"/>
    <n v="5"/>
    <n v="3"/>
    <n v="54"/>
    <x v="0"/>
    <n v="8"/>
    <x v="3"/>
    <m/>
    <x v="0"/>
    <x v="2"/>
    <x v="0"/>
    <n v="12"/>
    <x v="0"/>
  </r>
  <r>
    <n v="3421"/>
    <x v="30"/>
    <x v="2"/>
    <x v="3"/>
    <x v="262"/>
    <x v="0"/>
    <d v="1899-12-31T00:00:00"/>
    <d v="2013-04-21T00:00:00"/>
    <n v="64"/>
    <n v="15"/>
    <n v="7"/>
    <n v="7"/>
    <n v="9"/>
    <n v="58"/>
    <x v="0"/>
    <n v="16"/>
    <x v="3"/>
    <m/>
    <x v="0"/>
    <x v="0"/>
    <x v="0"/>
    <n v="13"/>
    <x v="0"/>
  </r>
  <r>
    <n v="10490"/>
    <x v="21"/>
    <x v="1"/>
    <x v="2"/>
    <x v="1284"/>
    <x v="1"/>
    <d v="1899-12-31T00:00:00"/>
    <d v="2012-12-10T00:00:00"/>
    <n v="11"/>
    <n v="64"/>
    <n v="0"/>
    <n v="0"/>
    <n v="4"/>
    <n v="57"/>
    <x v="0"/>
    <n v="4"/>
    <x v="3"/>
    <m/>
    <x v="0"/>
    <x v="0"/>
    <x v="0"/>
    <n v="14"/>
    <x v="0"/>
  </r>
  <r>
    <n v="4094"/>
    <x v="45"/>
    <x v="0"/>
    <x v="2"/>
    <x v="1285"/>
    <x v="1"/>
    <d v="1899-12-31T00:00:00"/>
    <d v="2012-08-25T00:00:00"/>
    <n v="92"/>
    <n v="2"/>
    <n v="5"/>
    <n v="5"/>
    <n v="5"/>
    <n v="65"/>
    <x v="0"/>
    <n v="10"/>
    <x v="3"/>
    <m/>
    <x v="0"/>
    <x v="0"/>
    <x v="0"/>
    <n v="14"/>
    <x v="0"/>
  </r>
  <r>
    <n v="9958"/>
    <x v="39"/>
    <x v="0"/>
    <x v="2"/>
    <x v="770"/>
    <x v="0"/>
    <d v="1899-12-31T00:00:00"/>
    <d v="2014-03-29T00:00:00"/>
    <n v="54"/>
    <n v="14"/>
    <n v="7"/>
    <n v="7"/>
    <n v="9"/>
    <n v="54"/>
    <x v="0"/>
    <n v="16"/>
    <x v="3"/>
    <m/>
    <x v="0"/>
    <x v="0"/>
    <x v="0"/>
    <n v="12"/>
    <x v="0"/>
  </r>
  <r>
    <n v="2534"/>
    <x v="44"/>
    <x v="0"/>
    <x v="2"/>
    <x v="1286"/>
    <x v="0"/>
    <d v="1899-12-31T00:00:00"/>
    <d v="2014-04-21T00:00:00"/>
    <n v="4"/>
    <n v="1"/>
    <n v="2"/>
    <n v="2"/>
    <n v="3"/>
    <n v="73"/>
    <x v="0"/>
    <n v="5"/>
    <x v="3"/>
    <m/>
    <x v="0"/>
    <x v="1"/>
    <x v="0"/>
    <n v="12"/>
    <x v="0"/>
  </r>
  <r>
    <n v="4188"/>
    <x v="0"/>
    <x v="0"/>
    <x v="0"/>
    <x v="1287"/>
    <x v="0"/>
    <d v="1899-12-31T00:00:00"/>
    <d v="2012-08-13T00:00:00"/>
    <n v="53"/>
    <n v="5"/>
    <n v="0"/>
    <n v="0"/>
    <n v="4"/>
    <n v="69"/>
    <x v="0"/>
    <n v="4"/>
    <x v="3"/>
    <m/>
    <x v="0"/>
    <x v="1"/>
    <x v="0"/>
    <n v="14"/>
    <x v="0"/>
  </r>
  <r>
    <n v="6613"/>
    <x v="25"/>
    <x v="2"/>
    <x v="2"/>
    <x v="1288"/>
    <x v="1"/>
    <d v="1899-12-30T00:00:00"/>
    <d v="2012-10-12T00:00:00"/>
    <n v="39"/>
    <n v="7"/>
    <n v="14"/>
    <n v="14"/>
    <n v="8"/>
    <n v="56"/>
    <x v="0"/>
    <n v="22"/>
    <x v="3"/>
    <m/>
    <x v="0"/>
    <x v="1"/>
    <x v="0"/>
    <n v="14"/>
    <x v="0"/>
  </r>
  <r>
    <n v="10827"/>
    <x v="5"/>
    <x v="1"/>
    <x v="2"/>
    <x v="1289"/>
    <x v="1"/>
    <d v="1899-12-31T00:00:00"/>
    <d v="2012-08-07T00:00:00"/>
    <n v="49"/>
    <n v="3"/>
    <n v="1"/>
    <n v="1"/>
    <n v="4"/>
    <n v="59"/>
    <x v="0"/>
    <n v="5"/>
    <x v="3"/>
    <m/>
    <x v="0"/>
    <x v="1"/>
    <x v="0"/>
    <n v="14"/>
    <x v="0"/>
  </r>
  <r>
    <n v="5491"/>
    <x v="20"/>
    <x v="2"/>
    <x v="1"/>
    <x v="502"/>
    <x v="0"/>
    <d v="1899-12-31T00:00:00"/>
    <d v="2013-04-11T00:00:00"/>
    <n v="70"/>
    <n v="12"/>
    <n v="0"/>
    <n v="0"/>
    <n v="5"/>
    <n v="75"/>
    <x v="0"/>
    <n v="5"/>
    <x v="3"/>
    <m/>
    <x v="0"/>
    <x v="1"/>
    <x v="0"/>
    <n v="13"/>
    <x v="0"/>
  </r>
  <r>
    <n v="8402"/>
    <x v="44"/>
    <x v="2"/>
    <x v="2"/>
    <x v="1290"/>
    <x v="0"/>
    <d v="1899-12-31T00:00:00"/>
    <d v="2013-12-17T00:00:00"/>
    <n v="40"/>
    <n v="35"/>
    <n v="35"/>
    <n v="35"/>
    <n v="8"/>
    <n v="73"/>
    <x v="0"/>
    <n v="43"/>
    <x v="3"/>
    <m/>
    <x v="0"/>
    <x v="0"/>
    <x v="0"/>
    <n v="13"/>
    <x v="0"/>
  </r>
  <r>
    <n v="8783"/>
    <x v="9"/>
    <x v="0"/>
    <x v="2"/>
    <x v="1291"/>
    <x v="0"/>
    <d v="1899-12-31T00:00:00"/>
    <d v="2012-09-08T00:00:00"/>
    <n v="40"/>
    <n v="13"/>
    <n v="13"/>
    <n v="13"/>
    <n v="9"/>
    <n v="76"/>
    <x v="0"/>
    <n v="22"/>
    <x v="3"/>
    <m/>
    <x v="0"/>
    <x v="0"/>
    <x v="0"/>
    <n v="14"/>
    <x v="0"/>
  </r>
  <r>
    <n v="10010"/>
    <x v="44"/>
    <x v="1"/>
    <x v="3"/>
    <x v="1292"/>
    <x v="1"/>
    <d v="1899-12-31T00:00:00"/>
    <d v="2012-09-06T00:00:00"/>
    <n v="43"/>
    <n v="2"/>
    <n v="1"/>
    <n v="1"/>
    <n v="2"/>
    <n v="73"/>
    <x v="0"/>
    <n v="3"/>
    <x v="3"/>
    <m/>
    <x v="0"/>
    <x v="1"/>
    <x v="0"/>
    <n v="14"/>
    <x v="0"/>
  </r>
  <r>
    <n v="618"/>
    <x v="32"/>
    <x v="1"/>
    <x v="2"/>
    <x v="1293"/>
    <x v="0"/>
    <d v="1899-12-31T00:00:00"/>
    <d v="2012-09-28T00:00:00"/>
    <n v="17"/>
    <n v="7"/>
    <n v="46"/>
    <n v="46"/>
    <n v="12"/>
    <n v="49"/>
    <x v="1"/>
    <n v="58"/>
    <x v="3"/>
    <m/>
    <x v="0"/>
    <x v="0"/>
    <x v="0"/>
    <n v="14"/>
    <x v="0"/>
  </r>
  <r>
    <n v="9121"/>
    <x v="39"/>
    <x v="0"/>
    <x v="2"/>
    <x v="229"/>
    <x v="1"/>
    <d v="1899-12-30T00:00:00"/>
    <d v="2013-05-20T00:00:00"/>
    <n v="40"/>
    <n v="16"/>
    <n v="0"/>
    <n v="0"/>
    <n v="6"/>
    <n v="54"/>
    <x v="0"/>
    <n v="6"/>
    <x v="3"/>
    <m/>
    <x v="0"/>
    <x v="3"/>
    <x v="0"/>
    <n v="13"/>
    <x v="0"/>
  </r>
  <r>
    <n v="361"/>
    <x v="21"/>
    <x v="2"/>
    <x v="2"/>
    <x v="1294"/>
    <x v="1"/>
    <d v="1899-12-31T00:00:00"/>
    <d v="2014-02-18T00:00:00"/>
    <n v="84"/>
    <n v="1"/>
    <n v="1"/>
    <n v="1"/>
    <n v="2"/>
    <n v="57"/>
    <x v="0"/>
    <n v="3"/>
    <x v="3"/>
    <m/>
    <x v="0"/>
    <x v="1"/>
    <x v="0"/>
    <n v="12"/>
    <x v="0"/>
  </r>
  <r>
    <n v="4310"/>
    <x v="56"/>
    <x v="0"/>
    <x v="2"/>
    <x v="1295"/>
    <x v="0"/>
    <d v="1899-12-30T00:00:00"/>
    <d v="2014-01-22T00:00:00"/>
    <n v="25"/>
    <n v="93"/>
    <n v="40"/>
    <n v="40"/>
    <n v="5"/>
    <n v="82"/>
    <x v="0"/>
    <n v="45"/>
    <x v="3"/>
    <m/>
    <x v="0"/>
    <x v="3"/>
    <x v="0"/>
    <n v="12"/>
    <x v="0"/>
  </r>
  <r>
    <n v="2678"/>
    <x v="50"/>
    <x v="0"/>
    <x v="0"/>
    <x v="1296"/>
    <x v="1"/>
    <d v="1899-12-30T00:00:00"/>
    <d v="2013-02-13T00:00:00"/>
    <n v="62"/>
    <n v="12"/>
    <n v="36"/>
    <n v="36"/>
    <n v="3"/>
    <n v="36"/>
    <x v="1"/>
    <n v="39"/>
    <x v="3"/>
    <m/>
    <x v="0"/>
    <x v="1"/>
    <x v="0"/>
    <n v="13"/>
    <x v="0"/>
  </r>
  <r>
    <n v="6376"/>
    <x v="19"/>
    <x v="0"/>
    <x v="0"/>
    <x v="1297"/>
    <x v="1"/>
    <d v="1899-12-30T00:00:00"/>
    <d v="2013-06-10T00:00:00"/>
    <n v="83"/>
    <n v="56"/>
    <n v="8"/>
    <n v="8"/>
    <n v="8"/>
    <n v="47"/>
    <x v="1"/>
    <n v="16"/>
    <x v="3"/>
    <m/>
    <x v="0"/>
    <x v="0"/>
    <x v="0"/>
    <n v="13"/>
    <x v="0"/>
  </r>
  <r>
    <n v="524"/>
    <x v="35"/>
    <x v="3"/>
    <x v="1"/>
    <x v="1042"/>
    <x v="0"/>
    <d v="1899-12-30T00:00:00"/>
    <d v="2013-01-16T00:00:00"/>
    <n v="47"/>
    <n v="23"/>
    <n v="6"/>
    <n v="6"/>
    <n v="2"/>
    <n v="60"/>
    <x v="0"/>
    <n v="8"/>
    <x v="3"/>
    <m/>
    <x v="0"/>
    <x v="2"/>
    <x v="0"/>
    <n v="13"/>
    <x v="0"/>
  </r>
  <r>
    <n v="10341"/>
    <x v="37"/>
    <x v="0"/>
    <x v="1"/>
    <x v="1298"/>
    <x v="0"/>
    <d v="1899-12-30T00:00:00"/>
    <d v="2014-02-23T00:00:00"/>
    <n v="45"/>
    <n v="28"/>
    <n v="30"/>
    <n v="30"/>
    <n v="5"/>
    <n v="78"/>
    <x v="0"/>
    <n v="35"/>
    <x v="3"/>
    <m/>
    <x v="0"/>
    <x v="0"/>
    <x v="0"/>
    <n v="12"/>
    <x v="0"/>
  </r>
  <r>
    <n v="5654"/>
    <x v="39"/>
    <x v="0"/>
    <x v="2"/>
    <x v="1299"/>
    <x v="2"/>
    <d v="1899-12-31T00:00:00"/>
    <d v="2014-03-16T00:00:00"/>
    <n v="34"/>
    <n v="4"/>
    <n v="4"/>
    <n v="4"/>
    <n v="3"/>
    <n v="54"/>
    <x v="0"/>
    <n v="7"/>
    <x v="3"/>
    <m/>
    <x v="0"/>
    <x v="1"/>
    <x v="0"/>
    <n v="12"/>
    <x v="0"/>
  </r>
  <r>
    <n v="4098"/>
    <x v="26"/>
    <x v="0"/>
    <x v="2"/>
    <x v="1300"/>
    <x v="1"/>
    <d v="1899-12-31T00:00:00"/>
    <d v="2014-01-28T00:00:00"/>
    <n v="3"/>
    <n v="3"/>
    <n v="4"/>
    <n v="4"/>
    <n v="4"/>
    <n v="53"/>
    <x v="0"/>
    <n v="8"/>
    <x v="3"/>
    <m/>
    <x v="0"/>
    <x v="2"/>
    <x v="0"/>
    <n v="12"/>
    <x v="0"/>
  </r>
  <r>
    <n v="5824"/>
    <x v="39"/>
    <x v="1"/>
    <x v="1"/>
    <x v="1301"/>
    <x v="2"/>
    <d v="1899-12-31T00:00:00"/>
    <d v="2014-04-11T00:00:00"/>
    <n v="1"/>
    <n v="0"/>
    <n v="0"/>
    <n v="0"/>
    <n v="2"/>
    <n v="54"/>
    <x v="0"/>
    <n v="2"/>
    <x v="3"/>
    <m/>
    <x v="0"/>
    <x v="1"/>
    <x v="0"/>
    <n v="12"/>
    <x v="0"/>
  </r>
  <r>
    <n v="7000"/>
    <x v="39"/>
    <x v="4"/>
    <x v="0"/>
    <x v="1302"/>
    <x v="0"/>
    <d v="1899-12-30T00:00:00"/>
    <d v="2013-10-13T00:00:00"/>
    <n v="18"/>
    <n v="172"/>
    <n v="8"/>
    <n v="8"/>
    <n v="10"/>
    <n v="54"/>
    <x v="0"/>
    <n v="18"/>
    <x v="3"/>
    <m/>
    <x v="0"/>
    <x v="0"/>
    <x v="0"/>
    <n v="13"/>
    <x v="0"/>
  </r>
  <r>
    <n v="2561"/>
    <x v="35"/>
    <x v="0"/>
    <x v="0"/>
    <x v="350"/>
    <x v="0"/>
    <d v="1899-12-31T00:00:00"/>
    <d v="2012-11-11T00:00:00"/>
    <n v="45"/>
    <n v="12"/>
    <n v="12"/>
    <n v="12"/>
    <n v="12"/>
    <n v="60"/>
    <x v="0"/>
    <n v="24"/>
    <x v="3"/>
    <m/>
    <x v="0"/>
    <x v="0"/>
    <x v="0"/>
    <n v="14"/>
    <x v="0"/>
  </r>
  <r>
    <n v="5229"/>
    <x v="21"/>
    <x v="1"/>
    <x v="1"/>
    <x v="1303"/>
    <x v="0"/>
    <d v="1899-12-31T00:00:00"/>
    <d v="2014-02-16T00:00:00"/>
    <n v="81"/>
    <n v="1"/>
    <n v="0"/>
    <n v="0"/>
    <n v="3"/>
    <n v="57"/>
    <x v="0"/>
    <n v="3"/>
    <x v="3"/>
    <m/>
    <x v="0"/>
    <x v="0"/>
    <x v="0"/>
    <n v="12"/>
    <x v="0"/>
  </r>
  <r>
    <n v="4086"/>
    <x v="12"/>
    <x v="0"/>
    <x v="2"/>
    <x v="625"/>
    <x v="0"/>
    <d v="1899-12-30T00:00:00"/>
    <d v="2012-12-28T00:00:00"/>
    <n v="77"/>
    <n v="1"/>
    <n v="4"/>
    <n v="4"/>
    <n v="2"/>
    <n v="67"/>
    <x v="0"/>
    <n v="6"/>
    <x v="3"/>
    <m/>
    <x v="0"/>
    <x v="2"/>
    <x v="0"/>
    <n v="14"/>
    <x v="0"/>
  </r>
  <r>
    <n v="2428"/>
    <x v="25"/>
    <x v="0"/>
    <x v="2"/>
    <x v="1304"/>
    <x v="1"/>
    <d v="1899-12-30T00:00:00"/>
    <d v="2013-05-04T00:00:00"/>
    <n v="23"/>
    <n v="18"/>
    <n v="8"/>
    <n v="8"/>
    <n v="4"/>
    <n v="56"/>
    <x v="0"/>
    <n v="12"/>
    <x v="3"/>
    <m/>
    <x v="0"/>
    <x v="2"/>
    <x v="0"/>
    <n v="13"/>
    <x v="0"/>
  </r>
  <r>
    <n v="8254"/>
    <x v="8"/>
    <x v="1"/>
    <x v="2"/>
    <x v="909"/>
    <x v="1"/>
    <d v="1899-12-30T00:00:00"/>
    <d v="2013-04-13T00:00:00"/>
    <n v="48"/>
    <n v="0"/>
    <n v="0"/>
    <n v="0"/>
    <n v="2"/>
    <n v="52"/>
    <x v="0"/>
    <n v="2"/>
    <x v="3"/>
    <m/>
    <x v="0"/>
    <x v="1"/>
    <x v="0"/>
    <n v="13"/>
    <x v="0"/>
  </r>
  <r>
    <n v="2836"/>
    <x v="39"/>
    <x v="1"/>
    <x v="2"/>
    <x v="1305"/>
    <x v="1"/>
    <d v="1899-12-30T00:00:00"/>
    <d v="2013-09-16T00:00:00"/>
    <n v="61"/>
    <n v="1"/>
    <n v="0"/>
    <n v="0"/>
    <n v="2"/>
    <n v="54"/>
    <x v="0"/>
    <n v="2"/>
    <x v="3"/>
    <m/>
    <x v="0"/>
    <x v="1"/>
    <x v="0"/>
    <n v="13"/>
    <x v="0"/>
  </r>
  <r>
    <n v="8418"/>
    <x v="38"/>
    <x v="4"/>
    <x v="0"/>
    <x v="1306"/>
    <x v="1"/>
    <d v="1899-12-31T00:00:00"/>
    <d v="2014-03-30T00:00:00"/>
    <n v="60"/>
    <n v="10"/>
    <n v="6"/>
    <n v="6"/>
    <n v="3"/>
    <n v="68"/>
    <x v="0"/>
    <n v="9"/>
    <x v="3"/>
    <m/>
    <x v="0"/>
    <x v="1"/>
    <x v="0"/>
    <n v="12"/>
    <x v="0"/>
  </r>
  <r>
    <n v="1362"/>
    <x v="39"/>
    <x v="0"/>
    <x v="0"/>
    <x v="1307"/>
    <x v="0"/>
    <d v="1899-12-30T00:00:00"/>
    <d v="2013-03-04T00:00:00"/>
    <n v="75"/>
    <n v="87"/>
    <n v="16"/>
    <n v="16"/>
    <n v="6"/>
    <n v="54"/>
    <x v="0"/>
    <n v="22"/>
    <x v="3"/>
    <m/>
    <x v="0"/>
    <x v="1"/>
    <x v="0"/>
    <n v="13"/>
    <x v="0"/>
  </r>
  <r>
    <n v="7152"/>
    <x v="10"/>
    <x v="2"/>
    <x v="2"/>
    <x v="987"/>
    <x v="1"/>
    <d v="1899-12-30T00:00:00"/>
    <d v="2013-04-05T00:00:00"/>
    <n v="64"/>
    <n v="0"/>
    <n v="0"/>
    <n v="0"/>
    <n v="3"/>
    <n v="43"/>
    <x v="1"/>
    <n v="3"/>
    <x v="3"/>
    <m/>
    <x v="0"/>
    <x v="2"/>
    <x v="0"/>
    <n v="13"/>
    <x v="0"/>
  </r>
  <r>
    <n v="10033"/>
    <x v="26"/>
    <x v="4"/>
    <x v="3"/>
    <x v="1308"/>
    <x v="1"/>
    <d v="1899-12-30T00:00:00"/>
    <d v="2014-02-13T00:00:00"/>
    <n v="54"/>
    <n v="3"/>
    <n v="2"/>
    <n v="2"/>
    <n v="3"/>
    <n v="53"/>
    <x v="0"/>
    <n v="5"/>
    <x v="3"/>
    <m/>
    <x v="0"/>
    <x v="1"/>
    <x v="0"/>
    <n v="12"/>
    <x v="0"/>
  </r>
  <r>
    <n v="9349"/>
    <x v="7"/>
    <x v="0"/>
    <x v="2"/>
    <x v="1309"/>
    <x v="0"/>
    <d v="1899-12-30T00:00:00"/>
    <d v="2013-12-19T00:00:00"/>
    <n v="84"/>
    <n v="21"/>
    <n v="147"/>
    <n v="147"/>
    <n v="11"/>
    <n v="41"/>
    <x v="1"/>
    <n v="158"/>
    <x v="3"/>
    <m/>
    <x v="0"/>
    <x v="3"/>
    <x v="0"/>
    <n v="13"/>
    <x v="0"/>
  </r>
  <r>
    <n v="274"/>
    <x v="26"/>
    <x v="0"/>
    <x v="0"/>
    <x v="1310"/>
    <x v="1"/>
    <d v="1899-12-31T00:00:00"/>
    <d v="2013-12-23T00:00:00"/>
    <n v="75"/>
    <n v="3"/>
    <n v="3"/>
    <n v="3"/>
    <n v="3"/>
    <n v="53"/>
    <x v="0"/>
    <n v="6"/>
    <x v="3"/>
    <m/>
    <x v="0"/>
    <x v="1"/>
    <x v="0"/>
    <n v="13"/>
    <x v="0"/>
  </r>
  <r>
    <n v="3388"/>
    <x v="5"/>
    <x v="0"/>
    <x v="3"/>
    <x v="1311"/>
    <x v="1"/>
    <d v="1899-12-31T00:00:00"/>
    <d v="2013-10-30T00:00:00"/>
    <n v="16"/>
    <n v="26"/>
    <n v="67"/>
    <n v="67"/>
    <n v="5"/>
    <n v="59"/>
    <x v="0"/>
    <n v="72"/>
    <x v="3"/>
    <m/>
    <x v="0"/>
    <x v="0"/>
    <x v="0"/>
    <n v="13"/>
    <x v="0"/>
  </r>
  <r>
    <n v="922"/>
    <x v="19"/>
    <x v="4"/>
    <x v="2"/>
    <x v="1312"/>
    <x v="1"/>
    <d v="1899-12-31T00:00:00"/>
    <d v="2013-05-04T00:00:00"/>
    <n v="79"/>
    <n v="2"/>
    <n v="0"/>
    <n v="0"/>
    <n v="2"/>
    <n v="47"/>
    <x v="1"/>
    <n v="2"/>
    <x v="3"/>
    <m/>
    <x v="0"/>
    <x v="1"/>
    <x v="0"/>
    <n v="13"/>
    <x v="0"/>
  </r>
  <r>
    <n v="8588"/>
    <x v="45"/>
    <x v="0"/>
    <x v="2"/>
    <x v="1285"/>
    <x v="1"/>
    <d v="1899-12-31T00:00:00"/>
    <d v="2012-08-25T00:00:00"/>
    <n v="92"/>
    <n v="2"/>
    <n v="5"/>
    <n v="5"/>
    <n v="5"/>
    <n v="65"/>
    <x v="0"/>
    <n v="10"/>
    <x v="3"/>
    <m/>
    <x v="0"/>
    <x v="0"/>
    <x v="0"/>
    <n v="14"/>
    <x v="0"/>
  </r>
  <r>
    <n v="2518"/>
    <x v="22"/>
    <x v="4"/>
    <x v="1"/>
    <x v="1313"/>
    <x v="0"/>
    <d v="1899-12-30T00:00:00"/>
    <d v="2013-01-25T00:00:00"/>
    <n v="16"/>
    <n v="4"/>
    <n v="2"/>
    <n v="2"/>
    <n v="2"/>
    <n v="40"/>
    <x v="1"/>
    <n v="4"/>
    <x v="3"/>
    <m/>
    <x v="0"/>
    <x v="2"/>
    <x v="0"/>
    <n v="13"/>
    <x v="0"/>
  </r>
  <r>
    <n v="574"/>
    <x v="31"/>
    <x v="0"/>
    <x v="2"/>
    <x v="1314"/>
    <x v="0"/>
    <d v="1899-12-30T00:00:00"/>
    <d v="2014-04-23T00:00:00"/>
    <n v="96"/>
    <n v="36"/>
    <n v="26"/>
    <n v="26"/>
    <n v="4"/>
    <n v="62"/>
    <x v="0"/>
    <n v="30"/>
    <x v="3"/>
    <m/>
    <x v="0"/>
    <x v="1"/>
    <x v="0"/>
    <n v="12"/>
    <x v="0"/>
  </r>
  <r>
    <n v="3220"/>
    <x v="10"/>
    <x v="0"/>
    <x v="2"/>
    <x v="823"/>
    <x v="1"/>
    <d v="1899-12-30T00:00:00"/>
    <d v="2013-02-14T00:00:00"/>
    <n v="30"/>
    <n v="12"/>
    <n v="1"/>
    <n v="1"/>
    <n v="4"/>
    <n v="43"/>
    <x v="1"/>
    <n v="5"/>
    <x v="3"/>
    <m/>
    <x v="0"/>
    <x v="1"/>
    <x v="0"/>
    <n v="13"/>
    <x v="0"/>
  </r>
  <r>
    <n v="5967"/>
    <x v="13"/>
    <x v="0"/>
    <x v="1"/>
    <x v="1315"/>
    <x v="1"/>
    <d v="1899-12-31T00:00:00"/>
    <d v="2013-07-18T00:00:00"/>
    <n v="60"/>
    <n v="2"/>
    <n v="5"/>
    <n v="5"/>
    <n v="3"/>
    <n v="74"/>
    <x v="0"/>
    <n v="8"/>
    <x v="3"/>
    <m/>
    <x v="0"/>
    <x v="1"/>
    <x v="0"/>
    <n v="13"/>
    <x v="0"/>
  </r>
  <r>
    <n v="1183"/>
    <x v="17"/>
    <x v="2"/>
    <x v="2"/>
    <x v="1316"/>
    <x v="1"/>
    <d v="1899-12-31T00:00:00"/>
    <d v="2013-09-21T00:00:00"/>
    <n v="11"/>
    <n v="1"/>
    <n v="2"/>
    <n v="2"/>
    <n v="2"/>
    <n v="77"/>
    <x v="0"/>
    <n v="4"/>
    <x v="3"/>
    <m/>
    <x v="0"/>
    <x v="1"/>
    <x v="0"/>
    <n v="13"/>
    <x v="0"/>
  </r>
  <r>
    <n v="6856"/>
    <x v="19"/>
    <x v="0"/>
    <x v="1"/>
    <x v="1317"/>
    <x v="1"/>
    <d v="1899-12-30T00:00:00"/>
    <d v="2012-09-03T00:00:00"/>
    <n v="75"/>
    <n v="0"/>
    <n v="5"/>
    <n v="5"/>
    <n v="3"/>
    <n v="47"/>
    <x v="1"/>
    <n v="8"/>
    <x v="3"/>
    <m/>
    <x v="0"/>
    <x v="2"/>
    <x v="0"/>
    <n v="14"/>
    <x v="0"/>
  </r>
  <r>
    <n v="4530"/>
    <x v="37"/>
    <x v="2"/>
    <x v="4"/>
    <x v="1318"/>
    <x v="0"/>
    <d v="1899-12-30T00:00:00"/>
    <d v="2012-10-24T00:00:00"/>
    <n v="36"/>
    <n v="19"/>
    <n v="26"/>
    <n v="26"/>
    <n v="10"/>
    <n v="78"/>
    <x v="0"/>
    <n v="36"/>
    <x v="3"/>
    <m/>
    <x v="0"/>
    <x v="3"/>
    <x v="0"/>
    <n v="14"/>
    <x v="0"/>
  </r>
  <r>
    <n v="1553"/>
    <x v="15"/>
    <x v="0"/>
    <x v="1"/>
    <x v="1319"/>
    <x v="0"/>
    <d v="1899-12-30T00:00:00"/>
    <d v="2013-09-27T00:00:00"/>
    <n v="71"/>
    <n v="168"/>
    <n v="105"/>
    <n v="105"/>
    <n v="10"/>
    <n v="80"/>
    <x v="0"/>
    <n v="115"/>
    <x v="3"/>
    <m/>
    <x v="0"/>
    <x v="3"/>
    <x v="0"/>
    <n v="13"/>
    <x v="0"/>
  </r>
  <r>
    <n v="4682"/>
    <x v="38"/>
    <x v="0"/>
    <x v="2"/>
    <x v="1320"/>
    <x v="0"/>
    <d v="1899-12-30T00:00:00"/>
    <d v="2013-10-15T00:00:00"/>
    <n v="88"/>
    <n v="27"/>
    <n v="48"/>
    <n v="48"/>
    <n v="8"/>
    <n v="68"/>
    <x v="0"/>
    <n v="56"/>
    <x v="3"/>
    <m/>
    <x v="0"/>
    <x v="0"/>
    <x v="0"/>
    <n v="13"/>
    <x v="0"/>
  </r>
  <r>
    <n v="8204"/>
    <x v="6"/>
    <x v="4"/>
    <x v="2"/>
    <x v="1321"/>
    <x v="0"/>
    <d v="1899-12-30T00:00:00"/>
    <d v="2012-12-16T00:00:00"/>
    <n v="93"/>
    <n v="35"/>
    <n v="160"/>
    <n v="160"/>
    <n v="9"/>
    <n v="55"/>
    <x v="0"/>
    <n v="169"/>
    <x v="3"/>
    <m/>
    <x v="0"/>
    <x v="3"/>
    <x v="0"/>
    <n v="14"/>
    <x v="0"/>
  </r>
  <r>
    <n v="5221"/>
    <x v="0"/>
    <x v="0"/>
    <x v="2"/>
    <x v="1322"/>
    <x v="0"/>
    <d v="1899-12-31T00:00:00"/>
    <d v="2012-12-01T00:00:00"/>
    <n v="93"/>
    <n v="8"/>
    <n v="0"/>
    <n v="0"/>
    <n v="5"/>
    <n v="69"/>
    <x v="0"/>
    <n v="5"/>
    <x v="3"/>
    <m/>
    <x v="0"/>
    <x v="0"/>
    <x v="0"/>
    <n v="14"/>
    <x v="0"/>
  </r>
  <r>
    <n v="1232"/>
    <x v="18"/>
    <x v="1"/>
    <x v="1"/>
    <x v="1323"/>
    <x v="0"/>
    <d v="1899-12-30T00:00:00"/>
    <d v="2013-10-25T00:00:00"/>
    <n v="54"/>
    <n v="54"/>
    <n v="54"/>
    <n v="54"/>
    <n v="8"/>
    <n v="44"/>
    <x v="1"/>
    <n v="62"/>
    <x v="3"/>
    <m/>
    <x v="0"/>
    <x v="0"/>
    <x v="0"/>
    <n v="13"/>
    <x v="0"/>
  </r>
  <r>
    <n v="1927"/>
    <x v="26"/>
    <x v="4"/>
    <x v="1"/>
    <x v="1324"/>
    <x v="0"/>
    <d v="1899-12-31T00:00:00"/>
    <d v="2014-03-23T00:00:00"/>
    <n v="41"/>
    <n v="27"/>
    <n v="8"/>
    <n v="8"/>
    <n v="5"/>
    <n v="53"/>
    <x v="0"/>
    <n v="13"/>
    <x v="3"/>
    <m/>
    <x v="0"/>
    <x v="0"/>
    <x v="0"/>
    <n v="12"/>
    <x v="0"/>
  </r>
  <r>
    <n v="5788"/>
    <x v="39"/>
    <x v="0"/>
    <x v="1"/>
    <x v="1325"/>
    <x v="1"/>
    <d v="1899-12-30T00:00:00"/>
    <d v="2013-02-17T00:00:00"/>
    <n v="46"/>
    <n v="10"/>
    <n v="7"/>
    <n v="7"/>
    <n v="4"/>
    <n v="54"/>
    <x v="0"/>
    <n v="11"/>
    <x v="3"/>
    <m/>
    <x v="0"/>
    <x v="1"/>
    <x v="0"/>
    <n v="13"/>
    <x v="0"/>
  </r>
  <r>
    <n v="6652"/>
    <x v="2"/>
    <x v="0"/>
    <x v="2"/>
    <x v="1326"/>
    <x v="0"/>
    <d v="1899-12-30T00:00:00"/>
    <d v="2014-06-09T00:00:00"/>
    <n v="28"/>
    <n v="151"/>
    <n v="54"/>
    <n v="54"/>
    <n v="9"/>
    <n v="61"/>
    <x v="0"/>
    <n v="63"/>
    <x v="3"/>
    <m/>
    <x v="0"/>
    <x v="3"/>
    <x v="0"/>
    <n v="12"/>
    <x v="0"/>
  </r>
  <r>
    <n v="6246"/>
    <x v="44"/>
    <x v="0"/>
    <x v="0"/>
    <x v="1327"/>
    <x v="0"/>
    <d v="1899-12-30T00:00:00"/>
    <d v="2013-11-13T00:00:00"/>
    <n v="40"/>
    <n v="102"/>
    <n v="58"/>
    <n v="58"/>
    <n v="8"/>
    <n v="73"/>
    <x v="0"/>
    <n v="66"/>
    <x v="3"/>
    <m/>
    <x v="0"/>
    <x v="0"/>
    <x v="0"/>
    <n v="13"/>
    <x v="0"/>
  </r>
  <r>
    <n v="5975"/>
    <x v="5"/>
    <x v="1"/>
    <x v="0"/>
    <x v="1328"/>
    <x v="1"/>
    <d v="1899-12-30T00:00:00"/>
    <d v="2013-09-30T00:00:00"/>
    <n v="82"/>
    <n v="0"/>
    <n v="0"/>
    <n v="0"/>
    <n v="3"/>
    <n v="59"/>
    <x v="0"/>
    <n v="3"/>
    <x v="3"/>
    <m/>
    <x v="0"/>
    <x v="1"/>
    <x v="0"/>
    <n v="13"/>
    <x v="0"/>
  </r>
  <r>
    <n v="6875"/>
    <x v="2"/>
    <x v="1"/>
    <x v="1"/>
    <x v="1329"/>
    <x v="0"/>
    <d v="1899-12-30T00:00:00"/>
    <d v="2012-08-28T00:00:00"/>
    <n v="38"/>
    <n v="13"/>
    <n v="13"/>
    <n v="13"/>
    <n v="5"/>
    <n v="61"/>
    <x v="0"/>
    <n v="18"/>
    <x v="3"/>
    <m/>
    <x v="0"/>
    <x v="1"/>
    <x v="0"/>
    <n v="14"/>
    <x v="0"/>
  </r>
  <r>
    <n v="4399"/>
    <x v="21"/>
    <x v="0"/>
    <x v="1"/>
    <x v="967"/>
    <x v="0"/>
    <d v="1899-12-30T00:00:00"/>
    <d v="2014-06-25T00:00:00"/>
    <n v="3"/>
    <n v="81"/>
    <n v="50"/>
    <n v="50"/>
    <n v="7"/>
    <n v="57"/>
    <x v="0"/>
    <n v="57"/>
    <x v="3"/>
    <m/>
    <x v="0"/>
    <x v="0"/>
    <x v="0"/>
    <n v="12"/>
    <x v="0"/>
  </r>
  <r>
    <n v="4042"/>
    <x v="6"/>
    <x v="0"/>
    <x v="3"/>
    <x v="1330"/>
    <x v="0"/>
    <d v="1899-12-31T00:00:00"/>
    <d v="2012-10-13T00:00:00"/>
    <n v="87"/>
    <n v="3"/>
    <n v="1"/>
    <n v="1"/>
    <n v="4"/>
    <n v="55"/>
    <x v="0"/>
    <n v="5"/>
    <x v="3"/>
    <m/>
    <x v="0"/>
    <x v="1"/>
    <x v="0"/>
    <n v="14"/>
    <x v="0"/>
  </r>
  <r>
    <n v="2157"/>
    <x v="39"/>
    <x v="0"/>
    <x v="1"/>
    <x v="1331"/>
    <x v="1"/>
    <d v="1899-12-31T00:00:00"/>
    <d v="2013-01-12T00:00:00"/>
    <n v="49"/>
    <n v="8"/>
    <n v="5"/>
    <n v="5"/>
    <n v="4"/>
    <n v="54"/>
    <x v="0"/>
    <n v="9"/>
    <x v="3"/>
    <m/>
    <x v="0"/>
    <x v="2"/>
    <x v="0"/>
    <n v="13"/>
    <x v="0"/>
  </r>
  <r>
    <n v="10133"/>
    <x v="25"/>
    <x v="0"/>
    <x v="0"/>
    <x v="1332"/>
    <x v="0"/>
    <d v="1899-12-30T00:00:00"/>
    <d v="2014-02-12T00:00:00"/>
    <n v="16"/>
    <n v="68"/>
    <n v="114"/>
    <n v="114"/>
    <n v="12"/>
    <n v="56"/>
    <x v="0"/>
    <n v="126"/>
    <x v="3"/>
    <m/>
    <x v="0"/>
    <x v="3"/>
    <x v="0"/>
    <n v="12"/>
    <x v="0"/>
  </r>
  <r>
    <n v="2525"/>
    <x v="8"/>
    <x v="1"/>
    <x v="2"/>
    <x v="1333"/>
    <x v="0"/>
    <d v="1899-12-30T00:00:00"/>
    <d v="2012-09-14T00:00:00"/>
    <n v="65"/>
    <n v="64"/>
    <n v="64"/>
    <n v="64"/>
    <n v="9"/>
    <n v="52"/>
    <x v="0"/>
    <n v="73"/>
    <x v="3"/>
    <m/>
    <x v="0"/>
    <x v="1"/>
    <x v="0"/>
    <n v="14"/>
    <x v="0"/>
  </r>
  <r>
    <n v="8233"/>
    <x v="9"/>
    <x v="2"/>
    <x v="4"/>
    <x v="1334"/>
    <x v="0"/>
    <d v="1899-12-31T00:00:00"/>
    <d v="2014-01-26T00:00:00"/>
    <n v="9"/>
    <n v="5"/>
    <n v="5"/>
    <n v="5"/>
    <n v="7"/>
    <n v="76"/>
    <x v="0"/>
    <n v="12"/>
    <x v="3"/>
    <m/>
    <x v="0"/>
    <x v="0"/>
    <x v="0"/>
    <n v="12"/>
    <x v="0"/>
  </r>
  <r>
    <n v="9483"/>
    <x v="12"/>
    <x v="0"/>
    <x v="1"/>
    <x v="1335"/>
    <x v="0"/>
    <d v="1899-12-31T00:00:00"/>
    <d v="2013-08-19T00:00:00"/>
    <n v="24"/>
    <n v="59"/>
    <n v="5"/>
    <n v="5"/>
    <n v="8"/>
    <n v="67"/>
    <x v="0"/>
    <n v="13"/>
    <x v="3"/>
    <m/>
    <x v="0"/>
    <x v="0"/>
    <x v="0"/>
    <n v="13"/>
    <x v="0"/>
  </r>
  <r>
    <n v="2945"/>
    <x v="34"/>
    <x v="1"/>
    <x v="1"/>
    <x v="863"/>
    <x v="1"/>
    <d v="1899-12-31T00:00:00"/>
    <d v="2014-04-13T00:00:00"/>
    <n v="25"/>
    <n v="0"/>
    <n v="0"/>
    <n v="0"/>
    <n v="3"/>
    <n v="71"/>
    <x v="0"/>
    <n v="3"/>
    <x v="3"/>
    <m/>
    <x v="0"/>
    <x v="1"/>
    <x v="0"/>
    <n v="12"/>
    <x v="0"/>
  </r>
  <r>
    <n v="10403"/>
    <x v="33"/>
    <x v="0"/>
    <x v="1"/>
    <x v="1336"/>
    <x v="1"/>
    <d v="1899-12-30T00:00:00"/>
    <d v="2014-06-18T00:00:00"/>
    <n v="43"/>
    <n v="13"/>
    <n v="5"/>
    <n v="5"/>
    <n v="3"/>
    <n v="48"/>
    <x v="1"/>
    <n v="8"/>
    <x v="3"/>
    <m/>
    <x v="0"/>
    <x v="2"/>
    <x v="0"/>
    <n v="12"/>
    <x v="0"/>
  </r>
  <r>
    <n v="5074"/>
    <x v="22"/>
    <x v="2"/>
    <x v="2"/>
    <x v="1337"/>
    <x v="1"/>
    <d v="1899-12-30T00:00:00"/>
    <d v="2013-07-08T00:00:00"/>
    <n v="10"/>
    <n v="0"/>
    <n v="0"/>
    <n v="0"/>
    <n v="3"/>
    <n v="40"/>
    <x v="1"/>
    <n v="3"/>
    <x v="3"/>
    <m/>
    <x v="0"/>
    <x v="2"/>
    <x v="0"/>
    <n v="13"/>
    <x v="0"/>
  </r>
  <r>
    <n v="10524"/>
    <x v="24"/>
    <x v="2"/>
    <x v="3"/>
    <x v="1338"/>
    <x v="0"/>
    <d v="1899-12-31T00:00:00"/>
    <d v="2013-06-20T00:00:00"/>
    <n v="29"/>
    <n v="23"/>
    <n v="41"/>
    <n v="41"/>
    <n v="5"/>
    <n v="63"/>
    <x v="0"/>
    <n v="46"/>
    <x v="3"/>
    <m/>
    <x v="0"/>
    <x v="1"/>
    <x v="0"/>
    <n v="13"/>
    <x v="0"/>
  </r>
  <r>
    <n v="4690"/>
    <x v="44"/>
    <x v="0"/>
    <x v="2"/>
    <x v="1339"/>
    <x v="0"/>
    <d v="1899-12-31T00:00:00"/>
    <d v="2013-02-13T00:00:00"/>
    <n v="45"/>
    <n v="10"/>
    <n v="10"/>
    <n v="10"/>
    <n v="8"/>
    <n v="73"/>
    <x v="0"/>
    <n v="18"/>
    <x v="3"/>
    <m/>
    <x v="0"/>
    <x v="0"/>
    <x v="0"/>
    <n v="13"/>
    <x v="0"/>
  </r>
  <r>
    <n v="7521"/>
    <x v="13"/>
    <x v="0"/>
    <x v="1"/>
    <x v="698"/>
    <x v="0"/>
    <d v="1899-12-30T00:00:00"/>
    <d v="2013-05-12T00:00:00"/>
    <n v="57"/>
    <n v="31"/>
    <n v="31"/>
    <n v="31"/>
    <n v="11"/>
    <n v="74"/>
    <x v="0"/>
    <n v="42"/>
    <x v="3"/>
    <m/>
    <x v="0"/>
    <x v="3"/>
    <x v="0"/>
    <n v="13"/>
    <x v="0"/>
  </r>
  <r>
    <n v="7196"/>
    <x v="9"/>
    <x v="1"/>
    <x v="2"/>
    <x v="1340"/>
    <x v="1"/>
    <d v="1899-12-31T00:00:00"/>
    <d v="2014-02-08T00:00:00"/>
    <n v="20"/>
    <n v="0"/>
    <n v="0"/>
    <n v="0"/>
    <n v="3"/>
    <n v="76"/>
    <x v="0"/>
    <n v="3"/>
    <x v="3"/>
    <m/>
    <x v="0"/>
    <x v="1"/>
    <x v="0"/>
    <n v="12"/>
    <x v="0"/>
  </r>
  <r>
    <n v="4406"/>
    <x v="25"/>
    <x v="0"/>
    <x v="1"/>
    <x v="1341"/>
    <x v="0"/>
    <d v="1899-12-31T00:00:00"/>
    <d v="2013-01-16T00:00:00"/>
    <n v="29"/>
    <n v="84"/>
    <n v="56"/>
    <n v="56"/>
    <n v="8"/>
    <n v="56"/>
    <x v="0"/>
    <n v="64"/>
    <x v="3"/>
    <m/>
    <x v="0"/>
    <x v="0"/>
    <x v="0"/>
    <n v="13"/>
    <x v="0"/>
  </r>
  <r>
    <n v="9672"/>
    <x v="25"/>
    <x v="4"/>
    <x v="2"/>
    <x v="1342"/>
    <x v="1"/>
    <d v="1899-12-31T00:00:00"/>
    <d v="2013-12-21T00:00:00"/>
    <n v="82"/>
    <n v="3"/>
    <n v="4"/>
    <n v="4"/>
    <n v="3"/>
    <n v="56"/>
    <x v="0"/>
    <n v="7"/>
    <x v="3"/>
    <m/>
    <x v="0"/>
    <x v="2"/>
    <x v="0"/>
    <n v="13"/>
    <x v="0"/>
  </r>
  <r>
    <n v="4864"/>
    <x v="32"/>
    <x v="0"/>
    <x v="2"/>
    <x v="1343"/>
    <x v="1"/>
    <d v="1899-12-30T00:00:00"/>
    <d v="2013-05-02T00:00:00"/>
    <n v="68"/>
    <n v="7"/>
    <n v="1"/>
    <n v="1"/>
    <n v="3"/>
    <n v="49"/>
    <x v="1"/>
    <n v="4"/>
    <x v="3"/>
    <m/>
    <x v="0"/>
    <x v="1"/>
    <x v="0"/>
    <n v="13"/>
    <x v="0"/>
  </r>
  <r>
    <n v="4706"/>
    <x v="35"/>
    <x v="0"/>
    <x v="0"/>
    <x v="1344"/>
    <x v="0"/>
    <d v="1899-12-31T00:00:00"/>
    <d v="2013-04-27T00:00:00"/>
    <n v="65"/>
    <n v="0"/>
    <n v="1"/>
    <n v="1"/>
    <n v="3"/>
    <n v="60"/>
    <x v="0"/>
    <n v="4"/>
    <x v="3"/>
    <m/>
    <x v="0"/>
    <x v="1"/>
    <x v="0"/>
    <n v="13"/>
    <x v="0"/>
  </r>
  <r>
    <n v="4070"/>
    <x v="21"/>
    <x v="1"/>
    <x v="2"/>
    <x v="1345"/>
    <x v="0"/>
    <d v="1900-01-01T00:00:00"/>
    <d v="2012-09-01T00:00:00"/>
    <n v="99"/>
    <n v="24"/>
    <n v="0"/>
    <n v="0"/>
    <n v="4"/>
    <n v="57"/>
    <x v="0"/>
    <n v="4"/>
    <x v="3"/>
    <m/>
    <x v="0"/>
    <x v="3"/>
    <x v="0"/>
    <n v="14"/>
    <x v="0"/>
  </r>
  <r>
    <n v="25"/>
    <x v="38"/>
    <x v="0"/>
    <x v="2"/>
    <x v="1346"/>
    <x v="0"/>
    <d v="1899-12-31T00:00:00"/>
    <d v="2012-11-16T00:00:00"/>
    <n v="9"/>
    <n v="35"/>
    <n v="12"/>
    <n v="12"/>
    <n v="7"/>
    <n v="68"/>
    <x v="0"/>
    <n v="19"/>
    <x v="3"/>
    <m/>
    <x v="0"/>
    <x v="0"/>
    <x v="0"/>
    <n v="14"/>
    <x v="0"/>
  </r>
  <r>
    <n v="3697"/>
    <x v="1"/>
    <x v="0"/>
    <x v="1"/>
    <x v="1347"/>
    <x v="0"/>
    <d v="1899-12-31T00:00:00"/>
    <d v="2013-02-12T00:00:00"/>
    <n v="20"/>
    <n v="8"/>
    <n v="7"/>
    <n v="7"/>
    <n v="4"/>
    <n v="72"/>
    <x v="0"/>
    <n v="11"/>
    <x v="3"/>
    <m/>
    <x v="0"/>
    <x v="1"/>
    <x v="0"/>
    <n v="13"/>
    <x v="0"/>
  </r>
  <r>
    <n v="217"/>
    <x v="46"/>
    <x v="2"/>
    <x v="0"/>
    <x v="1213"/>
    <x v="0"/>
    <d v="1899-12-30T00:00:00"/>
    <d v="2012-11-23T00:00:00"/>
    <n v="78"/>
    <n v="14"/>
    <n v="0"/>
    <n v="0"/>
    <n v="10"/>
    <n v="70"/>
    <x v="0"/>
    <n v="10"/>
    <x v="3"/>
    <m/>
    <x v="0"/>
    <x v="0"/>
    <x v="0"/>
    <n v="14"/>
    <x v="0"/>
  </r>
  <r>
    <n v="4220"/>
    <x v="25"/>
    <x v="1"/>
    <x v="2"/>
    <x v="1348"/>
    <x v="0"/>
    <d v="1899-12-31T00:00:00"/>
    <d v="2013-11-02T00:00:00"/>
    <n v="26"/>
    <n v="0"/>
    <n v="1"/>
    <n v="1"/>
    <n v="3"/>
    <n v="56"/>
    <x v="0"/>
    <n v="4"/>
    <x v="3"/>
    <m/>
    <x v="0"/>
    <x v="0"/>
    <x v="0"/>
    <n v="13"/>
    <x v="0"/>
  </r>
  <r>
    <n v="5286"/>
    <x v="14"/>
    <x v="2"/>
    <x v="0"/>
    <x v="1349"/>
    <x v="0"/>
    <d v="1899-12-30T00:00:00"/>
    <d v="2013-10-28T00:00:00"/>
    <n v="68"/>
    <n v="1"/>
    <n v="7"/>
    <n v="7"/>
    <n v="4"/>
    <n v="39"/>
    <x v="1"/>
    <n v="11"/>
    <x v="3"/>
    <m/>
    <x v="0"/>
    <x v="1"/>
    <x v="0"/>
    <n v="13"/>
    <x v="0"/>
  </r>
  <r>
    <n v="9559"/>
    <x v="45"/>
    <x v="1"/>
    <x v="2"/>
    <x v="1350"/>
    <x v="0"/>
    <d v="1899-12-31T00:00:00"/>
    <d v="2014-01-24T00:00:00"/>
    <n v="79"/>
    <n v="0"/>
    <n v="0"/>
    <n v="0"/>
    <n v="13"/>
    <n v="65"/>
    <x v="0"/>
    <n v="13"/>
    <x v="3"/>
    <m/>
    <x v="0"/>
    <x v="0"/>
    <x v="0"/>
    <n v="12"/>
    <x v="0"/>
  </r>
  <r>
    <n v="2849"/>
    <x v="19"/>
    <x v="0"/>
    <x v="0"/>
    <x v="803"/>
    <x v="0"/>
    <d v="1899-12-31T00:00:00"/>
    <d v="2013-04-01T00:00:00"/>
    <n v="25"/>
    <n v="199"/>
    <n v="9"/>
    <n v="9"/>
    <n v="12"/>
    <n v="47"/>
    <x v="1"/>
    <n v="21"/>
    <x v="3"/>
    <m/>
    <x v="0"/>
    <x v="0"/>
    <x v="0"/>
    <n v="13"/>
    <x v="0"/>
  </r>
  <r>
    <n v="7787"/>
    <x v="40"/>
    <x v="0"/>
    <x v="1"/>
    <x v="567"/>
    <x v="0"/>
    <d v="1899-12-31T00:00:00"/>
    <d v="2012-08-31T00:00:00"/>
    <n v="83"/>
    <n v="28"/>
    <n v="21"/>
    <n v="21"/>
    <n v="12"/>
    <n v="66"/>
    <x v="0"/>
    <n v="33"/>
    <x v="3"/>
    <m/>
    <x v="0"/>
    <x v="0"/>
    <x v="0"/>
    <n v="14"/>
    <x v="0"/>
  </r>
  <r>
    <n v="3102"/>
    <x v="4"/>
    <x v="4"/>
    <x v="1"/>
    <x v="1351"/>
    <x v="1"/>
    <d v="1899-12-30T00:00:00"/>
    <d v="2013-10-16T00:00:00"/>
    <n v="32"/>
    <n v="3"/>
    <n v="5"/>
    <n v="5"/>
    <n v="3"/>
    <n v="45"/>
    <x v="1"/>
    <n v="8"/>
    <x v="3"/>
    <m/>
    <x v="0"/>
    <x v="2"/>
    <x v="0"/>
    <n v="13"/>
    <x v="0"/>
  </r>
  <r>
    <n v="5868"/>
    <x v="16"/>
    <x v="0"/>
    <x v="2"/>
    <x v="1352"/>
    <x v="1"/>
    <d v="1899-12-30T00:00:00"/>
    <d v="2013-08-22T00:00:00"/>
    <n v="49"/>
    <n v="4"/>
    <n v="5"/>
    <n v="5"/>
    <n v="3"/>
    <n v="46"/>
    <x v="1"/>
    <n v="8"/>
    <x v="3"/>
    <m/>
    <x v="0"/>
    <x v="2"/>
    <x v="0"/>
    <n v="13"/>
    <x v="0"/>
  </r>
  <r>
    <n v="8370"/>
    <x v="11"/>
    <x v="4"/>
    <x v="1"/>
    <x v="1353"/>
    <x v="0"/>
    <d v="1899-12-31T00:00:00"/>
    <d v="2012-08-02T00:00:00"/>
    <n v="50"/>
    <n v="97"/>
    <n v="194"/>
    <n v="194"/>
    <n v="6"/>
    <n v="50"/>
    <x v="1"/>
    <n v="200"/>
    <x v="3"/>
    <m/>
    <x v="0"/>
    <x v="3"/>
    <x v="0"/>
    <n v="14"/>
    <x v="0"/>
  </r>
  <r>
    <n v="9988"/>
    <x v="11"/>
    <x v="2"/>
    <x v="0"/>
    <x v="1354"/>
    <x v="0"/>
    <d v="1899-12-31T00:00:00"/>
    <d v="2013-03-03T00:00:00"/>
    <n v="84"/>
    <n v="25"/>
    <n v="67"/>
    <n v="67"/>
    <n v="13"/>
    <n v="50"/>
    <x v="1"/>
    <n v="80"/>
    <x v="3"/>
    <m/>
    <x v="0"/>
    <x v="0"/>
    <x v="0"/>
    <n v="13"/>
    <x v="0"/>
  </r>
  <r>
    <n v="2939"/>
    <x v="25"/>
    <x v="2"/>
    <x v="1"/>
    <x v="1355"/>
    <x v="0"/>
    <d v="1899-12-30T00:00:00"/>
    <d v="2014-06-22T00:00:00"/>
    <n v="96"/>
    <n v="127"/>
    <n v="15"/>
    <n v="15"/>
    <n v="4"/>
    <n v="56"/>
    <x v="0"/>
    <n v="19"/>
    <x v="3"/>
    <m/>
    <x v="0"/>
    <x v="3"/>
    <x v="0"/>
    <n v="12"/>
    <x v="0"/>
  </r>
  <r>
    <n v="5529"/>
    <x v="15"/>
    <x v="1"/>
    <x v="1"/>
    <x v="1356"/>
    <x v="2"/>
    <d v="1899-12-31T00:00:00"/>
    <d v="2014-06-10T00:00:00"/>
    <n v="56"/>
    <n v="0"/>
    <n v="0"/>
    <n v="0"/>
    <n v="5"/>
    <n v="80"/>
    <x v="0"/>
    <n v="5"/>
    <x v="3"/>
    <m/>
    <x v="0"/>
    <x v="0"/>
    <x v="0"/>
    <n v="12"/>
    <x v="0"/>
  </r>
  <r>
    <n v="9743"/>
    <x v="34"/>
    <x v="0"/>
    <x v="2"/>
    <x v="1357"/>
    <x v="0"/>
    <d v="1899-12-31T00:00:00"/>
    <d v="2013-01-11T00:00:00"/>
    <n v="85"/>
    <n v="89"/>
    <n v="35"/>
    <n v="35"/>
    <n v="8"/>
    <n v="71"/>
    <x v="0"/>
    <n v="43"/>
    <x v="3"/>
    <m/>
    <x v="0"/>
    <x v="3"/>
    <x v="0"/>
    <n v="13"/>
    <x v="0"/>
  </r>
  <r>
    <n v="5763"/>
    <x v="39"/>
    <x v="2"/>
    <x v="1"/>
    <x v="1358"/>
    <x v="1"/>
    <d v="1899-12-30T00:00:00"/>
    <d v="2013-11-10T00:00:00"/>
    <n v="63"/>
    <n v="17"/>
    <n v="0"/>
    <n v="0"/>
    <n v="5"/>
    <n v="54"/>
    <x v="0"/>
    <n v="5"/>
    <x v="3"/>
    <m/>
    <x v="0"/>
    <x v="1"/>
    <x v="0"/>
    <n v="13"/>
    <x v="0"/>
  </r>
  <r>
    <n v="3478"/>
    <x v="6"/>
    <x v="1"/>
    <x v="2"/>
    <x v="1359"/>
    <x v="1"/>
    <d v="1899-12-31T00:00:00"/>
    <d v="2013-06-24T00:00:00"/>
    <n v="17"/>
    <n v="42"/>
    <n v="42"/>
    <n v="42"/>
    <n v="9"/>
    <n v="55"/>
    <x v="0"/>
    <n v="51"/>
    <x v="3"/>
    <m/>
    <x v="0"/>
    <x v="0"/>
    <x v="0"/>
    <n v="13"/>
    <x v="0"/>
  </r>
  <r>
    <n v="7494"/>
    <x v="9"/>
    <x v="1"/>
    <x v="3"/>
    <x v="1360"/>
    <x v="1"/>
    <d v="1899-12-31T00:00:00"/>
    <d v="2013-01-21T00:00:00"/>
    <n v="11"/>
    <n v="0"/>
    <n v="2"/>
    <n v="2"/>
    <n v="4"/>
    <n v="76"/>
    <x v="0"/>
    <n v="6"/>
    <x v="3"/>
    <m/>
    <x v="0"/>
    <x v="1"/>
    <x v="0"/>
    <n v="13"/>
    <x v="0"/>
  </r>
  <r>
    <n v="1763"/>
    <x v="36"/>
    <x v="0"/>
    <x v="1"/>
    <x v="1361"/>
    <x v="0"/>
    <d v="1899-12-30T00:00:00"/>
    <d v="2013-07-27T00:00:00"/>
    <n v="62"/>
    <n v="172"/>
    <n v="148"/>
    <n v="148"/>
    <n v="10"/>
    <n v="38"/>
    <x v="1"/>
    <n v="158"/>
    <x v="3"/>
    <m/>
    <x v="0"/>
    <x v="3"/>
    <x v="0"/>
    <n v="13"/>
    <x v="0"/>
  </r>
  <r>
    <n v="7250"/>
    <x v="33"/>
    <x v="0"/>
    <x v="1"/>
    <x v="1362"/>
    <x v="1"/>
    <d v="1899-12-30T00:00:00"/>
    <d v="2013-10-01T00:00:00"/>
    <n v="48"/>
    <n v="35"/>
    <n v="23"/>
    <n v="23"/>
    <n v="9"/>
    <n v="48"/>
    <x v="1"/>
    <n v="32"/>
    <x v="3"/>
    <m/>
    <x v="0"/>
    <x v="0"/>
    <x v="0"/>
    <n v="13"/>
    <x v="0"/>
  </r>
  <r>
    <n v="2005"/>
    <x v="50"/>
    <x v="0"/>
    <x v="2"/>
    <x v="1363"/>
    <x v="1"/>
    <d v="1899-12-30T00:00:00"/>
    <d v="2013-12-11T00:00:00"/>
    <n v="86"/>
    <n v="3"/>
    <n v="5"/>
    <n v="5"/>
    <n v="4"/>
    <n v="36"/>
    <x v="1"/>
    <n v="9"/>
    <x v="3"/>
    <m/>
    <x v="0"/>
    <x v="1"/>
    <x v="0"/>
    <n v="13"/>
    <x v="0"/>
  </r>
  <r>
    <n v="10770"/>
    <x v="12"/>
    <x v="0"/>
    <x v="2"/>
    <x v="1364"/>
    <x v="0"/>
    <d v="1899-12-30T00:00:00"/>
    <d v="2014-01-26T00:00:00"/>
    <n v="73"/>
    <n v="161"/>
    <n v="85"/>
    <n v="85"/>
    <n v="13"/>
    <n v="67"/>
    <x v="0"/>
    <n v="98"/>
    <x v="3"/>
    <m/>
    <x v="0"/>
    <x v="0"/>
    <x v="0"/>
    <n v="12"/>
    <x v="0"/>
  </r>
  <r>
    <n v="6885"/>
    <x v="32"/>
    <x v="0"/>
    <x v="3"/>
    <x v="1365"/>
    <x v="1"/>
    <d v="1899-12-30T00:00:00"/>
    <d v="2013-12-01T00:00:00"/>
    <n v="36"/>
    <n v="0"/>
    <n v="1"/>
    <n v="1"/>
    <n v="3"/>
    <n v="49"/>
    <x v="1"/>
    <n v="4"/>
    <x v="3"/>
    <m/>
    <x v="0"/>
    <x v="1"/>
    <x v="0"/>
    <n v="13"/>
    <x v="0"/>
  </r>
  <r>
    <n v="2072"/>
    <x v="21"/>
    <x v="1"/>
    <x v="1"/>
    <x v="1366"/>
    <x v="0"/>
    <d v="1899-12-31T00:00:00"/>
    <d v="2012-08-16T00:00:00"/>
    <n v="34"/>
    <n v="10"/>
    <n v="10"/>
    <n v="10"/>
    <n v="9"/>
    <n v="57"/>
    <x v="0"/>
    <n v="19"/>
    <x v="3"/>
    <m/>
    <x v="0"/>
    <x v="0"/>
    <x v="0"/>
    <n v="14"/>
    <x v="0"/>
  </r>
  <r>
    <n v="9463"/>
    <x v="12"/>
    <x v="0"/>
    <x v="1"/>
    <x v="1367"/>
    <x v="0"/>
    <d v="1899-12-31T00:00:00"/>
    <d v="2012-11-13T00:00:00"/>
    <n v="16"/>
    <n v="56"/>
    <n v="98"/>
    <n v="98"/>
    <n v="7"/>
    <n v="67"/>
    <x v="0"/>
    <n v="105"/>
    <x v="3"/>
    <m/>
    <x v="0"/>
    <x v="0"/>
    <x v="0"/>
    <n v="14"/>
    <x v="0"/>
  </r>
  <r>
    <n v="6318"/>
    <x v="36"/>
    <x v="0"/>
    <x v="2"/>
    <x v="1368"/>
    <x v="0"/>
    <d v="1899-12-30T00:00:00"/>
    <d v="2013-01-13T00:00:00"/>
    <n v="48"/>
    <n v="12"/>
    <n v="89"/>
    <n v="89"/>
    <n v="13"/>
    <n v="38"/>
    <x v="1"/>
    <n v="102"/>
    <x v="3"/>
    <m/>
    <x v="0"/>
    <x v="0"/>
    <x v="0"/>
    <n v="13"/>
    <x v="0"/>
  </r>
  <r>
    <n v="4093"/>
    <x v="28"/>
    <x v="2"/>
    <x v="1"/>
    <x v="1369"/>
    <x v="1"/>
    <d v="1899-12-31T00:00:00"/>
    <d v="2013-02-11T00:00:00"/>
    <n v="61"/>
    <n v="9"/>
    <n v="9"/>
    <n v="9"/>
    <n v="5"/>
    <n v="51"/>
    <x v="0"/>
    <n v="14"/>
    <x v="3"/>
    <m/>
    <x v="0"/>
    <x v="0"/>
    <x v="0"/>
    <n v="13"/>
    <x v="0"/>
  </r>
  <r>
    <n v="5751"/>
    <x v="26"/>
    <x v="4"/>
    <x v="3"/>
    <x v="1308"/>
    <x v="1"/>
    <d v="1899-12-30T00:00:00"/>
    <d v="2014-02-13T00:00:00"/>
    <n v="54"/>
    <n v="3"/>
    <n v="2"/>
    <n v="2"/>
    <n v="3"/>
    <n v="53"/>
    <x v="0"/>
    <n v="5"/>
    <x v="3"/>
    <m/>
    <x v="0"/>
    <x v="1"/>
    <x v="0"/>
    <n v="12"/>
    <x v="0"/>
  </r>
  <r>
    <n v="3340"/>
    <x v="32"/>
    <x v="0"/>
    <x v="2"/>
    <x v="1370"/>
    <x v="1"/>
    <d v="1899-12-30T00:00:00"/>
    <d v="2012-08-17T00:00:00"/>
    <n v="56"/>
    <n v="15"/>
    <n v="15"/>
    <n v="15"/>
    <n v="6"/>
    <n v="49"/>
    <x v="1"/>
    <n v="21"/>
    <x v="3"/>
    <m/>
    <x v="0"/>
    <x v="1"/>
    <x v="0"/>
    <n v="14"/>
    <x v="0"/>
  </r>
  <r>
    <n v="3594"/>
    <x v="26"/>
    <x v="2"/>
    <x v="2"/>
    <x v="1371"/>
    <x v="1"/>
    <d v="1899-12-31T00:00:00"/>
    <d v="2012-11-05T00:00:00"/>
    <n v="74"/>
    <n v="6"/>
    <n v="6"/>
    <n v="6"/>
    <n v="9"/>
    <n v="53"/>
    <x v="0"/>
    <n v="15"/>
    <x v="3"/>
    <m/>
    <x v="0"/>
    <x v="0"/>
    <x v="0"/>
    <n v="14"/>
    <x v="0"/>
  </r>
  <r>
    <n v="3584"/>
    <x v="34"/>
    <x v="1"/>
    <x v="0"/>
    <x v="1372"/>
    <x v="0"/>
    <d v="1899-12-30T00:00:00"/>
    <d v="2012-08-20T00:00:00"/>
    <n v="35"/>
    <n v="26"/>
    <n v="13"/>
    <n v="13"/>
    <n v="5"/>
    <n v="71"/>
    <x v="0"/>
    <n v="18"/>
    <x v="3"/>
    <m/>
    <x v="0"/>
    <x v="1"/>
    <x v="0"/>
    <n v="14"/>
    <x v="0"/>
  </r>
  <r>
    <n v="3643"/>
    <x v="8"/>
    <x v="2"/>
    <x v="2"/>
    <x v="1373"/>
    <x v="0"/>
    <d v="1899-12-30T00:00:00"/>
    <d v="2014-03-20T00:00:00"/>
    <n v="65"/>
    <n v="8"/>
    <n v="8"/>
    <n v="8"/>
    <n v="6"/>
    <n v="52"/>
    <x v="0"/>
    <n v="14"/>
    <x v="3"/>
    <m/>
    <x v="0"/>
    <x v="0"/>
    <x v="0"/>
    <n v="12"/>
    <x v="0"/>
  </r>
  <r>
    <n v="851"/>
    <x v="39"/>
    <x v="2"/>
    <x v="2"/>
    <x v="1374"/>
    <x v="1"/>
    <d v="1899-12-31T00:00:00"/>
    <d v="2013-07-09T00:00:00"/>
    <n v="48"/>
    <n v="5"/>
    <n v="109"/>
    <n v="109"/>
    <n v="10"/>
    <n v="54"/>
    <x v="0"/>
    <n v="119"/>
    <x v="3"/>
    <m/>
    <x v="0"/>
    <x v="0"/>
    <x v="0"/>
    <n v="13"/>
    <x v="0"/>
  </r>
  <r>
    <n v="7706"/>
    <x v="28"/>
    <x v="4"/>
    <x v="1"/>
    <x v="1375"/>
    <x v="0"/>
    <d v="1899-12-31T00:00:00"/>
    <d v="2012-11-07T00:00:00"/>
    <n v="88"/>
    <n v="104"/>
    <n v="151"/>
    <n v="151"/>
    <n v="5"/>
    <n v="51"/>
    <x v="0"/>
    <n v="156"/>
    <x v="3"/>
    <m/>
    <x v="0"/>
    <x v="1"/>
    <x v="0"/>
    <n v="14"/>
    <x v="0"/>
  </r>
  <r>
    <n v="3967"/>
    <x v="6"/>
    <x v="1"/>
    <x v="2"/>
    <x v="1376"/>
    <x v="0"/>
    <d v="1899-12-30T00:00:00"/>
    <d v="2013-10-25T00:00:00"/>
    <n v="19"/>
    <n v="197"/>
    <n v="152"/>
    <n v="152"/>
    <n v="13"/>
    <n v="55"/>
    <x v="0"/>
    <n v="165"/>
    <x v="3"/>
    <m/>
    <x v="0"/>
    <x v="3"/>
    <x v="0"/>
    <n v="13"/>
    <x v="0"/>
  </r>
  <r>
    <n v="10128"/>
    <x v="38"/>
    <x v="0"/>
    <x v="1"/>
    <x v="1377"/>
    <x v="0"/>
    <d v="1899-12-31T00:00:00"/>
    <d v="2013-06-08T00:00:00"/>
    <n v="21"/>
    <n v="16"/>
    <n v="24"/>
    <n v="24"/>
    <n v="12"/>
    <n v="68"/>
    <x v="0"/>
    <n v="36"/>
    <x v="3"/>
    <m/>
    <x v="0"/>
    <x v="0"/>
    <x v="0"/>
    <n v="13"/>
    <x v="0"/>
  </r>
  <r>
    <n v="486"/>
    <x v="36"/>
    <x v="0"/>
    <x v="2"/>
    <x v="911"/>
    <x v="0"/>
    <d v="1899-12-30T00:00:00"/>
    <d v="2014-02-02T00:00:00"/>
    <n v="27"/>
    <n v="137"/>
    <n v="137"/>
    <n v="137"/>
    <n v="10"/>
    <n v="38"/>
    <x v="1"/>
    <n v="147"/>
    <x v="3"/>
    <m/>
    <x v="0"/>
    <x v="3"/>
    <x v="0"/>
    <n v="12"/>
    <x v="0"/>
  </r>
  <r>
    <n v="9"/>
    <x v="28"/>
    <x v="2"/>
    <x v="0"/>
    <x v="352"/>
    <x v="1"/>
    <d v="1899-12-31T00:00:00"/>
    <d v="2012-08-18T00:00:00"/>
    <n v="86"/>
    <n v="0"/>
    <n v="0"/>
    <n v="0"/>
    <n v="2"/>
    <n v="51"/>
    <x v="0"/>
    <n v="2"/>
    <x v="3"/>
    <m/>
    <x v="0"/>
    <x v="1"/>
    <x v="0"/>
    <n v="14"/>
    <x v="0"/>
  </r>
  <r>
    <n v="9451"/>
    <x v="2"/>
    <x v="0"/>
    <x v="2"/>
    <x v="1378"/>
    <x v="0"/>
    <d v="1899-12-31T00:00:00"/>
    <d v="2012-11-25T00:00:00"/>
    <n v="92"/>
    <n v="76"/>
    <n v="137"/>
    <n v="137"/>
    <n v="9"/>
    <n v="61"/>
    <x v="0"/>
    <n v="146"/>
    <x v="3"/>
    <m/>
    <x v="0"/>
    <x v="0"/>
    <x v="0"/>
    <n v="14"/>
    <x v="0"/>
  </r>
  <r>
    <n v="9264"/>
    <x v="22"/>
    <x v="0"/>
    <x v="2"/>
    <x v="1379"/>
    <x v="0"/>
    <d v="1899-12-30T00:00:00"/>
    <d v="2014-04-27T00:00:00"/>
    <n v="1"/>
    <n v="42"/>
    <n v="197"/>
    <n v="197"/>
    <n v="9"/>
    <n v="40"/>
    <x v="1"/>
    <n v="206"/>
    <x v="3"/>
    <m/>
    <x v="0"/>
    <x v="3"/>
    <x v="0"/>
    <n v="12"/>
    <x v="0"/>
  </r>
  <r>
    <n v="3865"/>
    <x v="32"/>
    <x v="4"/>
    <x v="1"/>
    <x v="1380"/>
    <x v="0"/>
    <d v="1899-12-30T00:00:00"/>
    <d v="2013-04-30T00:00:00"/>
    <n v="14"/>
    <n v="12"/>
    <n v="13"/>
    <n v="13"/>
    <n v="2"/>
    <n v="49"/>
    <x v="1"/>
    <n v="15"/>
    <x v="3"/>
    <m/>
    <x v="0"/>
    <x v="2"/>
    <x v="0"/>
    <n v="13"/>
    <x v="0"/>
  </r>
  <r>
    <n v="2853"/>
    <x v="16"/>
    <x v="0"/>
    <x v="0"/>
    <x v="1381"/>
    <x v="1"/>
    <d v="1899-12-30T00:00:00"/>
    <d v="2014-03-11T00:00:00"/>
    <n v="74"/>
    <n v="51"/>
    <n v="20"/>
    <n v="20"/>
    <n v="4"/>
    <n v="46"/>
    <x v="1"/>
    <n v="24"/>
    <x v="3"/>
    <m/>
    <x v="0"/>
    <x v="0"/>
    <x v="0"/>
    <n v="12"/>
    <x v="0"/>
  </r>
  <r>
    <n v="1490"/>
    <x v="43"/>
    <x v="0"/>
    <x v="2"/>
    <x v="1382"/>
    <x v="0"/>
    <d v="1899-12-31T00:00:00"/>
    <d v="2012-11-28T00:00:00"/>
    <n v="84"/>
    <n v="0"/>
    <n v="7"/>
    <n v="7"/>
    <n v="8"/>
    <n v="64"/>
    <x v="0"/>
    <n v="15"/>
    <x v="3"/>
    <m/>
    <x v="0"/>
    <x v="0"/>
    <x v="0"/>
    <n v="14"/>
    <x v="0"/>
  </r>
  <r>
    <n v="6310"/>
    <x v="33"/>
    <x v="0"/>
    <x v="2"/>
    <x v="527"/>
    <x v="1"/>
    <d v="1899-12-30T00:00:00"/>
    <d v="2013-09-09T00:00:00"/>
    <n v="4"/>
    <n v="8"/>
    <n v="8"/>
    <n v="8"/>
    <n v="4"/>
    <n v="48"/>
    <x v="1"/>
    <n v="12"/>
    <x v="3"/>
    <m/>
    <x v="0"/>
    <x v="1"/>
    <x v="0"/>
    <n v="13"/>
    <x v="0"/>
  </r>
  <r>
    <n v="10380"/>
    <x v="39"/>
    <x v="2"/>
    <x v="2"/>
    <x v="1383"/>
    <x v="1"/>
    <d v="1899-12-30T00:00:00"/>
    <d v="2013-09-20T00:00:00"/>
    <n v="50"/>
    <n v="1"/>
    <n v="3"/>
    <n v="3"/>
    <n v="3"/>
    <n v="54"/>
    <x v="0"/>
    <n v="6"/>
    <x v="3"/>
    <m/>
    <x v="0"/>
    <x v="1"/>
    <x v="0"/>
    <n v="13"/>
    <x v="0"/>
  </r>
  <r>
    <n v="3887"/>
    <x v="25"/>
    <x v="0"/>
    <x v="0"/>
    <x v="1384"/>
    <x v="1"/>
    <d v="1899-12-30T00:00:00"/>
    <d v="2012-11-11T00:00:00"/>
    <n v="2"/>
    <n v="17"/>
    <n v="1"/>
    <n v="1"/>
    <n v="3"/>
    <n v="56"/>
    <x v="0"/>
    <n v="4"/>
    <x v="3"/>
    <m/>
    <x v="0"/>
    <x v="2"/>
    <x v="0"/>
    <n v="14"/>
    <x v="0"/>
  </r>
  <r>
    <n v="4278"/>
    <x v="10"/>
    <x v="1"/>
    <x v="0"/>
    <x v="1385"/>
    <x v="0"/>
    <d v="1899-12-30T00:00:00"/>
    <d v="2013-06-03T00:00:00"/>
    <n v="73"/>
    <n v="111"/>
    <n v="74"/>
    <n v="74"/>
    <n v="6"/>
    <n v="43"/>
    <x v="1"/>
    <n v="80"/>
    <x v="3"/>
    <m/>
    <x v="0"/>
    <x v="3"/>
    <x v="0"/>
    <n v="13"/>
    <x v="0"/>
  </r>
  <r>
    <n v="8643"/>
    <x v="6"/>
    <x v="0"/>
    <x v="1"/>
    <x v="1386"/>
    <x v="0"/>
    <d v="1899-12-30T00:00:00"/>
    <d v="2013-05-26T00:00:00"/>
    <n v="21"/>
    <n v="98"/>
    <n v="70"/>
    <n v="70"/>
    <n v="12"/>
    <n v="55"/>
    <x v="0"/>
    <n v="82"/>
    <x v="3"/>
    <m/>
    <x v="0"/>
    <x v="0"/>
    <x v="0"/>
    <n v="13"/>
    <x v="0"/>
  </r>
  <r>
    <n v="1998"/>
    <x v="11"/>
    <x v="0"/>
    <x v="0"/>
    <x v="1387"/>
    <x v="1"/>
    <d v="1899-12-30T00:00:00"/>
    <d v="2014-02-07T00:00:00"/>
    <n v="82"/>
    <n v="6"/>
    <n v="4"/>
    <n v="4"/>
    <n v="3"/>
    <n v="50"/>
    <x v="1"/>
    <n v="7"/>
    <x v="3"/>
    <m/>
    <x v="0"/>
    <x v="1"/>
    <x v="0"/>
    <n v="12"/>
    <x v="0"/>
  </r>
  <r>
    <n v="10795"/>
    <x v="26"/>
    <x v="1"/>
    <x v="2"/>
    <x v="394"/>
    <x v="1"/>
    <d v="1899-12-30T00:00:00"/>
    <d v="2014-05-06T00:00:00"/>
    <n v="14"/>
    <n v="3"/>
    <n v="1"/>
    <n v="1"/>
    <n v="3"/>
    <n v="53"/>
    <x v="0"/>
    <n v="4"/>
    <x v="3"/>
    <m/>
    <x v="0"/>
    <x v="1"/>
    <x v="0"/>
    <n v="12"/>
    <x v="0"/>
  </r>
  <r>
    <n v="11110"/>
    <x v="26"/>
    <x v="0"/>
    <x v="0"/>
    <x v="1388"/>
    <x v="1"/>
    <d v="1899-12-30T00:00:00"/>
    <d v="2013-04-13T00:00:00"/>
    <n v="56"/>
    <n v="1"/>
    <n v="0"/>
    <n v="0"/>
    <n v="0"/>
    <n v="53"/>
    <x v="0"/>
    <n v="0"/>
    <x v="3"/>
    <m/>
    <x v="0"/>
    <x v="2"/>
    <x v="0"/>
    <n v="13"/>
    <x v="0"/>
  </r>
  <r>
    <n v="2408"/>
    <x v="11"/>
    <x v="0"/>
    <x v="2"/>
    <x v="1389"/>
    <x v="1"/>
    <d v="1899-12-31T00:00:00"/>
    <d v="2012-11-20T00:00:00"/>
    <n v="20"/>
    <n v="0"/>
    <n v="28"/>
    <n v="28"/>
    <n v="9"/>
    <n v="50"/>
    <x v="1"/>
    <n v="37"/>
    <x v="3"/>
    <m/>
    <x v="0"/>
    <x v="0"/>
    <x v="0"/>
    <n v="14"/>
    <x v="0"/>
  </r>
  <r>
    <n v="202"/>
    <x v="37"/>
    <x v="1"/>
    <x v="4"/>
    <x v="1390"/>
    <x v="0"/>
    <d v="1899-12-30T00:00:00"/>
    <d v="2014-04-05T00:00:00"/>
    <n v="54"/>
    <n v="194"/>
    <n v="125"/>
    <n v="125"/>
    <n v="7"/>
    <n v="78"/>
    <x v="0"/>
    <n v="132"/>
    <x v="3"/>
    <m/>
    <x v="0"/>
    <x v="3"/>
    <x v="0"/>
    <n v="12"/>
    <x v="0"/>
  </r>
  <r>
    <n v="7998"/>
    <x v="38"/>
    <x v="0"/>
    <x v="1"/>
    <x v="1391"/>
    <x v="1"/>
    <d v="1899-12-31T00:00:00"/>
    <d v="2012-12-11T00:00:00"/>
    <n v="77"/>
    <n v="8"/>
    <n v="0"/>
    <n v="0"/>
    <n v="2"/>
    <n v="68"/>
    <x v="0"/>
    <n v="2"/>
    <x v="3"/>
    <m/>
    <x v="0"/>
    <x v="2"/>
    <x v="0"/>
    <n v="14"/>
    <x v="0"/>
  </r>
  <r>
    <n v="830"/>
    <x v="14"/>
    <x v="1"/>
    <x v="0"/>
    <x v="1392"/>
    <x v="0"/>
    <d v="1899-12-30T00:00:00"/>
    <d v="2014-02-24T00:00:00"/>
    <n v="5"/>
    <n v="48"/>
    <n v="176"/>
    <n v="176"/>
    <n v="4"/>
    <n v="39"/>
    <x v="1"/>
    <n v="180"/>
    <x v="3"/>
    <m/>
    <x v="0"/>
    <x v="0"/>
    <x v="0"/>
    <n v="12"/>
    <x v="0"/>
  </r>
  <r>
    <n v="3536"/>
    <x v="40"/>
    <x v="0"/>
    <x v="1"/>
    <x v="1393"/>
    <x v="0"/>
    <d v="1899-12-31T00:00:00"/>
    <d v="2013-03-24T00:00:00"/>
    <n v="65"/>
    <n v="11"/>
    <n v="4"/>
    <n v="4"/>
    <n v="3"/>
    <n v="66"/>
    <x v="0"/>
    <n v="7"/>
    <x v="3"/>
    <m/>
    <x v="0"/>
    <x v="2"/>
    <x v="0"/>
    <n v="13"/>
    <x v="0"/>
  </r>
  <r>
    <n v="6050"/>
    <x v="28"/>
    <x v="4"/>
    <x v="2"/>
    <x v="1394"/>
    <x v="0"/>
    <d v="1899-12-31T00:00:00"/>
    <d v="2012-12-11T00:00:00"/>
    <n v="33"/>
    <n v="43"/>
    <n v="14"/>
    <n v="14"/>
    <n v="13"/>
    <n v="51"/>
    <x v="0"/>
    <n v="27"/>
    <x v="3"/>
    <m/>
    <x v="0"/>
    <x v="0"/>
    <x v="0"/>
    <n v="14"/>
    <x v="0"/>
  </r>
  <r>
    <n v="125"/>
    <x v="38"/>
    <x v="4"/>
    <x v="1"/>
    <x v="1395"/>
    <x v="1"/>
    <d v="1899-12-31T00:00:00"/>
    <d v="2013-05-15T00:00:00"/>
    <n v="65"/>
    <n v="7"/>
    <n v="0"/>
    <n v="0"/>
    <n v="5"/>
    <n v="68"/>
    <x v="0"/>
    <n v="5"/>
    <x v="3"/>
    <m/>
    <x v="0"/>
    <x v="0"/>
    <x v="0"/>
    <n v="13"/>
    <x v="0"/>
  </r>
  <r>
    <n v="3463"/>
    <x v="28"/>
    <x v="1"/>
    <x v="2"/>
    <x v="1396"/>
    <x v="0"/>
    <d v="1899-12-31T00:00:00"/>
    <d v="2014-06-14T00:00:00"/>
    <n v="41"/>
    <n v="62"/>
    <n v="26"/>
    <n v="26"/>
    <n v="13"/>
    <n v="51"/>
    <x v="0"/>
    <n v="39"/>
    <x v="3"/>
    <m/>
    <x v="0"/>
    <x v="0"/>
    <x v="0"/>
    <n v="12"/>
    <x v="0"/>
  </r>
  <r>
    <n v="2804"/>
    <x v="28"/>
    <x v="2"/>
    <x v="0"/>
    <x v="352"/>
    <x v="1"/>
    <d v="1899-12-31T00:00:00"/>
    <d v="2012-08-18T00:00:00"/>
    <n v="86"/>
    <n v="0"/>
    <n v="0"/>
    <n v="0"/>
    <n v="2"/>
    <n v="51"/>
    <x v="0"/>
    <n v="2"/>
    <x v="3"/>
    <m/>
    <x v="0"/>
    <x v="1"/>
    <x v="0"/>
    <n v="14"/>
    <x v="0"/>
  </r>
  <r>
    <n v="3745"/>
    <x v="36"/>
    <x v="4"/>
    <x v="2"/>
    <x v="1397"/>
    <x v="1"/>
    <d v="1899-12-30T00:00:00"/>
    <d v="2012-09-04T00:00:00"/>
    <n v="92"/>
    <n v="36"/>
    <n v="10"/>
    <n v="10"/>
    <n v="3"/>
    <n v="38"/>
    <x v="1"/>
    <n v="13"/>
    <x v="3"/>
    <m/>
    <x v="0"/>
    <x v="2"/>
    <x v="0"/>
    <n v="14"/>
    <x v="0"/>
  </r>
  <r>
    <n v="9771"/>
    <x v="36"/>
    <x v="4"/>
    <x v="0"/>
    <x v="1397"/>
    <x v="1"/>
    <d v="1899-12-30T00:00:00"/>
    <d v="2012-10-05T00:00:00"/>
    <n v="97"/>
    <n v="20"/>
    <n v="15"/>
    <n v="15"/>
    <n v="5"/>
    <n v="38"/>
    <x v="1"/>
    <n v="20"/>
    <x v="3"/>
    <m/>
    <x v="0"/>
    <x v="2"/>
    <x v="0"/>
    <n v="14"/>
    <x v="0"/>
  </r>
  <r>
    <n v="451"/>
    <x v="23"/>
    <x v="0"/>
    <x v="0"/>
    <x v="1398"/>
    <x v="1"/>
    <d v="1899-12-30T00:00:00"/>
    <d v="2013-12-20T00:00:00"/>
    <n v="91"/>
    <n v="0"/>
    <n v="0"/>
    <n v="0"/>
    <n v="2"/>
    <n v="37"/>
    <x v="1"/>
    <n v="2"/>
    <x v="3"/>
    <m/>
    <x v="0"/>
    <x v="2"/>
    <x v="0"/>
    <n v="13"/>
    <x v="0"/>
  </r>
  <r>
    <n v="10530"/>
    <x v="12"/>
    <x v="1"/>
    <x v="4"/>
    <x v="1399"/>
    <x v="0"/>
    <d v="1899-12-30T00:00:00"/>
    <d v="2013-12-07T00:00:00"/>
    <n v="0"/>
    <n v="82"/>
    <n v="20"/>
    <n v="20"/>
    <n v="6"/>
    <n v="67"/>
    <x v="0"/>
    <n v="26"/>
    <x v="3"/>
    <m/>
    <x v="0"/>
    <x v="0"/>
    <x v="0"/>
    <n v="13"/>
    <x v="0"/>
  </r>
  <r>
    <n v="1079"/>
    <x v="6"/>
    <x v="1"/>
    <x v="2"/>
    <x v="1400"/>
    <x v="0"/>
    <d v="1899-12-31T00:00:00"/>
    <d v="2012-10-16T00:00:00"/>
    <n v="59"/>
    <n v="0"/>
    <n v="0"/>
    <n v="0"/>
    <n v="9"/>
    <n v="55"/>
    <x v="0"/>
    <n v="9"/>
    <x v="3"/>
    <m/>
    <x v="0"/>
    <x v="0"/>
    <x v="0"/>
    <n v="14"/>
    <x v="0"/>
  </r>
  <r>
    <n v="8920"/>
    <x v="5"/>
    <x v="2"/>
    <x v="0"/>
    <x v="1401"/>
    <x v="1"/>
    <d v="1899-12-30T00:00:00"/>
    <d v="2013-01-12T00:00:00"/>
    <n v="4"/>
    <n v="40"/>
    <n v="0"/>
    <n v="0"/>
    <n v="12"/>
    <n v="59"/>
    <x v="0"/>
    <n v="12"/>
    <x v="3"/>
    <m/>
    <x v="0"/>
    <x v="0"/>
    <x v="0"/>
    <n v="13"/>
    <x v="0"/>
  </r>
  <r>
    <n v="6678"/>
    <x v="23"/>
    <x v="0"/>
    <x v="1"/>
    <x v="1402"/>
    <x v="1"/>
    <d v="1899-12-30T00:00:00"/>
    <d v="2014-03-28T00:00:00"/>
    <n v="5"/>
    <n v="4"/>
    <n v="2"/>
    <n v="2"/>
    <n v="4"/>
    <n v="37"/>
    <x v="1"/>
    <n v="6"/>
    <x v="3"/>
    <m/>
    <x v="0"/>
    <x v="1"/>
    <x v="0"/>
    <n v="12"/>
    <x v="0"/>
  </r>
  <r>
    <n v="3852"/>
    <x v="45"/>
    <x v="2"/>
    <x v="1"/>
    <x v="1403"/>
    <x v="1"/>
    <d v="1899-12-31T00:00:00"/>
    <d v="2013-03-08T00:00:00"/>
    <n v="48"/>
    <n v="72"/>
    <n v="27"/>
    <n v="27"/>
    <n v="12"/>
    <n v="65"/>
    <x v="0"/>
    <n v="39"/>
    <x v="3"/>
    <m/>
    <x v="0"/>
    <x v="0"/>
    <x v="0"/>
    <n v="13"/>
    <x v="0"/>
  </r>
  <r>
    <n v="528"/>
    <x v="33"/>
    <x v="0"/>
    <x v="2"/>
    <x v="1404"/>
    <x v="0"/>
    <d v="1899-12-30T00:00:00"/>
    <d v="2012-11-29T00:00:00"/>
    <n v="99"/>
    <n v="38"/>
    <n v="165"/>
    <n v="165"/>
    <n v="10"/>
    <n v="48"/>
    <x v="1"/>
    <n v="175"/>
    <x v="3"/>
    <m/>
    <x v="0"/>
    <x v="0"/>
    <x v="0"/>
    <n v="14"/>
    <x v="0"/>
  </r>
  <r>
    <n v="73"/>
    <x v="44"/>
    <x v="1"/>
    <x v="0"/>
    <x v="1405"/>
    <x v="1"/>
    <d v="1900-01-01T00:00:00"/>
    <d v="2013-05-26T00:00:00"/>
    <n v="81"/>
    <n v="0"/>
    <n v="0"/>
    <n v="0"/>
    <n v="3"/>
    <n v="73"/>
    <x v="0"/>
    <n v="3"/>
    <x v="3"/>
    <m/>
    <x v="0"/>
    <x v="0"/>
    <x v="0"/>
    <n v="13"/>
    <x v="0"/>
  </r>
  <r>
    <n v="5589"/>
    <x v="31"/>
    <x v="0"/>
    <x v="3"/>
    <x v="1406"/>
    <x v="0"/>
    <d v="1899-12-31T00:00:00"/>
    <d v="2012-08-31T00:00:00"/>
    <n v="95"/>
    <n v="0"/>
    <n v="7"/>
    <n v="7"/>
    <n v="10"/>
    <n v="62"/>
    <x v="0"/>
    <n v="17"/>
    <x v="3"/>
    <m/>
    <x v="0"/>
    <x v="0"/>
    <x v="0"/>
    <n v="14"/>
    <x v="0"/>
  </r>
  <r>
    <n v="10212"/>
    <x v="22"/>
    <x v="2"/>
    <x v="1"/>
    <x v="278"/>
    <x v="1"/>
    <d v="1899-12-30T00:00:00"/>
    <d v="2013-01-13T00:00:00"/>
    <n v="43"/>
    <n v="4"/>
    <n v="4"/>
    <n v="4"/>
    <n v="3"/>
    <n v="40"/>
    <x v="1"/>
    <n v="7"/>
    <x v="3"/>
    <m/>
    <x v="0"/>
    <x v="1"/>
    <x v="0"/>
    <n v="13"/>
    <x v="0"/>
  </r>
  <r>
    <n v="6365"/>
    <x v="14"/>
    <x v="4"/>
    <x v="2"/>
    <x v="1407"/>
    <x v="0"/>
    <d v="1899-12-30T00:00:00"/>
    <d v="2013-09-02T00:00:00"/>
    <n v="5"/>
    <n v="12"/>
    <n v="1"/>
    <n v="1"/>
    <n v="3"/>
    <n v="39"/>
    <x v="1"/>
    <n v="4"/>
    <x v="3"/>
    <m/>
    <x v="0"/>
    <x v="1"/>
    <x v="0"/>
    <n v="13"/>
    <x v="0"/>
  </r>
  <r>
    <n v="5636"/>
    <x v="24"/>
    <x v="0"/>
    <x v="0"/>
    <x v="1408"/>
    <x v="0"/>
    <d v="1899-12-30T00:00:00"/>
    <d v="2012-11-09T00:00:00"/>
    <n v="50"/>
    <n v="4"/>
    <n v="1"/>
    <n v="1"/>
    <n v="3"/>
    <n v="63"/>
    <x v="0"/>
    <n v="4"/>
    <x v="3"/>
    <m/>
    <x v="0"/>
    <x v="1"/>
    <x v="0"/>
    <n v="14"/>
    <x v="0"/>
  </r>
  <r>
    <n v="591"/>
    <x v="0"/>
    <x v="0"/>
    <x v="4"/>
    <x v="1409"/>
    <x v="0"/>
    <d v="1899-12-31T00:00:00"/>
    <d v="2013-01-20T00:00:00"/>
    <n v="76"/>
    <n v="35"/>
    <n v="59"/>
    <n v="59"/>
    <n v="7"/>
    <n v="69"/>
    <x v="0"/>
    <n v="66"/>
    <x v="3"/>
    <m/>
    <x v="0"/>
    <x v="0"/>
    <x v="0"/>
    <n v="13"/>
    <x v="0"/>
  </r>
  <r>
    <n v="2217"/>
    <x v="28"/>
    <x v="4"/>
    <x v="2"/>
    <x v="1410"/>
    <x v="1"/>
    <d v="1899-12-31T00:00:00"/>
    <d v="2013-03-29T00:00:00"/>
    <n v="46"/>
    <n v="1"/>
    <n v="1"/>
    <n v="1"/>
    <n v="3"/>
    <n v="51"/>
    <x v="0"/>
    <n v="4"/>
    <x v="3"/>
    <m/>
    <x v="0"/>
    <x v="1"/>
    <x v="0"/>
    <n v="13"/>
    <x v="0"/>
  </r>
  <r>
    <n v="2544"/>
    <x v="20"/>
    <x v="2"/>
    <x v="3"/>
    <x v="1411"/>
    <x v="0"/>
    <d v="1899-12-31T00:00:00"/>
    <d v="2013-10-12T00:00:00"/>
    <n v="68"/>
    <n v="1"/>
    <n v="7"/>
    <n v="7"/>
    <n v="4"/>
    <n v="75"/>
    <x v="0"/>
    <n v="11"/>
    <x v="3"/>
    <m/>
    <x v="0"/>
    <x v="0"/>
    <x v="0"/>
    <n v="13"/>
    <x v="0"/>
  </r>
  <r>
    <n v="7725"/>
    <x v="2"/>
    <x v="4"/>
    <x v="2"/>
    <x v="1412"/>
    <x v="0"/>
    <d v="1899-12-30T00:00:00"/>
    <d v="2014-03-08T00:00:00"/>
    <n v="33"/>
    <n v="26"/>
    <n v="71"/>
    <n v="71"/>
    <n v="7"/>
    <n v="61"/>
    <x v="0"/>
    <n v="78"/>
    <x v="3"/>
    <m/>
    <x v="0"/>
    <x v="3"/>
    <x v="0"/>
    <n v="12"/>
    <x v="0"/>
  </r>
  <r>
    <n v="8091"/>
    <x v="46"/>
    <x v="0"/>
    <x v="2"/>
    <x v="1413"/>
    <x v="0"/>
    <d v="1899-12-31T00:00:00"/>
    <d v="2012-09-02T00:00:00"/>
    <n v="50"/>
    <n v="184"/>
    <n v="97"/>
    <n v="97"/>
    <n v="6"/>
    <n v="70"/>
    <x v="0"/>
    <n v="103"/>
    <x v="3"/>
    <m/>
    <x v="0"/>
    <x v="0"/>
    <x v="0"/>
    <n v="14"/>
    <x v="0"/>
  </r>
  <r>
    <n v="7321"/>
    <x v="43"/>
    <x v="0"/>
    <x v="1"/>
    <x v="977"/>
    <x v="0"/>
    <d v="1899-12-30T00:00:00"/>
    <d v="2014-05-23T00:00:00"/>
    <n v="85"/>
    <n v="30"/>
    <n v="33"/>
    <n v="33"/>
    <n v="4"/>
    <n v="64"/>
    <x v="0"/>
    <n v="37"/>
    <x v="3"/>
    <m/>
    <x v="0"/>
    <x v="3"/>
    <x v="0"/>
    <n v="12"/>
    <x v="0"/>
  </r>
  <r>
    <n v="5462"/>
    <x v="8"/>
    <x v="0"/>
    <x v="2"/>
    <x v="614"/>
    <x v="0"/>
    <d v="1899-12-31T00:00:00"/>
    <d v="2012-08-12T00:00:00"/>
    <n v="63"/>
    <n v="80"/>
    <n v="80"/>
    <n v="80"/>
    <n v="12"/>
    <n v="52"/>
    <x v="0"/>
    <n v="92"/>
    <x v="3"/>
    <m/>
    <x v="0"/>
    <x v="0"/>
    <x v="0"/>
    <n v="14"/>
    <x v="0"/>
  </r>
  <r>
    <n v="7791"/>
    <x v="5"/>
    <x v="2"/>
    <x v="2"/>
    <x v="1414"/>
    <x v="1"/>
    <d v="1899-12-31T00:00:00"/>
    <d v="2013-09-15T00:00:00"/>
    <n v="89"/>
    <n v="1"/>
    <n v="1"/>
    <n v="1"/>
    <n v="3"/>
    <n v="59"/>
    <x v="0"/>
    <n v="4"/>
    <x v="3"/>
    <m/>
    <x v="0"/>
    <x v="1"/>
    <x v="0"/>
    <n v="13"/>
    <x v="0"/>
  </r>
  <r>
    <n v="955"/>
    <x v="43"/>
    <x v="2"/>
    <x v="1"/>
    <x v="1415"/>
    <x v="1"/>
    <d v="1899-12-31T00:00:00"/>
    <d v="2012-10-28T00:00:00"/>
    <n v="81"/>
    <n v="2"/>
    <n v="2"/>
    <n v="2"/>
    <n v="4"/>
    <n v="64"/>
    <x v="0"/>
    <n v="6"/>
    <x v="3"/>
    <m/>
    <x v="0"/>
    <x v="1"/>
    <x v="0"/>
    <n v="14"/>
    <x v="0"/>
  </r>
  <r>
    <n v="4037"/>
    <x v="11"/>
    <x v="0"/>
    <x v="3"/>
    <x v="1416"/>
    <x v="1"/>
    <d v="1899-12-30T00:00:00"/>
    <d v="2013-06-14T00:00:00"/>
    <n v="77"/>
    <n v="1"/>
    <n v="0"/>
    <n v="0"/>
    <n v="2"/>
    <n v="50"/>
    <x v="1"/>
    <n v="2"/>
    <x v="3"/>
    <m/>
    <x v="0"/>
    <x v="1"/>
    <x v="0"/>
    <n v="13"/>
    <x v="0"/>
  </r>
  <r>
    <n v="6642"/>
    <x v="45"/>
    <x v="0"/>
    <x v="3"/>
    <x v="1417"/>
    <x v="2"/>
    <d v="1899-12-31T00:00:00"/>
    <d v="2013-01-23T00:00:00"/>
    <n v="50"/>
    <n v="5"/>
    <n v="9"/>
    <n v="9"/>
    <n v="4"/>
    <n v="65"/>
    <x v="0"/>
    <n v="13"/>
    <x v="3"/>
    <m/>
    <x v="0"/>
    <x v="2"/>
    <x v="0"/>
    <n v="13"/>
    <x v="0"/>
  </r>
  <r>
    <n v="2793"/>
    <x v="11"/>
    <x v="1"/>
    <x v="3"/>
    <x v="1418"/>
    <x v="0"/>
    <d v="1899-12-31T00:00:00"/>
    <d v="2013-07-21T00:00:00"/>
    <n v="10"/>
    <n v="88"/>
    <n v="44"/>
    <n v="44"/>
    <n v="13"/>
    <n v="50"/>
    <x v="1"/>
    <n v="57"/>
    <x v="3"/>
    <m/>
    <x v="0"/>
    <x v="0"/>
    <x v="0"/>
    <n v="13"/>
    <x v="0"/>
  </r>
  <r>
    <n v="5424"/>
    <x v="10"/>
    <x v="0"/>
    <x v="2"/>
    <x v="823"/>
    <x v="1"/>
    <d v="1899-12-30T00:00:00"/>
    <d v="2013-02-14T00:00:00"/>
    <n v="30"/>
    <n v="12"/>
    <n v="1"/>
    <n v="1"/>
    <n v="4"/>
    <n v="43"/>
    <x v="1"/>
    <n v="5"/>
    <x v="3"/>
    <m/>
    <x v="0"/>
    <x v="1"/>
    <x v="0"/>
    <n v="13"/>
    <x v="0"/>
  </r>
  <r>
    <n v="879"/>
    <x v="11"/>
    <x v="2"/>
    <x v="2"/>
    <x v="757"/>
    <x v="0"/>
    <d v="1900-01-01T00:00:00"/>
    <d v="2013-11-04T00:00:00"/>
    <n v="66"/>
    <n v="0"/>
    <n v="0"/>
    <n v="0"/>
    <n v="7"/>
    <n v="50"/>
    <x v="1"/>
    <n v="7"/>
    <x v="3"/>
    <m/>
    <x v="0"/>
    <x v="1"/>
    <x v="0"/>
    <n v="13"/>
    <x v="0"/>
  </r>
  <r>
    <n v="9530"/>
    <x v="36"/>
    <x v="0"/>
    <x v="2"/>
    <x v="1419"/>
    <x v="1"/>
    <d v="1899-12-30T00:00:00"/>
    <d v="2012-11-01T00:00:00"/>
    <n v="16"/>
    <n v="3"/>
    <n v="1"/>
    <n v="1"/>
    <n v="2"/>
    <n v="38"/>
    <x v="1"/>
    <n v="3"/>
    <x v="3"/>
    <m/>
    <x v="0"/>
    <x v="2"/>
    <x v="0"/>
    <n v="14"/>
    <x v="0"/>
  </r>
  <r>
    <n v="4828"/>
    <x v="1"/>
    <x v="0"/>
    <x v="3"/>
    <x v="1420"/>
    <x v="0"/>
    <d v="1899-12-31T00:00:00"/>
    <d v="2014-06-18T00:00:00"/>
    <n v="12"/>
    <n v="99"/>
    <n v="121"/>
    <n v="121"/>
    <n v="5"/>
    <n v="72"/>
    <x v="0"/>
    <n v="126"/>
    <x v="3"/>
    <m/>
    <x v="0"/>
    <x v="3"/>
    <x v="0"/>
    <n v="12"/>
    <x v="0"/>
  </r>
  <r>
    <n v="10699"/>
    <x v="7"/>
    <x v="0"/>
    <x v="2"/>
    <x v="1421"/>
    <x v="1"/>
    <d v="1899-12-30T00:00:00"/>
    <d v="2014-06-16T00:00:00"/>
    <n v="30"/>
    <n v="0"/>
    <n v="0"/>
    <n v="0"/>
    <n v="3"/>
    <n v="41"/>
    <x v="1"/>
    <n v="3"/>
    <x v="3"/>
    <m/>
    <x v="0"/>
    <x v="1"/>
    <x v="0"/>
    <n v="12"/>
    <x v="0"/>
  </r>
  <r>
    <n v="1497"/>
    <x v="13"/>
    <x v="0"/>
    <x v="0"/>
    <x v="1422"/>
    <x v="0"/>
    <d v="1899-12-31T00:00:00"/>
    <d v="2013-01-19T00:00:00"/>
    <n v="8"/>
    <n v="11"/>
    <n v="3"/>
    <n v="3"/>
    <n v="5"/>
    <n v="74"/>
    <x v="0"/>
    <n v="8"/>
    <x v="3"/>
    <m/>
    <x v="0"/>
    <x v="1"/>
    <x v="0"/>
    <n v="13"/>
    <x v="0"/>
  </r>
  <r>
    <n v="7476"/>
    <x v="31"/>
    <x v="2"/>
    <x v="0"/>
    <x v="1423"/>
    <x v="0"/>
    <d v="1899-12-31T00:00:00"/>
    <d v="2012-12-02T00:00:00"/>
    <n v="93"/>
    <n v="63"/>
    <n v="12"/>
    <n v="12"/>
    <n v="10"/>
    <n v="62"/>
    <x v="0"/>
    <n v="22"/>
    <x v="3"/>
    <m/>
    <x v="0"/>
    <x v="0"/>
    <x v="0"/>
    <n v="14"/>
    <x v="0"/>
  </r>
  <r>
    <n v="4390"/>
    <x v="1"/>
    <x v="0"/>
    <x v="1"/>
    <x v="1424"/>
    <x v="0"/>
    <d v="1899-12-31T00:00:00"/>
    <d v="2014-04-15T00:00:00"/>
    <n v="14"/>
    <n v="15"/>
    <n v="23"/>
    <n v="23"/>
    <n v="12"/>
    <n v="72"/>
    <x v="0"/>
    <n v="35"/>
    <x v="3"/>
    <m/>
    <x v="0"/>
    <x v="3"/>
    <x v="0"/>
    <n v="12"/>
    <x v="0"/>
  </r>
  <r>
    <n v="10478"/>
    <x v="9"/>
    <x v="1"/>
    <x v="2"/>
    <x v="1425"/>
    <x v="1"/>
    <d v="1899-12-31T00:00:00"/>
    <d v="2012-09-27T00:00:00"/>
    <n v="53"/>
    <n v="0"/>
    <n v="6"/>
    <n v="6"/>
    <n v="6"/>
    <n v="76"/>
    <x v="0"/>
    <n v="12"/>
    <x v="3"/>
    <m/>
    <x v="0"/>
    <x v="0"/>
    <x v="0"/>
    <n v="14"/>
    <x v="0"/>
  </r>
  <r>
    <n v="1081"/>
    <x v="0"/>
    <x v="1"/>
    <x v="2"/>
    <x v="1426"/>
    <x v="1"/>
    <d v="1900-01-01T00:00:00"/>
    <d v="2013-03-27T00:00:00"/>
    <n v="26"/>
    <n v="9"/>
    <n v="19"/>
    <n v="19"/>
    <n v="5"/>
    <n v="69"/>
    <x v="0"/>
    <n v="24"/>
    <x v="3"/>
    <m/>
    <x v="0"/>
    <x v="3"/>
    <x v="0"/>
    <n v="13"/>
    <x v="0"/>
  </r>
  <r>
    <n v="4261"/>
    <x v="15"/>
    <x v="1"/>
    <x v="0"/>
    <x v="15"/>
    <x v="0"/>
    <d v="1899-12-30T00:00:00"/>
    <d v="2012-11-24T00:00:00"/>
    <n v="23"/>
    <n v="22"/>
    <n v="68"/>
    <n v="68"/>
    <n v="12"/>
    <n v="80"/>
    <x v="0"/>
    <n v="80"/>
    <x v="3"/>
    <m/>
    <x v="0"/>
    <x v="3"/>
    <x v="0"/>
    <n v="14"/>
    <x v="0"/>
  </r>
  <r>
    <n v="9916"/>
    <x v="1"/>
    <x v="0"/>
    <x v="2"/>
    <x v="975"/>
    <x v="1"/>
    <d v="1899-12-31T00:00:00"/>
    <d v="2012-11-03T00:00:00"/>
    <n v="92"/>
    <n v="1"/>
    <n v="0"/>
    <n v="0"/>
    <n v="3"/>
    <n v="72"/>
    <x v="0"/>
    <n v="3"/>
    <x v="3"/>
    <m/>
    <x v="0"/>
    <x v="1"/>
    <x v="0"/>
    <n v="14"/>
    <x v="0"/>
  </r>
  <r>
    <n v="5350"/>
    <x v="42"/>
    <x v="2"/>
    <x v="0"/>
    <x v="1096"/>
    <x v="0"/>
    <d v="1899-12-30T00:00:00"/>
    <d v="2014-02-13T00:00:00"/>
    <n v="29"/>
    <n v="120"/>
    <n v="144"/>
    <n v="144"/>
    <n v="10"/>
    <n v="35"/>
    <x v="1"/>
    <n v="154"/>
    <x v="3"/>
    <m/>
    <x v="0"/>
    <x v="3"/>
    <x v="0"/>
    <n v="12"/>
    <x v="0"/>
  </r>
  <r>
    <n v="8135"/>
    <x v="22"/>
    <x v="2"/>
    <x v="2"/>
    <x v="1427"/>
    <x v="1"/>
    <d v="1899-12-30T00:00:00"/>
    <d v="2013-10-28T00:00:00"/>
    <n v="41"/>
    <n v="4"/>
    <n v="0"/>
    <n v="0"/>
    <n v="3"/>
    <n v="40"/>
    <x v="1"/>
    <n v="3"/>
    <x v="3"/>
    <m/>
    <x v="0"/>
    <x v="2"/>
    <x v="0"/>
    <n v="13"/>
    <x v="0"/>
  </r>
  <r>
    <n v="8685"/>
    <x v="32"/>
    <x v="0"/>
    <x v="2"/>
    <x v="1370"/>
    <x v="1"/>
    <d v="1899-12-30T00:00:00"/>
    <d v="2012-08-17T00:00:00"/>
    <n v="56"/>
    <n v="15"/>
    <n v="15"/>
    <n v="15"/>
    <n v="6"/>
    <n v="49"/>
    <x v="1"/>
    <n v="21"/>
    <x v="3"/>
    <m/>
    <x v="0"/>
    <x v="1"/>
    <x v="0"/>
    <n v="14"/>
    <x v="0"/>
  </r>
  <r>
    <n v="4967"/>
    <x v="40"/>
    <x v="1"/>
    <x v="1"/>
    <x v="1428"/>
    <x v="0"/>
    <d v="1899-12-31T00:00:00"/>
    <d v="2013-03-29T00:00:00"/>
    <n v="19"/>
    <n v="0"/>
    <n v="0"/>
    <n v="0"/>
    <n v="5"/>
    <n v="66"/>
    <x v="0"/>
    <n v="5"/>
    <x v="3"/>
    <m/>
    <x v="0"/>
    <x v="1"/>
    <x v="0"/>
    <n v="13"/>
    <x v="0"/>
  </r>
  <r>
    <n v="2130"/>
    <x v="18"/>
    <x v="0"/>
    <x v="1"/>
    <x v="1429"/>
    <x v="2"/>
    <d v="1899-12-30T00:00:00"/>
    <d v="2014-03-23T00:00:00"/>
    <n v="4"/>
    <n v="3"/>
    <n v="8"/>
    <n v="8"/>
    <n v="3"/>
    <n v="44"/>
    <x v="1"/>
    <n v="11"/>
    <x v="3"/>
    <m/>
    <x v="0"/>
    <x v="1"/>
    <x v="0"/>
    <n v="12"/>
    <x v="0"/>
  </r>
  <r>
    <n v="9298"/>
    <x v="51"/>
    <x v="1"/>
    <x v="1"/>
    <x v="1430"/>
    <x v="0"/>
    <d v="1899-12-30T00:00:00"/>
    <d v="2014-04-28T00:00:00"/>
    <n v="89"/>
    <n v="0"/>
    <n v="35"/>
    <n v="35"/>
    <n v="8"/>
    <n v="79"/>
    <x v="0"/>
    <n v="43"/>
    <x v="3"/>
    <m/>
    <x v="0"/>
    <x v="3"/>
    <x v="0"/>
    <n v="12"/>
    <x v="0"/>
  </r>
  <r>
    <n v="8175"/>
    <x v="47"/>
    <x v="0"/>
    <x v="2"/>
    <x v="475"/>
    <x v="0"/>
    <d v="1899-12-30T00:00:00"/>
    <d v="2013-06-21T00:00:00"/>
    <n v="71"/>
    <n v="4"/>
    <n v="10"/>
    <n v="10"/>
    <n v="4"/>
    <n v="34"/>
    <x v="1"/>
    <n v="14"/>
    <x v="3"/>
    <m/>
    <x v="0"/>
    <x v="1"/>
    <x v="0"/>
    <n v="13"/>
    <x v="0"/>
  </r>
  <r>
    <n v="6257"/>
    <x v="11"/>
    <x v="2"/>
    <x v="0"/>
    <x v="1431"/>
    <x v="0"/>
    <d v="1899-12-31T00:00:00"/>
    <d v="2013-01-23T00:00:00"/>
    <n v="81"/>
    <n v="43"/>
    <n v="14"/>
    <n v="14"/>
    <n v="7"/>
    <n v="50"/>
    <x v="1"/>
    <n v="21"/>
    <x v="3"/>
    <m/>
    <x v="0"/>
    <x v="0"/>
    <x v="0"/>
    <n v="13"/>
    <x v="0"/>
  </r>
  <r>
    <n v="3790"/>
    <x v="46"/>
    <x v="0"/>
    <x v="1"/>
    <x v="1432"/>
    <x v="2"/>
    <d v="1899-12-31T00:00:00"/>
    <d v="2014-01-23T00:00:00"/>
    <n v="31"/>
    <n v="1"/>
    <n v="0"/>
    <n v="0"/>
    <n v="2"/>
    <n v="70"/>
    <x v="0"/>
    <n v="2"/>
    <x v="3"/>
    <m/>
    <x v="0"/>
    <x v="1"/>
    <x v="0"/>
    <n v="12"/>
    <x v="0"/>
  </r>
  <r>
    <n v="9952"/>
    <x v="51"/>
    <x v="2"/>
    <x v="1"/>
    <x v="1433"/>
    <x v="0"/>
    <d v="1899-12-30T00:00:00"/>
    <d v="2013-12-11T00:00:00"/>
    <n v="53"/>
    <n v="32"/>
    <n v="43"/>
    <n v="43"/>
    <n v="5"/>
    <n v="79"/>
    <x v="0"/>
    <n v="48"/>
    <x v="3"/>
    <m/>
    <x v="0"/>
    <x v="3"/>
    <x v="0"/>
    <n v="13"/>
    <x v="0"/>
  </r>
  <r>
    <n v="3503"/>
    <x v="9"/>
    <x v="0"/>
    <x v="3"/>
    <x v="1434"/>
    <x v="0"/>
    <d v="1899-12-30T00:00:00"/>
    <d v="2013-12-02T00:00:00"/>
    <n v="78"/>
    <n v="47"/>
    <n v="32"/>
    <n v="32"/>
    <n v="6"/>
    <n v="76"/>
    <x v="0"/>
    <n v="38"/>
    <x v="3"/>
    <m/>
    <x v="0"/>
    <x v="3"/>
    <x v="0"/>
    <n v="13"/>
    <x v="0"/>
  </r>
  <r>
    <n v="5223"/>
    <x v="35"/>
    <x v="2"/>
    <x v="1"/>
    <x v="1435"/>
    <x v="0"/>
    <d v="1899-12-31T00:00:00"/>
    <d v="2014-04-23T00:00:00"/>
    <n v="80"/>
    <n v="8"/>
    <n v="10"/>
    <n v="10"/>
    <n v="3"/>
    <n v="60"/>
    <x v="0"/>
    <n v="13"/>
    <x v="3"/>
    <m/>
    <x v="0"/>
    <x v="1"/>
    <x v="0"/>
    <n v="12"/>
    <x v="0"/>
  </r>
  <r>
    <n v="4608"/>
    <x v="14"/>
    <x v="0"/>
    <x v="3"/>
    <x v="76"/>
    <x v="0"/>
    <d v="1899-12-30T00:00:00"/>
    <d v="2014-02-25T00:00:00"/>
    <n v="18"/>
    <n v="23"/>
    <n v="65"/>
    <n v="65"/>
    <n v="13"/>
    <n v="39"/>
    <x v="1"/>
    <n v="78"/>
    <x v="3"/>
    <m/>
    <x v="0"/>
    <x v="3"/>
    <x v="0"/>
    <n v="12"/>
    <x v="0"/>
  </r>
  <r>
    <n v="1626"/>
    <x v="26"/>
    <x v="1"/>
    <x v="3"/>
    <x v="125"/>
    <x v="1"/>
    <d v="1899-12-31T00:00:00"/>
    <d v="2014-05-19T00:00:00"/>
    <n v="37"/>
    <n v="0"/>
    <n v="2"/>
    <n v="2"/>
    <n v="2"/>
    <n v="53"/>
    <x v="0"/>
    <n v="4"/>
    <x v="3"/>
    <m/>
    <x v="0"/>
    <x v="1"/>
    <x v="0"/>
    <n v="12"/>
    <x v="0"/>
  </r>
  <r>
    <n v="4764"/>
    <x v="13"/>
    <x v="2"/>
    <x v="1"/>
    <x v="1436"/>
    <x v="1"/>
    <d v="1899-12-31T00:00:00"/>
    <d v="2012-08-19T00:00:00"/>
    <n v="52"/>
    <n v="12"/>
    <n v="22"/>
    <n v="22"/>
    <n v="4"/>
    <n v="74"/>
    <x v="0"/>
    <n v="26"/>
    <x v="3"/>
    <m/>
    <x v="0"/>
    <x v="1"/>
    <x v="0"/>
    <n v="14"/>
    <x v="0"/>
  </r>
  <r>
    <n v="2471"/>
    <x v="2"/>
    <x v="0"/>
    <x v="2"/>
    <x v="1437"/>
    <x v="0"/>
    <d v="1899-12-30T00:00:00"/>
    <d v="2014-06-27T00:00:00"/>
    <n v="39"/>
    <n v="58"/>
    <n v="66"/>
    <n v="66"/>
    <n v="6"/>
    <n v="61"/>
    <x v="0"/>
    <n v="72"/>
    <x v="3"/>
    <m/>
    <x v="0"/>
    <x v="0"/>
    <x v="0"/>
    <n v="12"/>
    <x v="0"/>
  </r>
  <r>
    <n v="5892"/>
    <x v="16"/>
    <x v="0"/>
    <x v="2"/>
    <x v="1438"/>
    <x v="1"/>
    <d v="1899-12-30T00:00:00"/>
    <d v="2013-04-10T00:00:00"/>
    <n v="11"/>
    <n v="6"/>
    <n v="2"/>
    <n v="2"/>
    <n v="5"/>
    <n v="46"/>
    <x v="1"/>
    <n v="7"/>
    <x v="3"/>
    <m/>
    <x v="0"/>
    <x v="1"/>
    <x v="0"/>
    <n v="13"/>
    <x v="0"/>
  </r>
  <r>
    <n v="2612"/>
    <x v="14"/>
    <x v="0"/>
    <x v="2"/>
    <x v="1439"/>
    <x v="0"/>
    <d v="1899-12-30T00:00:00"/>
    <d v="2013-12-24T00:00:00"/>
    <n v="33"/>
    <n v="160"/>
    <n v="32"/>
    <n v="32"/>
    <n v="12"/>
    <n v="39"/>
    <x v="1"/>
    <n v="44"/>
    <x v="3"/>
    <m/>
    <x v="0"/>
    <x v="3"/>
    <x v="0"/>
    <n v="13"/>
    <x v="0"/>
  </r>
  <r>
    <n v="4971"/>
    <x v="43"/>
    <x v="1"/>
    <x v="1"/>
    <x v="1105"/>
    <x v="0"/>
    <d v="1899-12-31T00:00:00"/>
    <d v="2012-12-06T00:00:00"/>
    <n v="22"/>
    <n v="1"/>
    <n v="1"/>
    <n v="1"/>
    <n v="4"/>
    <n v="64"/>
    <x v="0"/>
    <n v="5"/>
    <x v="3"/>
    <m/>
    <x v="0"/>
    <x v="1"/>
    <x v="0"/>
    <n v="14"/>
    <x v="0"/>
  </r>
  <r>
    <n v="5185"/>
    <x v="34"/>
    <x v="0"/>
    <x v="2"/>
    <x v="1440"/>
    <x v="0"/>
    <d v="1899-12-30T00:00:00"/>
    <d v="2013-02-14T00:00:00"/>
    <n v="83"/>
    <n v="66"/>
    <n v="174"/>
    <n v="174"/>
    <n v="5"/>
    <n v="71"/>
    <x v="0"/>
    <n v="179"/>
    <x v="3"/>
    <m/>
    <x v="0"/>
    <x v="0"/>
    <x v="0"/>
    <n v="13"/>
    <x v="0"/>
  </r>
  <r>
    <n v="10069"/>
    <x v="36"/>
    <x v="3"/>
    <x v="1"/>
    <x v="1441"/>
    <x v="1"/>
    <d v="1899-12-30T00:00:00"/>
    <d v="2012-08-31T00:00:00"/>
    <n v="43"/>
    <n v="7"/>
    <n v="15"/>
    <n v="15"/>
    <n v="2"/>
    <n v="38"/>
    <x v="1"/>
    <n v="17"/>
    <x v="3"/>
    <m/>
    <x v="0"/>
    <x v="2"/>
    <x v="0"/>
    <n v="14"/>
    <x v="0"/>
  </r>
  <r>
    <n v="2262"/>
    <x v="2"/>
    <x v="2"/>
    <x v="1"/>
    <x v="1214"/>
    <x v="0"/>
    <d v="1899-12-31T00:00:00"/>
    <d v="2013-08-26T00:00:00"/>
    <n v="74"/>
    <n v="5"/>
    <n v="5"/>
    <n v="5"/>
    <n v="5"/>
    <n v="61"/>
    <x v="0"/>
    <n v="10"/>
    <x v="3"/>
    <m/>
    <x v="0"/>
    <x v="1"/>
    <x v="0"/>
    <n v="13"/>
    <x v="0"/>
  </r>
  <r>
    <n v="1131"/>
    <x v="5"/>
    <x v="1"/>
    <x v="0"/>
    <x v="1442"/>
    <x v="0"/>
    <d v="1899-12-31T00:00:00"/>
    <d v="2014-04-05T00:00:00"/>
    <n v="54"/>
    <n v="0"/>
    <n v="0"/>
    <n v="0"/>
    <n v="4"/>
    <n v="59"/>
    <x v="0"/>
    <n v="4"/>
    <x v="3"/>
    <m/>
    <x v="0"/>
    <x v="0"/>
    <x v="0"/>
    <n v="12"/>
    <x v="0"/>
  </r>
  <r>
    <n v="1041"/>
    <x v="26"/>
    <x v="1"/>
    <x v="0"/>
    <x v="1443"/>
    <x v="0"/>
    <d v="1899-12-31T00:00:00"/>
    <d v="2012-10-18T00:00:00"/>
    <n v="3"/>
    <n v="3"/>
    <n v="3"/>
    <n v="3"/>
    <n v="6"/>
    <n v="53"/>
    <x v="0"/>
    <n v="9"/>
    <x v="3"/>
    <m/>
    <x v="0"/>
    <x v="1"/>
    <x v="0"/>
    <n v="14"/>
    <x v="0"/>
  </r>
  <r>
    <n v="24"/>
    <x v="40"/>
    <x v="2"/>
    <x v="1"/>
    <x v="738"/>
    <x v="1"/>
    <d v="1899-12-31T00:00:00"/>
    <d v="2014-02-15T00:00:00"/>
    <n v="96"/>
    <n v="2"/>
    <n v="2"/>
    <n v="2"/>
    <n v="4"/>
    <n v="66"/>
    <x v="0"/>
    <n v="6"/>
    <x v="3"/>
    <m/>
    <x v="0"/>
    <x v="2"/>
    <x v="0"/>
    <n v="12"/>
    <x v="0"/>
  </r>
  <r>
    <n v="3409"/>
    <x v="3"/>
    <x v="0"/>
    <x v="0"/>
    <x v="1444"/>
    <x v="1"/>
    <d v="1899-12-30T00:00:00"/>
    <d v="2013-10-15T00:00:00"/>
    <n v="68"/>
    <n v="8"/>
    <n v="11"/>
    <n v="11"/>
    <n v="4"/>
    <n v="42"/>
    <x v="1"/>
    <n v="15"/>
    <x v="3"/>
    <m/>
    <x v="0"/>
    <x v="1"/>
    <x v="0"/>
    <n v="13"/>
    <x v="0"/>
  </r>
  <r>
    <n v="7022"/>
    <x v="6"/>
    <x v="0"/>
    <x v="2"/>
    <x v="1445"/>
    <x v="1"/>
    <d v="1899-12-30T00:00:00"/>
    <d v="2012-09-28T00:00:00"/>
    <n v="2"/>
    <n v="107"/>
    <n v="80"/>
    <n v="80"/>
    <n v="13"/>
    <n v="55"/>
    <x v="0"/>
    <n v="93"/>
    <x v="3"/>
    <m/>
    <x v="0"/>
    <x v="3"/>
    <x v="0"/>
    <n v="14"/>
    <x v="0"/>
  </r>
  <r>
    <n v="7943"/>
    <x v="28"/>
    <x v="1"/>
    <x v="2"/>
    <x v="1446"/>
    <x v="1"/>
    <d v="1899-12-30T00:00:00"/>
    <d v="2014-04-25T00:00:00"/>
    <n v="40"/>
    <n v="0"/>
    <n v="3"/>
    <n v="3"/>
    <n v="3"/>
    <n v="51"/>
    <x v="0"/>
    <n v="6"/>
    <x v="3"/>
    <m/>
    <x v="0"/>
    <x v="1"/>
    <x v="0"/>
    <n v="12"/>
    <x v="0"/>
  </r>
  <r>
    <n v="5272"/>
    <x v="2"/>
    <x v="2"/>
    <x v="2"/>
    <x v="1447"/>
    <x v="0"/>
    <d v="1899-12-31T00:00:00"/>
    <d v="2013-06-27T00:00:00"/>
    <n v="64"/>
    <n v="0"/>
    <n v="4"/>
    <n v="4"/>
    <n v="3"/>
    <n v="61"/>
    <x v="0"/>
    <n v="7"/>
    <x v="3"/>
    <m/>
    <x v="0"/>
    <x v="0"/>
    <x v="0"/>
    <n v="13"/>
    <x v="0"/>
  </r>
  <r>
    <n v="5453"/>
    <x v="46"/>
    <x v="2"/>
    <x v="2"/>
    <x v="1448"/>
    <x v="0"/>
    <d v="1899-12-30T00:00:00"/>
    <d v="2012-09-26T00:00:00"/>
    <n v="26"/>
    <n v="108"/>
    <n v="151"/>
    <n v="151"/>
    <n v="12"/>
    <n v="70"/>
    <x v="0"/>
    <n v="163"/>
    <x v="3"/>
    <m/>
    <x v="0"/>
    <x v="3"/>
    <x v="0"/>
    <n v="14"/>
    <x v="0"/>
  </r>
  <r>
    <n v="2565"/>
    <x v="34"/>
    <x v="2"/>
    <x v="3"/>
    <x v="1449"/>
    <x v="0"/>
    <d v="1899-12-30T00:00:00"/>
    <d v="2013-06-01T00:00:00"/>
    <n v="69"/>
    <n v="12"/>
    <n v="12"/>
    <n v="12"/>
    <n v="10"/>
    <n v="71"/>
    <x v="0"/>
    <n v="22"/>
    <x v="3"/>
    <m/>
    <x v="0"/>
    <x v="0"/>
    <x v="0"/>
    <n v="13"/>
    <x v="0"/>
  </r>
  <r>
    <n v="800"/>
    <x v="40"/>
    <x v="0"/>
    <x v="1"/>
    <x v="1450"/>
    <x v="1"/>
    <d v="1899-12-31T00:00:00"/>
    <d v="2013-08-30T00:00:00"/>
    <n v="57"/>
    <n v="1"/>
    <n v="0"/>
    <n v="0"/>
    <n v="3"/>
    <n v="66"/>
    <x v="0"/>
    <n v="3"/>
    <x v="3"/>
    <m/>
    <x v="0"/>
    <x v="1"/>
    <x v="0"/>
    <n v="13"/>
    <x v="0"/>
  </r>
  <r>
    <n v="11092"/>
    <x v="45"/>
    <x v="0"/>
    <x v="2"/>
    <x v="1451"/>
    <x v="1"/>
    <d v="1899-12-31T00:00:00"/>
    <d v="2014-03-02T00:00:00"/>
    <n v="78"/>
    <n v="1"/>
    <n v="2"/>
    <n v="2"/>
    <n v="3"/>
    <n v="65"/>
    <x v="0"/>
    <n v="5"/>
    <x v="3"/>
    <m/>
    <x v="0"/>
    <x v="2"/>
    <x v="0"/>
    <n v="12"/>
    <x v="0"/>
  </r>
  <r>
    <n v="5062"/>
    <x v="24"/>
    <x v="1"/>
    <x v="2"/>
    <x v="1452"/>
    <x v="1"/>
    <d v="1899-12-31T00:00:00"/>
    <d v="2013-07-27T00:00:00"/>
    <n v="71"/>
    <n v="0"/>
    <n v="0"/>
    <n v="0"/>
    <n v="2"/>
    <n v="63"/>
    <x v="0"/>
    <n v="2"/>
    <x v="3"/>
    <m/>
    <x v="0"/>
    <x v="0"/>
    <x v="0"/>
    <n v="13"/>
    <x v="0"/>
  </r>
  <r>
    <n v="8969"/>
    <x v="32"/>
    <x v="0"/>
    <x v="2"/>
    <x v="1453"/>
    <x v="0"/>
    <d v="1899-12-31T00:00:00"/>
    <d v="2013-01-16T00:00:00"/>
    <n v="59"/>
    <n v="31"/>
    <n v="112"/>
    <n v="112"/>
    <n v="11"/>
    <n v="49"/>
    <x v="1"/>
    <n v="123"/>
    <x v="3"/>
    <m/>
    <x v="0"/>
    <x v="0"/>
    <x v="0"/>
    <n v="13"/>
    <x v="0"/>
  </r>
  <r>
    <n v="4656"/>
    <x v="50"/>
    <x v="4"/>
    <x v="0"/>
    <x v="1454"/>
    <x v="1"/>
    <d v="1899-12-30T00:00:00"/>
    <d v="2013-03-30T00:00:00"/>
    <n v="28"/>
    <n v="32"/>
    <n v="32"/>
    <n v="32"/>
    <n v="4"/>
    <n v="36"/>
    <x v="1"/>
    <n v="36"/>
    <x v="3"/>
    <m/>
    <x v="0"/>
    <x v="0"/>
    <x v="0"/>
    <n v="13"/>
    <x v="0"/>
  </r>
  <r>
    <n v="4480"/>
    <x v="26"/>
    <x v="2"/>
    <x v="2"/>
    <x v="1455"/>
    <x v="0"/>
    <d v="1899-12-31T00:00:00"/>
    <d v="2014-03-09T00:00:00"/>
    <n v="61"/>
    <n v="3"/>
    <n v="3"/>
    <n v="3"/>
    <n v="5"/>
    <n v="53"/>
    <x v="0"/>
    <n v="8"/>
    <x v="3"/>
    <m/>
    <x v="0"/>
    <x v="0"/>
    <x v="0"/>
    <n v="12"/>
    <x v="0"/>
  </r>
  <r>
    <n v="9971"/>
    <x v="31"/>
    <x v="1"/>
    <x v="2"/>
    <x v="996"/>
    <x v="0"/>
    <d v="1899-12-31T00:00:00"/>
    <d v="2014-04-11T00:00:00"/>
    <n v="22"/>
    <n v="19"/>
    <n v="0"/>
    <n v="0"/>
    <n v="8"/>
    <n v="62"/>
    <x v="0"/>
    <n v="8"/>
    <x v="3"/>
    <m/>
    <x v="0"/>
    <x v="0"/>
    <x v="0"/>
    <n v="12"/>
    <x v="0"/>
  </r>
  <r>
    <n v="6729"/>
    <x v="36"/>
    <x v="0"/>
    <x v="0"/>
    <x v="319"/>
    <x v="0"/>
    <d v="1899-12-30T00:00:00"/>
    <d v="2012-08-10T00:00:00"/>
    <n v="95"/>
    <n v="19"/>
    <n v="118"/>
    <n v="118"/>
    <n v="11"/>
    <n v="38"/>
    <x v="1"/>
    <n v="129"/>
    <x v="3"/>
    <m/>
    <x v="0"/>
    <x v="0"/>
    <x v="0"/>
    <n v="14"/>
    <x v="0"/>
  </r>
  <r>
    <n v="1773"/>
    <x v="33"/>
    <x v="4"/>
    <x v="2"/>
    <x v="1456"/>
    <x v="0"/>
    <d v="1899-12-30T00:00:00"/>
    <d v="2012-12-04T00:00:00"/>
    <n v="38"/>
    <n v="6"/>
    <n v="7"/>
    <n v="7"/>
    <n v="3"/>
    <n v="48"/>
    <x v="1"/>
    <n v="10"/>
    <x v="3"/>
    <m/>
    <x v="0"/>
    <x v="2"/>
    <x v="0"/>
    <n v="14"/>
    <x v="0"/>
  </r>
  <r>
    <n v="9242"/>
    <x v="50"/>
    <x v="0"/>
    <x v="0"/>
    <x v="1457"/>
    <x v="0"/>
    <d v="1899-12-30T00:00:00"/>
    <d v="2013-08-17T00:00:00"/>
    <n v="19"/>
    <n v="185"/>
    <n v="25"/>
    <n v="25"/>
    <n v="9"/>
    <n v="36"/>
    <x v="1"/>
    <n v="34"/>
    <x v="3"/>
    <m/>
    <x v="0"/>
    <x v="0"/>
    <x v="0"/>
    <n v="13"/>
    <x v="0"/>
  </r>
  <r>
    <n v="1764"/>
    <x v="28"/>
    <x v="0"/>
    <x v="0"/>
    <x v="1458"/>
    <x v="1"/>
    <d v="1899-12-30T00:00:00"/>
    <d v="2013-08-09T00:00:00"/>
    <n v="92"/>
    <n v="2"/>
    <n v="7"/>
    <n v="7"/>
    <n v="5"/>
    <n v="51"/>
    <x v="0"/>
    <n v="12"/>
    <x v="3"/>
    <m/>
    <x v="0"/>
    <x v="1"/>
    <x v="0"/>
    <n v="13"/>
    <x v="0"/>
  </r>
  <r>
    <n v="6215"/>
    <x v="32"/>
    <x v="0"/>
    <x v="2"/>
    <x v="179"/>
    <x v="1"/>
    <d v="1899-12-31T00:00:00"/>
    <d v="2013-12-29T00:00:00"/>
    <n v="24"/>
    <n v="0"/>
    <n v="1"/>
    <n v="1"/>
    <n v="2"/>
    <n v="49"/>
    <x v="1"/>
    <n v="3"/>
    <x v="3"/>
    <m/>
    <x v="0"/>
    <x v="1"/>
    <x v="0"/>
    <n v="13"/>
    <x v="0"/>
  </r>
  <r>
    <n v="10099"/>
    <x v="3"/>
    <x v="0"/>
    <x v="2"/>
    <x v="1459"/>
    <x v="1"/>
    <d v="1899-12-30T00:00:00"/>
    <d v="2013-10-05T00:00:00"/>
    <n v="21"/>
    <n v="115"/>
    <n v="69"/>
    <n v="69"/>
    <n v="13"/>
    <n v="42"/>
    <x v="1"/>
    <n v="82"/>
    <x v="3"/>
    <m/>
    <x v="0"/>
    <x v="0"/>
    <x v="0"/>
    <n v="13"/>
    <x v="0"/>
  </r>
  <r>
    <n v="5423"/>
    <x v="10"/>
    <x v="0"/>
    <x v="1"/>
    <x v="1460"/>
    <x v="1"/>
    <d v="1899-12-30T00:00:00"/>
    <d v="2013-10-27T00:00:00"/>
    <n v="35"/>
    <n v="0"/>
    <n v="1"/>
    <n v="1"/>
    <n v="2"/>
    <n v="43"/>
    <x v="1"/>
    <n v="3"/>
    <x v="3"/>
    <m/>
    <x v="0"/>
    <x v="2"/>
    <x v="0"/>
    <n v="13"/>
    <x v="0"/>
  </r>
  <r>
    <n v="940"/>
    <x v="14"/>
    <x v="0"/>
    <x v="0"/>
    <x v="847"/>
    <x v="1"/>
    <d v="1899-12-30T00:00:00"/>
    <d v="2014-05-18T00:00:00"/>
    <n v="9"/>
    <n v="11"/>
    <n v="11"/>
    <n v="11"/>
    <n v="7"/>
    <n v="39"/>
    <x v="1"/>
    <n v="18"/>
    <x v="3"/>
    <m/>
    <x v="0"/>
    <x v="0"/>
    <x v="0"/>
    <n v="12"/>
    <x v="0"/>
  </r>
  <r>
    <n v="3011"/>
    <x v="2"/>
    <x v="0"/>
    <x v="2"/>
    <x v="1249"/>
    <x v="0"/>
    <d v="1899-12-31T00:00:00"/>
    <d v="2014-01-27T00:00:00"/>
    <n v="23"/>
    <n v="12"/>
    <n v="15"/>
    <n v="15"/>
    <n v="5"/>
    <n v="61"/>
    <x v="0"/>
    <n v="20"/>
    <x v="3"/>
    <m/>
    <x v="0"/>
    <x v="0"/>
    <x v="0"/>
    <n v="12"/>
    <x v="0"/>
  </r>
  <r>
    <n v="3298"/>
    <x v="46"/>
    <x v="2"/>
    <x v="2"/>
    <x v="1461"/>
    <x v="0"/>
    <d v="1899-12-31T00:00:00"/>
    <d v="2012-11-08T00:00:00"/>
    <n v="92"/>
    <n v="0"/>
    <n v="9"/>
    <n v="9"/>
    <n v="9"/>
    <n v="70"/>
    <x v="0"/>
    <n v="18"/>
    <x v="3"/>
    <m/>
    <x v="0"/>
    <x v="0"/>
    <x v="0"/>
    <n v="14"/>
    <x v="0"/>
  </r>
  <r>
    <n v="8286"/>
    <x v="2"/>
    <x v="1"/>
    <x v="1"/>
    <x v="1462"/>
    <x v="0"/>
    <d v="1899-12-31T00:00:00"/>
    <d v="2013-08-20T00:00:00"/>
    <n v="55"/>
    <n v="1"/>
    <n v="1"/>
    <n v="1"/>
    <n v="4"/>
    <n v="61"/>
    <x v="0"/>
    <n v="5"/>
    <x v="3"/>
    <m/>
    <x v="0"/>
    <x v="0"/>
    <x v="0"/>
    <n v="13"/>
    <x v="0"/>
  </r>
  <r>
    <n v="9668"/>
    <x v="6"/>
    <x v="0"/>
    <x v="2"/>
    <x v="1463"/>
    <x v="1"/>
    <d v="1899-12-30T00:00:00"/>
    <d v="2013-01-12T00:00:00"/>
    <n v="14"/>
    <n v="16"/>
    <n v="17"/>
    <n v="17"/>
    <n v="4"/>
    <n v="55"/>
    <x v="0"/>
    <n v="21"/>
    <x v="3"/>
    <m/>
    <x v="0"/>
    <x v="2"/>
    <x v="0"/>
    <n v="13"/>
    <x v="0"/>
  </r>
  <r>
    <n v="5120"/>
    <x v="18"/>
    <x v="4"/>
    <x v="1"/>
    <x v="430"/>
    <x v="0"/>
    <d v="1899-12-30T00:00:00"/>
    <d v="2012-09-25T00:00:00"/>
    <n v="78"/>
    <n v="96"/>
    <n v="96"/>
    <n v="96"/>
    <n v="6"/>
    <n v="44"/>
    <x v="1"/>
    <n v="102"/>
    <x v="3"/>
    <m/>
    <x v="0"/>
    <x v="0"/>
    <x v="0"/>
    <n v="14"/>
    <x v="0"/>
  </r>
  <r>
    <n v="6097"/>
    <x v="12"/>
    <x v="0"/>
    <x v="0"/>
    <x v="1464"/>
    <x v="1"/>
    <d v="1899-12-31T00:00:00"/>
    <d v="2013-01-16T00:00:00"/>
    <n v="64"/>
    <n v="8"/>
    <n v="4"/>
    <n v="4"/>
    <n v="6"/>
    <n v="67"/>
    <x v="0"/>
    <n v="10"/>
    <x v="3"/>
    <m/>
    <x v="0"/>
    <x v="0"/>
    <x v="0"/>
    <n v="13"/>
    <x v="0"/>
  </r>
  <r>
    <n v="7019"/>
    <x v="24"/>
    <x v="0"/>
    <x v="1"/>
    <x v="1465"/>
    <x v="1"/>
    <d v="1899-12-31T00:00:00"/>
    <d v="2013-01-23T00:00:00"/>
    <n v="49"/>
    <n v="18"/>
    <n v="26"/>
    <n v="26"/>
    <n v="5"/>
    <n v="63"/>
    <x v="0"/>
    <n v="31"/>
    <x v="3"/>
    <m/>
    <x v="0"/>
    <x v="0"/>
    <x v="0"/>
    <n v="13"/>
    <x v="0"/>
  </r>
  <r>
    <n v="7408"/>
    <x v="13"/>
    <x v="1"/>
    <x v="2"/>
    <x v="1466"/>
    <x v="0"/>
    <d v="1899-12-31T00:00:00"/>
    <d v="2014-03-03T00:00:00"/>
    <n v="8"/>
    <n v="2"/>
    <n v="0"/>
    <n v="0"/>
    <n v="4"/>
    <n v="74"/>
    <x v="0"/>
    <n v="4"/>
    <x v="3"/>
    <m/>
    <x v="0"/>
    <x v="0"/>
    <x v="0"/>
    <n v="12"/>
    <x v="0"/>
  </r>
  <r>
    <n v="8041"/>
    <x v="6"/>
    <x v="1"/>
    <x v="4"/>
    <x v="1467"/>
    <x v="0"/>
    <d v="1899-12-31T00:00:00"/>
    <d v="2012-09-08T00:00:00"/>
    <n v="35"/>
    <n v="71"/>
    <n v="112"/>
    <n v="112"/>
    <n v="10"/>
    <n v="55"/>
    <x v="0"/>
    <n v="122"/>
    <x v="3"/>
    <m/>
    <x v="0"/>
    <x v="1"/>
    <x v="0"/>
    <n v="14"/>
    <x v="0"/>
  </r>
  <r>
    <n v="252"/>
    <x v="24"/>
    <x v="1"/>
    <x v="3"/>
    <x v="1468"/>
    <x v="0"/>
    <d v="1899-12-30T00:00:00"/>
    <d v="2013-03-17T00:00:00"/>
    <n v="11"/>
    <n v="133"/>
    <n v="44"/>
    <n v="44"/>
    <n v="8"/>
    <n v="63"/>
    <x v="0"/>
    <n v="52"/>
    <x v="3"/>
    <m/>
    <x v="0"/>
    <x v="1"/>
    <x v="0"/>
    <n v="13"/>
    <x v="0"/>
  </r>
  <r>
    <n v="9986"/>
    <x v="18"/>
    <x v="0"/>
    <x v="1"/>
    <x v="1469"/>
    <x v="1"/>
    <d v="1899-12-30T00:00:00"/>
    <d v="2014-02-22T00:00:00"/>
    <n v="8"/>
    <n v="0"/>
    <n v="2"/>
    <n v="2"/>
    <n v="2"/>
    <n v="44"/>
    <x v="1"/>
    <n v="4"/>
    <x v="3"/>
    <m/>
    <x v="0"/>
    <x v="2"/>
    <x v="0"/>
    <n v="12"/>
    <x v="0"/>
  </r>
  <r>
    <n v="3276"/>
    <x v="11"/>
    <x v="4"/>
    <x v="1"/>
    <x v="1470"/>
    <x v="1"/>
    <d v="1899-12-30T00:00:00"/>
    <d v="2013-10-25T00:00:00"/>
    <n v="53"/>
    <n v="12"/>
    <n v="5"/>
    <n v="5"/>
    <n v="3"/>
    <n v="50"/>
    <x v="1"/>
    <n v="8"/>
    <x v="3"/>
    <m/>
    <x v="0"/>
    <x v="1"/>
    <x v="0"/>
    <n v="13"/>
    <x v="0"/>
  </r>
  <r>
    <n v="3859"/>
    <x v="51"/>
    <x v="1"/>
    <x v="1"/>
    <x v="619"/>
    <x v="0"/>
    <d v="1899-12-31T00:00:00"/>
    <d v="2013-08-31T00:00:00"/>
    <n v="36"/>
    <n v="112"/>
    <n v="82"/>
    <n v="82"/>
    <n v="13"/>
    <n v="79"/>
    <x v="0"/>
    <n v="95"/>
    <x v="3"/>
    <m/>
    <x v="0"/>
    <x v="0"/>
    <x v="0"/>
    <n v="13"/>
    <x v="0"/>
  </r>
  <r>
    <n v="3570"/>
    <x v="21"/>
    <x v="1"/>
    <x v="1"/>
    <x v="1471"/>
    <x v="1"/>
    <d v="1899-12-30T00:00:00"/>
    <d v="2013-10-21T00:00:00"/>
    <n v="64"/>
    <n v="2"/>
    <n v="2"/>
    <n v="2"/>
    <n v="5"/>
    <n v="57"/>
    <x v="0"/>
    <n v="7"/>
    <x v="3"/>
    <m/>
    <x v="0"/>
    <x v="1"/>
    <x v="0"/>
    <n v="13"/>
    <x v="0"/>
  </r>
  <r>
    <n v="3783"/>
    <x v="12"/>
    <x v="1"/>
    <x v="2"/>
    <x v="1472"/>
    <x v="1"/>
    <d v="1899-12-31T00:00:00"/>
    <d v="2014-03-24T00:00:00"/>
    <n v="43"/>
    <n v="0"/>
    <n v="1"/>
    <n v="1"/>
    <n v="4"/>
    <n v="67"/>
    <x v="0"/>
    <n v="5"/>
    <x v="3"/>
    <m/>
    <x v="0"/>
    <x v="0"/>
    <x v="0"/>
    <n v="12"/>
    <x v="0"/>
  </r>
  <r>
    <n v="10207"/>
    <x v="33"/>
    <x v="0"/>
    <x v="1"/>
    <x v="1473"/>
    <x v="1"/>
    <d v="1899-12-30T00:00:00"/>
    <d v="2013-06-19T00:00:00"/>
    <n v="40"/>
    <n v="1"/>
    <n v="0"/>
    <n v="0"/>
    <n v="2"/>
    <n v="48"/>
    <x v="1"/>
    <n v="2"/>
    <x v="3"/>
    <m/>
    <x v="0"/>
    <x v="2"/>
    <x v="0"/>
    <n v="13"/>
    <x v="0"/>
  </r>
  <r>
    <n v="10906"/>
    <x v="37"/>
    <x v="1"/>
    <x v="1"/>
    <x v="338"/>
    <x v="0"/>
    <d v="1900-01-01T00:00:00"/>
    <d v="2013-10-08T00:00:00"/>
    <n v="52"/>
    <n v="15"/>
    <n v="19"/>
    <n v="19"/>
    <n v="4"/>
    <n v="78"/>
    <x v="0"/>
    <n v="23"/>
    <x v="3"/>
    <m/>
    <x v="0"/>
    <x v="1"/>
    <x v="0"/>
    <n v="13"/>
    <x v="0"/>
  </r>
  <r>
    <n v="3427"/>
    <x v="34"/>
    <x v="1"/>
    <x v="2"/>
    <x v="1474"/>
    <x v="0"/>
    <d v="1899-12-31T00:00:00"/>
    <d v="2013-04-12T00:00:00"/>
    <n v="11"/>
    <n v="0"/>
    <n v="0"/>
    <n v="0"/>
    <n v="7"/>
    <n v="71"/>
    <x v="0"/>
    <n v="7"/>
    <x v="3"/>
    <m/>
    <x v="0"/>
    <x v="0"/>
    <x v="0"/>
    <n v="13"/>
    <x v="0"/>
  </r>
  <r>
    <n v="5209"/>
    <x v="1"/>
    <x v="0"/>
    <x v="3"/>
    <x v="1475"/>
    <x v="0"/>
    <d v="1899-12-31T00:00:00"/>
    <d v="2013-06-17T00:00:00"/>
    <n v="21"/>
    <n v="5"/>
    <n v="16"/>
    <n v="16"/>
    <n v="7"/>
    <n v="72"/>
    <x v="0"/>
    <n v="23"/>
    <x v="3"/>
    <m/>
    <x v="0"/>
    <x v="0"/>
    <x v="0"/>
    <n v="13"/>
    <x v="0"/>
  </r>
  <r>
    <n v="10711"/>
    <x v="41"/>
    <x v="0"/>
    <x v="2"/>
    <x v="1476"/>
    <x v="0"/>
    <d v="1899-12-30T00:00:00"/>
    <d v="2013-10-02T00:00:00"/>
    <n v="23"/>
    <n v="77"/>
    <n v="23"/>
    <n v="23"/>
    <n v="12"/>
    <n v="81"/>
    <x v="0"/>
    <n v="35"/>
    <x v="3"/>
    <m/>
    <x v="0"/>
    <x v="0"/>
    <x v="0"/>
    <n v="13"/>
    <x v="0"/>
  </r>
  <r>
    <n v="10785"/>
    <x v="21"/>
    <x v="0"/>
    <x v="2"/>
    <x v="1477"/>
    <x v="1"/>
    <d v="1899-12-31T00:00:00"/>
    <d v="2014-06-19T00:00:00"/>
    <n v="17"/>
    <n v="1"/>
    <n v="0"/>
    <n v="0"/>
    <n v="3"/>
    <n v="57"/>
    <x v="0"/>
    <n v="3"/>
    <x v="3"/>
    <m/>
    <x v="0"/>
    <x v="1"/>
    <x v="0"/>
    <n v="12"/>
    <x v="0"/>
  </r>
  <r>
    <n v="2814"/>
    <x v="11"/>
    <x v="2"/>
    <x v="1"/>
    <x v="1478"/>
    <x v="1"/>
    <d v="1899-12-30T00:00:00"/>
    <d v="2013-06-27T00:00:00"/>
    <n v="6"/>
    <n v="1"/>
    <n v="5"/>
    <n v="5"/>
    <n v="3"/>
    <n v="50"/>
    <x v="1"/>
    <n v="8"/>
    <x v="3"/>
    <m/>
    <x v="0"/>
    <x v="1"/>
    <x v="0"/>
    <n v="13"/>
    <x v="0"/>
  </r>
  <r>
    <n v="6866"/>
    <x v="21"/>
    <x v="2"/>
    <x v="1"/>
    <x v="1479"/>
    <x v="1"/>
    <d v="1899-12-31T00:00:00"/>
    <d v="2014-03-23T00:00:00"/>
    <n v="56"/>
    <n v="0"/>
    <n v="3"/>
    <n v="3"/>
    <n v="3"/>
    <n v="57"/>
    <x v="0"/>
    <n v="6"/>
    <x v="3"/>
    <m/>
    <x v="0"/>
    <x v="1"/>
    <x v="0"/>
    <n v="12"/>
    <x v="0"/>
  </r>
  <r>
    <n v="1665"/>
    <x v="31"/>
    <x v="1"/>
    <x v="3"/>
    <x v="1480"/>
    <x v="0"/>
    <d v="1900-01-01T00:00:00"/>
    <d v="2013-09-23T00:00:00"/>
    <n v="71"/>
    <n v="0"/>
    <n v="15"/>
    <n v="15"/>
    <n v="6"/>
    <n v="62"/>
    <x v="0"/>
    <n v="21"/>
    <x v="3"/>
    <m/>
    <x v="0"/>
    <x v="0"/>
    <x v="0"/>
    <n v="13"/>
    <x v="0"/>
  </r>
  <r>
    <n v="6575"/>
    <x v="4"/>
    <x v="0"/>
    <x v="1"/>
    <x v="1481"/>
    <x v="1"/>
    <d v="1899-12-31T00:00:00"/>
    <d v="2012-10-27T00:00:00"/>
    <n v="51"/>
    <n v="48"/>
    <n v="32"/>
    <n v="32"/>
    <n v="7"/>
    <n v="45"/>
    <x v="1"/>
    <n v="39"/>
    <x v="3"/>
    <m/>
    <x v="0"/>
    <x v="0"/>
    <x v="0"/>
    <n v="14"/>
    <x v="0"/>
  </r>
  <r>
    <n v="3829"/>
    <x v="19"/>
    <x v="3"/>
    <x v="1"/>
    <x v="94"/>
    <x v="1"/>
    <d v="1899-12-30T00:00:00"/>
    <d v="2013-12-10T00:00:00"/>
    <n v="94"/>
    <n v="3"/>
    <n v="0"/>
    <n v="0"/>
    <n v="3"/>
    <n v="47"/>
    <x v="1"/>
    <n v="3"/>
    <x v="3"/>
    <m/>
    <x v="0"/>
    <x v="2"/>
    <x v="0"/>
    <n v="13"/>
    <x v="0"/>
  </r>
  <r>
    <n v="3091"/>
    <x v="4"/>
    <x v="4"/>
    <x v="1"/>
    <x v="1482"/>
    <x v="1"/>
    <d v="1899-12-30T00:00:00"/>
    <d v="2014-05-02T00:00:00"/>
    <n v="27"/>
    <n v="21"/>
    <n v="14"/>
    <n v="14"/>
    <n v="8"/>
    <n v="45"/>
    <x v="1"/>
    <n v="22"/>
    <x v="3"/>
    <m/>
    <x v="0"/>
    <x v="3"/>
    <x v="0"/>
    <n v="12"/>
    <x v="0"/>
  </r>
  <r>
    <n v="10141"/>
    <x v="40"/>
    <x v="2"/>
    <x v="3"/>
    <x v="1483"/>
    <x v="0"/>
    <d v="1899-12-30T00:00:00"/>
    <d v="2013-05-10T00:00:00"/>
    <n v="1"/>
    <n v="1"/>
    <n v="3"/>
    <n v="3"/>
    <n v="3"/>
    <n v="66"/>
    <x v="0"/>
    <n v="6"/>
    <x v="3"/>
    <m/>
    <x v="0"/>
    <x v="1"/>
    <x v="0"/>
    <n v="13"/>
    <x v="0"/>
  </r>
  <r>
    <n v="5177"/>
    <x v="8"/>
    <x v="2"/>
    <x v="2"/>
    <x v="1484"/>
    <x v="0"/>
    <d v="1899-12-31T00:00:00"/>
    <d v="2013-12-12T00:00:00"/>
    <n v="56"/>
    <n v="7"/>
    <n v="0"/>
    <n v="0"/>
    <n v="6"/>
    <n v="52"/>
    <x v="0"/>
    <n v="6"/>
    <x v="3"/>
    <m/>
    <x v="0"/>
    <x v="0"/>
    <x v="0"/>
    <n v="13"/>
    <x v="0"/>
  </r>
  <r>
    <n v="7005"/>
    <x v="4"/>
    <x v="0"/>
    <x v="0"/>
    <x v="1485"/>
    <x v="0"/>
    <d v="1899-12-30T00:00:00"/>
    <d v="2014-06-16T00:00:00"/>
    <n v="71"/>
    <n v="35"/>
    <n v="7"/>
    <n v="7"/>
    <n v="12"/>
    <n v="45"/>
    <x v="1"/>
    <n v="19"/>
    <x v="3"/>
    <m/>
    <x v="0"/>
    <x v="0"/>
    <x v="0"/>
    <n v="12"/>
    <x v="0"/>
  </r>
  <r>
    <n v="6409"/>
    <x v="5"/>
    <x v="0"/>
    <x v="3"/>
    <x v="1374"/>
    <x v="0"/>
    <d v="1899-12-30T00:00:00"/>
    <d v="2013-05-18T00:00:00"/>
    <n v="18"/>
    <n v="140"/>
    <n v="12"/>
    <n v="12"/>
    <n v="7"/>
    <n v="59"/>
    <x v="0"/>
    <n v="19"/>
    <x v="3"/>
    <m/>
    <x v="0"/>
    <x v="0"/>
    <x v="0"/>
    <n v="13"/>
    <x v="0"/>
  </r>
  <r>
    <n v="7485"/>
    <x v="9"/>
    <x v="1"/>
    <x v="4"/>
    <x v="1486"/>
    <x v="1"/>
    <d v="1899-12-31T00:00:00"/>
    <d v="2014-05-07T00:00:00"/>
    <n v="48"/>
    <n v="4"/>
    <n v="2"/>
    <n v="2"/>
    <n v="4"/>
    <n v="76"/>
    <x v="0"/>
    <n v="6"/>
    <x v="3"/>
    <m/>
    <x v="0"/>
    <x v="0"/>
    <x v="0"/>
    <n v="12"/>
    <x v="0"/>
  </r>
  <r>
    <n v="8079"/>
    <x v="18"/>
    <x v="0"/>
    <x v="2"/>
    <x v="1487"/>
    <x v="1"/>
    <d v="1899-12-30T00:00:00"/>
    <d v="2014-02-26T00:00:00"/>
    <n v="86"/>
    <n v="1"/>
    <n v="2"/>
    <n v="2"/>
    <n v="3"/>
    <n v="44"/>
    <x v="1"/>
    <n v="5"/>
    <x v="3"/>
    <m/>
    <x v="0"/>
    <x v="2"/>
    <x v="0"/>
    <n v="12"/>
    <x v="0"/>
  </r>
  <r>
    <n v="8395"/>
    <x v="45"/>
    <x v="0"/>
    <x v="0"/>
    <x v="1488"/>
    <x v="0"/>
    <d v="1899-12-30T00:00:00"/>
    <d v="2012-08-20T00:00:00"/>
    <n v="48"/>
    <n v="37"/>
    <n v="163"/>
    <n v="163"/>
    <n v="12"/>
    <n v="65"/>
    <x v="0"/>
    <n v="175"/>
    <x v="3"/>
    <m/>
    <x v="0"/>
    <x v="3"/>
    <x v="0"/>
    <n v="14"/>
    <x v="0"/>
  </r>
  <r>
    <n v="10352"/>
    <x v="24"/>
    <x v="0"/>
    <x v="4"/>
    <x v="1489"/>
    <x v="1"/>
    <d v="1899-12-31T00:00:00"/>
    <d v="2012-09-07T00:00:00"/>
    <n v="2"/>
    <n v="4"/>
    <n v="3"/>
    <n v="3"/>
    <n v="2"/>
    <n v="63"/>
    <x v="0"/>
    <n v="5"/>
    <x v="3"/>
    <m/>
    <x v="0"/>
    <x v="1"/>
    <x v="0"/>
    <n v="14"/>
    <x v="0"/>
  </r>
  <r>
    <n v="4931"/>
    <x v="32"/>
    <x v="0"/>
    <x v="1"/>
    <x v="1490"/>
    <x v="0"/>
    <d v="1899-12-30T00:00:00"/>
    <d v="2013-04-29T00:00:00"/>
    <n v="13"/>
    <n v="0"/>
    <n v="1"/>
    <n v="1"/>
    <n v="0"/>
    <n v="49"/>
    <x v="1"/>
    <n v="1"/>
    <x v="3"/>
    <m/>
    <x v="0"/>
    <x v="4"/>
    <x v="0"/>
    <n v="13"/>
    <x v="0"/>
  </r>
  <r>
    <n v="13"/>
    <x v="51"/>
    <x v="1"/>
    <x v="4"/>
    <x v="1491"/>
    <x v="0"/>
    <d v="1899-12-31T00:00:00"/>
    <d v="2013-07-22T00:00:00"/>
    <n v="57"/>
    <n v="0"/>
    <n v="0"/>
    <n v="0"/>
    <n v="3"/>
    <n v="79"/>
    <x v="0"/>
    <n v="3"/>
    <x v="3"/>
    <m/>
    <x v="0"/>
    <x v="2"/>
    <x v="0"/>
    <n v="13"/>
    <x v="0"/>
  </r>
  <r>
    <n v="1834"/>
    <x v="33"/>
    <x v="2"/>
    <x v="0"/>
    <x v="1492"/>
    <x v="1"/>
    <d v="1899-12-30T00:00:00"/>
    <d v="2014-03-08T00:00:00"/>
    <n v="77"/>
    <n v="5"/>
    <n v="1"/>
    <n v="1"/>
    <n v="3"/>
    <n v="48"/>
    <x v="1"/>
    <n v="4"/>
    <x v="3"/>
    <m/>
    <x v="0"/>
    <x v="1"/>
    <x v="0"/>
    <n v="12"/>
    <x v="0"/>
  </r>
  <r>
    <n v="2285"/>
    <x v="1"/>
    <x v="2"/>
    <x v="1"/>
    <x v="1493"/>
    <x v="0"/>
    <d v="1899-12-31T00:00:00"/>
    <d v="2013-05-28T00:00:00"/>
    <n v="0"/>
    <n v="9"/>
    <n v="3"/>
    <n v="3"/>
    <n v="5"/>
    <n v="72"/>
    <x v="0"/>
    <n v="8"/>
    <x v="3"/>
    <m/>
    <x v="0"/>
    <x v="1"/>
    <x v="0"/>
    <n v="13"/>
    <x v="0"/>
  </r>
  <r>
    <n v="2295"/>
    <x v="1"/>
    <x v="1"/>
    <x v="2"/>
    <x v="1494"/>
    <x v="0"/>
    <d v="1899-12-31T00:00:00"/>
    <d v="2014-02-02T00:00:00"/>
    <n v="57"/>
    <n v="30"/>
    <n v="46"/>
    <n v="46"/>
    <n v="13"/>
    <n v="72"/>
    <x v="0"/>
    <n v="59"/>
    <x v="3"/>
    <m/>
    <x v="0"/>
    <x v="0"/>
    <x v="0"/>
    <n v="12"/>
    <x v="0"/>
  </r>
  <r>
    <n v="1378"/>
    <x v="39"/>
    <x v="4"/>
    <x v="1"/>
    <x v="1495"/>
    <x v="0"/>
    <d v="1899-12-31T00:00:00"/>
    <d v="2013-07-24T00:00:00"/>
    <n v="24"/>
    <n v="16"/>
    <n v="16"/>
    <n v="16"/>
    <n v="6"/>
    <n v="54"/>
    <x v="0"/>
    <n v="22"/>
    <x v="3"/>
    <m/>
    <x v="0"/>
    <x v="0"/>
    <x v="0"/>
    <n v="13"/>
    <x v="0"/>
  </r>
  <r>
    <n v="2781"/>
    <x v="4"/>
    <x v="0"/>
    <x v="0"/>
    <x v="1496"/>
    <x v="0"/>
    <d v="1899-12-30T00:00:00"/>
    <d v="2014-06-23T00:00:00"/>
    <n v="55"/>
    <n v="34"/>
    <n v="51"/>
    <n v="51"/>
    <n v="6"/>
    <n v="45"/>
    <x v="1"/>
    <n v="57"/>
    <x v="3"/>
    <m/>
    <x v="0"/>
    <x v="0"/>
    <x v="0"/>
    <n v="12"/>
    <x v="0"/>
  </r>
  <r>
    <n v="1165"/>
    <x v="38"/>
    <x v="1"/>
    <x v="0"/>
    <x v="1497"/>
    <x v="1"/>
    <d v="1899-12-31T00:00:00"/>
    <d v="2013-05-02T00:00:00"/>
    <n v="62"/>
    <n v="13"/>
    <n v="4"/>
    <n v="4"/>
    <n v="7"/>
    <n v="68"/>
    <x v="0"/>
    <n v="11"/>
    <x v="3"/>
    <m/>
    <x v="0"/>
    <x v="0"/>
    <x v="0"/>
    <n v="13"/>
    <x v="0"/>
  </r>
  <r>
    <n v="1404"/>
    <x v="30"/>
    <x v="0"/>
    <x v="1"/>
    <x v="1498"/>
    <x v="2"/>
    <d v="1899-12-30T00:00:00"/>
    <d v="2013-05-15T00:00:00"/>
    <n v="89"/>
    <n v="23"/>
    <n v="0"/>
    <n v="0"/>
    <n v="3"/>
    <n v="58"/>
    <x v="0"/>
    <n v="3"/>
    <x v="3"/>
    <m/>
    <x v="0"/>
    <x v="1"/>
    <x v="0"/>
    <n v="13"/>
    <x v="0"/>
  </r>
  <r>
    <n v="6457"/>
    <x v="11"/>
    <x v="0"/>
    <x v="3"/>
    <x v="1499"/>
    <x v="0"/>
    <d v="1899-12-31T00:00:00"/>
    <d v="2014-05-29T00:00:00"/>
    <n v="77"/>
    <n v="24"/>
    <n v="24"/>
    <n v="24"/>
    <n v="12"/>
    <n v="50"/>
    <x v="1"/>
    <n v="36"/>
    <x v="3"/>
    <m/>
    <x v="0"/>
    <x v="0"/>
    <x v="0"/>
    <n v="12"/>
    <x v="0"/>
  </r>
  <r>
    <n v="2639"/>
    <x v="35"/>
    <x v="0"/>
    <x v="0"/>
    <x v="1500"/>
    <x v="1"/>
    <d v="1899-12-31T00:00:00"/>
    <d v="2014-01-10T00:00:00"/>
    <n v="45"/>
    <n v="5"/>
    <n v="3"/>
    <n v="3"/>
    <n v="2"/>
    <n v="60"/>
    <x v="0"/>
    <n v="5"/>
    <x v="3"/>
    <m/>
    <x v="0"/>
    <x v="1"/>
    <x v="0"/>
    <n v="12"/>
    <x v="0"/>
  </r>
  <r>
    <n v="8299"/>
    <x v="23"/>
    <x v="1"/>
    <x v="0"/>
    <x v="310"/>
    <x v="0"/>
    <d v="1899-12-30T00:00:00"/>
    <d v="2013-09-11T00:00:00"/>
    <n v="46"/>
    <n v="2"/>
    <n v="0"/>
    <n v="0"/>
    <n v="3"/>
    <n v="37"/>
    <x v="1"/>
    <n v="3"/>
    <x v="3"/>
    <m/>
    <x v="0"/>
    <x v="1"/>
    <x v="0"/>
    <n v="13"/>
    <x v="0"/>
  </r>
  <r>
    <n v="6437"/>
    <x v="7"/>
    <x v="4"/>
    <x v="0"/>
    <x v="1501"/>
    <x v="1"/>
    <d v="1899-12-30T00:00:00"/>
    <d v="2013-06-19T00:00:00"/>
    <n v="80"/>
    <n v="8"/>
    <n v="3"/>
    <n v="3"/>
    <n v="3"/>
    <n v="41"/>
    <x v="1"/>
    <n v="6"/>
    <x v="3"/>
    <m/>
    <x v="0"/>
    <x v="1"/>
    <x v="0"/>
    <n v="13"/>
    <x v="0"/>
  </r>
  <r>
    <n v="6912"/>
    <x v="5"/>
    <x v="1"/>
    <x v="2"/>
    <x v="1502"/>
    <x v="0"/>
    <d v="1900-01-01T00:00:00"/>
    <d v="2013-08-20T00:00:00"/>
    <n v="60"/>
    <n v="30"/>
    <n v="22"/>
    <n v="22"/>
    <n v="12"/>
    <n v="59"/>
    <x v="0"/>
    <n v="34"/>
    <x v="3"/>
    <m/>
    <x v="0"/>
    <x v="0"/>
    <x v="0"/>
    <n v="13"/>
    <x v="0"/>
  </r>
  <r>
    <n v="7327"/>
    <x v="12"/>
    <x v="1"/>
    <x v="2"/>
    <x v="1503"/>
    <x v="1"/>
    <d v="1899-12-31T00:00:00"/>
    <d v="2013-12-29T00:00:00"/>
    <n v="71"/>
    <n v="5"/>
    <n v="1"/>
    <n v="1"/>
    <n v="4"/>
    <n v="67"/>
    <x v="0"/>
    <n v="5"/>
    <x v="3"/>
    <m/>
    <x v="0"/>
    <x v="1"/>
    <x v="0"/>
    <n v="13"/>
    <x v="0"/>
  </r>
  <r>
    <n v="5299"/>
    <x v="25"/>
    <x v="1"/>
    <x v="2"/>
    <x v="594"/>
    <x v="1"/>
    <d v="1899-12-30T00:00:00"/>
    <d v="2013-11-19T00:00:00"/>
    <n v="43"/>
    <n v="107"/>
    <n v="30"/>
    <n v="30"/>
    <n v="13"/>
    <n v="56"/>
    <x v="0"/>
    <n v="43"/>
    <x v="3"/>
    <m/>
    <x v="0"/>
    <x v="0"/>
    <x v="0"/>
    <n v="13"/>
    <x v="0"/>
  </r>
  <r>
    <n v="4127"/>
    <x v="5"/>
    <x v="1"/>
    <x v="2"/>
    <x v="1162"/>
    <x v="0"/>
    <d v="1899-12-31T00:00:00"/>
    <d v="2013-02-22T00:00:00"/>
    <n v="97"/>
    <n v="59"/>
    <n v="59"/>
    <n v="59"/>
    <n v="11"/>
    <n v="59"/>
    <x v="0"/>
    <n v="70"/>
    <x v="3"/>
    <m/>
    <x v="0"/>
    <x v="3"/>
    <x v="0"/>
    <n v="13"/>
    <x v="0"/>
  </r>
  <r>
    <n v="8143"/>
    <x v="7"/>
    <x v="1"/>
    <x v="0"/>
    <x v="1504"/>
    <x v="0"/>
    <d v="1899-12-30T00:00:00"/>
    <d v="2013-07-30T00:00:00"/>
    <n v="49"/>
    <n v="2"/>
    <n v="2"/>
    <n v="2"/>
    <n v="5"/>
    <n v="41"/>
    <x v="1"/>
    <n v="7"/>
    <x v="3"/>
    <m/>
    <x v="0"/>
    <x v="1"/>
    <x v="0"/>
    <n v="13"/>
    <x v="0"/>
  </r>
  <r>
    <n v="1964"/>
    <x v="20"/>
    <x v="0"/>
    <x v="1"/>
    <x v="1505"/>
    <x v="0"/>
    <d v="1899-12-30T00:00:00"/>
    <d v="2013-09-05T00:00:00"/>
    <n v="66"/>
    <n v="107"/>
    <n v="196"/>
    <n v="196"/>
    <n v="6"/>
    <n v="75"/>
    <x v="0"/>
    <n v="202"/>
    <x v="3"/>
    <m/>
    <x v="0"/>
    <x v="3"/>
    <x v="0"/>
    <n v="13"/>
    <x v="0"/>
  </r>
  <r>
    <n v="3690"/>
    <x v="22"/>
    <x v="2"/>
    <x v="2"/>
    <x v="1506"/>
    <x v="0"/>
    <d v="1899-12-30T00:00:00"/>
    <d v="2013-01-11T00:00:00"/>
    <n v="20"/>
    <n v="102"/>
    <n v="40"/>
    <n v="40"/>
    <n v="10"/>
    <n v="40"/>
    <x v="1"/>
    <n v="50"/>
    <x v="3"/>
    <m/>
    <x v="0"/>
    <x v="3"/>
    <x v="0"/>
    <n v="13"/>
    <x v="0"/>
  </r>
  <r>
    <n v="3433"/>
    <x v="34"/>
    <x v="4"/>
    <x v="2"/>
    <x v="588"/>
    <x v="0"/>
    <d v="1899-12-30T00:00:00"/>
    <d v="2013-06-03T00:00:00"/>
    <n v="54"/>
    <n v="22"/>
    <n v="35"/>
    <n v="35"/>
    <n v="6"/>
    <n v="71"/>
    <x v="0"/>
    <n v="41"/>
    <x v="3"/>
    <m/>
    <x v="0"/>
    <x v="0"/>
    <x v="0"/>
    <n v="13"/>
    <x v="0"/>
  </r>
  <r>
    <n v="3389"/>
    <x v="25"/>
    <x v="0"/>
    <x v="2"/>
    <x v="1507"/>
    <x v="0"/>
    <d v="1899-12-31T00:00:00"/>
    <d v="2012-11-22T00:00:00"/>
    <n v="61"/>
    <n v="53"/>
    <n v="107"/>
    <n v="107"/>
    <n v="13"/>
    <n v="56"/>
    <x v="0"/>
    <n v="120"/>
    <x v="3"/>
    <m/>
    <x v="0"/>
    <x v="0"/>
    <x v="0"/>
    <n v="14"/>
    <x v="0"/>
  </r>
  <r>
    <n v="4712"/>
    <x v="42"/>
    <x v="4"/>
    <x v="1"/>
    <x v="1508"/>
    <x v="0"/>
    <d v="1899-12-30T00:00:00"/>
    <d v="2012-11-28T00:00:00"/>
    <n v="18"/>
    <n v="8"/>
    <n v="11"/>
    <n v="11"/>
    <n v="4"/>
    <n v="35"/>
    <x v="1"/>
    <n v="15"/>
    <x v="3"/>
    <m/>
    <x v="0"/>
    <x v="2"/>
    <x v="0"/>
    <n v="14"/>
    <x v="0"/>
  </r>
  <r>
    <n v="1170"/>
    <x v="28"/>
    <x v="0"/>
    <x v="2"/>
    <x v="1509"/>
    <x v="1"/>
    <d v="1899-12-30T00:00:00"/>
    <d v="2013-03-25T00:00:00"/>
    <n v="45"/>
    <n v="15"/>
    <n v="15"/>
    <n v="15"/>
    <n v="4"/>
    <n v="51"/>
    <x v="0"/>
    <n v="19"/>
    <x v="3"/>
    <m/>
    <x v="0"/>
    <x v="2"/>
    <x v="0"/>
    <n v="13"/>
    <x v="0"/>
  </r>
  <r>
    <n v="6347"/>
    <x v="19"/>
    <x v="3"/>
    <x v="0"/>
    <x v="1510"/>
    <x v="1"/>
    <d v="1899-12-30T00:00:00"/>
    <d v="2013-06-27T00:00:00"/>
    <n v="26"/>
    <n v="1"/>
    <n v="9"/>
    <n v="9"/>
    <n v="3"/>
    <n v="47"/>
    <x v="1"/>
    <n v="12"/>
    <x v="3"/>
    <m/>
    <x v="0"/>
    <x v="2"/>
    <x v="0"/>
    <n v="13"/>
    <x v="0"/>
  </r>
  <r>
    <n v="4065"/>
    <x v="11"/>
    <x v="1"/>
    <x v="2"/>
    <x v="1511"/>
    <x v="1"/>
    <d v="1899-12-30T00:00:00"/>
    <d v="2013-02-12T00:00:00"/>
    <n v="0"/>
    <n v="0"/>
    <n v="0"/>
    <n v="0"/>
    <n v="8"/>
    <n v="50"/>
    <x v="1"/>
    <n v="8"/>
    <x v="3"/>
    <m/>
    <x v="0"/>
    <x v="1"/>
    <x v="0"/>
    <n v="13"/>
    <x v="0"/>
  </r>
  <r>
    <n v="8230"/>
    <x v="16"/>
    <x v="0"/>
    <x v="2"/>
    <x v="1512"/>
    <x v="1"/>
    <d v="1899-12-30T00:00:00"/>
    <d v="2014-01-23T00:00:00"/>
    <n v="28"/>
    <n v="2"/>
    <n v="4"/>
    <n v="4"/>
    <n v="3"/>
    <n v="46"/>
    <x v="1"/>
    <n v="7"/>
    <x v="3"/>
    <m/>
    <x v="0"/>
    <x v="1"/>
    <x v="0"/>
    <n v="12"/>
    <x v="0"/>
  </r>
  <r>
    <n v="1215"/>
    <x v="33"/>
    <x v="0"/>
    <x v="1"/>
    <x v="1513"/>
    <x v="0"/>
    <d v="1899-12-30T00:00:00"/>
    <d v="2013-10-08T00:00:00"/>
    <n v="49"/>
    <n v="117"/>
    <n v="102"/>
    <n v="102"/>
    <n v="7"/>
    <n v="48"/>
    <x v="1"/>
    <n v="109"/>
    <x v="3"/>
    <m/>
    <x v="0"/>
    <x v="0"/>
    <x v="0"/>
    <n v="13"/>
    <x v="0"/>
  </r>
  <r>
    <n v="5939"/>
    <x v="6"/>
    <x v="0"/>
    <x v="1"/>
    <x v="1514"/>
    <x v="1"/>
    <d v="1899-12-31T00:00:00"/>
    <d v="2014-01-17T00:00:00"/>
    <n v="84"/>
    <n v="5"/>
    <n v="6"/>
    <n v="6"/>
    <n v="3"/>
    <n v="55"/>
    <x v="0"/>
    <n v="9"/>
    <x v="3"/>
    <m/>
    <x v="0"/>
    <x v="1"/>
    <x v="0"/>
    <n v="12"/>
    <x v="0"/>
  </r>
  <r>
    <n v="2156"/>
    <x v="34"/>
    <x v="1"/>
    <x v="2"/>
    <x v="1515"/>
    <x v="1"/>
    <d v="1899-12-31T00:00:00"/>
    <d v="2012-11-03T00:00:00"/>
    <n v="38"/>
    <n v="0"/>
    <n v="0"/>
    <n v="0"/>
    <n v="4"/>
    <n v="71"/>
    <x v="0"/>
    <n v="4"/>
    <x v="3"/>
    <m/>
    <x v="0"/>
    <x v="2"/>
    <x v="0"/>
    <n v="14"/>
    <x v="0"/>
  </r>
  <r>
    <n v="7788"/>
    <x v="10"/>
    <x v="1"/>
    <x v="2"/>
    <x v="1516"/>
    <x v="1"/>
    <d v="1899-12-30T00:00:00"/>
    <d v="2014-06-04T00:00:00"/>
    <n v="53"/>
    <n v="0"/>
    <n v="0"/>
    <n v="0"/>
    <n v="3"/>
    <n v="43"/>
    <x v="1"/>
    <n v="3"/>
    <x v="3"/>
    <m/>
    <x v="0"/>
    <x v="2"/>
    <x v="0"/>
    <n v="12"/>
    <x v="0"/>
  </r>
  <r>
    <n v="10323"/>
    <x v="13"/>
    <x v="0"/>
    <x v="2"/>
    <x v="1517"/>
    <x v="0"/>
    <d v="1899-12-31T00:00:00"/>
    <d v="2013-10-25T00:00:00"/>
    <n v="88"/>
    <n v="7"/>
    <n v="2"/>
    <n v="2"/>
    <n v="5"/>
    <n v="74"/>
    <x v="0"/>
    <n v="7"/>
    <x v="3"/>
    <m/>
    <x v="0"/>
    <x v="1"/>
    <x v="0"/>
    <n v="13"/>
    <x v="0"/>
  </r>
  <r>
    <n v="7947"/>
    <x v="21"/>
    <x v="0"/>
    <x v="2"/>
    <x v="1518"/>
    <x v="1"/>
    <d v="1899-12-31T00:00:00"/>
    <d v="2014-03-25T00:00:00"/>
    <n v="99"/>
    <n v="0"/>
    <n v="1"/>
    <n v="1"/>
    <n v="3"/>
    <n v="57"/>
    <x v="0"/>
    <n v="4"/>
    <x v="3"/>
    <m/>
    <x v="0"/>
    <x v="1"/>
    <x v="0"/>
    <n v="12"/>
    <x v="0"/>
  </r>
  <r>
    <n v="1891"/>
    <x v="16"/>
    <x v="2"/>
    <x v="3"/>
    <x v="1519"/>
    <x v="0"/>
    <d v="1899-12-30T00:00:00"/>
    <d v="2012-08-08T00:00:00"/>
    <n v="12"/>
    <n v="50"/>
    <n v="83"/>
    <n v="83"/>
    <n v="5"/>
    <n v="46"/>
    <x v="1"/>
    <n v="88"/>
    <x v="3"/>
    <m/>
    <x v="0"/>
    <x v="3"/>
    <x v="0"/>
    <n v="14"/>
    <x v="0"/>
  </r>
  <r>
    <n v="2570"/>
    <x v="30"/>
    <x v="0"/>
    <x v="1"/>
    <x v="1520"/>
    <x v="0"/>
    <d v="1899-12-31T00:00:00"/>
    <d v="2013-07-23T00:00:00"/>
    <n v="35"/>
    <n v="7"/>
    <n v="0"/>
    <n v="0"/>
    <n v="7"/>
    <n v="58"/>
    <x v="0"/>
    <n v="7"/>
    <x v="3"/>
    <m/>
    <x v="0"/>
    <x v="0"/>
    <x v="0"/>
    <n v="13"/>
    <x v="0"/>
  </r>
  <r>
    <n v="9256"/>
    <x v="6"/>
    <x v="0"/>
    <x v="0"/>
    <x v="1521"/>
    <x v="0"/>
    <d v="1899-12-31T00:00:00"/>
    <d v="2013-01-04T00:00:00"/>
    <n v="5"/>
    <n v="26"/>
    <n v="80"/>
    <n v="80"/>
    <n v="12"/>
    <n v="55"/>
    <x v="0"/>
    <n v="92"/>
    <x v="3"/>
    <m/>
    <x v="0"/>
    <x v="0"/>
    <x v="0"/>
    <n v="13"/>
    <x v="0"/>
  </r>
  <r>
    <n v="295"/>
    <x v="23"/>
    <x v="0"/>
    <x v="0"/>
    <x v="474"/>
    <x v="0"/>
    <d v="1899-12-30T00:00:00"/>
    <d v="2013-07-19T00:00:00"/>
    <n v="77"/>
    <n v="70"/>
    <n v="40"/>
    <n v="40"/>
    <n v="11"/>
    <n v="37"/>
    <x v="1"/>
    <n v="51"/>
    <x v="3"/>
    <m/>
    <x v="0"/>
    <x v="3"/>
    <x v="0"/>
    <n v="13"/>
    <x v="0"/>
  </r>
  <r>
    <n v="7397"/>
    <x v="20"/>
    <x v="0"/>
    <x v="0"/>
    <x v="1522"/>
    <x v="0"/>
    <d v="1899-12-31T00:00:00"/>
    <d v="2013-07-19T00:00:00"/>
    <n v="45"/>
    <n v="5"/>
    <n v="0"/>
    <n v="0"/>
    <n v="9"/>
    <n v="75"/>
    <x v="0"/>
    <n v="9"/>
    <x v="3"/>
    <m/>
    <x v="0"/>
    <x v="1"/>
    <x v="0"/>
    <n v="13"/>
    <x v="0"/>
  </r>
  <r>
    <n v="6349"/>
    <x v="14"/>
    <x v="2"/>
    <x v="3"/>
    <x v="1523"/>
    <x v="0"/>
    <d v="1899-12-30T00:00:00"/>
    <d v="2013-07-06T00:00:00"/>
    <n v="71"/>
    <n v="73"/>
    <n v="48"/>
    <n v="48"/>
    <n v="6"/>
    <n v="39"/>
    <x v="1"/>
    <n v="54"/>
    <x v="3"/>
    <m/>
    <x v="0"/>
    <x v="0"/>
    <x v="0"/>
    <n v="13"/>
    <x v="0"/>
  </r>
  <r>
    <n v="10790"/>
    <x v="7"/>
    <x v="1"/>
    <x v="2"/>
    <x v="1524"/>
    <x v="1"/>
    <d v="1899-12-30T00:00:00"/>
    <d v="2013-02-19T00:00:00"/>
    <n v="40"/>
    <n v="0"/>
    <n v="0"/>
    <n v="0"/>
    <n v="2"/>
    <n v="41"/>
    <x v="1"/>
    <n v="2"/>
    <x v="3"/>
    <m/>
    <x v="0"/>
    <x v="2"/>
    <x v="0"/>
    <n v="13"/>
    <x v="0"/>
  </r>
  <r>
    <n v="10398"/>
    <x v="4"/>
    <x v="4"/>
    <x v="0"/>
    <x v="1525"/>
    <x v="1"/>
    <d v="1899-12-30T00:00:00"/>
    <d v="2012-08-27T00:00:00"/>
    <n v="82"/>
    <n v="6"/>
    <n v="2"/>
    <n v="2"/>
    <n v="2"/>
    <n v="45"/>
    <x v="1"/>
    <n v="4"/>
    <x v="3"/>
    <m/>
    <x v="0"/>
    <x v="2"/>
    <x v="0"/>
    <n v="14"/>
    <x v="0"/>
  </r>
  <r>
    <n v="2431"/>
    <x v="50"/>
    <x v="0"/>
    <x v="2"/>
    <x v="1526"/>
    <x v="0"/>
    <d v="1899-12-30T00:00:00"/>
    <d v="2012-12-31T00:00:00"/>
    <n v="70"/>
    <n v="4"/>
    <n v="6"/>
    <n v="6"/>
    <n v="3"/>
    <n v="36"/>
    <x v="1"/>
    <n v="9"/>
    <x v="3"/>
    <m/>
    <x v="0"/>
    <x v="2"/>
    <x v="0"/>
    <n v="14"/>
    <x v="0"/>
  </r>
  <r>
    <n v="550"/>
    <x v="13"/>
    <x v="0"/>
    <x v="3"/>
    <x v="1527"/>
    <x v="0"/>
    <d v="1899-12-31T00:00:00"/>
    <d v="2013-05-23T00:00:00"/>
    <n v="87"/>
    <n v="131"/>
    <n v="6"/>
    <n v="6"/>
    <n v="13"/>
    <n v="74"/>
    <x v="0"/>
    <n v="19"/>
    <x v="3"/>
    <m/>
    <x v="0"/>
    <x v="0"/>
    <x v="0"/>
    <n v="13"/>
    <x v="0"/>
  </r>
  <r>
    <n v="1890"/>
    <x v="6"/>
    <x v="4"/>
    <x v="1"/>
    <x v="1528"/>
    <x v="1"/>
    <d v="1899-12-31T00:00:00"/>
    <d v="2012-09-19T00:00:00"/>
    <n v="95"/>
    <n v="1"/>
    <n v="0"/>
    <n v="0"/>
    <n v="2"/>
    <n v="55"/>
    <x v="0"/>
    <n v="2"/>
    <x v="3"/>
    <m/>
    <x v="0"/>
    <x v="1"/>
    <x v="0"/>
    <n v="14"/>
    <x v="0"/>
  </r>
  <r>
    <n v="10742"/>
    <x v="10"/>
    <x v="1"/>
    <x v="2"/>
    <x v="1529"/>
    <x v="0"/>
    <d v="1899-12-30T00:00:00"/>
    <d v="2013-02-27T00:00:00"/>
    <n v="72"/>
    <n v="21"/>
    <n v="20"/>
    <n v="20"/>
    <n v="5"/>
    <n v="43"/>
    <x v="1"/>
    <n v="25"/>
    <x v="3"/>
    <m/>
    <x v="0"/>
    <x v="3"/>
    <x v="0"/>
    <n v="13"/>
    <x v="0"/>
  </r>
  <r>
    <n v="10356"/>
    <x v="0"/>
    <x v="1"/>
    <x v="3"/>
    <x v="1530"/>
    <x v="1"/>
    <d v="1899-12-31T00:00:00"/>
    <d v="2012-09-22T00:00:00"/>
    <n v="5"/>
    <n v="0"/>
    <n v="0"/>
    <n v="0"/>
    <n v="3"/>
    <n v="69"/>
    <x v="0"/>
    <n v="3"/>
    <x v="3"/>
    <m/>
    <x v="0"/>
    <x v="1"/>
    <x v="0"/>
    <n v="14"/>
    <x v="0"/>
  </r>
  <r>
    <n v="4676"/>
    <x v="20"/>
    <x v="2"/>
    <x v="4"/>
    <x v="1531"/>
    <x v="0"/>
    <d v="1900-01-01T00:00:00"/>
    <d v="2014-03-05T00:00:00"/>
    <n v="86"/>
    <n v="91"/>
    <n v="107"/>
    <n v="107"/>
    <n v="8"/>
    <n v="75"/>
    <x v="0"/>
    <n v="115"/>
    <x v="3"/>
    <m/>
    <x v="0"/>
    <x v="0"/>
    <x v="0"/>
    <n v="12"/>
    <x v="0"/>
  </r>
  <r>
    <n v="8852"/>
    <x v="11"/>
    <x v="0"/>
    <x v="2"/>
    <x v="1532"/>
    <x v="0"/>
    <d v="1899-12-31T00:00:00"/>
    <d v="2012-08-31T00:00:00"/>
    <n v="80"/>
    <n v="126"/>
    <n v="45"/>
    <n v="45"/>
    <n v="11"/>
    <n v="50"/>
    <x v="1"/>
    <n v="56"/>
    <x v="3"/>
    <m/>
    <x v="0"/>
    <x v="0"/>
    <x v="0"/>
    <n v="14"/>
    <x v="0"/>
  </r>
  <r>
    <n v="3565"/>
    <x v="34"/>
    <x v="2"/>
    <x v="2"/>
    <x v="1141"/>
    <x v="1"/>
    <d v="1899-12-31T00:00:00"/>
    <d v="2014-03-30T00:00:00"/>
    <n v="62"/>
    <n v="0"/>
    <n v="0"/>
    <n v="0"/>
    <n v="3"/>
    <n v="71"/>
    <x v="0"/>
    <n v="3"/>
    <x v="3"/>
    <m/>
    <x v="0"/>
    <x v="1"/>
    <x v="0"/>
    <n v="12"/>
    <x v="0"/>
  </r>
  <r>
    <n v="5294"/>
    <x v="23"/>
    <x v="0"/>
    <x v="0"/>
    <x v="1533"/>
    <x v="1"/>
    <d v="1899-12-30T00:00:00"/>
    <d v="2013-11-20T00:00:00"/>
    <n v="49"/>
    <n v="8"/>
    <n v="4"/>
    <n v="4"/>
    <n v="4"/>
    <n v="37"/>
    <x v="1"/>
    <n v="8"/>
    <x v="3"/>
    <m/>
    <x v="0"/>
    <x v="2"/>
    <x v="0"/>
    <n v="13"/>
    <x v="0"/>
  </r>
  <r>
    <n v="1958"/>
    <x v="26"/>
    <x v="1"/>
    <x v="1"/>
    <x v="1534"/>
    <x v="0"/>
    <d v="1899-12-31T00:00:00"/>
    <d v="2014-03-21T00:00:00"/>
    <n v="85"/>
    <n v="0"/>
    <n v="0"/>
    <n v="0"/>
    <n v="9"/>
    <n v="53"/>
    <x v="0"/>
    <n v="9"/>
    <x v="3"/>
    <m/>
    <x v="0"/>
    <x v="0"/>
    <x v="0"/>
    <n v="12"/>
    <x v="0"/>
  </r>
  <r>
    <n v="7349"/>
    <x v="26"/>
    <x v="3"/>
    <x v="1"/>
    <x v="1535"/>
    <x v="1"/>
    <d v="1899-12-30T00:00:00"/>
    <d v="2012-10-02T00:00:00"/>
    <n v="7"/>
    <n v="17"/>
    <n v="16"/>
    <n v="16"/>
    <n v="3"/>
    <n v="53"/>
    <x v="0"/>
    <n v="19"/>
    <x v="3"/>
    <m/>
    <x v="0"/>
    <x v="2"/>
    <x v="0"/>
    <n v="14"/>
    <x v="0"/>
  </r>
  <r>
    <n v="8799"/>
    <x v="3"/>
    <x v="1"/>
    <x v="2"/>
    <x v="1536"/>
    <x v="1"/>
    <d v="1899-12-30T00:00:00"/>
    <d v="2013-09-23T00:00:00"/>
    <n v="6"/>
    <n v="6"/>
    <n v="3"/>
    <n v="3"/>
    <n v="4"/>
    <n v="42"/>
    <x v="1"/>
    <n v="7"/>
    <x v="3"/>
    <m/>
    <x v="0"/>
    <x v="1"/>
    <x v="0"/>
    <n v="13"/>
    <x v="0"/>
  </r>
  <r>
    <n v="1351"/>
    <x v="46"/>
    <x v="2"/>
    <x v="1"/>
    <x v="1537"/>
    <x v="0"/>
    <d v="1899-12-31T00:00:00"/>
    <d v="2012-09-20T00:00:00"/>
    <n v="25"/>
    <n v="12"/>
    <n v="24"/>
    <n v="24"/>
    <n v="13"/>
    <n v="70"/>
    <x v="0"/>
    <n v="37"/>
    <x v="3"/>
    <m/>
    <x v="0"/>
    <x v="0"/>
    <x v="0"/>
    <n v="14"/>
    <x v="0"/>
  </r>
  <r>
    <n v="1045"/>
    <x v="2"/>
    <x v="0"/>
    <x v="1"/>
    <x v="1538"/>
    <x v="0"/>
    <d v="1899-12-31T00:00:00"/>
    <d v="2012-08-16T00:00:00"/>
    <n v="55"/>
    <n v="10"/>
    <n v="0"/>
    <n v="0"/>
    <n v="4"/>
    <n v="61"/>
    <x v="0"/>
    <n v="4"/>
    <x v="3"/>
    <m/>
    <x v="0"/>
    <x v="0"/>
    <x v="0"/>
    <n v="14"/>
    <x v="0"/>
  </r>
  <r>
    <n v="7732"/>
    <x v="33"/>
    <x v="0"/>
    <x v="2"/>
    <x v="1539"/>
    <x v="1"/>
    <d v="1899-12-30T00:00:00"/>
    <d v="2014-01-02T00:00:00"/>
    <n v="81"/>
    <n v="0"/>
    <n v="97"/>
    <n v="97"/>
    <n v="10"/>
    <n v="48"/>
    <x v="1"/>
    <n v="107"/>
    <x v="3"/>
    <m/>
    <x v="0"/>
    <x v="0"/>
    <x v="0"/>
    <n v="12"/>
    <x v="0"/>
  </r>
  <r>
    <n v="8070"/>
    <x v="26"/>
    <x v="1"/>
    <x v="2"/>
    <x v="1540"/>
    <x v="0"/>
    <d v="1899-12-31T00:00:00"/>
    <d v="2014-03-01T00:00:00"/>
    <n v="98"/>
    <n v="12"/>
    <n v="12"/>
    <n v="12"/>
    <n v="5"/>
    <n v="53"/>
    <x v="0"/>
    <n v="17"/>
    <x v="3"/>
    <m/>
    <x v="0"/>
    <x v="0"/>
    <x v="0"/>
    <n v="12"/>
    <x v="0"/>
  </r>
  <r>
    <n v="477"/>
    <x v="22"/>
    <x v="0"/>
    <x v="2"/>
    <x v="1541"/>
    <x v="0"/>
    <d v="1899-12-30T00:00:00"/>
    <d v="2014-06-17T00:00:00"/>
    <n v="31"/>
    <n v="61"/>
    <n v="20"/>
    <n v="20"/>
    <n v="10"/>
    <n v="40"/>
    <x v="1"/>
    <n v="30"/>
    <x v="3"/>
    <m/>
    <x v="0"/>
    <x v="3"/>
    <x v="0"/>
    <n v="12"/>
    <x v="0"/>
  </r>
  <r>
    <n v="7832"/>
    <x v="12"/>
    <x v="2"/>
    <x v="2"/>
    <x v="1542"/>
    <x v="0"/>
    <d v="1899-12-31T00:00:00"/>
    <d v="2013-08-28T00:00:00"/>
    <n v="30"/>
    <n v="44"/>
    <n v="88"/>
    <n v="88"/>
    <n v="7"/>
    <n v="67"/>
    <x v="0"/>
    <n v="95"/>
    <x v="3"/>
    <m/>
    <x v="0"/>
    <x v="3"/>
    <x v="0"/>
    <n v="13"/>
    <x v="0"/>
  </r>
  <r>
    <n v="2202"/>
    <x v="33"/>
    <x v="0"/>
    <x v="1"/>
    <x v="1543"/>
    <x v="0"/>
    <d v="1899-12-31T00:00:00"/>
    <d v="2013-04-09T00:00:00"/>
    <n v="98"/>
    <n v="2"/>
    <n v="3"/>
    <n v="3"/>
    <n v="4"/>
    <n v="48"/>
    <x v="1"/>
    <n v="7"/>
    <x v="3"/>
    <m/>
    <x v="0"/>
    <x v="1"/>
    <x v="0"/>
    <n v="13"/>
    <x v="0"/>
  </r>
  <r>
    <n v="7396"/>
    <x v="35"/>
    <x v="0"/>
    <x v="2"/>
    <x v="1544"/>
    <x v="0"/>
    <d v="1899-12-30T00:00:00"/>
    <d v="2012-11-10T00:00:00"/>
    <n v="92"/>
    <n v="51"/>
    <n v="35"/>
    <n v="35"/>
    <n v="12"/>
    <n v="60"/>
    <x v="0"/>
    <n v="47"/>
    <x v="3"/>
    <m/>
    <x v="0"/>
    <x v="3"/>
    <x v="0"/>
    <n v="14"/>
    <x v="0"/>
  </r>
  <r>
    <n v="4055"/>
    <x v="47"/>
    <x v="3"/>
    <x v="0"/>
    <x v="1545"/>
    <x v="1"/>
    <d v="1899-12-30T00:00:00"/>
    <d v="2014-05-29T00:00:00"/>
    <n v="41"/>
    <n v="10"/>
    <n v="9"/>
    <n v="9"/>
    <n v="3"/>
    <n v="34"/>
    <x v="1"/>
    <n v="12"/>
    <x v="3"/>
    <m/>
    <x v="0"/>
    <x v="2"/>
    <x v="0"/>
    <n v="12"/>
    <x v="0"/>
  </r>
  <r>
    <n v="10340"/>
    <x v="3"/>
    <x v="0"/>
    <x v="1"/>
    <x v="982"/>
    <x v="1"/>
    <d v="1899-12-30T00:00:00"/>
    <d v="2012-11-13T00:00:00"/>
    <n v="68"/>
    <n v="12"/>
    <n v="39"/>
    <n v="39"/>
    <n v="5"/>
    <n v="42"/>
    <x v="1"/>
    <n v="44"/>
    <x v="3"/>
    <m/>
    <x v="0"/>
    <x v="1"/>
    <x v="0"/>
    <n v="14"/>
    <x v="0"/>
  </r>
  <r>
    <n v="10091"/>
    <x v="46"/>
    <x v="0"/>
    <x v="0"/>
    <x v="1546"/>
    <x v="0"/>
    <d v="1899-12-31T00:00:00"/>
    <d v="2013-05-20T00:00:00"/>
    <n v="78"/>
    <n v="20"/>
    <n v="81"/>
    <n v="81"/>
    <n v="6"/>
    <n v="70"/>
    <x v="0"/>
    <n v="87"/>
    <x v="3"/>
    <m/>
    <x v="0"/>
    <x v="0"/>
    <x v="0"/>
    <n v="13"/>
    <x v="0"/>
  </r>
  <r>
    <n v="7629"/>
    <x v="32"/>
    <x v="0"/>
    <x v="2"/>
    <x v="1547"/>
    <x v="1"/>
    <d v="1899-12-31T00:00:00"/>
    <d v="2014-05-08T00:00:00"/>
    <n v="46"/>
    <n v="3"/>
    <n v="2"/>
    <n v="2"/>
    <n v="3"/>
    <n v="49"/>
    <x v="1"/>
    <n v="5"/>
    <x v="3"/>
    <m/>
    <x v="0"/>
    <x v="2"/>
    <x v="0"/>
    <n v="12"/>
    <x v="0"/>
  </r>
  <r>
    <n v="10640"/>
    <x v="8"/>
    <x v="0"/>
    <x v="1"/>
    <x v="1548"/>
    <x v="1"/>
    <d v="1899-12-31T00:00:00"/>
    <d v="2013-09-05T00:00:00"/>
    <n v="71"/>
    <n v="5"/>
    <n v="12"/>
    <n v="12"/>
    <n v="4"/>
    <n v="52"/>
    <x v="0"/>
    <n v="16"/>
    <x v="3"/>
    <m/>
    <x v="0"/>
    <x v="1"/>
    <x v="0"/>
    <n v="13"/>
    <x v="0"/>
  </r>
  <r>
    <n v="3498"/>
    <x v="11"/>
    <x v="1"/>
    <x v="2"/>
    <x v="1549"/>
    <x v="0"/>
    <d v="1899-12-31T00:00:00"/>
    <d v="2012-11-25T00:00:00"/>
    <n v="6"/>
    <n v="61"/>
    <n v="53"/>
    <n v="53"/>
    <n v="9"/>
    <n v="50"/>
    <x v="1"/>
    <n v="62"/>
    <x v="3"/>
    <m/>
    <x v="0"/>
    <x v="0"/>
    <x v="0"/>
    <n v="14"/>
    <x v="0"/>
  </r>
  <r>
    <n v="6742"/>
    <x v="19"/>
    <x v="0"/>
    <x v="2"/>
    <x v="1550"/>
    <x v="1"/>
    <d v="1899-12-30T00:00:00"/>
    <d v="2013-01-13T00:00:00"/>
    <n v="82"/>
    <n v="2"/>
    <n v="1"/>
    <n v="1"/>
    <n v="2"/>
    <n v="47"/>
    <x v="1"/>
    <n v="3"/>
    <x v="3"/>
    <m/>
    <x v="0"/>
    <x v="2"/>
    <x v="0"/>
    <n v="13"/>
    <x v="0"/>
  </r>
  <r>
    <n v="1172"/>
    <x v="10"/>
    <x v="1"/>
    <x v="2"/>
    <x v="1551"/>
    <x v="0"/>
    <d v="1899-12-30T00:00:00"/>
    <d v="2013-05-01T00:00:00"/>
    <n v="71"/>
    <n v="44"/>
    <n v="25"/>
    <n v="25"/>
    <n v="12"/>
    <n v="43"/>
    <x v="1"/>
    <n v="37"/>
    <x v="3"/>
    <m/>
    <x v="0"/>
    <x v="3"/>
    <x v="0"/>
    <n v="13"/>
    <x v="0"/>
  </r>
  <r>
    <n v="569"/>
    <x v="42"/>
    <x v="0"/>
    <x v="0"/>
    <x v="1552"/>
    <x v="0"/>
    <d v="1899-12-30T00:00:00"/>
    <d v="2013-12-14T00:00:00"/>
    <n v="32"/>
    <n v="129"/>
    <n v="74"/>
    <n v="74"/>
    <n v="7"/>
    <n v="35"/>
    <x v="1"/>
    <n v="81"/>
    <x v="3"/>
    <m/>
    <x v="0"/>
    <x v="3"/>
    <x v="0"/>
    <n v="13"/>
    <x v="0"/>
  </r>
  <r>
    <n v="4686"/>
    <x v="43"/>
    <x v="1"/>
    <x v="4"/>
    <x v="1553"/>
    <x v="0"/>
    <d v="1899-12-30T00:00:00"/>
    <d v="2014-04-02T00:00:00"/>
    <n v="28"/>
    <n v="31"/>
    <n v="95"/>
    <n v="95"/>
    <n v="13"/>
    <n v="64"/>
    <x v="0"/>
    <n v="108"/>
    <x v="3"/>
    <m/>
    <x v="0"/>
    <x v="3"/>
    <x v="0"/>
    <n v="12"/>
    <x v="0"/>
  </r>
  <r>
    <n v="1381"/>
    <x v="18"/>
    <x v="1"/>
    <x v="0"/>
    <x v="1554"/>
    <x v="1"/>
    <d v="1899-12-30T00:00:00"/>
    <d v="2014-01-28T00:00:00"/>
    <n v="20"/>
    <n v="3"/>
    <n v="0"/>
    <n v="0"/>
    <n v="5"/>
    <n v="44"/>
    <x v="1"/>
    <n v="5"/>
    <x v="3"/>
    <m/>
    <x v="0"/>
    <x v="1"/>
    <x v="0"/>
    <n v="12"/>
    <x v="0"/>
  </r>
  <r>
    <n v="2634"/>
    <x v="19"/>
    <x v="2"/>
    <x v="0"/>
    <x v="1555"/>
    <x v="1"/>
    <d v="1899-12-30T00:00:00"/>
    <d v="2014-04-18T00:00:00"/>
    <n v="10"/>
    <n v="7"/>
    <n v="4"/>
    <n v="4"/>
    <n v="3"/>
    <n v="47"/>
    <x v="1"/>
    <n v="7"/>
    <x v="3"/>
    <m/>
    <x v="0"/>
    <x v="2"/>
    <x v="0"/>
    <n v="12"/>
    <x v="0"/>
  </r>
  <r>
    <n v="10905"/>
    <x v="34"/>
    <x v="0"/>
    <x v="1"/>
    <x v="1556"/>
    <x v="1"/>
    <d v="1899-12-31T00:00:00"/>
    <d v="2012-10-29T00:00:00"/>
    <n v="7"/>
    <n v="2"/>
    <n v="0"/>
    <n v="0"/>
    <n v="6"/>
    <n v="71"/>
    <x v="0"/>
    <n v="6"/>
    <x v="3"/>
    <m/>
    <x v="0"/>
    <x v="1"/>
    <x v="0"/>
    <n v="14"/>
    <x v="0"/>
  </r>
  <r>
    <n v="1744"/>
    <x v="2"/>
    <x v="3"/>
    <x v="0"/>
    <x v="1557"/>
    <x v="0"/>
    <d v="1899-12-31T00:00:00"/>
    <d v="2013-01-07T00:00:00"/>
    <n v="67"/>
    <n v="7"/>
    <n v="2"/>
    <n v="2"/>
    <n v="2"/>
    <n v="61"/>
    <x v="0"/>
    <n v="4"/>
    <x v="3"/>
    <m/>
    <x v="0"/>
    <x v="2"/>
    <x v="0"/>
    <n v="13"/>
    <x v="0"/>
  </r>
  <r>
    <n v="1000"/>
    <x v="45"/>
    <x v="2"/>
    <x v="1"/>
    <x v="1403"/>
    <x v="1"/>
    <d v="1899-12-31T00:00:00"/>
    <d v="2013-03-08T00:00:00"/>
    <n v="48"/>
    <n v="72"/>
    <n v="27"/>
    <n v="27"/>
    <n v="12"/>
    <n v="65"/>
    <x v="0"/>
    <n v="39"/>
    <x v="3"/>
    <m/>
    <x v="0"/>
    <x v="0"/>
    <x v="0"/>
    <n v="13"/>
    <x v="0"/>
  </r>
  <r>
    <n v="3828"/>
    <x v="20"/>
    <x v="0"/>
    <x v="2"/>
    <x v="1558"/>
    <x v="0"/>
    <d v="1899-12-31T00:00:00"/>
    <d v="2013-02-17T00:00:00"/>
    <n v="61"/>
    <n v="10"/>
    <n v="174"/>
    <n v="174"/>
    <n v="13"/>
    <n v="75"/>
    <x v="0"/>
    <n v="187"/>
    <x v="3"/>
    <m/>
    <x v="0"/>
    <x v="0"/>
    <x v="0"/>
    <n v="13"/>
    <x v="0"/>
  </r>
  <r>
    <n v="8605"/>
    <x v="31"/>
    <x v="1"/>
    <x v="1"/>
    <x v="1559"/>
    <x v="1"/>
    <d v="1899-12-31T00:00:00"/>
    <d v="2014-03-23T00:00:00"/>
    <n v="36"/>
    <n v="0"/>
    <n v="0"/>
    <n v="0"/>
    <n v="3"/>
    <n v="62"/>
    <x v="0"/>
    <n v="3"/>
    <x v="3"/>
    <m/>
    <x v="0"/>
    <x v="1"/>
    <x v="0"/>
    <n v="12"/>
    <x v="0"/>
  </r>
  <r>
    <n v="10304"/>
    <x v="12"/>
    <x v="0"/>
    <x v="2"/>
    <x v="625"/>
    <x v="0"/>
    <d v="1899-12-30T00:00:00"/>
    <d v="2012-12-28T00:00:00"/>
    <n v="77"/>
    <n v="1"/>
    <n v="4"/>
    <n v="4"/>
    <n v="2"/>
    <n v="67"/>
    <x v="0"/>
    <n v="6"/>
    <x v="3"/>
    <m/>
    <x v="0"/>
    <x v="2"/>
    <x v="0"/>
    <n v="14"/>
    <x v="0"/>
  </r>
  <r>
    <n v="4351"/>
    <x v="34"/>
    <x v="0"/>
    <x v="3"/>
    <x v="1560"/>
    <x v="1"/>
    <d v="1899-12-31T00:00:00"/>
    <d v="2013-04-27T00:00:00"/>
    <n v="90"/>
    <n v="2"/>
    <n v="0"/>
    <n v="0"/>
    <n v="2"/>
    <n v="71"/>
    <x v="0"/>
    <n v="2"/>
    <x v="3"/>
    <m/>
    <x v="0"/>
    <x v="1"/>
    <x v="0"/>
    <n v="13"/>
    <x v="0"/>
  </r>
  <r>
    <n v="10129"/>
    <x v="35"/>
    <x v="0"/>
    <x v="1"/>
    <x v="1561"/>
    <x v="0"/>
    <d v="1899-12-30T00:00:00"/>
    <d v="2014-03-12T00:00:00"/>
    <n v="35"/>
    <n v="147"/>
    <n v="107"/>
    <n v="107"/>
    <n v="12"/>
    <n v="60"/>
    <x v="0"/>
    <n v="119"/>
    <x v="3"/>
    <m/>
    <x v="0"/>
    <x v="3"/>
    <x v="0"/>
    <n v="12"/>
    <x v="0"/>
  </r>
  <r>
    <n v="2499"/>
    <x v="38"/>
    <x v="4"/>
    <x v="0"/>
    <x v="1562"/>
    <x v="0"/>
    <d v="1899-12-31T00:00:00"/>
    <d v="2013-05-06T00:00:00"/>
    <n v="38"/>
    <n v="97"/>
    <n v="118"/>
    <n v="118"/>
    <n v="10"/>
    <n v="68"/>
    <x v="0"/>
    <n v="128"/>
    <x v="3"/>
    <m/>
    <x v="0"/>
    <x v="3"/>
    <x v="0"/>
    <n v="13"/>
    <x v="0"/>
  </r>
  <r>
    <n v="10092"/>
    <x v="1"/>
    <x v="0"/>
    <x v="3"/>
    <x v="1563"/>
    <x v="0"/>
    <d v="1899-12-31T00:00:00"/>
    <d v="2013-02-18T00:00:00"/>
    <n v="46"/>
    <n v="0"/>
    <n v="14"/>
    <n v="14"/>
    <n v="5"/>
    <n v="72"/>
    <x v="0"/>
    <n v="19"/>
    <x v="3"/>
    <m/>
    <x v="0"/>
    <x v="0"/>
    <x v="0"/>
    <n v="13"/>
    <x v="0"/>
  </r>
  <r>
    <n v="7500"/>
    <x v="5"/>
    <x v="0"/>
    <x v="0"/>
    <x v="713"/>
    <x v="1"/>
    <d v="1899-12-31T00:00:00"/>
    <d v="2014-04-24T00:00:00"/>
    <n v="33"/>
    <n v="16"/>
    <n v="43"/>
    <n v="43"/>
    <n v="8"/>
    <n v="59"/>
    <x v="0"/>
    <n v="51"/>
    <x v="3"/>
    <m/>
    <x v="0"/>
    <x v="3"/>
    <x v="0"/>
    <n v="12"/>
    <x v="0"/>
  </r>
  <r>
    <n v="5796"/>
    <x v="24"/>
    <x v="0"/>
    <x v="2"/>
    <x v="1564"/>
    <x v="0"/>
    <d v="1899-12-30T00:00:00"/>
    <d v="2013-11-26T00:00:00"/>
    <n v="70"/>
    <n v="21"/>
    <n v="44"/>
    <n v="44"/>
    <n v="13"/>
    <n v="63"/>
    <x v="0"/>
    <n v="57"/>
    <x v="3"/>
    <m/>
    <x v="0"/>
    <x v="3"/>
    <x v="0"/>
    <n v="13"/>
    <x v="0"/>
  </r>
  <r>
    <n v="10556"/>
    <x v="12"/>
    <x v="0"/>
    <x v="2"/>
    <x v="1565"/>
    <x v="0"/>
    <d v="1899-12-31T00:00:00"/>
    <d v="2014-05-24T00:00:00"/>
    <n v="51"/>
    <n v="13"/>
    <n v="3"/>
    <n v="3"/>
    <n v="6"/>
    <n v="67"/>
    <x v="0"/>
    <n v="9"/>
    <x v="3"/>
    <m/>
    <x v="0"/>
    <x v="0"/>
    <x v="0"/>
    <n v="12"/>
    <x v="0"/>
  </r>
  <r>
    <n v="1064"/>
    <x v="6"/>
    <x v="1"/>
    <x v="2"/>
    <x v="1566"/>
    <x v="1"/>
    <d v="1899-12-30T00:00:00"/>
    <d v="2013-12-11T00:00:00"/>
    <n v="18"/>
    <n v="1"/>
    <n v="5"/>
    <n v="5"/>
    <n v="3"/>
    <n v="55"/>
    <x v="0"/>
    <n v="8"/>
    <x v="3"/>
    <m/>
    <x v="0"/>
    <x v="1"/>
    <x v="0"/>
    <n v="13"/>
    <x v="0"/>
  </r>
  <r>
    <n v="48"/>
    <x v="31"/>
    <x v="0"/>
    <x v="1"/>
    <x v="1567"/>
    <x v="0"/>
    <d v="1899-12-31T00:00:00"/>
    <d v="2014-04-24T00:00:00"/>
    <n v="97"/>
    <n v="1"/>
    <n v="3"/>
    <n v="3"/>
    <n v="3"/>
    <n v="62"/>
    <x v="0"/>
    <n v="6"/>
    <x v="3"/>
    <m/>
    <x v="0"/>
    <x v="0"/>
    <x v="0"/>
    <n v="12"/>
    <x v="0"/>
  </r>
  <r>
    <n v="7610"/>
    <x v="10"/>
    <x v="0"/>
    <x v="1"/>
    <x v="1568"/>
    <x v="1"/>
    <d v="1899-12-30T00:00:00"/>
    <d v="2013-04-18T00:00:00"/>
    <n v="32"/>
    <n v="0"/>
    <n v="23"/>
    <n v="23"/>
    <n v="5"/>
    <n v="43"/>
    <x v="1"/>
    <n v="28"/>
    <x v="3"/>
    <m/>
    <x v="0"/>
    <x v="1"/>
    <x v="0"/>
    <n v="13"/>
    <x v="0"/>
  </r>
  <r>
    <n v="263"/>
    <x v="41"/>
    <x v="1"/>
    <x v="0"/>
    <x v="1569"/>
    <x v="0"/>
    <d v="1899-12-30T00:00:00"/>
    <d v="2014-05-28T00:00:00"/>
    <n v="9"/>
    <n v="19"/>
    <n v="14"/>
    <n v="14"/>
    <n v="3"/>
    <n v="81"/>
    <x v="0"/>
    <n v="17"/>
    <x v="3"/>
    <m/>
    <x v="0"/>
    <x v="1"/>
    <x v="0"/>
    <n v="12"/>
    <x v="0"/>
  </r>
  <r>
    <n v="10814"/>
    <x v="51"/>
    <x v="0"/>
    <x v="1"/>
    <x v="1570"/>
    <x v="0"/>
    <d v="1899-12-30T00:00:00"/>
    <d v="2013-01-16T00:00:00"/>
    <n v="6"/>
    <n v="23"/>
    <n v="26"/>
    <n v="26"/>
    <n v="13"/>
    <n v="79"/>
    <x v="0"/>
    <n v="39"/>
    <x v="3"/>
    <m/>
    <x v="0"/>
    <x v="0"/>
    <x v="0"/>
    <n v="13"/>
    <x v="0"/>
  </r>
  <r>
    <n v="9710"/>
    <x v="21"/>
    <x v="1"/>
    <x v="3"/>
    <x v="1571"/>
    <x v="0"/>
    <d v="1899-12-31T00:00:00"/>
    <d v="2013-01-20T00:00:00"/>
    <n v="80"/>
    <n v="7"/>
    <n v="0"/>
    <n v="0"/>
    <n v="7"/>
    <n v="57"/>
    <x v="0"/>
    <n v="7"/>
    <x v="3"/>
    <m/>
    <x v="0"/>
    <x v="0"/>
    <x v="0"/>
    <n v="13"/>
    <x v="0"/>
  </r>
  <r>
    <n v="9292"/>
    <x v="13"/>
    <x v="0"/>
    <x v="2"/>
    <x v="1572"/>
    <x v="0"/>
    <d v="1899-12-30T00:00:00"/>
    <d v="2012-10-26T00:00:00"/>
    <n v="74"/>
    <n v="132"/>
    <n v="118"/>
    <n v="118"/>
    <n v="7"/>
    <n v="74"/>
    <x v="0"/>
    <n v="125"/>
    <x v="3"/>
    <m/>
    <x v="0"/>
    <x v="3"/>
    <x v="0"/>
    <n v="14"/>
    <x v="0"/>
  </r>
  <r>
    <n v="10250"/>
    <x v="51"/>
    <x v="3"/>
    <x v="1"/>
    <x v="1573"/>
    <x v="0"/>
    <d v="1899-12-30T00:00:00"/>
    <d v="2012-11-20T00:00:00"/>
    <n v="49"/>
    <n v="5"/>
    <n v="4"/>
    <n v="4"/>
    <n v="2"/>
    <n v="79"/>
    <x v="0"/>
    <n v="6"/>
    <x v="3"/>
    <m/>
    <x v="0"/>
    <x v="2"/>
    <x v="0"/>
    <n v="14"/>
    <x v="0"/>
  </r>
  <r>
    <n v="7881"/>
    <x v="15"/>
    <x v="2"/>
    <x v="2"/>
    <x v="166"/>
    <x v="0"/>
    <d v="1899-12-30T00:00:00"/>
    <d v="2013-09-28T00:00:00"/>
    <n v="21"/>
    <n v="26"/>
    <n v="17"/>
    <n v="17"/>
    <n v="13"/>
    <n v="80"/>
    <x v="0"/>
    <n v="30"/>
    <x v="3"/>
    <m/>
    <x v="0"/>
    <x v="0"/>
    <x v="0"/>
    <n v="13"/>
    <x v="0"/>
  </r>
  <r>
    <n v="5847"/>
    <x v="21"/>
    <x v="0"/>
    <x v="3"/>
    <x v="1574"/>
    <x v="0"/>
    <d v="1899-12-31T00:00:00"/>
    <d v="2013-05-29T00:00:00"/>
    <n v="95"/>
    <n v="21"/>
    <n v="92"/>
    <n v="92"/>
    <n v="10"/>
    <n v="57"/>
    <x v="0"/>
    <n v="102"/>
    <x v="3"/>
    <m/>
    <x v="0"/>
    <x v="0"/>
    <x v="0"/>
    <n v="13"/>
    <x v="0"/>
  </r>
  <r>
    <n v="737"/>
    <x v="17"/>
    <x v="1"/>
    <x v="2"/>
    <x v="1575"/>
    <x v="0"/>
    <d v="1899-12-30T00:00:00"/>
    <d v="2013-03-03T00:00:00"/>
    <n v="56"/>
    <n v="86"/>
    <n v="43"/>
    <n v="43"/>
    <n v="5"/>
    <n v="77"/>
    <x v="0"/>
    <n v="48"/>
    <x v="3"/>
    <m/>
    <x v="0"/>
    <x v="3"/>
    <x v="0"/>
    <n v="13"/>
    <x v="0"/>
  </r>
  <r>
    <n v="3571"/>
    <x v="45"/>
    <x v="1"/>
    <x v="1"/>
    <x v="239"/>
    <x v="0"/>
    <d v="1899-12-31T00:00:00"/>
    <d v="2012-10-16T00:00:00"/>
    <n v="48"/>
    <n v="21"/>
    <n v="10"/>
    <n v="10"/>
    <n v="5"/>
    <n v="65"/>
    <x v="0"/>
    <n v="15"/>
    <x v="3"/>
    <m/>
    <x v="0"/>
    <x v="0"/>
    <x v="0"/>
    <n v="14"/>
    <x v="0"/>
  </r>
  <r>
    <n v="7807"/>
    <x v="8"/>
    <x v="0"/>
    <x v="2"/>
    <x v="537"/>
    <x v="0"/>
    <d v="1899-12-31T00:00:00"/>
    <d v="2012-09-12T00:00:00"/>
    <n v="26"/>
    <n v="0"/>
    <n v="10"/>
    <n v="10"/>
    <n v="5"/>
    <n v="52"/>
    <x v="0"/>
    <n v="15"/>
    <x v="3"/>
    <m/>
    <x v="0"/>
    <x v="1"/>
    <x v="0"/>
    <n v="14"/>
    <x v="0"/>
  </r>
  <r>
    <n v="3878"/>
    <x v="16"/>
    <x v="4"/>
    <x v="0"/>
    <x v="1416"/>
    <x v="1"/>
    <d v="1899-12-30T00:00:00"/>
    <d v="2014-02-27T00:00:00"/>
    <n v="3"/>
    <n v="4"/>
    <n v="8"/>
    <n v="8"/>
    <n v="3"/>
    <n v="46"/>
    <x v="1"/>
    <n v="11"/>
    <x v="3"/>
    <m/>
    <x v="0"/>
    <x v="1"/>
    <x v="0"/>
    <n v="12"/>
    <x v="0"/>
  </r>
  <r>
    <n v="5092"/>
    <x v="17"/>
    <x v="1"/>
    <x v="4"/>
    <x v="1576"/>
    <x v="0"/>
    <d v="1899-12-31T00:00:00"/>
    <d v="2013-02-12T00:00:00"/>
    <n v="39"/>
    <n v="0"/>
    <n v="0"/>
    <n v="0"/>
    <n v="7"/>
    <n v="77"/>
    <x v="0"/>
    <n v="7"/>
    <x v="3"/>
    <m/>
    <x v="0"/>
    <x v="0"/>
    <x v="0"/>
    <n v="13"/>
    <x v="0"/>
  </r>
  <r>
    <n v="2154"/>
    <x v="6"/>
    <x v="0"/>
    <x v="4"/>
    <x v="327"/>
    <x v="1"/>
    <d v="1899-12-31T00:00:00"/>
    <d v="2012-12-25T00:00:00"/>
    <n v="33"/>
    <n v="0"/>
    <n v="3"/>
    <n v="3"/>
    <n v="3"/>
    <n v="55"/>
    <x v="0"/>
    <n v="6"/>
    <x v="3"/>
    <m/>
    <x v="0"/>
    <x v="1"/>
    <x v="0"/>
    <n v="14"/>
    <x v="0"/>
  </r>
  <r>
    <n v="5394"/>
    <x v="19"/>
    <x v="3"/>
    <x v="0"/>
    <x v="1577"/>
    <x v="1"/>
    <d v="1899-12-31T00:00:00"/>
    <d v="2013-03-17T00:00:00"/>
    <n v="42"/>
    <n v="9"/>
    <n v="8"/>
    <n v="8"/>
    <n v="4"/>
    <n v="47"/>
    <x v="1"/>
    <n v="12"/>
    <x v="3"/>
    <m/>
    <x v="0"/>
    <x v="2"/>
    <x v="0"/>
    <n v="13"/>
    <x v="0"/>
  </r>
  <r>
    <n v="3798"/>
    <x v="30"/>
    <x v="0"/>
    <x v="2"/>
    <x v="1578"/>
    <x v="1"/>
    <d v="1899-12-31T00:00:00"/>
    <d v="2013-11-06T00:00:00"/>
    <n v="80"/>
    <n v="2"/>
    <n v="8"/>
    <n v="8"/>
    <n v="3"/>
    <n v="58"/>
    <x v="0"/>
    <n v="11"/>
    <x v="3"/>
    <m/>
    <x v="0"/>
    <x v="1"/>
    <x v="0"/>
    <n v="13"/>
    <x v="0"/>
  </r>
  <r>
    <n v="3524"/>
    <x v="6"/>
    <x v="2"/>
    <x v="0"/>
    <x v="1579"/>
    <x v="1"/>
    <d v="1899-12-30T00:00:00"/>
    <d v="2013-08-04T00:00:00"/>
    <n v="9"/>
    <n v="1"/>
    <n v="6"/>
    <n v="6"/>
    <n v="2"/>
    <n v="55"/>
    <x v="0"/>
    <n v="8"/>
    <x v="3"/>
    <m/>
    <x v="0"/>
    <x v="1"/>
    <x v="0"/>
    <n v="13"/>
    <x v="0"/>
  </r>
  <r>
    <n v="5247"/>
    <x v="34"/>
    <x v="1"/>
    <x v="2"/>
    <x v="1580"/>
    <x v="1"/>
    <d v="1899-12-31T00:00:00"/>
    <d v="2014-05-10T00:00:00"/>
    <n v="52"/>
    <n v="0"/>
    <n v="1"/>
    <n v="1"/>
    <n v="4"/>
    <n v="71"/>
    <x v="0"/>
    <n v="5"/>
    <x v="3"/>
    <m/>
    <x v="0"/>
    <x v="1"/>
    <x v="0"/>
    <n v="12"/>
    <x v="0"/>
  </r>
  <r>
    <n v="5883"/>
    <x v="39"/>
    <x v="0"/>
    <x v="2"/>
    <x v="1581"/>
    <x v="1"/>
    <d v="1899-12-30T00:00:00"/>
    <d v="2013-05-26T00:00:00"/>
    <n v="78"/>
    <n v="120"/>
    <n v="126"/>
    <n v="126"/>
    <n v="7"/>
    <n v="54"/>
    <x v="0"/>
    <n v="133"/>
    <x v="3"/>
    <m/>
    <x v="0"/>
    <x v="3"/>
    <x v="0"/>
    <n v="13"/>
    <x v="0"/>
  </r>
  <r>
    <n v="2118"/>
    <x v="31"/>
    <x v="4"/>
    <x v="2"/>
    <x v="1582"/>
    <x v="0"/>
    <d v="1899-12-31T00:00:00"/>
    <d v="2013-09-10T00:00:00"/>
    <n v="68"/>
    <n v="75"/>
    <n v="107"/>
    <n v="107"/>
    <n v="8"/>
    <n v="62"/>
    <x v="0"/>
    <n v="115"/>
    <x v="3"/>
    <m/>
    <x v="0"/>
    <x v="0"/>
    <x v="0"/>
    <n v="13"/>
    <x v="0"/>
  </r>
  <r>
    <n v="8812"/>
    <x v="19"/>
    <x v="4"/>
    <x v="3"/>
    <x v="1583"/>
    <x v="1"/>
    <d v="1899-12-30T00:00:00"/>
    <d v="2013-03-10T00:00:00"/>
    <n v="45"/>
    <n v="3"/>
    <n v="0"/>
    <n v="0"/>
    <n v="3"/>
    <n v="47"/>
    <x v="1"/>
    <n v="3"/>
    <x v="3"/>
    <m/>
    <x v="0"/>
    <x v="2"/>
    <x v="0"/>
    <n v="13"/>
    <x v="0"/>
  </r>
  <r>
    <n v="6616"/>
    <x v="28"/>
    <x v="0"/>
    <x v="1"/>
    <x v="1584"/>
    <x v="0"/>
    <d v="1899-12-31T00:00:00"/>
    <d v="2013-10-23T00:00:00"/>
    <n v="47"/>
    <n v="3"/>
    <n v="66"/>
    <n v="66"/>
    <n v="8"/>
    <n v="51"/>
    <x v="0"/>
    <n v="74"/>
    <x v="3"/>
    <m/>
    <x v="0"/>
    <x v="0"/>
    <x v="0"/>
    <n v="13"/>
    <x v="0"/>
  </r>
  <r>
    <n v="2797"/>
    <x v="32"/>
    <x v="0"/>
    <x v="2"/>
    <x v="1585"/>
    <x v="0"/>
    <d v="1899-12-31T00:00:00"/>
    <d v="2013-08-20T00:00:00"/>
    <n v="34"/>
    <n v="20"/>
    <n v="60"/>
    <n v="60"/>
    <n v="9"/>
    <n v="49"/>
    <x v="1"/>
    <n v="69"/>
    <x v="3"/>
    <m/>
    <x v="0"/>
    <x v="0"/>
    <x v="0"/>
    <n v="13"/>
    <x v="0"/>
  </r>
  <r>
    <n v="4328"/>
    <x v="22"/>
    <x v="4"/>
    <x v="2"/>
    <x v="1586"/>
    <x v="1"/>
    <d v="1899-12-30T00:00:00"/>
    <d v="2013-09-07T00:00:00"/>
    <n v="81"/>
    <n v="1"/>
    <n v="14"/>
    <n v="14"/>
    <n v="3"/>
    <n v="40"/>
    <x v="1"/>
    <n v="17"/>
    <x v="3"/>
    <m/>
    <x v="0"/>
    <x v="2"/>
    <x v="0"/>
    <n v="13"/>
    <x v="0"/>
  </r>
  <r>
    <n v="9167"/>
    <x v="46"/>
    <x v="0"/>
    <x v="2"/>
    <x v="1587"/>
    <x v="0"/>
    <d v="1899-12-31T00:00:00"/>
    <d v="2013-03-26T00:00:00"/>
    <n v="72"/>
    <n v="71"/>
    <n v="35"/>
    <n v="35"/>
    <n v="12"/>
    <n v="70"/>
    <x v="0"/>
    <n v="47"/>
    <x v="3"/>
    <m/>
    <x v="0"/>
    <x v="0"/>
    <x v="0"/>
    <n v="13"/>
    <x v="0"/>
  </r>
  <r>
    <n v="10560"/>
    <x v="16"/>
    <x v="1"/>
    <x v="0"/>
    <x v="1588"/>
    <x v="1"/>
    <d v="1899-12-30T00:00:00"/>
    <d v="2014-06-16T00:00:00"/>
    <n v="23"/>
    <n v="1"/>
    <n v="0"/>
    <n v="0"/>
    <n v="3"/>
    <n v="46"/>
    <x v="1"/>
    <n v="3"/>
    <x v="3"/>
    <m/>
    <x v="0"/>
    <x v="1"/>
    <x v="0"/>
    <n v="12"/>
    <x v="0"/>
  </r>
  <r>
    <n v="2631"/>
    <x v="18"/>
    <x v="0"/>
    <x v="1"/>
    <x v="1237"/>
    <x v="0"/>
    <d v="1899-12-30T00:00:00"/>
    <d v="2013-05-08T00:00:00"/>
    <n v="29"/>
    <n v="108"/>
    <n v="97"/>
    <n v="97"/>
    <n v="6"/>
    <n v="44"/>
    <x v="1"/>
    <n v="103"/>
    <x v="3"/>
    <m/>
    <x v="0"/>
    <x v="0"/>
    <x v="0"/>
    <n v="13"/>
    <x v="0"/>
  </r>
  <r>
    <n v="8312"/>
    <x v="45"/>
    <x v="3"/>
    <x v="2"/>
    <x v="168"/>
    <x v="0"/>
    <d v="1899-12-30T00:00:00"/>
    <d v="2014-06-15T00:00:00"/>
    <n v="80"/>
    <n v="9"/>
    <n v="14"/>
    <n v="14"/>
    <n v="3"/>
    <n v="65"/>
    <x v="0"/>
    <n v="17"/>
    <x v="3"/>
    <m/>
    <x v="0"/>
    <x v="2"/>
    <x v="0"/>
    <n v="12"/>
    <x v="0"/>
  </r>
  <r>
    <n v="5534"/>
    <x v="28"/>
    <x v="2"/>
    <x v="2"/>
    <x v="1589"/>
    <x v="0"/>
    <d v="1899-12-31T00:00:00"/>
    <d v="2013-10-20T00:00:00"/>
    <n v="30"/>
    <n v="1"/>
    <n v="0"/>
    <n v="0"/>
    <n v="3"/>
    <n v="51"/>
    <x v="0"/>
    <n v="3"/>
    <x v="3"/>
    <m/>
    <x v="0"/>
    <x v="1"/>
    <x v="0"/>
    <n v="13"/>
    <x v="0"/>
  </r>
  <r>
    <n v="5093"/>
    <x v="8"/>
    <x v="1"/>
    <x v="3"/>
    <x v="1590"/>
    <x v="1"/>
    <d v="1899-12-30T00:00:00"/>
    <d v="2012-09-18T00:00:00"/>
    <n v="15"/>
    <n v="3"/>
    <n v="7"/>
    <n v="7"/>
    <n v="3"/>
    <n v="52"/>
    <x v="0"/>
    <n v="10"/>
    <x v="3"/>
    <m/>
    <x v="0"/>
    <x v="2"/>
    <x v="0"/>
    <n v="14"/>
    <x v="0"/>
  </r>
  <r>
    <n v="7592"/>
    <x v="15"/>
    <x v="1"/>
    <x v="2"/>
    <x v="369"/>
    <x v="0"/>
    <d v="1899-12-30T00:00:00"/>
    <d v="2013-04-18T00:00:00"/>
    <n v="86"/>
    <n v="9"/>
    <n v="9"/>
    <n v="9"/>
    <n v="4"/>
    <n v="80"/>
    <x v="0"/>
    <n v="13"/>
    <x v="3"/>
    <m/>
    <x v="0"/>
    <x v="0"/>
    <x v="0"/>
    <n v="13"/>
    <x v="0"/>
  </r>
  <r>
    <n v="8895"/>
    <x v="7"/>
    <x v="0"/>
    <x v="0"/>
    <x v="988"/>
    <x v="0"/>
    <d v="1899-12-30T00:00:00"/>
    <d v="2012-10-05T00:00:00"/>
    <n v="68"/>
    <n v="44"/>
    <n v="0"/>
    <n v="0"/>
    <n v="12"/>
    <n v="41"/>
    <x v="1"/>
    <n v="12"/>
    <x v="3"/>
    <m/>
    <x v="0"/>
    <x v="0"/>
    <x v="0"/>
    <n v="14"/>
    <x v="0"/>
  </r>
  <r>
    <n v="8584"/>
    <x v="13"/>
    <x v="1"/>
    <x v="1"/>
    <x v="1591"/>
    <x v="0"/>
    <d v="1899-12-30T00:00:00"/>
    <d v="2013-06-08T00:00:00"/>
    <n v="54"/>
    <n v="53"/>
    <n v="53"/>
    <n v="53"/>
    <n v="7"/>
    <n v="74"/>
    <x v="0"/>
    <n v="60"/>
    <x v="3"/>
    <m/>
    <x v="0"/>
    <x v="3"/>
    <x v="0"/>
    <n v="13"/>
    <x v="0"/>
  </r>
  <r>
    <n v="2694"/>
    <x v="5"/>
    <x v="0"/>
    <x v="2"/>
    <x v="1592"/>
    <x v="0"/>
    <d v="1899-12-31T00:00:00"/>
    <d v="2014-03-18T00:00:00"/>
    <n v="44"/>
    <n v="0"/>
    <n v="0"/>
    <n v="0"/>
    <n v="3"/>
    <n v="59"/>
    <x v="0"/>
    <n v="3"/>
    <x v="3"/>
    <m/>
    <x v="0"/>
    <x v="1"/>
    <x v="0"/>
    <n v="12"/>
    <x v="0"/>
  </r>
  <r>
    <n v="8910"/>
    <x v="34"/>
    <x v="0"/>
    <x v="1"/>
    <x v="1556"/>
    <x v="1"/>
    <d v="1899-12-31T00:00:00"/>
    <d v="2012-10-29T00:00:00"/>
    <n v="7"/>
    <n v="2"/>
    <n v="0"/>
    <n v="0"/>
    <n v="6"/>
    <n v="71"/>
    <x v="0"/>
    <n v="6"/>
    <x v="3"/>
    <m/>
    <x v="0"/>
    <x v="1"/>
    <x v="0"/>
    <n v="14"/>
    <x v="0"/>
  </r>
  <r>
    <n v="7433"/>
    <x v="7"/>
    <x v="0"/>
    <x v="0"/>
    <x v="73"/>
    <x v="1"/>
    <d v="1899-12-30T00:00:00"/>
    <d v="2012-08-29T00:00:00"/>
    <n v="87"/>
    <n v="4"/>
    <n v="5"/>
    <n v="5"/>
    <n v="4"/>
    <n v="41"/>
    <x v="1"/>
    <n v="9"/>
    <x v="3"/>
    <m/>
    <x v="0"/>
    <x v="2"/>
    <x v="0"/>
    <n v="14"/>
    <x v="0"/>
  </r>
  <r>
    <n v="164"/>
    <x v="32"/>
    <x v="1"/>
    <x v="2"/>
    <x v="1593"/>
    <x v="0"/>
    <d v="1899-12-30T00:00:00"/>
    <d v="2012-10-13T00:00:00"/>
    <n v="59"/>
    <n v="0"/>
    <n v="2"/>
    <n v="2"/>
    <n v="5"/>
    <n v="49"/>
    <x v="1"/>
    <n v="7"/>
    <x v="3"/>
    <m/>
    <x v="0"/>
    <x v="2"/>
    <x v="0"/>
    <n v="14"/>
    <x v="0"/>
  </r>
  <r>
    <n v="10477"/>
    <x v="26"/>
    <x v="1"/>
    <x v="1"/>
    <x v="1594"/>
    <x v="1"/>
    <d v="1899-12-30T00:00:00"/>
    <d v="2013-08-06T00:00:00"/>
    <n v="16"/>
    <n v="0"/>
    <n v="0"/>
    <n v="0"/>
    <n v="2"/>
    <n v="53"/>
    <x v="0"/>
    <n v="2"/>
    <x v="3"/>
    <m/>
    <x v="0"/>
    <x v="1"/>
    <x v="0"/>
    <n v="13"/>
    <x v="0"/>
  </r>
  <r>
    <n v="2681"/>
    <x v="3"/>
    <x v="4"/>
    <x v="2"/>
    <x v="1595"/>
    <x v="0"/>
    <d v="1899-12-30T00:00:00"/>
    <d v="2013-08-01T00:00:00"/>
    <n v="1"/>
    <n v="22"/>
    <n v="89"/>
    <n v="89"/>
    <n v="13"/>
    <n v="42"/>
    <x v="1"/>
    <n v="102"/>
    <x v="3"/>
    <m/>
    <x v="0"/>
    <x v="0"/>
    <x v="0"/>
    <n v="13"/>
    <x v="0"/>
  </r>
  <r>
    <n v="5150"/>
    <x v="19"/>
    <x v="3"/>
    <x v="0"/>
    <x v="1596"/>
    <x v="1"/>
    <d v="1899-12-30T00:00:00"/>
    <d v="2012-12-17T00:00:00"/>
    <n v="64"/>
    <n v="4"/>
    <n v="10"/>
    <n v="10"/>
    <n v="3"/>
    <n v="47"/>
    <x v="1"/>
    <n v="13"/>
    <x v="3"/>
    <m/>
    <x v="0"/>
    <x v="2"/>
    <x v="0"/>
    <n v="14"/>
    <x v="0"/>
  </r>
  <r>
    <n v="5283"/>
    <x v="11"/>
    <x v="1"/>
    <x v="0"/>
    <x v="1597"/>
    <x v="1"/>
    <d v="1899-12-31T00:00:00"/>
    <d v="2014-02-17T00:00:00"/>
    <n v="72"/>
    <n v="1"/>
    <n v="4"/>
    <n v="4"/>
    <n v="4"/>
    <n v="50"/>
    <x v="1"/>
    <n v="8"/>
    <x v="3"/>
    <m/>
    <x v="0"/>
    <x v="1"/>
    <x v="0"/>
    <n v="12"/>
    <x v="0"/>
  </r>
  <r>
    <n v="9645"/>
    <x v="30"/>
    <x v="0"/>
    <x v="2"/>
    <x v="1598"/>
    <x v="0"/>
    <d v="1899-12-30T00:00:00"/>
    <d v="2012-10-14T00:00:00"/>
    <n v="98"/>
    <n v="138"/>
    <n v="46"/>
    <n v="46"/>
    <n v="10"/>
    <n v="58"/>
    <x v="0"/>
    <n v="56"/>
    <x v="3"/>
    <m/>
    <x v="0"/>
    <x v="0"/>
    <x v="0"/>
    <n v="14"/>
    <x v="0"/>
  </r>
  <r>
    <n v="10678"/>
    <x v="12"/>
    <x v="0"/>
    <x v="1"/>
    <x v="1599"/>
    <x v="0"/>
    <d v="1899-12-31T00:00:00"/>
    <d v="2013-11-28T00:00:00"/>
    <n v="91"/>
    <n v="17"/>
    <n v="26"/>
    <n v="26"/>
    <n v="10"/>
    <n v="67"/>
    <x v="0"/>
    <n v="36"/>
    <x v="3"/>
    <m/>
    <x v="0"/>
    <x v="0"/>
    <x v="0"/>
    <n v="13"/>
    <x v="0"/>
  </r>
  <r>
    <n v="7261"/>
    <x v="6"/>
    <x v="0"/>
    <x v="1"/>
    <x v="1600"/>
    <x v="1"/>
    <d v="1899-12-31T00:00:00"/>
    <d v="2013-01-01T00:00:00"/>
    <n v="8"/>
    <n v="33"/>
    <n v="3"/>
    <n v="3"/>
    <n v="5"/>
    <n v="55"/>
    <x v="0"/>
    <n v="8"/>
    <x v="3"/>
    <m/>
    <x v="0"/>
    <x v="1"/>
    <x v="0"/>
    <n v="13"/>
    <x v="0"/>
  </r>
  <r>
    <n v="9648"/>
    <x v="5"/>
    <x v="0"/>
    <x v="0"/>
    <x v="1601"/>
    <x v="1"/>
    <d v="1899-12-31T00:00:00"/>
    <d v="2012-11-03T00:00:00"/>
    <n v="20"/>
    <n v="4"/>
    <n v="9"/>
    <n v="9"/>
    <n v="4"/>
    <n v="59"/>
    <x v="0"/>
    <n v="13"/>
    <x v="3"/>
    <m/>
    <x v="0"/>
    <x v="1"/>
    <x v="0"/>
    <n v="14"/>
    <x v="0"/>
  </r>
  <r>
    <n v="2870"/>
    <x v="26"/>
    <x v="0"/>
    <x v="2"/>
    <x v="1602"/>
    <x v="0"/>
    <d v="1899-12-31T00:00:00"/>
    <d v="2012-09-21T00:00:00"/>
    <n v="6"/>
    <n v="0"/>
    <n v="8"/>
    <n v="8"/>
    <n v="6"/>
    <n v="53"/>
    <x v="0"/>
    <n v="14"/>
    <x v="3"/>
    <m/>
    <x v="0"/>
    <x v="1"/>
    <x v="0"/>
    <n v="14"/>
    <x v="0"/>
  </r>
  <r>
    <n v="8008"/>
    <x v="10"/>
    <x v="0"/>
    <x v="1"/>
    <x v="1603"/>
    <x v="1"/>
    <d v="1899-12-30T00:00:00"/>
    <d v="2013-12-09T00:00:00"/>
    <n v="54"/>
    <n v="0"/>
    <n v="1"/>
    <n v="1"/>
    <n v="4"/>
    <n v="43"/>
    <x v="1"/>
    <n v="5"/>
    <x v="3"/>
    <m/>
    <x v="0"/>
    <x v="1"/>
    <x v="0"/>
    <n v="13"/>
    <x v="0"/>
  </r>
  <r>
    <n v="1513"/>
    <x v="19"/>
    <x v="4"/>
    <x v="1"/>
    <x v="1604"/>
    <x v="1"/>
    <d v="1899-12-31T00:00:00"/>
    <d v="2012-08-28T00:00:00"/>
    <n v="72"/>
    <n v="21"/>
    <n v="150"/>
    <n v="150"/>
    <n v="12"/>
    <n v="47"/>
    <x v="1"/>
    <n v="162"/>
    <x v="3"/>
    <m/>
    <x v="0"/>
    <x v="0"/>
    <x v="0"/>
    <n v="14"/>
    <x v="0"/>
  </r>
  <r>
    <n v="6173"/>
    <x v="19"/>
    <x v="0"/>
    <x v="1"/>
    <x v="99"/>
    <x v="0"/>
    <d v="1899-12-31T00:00:00"/>
    <d v="2013-11-02T00:00:00"/>
    <n v="46"/>
    <n v="115"/>
    <n v="35"/>
    <n v="35"/>
    <n v="11"/>
    <n v="47"/>
    <x v="1"/>
    <n v="46"/>
    <x v="3"/>
    <m/>
    <x v="0"/>
    <x v="3"/>
    <x v="0"/>
    <n v="13"/>
    <x v="0"/>
  </r>
  <r>
    <n v="1419"/>
    <x v="9"/>
    <x v="0"/>
    <x v="1"/>
    <x v="790"/>
    <x v="1"/>
    <d v="1899-12-31T00:00:00"/>
    <d v="2013-08-05T00:00:00"/>
    <n v="11"/>
    <n v="6"/>
    <n v="8"/>
    <n v="8"/>
    <n v="3"/>
    <n v="76"/>
    <x v="0"/>
    <n v="11"/>
    <x v="3"/>
    <m/>
    <x v="0"/>
    <x v="1"/>
    <x v="0"/>
    <n v="13"/>
    <x v="0"/>
  </r>
  <r>
    <n v="9150"/>
    <x v="24"/>
    <x v="1"/>
    <x v="0"/>
    <x v="1198"/>
    <x v="1"/>
    <d v="1899-12-31T00:00:00"/>
    <d v="2014-04-12T00:00:00"/>
    <n v="21"/>
    <n v="0"/>
    <n v="0"/>
    <n v="0"/>
    <n v="4"/>
    <n v="63"/>
    <x v="0"/>
    <n v="4"/>
    <x v="3"/>
    <m/>
    <x v="0"/>
    <x v="1"/>
    <x v="0"/>
    <n v="12"/>
    <x v="0"/>
  </r>
  <r>
    <n v="7960"/>
    <x v="43"/>
    <x v="4"/>
    <x v="1"/>
    <x v="1605"/>
    <x v="0"/>
    <d v="1899-12-30T00:00:00"/>
    <d v="2013-08-15T00:00:00"/>
    <n v="89"/>
    <n v="22"/>
    <n v="25"/>
    <n v="25"/>
    <n v="13"/>
    <n v="64"/>
    <x v="0"/>
    <n v="38"/>
    <x v="3"/>
    <m/>
    <x v="0"/>
    <x v="3"/>
    <x v="0"/>
    <n v="13"/>
    <x v="0"/>
  </r>
  <r>
    <n v="1250"/>
    <x v="11"/>
    <x v="0"/>
    <x v="0"/>
    <x v="1387"/>
    <x v="1"/>
    <d v="1899-12-30T00:00:00"/>
    <d v="2014-02-07T00:00:00"/>
    <n v="82"/>
    <n v="6"/>
    <n v="4"/>
    <n v="4"/>
    <n v="3"/>
    <n v="50"/>
    <x v="1"/>
    <n v="7"/>
    <x v="3"/>
    <m/>
    <x v="0"/>
    <x v="1"/>
    <x v="0"/>
    <n v="12"/>
    <x v="0"/>
  </r>
  <r>
    <n v="9905"/>
    <x v="13"/>
    <x v="0"/>
    <x v="1"/>
    <x v="1606"/>
    <x v="1"/>
    <d v="1899-12-31T00:00:00"/>
    <d v="2013-07-13T00:00:00"/>
    <n v="69"/>
    <n v="1"/>
    <n v="1"/>
    <n v="1"/>
    <n v="3"/>
    <n v="74"/>
    <x v="0"/>
    <n v="4"/>
    <x v="3"/>
    <m/>
    <x v="0"/>
    <x v="1"/>
    <x v="0"/>
    <n v="13"/>
    <x v="0"/>
  </r>
  <r>
    <n v="10691"/>
    <x v="40"/>
    <x v="2"/>
    <x v="2"/>
    <x v="1607"/>
    <x v="1"/>
    <d v="1899-12-31T00:00:00"/>
    <d v="2013-06-14T00:00:00"/>
    <n v="55"/>
    <n v="0"/>
    <n v="2"/>
    <n v="2"/>
    <n v="2"/>
    <n v="66"/>
    <x v="0"/>
    <n v="4"/>
    <x v="3"/>
    <m/>
    <x v="0"/>
    <x v="2"/>
    <x v="0"/>
    <n v="13"/>
    <x v="0"/>
  </r>
  <r>
    <n v="7002"/>
    <x v="34"/>
    <x v="0"/>
    <x v="0"/>
    <x v="1608"/>
    <x v="0"/>
    <d v="1899-12-31T00:00:00"/>
    <d v="2013-10-03T00:00:00"/>
    <n v="13"/>
    <n v="48"/>
    <n v="45"/>
    <n v="45"/>
    <n v="8"/>
    <n v="71"/>
    <x v="0"/>
    <n v="53"/>
    <x v="3"/>
    <m/>
    <x v="0"/>
    <x v="0"/>
    <x v="0"/>
    <n v="13"/>
    <x v="0"/>
  </r>
  <r>
    <n v="2952"/>
    <x v="32"/>
    <x v="2"/>
    <x v="0"/>
    <x v="1609"/>
    <x v="1"/>
    <d v="1899-12-30T00:00:00"/>
    <d v="2014-04-16T00:00:00"/>
    <n v="80"/>
    <n v="3"/>
    <n v="2"/>
    <n v="2"/>
    <n v="3"/>
    <n v="49"/>
    <x v="1"/>
    <n v="5"/>
    <x v="3"/>
    <m/>
    <x v="0"/>
    <x v="1"/>
    <x v="0"/>
    <n v="12"/>
    <x v="0"/>
  </r>
  <r>
    <n v="8439"/>
    <x v="31"/>
    <x v="0"/>
    <x v="1"/>
    <x v="1610"/>
    <x v="0"/>
    <d v="1900-01-01T00:00:00"/>
    <d v="2014-06-06T00:00:00"/>
    <n v="97"/>
    <n v="26"/>
    <n v="44"/>
    <n v="44"/>
    <n v="4"/>
    <n v="62"/>
    <x v="0"/>
    <n v="48"/>
    <x v="3"/>
    <m/>
    <x v="0"/>
    <x v="0"/>
    <x v="0"/>
    <n v="12"/>
    <x v="0"/>
  </r>
  <r>
    <n v="762"/>
    <x v="4"/>
    <x v="4"/>
    <x v="1"/>
    <x v="1482"/>
    <x v="1"/>
    <d v="1899-12-30T00:00:00"/>
    <d v="2014-05-02T00:00:00"/>
    <n v="27"/>
    <n v="21"/>
    <n v="14"/>
    <n v="14"/>
    <n v="8"/>
    <n v="45"/>
    <x v="1"/>
    <n v="22"/>
    <x v="3"/>
    <m/>
    <x v="0"/>
    <x v="3"/>
    <x v="0"/>
    <n v="12"/>
    <x v="0"/>
  </r>
  <r>
    <n v="2831"/>
    <x v="11"/>
    <x v="0"/>
    <x v="1"/>
    <x v="1611"/>
    <x v="0"/>
    <d v="1899-12-31T00:00:00"/>
    <d v="2014-06-27T00:00:00"/>
    <n v="99"/>
    <n v="38"/>
    <n v="38"/>
    <n v="38"/>
    <n v="10"/>
    <n v="50"/>
    <x v="1"/>
    <n v="48"/>
    <x v="3"/>
    <m/>
    <x v="0"/>
    <x v="3"/>
    <x v="0"/>
    <n v="12"/>
    <x v="0"/>
  </r>
  <r>
    <n v="6977"/>
    <x v="8"/>
    <x v="0"/>
    <x v="1"/>
    <x v="237"/>
    <x v="0"/>
    <d v="1899-12-31T00:00:00"/>
    <d v="2012-10-14T00:00:00"/>
    <n v="87"/>
    <n v="0"/>
    <n v="37"/>
    <n v="37"/>
    <n v="13"/>
    <n v="52"/>
    <x v="0"/>
    <n v="50"/>
    <x v="3"/>
    <m/>
    <x v="0"/>
    <x v="3"/>
    <x v="0"/>
    <n v="14"/>
    <x v="0"/>
  </r>
  <r>
    <n v="6289"/>
    <x v="20"/>
    <x v="2"/>
    <x v="1"/>
    <x v="1612"/>
    <x v="1"/>
    <d v="1899-12-31T00:00:00"/>
    <d v="2013-04-28T00:00:00"/>
    <n v="85"/>
    <n v="0"/>
    <n v="4"/>
    <n v="4"/>
    <n v="4"/>
    <n v="75"/>
    <x v="0"/>
    <n v="8"/>
    <x v="3"/>
    <m/>
    <x v="0"/>
    <x v="0"/>
    <x v="0"/>
    <n v="13"/>
    <x v="0"/>
  </r>
  <r>
    <n v="4168"/>
    <x v="35"/>
    <x v="0"/>
    <x v="0"/>
    <x v="214"/>
    <x v="1"/>
    <d v="1899-12-31T00:00:00"/>
    <d v="2013-03-20T00:00:00"/>
    <n v="30"/>
    <n v="7"/>
    <n v="15"/>
    <n v="15"/>
    <n v="8"/>
    <n v="60"/>
    <x v="0"/>
    <n v="23"/>
    <x v="3"/>
    <m/>
    <x v="0"/>
    <x v="1"/>
    <x v="0"/>
    <n v="13"/>
    <x v="0"/>
  </r>
  <r>
    <n v="8397"/>
    <x v="20"/>
    <x v="0"/>
    <x v="2"/>
    <x v="1613"/>
    <x v="1"/>
    <d v="1899-12-31T00:00:00"/>
    <d v="2014-01-10T00:00:00"/>
    <n v="82"/>
    <n v="0"/>
    <n v="0"/>
    <n v="0"/>
    <n v="2"/>
    <n v="75"/>
    <x v="0"/>
    <n v="2"/>
    <x v="3"/>
    <m/>
    <x v="0"/>
    <x v="1"/>
    <x v="0"/>
    <n v="12"/>
    <x v="0"/>
  </r>
  <r>
    <n v="9284"/>
    <x v="38"/>
    <x v="0"/>
    <x v="1"/>
    <x v="1377"/>
    <x v="0"/>
    <d v="1899-12-31T00:00:00"/>
    <d v="2013-06-08T00:00:00"/>
    <n v="21"/>
    <n v="16"/>
    <n v="24"/>
    <n v="24"/>
    <n v="12"/>
    <n v="68"/>
    <x v="0"/>
    <n v="36"/>
    <x v="3"/>
    <m/>
    <x v="0"/>
    <x v="0"/>
    <x v="0"/>
    <n v="13"/>
    <x v="0"/>
  </r>
  <r>
    <n v="6237"/>
    <x v="35"/>
    <x v="1"/>
    <x v="0"/>
    <x v="1614"/>
    <x v="0"/>
    <d v="1900-01-01T00:00:00"/>
    <d v="2013-12-07T00:00:00"/>
    <n v="92"/>
    <n v="4"/>
    <n v="2"/>
    <n v="2"/>
    <n v="1"/>
    <n v="60"/>
    <x v="0"/>
    <n v="3"/>
    <x v="3"/>
    <m/>
    <x v="0"/>
    <x v="2"/>
    <x v="0"/>
    <n v="13"/>
    <x v="0"/>
  </r>
  <r>
    <n v="3130"/>
    <x v="31"/>
    <x v="0"/>
    <x v="0"/>
    <x v="241"/>
    <x v="1"/>
    <d v="1899-12-31T00:00:00"/>
    <d v="2013-06-04T00:00:00"/>
    <n v="95"/>
    <n v="4"/>
    <n v="6"/>
    <n v="6"/>
    <n v="4"/>
    <n v="62"/>
    <x v="0"/>
    <n v="10"/>
    <x v="3"/>
    <m/>
    <x v="0"/>
    <x v="2"/>
    <x v="0"/>
    <n v="13"/>
    <x v="0"/>
  </r>
  <r>
    <n v="1619"/>
    <x v="46"/>
    <x v="0"/>
    <x v="2"/>
    <x v="1615"/>
    <x v="0"/>
    <d v="1899-12-30T00:00:00"/>
    <d v="2014-04-28T00:00:00"/>
    <n v="2"/>
    <n v="51"/>
    <n v="23"/>
    <n v="23"/>
    <n v="6"/>
    <n v="70"/>
    <x v="0"/>
    <n v="29"/>
    <x v="3"/>
    <m/>
    <x v="0"/>
    <x v="3"/>
    <x v="0"/>
    <n v="12"/>
    <x v="0"/>
  </r>
  <r>
    <n v="1990"/>
    <x v="8"/>
    <x v="1"/>
    <x v="0"/>
    <x v="1616"/>
    <x v="0"/>
    <d v="1899-12-30T00:00:00"/>
    <d v="2012-11-05T00:00:00"/>
    <n v="74"/>
    <n v="34"/>
    <n v="86"/>
    <n v="86"/>
    <n v="8"/>
    <n v="52"/>
    <x v="0"/>
    <n v="94"/>
    <x v="3"/>
    <m/>
    <x v="0"/>
    <x v="0"/>
    <x v="0"/>
    <n v="14"/>
    <x v="0"/>
  </r>
  <r>
    <n v="5513"/>
    <x v="35"/>
    <x v="0"/>
    <x v="1"/>
    <x v="806"/>
    <x v="1"/>
    <d v="1899-12-31T00:00:00"/>
    <d v="2012-10-04T00:00:00"/>
    <n v="49"/>
    <n v="2"/>
    <n v="0"/>
    <n v="0"/>
    <n v="3"/>
    <n v="60"/>
    <x v="0"/>
    <n v="3"/>
    <x v="3"/>
    <m/>
    <x v="0"/>
    <x v="1"/>
    <x v="0"/>
    <n v="14"/>
    <x v="0"/>
  </r>
  <r>
    <n v="269"/>
    <x v="24"/>
    <x v="1"/>
    <x v="0"/>
    <x v="1617"/>
    <x v="0"/>
    <d v="1899-12-31T00:00:00"/>
    <d v="2012-11-16T00:00:00"/>
    <n v="71"/>
    <n v="30"/>
    <n v="51"/>
    <n v="51"/>
    <n v="7"/>
    <n v="63"/>
    <x v="0"/>
    <n v="58"/>
    <x v="3"/>
    <m/>
    <x v="0"/>
    <x v="1"/>
    <x v="0"/>
    <n v="14"/>
    <x v="0"/>
  </r>
  <r>
    <n v="8093"/>
    <x v="21"/>
    <x v="2"/>
    <x v="2"/>
    <x v="1618"/>
    <x v="0"/>
    <d v="1899-12-30T00:00:00"/>
    <d v="2014-06-28T00:00:00"/>
    <n v="72"/>
    <n v="8"/>
    <n v="62"/>
    <n v="62"/>
    <n v="6"/>
    <n v="57"/>
    <x v="0"/>
    <n v="68"/>
    <x v="3"/>
    <m/>
    <x v="0"/>
    <x v="3"/>
    <x v="0"/>
    <n v="12"/>
    <x v="0"/>
  </r>
  <r>
    <n v="10513"/>
    <x v="47"/>
    <x v="0"/>
    <x v="1"/>
    <x v="1619"/>
    <x v="0"/>
    <d v="1899-12-30T00:00:00"/>
    <d v="2013-01-20T00:00:00"/>
    <n v="68"/>
    <n v="169"/>
    <n v="169"/>
    <n v="169"/>
    <n v="6"/>
    <n v="34"/>
    <x v="1"/>
    <n v="175"/>
    <x v="3"/>
    <m/>
    <x v="0"/>
    <x v="0"/>
    <x v="0"/>
    <n v="13"/>
    <x v="0"/>
  </r>
  <r>
    <n v="10177"/>
    <x v="1"/>
    <x v="0"/>
    <x v="3"/>
    <x v="1620"/>
    <x v="0"/>
    <d v="1899-12-31T00:00:00"/>
    <d v="2013-02-14T00:00:00"/>
    <n v="4"/>
    <n v="69"/>
    <n v="138"/>
    <n v="138"/>
    <n v="8"/>
    <n v="72"/>
    <x v="0"/>
    <n v="146"/>
    <x v="3"/>
    <m/>
    <x v="0"/>
    <x v="0"/>
    <x v="0"/>
    <n v="13"/>
    <x v="0"/>
  </r>
  <r>
    <n v="2549"/>
    <x v="10"/>
    <x v="1"/>
    <x v="1"/>
    <x v="1621"/>
    <x v="1"/>
    <d v="1899-12-30T00:00:00"/>
    <d v="2013-07-21T00:00:00"/>
    <n v="80"/>
    <n v="0"/>
    <n v="0"/>
    <n v="0"/>
    <n v="3"/>
    <n v="43"/>
    <x v="1"/>
    <n v="3"/>
    <x v="3"/>
    <m/>
    <x v="0"/>
    <x v="2"/>
    <x v="0"/>
    <n v="13"/>
    <x v="0"/>
  </r>
  <r>
    <n v="5782"/>
    <x v="18"/>
    <x v="4"/>
    <x v="1"/>
    <x v="1622"/>
    <x v="0"/>
    <d v="1899-12-31T00:00:00"/>
    <d v="2013-09-28T00:00:00"/>
    <n v="15"/>
    <n v="35"/>
    <n v="77"/>
    <n v="77"/>
    <n v="9"/>
    <n v="44"/>
    <x v="1"/>
    <n v="86"/>
    <x v="3"/>
    <m/>
    <x v="0"/>
    <x v="0"/>
    <x v="0"/>
    <n v="13"/>
    <x v="0"/>
  </r>
  <r>
    <n v="10057"/>
    <x v="20"/>
    <x v="0"/>
    <x v="0"/>
    <x v="1623"/>
    <x v="0"/>
    <d v="1899-12-30T00:00:00"/>
    <d v="2013-07-19T00:00:00"/>
    <n v="70"/>
    <n v="27"/>
    <n v="139"/>
    <n v="139"/>
    <n v="9"/>
    <n v="75"/>
    <x v="0"/>
    <n v="148"/>
    <x v="3"/>
    <m/>
    <x v="0"/>
    <x v="0"/>
    <x v="0"/>
    <n v="13"/>
    <x v="0"/>
  </r>
  <r>
    <n v="10307"/>
    <x v="46"/>
    <x v="0"/>
    <x v="2"/>
    <x v="1624"/>
    <x v="0"/>
    <d v="1900-01-01T00:00:00"/>
    <d v="2013-08-31T00:00:00"/>
    <n v="91"/>
    <n v="9"/>
    <n v="14"/>
    <n v="14"/>
    <n v="8"/>
    <n v="70"/>
    <x v="0"/>
    <n v="22"/>
    <x v="3"/>
    <m/>
    <x v="0"/>
    <x v="0"/>
    <x v="0"/>
    <n v="13"/>
    <x v="0"/>
  </r>
  <r>
    <n v="8566"/>
    <x v="45"/>
    <x v="1"/>
    <x v="1"/>
    <x v="1625"/>
    <x v="1"/>
    <d v="1899-12-31T00:00:00"/>
    <d v="2014-06-15T00:00:00"/>
    <n v="10"/>
    <n v="0"/>
    <n v="0"/>
    <n v="0"/>
    <n v="2"/>
    <n v="65"/>
    <x v="0"/>
    <n v="2"/>
    <x v="3"/>
    <m/>
    <x v="0"/>
    <x v="1"/>
    <x v="0"/>
    <n v="12"/>
    <x v="0"/>
  </r>
  <r>
    <n v="2415"/>
    <x v="43"/>
    <x v="0"/>
    <x v="1"/>
    <x v="1626"/>
    <x v="0"/>
    <d v="1899-12-31T00:00:00"/>
    <d v="2014-04-07T00:00:00"/>
    <n v="99"/>
    <n v="17"/>
    <n v="35"/>
    <n v="35"/>
    <n v="5"/>
    <n v="64"/>
    <x v="0"/>
    <n v="40"/>
    <x v="3"/>
    <m/>
    <x v="0"/>
    <x v="0"/>
    <x v="0"/>
    <n v="12"/>
    <x v="0"/>
  </r>
  <r>
    <n v="5684"/>
    <x v="6"/>
    <x v="2"/>
    <x v="3"/>
    <x v="1627"/>
    <x v="1"/>
    <d v="1899-12-31T00:00:00"/>
    <d v="2013-10-11T00:00:00"/>
    <n v="25"/>
    <n v="0"/>
    <n v="0"/>
    <n v="0"/>
    <n v="3"/>
    <n v="55"/>
    <x v="0"/>
    <n v="3"/>
    <x v="3"/>
    <m/>
    <x v="0"/>
    <x v="1"/>
    <x v="0"/>
    <n v="13"/>
    <x v="0"/>
  </r>
  <r>
    <n v="8334"/>
    <x v="6"/>
    <x v="2"/>
    <x v="0"/>
    <x v="1255"/>
    <x v="1"/>
    <d v="1899-12-31T00:00:00"/>
    <d v="2013-10-04T00:00:00"/>
    <n v="34"/>
    <n v="1"/>
    <n v="4"/>
    <n v="4"/>
    <n v="4"/>
    <n v="55"/>
    <x v="0"/>
    <n v="8"/>
    <x v="3"/>
    <m/>
    <x v="0"/>
    <x v="1"/>
    <x v="0"/>
    <n v="13"/>
    <x v="0"/>
  </r>
  <r>
    <n v="9166"/>
    <x v="30"/>
    <x v="0"/>
    <x v="2"/>
    <x v="1628"/>
    <x v="0"/>
    <d v="1899-12-31T00:00:00"/>
    <d v="2013-08-09T00:00:00"/>
    <n v="57"/>
    <n v="84"/>
    <n v="35"/>
    <n v="35"/>
    <n v="12"/>
    <n v="58"/>
    <x v="0"/>
    <n v="47"/>
    <x v="3"/>
    <m/>
    <x v="0"/>
    <x v="0"/>
    <x v="0"/>
    <n v="13"/>
    <x v="0"/>
  </r>
  <r>
    <n v="1440"/>
    <x v="33"/>
    <x v="4"/>
    <x v="1"/>
    <x v="1629"/>
    <x v="0"/>
    <d v="1899-12-30T00:00:00"/>
    <d v="2012-09-04T00:00:00"/>
    <n v="84"/>
    <n v="17"/>
    <n v="188"/>
    <n v="188"/>
    <n v="9"/>
    <n v="48"/>
    <x v="1"/>
    <n v="197"/>
    <x v="3"/>
    <m/>
    <x v="0"/>
    <x v="0"/>
    <x v="0"/>
    <n v="14"/>
    <x v="0"/>
  </r>
  <r>
    <n v="78"/>
    <x v="21"/>
    <x v="0"/>
    <x v="2"/>
    <x v="1630"/>
    <x v="1"/>
    <d v="1899-12-30T00:00:00"/>
    <d v="2013-09-15T00:00:00"/>
    <n v="51"/>
    <n v="0"/>
    <n v="2"/>
    <n v="2"/>
    <n v="2"/>
    <n v="57"/>
    <x v="0"/>
    <n v="4"/>
    <x v="3"/>
    <m/>
    <x v="0"/>
    <x v="2"/>
    <x v="0"/>
    <n v="13"/>
    <x v="0"/>
  </r>
  <r>
    <n v="5441"/>
    <x v="2"/>
    <x v="1"/>
    <x v="4"/>
    <x v="1631"/>
    <x v="0"/>
    <d v="1899-12-31T00:00:00"/>
    <d v="2013-08-25T00:00:00"/>
    <n v="97"/>
    <n v="6"/>
    <n v="3"/>
    <n v="3"/>
    <n v="6"/>
    <n v="61"/>
    <x v="0"/>
    <n v="9"/>
    <x v="3"/>
    <m/>
    <x v="0"/>
    <x v="0"/>
    <x v="0"/>
    <n v="13"/>
    <x v="0"/>
  </r>
  <r>
    <n v="5302"/>
    <x v="22"/>
    <x v="0"/>
    <x v="1"/>
    <x v="1632"/>
    <x v="0"/>
    <d v="1899-12-30T00:00:00"/>
    <d v="2013-02-15T00:00:00"/>
    <n v="13"/>
    <n v="27"/>
    <n v="24"/>
    <n v="24"/>
    <n v="5"/>
    <n v="40"/>
    <x v="1"/>
    <n v="29"/>
    <x v="3"/>
    <m/>
    <x v="0"/>
    <x v="3"/>
    <x v="0"/>
    <n v="13"/>
    <x v="0"/>
  </r>
  <r>
    <n v="4687"/>
    <x v="38"/>
    <x v="2"/>
    <x v="2"/>
    <x v="1633"/>
    <x v="0"/>
    <d v="1899-12-30T00:00:00"/>
    <d v="2013-05-23T00:00:00"/>
    <n v="92"/>
    <n v="92"/>
    <n v="0"/>
    <n v="0"/>
    <n v="9"/>
    <n v="68"/>
    <x v="0"/>
    <n v="9"/>
    <x v="3"/>
    <m/>
    <x v="0"/>
    <x v="3"/>
    <x v="0"/>
    <n v="13"/>
    <x v="0"/>
  </r>
  <r>
    <n v="1087"/>
    <x v="28"/>
    <x v="2"/>
    <x v="1"/>
    <x v="1634"/>
    <x v="1"/>
    <d v="1899-12-30T00:00:00"/>
    <d v="2013-05-22T00:00:00"/>
    <n v="30"/>
    <n v="14"/>
    <n v="22"/>
    <n v="22"/>
    <n v="2"/>
    <n v="51"/>
    <x v="0"/>
    <n v="24"/>
    <x v="3"/>
    <m/>
    <x v="0"/>
    <x v="2"/>
    <x v="0"/>
    <n v="13"/>
    <x v="0"/>
  </r>
  <r>
    <n v="6859"/>
    <x v="14"/>
    <x v="0"/>
    <x v="0"/>
    <x v="1635"/>
    <x v="1"/>
    <d v="1899-12-30T00:00:00"/>
    <d v="2013-10-08T00:00:00"/>
    <n v="30"/>
    <n v="4"/>
    <n v="9"/>
    <n v="9"/>
    <n v="3"/>
    <n v="39"/>
    <x v="1"/>
    <n v="12"/>
    <x v="3"/>
    <m/>
    <x v="0"/>
    <x v="2"/>
    <x v="0"/>
    <n v="13"/>
    <x v="0"/>
  </r>
  <r>
    <n v="9860"/>
    <x v="12"/>
    <x v="0"/>
    <x v="1"/>
    <x v="1636"/>
    <x v="0"/>
    <d v="1899-12-31T00:00:00"/>
    <d v="2013-03-15T00:00:00"/>
    <n v="11"/>
    <n v="0"/>
    <n v="1"/>
    <n v="1"/>
    <n v="4"/>
    <n v="67"/>
    <x v="0"/>
    <n v="5"/>
    <x v="3"/>
    <m/>
    <x v="0"/>
    <x v="1"/>
    <x v="0"/>
    <n v="13"/>
    <x v="0"/>
  </r>
  <r>
    <n v="7129"/>
    <x v="43"/>
    <x v="1"/>
    <x v="2"/>
    <x v="1637"/>
    <x v="0"/>
    <d v="1899-12-31T00:00:00"/>
    <d v="2013-02-17T00:00:00"/>
    <n v="72"/>
    <n v="17"/>
    <n v="26"/>
    <n v="26"/>
    <n v="13"/>
    <n v="64"/>
    <x v="0"/>
    <n v="39"/>
    <x v="3"/>
    <m/>
    <x v="0"/>
    <x v="0"/>
    <x v="0"/>
    <n v="13"/>
    <x v="0"/>
  </r>
  <r>
    <n v="5866"/>
    <x v="8"/>
    <x v="0"/>
    <x v="1"/>
    <x v="1638"/>
    <x v="1"/>
    <d v="1899-12-30T00:00:00"/>
    <d v="2014-03-20T00:00:00"/>
    <n v="39"/>
    <n v="3"/>
    <n v="7"/>
    <n v="7"/>
    <n v="4"/>
    <n v="52"/>
    <x v="0"/>
    <n v="11"/>
    <x v="3"/>
    <m/>
    <x v="0"/>
    <x v="1"/>
    <x v="0"/>
    <n v="12"/>
    <x v="0"/>
  </r>
  <r>
    <n v="10521"/>
    <x v="32"/>
    <x v="0"/>
    <x v="2"/>
    <x v="1115"/>
    <x v="1"/>
    <d v="1899-12-31T00:00:00"/>
    <d v="2013-09-11T00:00:00"/>
    <n v="0"/>
    <n v="6"/>
    <n v="13"/>
    <n v="13"/>
    <n v="5"/>
    <n v="49"/>
    <x v="1"/>
    <n v="18"/>
    <x v="3"/>
    <m/>
    <x v="0"/>
    <x v="0"/>
    <x v="0"/>
    <n v="13"/>
    <x v="0"/>
  </r>
  <r>
    <n v="7393"/>
    <x v="33"/>
    <x v="0"/>
    <x v="1"/>
    <x v="1639"/>
    <x v="1"/>
    <d v="1899-12-31T00:00:00"/>
    <d v="2012-12-10T00:00:00"/>
    <n v="15"/>
    <n v="5"/>
    <n v="0"/>
    <n v="0"/>
    <n v="3"/>
    <n v="48"/>
    <x v="1"/>
    <n v="3"/>
    <x v="3"/>
    <m/>
    <x v="0"/>
    <x v="1"/>
    <x v="0"/>
    <n v="14"/>
    <x v="0"/>
  </r>
  <r>
    <n v="7849"/>
    <x v="25"/>
    <x v="1"/>
    <x v="2"/>
    <x v="1640"/>
    <x v="0"/>
    <d v="1899-12-30T00:00:00"/>
    <d v="2013-09-09T00:00:00"/>
    <n v="12"/>
    <n v="19"/>
    <n v="142"/>
    <n v="142"/>
    <n v="13"/>
    <n v="56"/>
    <x v="0"/>
    <n v="155"/>
    <x v="3"/>
    <m/>
    <x v="0"/>
    <x v="3"/>
    <x v="0"/>
    <n v="13"/>
    <x v="0"/>
  </r>
  <r>
    <n v="332"/>
    <x v="0"/>
    <x v="0"/>
    <x v="2"/>
    <x v="1641"/>
    <x v="0"/>
    <d v="1899-12-31T00:00:00"/>
    <d v="2013-03-22T00:00:00"/>
    <n v="56"/>
    <n v="2"/>
    <n v="12"/>
    <n v="12"/>
    <n v="6"/>
    <n v="69"/>
    <x v="0"/>
    <n v="18"/>
    <x v="3"/>
    <m/>
    <x v="0"/>
    <x v="1"/>
    <x v="0"/>
    <n v="13"/>
    <x v="0"/>
  </r>
  <r>
    <n v="9847"/>
    <x v="34"/>
    <x v="4"/>
    <x v="2"/>
    <x v="1165"/>
    <x v="0"/>
    <d v="1899-12-31T00:00:00"/>
    <d v="2012-08-03T00:00:00"/>
    <n v="39"/>
    <n v="15"/>
    <n v="0"/>
    <n v="0"/>
    <n v="3"/>
    <n v="71"/>
    <x v="0"/>
    <n v="3"/>
    <x v="3"/>
    <m/>
    <x v="0"/>
    <x v="0"/>
    <x v="0"/>
    <n v="14"/>
    <x v="0"/>
  </r>
  <r>
    <n v="531"/>
    <x v="1"/>
    <x v="1"/>
    <x v="3"/>
    <x v="1642"/>
    <x v="0"/>
    <d v="1899-12-31T00:00:00"/>
    <d v="2012-09-22T00:00:00"/>
    <n v="55"/>
    <n v="14"/>
    <n v="58"/>
    <n v="58"/>
    <n v="9"/>
    <n v="72"/>
    <x v="0"/>
    <n v="67"/>
    <x v="3"/>
    <m/>
    <x v="0"/>
    <x v="0"/>
    <x v="0"/>
    <n v="14"/>
    <x v="0"/>
  </r>
  <r>
    <n v="9576"/>
    <x v="18"/>
    <x v="1"/>
    <x v="1"/>
    <x v="1643"/>
    <x v="1"/>
    <d v="1899-12-30T00:00:00"/>
    <d v="2013-02-11T00:00:00"/>
    <n v="60"/>
    <n v="4"/>
    <n v="4"/>
    <n v="4"/>
    <n v="4"/>
    <n v="44"/>
    <x v="1"/>
    <n v="8"/>
    <x v="3"/>
    <m/>
    <x v="0"/>
    <x v="1"/>
    <x v="0"/>
    <n v="13"/>
    <x v="0"/>
  </r>
  <r>
    <n v="6906"/>
    <x v="44"/>
    <x v="2"/>
    <x v="4"/>
    <x v="1644"/>
    <x v="0"/>
    <d v="1899-12-30T00:00:00"/>
    <d v="2013-06-03T00:00:00"/>
    <n v="73"/>
    <n v="48"/>
    <n v="72"/>
    <n v="72"/>
    <n v="4"/>
    <n v="73"/>
    <x v="0"/>
    <n v="76"/>
    <x v="3"/>
    <m/>
    <x v="0"/>
    <x v="3"/>
    <x v="0"/>
    <n v="13"/>
    <x v="0"/>
  </r>
  <r>
    <n v="7419"/>
    <x v="30"/>
    <x v="2"/>
    <x v="3"/>
    <x v="1645"/>
    <x v="1"/>
    <d v="1899-12-30T00:00:00"/>
    <d v="2014-04-23T00:00:00"/>
    <n v="90"/>
    <n v="3"/>
    <n v="2"/>
    <n v="2"/>
    <n v="3"/>
    <n v="58"/>
    <x v="0"/>
    <n v="5"/>
    <x v="3"/>
    <m/>
    <x v="0"/>
    <x v="2"/>
    <x v="0"/>
    <n v="12"/>
    <x v="0"/>
  </r>
  <r>
    <n v="3170"/>
    <x v="0"/>
    <x v="2"/>
    <x v="1"/>
    <x v="1646"/>
    <x v="0"/>
    <d v="1899-12-30T00:00:00"/>
    <d v="2013-08-31T00:00:00"/>
    <n v="86"/>
    <n v="66"/>
    <n v="57"/>
    <n v="57"/>
    <n v="6"/>
    <n v="69"/>
    <x v="0"/>
    <n v="63"/>
    <x v="3"/>
    <m/>
    <x v="0"/>
    <x v="0"/>
    <x v="0"/>
    <n v="13"/>
    <x v="0"/>
  </r>
  <r>
    <n v="8527"/>
    <x v="2"/>
    <x v="2"/>
    <x v="1"/>
    <x v="1647"/>
    <x v="1"/>
    <d v="1899-12-31T00:00:00"/>
    <d v="2013-12-07T00:00:00"/>
    <n v="37"/>
    <n v="7"/>
    <n v="15"/>
    <n v="15"/>
    <n v="6"/>
    <n v="61"/>
    <x v="0"/>
    <n v="21"/>
    <x v="3"/>
    <m/>
    <x v="0"/>
    <x v="0"/>
    <x v="0"/>
    <n v="13"/>
    <x v="0"/>
  </r>
  <r>
    <n v="7872"/>
    <x v="28"/>
    <x v="1"/>
    <x v="2"/>
    <x v="1648"/>
    <x v="0"/>
    <d v="1899-12-30T00:00:00"/>
    <d v="2012-09-12T00:00:00"/>
    <n v="7"/>
    <n v="21"/>
    <n v="21"/>
    <n v="21"/>
    <n v="6"/>
    <n v="51"/>
    <x v="0"/>
    <n v="27"/>
    <x v="3"/>
    <m/>
    <x v="0"/>
    <x v="3"/>
    <x v="0"/>
    <n v="14"/>
    <x v="0"/>
  </r>
  <r>
    <n v="9931"/>
    <x v="24"/>
    <x v="1"/>
    <x v="2"/>
    <x v="1649"/>
    <x v="1"/>
    <d v="1899-12-31T00:00:00"/>
    <d v="2014-06-23T00:00:00"/>
    <n v="29"/>
    <n v="0"/>
    <n v="1"/>
    <n v="1"/>
    <n v="0"/>
    <n v="63"/>
    <x v="0"/>
    <n v="1"/>
    <x v="3"/>
    <m/>
    <x v="0"/>
    <x v="2"/>
    <x v="0"/>
    <n v="12"/>
    <x v="0"/>
  </r>
  <r>
    <n v="10595"/>
    <x v="50"/>
    <x v="0"/>
    <x v="2"/>
    <x v="1650"/>
    <x v="0"/>
    <d v="1899-12-30T00:00:00"/>
    <d v="2013-07-08T00:00:00"/>
    <n v="19"/>
    <n v="6"/>
    <n v="4"/>
    <n v="4"/>
    <n v="3"/>
    <n v="36"/>
    <x v="1"/>
    <n v="7"/>
    <x v="3"/>
    <m/>
    <x v="0"/>
    <x v="1"/>
    <x v="0"/>
    <n v="13"/>
    <x v="0"/>
  </r>
  <r>
    <n v="4609"/>
    <x v="35"/>
    <x v="1"/>
    <x v="2"/>
    <x v="1651"/>
    <x v="0"/>
    <d v="1899-12-31T00:00:00"/>
    <d v="2014-01-11T00:00:00"/>
    <n v="14"/>
    <n v="0"/>
    <n v="4"/>
    <n v="4"/>
    <n v="6"/>
    <n v="60"/>
    <x v="0"/>
    <n v="10"/>
    <x v="3"/>
    <m/>
    <x v="0"/>
    <x v="0"/>
    <x v="0"/>
    <n v="12"/>
    <x v="0"/>
  </r>
  <r>
    <n v="5010"/>
    <x v="36"/>
    <x v="0"/>
    <x v="0"/>
    <x v="1652"/>
    <x v="1"/>
    <d v="1899-12-30T00:00:00"/>
    <d v="2014-02-02T00:00:00"/>
    <n v="72"/>
    <n v="8"/>
    <n v="1"/>
    <n v="1"/>
    <n v="3"/>
    <n v="38"/>
    <x v="1"/>
    <n v="4"/>
    <x v="3"/>
    <m/>
    <x v="0"/>
    <x v="2"/>
    <x v="0"/>
    <n v="12"/>
    <x v="0"/>
  </r>
  <r>
    <n v="4427"/>
    <x v="57"/>
    <x v="4"/>
    <x v="0"/>
    <x v="1653"/>
    <x v="0"/>
    <d v="1899-12-30T00:00:00"/>
    <d v="2012-09-18T00:00:00"/>
    <n v="56"/>
    <n v="27"/>
    <n v="107"/>
    <n v="107"/>
    <n v="12"/>
    <n v="31"/>
    <x v="1"/>
    <n v="119"/>
    <x v="3"/>
    <m/>
    <x v="0"/>
    <x v="3"/>
    <x v="0"/>
    <n v="14"/>
    <x v="0"/>
  </r>
  <r>
    <n v="11148"/>
    <x v="28"/>
    <x v="0"/>
    <x v="1"/>
    <x v="1654"/>
    <x v="1"/>
    <d v="1899-12-30T00:00:00"/>
    <d v="2013-05-19T00:00:00"/>
    <n v="85"/>
    <n v="1"/>
    <n v="1"/>
    <n v="1"/>
    <n v="2"/>
    <n v="51"/>
    <x v="0"/>
    <n v="3"/>
    <x v="3"/>
    <m/>
    <x v="0"/>
    <x v="2"/>
    <x v="0"/>
    <n v="13"/>
    <x v="0"/>
  </r>
  <r>
    <n v="1168"/>
    <x v="33"/>
    <x v="1"/>
    <x v="2"/>
    <x v="1655"/>
    <x v="0"/>
    <d v="1899-12-30T00:00:00"/>
    <d v="2012-10-29T00:00:00"/>
    <n v="62"/>
    <n v="53"/>
    <n v="40"/>
    <n v="40"/>
    <n v="10"/>
    <n v="48"/>
    <x v="1"/>
    <n v="50"/>
    <x v="3"/>
    <m/>
    <x v="0"/>
    <x v="0"/>
    <x v="0"/>
    <n v="14"/>
    <x v="0"/>
  </r>
  <r>
    <n v="9595"/>
    <x v="45"/>
    <x v="0"/>
    <x v="1"/>
    <x v="1656"/>
    <x v="0"/>
    <d v="1899-12-30T00:00:00"/>
    <d v="2013-01-11T00:00:00"/>
    <n v="1"/>
    <n v="169"/>
    <n v="0"/>
    <n v="0"/>
    <n v="4"/>
    <n v="65"/>
    <x v="0"/>
    <n v="4"/>
    <x v="3"/>
    <m/>
    <x v="0"/>
    <x v="0"/>
    <x v="0"/>
    <n v="13"/>
    <x v="0"/>
  </r>
  <r>
    <n v="10163"/>
    <x v="3"/>
    <x v="1"/>
    <x v="0"/>
    <x v="1657"/>
    <x v="0"/>
    <d v="1899-12-30T00:00:00"/>
    <d v="2013-09-10T00:00:00"/>
    <n v="28"/>
    <n v="50"/>
    <n v="38"/>
    <n v="38"/>
    <n v="7"/>
    <n v="42"/>
    <x v="1"/>
    <n v="45"/>
    <x v="3"/>
    <m/>
    <x v="0"/>
    <x v="3"/>
    <x v="0"/>
    <n v="13"/>
    <x v="0"/>
  </r>
  <r>
    <n v="2886"/>
    <x v="6"/>
    <x v="2"/>
    <x v="3"/>
    <x v="1658"/>
    <x v="0"/>
    <d v="1899-12-31T00:00:00"/>
    <d v="2013-08-12T00:00:00"/>
    <n v="70"/>
    <n v="0"/>
    <n v="12"/>
    <n v="12"/>
    <n v="10"/>
    <n v="55"/>
    <x v="0"/>
    <n v="22"/>
    <x v="3"/>
    <m/>
    <x v="0"/>
    <x v="0"/>
    <x v="0"/>
    <n v="13"/>
    <x v="0"/>
  </r>
  <r>
    <n v="6710"/>
    <x v="20"/>
    <x v="2"/>
    <x v="0"/>
    <x v="1659"/>
    <x v="2"/>
    <d v="1899-12-31T00:00:00"/>
    <d v="2012-11-17T00:00:00"/>
    <n v="84"/>
    <n v="1"/>
    <n v="5"/>
    <n v="5"/>
    <n v="4"/>
    <n v="75"/>
    <x v="0"/>
    <n v="9"/>
    <x v="3"/>
    <m/>
    <x v="0"/>
    <x v="0"/>
    <x v="0"/>
    <n v="14"/>
    <x v="0"/>
  </r>
  <r>
    <n v="5316"/>
    <x v="11"/>
    <x v="2"/>
    <x v="1"/>
    <x v="1660"/>
    <x v="0"/>
    <d v="1899-12-30T00:00:00"/>
    <d v="2013-07-04T00:00:00"/>
    <n v="89"/>
    <n v="4"/>
    <n v="2"/>
    <n v="2"/>
    <n v="4"/>
    <n v="50"/>
    <x v="1"/>
    <n v="6"/>
    <x v="3"/>
    <m/>
    <x v="0"/>
    <x v="2"/>
    <x v="0"/>
    <n v="13"/>
    <x v="0"/>
  </r>
  <r>
    <n v="9029"/>
    <x v="39"/>
    <x v="1"/>
    <x v="2"/>
    <x v="1661"/>
    <x v="0"/>
    <d v="1899-12-30T00:00:00"/>
    <d v="2013-01-26T00:00:00"/>
    <n v="73"/>
    <n v="44"/>
    <n v="58"/>
    <n v="58"/>
    <n v="12"/>
    <n v="54"/>
    <x v="0"/>
    <n v="70"/>
    <x v="3"/>
    <m/>
    <x v="0"/>
    <x v="0"/>
    <x v="0"/>
    <n v="13"/>
    <x v="0"/>
  </r>
  <r>
    <n v="521"/>
    <x v="7"/>
    <x v="0"/>
    <x v="1"/>
    <x v="1662"/>
    <x v="1"/>
    <d v="1899-12-30T00:00:00"/>
    <d v="2012-09-18T00:00:00"/>
    <n v="42"/>
    <n v="77"/>
    <n v="24"/>
    <n v="24"/>
    <n v="7"/>
    <n v="41"/>
    <x v="1"/>
    <n v="31"/>
    <x v="3"/>
    <m/>
    <x v="0"/>
    <x v="0"/>
    <x v="0"/>
    <n v="14"/>
    <x v="0"/>
  </r>
  <r>
    <n v="1459"/>
    <x v="35"/>
    <x v="1"/>
    <x v="2"/>
    <x v="1663"/>
    <x v="0"/>
    <d v="1899-12-31T00:00:00"/>
    <d v="2012-11-07T00:00:00"/>
    <n v="16"/>
    <n v="35"/>
    <n v="8"/>
    <n v="8"/>
    <n v="5"/>
    <n v="60"/>
    <x v="0"/>
    <n v="13"/>
    <x v="3"/>
    <m/>
    <x v="0"/>
    <x v="0"/>
    <x v="0"/>
    <n v="14"/>
    <x v="0"/>
  </r>
  <r>
    <n v="10241"/>
    <x v="28"/>
    <x v="4"/>
    <x v="3"/>
    <x v="1664"/>
    <x v="0"/>
    <d v="1899-12-30T00:00:00"/>
    <d v="2013-12-15T00:00:00"/>
    <n v="16"/>
    <n v="0"/>
    <n v="2"/>
    <n v="2"/>
    <n v="2"/>
    <n v="51"/>
    <x v="0"/>
    <n v="4"/>
    <x v="3"/>
    <m/>
    <x v="0"/>
    <x v="2"/>
    <x v="0"/>
    <n v="13"/>
    <x v="0"/>
  </r>
  <r>
    <n v="1630"/>
    <x v="19"/>
    <x v="0"/>
    <x v="0"/>
    <x v="1022"/>
    <x v="0"/>
    <d v="1899-12-31T00:00:00"/>
    <d v="2013-08-07T00:00:00"/>
    <n v="56"/>
    <n v="50"/>
    <n v="30"/>
    <n v="30"/>
    <n v="8"/>
    <n v="47"/>
    <x v="1"/>
    <n v="38"/>
    <x v="3"/>
    <m/>
    <x v="0"/>
    <x v="0"/>
    <x v="0"/>
    <n v="13"/>
    <x v="0"/>
  </r>
  <r>
    <n v="3254"/>
    <x v="6"/>
    <x v="0"/>
    <x v="2"/>
    <x v="1665"/>
    <x v="1"/>
    <d v="1899-12-30T00:00:00"/>
    <d v="2013-10-14T00:00:00"/>
    <n v="65"/>
    <n v="70"/>
    <n v="88"/>
    <n v="88"/>
    <n v="4"/>
    <n v="55"/>
    <x v="0"/>
    <n v="92"/>
    <x v="3"/>
    <m/>
    <x v="0"/>
    <x v="0"/>
    <x v="0"/>
    <n v="13"/>
    <x v="0"/>
  </r>
  <r>
    <n v="9064"/>
    <x v="18"/>
    <x v="0"/>
    <x v="2"/>
    <x v="1250"/>
    <x v="0"/>
    <d v="1899-12-30T00:00:00"/>
    <d v="2012-11-09T00:00:00"/>
    <n v="10"/>
    <n v="25"/>
    <n v="29"/>
    <n v="29"/>
    <n v="7"/>
    <n v="44"/>
    <x v="1"/>
    <n v="36"/>
    <x v="3"/>
    <m/>
    <x v="0"/>
    <x v="0"/>
    <x v="0"/>
    <n v="14"/>
    <x v="0"/>
  </r>
  <r>
    <n v="3678"/>
    <x v="26"/>
    <x v="0"/>
    <x v="4"/>
    <x v="1666"/>
    <x v="1"/>
    <d v="1899-12-31T00:00:00"/>
    <d v="2012-10-07T00:00:00"/>
    <n v="13"/>
    <n v="23"/>
    <n v="0"/>
    <n v="0"/>
    <n v="7"/>
    <n v="53"/>
    <x v="0"/>
    <n v="7"/>
    <x v="3"/>
    <m/>
    <x v="0"/>
    <x v="0"/>
    <x v="0"/>
    <n v="14"/>
    <x v="0"/>
  </r>
  <r>
    <n v="4227"/>
    <x v="30"/>
    <x v="2"/>
    <x v="1"/>
    <x v="1667"/>
    <x v="1"/>
    <d v="1899-12-31T00:00:00"/>
    <d v="2013-09-06T00:00:00"/>
    <n v="78"/>
    <n v="0"/>
    <n v="2"/>
    <n v="2"/>
    <n v="3"/>
    <n v="58"/>
    <x v="0"/>
    <n v="5"/>
    <x v="3"/>
    <m/>
    <x v="0"/>
    <x v="1"/>
    <x v="0"/>
    <n v="13"/>
    <x v="0"/>
  </r>
  <r>
    <n v="9467"/>
    <x v="3"/>
    <x v="0"/>
    <x v="0"/>
    <x v="1668"/>
    <x v="1"/>
    <d v="1899-12-30T00:00:00"/>
    <d v="2014-05-11T00:00:00"/>
    <n v="51"/>
    <n v="2"/>
    <n v="0"/>
    <n v="0"/>
    <n v="3"/>
    <n v="42"/>
    <x v="1"/>
    <n v="3"/>
    <x v="3"/>
    <m/>
    <x v="0"/>
    <x v="1"/>
    <x v="0"/>
    <n v="12"/>
    <x v="0"/>
  </r>
  <r>
    <n v="8486"/>
    <x v="6"/>
    <x v="2"/>
    <x v="1"/>
    <x v="1669"/>
    <x v="1"/>
    <d v="1899-12-30T00:00:00"/>
    <d v="2012-10-01T00:00:00"/>
    <n v="27"/>
    <n v="0"/>
    <n v="3"/>
    <n v="3"/>
    <n v="4"/>
    <n v="55"/>
    <x v="0"/>
    <n v="7"/>
    <x v="3"/>
    <m/>
    <x v="0"/>
    <x v="1"/>
    <x v="0"/>
    <n v="14"/>
    <x v="0"/>
  </r>
  <r>
    <n v="2186"/>
    <x v="32"/>
    <x v="4"/>
    <x v="1"/>
    <x v="1670"/>
    <x v="0"/>
    <d v="1899-12-30T00:00:00"/>
    <d v="2014-03-10T00:00:00"/>
    <n v="30"/>
    <n v="142"/>
    <n v="81"/>
    <n v="81"/>
    <n v="6"/>
    <n v="49"/>
    <x v="1"/>
    <n v="87"/>
    <x v="3"/>
    <m/>
    <x v="0"/>
    <x v="3"/>
    <x v="0"/>
    <n v="12"/>
    <x v="0"/>
  </r>
  <r>
    <n v="3286"/>
    <x v="5"/>
    <x v="1"/>
    <x v="3"/>
    <x v="1671"/>
    <x v="1"/>
    <d v="1899-12-30T00:00:00"/>
    <d v="2014-03-01T00:00:00"/>
    <n v="71"/>
    <n v="2"/>
    <n v="2"/>
    <n v="2"/>
    <n v="3"/>
    <n v="59"/>
    <x v="0"/>
    <n v="5"/>
    <x v="3"/>
    <m/>
    <x v="0"/>
    <x v="2"/>
    <x v="0"/>
    <n v="12"/>
    <x v="0"/>
  </r>
  <r>
    <n v="8602"/>
    <x v="31"/>
    <x v="0"/>
    <x v="3"/>
    <x v="1672"/>
    <x v="0"/>
    <d v="1899-12-31T00:00:00"/>
    <d v="2013-06-12T00:00:00"/>
    <n v="97"/>
    <n v="172"/>
    <n v="105"/>
    <n v="105"/>
    <n v="11"/>
    <n v="62"/>
    <x v="0"/>
    <n v="116"/>
    <x v="3"/>
    <m/>
    <x v="0"/>
    <x v="0"/>
    <x v="0"/>
    <n v="13"/>
    <x v="0"/>
  </r>
  <r>
    <n v="3722"/>
    <x v="39"/>
    <x v="0"/>
    <x v="0"/>
    <x v="1673"/>
    <x v="1"/>
    <d v="1899-12-31T00:00:00"/>
    <d v="2014-04-16T00:00:00"/>
    <n v="83"/>
    <n v="1"/>
    <n v="0"/>
    <n v="0"/>
    <n v="3"/>
    <n v="54"/>
    <x v="0"/>
    <n v="3"/>
    <x v="3"/>
    <m/>
    <x v="0"/>
    <x v="1"/>
    <x v="0"/>
    <n v="12"/>
    <x v="0"/>
  </r>
  <r>
    <n v="6715"/>
    <x v="37"/>
    <x v="1"/>
    <x v="0"/>
    <x v="1674"/>
    <x v="0"/>
    <d v="1899-12-31T00:00:00"/>
    <d v="2013-01-02T00:00:00"/>
    <n v="3"/>
    <n v="19"/>
    <n v="6"/>
    <n v="6"/>
    <n v="11"/>
    <n v="78"/>
    <x v="0"/>
    <n v="17"/>
    <x v="3"/>
    <m/>
    <x v="0"/>
    <x v="0"/>
    <x v="0"/>
    <n v="13"/>
    <x v="0"/>
  </r>
  <r>
    <n v="4796"/>
    <x v="13"/>
    <x v="0"/>
    <x v="3"/>
    <x v="1675"/>
    <x v="0"/>
    <d v="1899-12-31T00:00:00"/>
    <d v="2014-04-19T00:00:00"/>
    <n v="71"/>
    <n v="10"/>
    <n v="5"/>
    <n v="5"/>
    <n v="3"/>
    <n v="74"/>
    <x v="0"/>
    <n v="8"/>
    <x v="3"/>
    <m/>
    <x v="0"/>
    <x v="1"/>
    <x v="0"/>
    <n v="12"/>
    <x v="0"/>
  </r>
  <r>
    <n v="9612"/>
    <x v="14"/>
    <x v="4"/>
    <x v="0"/>
    <x v="1676"/>
    <x v="0"/>
    <d v="1899-12-30T00:00:00"/>
    <d v="2014-02-07T00:00:00"/>
    <n v="3"/>
    <n v="8"/>
    <n v="8"/>
    <n v="8"/>
    <n v="3"/>
    <n v="39"/>
    <x v="1"/>
    <n v="11"/>
    <x v="3"/>
    <m/>
    <x v="0"/>
    <x v="2"/>
    <x v="0"/>
    <n v="12"/>
    <x v="0"/>
  </r>
  <r>
    <n v="3766"/>
    <x v="12"/>
    <x v="2"/>
    <x v="4"/>
    <x v="1677"/>
    <x v="0"/>
    <d v="1899-12-30T00:00:00"/>
    <d v="2012-08-16T00:00:00"/>
    <n v="15"/>
    <n v="71"/>
    <n v="94"/>
    <n v="94"/>
    <n v="8"/>
    <n v="67"/>
    <x v="0"/>
    <n v="102"/>
    <x v="3"/>
    <m/>
    <x v="0"/>
    <x v="1"/>
    <x v="0"/>
    <n v="14"/>
    <x v="0"/>
  </r>
  <r>
    <n v="1399"/>
    <x v="38"/>
    <x v="0"/>
    <x v="2"/>
    <x v="1678"/>
    <x v="0"/>
    <d v="1899-12-30T00:00:00"/>
    <d v="2014-01-21T00:00:00"/>
    <n v="52"/>
    <n v="114"/>
    <n v="165"/>
    <n v="165"/>
    <n v="9"/>
    <n v="68"/>
    <x v="0"/>
    <n v="174"/>
    <x v="3"/>
    <m/>
    <x v="0"/>
    <x v="0"/>
    <x v="0"/>
    <n v="12"/>
    <x v="0"/>
  </r>
  <r>
    <n v="1570"/>
    <x v="20"/>
    <x v="1"/>
    <x v="1"/>
    <x v="1679"/>
    <x v="0"/>
    <d v="1899-12-31T00:00:00"/>
    <d v="2013-02-19T00:00:00"/>
    <n v="8"/>
    <n v="9"/>
    <n v="19"/>
    <n v="19"/>
    <n v="10"/>
    <n v="75"/>
    <x v="0"/>
    <n v="29"/>
    <x v="3"/>
    <m/>
    <x v="0"/>
    <x v="0"/>
    <x v="0"/>
    <n v="13"/>
    <x v="0"/>
  </r>
  <r>
    <n v="3426"/>
    <x v="28"/>
    <x v="0"/>
    <x v="3"/>
    <x v="1680"/>
    <x v="1"/>
    <d v="1899-12-30T00:00:00"/>
    <d v="2013-07-15T00:00:00"/>
    <n v="89"/>
    <n v="61"/>
    <n v="46"/>
    <n v="46"/>
    <n v="13"/>
    <n v="51"/>
    <x v="0"/>
    <n v="59"/>
    <x v="3"/>
    <m/>
    <x v="0"/>
    <x v="0"/>
    <x v="0"/>
    <n v="13"/>
    <x v="0"/>
  </r>
  <r>
    <n v="3074"/>
    <x v="3"/>
    <x v="1"/>
    <x v="2"/>
    <x v="1681"/>
    <x v="0"/>
    <d v="1899-12-30T00:00:00"/>
    <d v="2012-10-15T00:00:00"/>
    <n v="66"/>
    <n v="107"/>
    <n v="143"/>
    <n v="143"/>
    <n v="4"/>
    <n v="42"/>
    <x v="1"/>
    <n v="147"/>
    <x v="3"/>
    <m/>
    <x v="0"/>
    <x v="0"/>
    <x v="0"/>
    <n v="14"/>
    <x v="0"/>
  </r>
  <r>
    <n v="8341"/>
    <x v="21"/>
    <x v="1"/>
    <x v="2"/>
    <x v="1682"/>
    <x v="1"/>
    <d v="1899-12-30T00:00:00"/>
    <d v="2014-04-30T00:00:00"/>
    <n v="22"/>
    <n v="0"/>
    <n v="1"/>
    <n v="1"/>
    <n v="2"/>
    <n v="57"/>
    <x v="0"/>
    <n v="3"/>
    <x v="3"/>
    <m/>
    <x v="0"/>
    <x v="1"/>
    <x v="0"/>
    <n v="12"/>
    <x v="0"/>
  </r>
  <r>
    <n v="5180"/>
    <x v="30"/>
    <x v="1"/>
    <x v="3"/>
    <x v="615"/>
    <x v="0"/>
    <d v="1899-12-31T00:00:00"/>
    <d v="2014-04-18T00:00:00"/>
    <n v="56"/>
    <n v="0"/>
    <n v="1"/>
    <n v="1"/>
    <n v="4"/>
    <n v="58"/>
    <x v="0"/>
    <n v="5"/>
    <x v="3"/>
    <m/>
    <x v="0"/>
    <x v="0"/>
    <x v="0"/>
    <n v="12"/>
    <x v="0"/>
  </r>
  <r>
    <n v="6461"/>
    <x v="21"/>
    <x v="2"/>
    <x v="0"/>
    <x v="1683"/>
    <x v="0"/>
    <d v="1899-12-31T00:00:00"/>
    <d v="2013-05-19T00:00:00"/>
    <n v="74"/>
    <n v="49"/>
    <n v="8"/>
    <n v="8"/>
    <n v="11"/>
    <n v="57"/>
    <x v="0"/>
    <n v="19"/>
    <x v="3"/>
    <m/>
    <x v="0"/>
    <x v="0"/>
    <x v="0"/>
    <n v="13"/>
    <x v="0"/>
  </r>
  <r>
    <n v="7679"/>
    <x v="7"/>
    <x v="1"/>
    <x v="0"/>
    <x v="1684"/>
    <x v="0"/>
    <d v="1899-12-30T00:00:00"/>
    <d v="2014-05-19T00:00:00"/>
    <n v="48"/>
    <n v="3"/>
    <n v="1"/>
    <n v="1"/>
    <n v="3"/>
    <n v="41"/>
    <x v="1"/>
    <n v="4"/>
    <x v="3"/>
    <m/>
    <x v="0"/>
    <x v="1"/>
    <x v="0"/>
    <n v="12"/>
    <x v="0"/>
  </r>
  <r>
    <n v="10702"/>
    <x v="3"/>
    <x v="0"/>
    <x v="0"/>
    <x v="96"/>
    <x v="1"/>
    <d v="1899-12-30T00:00:00"/>
    <d v="2012-11-03T00:00:00"/>
    <n v="67"/>
    <n v="8"/>
    <n v="56"/>
    <n v="56"/>
    <n v="7"/>
    <n v="42"/>
    <x v="1"/>
    <n v="63"/>
    <x v="3"/>
    <m/>
    <x v="0"/>
    <x v="0"/>
    <x v="0"/>
    <n v="14"/>
    <x v="0"/>
  </r>
  <r>
    <n v="7505"/>
    <x v="0"/>
    <x v="1"/>
    <x v="2"/>
    <x v="1685"/>
    <x v="1"/>
    <d v="1899-12-31T00:00:00"/>
    <d v="2014-01-19T00:00:00"/>
    <n v="24"/>
    <n v="1"/>
    <n v="0"/>
    <n v="0"/>
    <n v="2"/>
    <n v="69"/>
    <x v="0"/>
    <n v="2"/>
    <x v="3"/>
    <m/>
    <x v="0"/>
    <x v="1"/>
    <x v="0"/>
    <n v="12"/>
    <x v="0"/>
  </r>
  <r>
    <n v="5113"/>
    <x v="6"/>
    <x v="1"/>
    <x v="3"/>
    <x v="1686"/>
    <x v="0"/>
    <d v="1899-12-30T00:00:00"/>
    <d v="2013-11-07T00:00:00"/>
    <n v="67"/>
    <n v="100"/>
    <n v="83"/>
    <n v="83"/>
    <n v="5"/>
    <n v="55"/>
    <x v="0"/>
    <n v="88"/>
    <x v="3"/>
    <m/>
    <x v="0"/>
    <x v="3"/>
    <x v="0"/>
    <n v="13"/>
    <x v="0"/>
  </r>
  <r>
    <n v="10858"/>
    <x v="28"/>
    <x v="0"/>
    <x v="1"/>
    <x v="1687"/>
    <x v="1"/>
    <d v="1899-12-31T00:00:00"/>
    <d v="2013-09-09T00:00:00"/>
    <n v="38"/>
    <n v="30"/>
    <n v="138"/>
    <n v="138"/>
    <n v="7"/>
    <n v="51"/>
    <x v="0"/>
    <n v="145"/>
    <x v="3"/>
    <m/>
    <x v="0"/>
    <x v="3"/>
    <x v="0"/>
    <n v="13"/>
    <x v="0"/>
  </r>
  <r>
    <n v="2961"/>
    <x v="18"/>
    <x v="0"/>
    <x v="2"/>
    <x v="1688"/>
    <x v="1"/>
    <d v="1899-12-30T00:00:00"/>
    <d v="2013-02-26T00:00:00"/>
    <n v="86"/>
    <n v="10"/>
    <n v="6"/>
    <n v="6"/>
    <n v="4"/>
    <n v="44"/>
    <x v="1"/>
    <n v="10"/>
    <x v="3"/>
    <m/>
    <x v="0"/>
    <x v="1"/>
    <x v="0"/>
    <n v="13"/>
    <x v="0"/>
  </r>
  <r>
    <n v="2747"/>
    <x v="36"/>
    <x v="1"/>
    <x v="2"/>
    <x v="231"/>
    <x v="0"/>
    <d v="1899-12-30T00:00:00"/>
    <d v="2012-08-31T00:00:00"/>
    <n v="90"/>
    <n v="134"/>
    <n v="38"/>
    <n v="38"/>
    <n v="5"/>
    <n v="38"/>
    <x v="1"/>
    <n v="43"/>
    <x v="3"/>
    <m/>
    <x v="0"/>
    <x v="0"/>
    <x v="0"/>
    <n v="14"/>
    <x v="0"/>
  </r>
  <r>
    <n v="3010"/>
    <x v="23"/>
    <x v="2"/>
    <x v="1"/>
    <x v="1689"/>
    <x v="0"/>
    <d v="1899-12-30T00:00:00"/>
    <d v="2014-05-02T00:00:00"/>
    <n v="87"/>
    <n v="153"/>
    <n v="95"/>
    <n v="95"/>
    <n v="8"/>
    <n v="37"/>
    <x v="1"/>
    <n v="103"/>
    <x v="3"/>
    <m/>
    <x v="0"/>
    <x v="3"/>
    <x v="0"/>
    <n v="12"/>
    <x v="0"/>
  </r>
  <r>
    <n v="5790"/>
    <x v="7"/>
    <x v="0"/>
    <x v="2"/>
    <x v="1690"/>
    <x v="1"/>
    <d v="1899-12-30T00:00:00"/>
    <d v="2013-01-27T00:00:00"/>
    <n v="62"/>
    <n v="6"/>
    <n v="0"/>
    <n v="0"/>
    <n v="3"/>
    <n v="41"/>
    <x v="1"/>
    <n v="3"/>
    <x v="3"/>
    <m/>
    <x v="0"/>
    <x v="1"/>
    <x v="0"/>
    <n v="13"/>
    <x v="0"/>
  </r>
  <r>
    <n v="6892"/>
    <x v="30"/>
    <x v="0"/>
    <x v="3"/>
    <x v="1691"/>
    <x v="0"/>
    <d v="1899-12-31T00:00:00"/>
    <d v="2014-06-03T00:00:00"/>
    <n v="23"/>
    <n v="7"/>
    <n v="0"/>
    <n v="0"/>
    <n v="6"/>
    <n v="58"/>
    <x v="0"/>
    <n v="6"/>
    <x v="3"/>
    <m/>
    <x v="0"/>
    <x v="0"/>
    <x v="0"/>
    <n v="12"/>
    <x v="0"/>
  </r>
  <r>
    <n v="1743"/>
    <x v="8"/>
    <x v="0"/>
    <x v="0"/>
    <x v="1692"/>
    <x v="0"/>
    <d v="1899-12-30T00:00:00"/>
    <d v="2014-05-26T00:00:00"/>
    <n v="99"/>
    <n v="86"/>
    <n v="14"/>
    <n v="14"/>
    <n v="5"/>
    <n v="52"/>
    <x v="0"/>
    <n v="19"/>
    <x v="3"/>
    <m/>
    <x v="0"/>
    <x v="0"/>
    <x v="0"/>
    <n v="12"/>
    <x v="0"/>
  </r>
  <r>
    <n v="3578"/>
    <x v="17"/>
    <x v="0"/>
    <x v="3"/>
    <x v="1693"/>
    <x v="0"/>
    <d v="1899-12-31T00:00:00"/>
    <d v="2013-10-20T00:00:00"/>
    <n v="29"/>
    <n v="21"/>
    <n v="10"/>
    <n v="10"/>
    <n v="6"/>
    <n v="77"/>
    <x v="0"/>
    <n v="16"/>
    <x v="3"/>
    <m/>
    <x v="0"/>
    <x v="1"/>
    <x v="0"/>
    <n v="13"/>
    <x v="0"/>
  </r>
  <r>
    <n v="8462"/>
    <x v="33"/>
    <x v="3"/>
    <x v="1"/>
    <x v="174"/>
    <x v="1"/>
    <d v="1899-12-30T00:00:00"/>
    <d v="2012-09-09T00:00:00"/>
    <n v="52"/>
    <n v="4"/>
    <n v="0"/>
    <n v="0"/>
    <n v="2"/>
    <n v="48"/>
    <x v="1"/>
    <n v="2"/>
    <x v="3"/>
    <m/>
    <x v="0"/>
    <x v="2"/>
    <x v="0"/>
    <n v="14"/>
    <x v="0"/>
  </r>
  <r>
    <n v="5558"/>
    <x v="1"/>
    <x v="1"/>
    <x v="0"/>
    <x v="1694"/>
    <x v="0"/>
    <d v="1899-12-30T00:00:00"/>
    <d v="2014-03-31T00:00:00"/>
    <n v="90"/>
    <n v="31"/>
    <n v="63"/>
    <n v="63"/>
    <n v="4"/>
    <n v="72"/>
    <x v="0"/>
    <n v="67"/>
    <x v="3"/>
    <m/>
    <x v="0"/>
    <x v="3"/>
    <x v="0"/>
    <n v="12"/>
    <x v="0"/>
  </r>
  <r>
    <n v="4619"/>
    <x v="41"/>
    <x v="1"/>
    <x v="0"/>
    <x v="1695"/>
    <x v="0"/>
    <d v="1899-12-30T00:00:00"/>
    <d v="2014-05-28T00:00:00"/>
    <n v="9"/>
    <n v="2"/>
    <n v="262"/>
    <n v="262"/>
    <n v="0"/>
    <n v="81"/>
    <x v="0"/>
    <n v="262"/>
    <x v="3"/>
    <m/>
    <x v="0"/>
    <x v="4"/>
    <x v="0"/>
    <n v="12"/>
    <x v="0"/>
  </r>
  <r>
    <n v="8780"/>
    <x v="9"/>
    <x v="1"/>
    <x v="1"/>
    <x v="322"/>
    <x v="0"/>
    <d v="1899-12-31T00:00:00"/>
    <d v="2013-06-13T00:00:00"/>
    <n v="71"/>
    <n v="14"/>
    <n v="14"/>
    <n v="14"/>
    <n v="8"/>
    <n v="76"/>
    <x v="0"/>
    <n v="22"/>
    <x v="3"/>
    <m/>
    <x v="0"/>
    <x v="0"/>
    <x v="0"/>
    <n v="13"/>
    <x v="0"/>
  </r>
  <r>
    <n v="10789"/>
    <x v="31"/>
    <x v="1"/>
    <x v="2"/>
    <x v="173"/>
    <x v="1"/>
    <d v="1899-12-31T00:00:00"/>
    <d v="2013-02-23T00:00:00"/>
    <n v="13"/>
    <n v="1"/>
    <n v="0"/>
    <n v="0"/>
    <n v="3"/>
    <n v="62"/>
    <x v="0"/>
    <n v="3"/>
    <x v="3"/>
    <m/>
    <x v="0"/>
    <x v="1"/>
    <x v="0"/>
    <n v="13"/>
    <x v="0"/>
  </r>
  <r>
    <n v="10779"/>
    <x v="10"/>
    <x v="0"/>
    <x v="0"/>
    <x v="1696"/>
    <x v="0"/>
    <d v="1899-12-30T00:00:00"/>
    <d v="2014-04-13T00:00:00"/>
    <n v="16"/>
    <n v="5"/>
    <n v="4"/>
    <n v="4"/>
    <n v="3"/>
    <n v="43"/>
    <x v="1"/>
    <n v="7"/>
    <x v="3"/>
    <m/>
    <x v="0"/>
    <x v="2"/>
    <x v="0"/>
    <n v="12"/>
    <x v="0"/>
  </r>
  <r>
    <n v="5896"/>
    <x v="14"/>
    <x v="2"/>
    <x v="2"/>
    <x v="1697"/>
    <x v="0"/>
    <d v="1899-12-30T00:00:00"/>
    <d v="2014-03-18T00:00:00"/>
    <n v="94"/>
    <n v="7"/>
    <n v="7"/>
    <n v="7"/>
    <n v="6"/>
    <n v="39"/>
    <x v="1"/>
    <n v="13"/>
    <x v="3"/>
    <m/>
    <x v="0"/>
    <x v="0"/>
    <x v="0"/>
    <n v="12"/>
    <x v="0"/>
  </r>
  <r>
    <n v="2337"/>
    <x v="6"/>
    <x v="0"/>
    <x v="3"/>
    <x v="1698"/>
    <x v="1"/>
    <d v="1899-12-30T00:00:00"/>
    <d v="2013-10-24T00:00:00"/>
    <n v="77"/>
    <n v="1"/>
    <n v="1"/>
    <n v="1"/>
    <n v="3"/>
    <n v="55"/>
    <x v="0"/>
    <n v="4"/>
    <x v="3"/>
    <m/>
    <x v="0"/>
    <x v="2"/>
    <x v="0"/>
    <n v="13"/>
    <x v="0"/>
  </r>
  <r>
    <n v="10951"/>
    <x v="30"/>
    <x v="0"/>
    <x v="2"/>
    <x v="1699"/>
    <x v="0"/>
    <d v="1899-12-31T00:00:00"/>
    <d v="2014-01-25T00:00:00"/>
    <n v="20"/>
    <n v="0"/>
    <n v="0"/>
    <n v="0"/>
    <n v="8"/>
    <n v="58"/>
    <x v="0"/>
    <n v="8"/>
    <x v="3"/>
    <m/>
    <x v="0"/>
    <x v="1"/>
    <x v="0"/>
    <n v="12"/>
    <x v="0"/>
  </r>
  <r>
    <n v="544"/>
    <x v="1"/>
    <x v="0"/>
    <x v="2"/>
    <x v="859"/>
    <x v="0"/>
    <d v="1899-12-30T00:00:00"/>
    <d v="2013-05-11T00:00:00"/>
    <n v="51"/>
    <n v="61"/>
    <n v="61"/>
    <n v="61"/>
    <n v="6"/>
    <n v="72"/>
    <x v="0"/>
    <n v="67"/>
    <x v="3"/>
    <m/>
    <x v="0"/>
    <x v="0"/>
    <x v="0"/>
    <n v="13"/>
    <x v="0"/>
  </r>
  <r>
    <n v="17"/>
    <x v="6"/>
    <x v="1"/>
    <x v="2"/>
    <x v="1700"/>
    <x v="0"/>
    <d v="1899-12-31T00:00:00"/>
    <d v="2013-09-06T00:00:00"/>
    <n v="81"/>
    <n v="47"/>
    <n v="19"/>
    <n v="19"/>
    <n v="7"/>
    <n v="55"/>
    <x v="0"/>
    <n v="26"/>
    <x v="3"/>
    <m/>
    <x v="0"/>
    <x v="0"/>
    <x v="0"/>
    <n v="13"/>
    <x v="0"/>
  </r>
  <r>
    <n v="10680"/>
    <x v="22"/>
    <x v="0"/>
    <x v="1"/>
    <x v="1701"/>
    <x v="1"/>
    <d v="1899-12-30T00:00:00"/>
    <d v="2014-02-05T00:00:00"/>
    <n v="71"/>
    <n v="0"/>
    <n v="1"/>
    <n v="1"/>
    <n v="3"/>
    <n v="40"/>
    <x v="1"/>
    <n v="4"/>
    <x v="3"/>
    <m/>
    <x v="0"/>
    <x v="1"/>
    <x v="0"/>
    <n v="12"/>
    <x v="0"/>
  </r>
  <r>
    <n v="3265"/>
    <x v="12"/>
    <x v="0"/>
    <x v="2"/>
    <x v="1702"/>
    <x v="0"/>
    <d v="1899-12-30T00:00:00"/>
    <d v="2013-03-19T00:00:00"/>
    <n v="36"/>
    <n v="1"/>
    <n v="3"/>
    <n v="3"/>
    <n v="3"/>
    <n v="67"/>
    <x v="0"/>
    <n v="6"/>
    <x v="3"/>
    <m/>
    <x v="0"/>
    <x v="1"/>
    <x v="0"/>
    <n v="13"/>
    <x v="0"/>
  </r>
  <r>
    <n v="5623"/>
    <x v="16"/>
    <x v="2"/>
    <x v="2"/>
    <x v="1703"/>
    <x v="1"/>
    <d v="1899-12-30T00:00:00"/>
    <d v="2013-09-26T00:00:00"/>
    <n v="95"/>
    <n v="4"/>
    <n v="0"/>
    <n v="0"/>
    <n v="2"/>
    <n v="46"/>
    <x v="1"/>
    <n v="2"/>
    <x v="3"/>
    <m/>
    <x v="0"/>
    <x v="1"/>
    <x v="0"/>
    <n v="13"/>
    <x v="0"/>
  </r>
  <r>
    <n v="5832"/>
    <x v="40"/>
    <x v="4"/>
    <x v="1"/>
    <x v="1704"/>
    <x v="0"/>
    <d v="1899-12-30T00:00:00"/>
    <d v="2014-04-20T00:00:00"/>
    <n v="32"/>
    <n v="183"/>
    <n v="23"/>
    <n v="23"/>
    <n v="13"/>
    <n v="66"/>
    <x v="0"/>
    <n v="36"/>
    <x v="3"/>
    <m/>
    <x v="0"/>
    <x v="3"/>
    <x v="0"/>
    <n v="12"/>
    <x v="0"/>
  </r>
  <r>
    <n v="5544"/>
    <x v="25"/>
    <x v="0"/>
    <x v="0"/>
    <x v="1705"/>
    <x v="0"/>
    <d v="1899-12-31T00:00:00"/>
    <d v="2012-11-10T00:00:00"/>
    <n v="32"/>
    <n v="40"/>
    <n v="53"/>
    <n v="53"/>
    <n v="5"/>
    <n v="56"/>
    <x v="0"/>
    <n v="58"/>
    <x v="3"/>
    <m/>
    <x v="0"/>
    <x v="0"/>
    <x v="0"/>
    <n v="14"/>
    <x v="0"/>
  </r>
  <r>
    <n v="6417"/>
    <x v="6"/>
    <x v="2"/>
    <x v="1"/>
    <x v="915"/>
    <x v="0"/>
    <d v="1899-12-30T00:00:00"/>
    <d v="2012-10-14T00:00:00"/>
    <n v="85"/>
    <n v="138"/>
    <n v="92"/>
    <n v="92"/>
    <n v="13"/>
    <n v="55"/>
    <x v="0"/>
    <n v="105"/>
    <x v="3"/>
    <m/>
    <x v="0"/>
    <x v="3"/>
    <x v="0"/>
    <n v="14"/>
    <x v="0"/>
  </r>
  <r>
    <n v="5831"/>
    <x v="5"/>
    <x v="0"/>
    <x v="2"/>
    <x v="1706"/>
    <x v="0"/>
    <d v="1899-12-31T00:00:00"/>
    <d v="2012-08-22T00:00:00"/>
    <n v="93"/>
    <n v="50"/>
    <n v="50"/>
    <n v="50"/>
    <n v="5"/>
    <n v="59"/>
    <x v="0"/>
    <n v="55"/>
    <x v="3"/>
    <m/>
    <x v="0"/>
    <x v="3"/>
    <x v="0"/>
    <n v="14"/>
    <x v="0"/>
  </r>
  <r>
    <n v="7101"/>
    <x v="24"/>
    <x v="1"/>
    <x v="4"/>
    <x v="856"/>
    <x v="0"/>
    <d v="1899-12-31T00:00:00"/>
    <d v="2013-01-25T00:00:00"/>
    <n v="24"/>
    <n v="0"/>
    <n v="0"/>
    <n v="0"/>
    <n v="10"/>
    <n v="63"/>
    <x v="0"/>
    <n v="10"/>
    <x v="3"/>
    <m/>
    <x v="0"/>
    <x v="0"/>
    <x v="0"/>
    <n v="13"/>
    <x v="0"/>
  </r>
  <r>
    <n v="10176"/>
    <x v="30"/>
    <x v="0"/>
    <x v="0"/>
    <x v="1707"/>
    <x v="0"/>
    <d v="1899-12-31T00:00:00"/>
    <d v="2012-08-24T00:00:00"/>
    <n v="44"/>
    <n v="0"/>
    <n v="0"/>
    <n v="0"/>
    <n v="8"/>
    <n v="58"/>
    <x v="0"/>
    <n v="8"/>
    <x v="3"/>
    <m/>
    <x v="0"/>
    <x v="0"/>
    <x v="0"/>
    <n v="14"/>
    <x v="0"/>
  </r>
  <r>
    <n v="2326"/>
    <x v="50"/>
    <x v="0"/>
    <x v="2"/>
    <x v="1242"/>
    <x v="0"/>
    <d v="1899-12-30T00:00:00"/>
    <d v="2013-02-16T00:00:00"/>
    <n v="15"/>
    <n v="0"/>
    <n v="4"/>
    <n v="4"/>
    <n v="4"/>
    <n v="36"/>
    <x v="1"/>
    <n v="8"/>
    <x v="3"/>
    <m/>
    <x v="0"/>
    <x v="2"/>
    <x v="0"/>
    <n v="13"/>
    <x v="0"/>
  </r>
  <r>
    <n v="4385"/>
    <x v="4"/>
    <x v="1"/>
    <x v="0"/>
    <x v="1708"/>
    <x v="1"/>
    <d v="1899-12-30T00:00:00"/>
    <d v="2013-05-31T00:00:00"/>
    <n v="82"/>
    <n v="0"/>
    <n v="2"/>
    <n v="2"/>
    <n v="3"/>
    <n v="45"/>
    <x v="1"/>
    <n v="5"/>
    <x v="3"/>
    <m/>
    <x v="0"/>
    <x v="1"/>
    <x v="0"/>
    <n v="13"/>
    <x v="0"/>
  </r>
  <r>
    <n v="2929"/>
    <x v="11"/>
    <x v="0"/>
    <x v="0"/>
    <x v="954"/>
    <x v="0"/>
    <d v="1899-12-30T00:00:00"/>
    <d v="2013-02-20T00:00:00"/>
    <n v="27"/>
    <n v="42"/>
    <n v="20"/>
    <n v="20"/>
    <n v="4"/>
    <n v="50"/>
    <x v="1"/>
    <n v="24"/>
    <x v="3"/>
    <m/>
    <x v="0"/>
    <x v="2"/>
    <x v="0"/>
    <n v="13"/>
    <x v="0"/>
  </r>
  <r>
    <n v="10686"/>
    <x v="2"/>
    <x v="1"/>
    <x v="1"/>
    <x v="1709"/>
    <x v="1"/>
    <d v="1899-12-31T00:00:00"/>
    <d v="2012-12-26T00:00:00"/>
    <n v="72"/>
    <n v="0"/>
    <n v="0"/>
    <n v="0"/>
    <n v="2"/>
    <n v="61"/>
    <x v="0"/>
    <n v="2"/>
    <x v="3"/>
    <m/>
    <x v="0"/>
    <x v="1"/>
    <x v="0"/>
    <n v="14"/>
    <x v="0"/>
  </r>
  <r>
    <n v="2546"/>
    <x v="32"/>
    <x v="4"/>
    <x v="0"/>
    <x v="1710"/>
    <x v="0"/>
    <d v="1899-12-31T00:00:00"/>
    <d v="2014-06-22T00:00:00"/>
    <n v="7"/>
    <n v="4"/>
    <n v="5"/>
    <n v="5"/>
    <n v="4"/>
    <n v="49"/>
    <x v="1"/>
    <n v="9"/>
    <x v="3"/>
    <m/>
    <x v="0"/>
    <x v="1"/>
    <x v="0"/>
    <n v="12"/>
    <x v="0"/>
  </r>
  <r>
    <n v="3283"/>
    <x v="39"/>
    <x v="4"/>
    <x v="2"/>
    <x v="1711"/>
    <x v="0"/>
    <d v="1899-12-31T00:00:00"/>
    <d v="2014-01-19T00:00:00"/>
    <n v="57"/>
    <n v="193"/>
    <n v="185"/>
    <n v="185"/>
    <n v="12"/>
    <n v="54"/>
    <x v="0"/>
    <n v="197"/>
    <x v="3"/>
    <m/>
    <x v="0"/>
    <x v="0"/>
    <x v="0"/>
    <n v="12"/>
    <x v="0"/>
  </r>
  <r>
    <n v="3138"/>
    <x v="46"/>
    <x v="0"/>
    <x v="0"/>
    <x v="1712"/>
    <x v="0"/>
    <d v="1899-12-30T00:00:00"/>
    <d v="2012-10-20T00:00:00"/>
    <n v="84"/>
    <n v="27"/>
    <n v="108"/>
    <n v="108"/>
    <n v="6"/>
    <n v="70"/>
    <x v="0"/>
    <n v="114"/>
    <x v="3"/>
    <m/>
    <x v="0"/>
    <x v="3"/>
    <x v="0"/>
    <n v="14"/>
    <x v="0"/>
  </r>
  <r>
    <n v="4994"/>
    <x v="27"/>
    <x v="2"/>
    <x v="0"/>
    <x v="1713"/>
    <x v="0"/>
    <d v="1899-12-30T00:00:00"/>
    <d v="2013-10-01T00:00:00"/>
    <n v="53"/>
    <n v="33"/>
    <n v="66"/>
    <n v="66"/>
    <n v="13"/>
    <n v="83"/>
    <x v="0"/>
    <n v="79"/>
    <x v="3"/>
    <m/>
    <x v="0"/>
    <x v="3"/>
    <x v="0"/>
    <n v="13"/>
    <x v="0"/>
  </r>
  <r>
    <n v="7966"/>
    <x v="12"/>
    <x v="0"/>
    <x v="0"/>
    <x v="1714"/>
    <x v="1"/>
    <d v="1899-12-31T00:00:00"/>
    <d v="2013-01-08T00:00:00"/>
    <n v="48"/>
    <n v="137"/>
    <n v="22"/>
    <n v="22"/>
    <n v="11"/>
    <n v="67"/>
    <x v="0"/>
    <n v="33"/>
    <x v="3"/>
    <m/>
    <x v="0"/>
    <x v="3"/>
    <x v="0"/>
    <n v="13"/>
    <x v="0"/>
  </r>
  <r>
    <n v="3112"/>
    <x v="32"/>
    <x v="2"/>
    <x v="2"/>
    <x v="1715"/>
    <x v="1"/>
    <d v="1899-12-30T00:00:00"/>
    <d v="2013-09-05T00:00:00"/>
    <n v="2"/>
    <n v="4"/>
    <n v="4"/>
    <n v="4"/>
    <n v="3"/>
    <n v="49"/>
    <x v="1"/>
    <n v="7"/>
    <x v="3"/>
    <m/>
    <x v="0"/>
    <x v="2"/>
    <x v="0"/>
    <n v="13"/>
    <x v="0"/>
  </r>
  <r>
    <n v="10872"/>
    <x v="21"/>
    <x v="1"/>
    <x v="2"/>
    <x v="321"/>
    <x v="0"/>
    <d v="1899-12-31T00:00:00"/>
    <d v="2012-11-23T00:00:00"/>
    <n v="65"/>
    <n v="0"/>
    <n v="0"/>
    <n v="0"/>
    <n v="11"/>
    <n v="57"/>
    <x v="0"/>
    <n v="11"/>
    <x v="3"/>
    <m/>
    <x v="0"/>
    <x v="0"/>
    <x v="0"/>
    <n v="14"/>
    <x v="0"/>
  </r>
  <r>
    <n v="2181"/>
    <x v="25"/>
    <x v="0"/>
    <x v="2"/>
    <x v="1716"/>
    <x v="0"/>
    <d v="1899-12-30T00:00:00"/>
    <d v="2013-06-23T00:00:00"/>
    <n v="45"/>
    <n v="61"/>
    <n v="46"/>
    <n v="46"/>
    <n v="7"/>
    <n v="56"/>
    <x v="0"/>
    <n v="53"/>
    <x v="3"/>
    <m/>
    <x v="0"/>
    <x v="0"/>
    <x v="0"/>
    <n v="13"/>
    <x v="0"/>
  </r>
  <r>
    <n v="1867"/>
    <x v="0"/>
    <x v="0"/>
    <x v="0"/>
    <x v="1717"/>
    <x v="0"/>
    <d v="1899-12-30T00:00:00"/>
    <d v="2012-11-13T00:00:00"/>
    <n v="42"/>
    <n v="48"/>
    <n v="84"/>
    <n v="84"/>
    <n v="6"/>
    <n v="69"/>
    <x v="0"/>
    <n v="90"/>
    <x v="3"/>
    <m/>
    <x v="0"/>
    <x v="0"/>
    <x v="0"/>
    <n v="14"/>
    <x v="0"/>
  </r>
  <r>
    <n v="1518"/>
    <x v="2"/>
    <x v="2"/>
    <x v="2"/>
    <x v="1718"/>
    <x v="1"/>
    <d v="1899-12-31T00:00:00"/>
    <d v="2013-06-17T00:00:00"/>
    <n v="29"/>
    <n v="6"/>
    <n v="91"/>
    <n v="91"/>
    <n v="7"/>
    <n v="61"/>
    <x v="0"/>
    <n v="98"/>
    <x v="3"/>
    <m/>
    <x v="0"/>
    <x v="0"/>
    <x v="0"/>
    <n v="13"/>
    <x v="0"/>
  </r>
  <r>
    <n v="5734"/>
    <x v="8"/>
    <x v="1"/>
    <x v="2"/>
    <x v="1719"/>
    <x v="1"/>
    <d v="1899-12-31T00:00:00"/>
    <d v="2013-11-20T00:00:00"/>
    <n v="83"/>
    <n v="4"/>
    <n v="2"/>
    <n v="2"/>
    <n v="4"/>
    <n v="52"/>
    <x v="0"/>
    <n v="6"/>
    <x v="3"/>
    <m/>
    <x v="0"/>
    <x v="0"/>
    <x v="0"/>
    <n v="13"/>
    <x v="0"/>
  </r>
  <r>
    <n v="2878"/>
    <x v="51"/>
    <x v="1"/>
    <x v="2"/>
    <x v="1720"/>
    <x v="0"/>
    <d v="1899-12-31T00:00:00"/>
    <d v="2013-09-28T00:00:00"/>
    <n v="93"/>
    <n v="31"/>
    <n v="17"/>
    <n v="17"/>
    <n v="7"/>
    <n v="79"/>
    <x v="0"/>
    <n v="24"/>
    <x v="3"/>
    <m/>
    <x v="0"/>
    <x v="0"/>
    <x v="0"/>
    <n v="13"/>
    <x v="0"/>
  </r>
  <r>
    <n v="1458"/>
    <x v="18"/>
    <x v="2"/>
    <x v="2"/>
    <x v="1721"/>
    <x v="1"/>
    <d v="1899-12-30T00:00:00"/>
    <d v="2014-01-07T00:00:00"/>
    <n v="40"/>
    <n v="3"/>
    <n v="3"/>
    <n v="3"/>
    <n v="3"/>
    <n v="44"/>
    <x v="1"/>
    <n v="6"/>
    <x v="3"/>
    <m/>
    <x v="0"/>
    <x v="2"/>
    <x v="0"/>
    <n v="12"/>
    <x v="0"/>
  </r>
  <r>
    <n v="7007"/>
    <x v="30"/>
    <x v="2"/>
    <x v="2"/>
    <x v="1722"/>
    <x v="2"/>
    <d v="1899-12-30T00:00:00"/>
    <d v="2014-04-01T00:00:00"/>
    <n v="47"/>
    <n v="3"/>
    <n v="4"/>
    <n v="4"/>
    <n v="2"/>
    <n v="58"/>
    <x v="0"/>
    <n v="6"/>
    <x v="3"/>
    <m/>
    <x v="0"/>
    <x v="2"/>
    <x v="0"/>
    <n v="12"/>
    <x v="0"/>
  </r>
  <r>
    <n v="6200"/>
    <x v="20"/>
    <x v="0"/>
    <x v="2"/>
    <x v="1723"/>
    <x v="0"/>
    <d v="1899-12-31T00:00:00"/>
    <d v="2013-04-08T00:00:00"/>
    <n v="50"/>
    <n v="108"/>
    <n v="38"/>
    <n v="38"/>
    <n v="9"/>
    <n v="75"/>
    <x v="0"/>
    <n v="47"/>
    <x v="3"/>
    <m/>
    <x v="0"/>
    <x v="3"/>
    <x v="0"/>
    <n v="13"/>
    <x v="0"/>
  </r>
  <r>
    <n v="1403"/>
    <x v="28"/>
    <x v="4"/>
    <x v="1"/>
    <x v="1724"/>
    <x v="1"/>
    <d v="1899-12-31T00:00:00"/>
    <d v="2012-09-06T00:00:00"/>
    <n v="40"/>
    <n v="4"/>
    <n v="5"/>
    <n v="5"/>
    <n v="3"/>
    <n v="51"/>
    <x v="0"/>
    <n v="8"/>
    <x v="3"/>
    <m/>
    <x v="0"/>
    <x v="1"/>
    <x v="0"/>
    <n v="14"/>
    <x v="0"/>
  </r>
  <r>
    <n v="4827"/>
    <x v="46"/>
    <x v="1"/>
    <x v="0"/>
    <x v="1725"/>
    <x v="0"/>
    <d v="1899-12-31T00:00:00"/>
    <d v="2013-03-10T00:00:00"/>
    <n v="3"/>
    <n v="22"/>
    <n v="30"/>
    <n v="30"/>
    <n v="9"/>
    <n v="70"/>
    <x v="0"/>
    <n v="39"/>
    <x v="3"/>
    <m/>
    <x v="0"/>
    <x v="0"/>
    <x v="0"/>
    <n v="13"/>
    <x v="0"/>
  </r>
  <r>
    <n v="6250"/>
    <x v="17"/>
    <x v="1"/>
    <x v="4"/>
    <x v="1726"/>
    <x v="0"/>
    <d v="1899-12-31T00:00:00"/>
    <d v="2012-11-19T00:00:00"/>
    <n v="62"/>
    <n v="15"/>
    <n v="0"/>
    <n v="0"/>
    <n v="8"/>
    <n v="77"/>
    <x v="0"/>
    <n v="8"/>
    <x v="3"/>
    <m/>
    <x v="0"/>
    <x v="0"/>
    <x v="0"/>
    <n v="14"/>
    <x v="0"/>
  </r>
  <r>
    <n v="9291"/>
    <x v="12"/>
    <x v="2"/>
    <x v="2"/>
    <x v="1727"/>
    <x v="0"/>
    <d v="1899-12-31T00:00:00"/>
    <d v="2014-03-23T00:00:00"/>
    <n v="25"/>
    <n v="2"/>
    <n v="0"/>
    <n v="0"/>
    <n v="3"/>
    <n v="67"/>
    <x v="0"/>
    <n v="3"/>
    <x v="3"/>
    <m/>
    <x v="0"/>
    <x v="1"/>
    <x v="0"/>
    <n v="12"/>
    <x v="0"/>
  </r>
  <r>
    <n v="2478"/>
    <x v="26"/>
    <x v="0"/>
    <x v="2"/>
    <x v="1728"/>
    <x v="1"/>
    <d v="1899-12-30T00:00:00"/>
    <d v="2013-08-31T00:00:00"/>
    <n v="48"/>
    <n v="2"/>
    <n v="13"/>
    <n v="13"/>
    <n v="4"/>
    <n v="53"/>
    <x v="0"/>
    <n v="17"/>
    <x v="3"/>
    <m/>
    <x v="0"/>
    <x v="2"/>
    <x v="0"/>
    <n v="13"/>
    <x v="0"/>
  </r>
  <r>
    <n v="1139"/>
    <x v="3"/>
    <x v="1"/>
    <x v="2"/>
    <x v="1729"/>
    <x v="0"/>
    <d v="1899-12-30T00:00:00"/>
    <d v="2014-02-06T00:00:00"/>
    <n v="56"/>
    <n v="14"/>
    <n v="14"/>
    <n v="14"/>
    <n v="5"/>
    <n v="42"/>
    <x v="1"/>
    <n v="19"/>
    <x v="3"/>
    <m/>
    <x v="0"/>
    <x v="0"/>
    <x v="0"/>
    <n v="12"/>
    <x v="0"/>
  </r>
  <r>
    <n v="5138"/>
    <x v="9"/>
    <x v="0"/>
    <x v="1"/>
    <x v="1730"/>
    <x v="0"/>
    <d v="1899-12-31T00:00:00"/>
    <d v="2013-01-14T00:00:00"/>
    <n v="68"/>
    <n v="1"/>
    <n v="2"/>
    <n v="2"/>
    <n v="3"/>
    <n v="76"/>
    <x v="0"/>
    <n v="5"/>
    <x v="3"/>
    <m/>
    <x v="0"/>
    <x v="2"/>
    <x v="0"/>
    <n v="13"/>
    <x v="0"/>
  </r>
  <r>
    <n v="5393"/>
    <x v="32"/>
    <x v="0"/>
    <x v="0"/>
    <x v="1731"/>
    <x v="1"/>
    <d v="1899-12-30T00:00:00"/>
    <d v="2012-08-07T00:00:00"/>
    <n v="64"/>
    <n v="0"/>
    <n v="2"/>
    <n v="2"/>
    <n v="3"/>
    <n v="49"/>
    <x v="1"/>
    <n v="5"/>
    <x v="3"/>
    <m/>
    <x v="0"/>
    <x v="2"/>
    <x v="0"/>
    <n v="14"/>
    <x v="0"/>
  </r>
  <r>
    <n v="10413"/>
    <x v="3"/>
    <x v="0"/>
    <x v="2"/>
    <x v="1732"/>
    <x v="0"/>
    <d v="1899-12-30T00:00:00"/>
    <d v="2014-04-25T00:00:00"/>
    <n v="67"/>
    <n v="83"/>
    <n v="141"/>
    <n v="141"/>
    <n v="12"/>
    <n v="42"/>
    <x v="1"/>
    <n v="153"/>
    <x v="3"/>
    <m/>
    <x v="0"/>
    <x v="0"/>
    <x v="0"/>
    <n v="12"/>
    <x v="0"/>
  </r>
  <r>
    <n v="5015"/>
    <x v="11"/>
    <x v="2"/>
    <x v="2"/>
    <x v="1733"/>
    <x v="1"/>
    <d v="1899-12-30T00:00:00"/>
    <d v="2012-09-14T00:00:00"/>
    <n v="94"/>
    <n v="6"/>
    <n v="6"/>
    <n v="6"/>
    <n v="3"/>
    <n v="50"/>
    <x v="1"/>
    <n v="9"/>
    <x v="3"/>
    <m/>
    <x v="0"/>
    <x v="1"/>
    <x v="0"/>
    <n v="14"/>
    <x v="0"/>
  </r>
  <r>
    <n v="10868"/>
    <x v="20"/>
    <x v="0"/>
    <x v="4"/>
    <x v="1734"/>
    <x v="0"/>
    <d v="1899-12-30T00:00:00"/>
    <d v="2013-02-06T00:00:00"/>
    <n v="82"/>
    <n v="45"/>
    <n v="11"/>
    <n v="11"/>
    <n v="10"/>
    <n v="75"/>
    <x v="0"/>
    <n v="21"/>
    <x v="3"/>
    <m/>
    <x v="0"/>
    <x v="0"/>
    <x v="0"/>
    <n v="13"/>
    <x v="0"/>
  </r>
  <r>
    <n v="10676"/>
    <x v="18"/>
    <x v="0"/>
    <x v="2"/>
    <x v="1735"/>
    <x v="0"/>
    <d v="1899-12-30T00:00:00"/>
    <d v="2012-11-02T00:00:00"/>
    <n v="3"/>
    <n v="193"/>
    <n v="26"/>
    <n v="26"/>
    <n v="7"/>
    <n v="44"/>
    <x v="1"/>
    <n v="33"/>
    <x v="3"/>
    <m/>
    <x v="0"/>
    <x v="0"/>
    <x v="0"/>
    <n v="14"/>
    <x v="0"/>
  </r>
  <r>
    <n v="2495"/>
    <x v="8"/>
    <x v="2"/>
    <x v="2"/>
    <x v="1736"/>
    <x v="0"/>
    <d v="1899-12-31T00:00:00"/>
    <d v="2014-06-20T00:00:00"/>
    <n v="24"/>
    <n v="38"/>
    <n v="85"/>
    <n v="85"/>
    <n v="10"/>
    <n v="52"/>
    <x v="0"/>
    <n v="95"/>
    <x v="3"/>
    <m/>
    <x v="0"/>
    <x v="3"/>
    <x v="0"/>
    <n v="12"/>
    <x v="0"/>
  </r>
  <r>
    <n v="7842"/>
    <x v="30"/>
    <x v="0"/>
    <x v="0"/>
    <x v="1737"/>
    <x v="1"/>
    <d v="1899-12-31T00:00:00"/>
    <d v="2013-03-31T00:00:00"/>
    <n v="54"/>
    <n v="7"/>
    <n v="2"/>
    <n v="2"/>
    <n v="3"/>
    <n v="58"/>
    <x v="0"/>
    <n v="5"/>
    <x v="3"/>
    <m/>
    <x v="0"/>
    <x v="1"/>
    <x v="0"/>
    <n v="13"/>
    <x v="0"/>
  </r>
  <r>
    <n v="9955"/>
    <x v="1"/>
    <x v="0"/>
    <x v="1"/>
    <x v="1347"/>
    <x v="0"/>
    <d v="1899-12-31T00:00:00"/>
    <d v="2013-02-12T00:00:00"/>
    <n v="20"/>
    <n v="8"/>
    <n v="7"/>
    <n v="7"/>
    <n v="4"/>
    <n v="72"/>
    <x v="0"/>
    <n v="11"/>
    <x v="3"/>
    <m/>
    <x v="0"/>
    <x v="1"/>
    <x v="0"/>
    <n v="13"/>
    <x v="0"/>
  </r>
  <r>
    <n v="6663"/>
    <x v="58"/>
    <x v="1"/>
    <x v="0"/>
    <x v="1738"/>
    <x v="0"/>
    <d v="1899-12-30T00:00:00"/>
    <d v="2013-07-08T00:00:00"/>
    <n v="96"/>
    <n v="0"/>
    <n v="0"/>
    <n v="0"/>
    <n v="4"/>
    <n v="86"/>
    <x v="0"/>
    <n v="4"/>
    <x v="3"/>
    <m/>
    <x v="0"/>
    <x v="0"/>
    <x v="0"/>
    <n v="13"/>
    <x v="0"/>
  </r>
  <r>
    <n v="2162"/>
    <x v="11"/>
    <x v="0"/>
    <x v="2"/>
    <x v="1739"/>
    <x v="0"/>
    <d v="1899-12-31T00:00:00"/>
    <d v="2013-09-18T00:00:00"/>
    <n v="19"/>
    <n v="34"/>
    <n v="29"/>
    <n v="29"/>
    <n v="10"/>
    <n v="50"/>
    <x v="1"/>
    <n v="39"/>
    <x v="3"/>
    <m/>
    <x v="0"/>
    <x v="0"/>
    <x v="0"/>
    <n v="13"/>
    <x v="0"/>
  </r>
  <r>
    <n v="3434"/>
    <x v="20"/>
    <x v="0"/>
    <x v="0"/>
    <x v="1740"/>
    <x v="0"/>
    <d v="1899-12-30T00:00:00"/>
    <d v="2014-05-12T00:00:00"/>
    <n v="60"/>
    <n v="72"/>
    <n v="12"/>
    <n v="12"/>
    <n v="10"/>
    <n v="75"/>
    <x v="0"/>
    <n v="22"/>
    <x v="3"/>
    <m/>
    <x v="0"/>
    <x v="3"/>
    <x v="0"/>
    <n v="12"/>
    <x v="0"/>
  </r>
  <r>
    <n v="7919"/>
    <x v="11"/>
    <x v="1"/>
    <x v="1"/>
    <x v="1741"/>
    <x v="0"/>
    <d v="1899-12-30T00:00:00"/>
    <d v="2012-08-13T00:00:00"/>
    <n v="2"/>
    <n v="105"/>
    <n v="21"/>
    <n v="21"/>
    <n v="8"/>
    <n v="50"/>
    <x v="1"/>
    <n v="29"/>
    <x v="3"/>
    <m/>
    <x v="0"/>
    <x v="0"/>
    <x v="0"/>
    <n v="14"/>
    <x v="0"/>
  </r>
  <r>
    <n v="5626"/>
    <x v="31"/>
    <x v="1"/>
    <x v="0"/>
    <x v="1742"/>
    <x v="0"/>
    <d v="1899-12-30T00:00:00"/>
    <d v="2013-11-23T00:00:00"/>
    <n v="13"/>
    <n v="4"/>
    <n v="8"/>
    <n v="8"/>
    <n v="9"/>
    <n v="62"/>
    <x v="0"/>
    <n v="17"/>
    <x v="3"/>
    <m/>
    <x v="0"/>
    <x v="0"/>
    <x v="0"/>
    <n v="13"/>
    <x v="0"/>
  </r>
  <r>
    <n v="6428"/>
    <x v="9"/>
    <x v="1"/>
    <x v="4"/>
    <x v="1743"/>
    <x v="0"/>
    <d v="1899-12-30T00:00:00"/>
    <d v="2014-05-03T00:00:00"/>
    <n v="37"/>
    <n v="10"/>
    <n v="54"/>
    <n v="54"/>
    <n v="7"/>
    <n v="76"/>
    <x v="0"/>
    <n v="61"/>
    <x v="3"/>
    <m/>
    <x v="0"/>
    <x v="3"/>
    <x v="0"/>
    <n v="12"/>
    <x v="0"/>
  </r>
  <r>
    <n v="8514"/>
    <x v="11"/>
    <x v="0"/>
    <x v="1"/>
    <x v="1744"/>
    <x v="1"/>
    <d v="1899-12-30T00:00:00"/>
    <d v="2014-01-17T00:00:00"/>
    <n v="59"/>
    <n v="0"/>
    <n v="1"/>
    <n v="1"/>
    <n v="3"/>
    <n v="50"/>
    <x v="1"/>
    <n v="4"/>
    <x v="3"/>
    <m/>
    <x v="0"/>
    <x v="2"/>
    <x v="0"/>
    <n v="12"/>
    <x v="0"/>
  </r>
  <r>
    <n v="10448"/>
    <x v="46"/>
    <x v="0"/>
    <x v="0"/>
    <x v="1745"/>
    <x v="0"/>
    <d v="1899-12-31T00:00:00"/>
    <d v="2012-10-22T00:00:00"/>
    <n v="55"/>
    <n v="41"/>
    <n v="6"/>
    <n v="6"/>
    <n v="5"/>
    <n v="70"/>
    <x v="0"/>
    <n v="11"/>
    <x v="3"/>
    <m/>
    <x v="0"/>
    <x v="1"/>
    <x v="0"/>
    <n v="14"/>
    <x v="0"/>
  </r>
  <r>
    <n v="2109"/>
    <x v="50"/>
    <x v="0"/>
    <x v="0"/>
    <x v="1746"/>
    <x v="0"/>
    <d v="1899-12-30T00:00:00"/>
    <d v="2013-04-23T00:00:00"/>
    <n v="60"/>
    <n v="71"/>
    <n v="17"/>
    <n v="17"/>
    <n v="10"/>
    <n v="36"/>
    <x v="1"/>
    <n v="27"/>
    <x v="3"/>
    <m/>
    <x v="0"/>
    <x v="3"/>
    <x v="0"/>
    <n v="13"/>
    <x v="0"/>
  </r>
  <r>
    <n v="7530"/>
    <x v="9"/>
    <x v="1"/>
    <x v="4"/>
    <x v="1486"/>
    <x v="1"/>
    <d v="1899-12-31T00:00:00"/>
    <d v="2014-05-07T00:00:00"/>
    <n v="48"/>
    <n v="4"/>
    <n v="2"/>
    <n v="2"/>
    <n v="4"/>
    <n v="76"/>
    <x v="0"/>
    <n v="6"/>
    <x v="3"/>
    <m/>
    <x v="0"/>
    <x v="0"/>
    <x v="0"/>
    <n v="12"/>
    <x v="0"/>
  </r>
  <r>
    <n v="8925"/>
    <x v="2"/>
    <x v="2"/>
    <x v="2"/>
    <x v="1747"/>
    <x v="0"/>
    <d v="1899-12-31T00:00:00"/>
    <d v="2013-07-03T00:00:00"/>
    <n v="38"/>
    <n v="53"/>
    <n v="179"/>
    <n v="179"/>
    <n v="10"/>
    <n v="61"/>
    <x v="0"/>
    <n v="189"/>
    <x v="3"/>
    <m/>
    <x v="0"/>
    <x v="0"/>
    <x v="0"/>
    <n v="13"/>
    <x v="0"/>
  </r>
  <r>
    <n v="3009"/>
    <x v="43"/>
    <x v="1"/>
    <x v="4"/>
    <x v="1748"/>
    <x v="0"/>
    <d v="1899-12-30T00:00:00"/>
    <d v="2013-07-09T00:00:00"/>
    <n v="8"/>
    <n v="16"/>
    <n v="0"/>
    <n v="0"/>
    <n v="6"/>
    <n v="64"/>
    <x v="0"/>
    <n v="6"/>
    <x v="3"/>
    <m/>
    <x v="0"/>
    <x v="0"/>
    <x v="0"/>
    <n v="13"/>
    <x v="0"/>
  </r>
  <r>
    <n v="6355"/>
    <x v="33"/>
    <x v="0"/>
    <x v="2"/>
    <x v="1749"/>
    <x v="1"/>
    <d v="1899-12-31T00:00:00"/>
    <d v="2014-06-17T00:00:00"/>
    <n v="19"/>
    <n v="0"/>
    <n v="3"/>
    <n v="3"/>
    <n v="4"/>
    <n v="48"/>
    <x v="1"/>
    <n v="7"/>
    <x v="3"/>
    <m/>
    <x v="0"/>
    <x v="1"/>
    <x v="0"/>
    <n v="12"/>
    <x v="0"/>
  </r>
  <r>
    <n v="3517"/>
    <x v="13"/>
    <x v="0"/>
    <x v="0"/>
    <x v="1750"/>
    <x v="1"/>
    <d v="1899-12-31T00:00:00"/>
    <d v="2013-05-06T00:00:00"/>
    <n v="32"/>
    <n v="4"/>
    <n v="10"/>
    <n v="10"/>
    <n v="3"/>
    <n v="74"/>
    <x v="0"/>
    <n v="13"/>
    <x v="3"/>
    <m/>
    <x v="0"/>
    <x v="1"/>
    <x v="0"/>
    <n v="13"/>
    <x v="0"/>
  </r>
  <r>
    <n v="1158"/>
    <x v="35"/>
    <x v="0"/>
    <x v="3"/>
    <x v="1751"/>
    <x v="0"/>
    <d v="1899-12-31T00:00:00"/>
    <d v="2014-01-05T00:00:00"/>
    <n v="27"/>
    <n v="1"/>
    <n v="0"/>
    <n v="0"/>
    <n v="4"/>
    <n v="60"/>
    <x v="0"/>
    <n v="4"/>
    <x v="3"/>
    <m/>
    <x v="0"/>
    <x v="1"/>
    <x v="0"/>
    <n v="12"/>
    <x v="0"/>
  </r>
  <r>
    <n v="6203"/>
    <x v="51"/>
    <x v="0"/>
    <x v="1"/>
    <x v="1752"/>
    <x v="0"/>
    <d v="1899-12-30T00:00:00"/>
    <d v="2013-08-24T00:00:00"/>
    <n v="58"/>
    <n v="149"/>
    <n v="49"/>
    <n v="49"/>
    <n v="12"/>
    <n v="79"/>
    <x v="0"/>
    <n v="61"/>
    <x v="3"/>
    <m/>
    <x v="0"/>
    <x v="0"/>
    <x v="0"/>
    <n v="13"/>
    <x v="0"/>
  </r>
  <r>
    <n v="7165"/>
    <x v="39"/>
    <x v="0"/>
    <x v="1"/>
    <x v="1753"/>
    <x v="0"/>
    <d v="1899-12-31T00:00:00"/>
    <d v="2013-10-22T00:00:00"/>
    <n v="59"/>
    <n v="35"/>
    <n v="86"/>
    <n v="86"/>
    <n v="10"/>
    <n v="54"/>
    <x v="0"/>
    <n v="96"/>
    <x v="3"/>
    <m/>
    <x v="0"/>
    <x v="0"/>
    <x v="0"/>
    <n v="13"/>
    <x v="0"/>
  </r>
  <r>
    <n v="3595"/>
    <x v="24"/>
    <x v="0"/>
    <x v="1"/>
    <x v="1754"/>
    <x v="0"/>
    <d v="1899-12-31T00:00:00"/>
    <d v="2014-02-28T00:00:00"/>
    <n v="29"/>
    <n v="43"/>
    <n v="76"/>
    <n v="76"/>
    <n v="12"/>
    <n v="63"/>
    <x v="0"/>
    <n v="88"/>
    <x v="3"/>
    <m/>
    <x v="0"/>
    <x v="3"/>
    <x v="0"/>
    <n v="12"/>
    <x v="0"/>
  </r>
  <r>
    <n v="8537"/>
    <x v="17"/>
    <x v="0"/>
    <x v="4"/>
    <x v="1755"/>
    <x v="0"/>
    <d v="1899-12-30T00:00:00"/>
    <d v="2013-02-27T00:00:00"/>
    <n v="60"/>
    <n v="80"/>
    <n v="94"/>
    <n v="94"/>
    <n v="7"/>
    <n v="77"/>
    <x v="0"/>
    <n v="101"/>
    <x v="3"/>
    <m/>
    <x v="0"/>
    <x v="0"/>
    <x v="0"/>
    <n v="13"/>
    <x v="0"/>
  </r>
  <r>
    <n v="4331"/>
    <x v="33"/>
    <x v="2"/>
    <x v="1"/>
    <x v="1756"/>
    <x v="0"/>
    <d v="1899-12-30T00:00:00"/>
    <d v="2014-01-23T00:00:00"/>
    <n v="41"/>
    <n v="26"/>
    <n v="26"/>
    <n v="26"/>
    <n v="11"/>
    <n v="48"/>
    <x v="1"/>
    <n v="37"/>
    <x v="3"/>
    <m/>
    <x v="0"/>
    <x v="3"/>
    <x v="0"/>
    <n v="12"/>
    <x v="0"/>
  </r>
  <r>
    <n v="6281"/>
    <x v="35"/>
    <x v="0"/>
    <x v="3"/>
    <x v="1757"/>
    <x v="0"/>
    <d v="1899-12-31T00:00:00"/>
    <d v="2013-02-14T00:00:00"/>
    <n v="27"/>
    <n v="0"/>
    <n v="47"/>
    <n v="47"/>
    <n v="5"/>
    <n v="60"/>
    <x v="0"/>
    <n v="52"/>
    <x v="3"/>
    <m/>
    <x v="0"/>
    <x v="0"/>
    <x v="0"/>
    <n v="13"/>
    <x v="0"/>
  </r>
  <r>
    <n v="4338"/>
    <x v="10"/>
    <x v="0"/>
    <x v="0"/>
    <x v="1758"/>
    <x v="1"/>
    <d v="1899-12-30T00:00:00"/>
    <d v="2014-03-25T00:00:00"/>
    <n v="28"/>
    <n v="0"/>
    <n v="0"/>
    <n v="0"/>
    <n v="3"/>
    <n v="43"/>
    <x v="1"/>
    <n v="3"/>
    <x v="3"/>
    <m/>
    <x v="0"/>
    <x v="1"/>
    <x v="0"/>
    <n v="12"/>
    <x v="0"/>
  </r>
  <r>
    <n v="2452"/>
    <x v="6"/>
    <x v="0"/>
    <x v="1"/>
    <x v="1600"/>
    <x v="1"/>
    <d v="1899-12-31T00:00:00"/>
    <d v="2013-01-01T00:00:00"/>
    <n v="8"/>
    <n v="33"/>
    <n v="3"/>
    <n v="3"/>
    <n v="5"/>
    <n v="55"/>
    <x v="0"/>
    <n v="8"/>
    <x v="3"/>
    <m/>
    <x v="0"/>
    <x v="1"/>
    <x v="0"/>
    <n v="13"/>
    <x v="0"/>
  </r>
  <r>
    <n v="9507"/>
    <x v="28"/>
    <x v="0"/>
    <x v="2"/>
    <x v="1759"/>
    <x v="0"/>
    <d v="1899-12-31T00:00:00"/>
    <d v="2013-04-07T00:00:00"/>
    <n v="18"/>
    <n v="23"/>
    <n v="23"/>
    <n v="23"/>
    <n v="5"/>
    <n v="51"/>
    <x v="0"/>
    <n v="28"/>
    <x v="3"/>
    <m/>
    <x v="0"/>
    <x v="1"/>
    <x v="0"/>
    <n v="13"/>
    <x v="0"/>
  </r>
  <r>
    <n v="8360"/>
    <x v="6"/>
    <x v="4"/>
    <x v="2"/>
    <x v="629"/>
    <x v="1"/>
    <d v="1899-12-31T00:00:00"/>
    <d v="2013-11-07T00:00:00"/>
    <n v="76"/>
    <n v="16"/>
    <n v="9"/>
    <n v="9"/>
    <n v="5"/>
    <n v="55"/>
    <x v="0"/>
    <n v="14"/>
    <x v="3"/>
    <m/>
    <x v="0"/>
    <x v="0"/>
    <x v="0"/>
    <n v="13"/>
    <x v="0"/>
  </r>
  <r>
    <n v="10311"/>
    <x v="21"/>
    <x v="0"/>
    <x v="2"/>
    <x v="1760"/>
    <x v="0"/>
    <d v="1899-12-31T00:00:00"/>
    <d v="2013-10-05T00:00:00"/>
    <n v="0"/>
    <n v="4"/>
    <n v="4"/>
    <n v="4"/>
    <n v="0"/>
    <n v="57"/>
    <x v="0"/>
    <n v="4"/>
    <x v="3"/>
    <m/>
    <x v="0"/>
    <x v="2"/>
    <x v="0"/>
    <n v="13"/>
    <x v="0"/>
  </r>
  <r>
    <n v="5117"/>
    <x v="24"/>
    <x v="4"/>
    <x v="2"/>
    <x v="1761"/>
    <x v="0"/>
    <d v="1899-12-30T00:00:00"/>
    <d v="2012-08-02T00:00:00"/>
    <n v="32"/>
    <n v="151"/>
    <n v="19"/>
    <n v="19"/>
    <n v="8"/>
    <n v="63"/>
    <x v="0"/>
    <n v="27"/>
    <x v="3"/>
    <m/>
    <x v="0"/>
    <x v="1"/>
    <x v="0"/>
    <n v="14"/>
    <x v="0"/>
  </r>
  <r>
    <n v="4867"/>
    <x v="30"/>
    <x v="1"/>
    <x v="0"/>
    <x v="1762"/>
    <x v="1"/>
    <d v="1899-12-31T00:00:00"/>
    <d v="2013-09-20T00:00:00"/>
    <n v="2"/>
    <n v="0"/>
    <n v="0"/>
    <n v="0"/>
    <n v="4"/>
    <n v="58"/>
    <x v="0"/>
    <n v="4"/>
    <x v="3"/>
    <m/>
    <x v="0"/>
    <x v="1"/>
    <x v="0"/>
    <n v="13"/>
    <x v="0"/>
  </r>
  <r>
    <n v="9289"/>
    <x v="19"/>
    <x v="0"/>
    <x v="2"/>
    <x v="1763"/>
    <x v="1"/>
    <d v="1899-12-30T00:00:00"/>
    <d v="2014-04-10T00:00:00"/>
    <n v="16"/>
    <n v="1"/>
    <n v="3"/>
    <n v="3"/>
    <n v="2"/>
    <n v="47"/>
    <x v="1"/>
    <n v="5"/>
    <x v="3"/>
    <m/>
    <x v="0"/>
    <x v="1"/>
    <x v="0"/>
    <n v="12"/>
    <x v="0"/>
  </r>
  <r>
    <n v="10913"/>
    <x v="3"/>
    <x v="2"/>
    <x v="0"/>
    <x v="1764"/>
    <x v="1"/>
    <d v="1899-12-30T00:00:00"/>
    <d v="2012-12-05T00:00:00"/>
    <n v="56"/>
    <n v="2"/>
    <n v="1"/>
    <n v="1"/>
    <n v="2"/>
    <n v="42"/>
    <x v="1"/>
    <n v="3"/>
    <x v="3"/>
    <m/>
    <x v="0"/>
    <x v="1"/>
    <x v="0"/>
    <n v="14"/>
    <x v="0"/>
  </r>
  <r>
    <n v="3032"/>
    <x v="3"/>
    <x v="0"/>
    <x v="2"/>
    <x v="1765"/>
    <x v="1"/>
    <d v="1899-12-30T00:00:00"/>
    <d v="2013-02-27T00:00:00"/>
    <n v="97"/>
    <n v="34"/>
    <n v="14"/>
    <n v="14"/>
    <n v="4"/>
    <n v="42"/>
    <x v="1"/>
    <n v="18"/>
    <x v="3"/>
    <m/>
    <x v="0"/>
    <x v="2"/>
    <x v="0"/>
    <n v="13"/>
    <x v="0"/>
  </r>
  <r>
    <n v="8524"/>
    <x v="8"/>
    <x v="1"/>
    <x v="3"/>
    <x v="1590"/>
    <x v="1"/>
    <d v="1899-12-30T00:00:00"/>
    <d v="2012-09-18T00:00:00"/>
    <n v="15"/>
    <n v="3"/>
    <n v="7"/>
    <n v="7"/>
    <n v="3"/>
    <n v="52"/>
    <x v="0"/>
    <n v="10"/>
    <x v="3"/>
    <m/>
    <x v="0"/>
    <x v="2"/>
    <x v="0"/>
    <n v="14"/>
    <x v="0"/>
  </r>
  <r>
    <n v="3334"/>
    <x v="20"/>
    <x v="0"/>
    <x v="2"/>
    <x v="1766"/>
    <x v="0"/>
    <d v="1899-12-30T00:00:00"/>
    <d v="2014-02-12T00:00:00"/>
    <n v="35"/>
    <n v="143"/>
    <n v="143"/>
    <n v="143"/>
    <n v="9"/>
    <n v="75"/>
    <x v="0"/>
    <n v="152"/>
    <x v="3"/>
    <m/>
    <x v="0"/>
    <x v="3"/>
    <x v="0"/>
    <n v="12"/>
    <x v="0"/>
  </r>
  <r>
    <n v="4470"/>
    <x v="43"/>
    <x v="2"/>
    <x v="2"/>
    <x v="1767"/>
    <x v="0"/>
    <d v="1899-12-31T00:00:00"/>
    <d v="2013-06-10T00:00:00"/>
    <n v="3"/>
    <n v="1"/>
    <n v="5"/>
    <n v="5"/>
    <n v="4"/>
    <n v="64"/>
    <x v="0"/>
    <n v="9"/>
    <x v="3"/>
    <m/>
    <x v="0"/>
    <x v="0"/>
    <x v="0"/>
    <n v="13"/>
    <x v="0"/>
  </r>
  <r>
    <n v="1406"/>
    <x v="28"/>
    <x v="0"/>
    <x v="0"/>
    <x v="1768"/>
    <x v="1"/>
    <d v="1899-12-31T00:00:00"/>
    <d v="2013-02-12T00:00:00"/>
    <n v="49"/>
    <n v="7"/>
    <n v="0"/>
    <n v="0"/>
    <n v="5"/>
    <n v="51"/>
    <x v="0"/>
    <n v="5"/>
    <x v="3"/>
    <m/>
    <x v="0"/>
    <x v="0"/>
    <x v="0"/>
    <n v="13"/>
    <x v="0"/>
  </r>
  <r>
    <n v="8619"/>
    <x v="0"/>
    <x v="0"/>
    <x v="1"/>
    <x v="41"/>
    <x v="0"/>
    <d v="1899-12-31T00:00:00"/>
    <d v="2012-12-24T00:00:00"/>
    <n v="4"/>
    <n v="0"/>
    <n v="1"/>
    <n v="1"/>
    <n v="3"/>
    <n v="69"/>
    <x v="0"/>
    <n v="4"/>
    <x v="3"/>
    <m/>
    <x v="0"/>
    <x v="2"/>
    <x v="0"/>
    <n v="14"/>
    <x v="0"/>
  </r>
  <r>
    <n v="10821"/>
    <x v="33"/>
    <x v="0"/>
    <x v="2"/>
    <x v="1769"/>
    <x v="1"/>
    <d v="1899-12-31T00:00:00"/>
    <d v="2013-02-06T00:00:00"/>
    <n v="45"/>
    <n v="4"/>
    <n v="2"/>
    <n v="2"/>
    <n v="5"/>
    <n v="48"/>
    <x v="1"/>
    <n v="7"/>
    <x v="3"/>
    <m/>
    <x v="0"/>
    <x v="0"/>
    <x v="0"/>
    <n v="13"/>
    <x v="0"/>
  </r>
  <r>
    <n v="4552"/>
    <x v="42"/>
    <x v="0"/>
    <x v="2"/>
    <x v="1770"/>
    <x v="0"/>
    <d v="1899-12-30T00:00:00"/>
    <d v="2013-06-22T00:00:00"/>
    <n v="37"/>
    <n v="2"/>
    <n v="26"/>
    <n v="26"/>
    <n v="3"/>
    <n v="35"/>
    <x v="1"/>
    <n v="29"/>
    <x v="3"/>
    <m/>
    <x v="0"/>
    <x v="0"/>
    <x v="0"/>
    <n v="13"/>
    <x v="0"/>
  </r>
  <r>
    <n v="898"/>
    <x v="22"/>
    <x v="0"/>
    <x v="2"/>
    <x v="1771"/>
    <x v="1"/>
    <d v="1899-12-30T00:00:00"/>
    <d v="2013-10-21T00:00:00"/>
    <n v="39"/>
    <n v="15"/>
    <n v="8"/>
    <n v="8"/>
    <n v="4"/>
    <n v="40"/>
    <x v="1"/>
    <n v="12"/>
    <x v="3"/>
    <m/>
    <x v="0"/>
    <x v="2"/>
    <x v="0"/>
    <n v="13"/>
    <x v="0"/>
  </r>
  <r>
    <n v="9797"/>
    <x v="46"/>
    <x v="0"/>
    <x v="2"/>
    <x v="1772"/>
    <x v="0"/>
    <d v="1899-12-31T00:00:00"/>
    <d v="2014-04-13T00:00:00"/>
    <n v="38"/>
    <n v="19"/>
    <n v="11"/>
    <n v="11"/>
    <n v="8"/>
    <n v="70"/>
    <x v="0"/>
    <n v="19"/>
    <x v="3"/>
    <m/>
    <x v="0"/>
    <x v="0"/>
    <x v="0"/>
    <n v="12"/>
    <x v="0"/>
  </r>
  <r>
    <n v="10949"/>
    <x v="24"/>
    <x v="1"/>
    <x v="3"/>
    <x v="1773"/>
    <x v="0"/>
    <d v="1899-12-30T00:00:00"/>
    <d v="2013-12-16T00:00:00"/>
    <n v="8"/>
    <n v="37"/>
    <n v="37"/>
    <n v="37"/>
    <n v="8"/>
    <n v="63"/>
    <x v="0"/>
    <n v="45"/>
    <x v="3"/>
    <m/>
    <x v="0"/>
    <x v="0"/>
    <x v="0"/>
    <n v="13"/>
    <x v="0"/>
  </r>
  <r>
    <n v="8212"/>
    <x v="6"/>
    <x v="2"/>
    <x v="2"/>
    <x v="1774"/>
    <x v="0"/>
    <d v="1899-12-31T00:00:00"/>
    <d v="2013-03-28T00:00:00"/>
    <n v="89"/>
    <n v="15"/>
    <n v="13"/>
    <n v="13"/>
    <n v="4"/>
    <n v="55"/>
    <x v="0"/>
    <n v="17"/>
    <x v="3"/>
    <m/>
    <x v="0"/>
    <x v="1"/>
    <x v="0"/>
    <n v="13"/>
    <x v="0"/>
  </r>
  <r>
    <n v="6248"/>
    <x v="51"/>
    <x v="2"/>
    <x v="0"/>
    <x v="1775"/>
    <x v="0"/>
    <d v="1899-12-30T00:00:00"/>
    <d v="2013-10-17T00:00:00"/>
    <n v="47"/>
    <n v="24"/>
    <n v="29"/>
    <n v="29"/>
    <n v="11"/>
    <n v="79"/>
    <x v="0"/>
    <n v="40"/>
    <x v="3"/>
    <m/>
    <x v="0"/>
    <x v="3"/>
    <x v="0"/>
    <n v="13"/>
    <x v="0"/>
  </r>
  <r>
    <n v="10164"/>
    <x v="38"/>
    <x v="0"/>
    <x v="0"/>
    <x v="1776"/>
    <x v="0"/>
    <d v="1899-12-31T00:00:00"/>
    <d v="2014-04-03T00:00:00"/>
    <n v="75"/>
    <n v="33"/>
    <n v="100"/>
    <n v="100"/>
    <n v="5"/>
    <n v="68"/>
    <x v="0"/>
    <n v="105"/>
    <x v="3"/>
    <m/>
    <x v="0"/>
    <x v="3"/>
    <x v="0"/>
    <n v="12"/>
    <x v="0"/>
  </r>
  <r>
    <n v="4547"/>
    <x v="40"/>
    <x v="0"/>
    <x v="1"/>
    <x v="1777"/>
    <x v="1"/>
    <d v="1899-12-31T00:00:00"/>
    <d v="2013-04-17T00:00:00"/>
    <n v="86"/>
    <n v="2"/>
    <n v="1"/>
    <n v="1"/>
    <n v="3"/>
    <n v="66"/>
    <x v="0"/>
    <n v="4"/>
    <x v="3"/>
    <m/>
    <x v="0"/>
    <x v="2"/>
    <x v="0"/>
    <n v="13"/>
    <x v="0"/>
  </r>
  <r>
    <n v="6815"/>
    <x v="16"/>
    <x v="4"/>
    <x v="2"/>
    <x v="1778"/>
    <x v="0"/>
    <d v="1899-12-30T00:00:00"/>
    <d v="2014-05-23T00:00:00"/>
    <n v="4"/>
    <n v="21"/>
    <n v="101"/>
    <n v="101"/>
    <n v="8"/>
    <n v="46"/>
    <x v="1"/>
    <n v="109"/>
    <x v="3"/>
    <m/>
    <x v="0"/>
    <x v="3"/>
    <x v="0"/>
    <n v="12"/>
    <x v="0"/>
  </r>
  <r>
    <n v="4122"/>
    <x v="28"/>
    <x v="0"/>
    <x v="2"/>
    <x v="1779"/>
    <x v="0"/>
    <d v="1899-12-30T00:00:00"/>
    <d v="2012-08-29T00:00:00"/>
    <n v="73"/>
    <n v="23"/>
    <n v="28"/>
    <n v="28"/>
    <n v="4"/>
    <n v="51"/>
    <x v="0"/>
    <n v="32"/>
    <x v="3"/>
    <m/>
    <x v="0"/>
    <x v="3"/>
    <x v="0"/>
    <n v="14"/>
    <x v="0"/>
  </r>
  <r>
    <n v="10841"/>
    <x v="28"/>
    <x v="1"/>
    <x v="1"/>
    <x v="1780"/>
    <x v="0"/>
    <d v="1899-12-31T00:00:00"/>
    <d v="2012-12-25T00:00:00"/>
    <n v="46"/>
    <n v="22"/>
    <n v="31"/>
    <n v="31"/>
    <n v="8"/>
    <n v="51"/>
    <x v="0"/>
    <n v="39"/>
    <x v="3"/>
    <m/>
    <x v="0"/>
    <x v="0"/>
    <x v="0"/>
    <n v="14"/>
    <x v="0"/>
  </r>
  <r>
    <n v="5370"/>
    <x v="26"/>
    <x v="1"/>
    <x v="2"/>
    <x v="1781"/>
    <x v="1"/>
    <d v="1899-12-30T00:00:00"/>
    <d v="2013-01-16T00:00:00"/>
    <n v="38"/>
    <n v="3"/>
    <n v="7"/>
    <n v="7"/>
    <n v="6"/>
    <n v="53"/>
    <x v="0"/>
    <n v="13"/>
    <x v="3"/>
    <m/>
    <x v="0"/>
    <x v="1"/>
    <x v="0"/>
    <n v="13"/>
    <x v="0"/>
  </r>
  <r>
    <n v="176"/>
    <x v="16"/>
    <x v="4"/>
    <x v="0"/>
    <x v="1782"/>
    <x v="0"/>
    <d v="1899-12-31T00:00:00"/>
    <d v="2014-01-02T00:00:00"/>
    <n v="73"/>
    <n v="38"/>
    <n v="36"/>
    <n v="36"/>
    <n v="6"/>
    <n v="46"/>
    <x v="1"/>
    <n v="42"/>
    <x v="3"/>
    <m/>
    <x v="0"/>
    <x v="0"/>
    <x v="0"/>
    <n v="12"/>
    <x v="0"/>
  </r>
  <r>
    <n v="4860"/>
    <x v="25"/>
    <x v="0"/>
    <x v="0"/>
    <x v="1783"/>
    <x v="1"/>
    <d v="1899-12-30T00:00:00"/>
    <d v="2013-03-08T00:00:00"/>
    <n v="66"/>
    <n v="2"/>
    <n v="2"/>
    <n v="2"/>
    <n v="3"/>
    <n v="56"/>
    <x v="0"/>
    <n v="5"/>
    <x v="3"/>
    <m/>
    <x v="0"/>
    <x v="2"/>
    <x v="0"/>
    <n v="13"/>
    <x v="0"/>
  </r>
  <r>
    <n v="10757"/>
    <x v="5"/>
    <x v="1"/>
    <x v="3"/>
    <x v="1784"/>
    <x v="1"/>
    <d v="1899-12-30T00:00:00"/>
    <d v="2013-12-24T00:00:00"/>
    <n v="36"/>
    <n v="2"/>
    <n v="0"/>
    <n v="0"/>
    <n v="2"/>
    <n v="59"/>
    <x v="0"/>
    <n v="2"/>
    <x v="3"/>
    <m/>
    <x v="0"/>
    <x v="2"/>
    <x v="0"/>
    <n v="13"/>
    <x v="0"/>
  </r>
  <r>
    <n v="4023"/>
    <x v="25"/>
    <x v="0"/>
    <x v="2"/>
    <x v="1785"/>
    <x v="1"/>
    <d v="1899-12-30T00:00:00"/>
    <d v="2012-09-06T00:00:00"/>
    <n v="29"/>
    <n v="17"/>
    <n v="21"/>
    <n v="21"/>
    <n v="2"/>
    <n v="56"/>
    <x v="0"/>
    <n v="23"/>
    <x v="3"/>
    <m/>
    <x v="0"/>
    <x v="2"/>
    <x v="0"/>
    <n v="14"/>
    <x v="0"/>
  </r>
  <r>
    <n v="6679"/>
    <x v="35"/>
    <x v="0"/>
    <x v="0"/>
    <x v="1786"/>
    <x v="0"/>
    <d v="1899-12-30T00:00:00"/>
    <d v="2014-06-12T00:00:00"/>
    <n v="29"/>
    <n v="3"/>
    <n v="0"/>
    <n v="0"/>
    <n v="3"/>
    <n v="60"/>
    <x v="0"/>
    <n v="3"/>
    <x v="3"/>
    <m/>
    <x v="0"/>
    <x v="1"/>
    <x v="0"/>
    <n v="12"/>
    <x v="0"/>
  </r>
  <r>
    <n v="9923"/>
    <x v="39"/>
    <x v="2"/>
    <x v="0"/>
    <x v="971"/>
    <x v="1"/>
    <d v="1899-12-31T00:00:00"/>
    <d v="2013-09-18T00:00:00"/>
    <n v="6"/>
    <n v="0"/>
    <n v="0"/>
    <n v="0"/>
    <n v="4"/>
    <n v="54"/>
    <x v="0"/>
    <n v="4"/>
    <x v="3"/>
    <m/>
    <x v="0"/>
    <x v="1"/>
    <x v="0"/>
    <n v="13"/>
    <x v="0"/>
  </r>
  <r>
    <n v="7181"/>
    <x v="32"/>
    <x v="0"/>
    <x v="2"/>
    <x v="1787"/>
    <x v="0"/>
    <d v="1899-12-31T00:00:00"/>
    <d v="2013-11-07T00:00:00"/>
    <n v="97"/>
    <n v="0"/>
    <n v="0"/>
    <n v="0"/>
    <n v="3"/>
    <n v="49"/>
    <x v="1"/>
    <n v="3"/>
    <x v="3"/>
    <m/>
    <x v="0"/>
    <x v="1"/>
    <x v="0"/>
    <n v="13"/>
    <x v="0"/>
  </r>
  <r>
    <n v="3599"/>
    <x v="25"/>
    <x v="0"/>
    <x v="2"/>
    <x v="1788"/>
    <x v="0"/>
    <d v="1899-12-31T00:00:00"/>
    <d v="2012-11-26T00:00:00"/>
    <n v="61"/>
    <n v="80"/>
    <n v="93"/>
    <n v="93"/>
    <n v="8"/>
    <n v="56"/>
    <x v="0"/>
    <n v="101"/>
    <x v="3"/>
    <m/>
    <x v="0"/>
    <x v="0"/>
    <x v="0"/>
    <n v="14"/>
    <x v="0"/>
  </r>
  <r>
    <n v="405"/>
    <x v="31"/>
    <x v="0"/>
    <x v="3"/>
    <x v="1789"/>
    <x v="0"/>
    <d v="1899-12-31T00:00:00"/>
    <d v="2013-02-13T00:00:00"/>
    <n v="68"/>
    <n v="0"/>
    <n v="0"/>
    <n v="0"/>
    <n v="3"/>
    <n v="62"/>
    <x v="0"/>
    <n v="3"/>
    <x v="3"/>
    <m/>
    <x v="0"/>
    <x v="1"/>
    <x v="0"/>
    <n v="13"/>
    <x v="0"/>
  </r>
  <r>
    <n v="6870"/>
    <x v="12"/>
    <x v="1"/>
    <x v="3"/>
    <x v="1790"/>
    <x v="0"/>
    <d v="1899-12-31T00:00:00"/>
    <d v="2013-09-17T00:00:00"/>
    <n v="73"/>
    <n v="2"/>
    <n v="13"/>
    <n v="13"/>
    <n v="7"/>
    <n v="67"/>
    <x v="0"/>
    <n v="20"/>
    <x v="3"/>
    <m/>
    <x v="0"/>
    <x v="0"/>
    <x v="0"/>
    <n v="13"/>
    <x v="0"/>
  </r>
  <r>
    <n v="832"/>
    <x v="35"/>
    <x v="1"/>
    <x v="1"/>
    <x v="1791"/>
    <x v="0"/>
    <d v="1899-12-31T00:00:00"/>
    <d v="2014-03-02T00:00:00"/>
    <n v="90"/>
    <n v="14"/>
    <n v="14"/>
    <n v="14"/>
    <n v="10"/>
    <n v="60"/>
    <x v="0"/>
    <n v="24"/>
    <x v="3"/>
    <m/>
    <x v="0"/>
    <x v="0"/>
    <x v="0"/>
    <n v="12"/>
    <x v="0"/>
  </r>
  <r>
    <n v="2002"/>
    <x v="38"/>
    <x v="0"/>
    <x v="3"/>
    <x v="1792"/>
    <x v="0"/>
    <d v="1899-12-30T00:00:00"/>
    <d v="2013-05-20T00:00:00"/>
    <n v="81"/>
    <n v="51"/>
    <n v="34"/>
    <n v="34"/>
    <n v="5"/>
    <n v="68"/>
    <x v="0"/>
    <n v="39"/>
    <x v="3"/>
    <m/>
    <x v="0"/>
    <x v="0"/>
    <x v="0"/>
    <n v="13"/>
    <x v="0"/>
  </r>
  <r>
    <n v="3657"/>
    <x v="22"/>
    <x v="0"/>
    <x v="0"/>
    <x v="1793"/>
    <x v="1"/>
    <d v="1899-12-30T00:00:00"/>
    <d v="2013-02-14T00:00:00"/>
    <n v="1"/>
    <n v="1"/>
    <n v="12"/>
    <n v="12"/>
    <n v="4"/>
    <n v="40"/>
    <x v="1"/>
    <n v="16"/>
    <x v="3"/>
    <m/>
    <x v="0"/>
    <x v="1"/>
    <x v="0"/>
    <n v="13"/>
    <x v="0"/>
  </r>
  <r>
    <n v="500"/>
    <x v="32"/>
    <x v="0"/>
    <x v="1"/>
    <x v="1794"/>
    <x v="0"/>
    <d v="1899-12-30T00:00:00"/>
    <d v="2013-08-06T00:00:00"/>
    <n v="79"/>
    <n v="43"/>
    <n v="194"/>
    <n v="194"/>
    <n v="9"/>
    <n v="49"/>
    <x v="1"/>
    <n v="203"/>
    <x v="3"/>
    <m/>
    <x v="0"/>
    <x v="3"/>
    <x v="0"/>
    <n v="13"/>
    <x v="0"/>
  </r>
  <r>
    <n v="1951"/>
    <x v="4"/>
    <x v="3"/>
    <x v="2"/>
    <x v="1795"/>
    <x v="0"/>
    <d v="1899-12-30T00:00:00"/>
    <d v="2013-01-27T00:00:00"/>
    <n v="92"/>
    <n v="122"/>
    <n v="129"/>
    <n v="129"/>
    <n v="8"/>
    <n v="45"/>
    <x v="1"/>
    <n v="137"/>
    <x v="3"/>
    <m/>
    <x v="0"/>
    <x v="1"/>
    <x v="0"/>
    <n v="13"/>
    <x v="0"/>
  </r>
  <r>
    <n v="3262"/>
    <x v="38"/>
    <x v="0"/>
    <x v="0"/>
    <x v="1796"/>
    <x v="0"/>
    <d v="1899-12-30T00:00:00"/>
    <d v="2012-08-07T00:00:00"/>
    <n v="31"/>
    <n v="112"/>
    <n v="48"/>
    <n v="48"/>
    <n v="13"/>
    <n v="68"/>
    <x v="0"/>
    <n v="61"/>
    <x v="3"/>
    <m/>
    <x v="0"/>
    <x v="0"/>
    <x v="0"/>
    <n v="14"/>
    <x v="0"/>
  </r>
  <r>
    <n v="4102"/>
    <x v="28"/>
    <x v="4"/>
    <x v="2"/>
    <x v="1410"/>
    <x v="1"/>
    <d v="1899-12-31T00:00:00"/>
    <d v="2013-03-29T00:00:00"/>
    <n v="46"/>
    <n v="1"/>
    <n v="1"/>
    <n v="1"/>
    <n v="3"/>
    <n v="51"/>
    <x v="0"/>
    <n v="4"/>
    <x v="3"/>
    <m/>
    <x v="0"/>
    <x v="1"/>
    <x v="0"/>
    <n v="13"/>
    <x v="0"/>
  </r>
  <r>
    <n v="7042"/>
    <x v="10"/>
    <x v="0"/>
    <x v="2"/>
    <x v="1797"/>
    <x v="0"/>
    <d v="1899-12-30T00:00:00"/>
    <d v="2013-03-01T00:00:00"/>
    <n v="14"/>
    <n v="3"/>
    <n v="21"/>
    <n v="21"/>
    <n v="2"/>
    <n v="43"/>
    <x v="1"/>
    <n v="23"/>
    <x v="3"/>
    <m/>
    <x v="0"/>
    <x v="1"/>
    <x v="0"/>
    <n v="13"/>
    <x v="0"/>
  </r>
  <r>
    <n v="10598"/>
    <x v="5"/>
    <x v="0"/>
    <x v="1"/>
    <x v="1798"/>
    <x v="1"/>
    <d v="1899-12-31T00:00:00"/>
    <d v="2013-04-15T00:00:00"/>
    <n v="89"/>
    <n v="1"/>
    <n v="1"/>
    <n v="1"/>
    <n v="3"/>
    <n v="59"/>
    <x v="0"/>
    <n v="4"/>
    <x v="3"/>
    <m/>
    <x v="0"/>
    <x v="2"/>
    <x v="0"/>
    <n v="13"/>
    <x v="0"/>
  </r>
  <r>
    <n v="255"/>
    <x v="20"/>
    <x v="0"/>
    <x v="3"/>
    <x v="1799"/>
    <x v="1"/>
    <d v="1899-12-31T00:00:00"/>
    <d v="2014-03-30T00:00:00"/>
    <n v="31"/>
    <n v="0"/>
    <n v="0"/>
    <n v="0"/>
    <n v="3"/>
    <n v="75"/>
    <x v="0"/>
    <n v="3"/>
    <x v="3"/>
    <m/>
    <x v="0"/>
    <x v="2"/>
    <x v="0"/>
    <n v="12"/>
    <x v="0"/>
  </r>
  <r>
    <n v="2375"/>
    <x v="39"/>
    <x v="0"/>
    <x v="1"/>
    <x v="1800"/>
    <x v="1"/>
    <d v="1900-01-01T00:00:00"/>
    <d v="2012-09-25T00:00:00"/>
    <n v="75"/>
    <n v="0"/>
    <n v="3"/>
    <n v="3"/>
    <n v="3"/>
    <n v="54"/>
    <x v="0"/>
    <n v="6"/>
    <x v="3"/>
    <m/>
    <x v="0"/>
    <x v="1"/>
    <x v="0"/>
    <n v="14"/>
    <x v="0"/>
  </r>
  <r>
    <n v="9829"/>
    <x v="33"/>
    <x v="0"/>
    <x v="1"/>
    <x v="1801"/>
    <x v="1"/>
    <d v="1899-12-30T00:00:00"/>
    <d v="2014-02-12T00:00:00"/>
    <n v="42"/>
    <n v="4"/>
    <n v="10"/>
    <n v="10"/>
    <n v="4"/>
    <n v="48"/>
    <x v="1"/>
    <n v="14"/>
    <x v="3"/>
    <m/>
    <x v="0"/>
    <x v="2"/>
    <x v="0"/>
    <n v="12"/>
    <x v="0"/>
  </r>
  <r>
    <n v="6214"/>
    <x v="18"/>
    <x v="2"/>
    <x v="2"/>
    <x v="1802"/>
    <x v="1"/>
    <d v="1899-12-30T00:00:00"/>
    <d v="2013-04-05T00:00:00"/>
    <n v="53"/>
    <n v="10"/>
    <n v="7"/>
    <n v="7"/>
    <n v="3"/>
    <n v="44"/>
    <x v="1"/>
    <n v="10"/>
    <x v="3"/>
    <m/>
    <x v="0"/>
    <x v="1"/>
    <x v="0"/>
    <n v="13"/>
    <x v="0"/>
  </r>
  <r>
    <n v="4954"/>
    <x v="46"/>
    <x v="0"/>
    <x v="2"/>
    <x v="1803"/>
    <x v="1"/>
    <d v="1899-12-31T00:00:00"/>
    <d v="2014-01-21T00:00:00"/>
    <n v="53"/>
    <n v="27"/>
    <n v="7"/>
    <n v="7"/>
    <n v="5"/>
    <n v="70"/>
    <x v="0"/>
    <n v="12"/>
    <x v="3"/>
    <m/>
    <x v="0"/>
    <x v="1"/>
    <x v="0"/>
    <n v="12"/>
    <x v="0"/>
  </r>
  <r>
    <n v="7861"/>
    <x v="13"/>
    <x v="2"/>
    <x v="2"/>
    <x v="1804"/>
    <x v="0"/>
    <d v="1899-12-31T00:00:00"/>
    <d v="2014-02-05T00:00:00"/>
    <n v="23"/>
    <n v="57"/>
    <n v="0"/>
    <n v="0"/>
    <n v="6"/>
    <n v="74"/>
    <x v="0"/>
    <n v="6"/>
    <x v="3"/>
    <m/>
    <x v="0"/>
    <x v="3"/>
    <x v="0"/>
    <n v="12"/>
    <x v="0"/>
  </r>
  <r>
    <n v="4837"/>
    <x v="2"/>
    <x v="1"/>
    <x v="2"/>
    <x v="1805"/>
    <x v="0"/>
    <d v="1899-12-31T00:00:00"/>
    <d v="2013-02-16T00:00:00"/>
    <n v="57"/>
    <n v="43"/>
    <n v="10"/>
    <n v="10"/>
    <n v="13"/>
    <n v="61"/>
    <x v="0"/>
    <n v="23"/>
    <x v="3"/>
    <m/>
    <x v="0"/>
    <x v="0"/>
    <x v="0"/>
    <n v="13"/>
    <x v="0"/>
  </r>
  <r>
    <n v="9423"/>
    <x v="19"/>
    <x v="2"/>
    <x v="2"/>
    <x v="1806"/>
    <x v="1"/>
    <d v="1899-12-30T00:00:00"/>
    <d v="2014-02-23T00:00:00"/>
    <n v="49"/>
    <n v="3"/>
    <n v="3"/>
    <n v="3"/>
    <n v="4"/>
    <n v="47"/>
    <x v="1"/>
    <n v="7"/>
    <x v="3"/>
    <m/>
    <x v="0"/>
    <x v="1"/>
    <x v="0"/>
    <n v="12"/>
    <x v="0"/>
  </r>
  <r>
    <n v="4198"/>
    <x v="2"/>
    <x v="0"/>
    <x v="1"/>
    <x v="275"/>
    <x v="1"/>
    <d v="1899-12-31T00:00:00"/>
    <d v="2013-03-12T00:00:00"/>
    <n v="6"/>
    <n v="1"/>
    <n v="4"/>
    <n v="4"/>
    <n v="3"/>
    <n v="61"/>
    <x v="0"/>
    <n v="7"/>
    <x v="3"/>
    <m/>
    <x v="0"/>
    <x v="2"/>
    <x v="0"/>
    <n v="13"/>
    <x v="0"/>
  </r>
  <r>
    <n v="153"/>
    <x v="44"/>
    <x v="0"/>
    <x v="3"/>
    <x v="1807"/>
    <x v="0"/>
    <d v="1899-12-30T00:00:00"/>
    <d v="2013-10-17T00:00:00"/>
    <n v="29"/>
    <n v="3"/>
    <n v="2"/>
    <n v="2"/>
    <n v="3"/>
    <n v="73"/>
    <x v="0"/>
    <n v="5"/>
    <x v="3"/>
    <m/>
    <x v="0"/>
    <x v="2"/>
    <x v="0"/>
    <n v="13"/>
    <x v="0"/>
  </r>
  <r>
    <n v="9323"/>
    <x v="17"/>
    <x v="2"/>
    <x v="1"/>
    <x v="1808"/>
    <x v="0"/>
    <d v="1899-12-31T00:00:00"/>
    <d v="2012-09-07T00:00:00"/>
    <n v="5"/>
    <n v="8"/>
    <n v="49"/>
    <n v="49"/>
    <n v="7"/>
    <n v="77"/>
    <x v="0"/>
    <n v="56"/>
    <x v="3"/>
    <m/>
    <x v="0"/>
    <x v="1"/>
    <x v="0"/>
    <n v="14"/>
    <x v="0"/>
  </r>
  <r>
    <n v="10001"/>
    <x v="7"/>
    <x v="4"/>
    <x v="1"/>
    <x v="11"/>
    <x v="1"/>
    <d v="1899-12-30T00:00:00"/>
    <d v="2012-08-01T00:00:00"/>
    <n v="98"/>
    <n v="17"/>
    <n v="14"/>
    <n v="14"/>
    <n v="3"/>
    <n v="41"/>
    <x v="1"/>
    <n v="17"/>
    <x v="3"/>
    <m/>
    <x v="0"/>
    <x v="2"/>
    <x v="0"/>
    <n v="14"/>
    <x v="0"/>
  </r>
  <r>
    <n v="3945"/>
    <x v="51"/>
    <x v="1"/>
    <x v="4"/>
    <x v="1809"/>
    <x v="0"/>
    <d v="1899-12-31T00:00:00"/>
    <d v="2013-03-10T00:00:00"/>
    <n v="80"/>
    <n v="44"/>
    <n v="17"/>
    <n v="17"/>
    <n v="4"/>
    <n v="79"/>
    <x v="0"/>
    <n v="21"/>
    <x v="3"/>
    <m/>
    <x v="0"/>
    <x v="0"/>
    <x v="0"/>
    <n v="13"/>
    <x v="0"/>
  </r>
  <r>
    <n v="3799"/>
    <x v="34"/>
    <x v="0"/>
    <x v="2"/>
    <x v="1810"/>
    <x v="0"/>
    <d v="1899-12-31T00:00:00"/>
    <d v="2013-11-26T00:00:00"/>
    <n v="4"/>
    <n v="35"/>
    <n v="7"/>
    <n v="7"/>
    <n v="11"/>
    <n v="71"/>
    <x v="0"/>
    <n v="18"/>
    <x v="3"/>
    <m/>
    <x v="0"/>
    <x v="0"/>
    <x v="0"/>
    <n v="13"/>
    <x v="0"/>
  </r>
  <r>
    <n v="8625"/>
    <x v="11"/>
    <x v="0"/>
    <x v="2"/>
    <x v="1811"/>
    <x v="1"/>
    <d v="1899-12-30T00:00:00"/>
    <d v="2013-11-12T00:00:00"/>
    <n v="70"/>
    <n v="1"/>
    <n v="5"/>
    <n v="5"/>
    <n v="3"/>
    <n v="50"/>
    <x v="1"/>
    <n v="8"/>
    <x v="3"/>
    <m/>
    <x v="0"/>
    <x v="2"/>
    <x v="0"/>
    <n v="13"/>
    <x v="0"/>
  </r>
  <r>
    <n v="3491"/>
    <x v="28"/>
    <x v="0"/>
    <x v="1"/>
    <x v="1812"/>
    <x v="0"/>
    <d v="1899-12-31T00:00:00"/>
    <d v="2013-04-29T00:00:00"/>
    <n v="32"/>
    <n v="60"/>
    <n v="101"/>
    <n v="101"/>
    <n v="8"/>
    <n v="51"/>
    <x v="0"/>
    <n v="109"/>
    <x v="3"/>
    <m/>
    <x v="0"/>
    <x v="0"/>
    <x v="0"/>
    <n v="13"/>
    <x v="0"/>
  </r>
  <r>
    <n v="983"/>
    <x v="3"/>
    <x v="0"/>
    <x v="2"/>
    <x v="1813"/>
    <x v="1"/>
    <d v="1899-12-30T00:00:00"/>
    <d v="2013-09-28T00:00:00"/>
    <n v="82"/>
    <n v="29"/>
    <n v="10"/>
    <n v="10"/>
    <n v="3"/>
    <n v="42"/>
    <x v="1"/>
    <n v="13"/>
    <x v="3"/>
    <m/>
    <x v="0"/>
    <x v="1"/>
    <x v="0"/>
    <n v="13"/>
    <x v="0"/>
  </r>
  <r>
    <n v="9119"/>
    <x v="9"/>
    <x v="0"/>
    <x v="1"/>
    <x v="1814"/>
    <x v="0"/>
    <d v="1899-12-31T00:00:00"/>
    <d v="2013-12-05T00:00:00"/>
    <n v="27"/>
    <n v="17"/>
    <n v="17"/>
    <n v="17"/>
    <n v="7"/>
    <n v="76"/>
    <x v="0"/>
    <n v="24"/>
    <x v="3"/>
    <m/>
    <x v="0"/>
    <x v="0"/>
    <x v="0"/>
    <n v="13"/>
    <x v="0"/>
  </r>
  <r>
    <n v="4786"/>
    <x v="32"/>
    <x v="0"/>
    <x v="2"/>
    <x v="1815"/>
    <x v="1"/>
    <d v="1899-12-31T00:00:00"/>
    <d v="2012-10-04T00:00:00"/>
    <n v="94"/>
    <n v="82"/>
    <n v="61"/>
    <n v="61"/>
    <n v="12"/>
    <n v="49"/>
    <x v="1"/>
    <n v="73"/>
    <x v="3"/>
    <m/>
    <x v="0"/>
    <x v="3"/>
    <x v="0"/>
    <n v="14"/>
    <x v="0"/>
  </r>
  <r>
    <n v="5872"/>
    <x v="20"/>
    <x v="0"/>
    <x v="0"/>
    <x v="1816"/>
    <x v="0"/>
    <d v="1899-12-31T00:00:00"/>
    <d v="2013-06-01T00:00:00"/>
    <n v="23"/>
    <n v="90"/>
    <n v="6"/>
    <n v="6"/>
    <n v="10"/>
    <n v="75"/>
    <x v="0"/>
    <n v="16"/>
    <x v="3"/>
    <m/>
    <x v="0"/>
    <x v="0"/>
    <x v="0"/>
    <n v="13"/>
    <x v="0"/>
  </r>
  <r>
    <n v="6568"/>
    <x v="3"/>
    <x v="0"/>
    <x v="2"/>
    <x v="1817"/>
    <x v="1"/>
    <d v="1899-12-30T00:00:00"/>
    <d v="2013-03-28T00:00:00"/>
    <n v="97"/>
    <n v="0"/>
    <n v="5"/>
    <n v="5"/>
    <n v="3"/>
    <n v="42"/>
    <x v="1"/>
    <n v="8"/>
    <x v="3"/>
    <m/>
    <x v="0"/>
    <x v="1"/>
    <x v="0"/>
    <n v="13"/>
    <x v="0"/>
  </r>
  <r>
    <n v="5628"/>
    <x v="18"/>
    <x v="0"/>
    <x v="1"/>
    <x v="1818"/>
    <x v="0"/>
    <d v="1899-12-30T00:00:00"/>
    <d v="2013-02-08T00:00:00"/>
    <n v="25"/>
    <n v="154"/>
    <n v="61"/>
    <n v="61"/>
    <n v="10"/>
    <n v="44"/>
    <x v="1"/>
    <n v="71"/>
    <x v="3"/>
    <m/>
    <x v="0"/>
    <x v="0"/>
    <x v="0"/>
    <n v="13"/>
    <x v="0"/>
  </r>
  <r>
    <n v="5631"/>
    <x v="42"/>
    <x v="0"/>
    <x v="0"/>
    <x v="1819"/>
    <x v="0"/>
    <d v="1899-12-30T00:00:00"/>
    <d v="2013-05-02T00:00:00"/>
    <n v="92"/>
    <n v="47"/>
    <n v="42"/>
    <n v="42"/>
    <n v="8"/>
    <n v="35"/>
    <x v="1"/>
    <n v="50"/>
    <x v="3"/>
    <m/>
    <x v="0"/>
    <x v="1"/>
    <x v="0"/>
    <n v="13"/>
    <x v="0"/>
  </r>
  <r>
    <n v="4974"/>
    <x v="25"/>
    <x v="0"/>
    <x v="0"/>
    <x v="1820"/>
    <x v="1"/>
    <d v="1900-01-01T00:00:00"/>
    <d v="2012-09-25T00:00:00"/>
    <n v="98"/>
    <n v="89"/>
    <n v="102"/>
    <n v="102"/>
    <n v="9"/>
    <n v="56"/>
    <x v="0"/>
    <n v="111"/>
    <x v="3"/>
    <m/>
    <x v="0"/>
    <x v="3"/>
    <x v="0"/>
    <n v="14"/>
    <x v="0"/>
  </r>
  <r>
    <n v="8416"/>
    <x v="4"/>
    <x v="0"/>
    <x v="2"/>
    <x v="1821"/>
    <x v="1"/>
    <d v="1899-12-30T00:00:00"/>
    <d v="2013-11-29T00:00:00"/>
    <n v="19"/>
    <n v="6"/>
    <n v="5"/>
    <n v="5"/>
    <n v="3"/>
    <n v="45"/>
    <x v="1"/>
    <n v="8"/>
    <x v="3"/>
    <m/>
    <x v="0"/>
    <x v="2"/>
    <x v="0"/>
    <n v="13"/>
    <x v="0"/>
  </r>
  <r>
    <n v="5454"/>
    <x v="19"/>
    <x v="2"/>
    <x v="2"/>
    <x v="1822"/>
    <x v="1"/>
    <d v="1899-12-30T00:00:00"/>
    <d v="2013-12-01T00:00:00"/>
    <n v="80"/>
    <n v="0"/>
    <n v="0"/>
    <n v="0"/>
    <n v="3"/>
    <n v="47"/>
    <x v="1"/>
    <n v="3"/>
    <x v="3"/>
    <m/>
    <x v="0"/>
    <x v="1"/>
    <x v="0"/>
    <n v="13"/>
    <x v="0"/>
  </r>
  <r>
    <n v="4095"/>
    <x v="6"/>
    <x v="0"/>
    <x v="2"/>
    <x v="1823"/>
    <x v="1"/>
    <d v="1899-12-30T00:00:00"/>
    <d v="2012-09-11T00:00:00"/>
    <n v="80"/>
    <n v="37"/>
    <n v="34"/>
    <n v="34"/>
    <n v="6"/>
    <n v="55"/>
    <x v="0"/>
    <n v="40"/>
    <x v="3"/>
    <m/>
    <x v="0"/>
    <x v="1"/>
    <x v="0"/>
    <n v="14"/>
    <x v="0"/>
  </r>
  <r>
    <n v="5474"/>
    <x v="25"/>
    <x v="0"/>
    <x v="0"/>
    <x v="1824"/>
    <x v="1"/>
    <d v="1899-12-30T00:00:00"/>
    <d v="2013-11-30T00:00:00"/>
    <n v="79"/>
    <n v="7"/>
    <n v="25"/>
    <n v="25"/>
    <n v="4"/>
    <n v="56"/>
    <x v="0"/>
    <n v="29"/>
    <x v="3"/>
    <m/>
    <x v="0"/>
    <x v="1"/>
    <x v="0"/>
    <n v="13"/>
    <x v="0"/>
  </r>
  <r>
    <n v="4268"/>
    <x v="12"/>
    <x v="0"/>
    <x v="2"/>
    <x v="1825"/>
    <x v="0"/>
    <d v="1899-12-31T00:00:00"/>
    <d v="2014-06-09T00:00:00"/>
    <n v="50"/>
    <n v="0"/>
    <n v="1"/>
    <n v="1"/>
    <n v="4"/>
    <n v="67"/>
    <x v="0"/>
    <n v="5"/>
    <x v="3"/>
    <m/>
    <x v="0"/>
    <x v="0"/>
    <x v="0"/>
    <n v="12"/>
    <x v="0"/>
  </r>
  <r>
    <n v="10701"/>
    <x v="26"/>
    <x v="0"/>
    <x v="2"/>
    <x v="1826"/>
    <x v="0"/>
    <d v="1899-12-30T00:00:00"/>
    <d v="2013-09-11T00:00:00"/>
    <n v="60"/>
    <n v="0"/>
    <n v="80"/>
    <n v="80"/>
    <n v="12"/>
    <n v="53"/>
    <x v="0"/>
    <n v="92"/>
    <x v="3"/>
    <m/>
    <x v="0"/>
    <x v="0"/>
    <x v="0"/>
    <n v="13"/>
    <x v="0"/>
  </r>
  <r>
    <n v="3507"/>
    <x v="25"/>
    <x v="0"/>
    <x v="0"/>
    <x v="1827"/>
    <x v="1"/>
    <d v="1899-12-30T00:00:00"/>
    <d v="2012-08-17T00:00:00"/>
    <n v="44"/>
    <n v="161"/>
    <n v="44"/>
    <n v="44"/>
    <n v="5"/>
    <n v="56"/>
    <x v="0"/>
    <n v="49"/>
    <x v="3"/>
    <m/>
    <x v="0"/>
    <x v="3"/>
    <x v="0"/>
    <n v="14"/>
    <x v="0"/>
  </r>
  <r>
    <n v="2079"/>
    <x v="51"/>
    <x v="4"/>
    <x v="2"/>
    <x v="1828"/>
    <x v="0"/>
    <d v="1899-12-30T00:00:00"/>
    <d v="2013-12-27T00:00:00"/>
    <n v="0"/>
    <n v="26"/>
    <n v="98"/>
    <n v="98"/>
    <n v="10"/>
    <n v="79"/>
    <x v="0"/>
    <n v="108"/>
    <x v="3"/>
    <m/>
    <x v="0"/>
    <x v="3"/>
    <x v="0"/>
    <n v="13"/>
    <x v="0"/>
  </r>
  <r>
    <n v="626"/>
    <x v="20"/>
    <x v="0"/>
    <x v="2"/>
    <x v="1829"/>
    <x v="1"/>
    <d v="1899-12-31T00:00:00"/>
    <d v="2013-03-09T00:00:00"/>
    <n v="28"/>
    <n v="2"/>
    <n v="2"/>
    <n v="2"/>
    <n v="3"/>
    <n v="75"/>
    <x v="0"/>
    <n v="5"/>
    <x v="3"/>
    <m/>
    <x v="0"/>
    <x v="1"/>
    <x v="0"/>
    <n v="13"/>
    <x v="0"/>
  </r>
  <r>
    <n v="4426"/>
    <x v="28"/>
    <x v="0"/>
    <x v="0"/>
    <x v="1830"/>
    <x v="1"/>
    <d v="1899-12-31T00:00:00"/>
    <d v="2013-09-22T00:00:00"/>
    <n v="35"/>
    <n v="4"/>
    <n v="4"/>
    <n v="4"/>
    <n v="6"/>
    <n v="51"/>
    <x v="0"/>
    <n v="10"/>
    <x v="3"/>
    <m/>
    <x v="0"/>
    <x v="0"/>
    <x v="0"/>
    <n v="13"/>
    <x v="0"/>
  </r>
  <r>
    <n v="2591"/>
    <x v="12"/>
    <x v="0"/>
    <x v="4"/>
    <x v="1831"/>
    <x v="0"/>
    <d v="1899-12-31T00:00:00"/>
    <d v="2014-06-22T00:00:00"/>
    <n v="49"/>
    <n v="35"/>
    <n v="53"/>
    <n v="53"/>
    <n v="4"/>
    <n v="67"/>
    <x v="0"/>
    <n v="57"/>
    <x v="3"/>
    <m/>
    <x v="0"/>
    <x v="3"/>
    <x v="0"/>
    <n v="12"/>
    <x v="0"/>
  </r>
  <r>
    <n v="10509"/>
    <x v="34"/>
    <x v="2"/>
    <x v="0"/>
    <x v="1832"/>
    <x v="1"/>
    <d v="1899-12-31T00:00:00"/>
    <d v="2014-06-02T00:00:00"/>
    <n v="46"/>
    <n v="0"/>
    <n v="0"/>
    <n v="0"/>
    <n v="3"/>
    <n v="71"/>
    <x v="0"/>
    <n v="3"/>
    <x v="3"/>
    <m/>
    <x v="0"/>
    <x v="1"/>
    <x v="0"/>
    <n v="12"/>
    <x v="0"/>
  </r>
  <r>
    <n v="6382"/>
    <x v="44"/>
    <x v="0"/>
    <x v="1"/>
    <x v="1833"/>
    <x v="1"/>
    <d v="1899-12-31T00:00:00"/>
    <d v="2014-06-26T00:00:00"/>
    <n v="97"/>
    <n v="0"/>
    <n v="0"/>
    <n v="0"/>
    <n v="3"/>
    <n v="73"/>
    <x v="0"/>
    <n v="3"/>
    <x v="3"/>
    <m/>
    <x v="0"/>
    <x v="1"/>
    <x v="0"/>
    <n v="12"/>
    <x v="0"/>
  </r>
  <r>
    <n v="6673"/>
    <x v="2"/>
    <x v="0"/>
    <x v="0"/>
    <x v="1834"/>
    <x v="0"/>
    <d v="1899-12-30T00:00:00"/>
    <d v="2013-03-19T00:00:00"/>
    <n v="51"/>
    <n v="6"/>
    <n v="17"/>
    <n v="17"/>
    <n v="3"/>
    <n v="61"/>
    <x v="0"/>
    <n v="20"/>
    <x v="3"/>
    <m/>
    <x v="0"/>
    <x v="2"/>
    <x v="0"/>
    <n v="13"/>
    <x v="0"/>
  </r>
  <r>
    <n v="7441"/>
    <x v="26"/>
    <x v="0"/>
    <x v="3"/>
    <x v="1835"/>
    <x v="1"/>
    <d v="1899-12-30T00:00:00"/>
    <d v="2012-10-06T00:00:00"/>
    <n v="80"/>
    <n v="159"/>
    <n v="0"/>
    <n v="0"/>
    <n v="12"/>
    <n v="53"/>
    <x v="0"/>
    <n v="12"/>
    <x v="3"/>
    <m/>
    <x v="0"/>
    <x v="0"/>
    <x v="0"/>
    <n v="14"/>
    <x v="0"/>
  </r>
  <r>
    <n v="1071"/>
    <x v="11"/>
    <x v="1"/>
    <x v="3"/>
    <x v="1418"/>
    <x v="0"/>
    <d v="1899-12-31T00:00:00"/>
    <d v="2013-07-21T00:00:00"/>
    <n v="10"/>
    <n v="88"/>
    <n v="44"/>
    <n v="44"/>
    <n v="13"/>
    <n v="50"/>
    <x v="1"/>
    <n v="57"/>
    <x v="3"/>
    <m/>
    <x v="0"/>
    <x v="0"/>
    <x v="0"/>
    <n v="13"/>
    <x v="0"/>
  </r>
  <r>
    <n v="10061"/>
    <x v="9"/>
    <x v="0"/>
    <x v="2"/>
    <x v="1836"/>
    <x v="0"/>
    <d v="1899-12-31T00:00:00"/>
    <d v="2013-01-05T00:00:00"/>
    <n v="29"/>
    <n v="17"/>
    <n v="8"/>
    <n v="8"/>
    <n v="12"/>
    <n v="76"/>
    <x v="0"/>
    <n v="20"/>
    <x v="3"/>
    <m/>
    <x v="0"/>
    <x v="0"/>
    <x v="0"/>
    <n v="13"/>
    <x v="0"/>
  </r>
  <r>
    <n v="7187"/>
    <x v="21"/>
    <x v="2"/>
    <x v="1"/>
    <x v="10"/>
    <x v="1"/>
    <d v="1899-12-31T00:00:00"/>
    <d v="2013-05-18T00:00:00"/>
    <n v="52"/>
    <n v="42"/>
    <n v="66"/>
    <n v="66"/>
    <n v="4"/>
    <n v="57"/>
    <x v="0"/>
    <n v="70"/>
    <x v="3"/>
    <m/>
    <x v="0"/>
    <x v="2"/>
    <x v="0"/>
    <n v="13"/>
    <x v="0"/>
  </r>
  <r>
    <n v="8775"/>
    <x v="21"/>
    <x v="0"/>
    <x v="1"/>
    <x v="272"/>
    <x v="1"/>
    <d v="1899-12-30T00:00:00"/>
    <d v="2013-12-27T00:00:00"/>
    <n v="74"/>
    <n v="0"/>
    <n v="8"/>
    <n v="8"/>
    <n v="3"/>
    <n v="57"/>
    <x v="0"/>
    <n v="11"/>
    <x v="3"/>
    <m/>
    <x v="0"/>
    <x v="1"/>
    <x v="0"/>
    <n v="13"/>
    <x v="0"/>
  </r>
  <r>
    <n v="1612"/>
    <x v="4"/>
    <x v="1"/>
    <x v="0"/>
    <x v="10"/>
    <x v="1"/>
    <d v="1899-12-30T00:00:00"/>
    <d v="2013-05-31T00:00:00"/>
    <n v="82"/>
    <n v="0"/>
    <n v="2"/>
    <n v="2"/>
    <n v="3"/>
    <n v="45"/>
    <x v="1"/>
    <n v="5"/>
    <x v="3"/>
    <m/>
    <x v="0"/>
    <x v="2"/>
    <x v="0"/>
    <n v="13"/>
    <x v="0"/>
  </r>
  <r>
    <n v="2345"/>
    <x v="18"/>
    <x v="1"/>
    <x v="1"/>
    <x v="1323"/>
    <x v="0"/>
    <d v="1899-12-30T00:00:00"/>
    <d v="2013-10-25T00:00:00"/>
    <n v="54"/>
    <n v="54"/>
    <n v="54"/>
    <n v="54"/>
    <n v="8"/>
    <n v="44"/>
    <x v="1"/>
    <n v="62"/>
    <x v="3"/>
    <m/>
    <x v="0"/>
    <x v="0"/>
    <x v="0"/>
    <n v="13"/>
    <x v="0"/>
  </r>
  <r>
    <n v="322"/>
    <x v="33"/>
    <x v="0"/>
    <x v="1"/>
    <x v="1837"/>
    <x v="1"/>
    <d v="1899-12-31T00:00:00"/>
    <d v="2013-01-12T00:00:00"/>
    <n v="93"/>
    <n v="1"/>
    <n v="0"/>
    <n v="0"/>
    <n v="3"/>
    <n v="48"/>
    <x v="1"/>
    <n v="3"/>
    <x v="3"/>
    <m/>
    <x v="0"/>
    <x v="1"/>
    <x v="0"/>
    <n v="13"/>
    <x v="0"/>
  </r>
  <r>
    <n v="10897"/>
    <x v="8"/>
    <x v="0"/>
    <x v="2"/>
    <x v="614"/>
    <x v="0"/>
    <d v="1899-12-31T00:00:00"/>
    <d v="2012-08-12T00:00:00"/>
    <n v="63"/>
    <n v="80"/>
    <n v="80"/>
    <n v="80"/>
    <n v="12"/>
    <n v="52"/>
    <x v="0"/>
    <n v="92"/>
    <x v="3"/>
    <m/>
    <x v="0"/>
    <x v="0"/>
    <x v="0"/>
    <n v="14"/>
    <x v="0"/>
  </r>
  <r>
    <n v="123"/>
    <x v="20"/>
    <x v="0"/>
    <x v="4"/>
    <x v="1838"/>
    <x v="0"/>
    <d v="1899-12-31T00:00:00"/>
    <d v="2013-01-06T00:00:00"/>
    <n v="92"/>
    <n v="35"/>
    <n v="151"/>
    <n v="151"/>
    <n v="4"/>
    <n v="75"/>
    <x v="0"/>
    <n v="155"/>
    <x v="3"/>
    <m/>
    <x v="0"/>
    <x v="0"/>
    <x v="0"/>
    <n v="13"/>
    <x v="0"/>
  </r>
  <r>
    <n v="6103"/>
    <x v="37"/>
    <x v="0"/>
    <x v="2"/>
    <x v="1839"/>
    <x v="0"/>
    <d v="1899-12-30T00:00:00"/>
    <d v="2013-09-06T00:00:00"/>
    <n v="40"/>
    <n v="15"/>
    <n v="6"/>
    <n v="6"/>
    <n v="3"/>
    <n v="78"/>
    <x v="0"/>
    <n v="9"/>
    <x v="3"/>
    <m/>
    <x v="0"/>
    <x v="1"/>
    <x v="0"/>
    <n v="13"/>
    <x v="0"/>
  </r>
  <r>
    <n v="7899"/>
    <x v="13"/>
    <x v="1"/>
    <x v="2"/>
    <x v="1840"/>
    <x v="0"/>
    <d v="1899-12-31T00:00:00"/>
    <d v="2012-10-29T00:00:00"/>
    <n v="70"/>
    <n v="33"/>
    <n v="33"/>
    <n v="33"/>
    <n v="4"/>
    <n v="74"/>
    <x v="0"/>
    <n v="37"/>
    <x v="3"/>
    <m/>
    <x v="0"/>
    <x v="3"/>
    <x v="0"/>
    <n v="14"/>
    <x v="0"/>
  </r>
  <r>
    <n v="10500"/>
    <x v="3"/>
    <x v="0"/>
    <x v="2"/>
    <x v="1841"/>
    <x v="1"/>
    <d v="1899-12-30T00:00:00"/>
    <d v="2014-04-05T00:00:00"/>
    <n v="96"/>
    <n v="1"/>
    <n v="14"/>
    <n v="14"/>
    <n v="4"/>
    <n v="42"/>
    <x v="1"/>
    <n v="18"/>
    <x v="3"/>
    <m/>
    <x v="0"/>
    <x v="1"/>
    <x v="0"/>
    <n v="12"/>
    <x v="0"/>
  </r>
  <r>
    <n v="1655"/>
    <x v="19"/>
    <x v="0"/>
    <x v="1"/>
    <x v="1842"/>
    <x v="1"/>
    <d v="1899-12-30T00:00:00"/>
    <d v="2013-10-19T00:00:00"/>
    <n v="81"/>
    <n v="3"/>
    <n v="1"/>
    <n v="1"/>
    <n v="3"/>
    <n v="47"/>
    <x v="1"/>
    <n v="4"/>
    <x v="3"/>
    <m/>
    <x v="0"/>
    <x v="1"/>
    <x v="0"/>
    <n v="13"/>
    <x v="0"/>
  </r>
  <r>
    <n v="2406"/>
    <x v="17"/>
    <x v="0"/>
    <x v="1"/>
    <x v="1843"/>
    <x v="0"/>
    <d v="1899-12-31T00:00:00"/>
    <d v="2013-08-05T00:00:00"/>
    <n v="63"/>
    <n v="4"/>
    <n v="9"/>
    <n v="9"/>
    <n v="8"/>
    <n v="77"/>
    <x v="0"/>
    <n v="17"/>
    <x v="3"/>
    <m/>
    <x v="0"/>
    <x v="0"/>
    <x v="0"/>
    <n v="13"/>
    <x v="0"/>
  </r>
  <r>
    <n v="2712"/>
    <x v="46"/>
    <x v="0"/>
    <x v="2"/>
    <x v="1844"/>
    <x v="0"/>
    <d v="1899-12-31T00:00:00"/>
    <d v="2013-12-25T00:00:00"/>
    <n v="85"/>
    <n v="178"/>
    <n v="39"/>
    <n v="39"/>
    <n v="10"/>
    <n v="70"/>
    <x v="0"/>
    <n v="49"/>
    <x v="3"/>
    <m/>
    <x v="0"/>
    <x v="0"/>
    <x v="0"/>
    <n v="13"/>
    <x v="0"/>
  </r>
  <r>
    <n v="5517"/>
    <x v="21"/>
    <x v="0"/>
    <x v="2"/>
    <x v="1630"/>
    <x v="1"/>
    <d v="1899-12-30T00:00:00"/>
    <d v="2013-09-15T00:00:00"/>
    <n v="51"/>
    <n v="0"/>
    <n v="2"/>
    <n v="2"/>
    <n v="2"/>
    <n v="57"/>
    <x v="0"/>
    <n v="4"/>
    <x v="3"/>
    <m/>
    <x v="0"/>
    <x v="2"/>
    <x v="0"/>
    <n v="13"/>
    <x v="0"/>
  </r>
  <r>
    <n v="10643"/>
    <x v="14"/>
    <x v="1"/>
    <x v="0"/>
    <x v="995"/>
    <x v="0"/>
    <d v="1899-12-30T00:00:00"/>
    <d v="2013-01-10T00:00:00"/>
    <n v="23"/>
    <n v="83"/>
    <n v="59"/>
    <n v="59"/>
    <n v="11"/>
    <n v="39"/>
    <x v="1"/>
    <n v="70"/>
    <x v="3"/>
    <m/>
    <x v="0"/>
    <x v="1"/>
    <x v="0"/>
    <n v="13"/>
    <x v="0"/>
  </r>
  <r>
    <n v="2254"/>
    <x v="10"/>
    <x v="0"/>
    <x v="2"/>
    <x v="1845"/>
    <x v="0"/>
    <d v="1899-12-30T00:00:00"/>
    <d v="2013-07-07T00:00:00"/>
    <n v="95"/>
    <n v="120"/>
    <n v="80"/>
    <n v="80"/>
    <n v="5"/>
    <n v="43"/>
    <x v="1"/>
    <n v="85"/>
    <x v="3"/>
    <m/>
    <x v="0"/>
    <x v="0"/>
    <x v="0"/>
    <n v="13"/>
    <x v="0"/>
  </r>
  <r>
    <n v="10281"/>
    <x v="25"/>
    <x v="0"/>
    <x v="3"/>
    <x v="1846"/>
    <x v="1"/>
    <d v="1899-12-30T00:00:00"/>
    <d v="2014-02-07T00:00:00"/>
    <n v="11"/>
    <n v="60"/>
    <n v="54"/>
    <n v="54"/>
    <n v="7"/>
    <n v="56"/>
    <x v="0"/>
    <n v="61"/>
    <x v="3"/>
    <m/>
    <x v="0"/>
    <x v="0"/>
    <x v="0"/>
    <n v="12"/>
    <x v="0"/>
  </r>
  <r>
    <n v="6958"/>
    <x v="32"/>
    <x v="2"/>
    <x v="2"/>
    <x v="1847"/>
    <x v="1"/>
    <d v="1899-12-30T00:00:00"/>
    <d v="2013-07-05T00:00:00"/>
    <n v="42"/>
    <n v="0"/>
    <n v="0"/>
    <n v="0"/>
    <n v="2"/>
    <n v="49"/>
    <x v="1"/>
    <n v="2"/>
    <x v="3"/>
    <m/>
    <x v="0"/>
    <x v="2"/>
    <x v="0"/>
    <n v="13"/>
    <x v="0"/>
  </r>
  <r>
    <n v="954"/>
    <x v="40"/>
    <x v="3"/>
    <x v="4"/>
    <x v="1848"/>
    <x v="0"/>
    <d v="1899-12-30T00:00:00"/>
    <d v="2014-03-27T00:00:00"/>
    <n v="77"/>
    <n v="3"/>
    <n v="7"/>
    <n v="7"/>
    <n v="3"/>
    <n v="66"/>
    <x v="0"/>
    <n v="10"/>
    <x v="3"/>
    <m/>
    <x v="0"/>
    <x v="2"/>
    <x v="0"/>
    <n v="12"/>
    <x v="0"/>
  </r>
  <r>
    <n v="5079"/>
    <x v="6"/>
    <x v="0"/>
    <x v="2"/>
    <x v="10"/>
    <x v="1"/>
    <d v="1899-12-31T00:00:00"/>
    <d v="2013-03-03T00:00:00"/>
    <n v="82"/>
    <n v="1"/>
    <n v="0"/>
    <n v="0"/>
    <n v="3"/>
    <n v="55"/>
    <x v="0"/>
    <n v="3"/>
    <x v="3"/>
    <m/>
    <x v="0"/>
    <x v="2"/>
    <x v="0"/>
    <n v="13"/>
    <x v="0"/>
  </r>
  <r>
    <n v="10339"/>
    <x v="1"/>
    <x v="2"/>
    <x v="1"/>
    <x v="10"/>
    <x v="0"/>
    <d v="1899-12-31T00:00:00"/>
    <d v="2013-06-23T00:00:00"/>
    <n v="83"/>
    <n v="0"/>
    <n v="0"/>
    <n v="0"/>
    <n v="4"/>
    <n v="72"/>
    <x v="0"/>
    <n v="4"/>
    <x v="3"/>
    <m/>
    <x v="0"/>
    <x v="2"/>
    <x v="0"/>
    <n v="13"/>
    <x v="0"/>
  </r>
  <r>
    <n v="4643"/>
    <x v="26"/>
    <x v="0"/>
    <x v="2"/>
    <x v="1849"/>
    <x v="1"/>
    <d v="1899-12-30T00:00:00"/>
    <d v="2012-08-26T00:00:00"/>
    <n v="40"/>
    <n v="26"/>
    <n v="9"/>
    <n v="9"/>
    <n v="4"/>
    <n v="53"/>
    <x v="0"/>
    <n v="13"/>
    <x v="3"/>
    <m/>
    <x v="0"/>
    <x v="2"/>
    <x v="0"/>
    <n v="14"/>
    <x v="0"/>
  </r>
  <r>
    <n v="3117"/>
    <x v="34"/>
    <x v="0"/>
    <x v="0"/>
    <x v="10"/>
    <x v="0"/>
    <d v="1899-12-31T00:00:00"/>
    <d v="2013-10-18T00:00:00"/>
    <n v="95"/>
    <n v="0"/>
    <n v="6"/>
    <n v="6"/>
    <n v="5"/>
    <n v="71"/>
    <x v="0"/>
    <n v="11"/>
    <x v="3"/>
    <m/>
    <x v="0"/>
    <x v="2"/>
    <x v="0"/>
    <n v="13"/>
    <x v="0"/>
  </r>
  <r>
    <n v="6497"/>
    <x v="40"/>
    <x v="0"/>
    <x v="2"/>
    <x v="1850"/>
    <x v="0"/>
    <d v="1899-12-31T00:00:00"/>
    <d v="2012-11-07T00:00:00"/>
    <n v="32"/>
    <n v="6"/>
    <n v="6"/>
    <n v="6"/>
    <n v="5"/>
    <n v="66"/>
    <x v="0"/>
    <n v="11"/>
    <x v="3"/>
    <m/>
    <x v="0"/>
    <x v="0"/>
    <x v="0"/>
    <n v="14"/>
    <x v="0"/>
  </r>
  <r>
    <n v="5396"/>
    <x v="36"/>
    <x v="0"/>
    <x v="2"/>
    <x v="1368"/>
    <x v="0"/>
    <d v="1899-12-30T00:00:00"/>
    <d v="2013-01-13T00:00:00"/>
    <n v="48"/>
    <n v="12"/>
    <n v="89"/>
    <n v="89"/>
    <n v="13"/>
    <n v="38"/>
    <x v="1"/>
    <n v="102"/>
    <x v="3"/>
    <m/>
    <x v="0"/>
    <x v="0"/>
    <x v="0"/>
    <n v="13"/>
    <x v="0"/>
  </r>
  <r>
    <n v="5250"/>
    <x v="27"/>
    <x v="2"/>
    <x v="4"/>
    <x v="10"/>
    <x v="0"/>
    <d v="1899-12-30T00:00:00"/>
    <d v="2013-10-30T00:00:00"/>
    <n v="75"/>
    <n v="126"/>
    <n v="126"/>
    <n v="126"/>
    <n v="11"/>
    <n v="83"/>
    <x v="0"/>
    <n v="137"/>
    <x v="3"/>
    <m/>
    <x v="0"/>
    <x v="2"/>
    <x v="0"/>
    <n v="13"/>
    <x v="0"/>
  </r>
  <r>
    <n v="1052"/>
    <x v="21"/>
    <x v="0"/>
    <x v="2"/>
    <x v="422"/>
    <x v="0"/>
    <d v="1899-12-31T00:00:00"/>
    <d v="2013-02-16T00:00:00"/>
    <n v="24"/>
    <n v="38"/>
    <n v="47"/>
    <n v="47"/>
    <n v="7"/>
    <n v="57"/>
    <x v="0"/>
    <n v="54"/>
    <x v="3"/>
    <m/>
    <x v="0"/>
    <x v="0"/>
    <x v="0"/>
    <n v="13"/>
    <x v="0"/>
  </r>
  <r>
    <n v="2802"/>
    <x v="47"/>
    <x v="4"/>
    <x v="2"/>
    <x v="1851"/>
    <x v="0"/>
    <d v="1899-12-30T00:00:00"/>
    <d v="2012-12-15T00:00:00"/>
    <n v="61"/>
    <n v="25"/>
    <n v="17"/>
    <n v="17"/>
    <n v="7"/>
    <n v="34"/>
    <x v="1"/>
    <n v="24"/>
    <x v="3"/>
    <m/>
    <x v="0"/>
    <x v="3"/>
    <x v="0"/>
    <n v="14"/>
    <x v="0"/>
  </r>
  <r>
    <n v="6343"/>
    <x v="12"/>
    <x v="0"/>
    <x v="2"/>
    <x v="1852"/>
    <x v="0"/>
    <d v="1899-12-31T00:00:00"/>
    <d v="2014-03-31T00:00:00"/>
    <n v="6"/>
    <n v="73"/>
    <n v="73"/>
    <n v="73"/>
    <n v="7"/>
    <n v="67"/>
    <x v="0"/>
    <n v="80"/>
    <x v="3"/>
    <m/>
    <x v="0"/>
    <x v="3"/>
    <x v="0"/>
    <n v="12"/>
    <x v="0"/>
  </r>
  <r>
    <n v="6507"/>
    <x v="16"/>
    <x v="0"/>
    <x v="0"/>
    <x v="1853"/>
    <x v="1"/>
    <d v="1899-12-30T00:00:00"/>
    <d v="2013-10-04T00:00:00"/>
    <n v="16"/>
    <n v="11"/>
    <n v="0"/>
    <n v="0"/>
    <n v="4"/>
    <n v="46"/>
    <x v="1"/>
    <n v="4"/>
    <x v="3"/>
    <m/>
    <x v="0"/>
    <x v="1"/>
    <x v="0"/>
    <n v="13"/>
    <x v="0"/>
  </r>
  <r>
    <n v="7901"/>
    <x v="6"/>
    <x v="2"/>
    <x v="2"/>
    <x v="1854"/>
    <x v="0"/>
    <d v="1899-12-31T00:00:00"/>
    <d v="2013-11-06T00:00:00"/>
    <n v="39"/>
    <n v="1"/>
    <n v="1"/>
    <n v="1"/>
    <n v="3"/>
    <n v="55"/>
    <x v="0"/>
    <n v="4"/>
    <x v="3"/>
    <m/>
    <x v="0"/>
    <x v="1"/>
    <x v="0"/>
    <n v="13"/>
    <x v="0"/>
  </r>
  <r>
    <n v="4865"/>
    <x v="8"/>
    <x v="2"/>
    <x v="3"/>
    <x v="1855"/>
    <x v="1"/>
    <d v="1899-12-31T00:00:00"/>
    <d v="2013-08-31T00:00:00"/>
    <n v="2"/>
    <n v="7"/>
    <n v="3"/>
    <n v="3"/>
    <n v="8"/>
    <n v="52"/>
    <x v="0"/>
    <n v="11"/>
    <x v="3"/>
    <m/>
    <x v="0"/>
    <x v="0"/>
    <x v="0"/>
    <n v="13"/>
    <x v="0"/>
  </r>
  <r>
    <n v="2686"/>
    <x v="21"/>
    <x v="3"/>
    <x v="1"/>
    <x v="1856"/>
    <x v="0"/>
    <d v="1899-12-30T00:00:00"/>
    <d v="2013-10-21T00:00:00"/>
    <n v="49"/>
    <n v="1"/>
    <n v="1"/>
    <n v="1"/>
    <n v="2"/>
    <n v="57"/>
    <x v="0"/>
    <n v="3"/>
    <x v="3"/>
    <m/>
    <x v="0"/>
    <x v="2"/>
    <x v="0"/>
    <n v="13"/>
    <x v="0"/>
  </r>
  <r>
    <n v="3107"/>
    <x v="11"/>
    <x v="0"/>
    <x v="1"/>
    <x v="1805"/>
    <x v="0"/>
    <d v="1899-12-31T00:00:00"/>
    <d v="2014-05-02T00:00:00"/>
    <n v="31"/>
    <n v="24"/>
    <n v="15"/>
    <n v="15"/>
    <n v="7"/>
    <n v="50"/>
    <x v="1"/>
    <n v="22"/>
    <x v="3"/>
    <m/>
    <x v="0"/>
    <x v="0"/>
    <x v="0"/>
    <n v="12"/>
    <x v="0"/>
  </r>
  <r>
    <n v="7734"/>
    <x v="53"/>
    <x v="0"/>
    <x v="6"/>
    <x v="1857"/>
    <x v="0"/>
    <d v="1899-12-30T00:00:00"/>
    <d v="2012-12-19T00:00:00"/>
    <n v="58"/>
    <n v="102"/>
    <n v="61"/>
    <n v="61"/>
    <n v="7"/>
    <n v="33"/>
    <x v="1"/>
    <n v="68"/>
    <x v="3"/>
    <m/>
    <x v="0"/>
    <x v="3"/>
    <x v="0"/>
    <n v="14"/>
    <x v="0"/>
  </r>
  <r>
    <n v="1146"/>
    <x v="17"/>
    <x v="2"/>
    <x v="1"/>
    <x v="1808"/>
    <x v="0"/>
    <d v="1899-12-31T00:00:00"/>
    <d v="2012-09-07T00:00:00"/>
    <n v="5"/>
    <n v="8"/>
    <n v="49"/>
    <n v="49"/>
    <n v="7"/>
    <n v="77"/>
    <x v="0"/>
    <n v="56"/>
    <x v="3"/>
    <m/>
    <x v="0"/>
    <x v="1"/>
    <x v="0"/>
    <n v="14"/>
    <x v="0"/>
  </r>
  <r>
    <n v="11031"/>
    <x v="9"/>
    <x v="1"/>
    <x v="2"/>
    <x v="1858"/>
    <x v="1"/>
    <d v="1899-12-31T00:00:00"/>
    <d v="2013-05-21T00:00:00"/>
    <n v="90"/>
    <n v="1"/>
    <n v="0"/>
    <n v="0"/>
    <n v="3"/>
    <n v="76"/>
    <x v="0"/>
    <n v="3"/>
    <x v="3"/>
    <m/>
    <x v="0"/>
    <x v="1"/>
    <x v="0"/>
    <n v="13"/>
    <x v="0"/>
  </r>
  <r>
    <n v="7428"/>
    <x v="28"/>
    <x v="0"/>
    <x v="1"/>
    <x v="1859"/>
    <x v="0"/>
    <d v="1899-12-30T00:00:00"/>
    <d v="2013-09-30T00:00:00"/>
    <n v="47"/>
    <n v="132"/>
    <n v="192"/>
    <n v="192"/>
    <n v="8"/>
    <n v="51"/>
    <x v="0"/>
    <n v="200"/>
    <x v="3"/>
    <m/>
    <x v="0"/>
    <x v="3"/>
    <x v="0"/>
    <n v="13"/>
    <x v="0"/>
  </r>
  <r>
    <n v="975"/>
    <x v="46"/>
    <x v="0"/>
    <x v="0"/>
    <x v="1860"/>
    <x v="1"/>
    <d v="1899-12-31T00:00:00"/>
    <d v="2013-05-28T00:00:00"/>
    <n v="25"/>
    <n v="4"/>
    <n v="4"/>
    <n v="4"/>
    <n v="5"/>
    <n v="70"/>
    <x v="0"/>
    <n v="9"/>
    <x v="3"/>
    <m/>
    <x v="0"/>
    <x v="0"/>
    <x v="0"/>
    <n v="13"/>
    <x v="0"/>
  </r>
  <r>
    <n v="1103"/>
    <x v="11"/>
    <x v="2"/>
    <x v="2"/>
    <x v="1861"/>
    <x v="1"/>
    <d v="1899-12-30T00:00:00"/>
    <d v="2012-09-29T00:00:00"/>
    <n v="60"/>
    <n v="55"/>
    <n v="0"/>
    <n v="0"/>
    <n v="10"/>
    <n v="50"/>
    <x v="1"/>
    <n v="10"/>
    <x v="3"/>
    <m/>
    <x v="0"/>
    <x v="3"/>
    <x v="0"/>
    <n v="14"/>
    <x v="0"/>
  </r>
  <r>
    <n v="3422"/>
    <x v="28"/>
    <x v="0"/>
    <x v="2"/>
    <x v="1862"/>
    <x v="0"/>
    <d v="1899-12-31T00:00:00"/>
    <d v="2012-11-29T00:00:00"/>
    <n v="67"/>
    <n v="12"/>
    <n v="12"/>
    <n v="12"/>
    <n v="4"/>
    <n v="51"/>
    <x v="0"/>
    <n v="16"/>
    <x v="3"/>
    <m/>
    <x v="0"/>
    <x v="3"/>
    <x v="0"/>
    <n v="14"/>
    <x v="0"/>
  </r>
  <r>
    <n v="1055"/>
    <x v="11"/>
    <x v="2"/>
    <x v="2"/>
    <x v="1863"/>
    <x v="1"/>
    <d v="1899-12-31T00:00:00"/>
    <d v="2014-03-20T00:00:00"/>
    <n v="40"/>
    <n v="0"/>
    <n v="0"/>
    <n v="0"/>
    <n v="3"/>
    <n v="50"/>
    <x v="1"/>
    <n v="3"/>
    <x v="3"/>
    <m/>
    <x v="0"/>
    <x v="0"/>
    <x v="0"/>
    <n v="12"/>
    <x v="0"/>
  </r>
  <r>
    <n v="6544"/>
    <x v="17"/>
    <x v="1"/>
    <x v="1"/>
    <x v="466"/>
    <x v="0"/>
    <d v="1899-12-31T00:00:00"/>
    <d v="2014-05-22T00:00:00"/>
    <n v="63"/>
    <n v="0"/>
    <n v="28"/>
    <n v="28"/>
    <n v="11"/>
    <n v="77"/>
    <x v="0"/>
    <n v="39"/>
    <x v="3"/>
    <m/>
    <x v="0"/>
    <x v="0"/>
    <x v="0"/>
    <n v="12"/>
    <x v="0"/>
  </r>
  <r>
    <n v="1241"/>
    <x v="3"/>
    <x v="4"/>
    <x v="2"/>
    <x v="1864"/>
    <x v="1"/>
    <d v="1899-12-30T00:00:00"/>
    <d v="2012-09-17T00:00:00"/>
    <n v="1"/>
    <n v="3"/>
    <n v="4"/>
    <n v="4"/>
    <n v="3"/>
    <n v="42"/>
    <x v="1"/>
    <n v="7"/>
    <x v="3"/>
    <m/>
    <x v="0"/>
    <x v="2"/>
    <x v="0"/>
    <n v="14"/>
    <x v="0"/>
  </r>
  <r>
    <n v="2909"/>
    <x v="8"/>
    <x v="1"/>
    <x v="2"/>
    <x v="1865"/>
    <x v="0"/>
    <d v="1899-12-31T00:00:00"/>
    <d v="2014-02-19T00:00:00"/>
    <n v="89"/>
    <n v="24"/>
    <n v="24"/>
    <n v="24"/>
    <n v="6"/>
    <n v="52"/>
    <x v="0"/>
    <n v="30"/>
    <x v="3"/>
    <m/>
    <x v="0"/>
    <x v="3"/>
    <x v="0"/>
    <n v="12"/>
    <x v="0"/>
  </r>
  <r>
    <n v="5802"/>
    <x v="39"/>
    <x v="3"/>
    <x v="2"/>
    <x v="1866"/>
    <x v="0"/>
    <d v="1899-12-30T00:00:00"/>
    <d v="2013-02-28T00:00:00"/>
    <n v="40"/>
    <n v="7"/>
    <n v="12"/>
    <n v="12"/>
    <n v="4"/>
    <n v="54"/>
    <x v="0"/>
    <n v="16"/>
    <x v="3"/>
    <m/>
    <x v="0"/>
    <x v="2"/>
    <x v="0"/>
    <n v="13"/>
    <x v="0"/>
  </r>
  <r>
    <n v="1407"/>
    <x v="22"/>
    <x v="3"/>
    <x v="2"/>
    <x v="737"/>
    <x v="1"/>
    <d v="1899-12-30T00:00:00"/>
    <d v="2012-10-29T00:00:00"/>
    <n v="5"/>
    <n v="12"/>
    <n v="16"/>
    <n v="16"/>
    <n v="3"/>
    <n v="40"/>
    <x v="1"/>
    <n v="19"/>
    <x v="3"/>
    <m/>
    <x v="0"/>
    <x v="2"/>
    <x v="0"/>
    <n v="14"/>
    <x v="0"/>
  </r>
  <r>
    <n v="6183"/>
    <x v="43"/>
    <x v="2"/>
    <x v="2"/>
    <x v="1767"/>
    <x v="0"/>
    <d v="1899-12-31T00:00:00"/>
    <d v="2013-06-10T00:00:00"/>
    <n v="3"/>
    <n v="1"/>
    <n v="5"/>
    <n v="5"/>
    <n v="4"/>
    <n v="64"/>
    <x v="0"/>
    <n v="9"/>
    <x v="3"/>
    <m/>
    <x v="0"/>
    <x v="0"/>
    <x v="0"/>
    <n v="13"/>
    <x v="0"/>
  </r>
  <r>
    <n v="340"/>
    <x v="25"/>
    <x v="0"/>
    <x v="3"/>
    <x v="1867"/>
    <x v="0"/>
    <d v="1899-12-31T00:00:00"/>
    <d v="2012-12-15T00:00:00"/>
    <n v="1"/>
    <n v="35"/>
    <n v="0"/>
    <n v="0"/>
    <n v="8"/>
    <n v="56"/>
    <x v="0"/>
    <n v="8"/>
    <x v="3"/>
    <m/>
    <x v="0"/>
    <x v="0"/>
    <x v="0"/>
    <n v="14"/>
    <x v="0"/>
  </r>
  <r>
    <n v="5991"/>
    <x v="17"/>
    <x v="2"/>
    <x v="2"/>
    <x v="1868"/>
    <x v="0"/>
    <d v="1899-12-31T00:00:00"/>
    <d v="2013-06-08T00:00:00"/>
    <n v="24"/>
    <n v="2"/>
    <n v="2"/>
    <n v="2"/>
    <n v="4"/>
    <n v="77"/>
    <x v="0"/>
    <n v="6"/>
    <x v="3"/>
    <m/>
    <x v="0"/>
    <x v="1"/>
    <x v="0"/>
    <n v="13"/>
    <x v="0"/>
  </r>
  <r>
    <n v="3104"/>
    <x v="45"/>
    <x v="0"/>
    <x v="0"/>
    <x v="1869"/>
    <x v="0"/>
    <d v="1899-12-30T00:00:00"/>
    <d v="2012-09-17T00:00:00"/>
    <n v="89"/>
    <n v="59"/>
    <n v="79"/>
    <n v="79"/>
    <n v="12"/>
    <n v="65"/>
    <x v="0"/>
    <n v="91"/>
    <x v="3"/>
    <m/>
    <x v="0"/>
    <x v="3"/>
    <x v="0"/>
    <n v="14"/>
    <x v="0"/>
  </r>
  <r>
    <n v="9729"/>
    <x v="34"/>
    <x v="0"/>
    <x v="4"/>
    <x v="1870"/>
    <x v="1"/>
    <d v="1899-12-31T00:00:00"/>
    <d v="2013-06-02T00:00:00"/>
    <n v="48"/>
    <n v="10"/>
    <n v="43"/>
    <n v="43"/>
    <n v="7"/>
    <n v="71"/>
    <x v="0"/>
    <n v="50"/>
    <x v="3"/>
    <m/>
    <x v="0"/>
    <x v="0"/>
    <x v="0"/>
    <n v="13"/>
    <x v="0"/>
  </r>
  <r>
    <n v="1008"/>
    <x v="4"/>
    <x v="1"/>
    <x v="1"/>
    <x v="1871"/>
    <x v="0"/>
    <d v="1899-12-30T00:00:00"/>
    <d v="2012-12-21T00:00:00"/>
    <n v="31"/>
    <n v="17"/>
    <n v="8"/>
    <n v="8"/>
    <n v="13"/>
    <n v="45"/>
    <x v="1"/>
    <n v="21"/>
    <x v="3"/>
    <m/>
    <x v="0"/>
    <x v="1"/>
    <x v="0"/>
    <n v="14"/>
    <x v="0"/>
  </r>
  <r>
    <n v="11091"/>
    <x v="44"/>
    <x v="0"/>
    <x v="1"/>
    <x v="1872"/>
    <x v="1"/>
    <d v="1899-12-31T00:00:00"/>
    <d v="2014-05-16T00:00:00"/>
    <n v="68"/>
    <n v="2"/>
    <n v="0"/>
    <n v="0"/>
    <n v="3"/>
    <n v="73"/>
    <x v="0"/>
    <n v="3"/>
    <x v="3"/>
    <m/>
    <x v="0"/>
    <x v="1"/>
    <x v="0"/>
    <n v="12"/>
    <x v="0"/>
  </r>
  <r>
    <n v="3969"/>
    <x v="8"/>
    <x v="2"/>
    <x v="1"/>
    <x v="1873"/>
    <x v="0"/>
    <d v="1899-12-31T00:00:00"/>
    <d v="2013-11-01T00:00:00"/>
    <n v="46"/>
    <n v="4"/>
    <n v="6"/>
    <n v="6"/>
    <n v="2"/>
    <n v="52"/>
    <x v="0"/>
    <n v="8"/>
    <x v="3"/>
    <m/>
    <x v="0"/>
    <x v="1"/>
    <x v="0"/>
    <n v="13"/>
    <x v="0"/>
  </r>
  <r>
    <n v="1916"/>
    <x v="1"/>
    <x v="2"/>
    <x v="2"/>
    <x v="1874"/>
    <x v="0"/>
    <d v="1899-12-31T00:00:00"/>
    <d v="2013-07-24T00:00:00"/>
    <n v="92"/>
    <n v="3"/>
    <n v="3"/>
    <n v="3"/>
    <n v="6"/>
    <n v="72"/>
    <x v="0"/>
    <n v="9"/>
    <x v="3"/>
    <m/>
    <x v="0"/>
    <x v="1"/>
    <x v="0"/>
    <n v="13"/>
    <x v="0"/>
  </r>
  <r>
    <n v="9907"/>
    <x v="21"/>
    <x v="2"/>
    <x v="1"/>
    <x v="644"/>
    <x v="0"/>
    <d v="1899-12-31T00:00:00"/>
    <d v="2013-12-04T00:00:00"/>
    <n v="80"/>
    <n v="28"/>
    <n v="9"/>
    <n v="9"/>
    <n v="10"/>
    <n v="57"/>
    <x v="0"/>
    <n v="19"/>
    <x v="3"/>
    <m/>
    <x v="0"/>
    <x v="0"/>
    <x v="0"/>
    <n v="13"/>
    <x v="0"/>
  </r>
  <r>
    <n v="87"/>
    <x v="4"/>
    <x v="4"/>
    <x v="2"/>
    <x v="1875"/>
    <x v="1"/>
    <d v="1899-12-30T00:00:00"/>
    <d v="2013-08-26T00:00:00"/>
    <n v="16"/>
    <n v="7"/>
    <n v="2"/>
    <n v="2"/>
    <n v="3"/>
    <n v="45"/>
    <x v="1"/>
    <n v="5"/>
    <x v="3"/>
    <m/>
    <x v="0"/>
    <x v="2"/>
    <x v="0"/>
    <n v="13"/>
    <x v="0"/>
  </r>
  <r>
    <n v="8659"/>
    <x v="13"/>
    <x v="1"/>
    <x v="1"/>
    <x v="1876"/>
    <x v="0"/>
    <d v="1899-12-31T00:00:00"/>
    <d v="2014-01-21T00:00:00"/>
    <n v="50"/>
    <n v="71"/>
    <n v="10"/>
    <n v="10"/>
    <n v="11"/>
    <n v="74"/>
    <x v="0"/>
    <n v="21"/>
    <x v="3"/>
    <m/>
    <x v="0"/>
    <x v="0"/>
    <x v="0"/>
    <n v="12"/>
    <x v="0"/>
  </r>
  <r>
    <n v="6262"/>
    <x v="43"/>
    <x v="2"/>
    <x v="0"/>
    <x v="1877"/>
    <x v="0"/>
    <d v="1899-12-30T00:00:00"/>
    <d v="2013-04-10T00:00:00"/>
    <n v="93"/>
    <n v="42"/>
    <n v="56"/>
    <n v="56"/>
    <n v="8"/>
    <n v="64"/>
    <x v="0"/>
    <n v="64"/>
    <x v="3"/>
    <m/>
    <x v="0"/>
    <x v="0"/>
    <x v="0"/>
    <n v="13"/>
    <x v="0"/>
  </r>
  <r>
    <n v="6147"/>
    <x v="6"/>
    <x v="0"/>
    <x v="3"/>
    <x v="1878"/>
    <x v="1"/>
    <d v="1899-12-30T00:00:00"/>
    <d v="2012-10-18T00:00:00"/>
    <n v="51"/>
    <n v="2"/>
    <n v="2"/>
    <n v="2"/>
    <n v="2"/>
    <n v="55"/>
    <x v="0"/>
    <n v="4"/>
    <x v="3"/>
    <m/>
    <x v="0"/>
    <x v="2"/>
    <x v="0"/>
    <n v="14"/>
    <x v="0"/>
  </r>
  <r>
    <n v="8832"/>
    <x v="11"/>
    <x v="2"/>
    <x v="1"/>
    <x v="1879"/>
    <x v="1"/>
    <d v="1899-12-30T00:00:00"/>
    <d v="2012-09-12T00:00:00"/>
    <n v="24"/>
    <n v="5"/>
    <n v="8"/>
    <n v="8"/>
    <n v="4"/>
    <n v="50"/>
    <x v="1"/>
    <n v="12"/>
    <x v="3"/>
    <m/>
    <x v="0"/>
    <x v="1"/>
    <x v="0"/>
    <n v="14"/>
    <x v="0"/>
  </r>
  <r>
    <n v="10067"/>
    <x v="11"/>
    <x v="4"/>
    <x v="1"/>
    <x v="1880"/>
    <x v="1"/>
    <d v="1899-12-31T00:00:00"/>
    <d v="2013-08-10T00:00:00"/>
    <n v="79"/>
    <n v="0"/>
    <n v="0"/>
    <n v="0"/>
    <n v="2"/>
    <n v="50"/>
    <x v="1"/>
    <n v="2"/>
    <x v="3"/>
    <m/>
    <x v="0"/>
    <x v="2"/>
    <x v="0"/>
    <n v="13"/>
    <x v="0"/>
  </r>
  <r>
    <n v="7532"/>
    <x v="16"/>
    <x v="0"/>
    <x v="2"/>
    <x v="1881"/>
    <x v="0"/>
    <d v="1899-12-31T00:00:00"/>
    <d v="2012-08-30T00:00:00"/>
    <n v="26"/>
    <n v="2"/>
    <n v="0"/>
    <n v="0"/>
    <n v="4"/>
    <n v="46"/>
    <x v="1"/>
    <n v="4"/>
    <x v="3"/>
    <m/>
    <x v="0"/>
    <x v="1"/>
    <x v="0"/>
    <n v="14"/>
    <x v="0"/>
  </r>
  <r>
    <n v="4915"/>
    <x v="46"/>
    <x v="4"/>
    <x v="2"/>
    <x v="1882"/>
    <x v="0"/>
    <d v="1899-12-31T00:00:00"/>
    <d v="2012-08-03T00:00:00"/>
    <n v="86"/>
    <n v="72"/>
    <n v="21"/>
    <n v="21"/>
    <n v="12"/>
    <n v="70"/>
    <x v="0"/>
    <n v="33"/>
    <x v="3"/>
    <m/>
    <x v="0"/>
    <x v="0"/>
    <x v="0"/>
    <n v="14"/>
    <x v="0"/>
  </r>
  <r>
    <n v="2115"/>
    <x v="0"/>
    <x v="0"/>
    <x v="1"/>
    <x v="1883"/>
    <x v="1"/>
    <d v="1899-12-31T00:00:00"/>
    <d v="2014-06-20T00:00:00"/>
    <n v="68"/>
    <n v="0"/>
    <n v="0"/>
    <n v="0"/>
    <n v="4"/>
    <n v="69"/>
    <x v="0"/>
    <n v="4"/>
    <x v="3"/>
    <m/>
    <x v="0"/>
    <x v="0"/>
    <x v="0"/>
    <n v="12"/>
    <x v="0"/>
  </r>
  <r>
    <n v="2088"/>
    <x v="39"/>
    <x v="0"/>
    <x v="1"/>
    <x v="1149"/>
    <x v="0"/>
    <d v="1899-12-30T00:00:00"/>
    <d v="2013-10-04T00:00:00"/>
    <n v="98"/>
    <n v="15"/>
    <n v="30"/>
    <n v="30"/>
    <n v="12"/>
    <n v="54"/>
    <x v="0"/>
    <n v="42"/>
    <x v="3"/>
    <m/>
    <x v="0"/>
    <x v="3"/>
    <x v="0"/>
    <n v="13"/>
    <x v="0"/>
  </r>
  <r>
    <n v="2493"/>
    <x v="35"/>
    <x v="0"/>
    <x v="2"/>
    <x v="171"/>
    <x v="0"/>
    <d v="1899-12-31T00:00:00"/>
    <d v="2013-08-02T00:00:00"/>
    <n v="34"/>
    <n v="0"/>
    <n v="9"/>
    <n v="9"/>
    <n v="8"/>
    <n v="60"/>
    <x v="0"/>
    <n v="17"/>
    <x v="3"/>
    <m/>
    <x v="0"/>
    <x v="0"/>
    <x v="0"/>
    <n v="13"/>
    <x v="0"/>
  </r>
  <r>
    <n v="6292"/>
    <x v="22"/>
    <x v="1"/>
    <x v="2"/>
    <x v="1884"/>
    <x v="0"/>
    <d v="1899-12-30T00:00:00"/>
    <d v="2013-03-30T00:00:00"/>
    <n v="60"/>
    <n v="0"/>
    <n v="89"/>
    <n v="89"/>
    <n v="10"/>
    <n v="40"/>
    <x v="1"/>
    <n v="99"/>
    <x v="3"/>
    <m/>
    <x v="0"/>
    <x v="3"/>
    <x v="0"/>
    <n v="13"/>
    <x v="0"/>
  </r>
  <r>
    <n v="1631"/>
    <x v="2"/>
    <x v="1"/>
    <x v="1"/>
    <x v="1885"/>
    <x v="0"/>
    <d v="1899-12-30T00:00:00"/>
    <d v="2012-09-03T00:00:00"/>
    <n v="3"/>
    <n v="63"/>
    <n v="25"/>
    <n v="25"/>
    <n v="7"/>
    <n v="61"/>
    <x v="0"/>
    <n v="32"/>
    <x v="3"/>
    <m/>
    <x v="0"/>
    <x v="0"/>
    <x v="0"/>
    <n v="14"/>
    <x v="0"/>
  </r>
  <r>
    <n v="10104"/>
    <x v="8"/>
    <x v="0"/>
    <x v="1"/>
    <x v="1886"/>
    <x v="2"/>
    <d v="1899-12-31T00:00:00"/>
    <d v="2013-11-03T00:00:00"/>
    <n v="65"/>
    <n v="0"/>
    <n v="0"/>
    <n v="0"/>
    <n v="2"/>
    <n v="52"/>
    <x v="0"/>
    <n v="2"/>
    <x v="3"/>
    <m/>
    <x v="0"/>
    <x v="1"/>
    <x v="0"/>
    <n v="13"/>
    <x v="0"/>
  </r>
  <r>
    <n v="3006"/>
    <x v="11"/>
    <x v="0"/>
    <x v="3"/>
    <x v="112"/>
    <x v="1"/>
    <d v="1899-12-30T00:00:00"/>
    <d v="2013-04-22T00:00:00"/>
    <n v="83"/>
    <n v="0"/>
    <n v="3"/>
    <n v="3"/>
    <n v="3"/>
    <n v="50"/>
    <x v="1"/>
    <n v="6"/>
    <x v="3"/>
    <m/>
    <x v="0"/>
    <x v="1"/>
    <x v="0"/>
    <n v="13"/>
    <x v="0"/>
  </r>
  <r>
    <n v="3919"/>
    <x v="11"/>
    <x v="2"/>
    <x v="0"/>
    <x v="1887"/>
    <x v="0"/>
    <d v="1899-12-30T00:00:00"/>
    <d v="2013-03-11T00:00:00"/>
    <n v="64"/>
    <n v="0"/>
    <n v="38"/>
    <n v="38"/>
    <n v="8"/>
    <n v="50"/>
    <x v="1"/>
    <n v="46"/>
    <x v="3"/>
    <m/>
    <x v="0"/>
    <x v="0"/>
    <x v="0"/>
    <n v="13"/>
    <x v="0"/>
  </r>
  <r>
    <n v="11181"/>
    <x v="17"/>
    <x v="1"/>
    <x v="2"/>
    <x v="1888"/>
    <x v="0"/>
    <d v="1899-12-30T00:00:00"/>
    <d v="2013-08-29T00:00:00"/>
    <n v="85"/>
    <n v="1"/>
    <n v="1"/>
    <n v="1"/>
    <n v="0"/>
    <n v="77"/>
    <x v="0"/>
    <n v="1"/>
    <x v="3"/>
    <m/>
    <x v="0"/>
    <x v="4"/>
    <x v="0"/>
    <n v="13"/>
    <x v="0"/>
  </r>
  <r>
    <n v="642"/>
    <x v="16"/>
    <x v="3"/>
    <x v="2"/>
    <x v="1889"/>
    <x v="1"/>
    <d v="1899-12-30T00:00:00"/>
    <d v="2012-08-14T00:00:00"/>
    <n v="69"/>
    <n v="3"/>
    <n v="30"/>
    <n v="30"/>
    <n v="2"/>
    <n v="46"/>
    <x v="1"/>
    <n v="32"/>
    <x v="3"/>
    <m/>
    <x v="0"/>
    <x v="2"/>
    <x v="0"/>
    <n v="14"/>
    <x v="0"/>
  </r>
  <r>
    <n v="4369"/>
    <x v="0"/>
    <x v="2"/>
    <x v="6"/>
    <x v="1890"/>
    <x v="0"/>
    <d v="1899-12-30T00:00:00"/>
    <d v="2014-01-10T00:00:00"/>
    <n v="48"/>
    <n v="67"/>
    <n v="0"/>
    <n v="0"/>
    <n v="6"/>
    <n v="69"/>
    <x v="0"/>
    <n v="6"/>
    <x v="3"/>
    <m/>
    <x v="0"/>
    <x v="0"/>
    <x v="0"/>
    <n v="12"/>
    <x v="0"/>
  </r>
  <r>
    <n v="10127"/>
    <x v="2"/>
    <x v="0"/>
    <x v="2"/>
    <x v="1891"/>
    <x v="0"/>
    <d v="1899-12-31T00:00:00"/>
    <d v="2014-04-06T00:00:00"/>
    <n v="21"/>
    <n v="11"/>
    <n v="7"/>
    <n v="7"/>
    <n v="4"/>
    <n v="61"/>
    <x v="0"/>
    <n v="11"/>
    <x v="3"/>
    <m/>
    <x v="0"/>
    <x v="0"/>
    <x v="0"/>
    <n v="12"/>
    <x v="0"/>
  </r>
  <r>
    <n v="271"/>
    <x v="21"/>
    <x v="0"/>
    <x v="4"/>
    <x v="1892"/>
    <x v="1"/>
    <d v="1899-12-31T00:00:00"/>
    <d v="2013-10-02T00:00:00"/>
    <n v="30"/>
    <n v="0"/>
    <n v="11"/>
    <n v="11"/>
    <n v="3"/>
    <n v="57"/>
    <x v="0"/>
    <n v="14"/>
    <x v="3"/>
    <m/>
    <x v="0"/>
    <x v="1"/>
    <x v="0"/>
    <n v="13"/>
    <x v="0"/>
  </r>
  <r>
    <n v="4973"/>
    <x v="25"/>
    <x v="0"/>
    <x v="0"/>
    <x v="734"/>
    <x v="1"/>
    <d v="1899-12-30T00:00:00"/>
    <d v="2014-05-11T00:00:00"/>
    <n v="39"/>
    <n v="3"/>
    <n v="1"/>
    <n v="1"/>
    <n v="2"/>
    <n v="56"/>
    <x v="0"/>
    <n v="3"/>
    <x v="3"/>
    <m/>
    <x v="0"/>
    <x v="2"/>
    <x v="0"/>
    <n v="12"/>
    <x v="0"/>
  </r>
  <r>
    <n v="2948"/>
    <x v="1"/>
    <x v="2"/>
    <x v="3"/>
    <x v="1893"/>
    <x v="0"/>
    <d v="1899-12-31T00:00:00"/>
    <d v="2014-03-01T00:00:00"/>
    <n v="76"/>
    <n v="12"/>
    <n v="12"/>
    <n v="12"/>
    <n v="5"/>
    <n v="72"/>
    <x v="0"/>
    <n v="17"/>
    <x v="3"/>
    <m/>
    <x v="0"/>
    <x v="0"/>
    <x v="0"/>
    <n v="12"/>
    <x v="0"/>
  </r>
  <r>
    <n v="2715"/>
    <x v="35"/>
    <x v="2"/>
    <x v="3"/>
    <x v="1894"/>
    <x v="1"/>
    <d v="1899-12-31T00:00:00"/>
    <d v="2012-08-06T00:00:00"/>
    <n v="11"/>
    <n v="3"/>
    <n v="2"/>
    <n v="2"/>
    <n v="2"/>
    <n v="60"/>
    <x v="0"/>
    <n v="4"/>
    <x v="3"/>
    <m/>
    <x v="0"/>
    <x v="2"/>
    <x v="0"/>
    <n v="14"/>
    <x v="0"/>
  </r>
  <r>
    <n v="10432"/>
    <x v="8"/>
    <x v="0"/>
    <x v="3"/>
    <x v="1895"/>
    <x v="1"/>
    <d v="1899-12-30T00:00:00"/>
    <d v="2014-01-30T00:00:00"/>
    <n v="26"/>
    <n v="0"/>
    <n v="6"/>
    <n v="6"/>
    <n v="3"/>
    <n v="52"/>
    <x v="0"/>
    <n v="9"/>
    <x v="3"/>
    <m/>
    <x v="0"/>
    <x v="2"/>
    <x v="0"/>
    <n v="12"/>
    <x v="0"/>
  </r>
  <r>
    <n v="9216"/>
    <x v="6"/>
    <x v="0"/>
    <x v="2"/>
    <x v="1896"/>
    <x v="1"/>
    <d v="1899-12-31T00:00:00"/>
    <d v="2014-01-23T00:00:00"/>
    <n v="34"/>
    <n v="2"/>
    <n v="1"/>
    <n v="1"/>
    <n v="3"/>
    <n v="55"/>
    <x v="0"/>
    <n v="4"/>
    <x v="3"/>
    <m/>
    <x v="0"/>
    <x v="1"/>
    <x v="0"/>
    <n v="12"/>
    <x v="0"/>
  </r>
  <r>
    <n v="7124"/>
    <x v="30"/>
    <x v="0"/>
    <x v="3"/>
    <x v="1897"/>
    <x v="1"/>
    <d v="1899-12-31T00:00:00"/>
    <d v="2013-02-01T00:00:00"/>
    <n v="72"/>
    <n v="4"/>
    <n v="0"/>
    <n v="0"/>
    <n v="4"/>
    <n v="58"/>
    <x v="0"/>
    <n v="4"/>
    <x v="3"/>
    <m/>
    <x v="0"/>
    <x v="1"/>
    <x v="0"/>
    <n v="13"/>
    <x v="0"/>
  </r>
  <r>
    <n v="9727"/>
    <x v="0"/>
    <x v="0"/>
    <x v="2"/>
    <x v="1898"/>
    <x v="0"/>
    <d v="1899-12-30T00:00:00"/>
    <d v="2014-02-28T00:00:00"/>
    <n v="13"/>
    <n v="24"/>
    <n v="1"/>
    <n v="1"/>
    <n v="4"/>
    <n v="69"/>
    <x v="0"/>
    <n v="5"/>
    <x v="3"/>
    <m/>
    <x v="0"/>
    <x v="2"/>
    <x v="0"/>
    <n v="12"/>
    <x v="0"/>
  </r>
  <r>
    <n v="5136"/>
    <x v="26"/>
    <x v="0"/>
    <x v="0"/>
    <x v="1899"/>
    <x v="0"/>
    <d v="1899-12-31T00:00:00"/>
    <d v="2014-01-17T00:00:00"/>
    <n v="58"/>
    <n v="7"/>
    <n v="15"/>
    <n v="15"/>
    <n v="8"/>
    <n v="53"/>
    <x v="0"/>
    <n v="23"/>
    <x v="3"/>
    <m/>
    <x v="0"/>
    <x v="0"/>
    <x v="0"/>
    <n v="12"/>
    <x v="0"/>
  </r>
  <r>
    <n v="9790"/>
    <x v="0"/>
    <x v="0"/>
    <x v="0"/>
    <x v="1900"/>
    <x v="0"/>
    <d v="1899-12-30T00:00:00"/>
    <d v="2013-11-23T00:00:00"/>
    <n v="12"/>
    <n v="72"/>
    <n v="36"/>
    <n v="36"/>
    <n v="4"/>
    <n v="69"/>
    <x v="0"/>
    <n v="40"/>
    <x v="3"/>
    <m/>
    <x v="0"/>
    <x v="3"/>
    <x v="0"/>
    <n v="13"/>
    <x v="0"/>
  </r>
  <r>
    <n v="1818"/>
    <x v="6"/>
    <x v="1"/>
    <x v="1"/>
    <x v="1901"/>
    <x v="1"/>
    <d v="1899-12-30T00:00:00"/>
    <d v="2014-03-25T00:00:00"/>
    <n v="23"/>
    <n v="0"/>
    <n v="1"/>
    <n v="1"/>
    <n v="2"/>
    <n v="55"/>
    <x v="0"/>
    <n v="3"/>
    <x v="3"/>
    <m/>
    <x v="0"/>
    <x v="2"/>
    <x v="0"/>
    <n v="12"/>
    <x v="0"/>
  </r>
  <r>
    <n v="1100"/>
    <x v="40"/>
    <x v="2"/>
    <x v="1"/>
    <x v="1902"/>
    <x v="1"/>
    <d v="1900-01-01T00:00:00"/>
    <d v="2014-03-24T00:00:00"/>
    <n v="33"/>
    <n v="4"/>
    <n v="2"/>
    <n v="2"/>
    <n v="3"/>
    <n v="66"/>
    <x v="0"/>
    <n v="5"/>
    <x v="3"/>
    <m/>
    <x v="0"/>
    <x v="1"/>
    <x v="0"/>
    <n v="12"/>
    <x v="0"/>
  </r>
  <r>
    <n v="7873"/>
    <x v="26"/>
    <x v="1"/>
    <x v="1"/>
    <x v="1903"/>
    <x v="1"/>
    <d v="1899-12-31T00:00:00"/>
    <d v="2013-07-06T00:00:00"/>
    <n v="30"/>
    <n v="11"/>
    <n v="14"/>
    <n v="14"/>
    <n v="7"/>
    <n v="53"/>
    <x v="0"/>
    <n v="21"/>
    <x v="3"/>
    <m/>
    <x v="0"/>
    <x v="0"/>
    <x v="0"/>
    <n v="13"/>
    <x v="0"/>
  </r>
  <r>
    <n v="10609"/>
    <x v="43"/>
    <x v="1"/>
    <x v="2"/>
    <x v="1904"/>
    <x v="0"/>
    <d v="1899-12-31T00:00:00"/>
    <d v="2013-10-12T00:00:00"/>
    <n v="15"/>
    <n v="0"/>
    <n v="1"/>
    <n v="1"/>
    <n v="4"/>
    <n v="64"/>
    <x v="0"/>
    <n v="5"/>
    <x v="3"/>
    <m/>
    <x v="0"/>
    <x v="1"/>
    <x v="0"/>
    <n v="13"/>
    <x v="0"/>
  </r>
  <r>
    <n v="6950"/>
    <x v="38"/>
    <x v="2"/>
    <x v="2"/>
    <x v="1905"/>
    <x v="1"/>
    <d v="1899-12-31T00:00:00"/>
    <d v="2013-12-15T00:00:00"/>
    <n v="25"/>
    <n v="1"/>
    <n v="1"/>
    <n v="1"/>
    <n v="3"/>
    <n v="68"/>
    <x v="0"/>
    <n v="4"/>
    <x v="3"/>
    <m/>
    <x v="0"/>
    <x v="1"/>
    <x v="0"/>
    <n v="13"/>
    <x v="0"/>
  </r>
  <r>
    <n v="7233"/>
    <x v="39"/>
    <x v="0"/>
    <x v="2"/>
    <x v="1906"/>
    <x v="0"/>
    <d v="1899-12-30T00:00:00"/>
    <d v="2012-09-17T00:00:00"/>
    <n v="4"/>
    <n v="32"/>
    <n v="48"/>
    <n v="48"/>
    <n v="6"/>
    <n v="54"/>
    <x v="0"/>
    <n v="54"/>
    <x v="3"/>
    <m/>
    <x v="0"/>
    <x v="0"/>
    <x v="0"/>
    <n v="14"/>
    <x v="0"/>
  </r>
  <r>
    <n v="9481"/>
    <x v="11"/>
    <x v="0"/>
    <x v="2"/>
    <x v="1907"/>
    <x v="1"/>
    <d v="1899-12-30T00:00:00"/>
    <d v="2014-01-28T00:00:00"/>
    <n v="80"/>
    <n v="9"/>
    <n v="10"/>
    <n v="10"/>
    <n v="3"/>
    <n v="50"/>
    <x v="1"/>
    <n v="13"/>
    <x v="3"/>
    <m/>
    <x v="0"/>
    <x v="2"/>
    <x v="0"/>
    <n v="12"/>
    <x v="0"/>
  </r>
  <r>
    <n v="7699"/>
    <x v="21"/>
    <x v="0"/>
    <x v="4"/>
    <x v="1892"/>
    <x v="1"/>
    <d v="1899-12-31T00:00:00"/>
    <d v="2013-10-02T00:00:00"/>
    <n v="30"/>
    <n v="0"/>
    <n v="11"/>
    <n v="11"/>
    <n v="3"/>
    <n v="57"/>
    <x v="0"/>
    <n v="14"/>
    <x v="3"/>
    <m/>
    <x v="0"/>
    <x v="1"/>
    <x v="0"/>
    <n v="13"/>
    <x v="0"/>
  </r>
  <r>
    <n v="2711"/>
    <x v="11"/>
    <x v="2"/>
    <x v="1"/>
    <x v="1478"/>
    <x v="1"/>
    <d v="1899-12-30T00:00:00"/>
    <d v="2013-06-27T00:00:00"/>
    <n v="6"/>
    <n v="1"/>
    <n v="5"/>
    <n v="5"/>
    <n v="3"/>
    <n v="50"/>
    <x v="1"/>
    <n v="8"/>
    <x v="3"/>
    <m/>
    <x v="0"/>
    <x v="1"/>
    <x v="0"/>
    <n v="13"/>
    <x v="0"/>
  </r>
  <r>
    <n v="8933"/>
    <x v="10"/>
    <x v="4"/>
    <x v="2"/>
    <x v="1908"/>
    <x v="1"/>
    <d v="1899-12-30T00:00:00"/>
    <d v="2014-05-12T00:00:00"/>
    <n v="16"/>
    <n v="3"/>
    <n v="7"/>
    <n v="7"/>
    <n v="4"/>
    <n v="43"/>
    <x v="1"/>
    <n v="11"/>
    <x v="3"/>
    <m/>
    <x v="0"/>
    <x v="1"/>
    <x v="0"/>
    <n v="12"/>
    <x v="0"/>
  </r>
  <r>
    <n v="8726"/>
    <x v="31"/>
    <x v="4"/>
    <x v="3"/>
    <x v="1909"/>
    <x v="1"/>
    <d v="1899-12-31T00:00:00"/>
    <d v="2014-04-29T00:00:00"/>
    <n v="57"/>
    <n v="8"/>
    <n v="10"/>
    <n v="10"/>
    <n v="4"/>
    <n v="62"/>
    <x v="0"/>
    <n v="14"/>
    <x v="3"/>
    <m/>
    <x v="0"/>
    <x v="1"/>
    <x v="0"/>
    <n v="12"/>
    <x v="0"/>
  </r>
  <r>
    <n v="1515"/>
    <x v="28"/>
    <x v="2"/>
    <x v="1"/>
    <x v="138"/>
    <x v="0"/>
    <d v="1899-12-31T00:00:00"/>
    <d v="2014-01-22T00:00:00"/>
    <n v="9"/>
    <n v="2"/>
    <n v="2"/>
    <n v="2"/>
    <n v="3"/>
    <n v="51"/>
    <x v="0"/>
    <n v="5"/>
    <x v="3"/>
    <m/>
    <x v="0"/>
    <x v="1"/>
    <x v="0"/>
    <n v="12"/>
    <x v="0"/>
  </r>
  <r>
    <n v="5186"/>
    <x v="34"/>
    <x v="1"/>
    <x v="2"/>
    <x v="1910"/>
    <x v="0"/>
    <d v="1899-12-31T00:00:00"/>
    <d v="2014-03-12T00:00:00"/>
    <n v="59"/>
    <n v="7"/>
    <n v="7"/>
    <n v="7"/>
    <n v="9"/>
    <n v="71"/>
    <x v="0"/>
    <n v="16"/>
    <x v="3"/>
    <m/>
    <x v="0"/>
    <x v="0"/>
    <x v="0"/>
    <n v="12"/>
    <x v="0"/>
  </r>
  <r>
    <n v="10157"/>
    <x v="2"/>
    <x v="0"/>
    <x v="0"/>
    <x v="1911"/>
    <x v="0"/>
    <d v="1899-12-31T00:00:00"/>
    <d v="2014-01-25T00:00:00"/>
    <n v="78"/>
    <n v="15"/>
    <n v="42"/>
    <n v="42"/>
    <n v="6"/>
    <n v="61"/>
    <x v="0"/>
    <n v="48"/>
    <x v="3"/>
    <m/>
    <x v="0"/>
    <x v="0"/>
    <x v="0"/>
    <n v="12"/>
    <x v="0"/>
  </r>
  <r>
    <n v="5667"/>
    <x v="31"/>
    <x v="1"/>
    <x v="2"/>
    <x v="1912"/>
    <x v="0"/>
    <d v="1899-12-31T00:00:00"/>
    <d v="2012-10-11T00:00:00"/>
    <n v="90"/>
    <n v="30"/>
    <n v="46"/>
    <n v="46"/>
    <n v="4"/>
    <n v="62"/>
    <x v="0"/>
    <n v="50"/>
    <x v="3"/>
    <m/>
    <x v="0"/>
    <x v="0"/>
    <x v="0"/>
    <n v="14"/>
    <x v="0"/>
  </r>
  <r>
    <n v="902"/>
    <x v="16"/>
    <x v="0"/>
    <x v="1"/>
    <x v="1913"/>
    <x v="1"/>
    <d v="1899-12-30T00:00:00"/>
    <d v="2014-03-04T00:00:00"/>
    <n v="74"/>
    <n v="12"/>
    <n v="12"/>
    <n v="12"/>
    <n v="4"/>
    <n v="46"/>
    <x v="1"/>
    <n v="16"/>
    <x v="3"/>
    <m/>
    <x v="0"/>
    <x v="0"/>
    <x v="0"/>
    <n v="12"/>
    <x v="0"/>
  </r>
  <r>
    <n v="977"/>
    <x v="0"/>
    <x v="0"/>
    <x v="1"/>
    <x v="1914"/>
    <x v="0"/>
    <d v="1899-12-31T00:00:00"/>
    <d v="2013-08-01T00:00:00"/>
    <n v="10"/>
    <n v="19"/>
    <n v="15"/>
    <n v="15"/>
    <n v="8"/>
    <n v="69"/>
    <x v="0"/>
    <n v="23"/>
    <x v="3"/>
    <m/>
    <x v="0"/>
    <x v="1"/>
    <x v="0"/>
    <n v="13"/>
    <x v="0"/>
  </r>
  <r>
    <n v="7313"/>
    <x v="17"/>
    <x v="4"/>
    <x v="4"/>
    <x v="1915"/>
    <x v="0"/>
    <d v="1899-12-30T00:00:00"/>
    <d v="2013-06-03T00:00:00"/>
    <n v="63"/>
    <n v="73"/>
    <n v="102"/>
    <n v="102"/>
    <n v="11"/>
    <n v="77"/>
    <x v="0"/>
    <n v="113"/>
    <x v="3"/>
    <m/>
    <x v="0"/>
    <x v="0"/>
    <x v="0"/>
    <n v="13"/>
    <x v="0"/>
  </r>
  <r>
    <n v="7600"/>
    <x v="47"/>
    <x v="3"/>
    <x v="0"/>
    <x v="1916"/>
    <x v="1"/>
    <d v="1899-12-30T00:00:00"/>
    <d v="2013-10-28T00:00:00"/>
    <n v="13"/>
    <n v="3"/>
    <n v="1"/>
    <n v="1"/>
    <n v="3"/>
    <n v="34"/>
    <x v="1"/>
    <n v="4"/>
    <x v="3"/>
    <m/>
    <x v="0"/>
    <x v="2"/>
    <x v="0"/>
    <n v="13"/>
    <x v="0"/>
  </r>
  <r>
    <n v="9706"/>
    <x v="8"/>
    <x v="1"/>
    <x v="0"/>
    <x v="1917"/>
    <x v="1"/>
    <d v="1899-12-30T00:00:00"/>
    <d v="2013-06-24T00:00:00"/>
    <n v="98"/>
    <n v="1"/>
    <n v="0"/>
    <n v="0"/>
    <n v="3"/>
    <n v="52"/>
    <x v="0"/>
    <n v="3"/>
    <x v="3"/>
    <m/>
    <x v="0"/>
    <x v="1"/>
    <x v="0"/>
    <n v="13"/>
    <x v="0"/>
  </r>
  <r>
    <n v="2429"/>
    <x v="1"/>
    <x v="0"/>
    <x v="3"/>
    <x v="1620"/>
    <x v="0"/>
    <d v="1899-12-31T00:00:00"/>
    <d v="2013-02-14T00:00:00"/>
    <n v="4"/>
    <n v="69"/>
    <n v="138"/>
    <n v="138"/>
    <n v="8"/>
    <n v="72"/>
    <x v="0"/>
    <n v="146"/>
    <x v="3"/>
    <m/>
    <x v="0"/>
    <x v="0"/>
    <x v="0"/>
    <n v="13"/>
    <x v="0"/>
  </r>
  <r>
    <n v="3520"/>
    <x v="50"/>
    <x v="2"/>
    <x v="0"/>
    <x v="1918"/>
    <x v="0"/>
    <d v="1899-12-30T00:00:00"/>
    <d v="2013-03-27T00:00:00"/>
    <n v="94"/>
    <n v="28"/>
    <n v="28"/>
    <n v="28"/>
    <n v="7"/>
    <n v="36"/>
    <x v="1"/>
    <n v="35"/>
    <x v="3"/>
    <m/>
    <x v="0"/>
    <x v="3"/>
    <x v="0"/>
    <n v="13"/>
    <x v="0"/>
  </r>
  <r>
    <n v="10394"/>
    <x v="3"/>
    <x v="0"/>
    <x v="2"/>
    <x v="1919"/>
    <x v="0"/>
    <d v="1899-12-30T00:00:00"/>
    <d v="2013-12-23T00:00:00"/>
    <n v="91"/>
    <n v="144"/>
    <n v="192"/>
    <n v="192"/>
    <n v="5"/>
    <n v="42"/>
    <x v="1"/>
    <n v="197"/>
    <x v="3"/>
    <m/>
    <x v="0"/>
    <x v="3"/>
    <x v="0"/>
    <n v="13"/>
    <x v="0"/>
  </r>
  <r>
    <n v="4548"/>
    <x v="4"/>
    <x v="0"/>
    <x v="0"/>
    <x v="1920"/>
    <x v="1"/>
    <d v="1899-12-31T00:00:00"/>
    <d v="2013-11-23T00:00:00"/>
    <n v="66"/>
    <n v="4"/>
    <n v="2"/>
    <n v="2"/>
    <n v="3"/>
    <n v="45"/>
    <x v="1"/>
    <n v="5"/>
    <x v="3"/>
    <m/>
    <x v="0"/>
    <x v="1"/>
    <x v="0"/>
    <n v="13"/>
    <x v="0"/>
  </r>
  <r>
    <n v="9362"/>
    <x v="2"/>
    <x v="0"/>
    <x v="0"/>
    <x v="1921"/>
    <x v="0"/>
    <d v="1899-12-31T00:00:00"/>
    <d v="2014-03-05T00:00:00"/>
    <n v="14"/>
    <n v="5"/>
    <n v="5"/>
    <n v="5"/>
    <n v="7"/>
    <n v="61"/>
    <x v="0"/>
    <n v="12"/>
    <x v="3"/>
    <m/>
    <x v="0"/>
    <x v="0"/>
    <x v="0"/>
    <n v="12"/>
    <x v="0"/>
  </r>
  <r>
    <n v="3968"/>
    <x v="25"/>
    <x v="4"/>
    <x v="3"/>
    <x v="1922"/>
    <x v="0"/>
    <d v="1899-12-30T00:00:00"/>
    <d v="2013-06-28T00:00:00"/>
    <n v="77"/>
    <n v="10"/>
    <n v="0"/>
    <n v="0"/>
    <n v="12"/>
    <n v="56"/>
    <x v="0"/>
    <n v="12"/>
    <x v="3"/>
    <m/>
    <x v="0"/>
    <x v="0"/>
    <x v="0"/>
    <n v="13"/>
    <x v="0"/>
  </r>
  <r>
    <n v="4084"/>
    <x v="28"/>
    <x v="0"/>
    <x v="1"/>
    <x v="1923"/>
    <x v="0"/>
    <d v="1899-12-31T00:00:00"/>
    <d v="2014-01-17T00:00:00"/>
    <n v="41"/>
    <n v="155"/>
    <n v="93"/>
    <n v="93"/>
    <n v="11"/>
    <n v="51"/>
    <x v="0"/>
    <n v="104"/>
    <x v="3"/>
    <m/>
    <x v="0"/>
    <x v="0"/>
    <x v="0"/>
    <n v="12"/>
    <x v="0"/>
  </r>
  <r>
    <n v="6721"/>
    <x v="20"/>
    <x v="0"/>
    <x v="2"/>
    <x v="1924"/>
    <x v="0"/>
    <d v="1899-12-31T00:00:00"/>
    <d v="2013-07-29T00:00:00"/>
    <n v="21"/>
    <n v="19"/>
    <n v="38"/>
    <n v="38"/>
    <n v="5"/>
    <n v="75"/>
    <x v="0"/>
    <n v="43"/>
    <x v="3"/>
    <m/>
    <x v="0"/>
    <x v="0"/>
    <x v="0"/>
    <n v="13"/>
    <x v="0"/>
  </r>
  <r>
    <n v="2829"/>
    <x v="34"/>
    <x v="0"/>
    <x v="2"/>
    <x v="1925"/>
    <x v="0"/>
    <d v="1899-12-31T00:00:00"/>
    <d v="2014-03-10T00:00:00"/>
    <n v="25"/>
    <n v="0"/>
    <n v="7"/>
    <n v="7"/>
    <n v="8"/>
    <n v="71"/>
    <x v="0"/>
    <n v="15"/>
    <x v="3"/>
    <m/>
    <x v="0"/>
    <x v="0"/>
    <x v="0"/>
    <n v="12"/>
    <x v="0"/>
  </r>
  <r>
    <n v="1772"/>
    <x v="28"/>
    <x v="1"/>
    <x v="2"/>
    <x v="1926"/>
    <x v="0"/>
    <d v="1899-12-30T00:00:00"/>
    <d v="2013-01-11T00:00:00"/>
    <n v="2"/>
    <n v="37"/>
    <n v="92"/>
    <n v="92"/>
    <n v="7"/>
    <n v="51"/>
    <x v="0"/>
    <n v="99"/>
    <x v="3"/>
    <m/>
    <x v="0"/>
    <x v="3"/>
    <x v="0"/>
    <n v="13"/>
    <x v="0"/>
  </r>
  <r>
    <n v="1544"/>
    <x v="5"/>
    <x v="2"/>
    <x v="3"/>
    <x v="1927"/>
    <x v="0"/>
    <d v="1899-12-30T00:00:00"/>
    <d v="2012-12-22T00:00:00"/>
    <n v="51"/>
    <n v="68"/>
    <n v="68"/>
    <n v="68"/>
    <n v="10"/>
    <n v="59"/>
    <x v="0"/>
    <n v="78"/>
    <x v="3"/>
    <m/>
    <x v="0"/>
    <x v="3"/>
    <x v="0"/>
    <n v="14"/>
    <x v="0"/>
  </r>
  <r>
    <n v="492"/>
    <x v="26"/>
    <x v="1"/>
    <x v="7"/>
    <x v="1443"/>
    <x v="0"/>
    <d v="1899-12-31T00:00:00"/>
    <d v="2012-10-18T00:00:00"/>
    <n v="3"/>
    <n v="3"/>
    <n v="3"/>
    <n v="3"/>
    <n v="6"/>
    <n v="53"/>
    <x v="0"/>
    <n v="9"/>
    <x v="3"/>
    <m/>
    <x v="0"/>
    <x v="1"/>
    <x v="0"/>
    <n v="14"/>
    <x v="0"/>
  </r>
  <r>
    <n v="4377"/>
    <x v="6"/>
    <x v="0"/>
    <x v="2"/>
    <x v="1928"/>
    <x v="0"/>
    <d v="1899-12-31T00:00:00"/>
    <d v="2013-01-07T00:00:00"/>
    <n v="32"/>
    <n v="10"/>
    <n v="10"/>
    <n v="10"/>
    <n v="3"/>
    <n v="55"/>
    <x v="0"/>
    <n v="13"/>
    <x v="3"/>
    <m/>
    <x v="0"/>
    <x v="0"/>
    <x v="0"/>
    <n v="13"/>
    <x v="0"/>
  </r>
  <r>
    <n v="4541"/>
    <x v="34"/>
    <x v="0"/>
    <x v="1"/>
    <x v="642"/>
    <x v="0"/>
    <d v="1899-12-31T00:00:00"/>
    <d v="2013-10-24T00:00:00"/>
    <n v="84"/>
    <n v="6"/>
    <n v="6"/>
    <n v="6"/>
    <n v="6"/>
    <n v="71"/>
    <x v="0"/>
    <n v="12"/>
    <x v="3"/>
    <m/>
    <x v="0"/>
    <x v="1"/>
    <x v="0"/>
    <n v="13"/>
    <x v="0"/>
  </r>
  <r>
    <n v="1321"/>
    <x v="8"/>
    <x v="0"/>
    <x v="2"/>
    <x v="1929"/>
    <x v="1"/>
    <d v="1899-12-30T00:00:00"/>
    <d v="2013-11-04T00:00:00"/>
    <n v="49"/>
    <n v="2"/>
    <n v="2"/>
    <n v="2"/>
    <n v="3"/>
    <n v="52"/>
    <x v="0"/>
    <n v="5"/>
    <x v="3"/>
    <m/>
    <x v="0"/>
    <x v="2"/>
    <x v="0"/>
    <n v="13"/>
    <x v="0"/>
  </r>
  <r>
    <n v="8858"/>
    <x v="39"/>
    <x v="1"/>
    <x v="2"/>
    <x v="1930"/>
    <x v="0"/>
    <d v="1899-12-31T00:00:00"/>
    <d v="2013-03-07T00:00:00"/>
    <n v="69"/>
    <n v="0"/>
    <n v="0"/>
    <n v="0"/>
    <n v="7"/>
    <n v="54"/>
    <x v="0"/>
    <n v="7"/>
    <x v="3"/>
    <m/>
    <x v="0"/>
    <x v="1"/>
    <x v="0"/>
    <n v="13"/>
    <x v="0"/>
  </r>
  <r>
    <n v="3266"/>
    <x v="31"/>
    <x v="0"/>
    <x v="2"/>
    <x v="1314"/>
    <x v="0"/>
    <d v="1899-12-30T00:00:00"/>
    <d v="2014-04-23T00:00:00"/>
    <n v="96"/>
    <n v="36"/>
    <n v="26"/>
    <n v="26"/>
    <n v="4"/>
    <n v="62"/>
    <x v="0"/>
    <n v="30"/>
    <x v="3"/>
    <m/>
    <x v="0"/>
    <x v="1"/>
    <x v="0"/>
    <n v="12"/>
    <x v="0"/>
  </r>
  <r>
    <n v="11187"/>
    <x v="33"/>
    <x v="3"/>
    <x v="0"/>
    <x v="1931"/>
    <x v="1"/>
    <d v="1899-12-30T00:00:00"/>
    <d v="2013-05-20T00:00:00"/>
    <n v="23"/>
    <n v="8"/>
    <n v="14"/>
    <n v="14"/>
    <n v="3"/>
    <n v="48"/>
    <x v="1"/>
    <n v="17"/>
    <x v="3"/>
    <m/>
    <x v="0"/>
    <x v="2"/>
    <x v="0"/>
    <n v="13"/>
    <x v="0"/>
  </r>
  <r>
    <n v="8207"/>
    <x v="0"/>
    <x v="4"/>
    <x v="2"/>
    <x v="1932"/>
    <x v="0"/>
    <d v="1899-12-31T00:00:00"/>
    <d v="2014-03-18T00:00:00"/>
    <n v="18"/>
    <n v="0"/>
    <n v="0"/>
    <n v="0"/>
    <n v="3"/>
    <n v="69"/>
    <x v="0"/>
    <n v="3"/>
    <x v="3"/>
    <m/>
    <x v="0"/>
    <x v="0"/>
    <x v="0"/>
    <n v="12"/>
    <x v="0"/>
  </r>
  <r>
    <n v="9723"/>
    <x v="40"/>
    <x v="0"/>
    <x v="2"/>
    <x v="1933"/>
    <x v="0"/>
    <d v="1899-12-31T00:00:00"/>
    <d v="2013-01-10T00:00:00"/>
    <n v="8"/>
    <n v="142"/>
    <n v="9"/>
    <n v="9"/>
    <n v="13"/>
    <n v="66"/>
    <x v="0"/>
    <n v="22"/>
    <x v="3"/>
    <m/>
    <x v="0"/>
    <x v="0"/>
    <x v="0"/>
    <n v="13"/>
    <x v="0"/>
  </r>
  <r>
    <n v="2666"/>
    <x v="39"/>
    <x v="2"/>
    <x v="2"/>
    <x v="1934"/>
    <x v="0"/>
    <d v="1899-12-31T00:00:00"/>
    <d v="2014-02-06T00:00:00"/>
    <n v="21"/>
    <n v="50"/>
    <n v="0"/>
    <n v="0"/>
    <n v="11"/>
    <n v="54"/>
    <x v="0"/>
    <n v="11"/>
    <x v="3"/>
    <m/>
    <x v="0"/>
    <x v="3"/>
    <x v="0"/>
    <n v="12"/>
    <x v="0"/>
  </r>
  <r>
    <n v="5721"/>
    <x v="46"/>
    <x v="1"/>
    <x v="2"/>
    <x v="1935"/>
    <x v="0"/>
    <d v="1899-12-30T00:00:00"/>
    <d v="2014-05-11T00:00:00"/>
    <n v="60"/>
    <n v="76"/>
    <n v="45"/>
    <n v="45"/>
    <n v="6"/>
    <n v="70"/>
    <x v="0"/>
    <n v="51"/>
    <x v="3"/>
    <m/>
    <x v="0"/>
    <x v="3"/>
    <x v="0"/>
    <n v="12"/>
    <x v="0"/>
  </r>
  <r>
    <n v="10652"/>
    <x v="0"/>
    <x v="2"/>
    <x v="1"/>
    <x v="1890"/>
    <x v="0"/>
    <d v="1899-12-30T00:00:00"/>
    <d v="2014-01-10T00:00:00"/>
    <n v="48"/>
    <n v="67"/>
    <n v="0"/>
    <n v="0"/>
    <n v="6"/>
    <n v="69"/>
    <x v="0"/>
    <n v="6"/>
    <x v="3"/>
    <m/>
    <x v="0"/>
    <x v="0"/>
    <x v="0"/>
    <n v="12"/>
    <x v="0"/>
  </r>
  <r>
    <n v="1646"/>
    <x v="39"/>
    <x v="3"/>
    <x v="2"/>
    <x v="1936"/>
    <x v="1"/>
    <d v="1899-12-30T00:00:00"/>
    <d v="2014-03-16T00:00:00"/>
    <n v="36"/>
    <n v="9"/>
    <n v="2"/>
    <n v="2"/>
    <n v="3"/>
    <n v="54"/>
    <x v="0"/>
    <n v="5"/>
    <x v="3"/>
    <m/>
    <x v="0"/>
    <x v="2"/>
    <x v="0"/>
    <n v="12"/>
    <x v="0"/>
  </r>
  <r>
    <n v="4418"/>
    <x v="10"/>
    <x v="2"/>
    <x v="0"/>
    <x v="1937"/>
    <x v="0"/>
    <d v="1899-12-30T00:00:00"/>
    <d v="2013-02-25T00:00:00"/>
    <n v="36"/>
    <n v="47"/>
    <n v="111"/>
    <n v="111"/>
    <n v="12"/>
    <n v="43"/>
    <x v="1"/>
    <n v="123"/>
    <x v="3"/>
    <m/>
    <x v="0"/>
    <x v="3"/>
    <x v="0"/>
    <n v="13"/>
    <x v="0"/>
  </r>
  <r>
    <n v="2656"/>
    <x v="6"/>
    <x v="0"/>
    <x v="3"/>
    <x v="1938"/>
    <x v="1"/>
    <d v="1899-12-31T00:00:00"/>
    <d v="2013-02-21T00:00:00"/>
    <n v="63"/>
    <n v="1"/>
    <n v="4"/>
    <n v="4"/>
    <n v="2"/>
    <n v="55"/>
    <x v="0"/>
    <n v="6"/>
    <x v="3"/>
    <m/>
    <x v="0"/>
    <x v="1"/>
    <x v="0"/>
    <n v="13"/>
    <x v="0"/>
  </r>
  <r>
    <n v="7990"/>
    <x v="51"/>
    <x v="0"/>
    <x v="2"/>
    <x v="1939"/>
    <x v="0"/>
    <d v="1899-12-30T00:00:00"/>
    <d v="2012-08-02T00:00:00"/>
    <n v="2"/>
    <n v="1"/>
    <n v="2"/>
    <n v="2"/>
    <n v="3"/>
    <n v="79"/>
    <x v="0"/>
    <n v="5"/>
    <x v="3"/>
    <m/>
    <x v="0"/>
    <x v="2"/>
    <x v="0"/>
    <n v="14"/>
    <x v="0"/>
  </r>
  <r>
    <n v="8722"/>
    <x v="0"/>
    <x v="4"/>
    <x v="2"/>
    <x v="800"/>
    <x v="0"/>
    <d v="1899-12-30T00:00:00"/>
    <d v="2012-11-06T00:00:00"/>
    <n v="38"/>
    <n v="54"/>
    <n v="133"/>
    <n v="133"/>
    <n v="10"/>
    <n v="69"/>
    <x v="0"/>
    <n v="143"/>
    <x v="3"/>
    <m/>
    <x v="0"/>
    <x v="3"/>
    <x v="0"/>
    <n v="14"/>
    <x v="0"/>
  </r>
  <r>
    <n v="7118"/>
    <x v="0"/>
    <x v="0"/>
    <x v="2"/>
    <x v="1940"/>
    <x v="0"/>
    <d v="1899-12-31T00:00:00"/>
    <d v="2012-08-01T00:00:00"/>
    <n v="61"/>
    <n v="80"/>
    <n v="26"/>
    <n v="26"/>
    <n v="6"/>
    <n v="69"/>
    <x v="0"/>
    <n v="32"/>
    <x v="3"/>
    <m/>
    <x v="0"/>
    <x v="0"/>
    <x v="0"/>
    <n v="14"/>
    <x v="0"/>
  </r>
  <r>
    <n v="2980"/>
    <x v="13"/>
    <x v="2"/>
    <x v="0"/>
    <x v="1941"/>
    <x v="1"/>
    <d v="1899-12-31T00:00:00"/>
    <d v="2013-03-22T00:00:00"/>
    <n v="52"/>
    <n v="0"/>
    <n v="2"/>
    <n v="2"/>
    <n v="3"/>
    <n v="74"/>
    <x v="0"/>
    <n v="5"/>
    <x v="3"/>
    <m/>
    <x v="0"/>
    <x v="2"/>
    <x v="0"/>
    <n v="13"/>
    <x v="0"/>
  </r>
  <r>
    <n v="1839"/>
    <x v="8"/>
    <x v="0"/>
    <x v="0"/>
    <x v="1942"/>
    <x v="0"/>
    <d v="1899-12-30T00:00:00"/>
    <d v="2014-04-21T00:00:00"/>
    <n v="25"/>
    <n v="7"/>
    <n v="2"/>
    <n v="2"/>
    <n v="4"/>
    <n v="52"/>
    <x v="0"/>
    <n v="6"/>
    <x v="3"/>
    <m/>
    <x v="0"/>
    <x v="1"/>
    <x v="0"/>
    <n v="12"/>
    <x v="0"/>
  </r>
  <r>
    <n v="10722"/>
    <x v="26"/>
    <x v="0"/>
    <x v="1"/>
    <x v="1943"/>
    <x v="0"/>
    <d v="1899-12-31T00:00:00"/>
    <d v="2013-08-21T00:00:00"/>
    <n v="63"/>
    <n v="8"/>
    <n v="4"/>
    <n v="4"/>
    <n v="3"/>
    <n v="53"/>
    <x v="0"/>
    <n v="7"/>
    <x v="3"/>
    <m/>
    <x v="0"/>
    <x v="0"/>
    <x v="0"/>
    <n v="13"/>
    <x v="0"/>
  </r>
  <r>
    <n v="2632"/>
    <x v="1"/>
    <x v="0"/>
    <x v="2"/>
    <x v="1944"/>
    <x v="1"/>
    <d v="1899-12-31T00:00:00"/>
    <d v="2013-06-18T00:00:00"/>
    <n v="10"/>
    <n v="0"/>
    <n v="0"/>
    <n v="0"/>
    <n v="4"/>
    <n v="72"/>
    <x v="0"/>
    <n v="4"/>
    <x v="3"/>
    <m/>
    <x v="0"/>
    <x v="0"/>
    <x v="0"/>
    <n v="13"/>
    <x v="0"/>
  </r>
  <r>
    <n v="9014"/>
    <x v="28"/>
    <x v="0"/>
    <x v="2"/>
    <x v="1945"/>
    <x v="1"/>
    <d v="1899-12-31T00:00:00"/>
    <d v="2014-06-26T00:00:00"/>
    <n v="65"/>
    <n v="1"/>
    <n v="0"/>
    <n v="0"/>
    <n v="3"/>
    <n v="51"/>
    <x v="0"/>
    <n v="3"/>
    <x v="3"/>
    <m/>
    <x v="0"/>
    <x v="1"/>
    <x v="0"/>
    <n v="12"/>
    <x v="0"/>
  </r>
  <r>
    <n v="7620"/>
    <x v="50"/>
    <x v="3"/>
    <x v="0"/>
    <x v="1946"/>
    <x v="1"/>
    <d v="1899-12-30T00:00:00"/>
    <d v="2013-08-05T00:00:00"/>
    <n v="71"/>
    <n v="11"/>
    <n v="8"/>
    <n v="8"/>
    <n v="2"/>
    <n v="36"/>
    <x v="1"/>
    <n v="10"/>
    <x v="3"/>
    <m/>
    <x v="0"/>
    <x v="2"/>
    <x v="0"/>
    <n v="13"/>
    <x v="0"/>
  </r>
  <r>
    <n v="10968"/>
    <x v="21"/>
    <x v="0"/>
    <x v="0"/>
    <x v="1947"/>
    <x v="0"/>
    <d v="1899-12-31T00:00:00"/>
    <d v="2012-11-23T00:00:00"/>
    <n v="0"/>
    <n v="21"/>
    <n v="8"/>
    <n v="8"/>
    <n v="6"/>
    <n v="57"/>
    <x v="0"/>
    <n v="14"/>
    <x v="3"/>
    <m/>
    <x v="0"/>
    <x v="0"/>
    <x v="0"/>
    <n v="14"/>
    <x v="0"/>
  </r>
  <r>
    <n v="11133"/>
    <x v="26"/>
    <x v="1"/>
    <x v="7"/>
    <x v="1443"/>
    <x v="0"/>
    <d v="1899-12-31T00:00:00"/>
    <d v="2012-10-18T00:00:00"/>
    <n v="3"/>
    <n v="3"/>
    <n v="3"/>
    <n v="3"/>
    <n v="6"/>
    <n v="53"/>
    <x v="0"/>
    <n v="9"/>
    <x v="3"/>
    <m/>
    <x v="0"/>
    <x v="1"/>
    <x v="0"/>
    <n v="14"/>
    <x v="0"/>
  </r>
  <r>
    <n v="2736"/>
    <x v="33"/>
    <x v="0"/>
    <x v="2"/>
    <x v="1948"/>
    <x v="0"/>
    <d v="1899-12-31T00:00:00"/>
    <d v="2013-01-02T00:00:00"/>
    <n v="88"/>
    <n v="124"/>
    <n v="78"/>
    <n v="78"/>
    <n v="11"/>
    <n v="48"/>
    <x v="1"/>
    <n v="89"/>
    <x v="3"/>
    <m/>
    <x v="0"/>
    <x v="0"/>
    <x v="0"/>
    <n v="13"/>
    <x v="0"/>
  </r>
  <r>
    <n v="1876"/>
    <x v="50"/>
    <x v="0"/>
    <x v="2"/>
    <x v="1242"/>
    <x v="0"/>
    <d v="1899-12-30T00:00:00"/>
    <d v="2013-02-16T00:00:00"/>
    <n v="15"/>
    <n v="0"/>
    <n v="4"/>
    <n v="4"/>
    <n v="4"/>
    <n v="36"/>
    <x v="1"/>
    <n v="8"/>
    <x v="3"/>
    <m/>
    <x v="0"/>
    <x v="2"/>
    <x v="0"/>
    <n v="13"/>
    <x v="0"/>
  </r>
  <r>
    <n v="5959"/>
    <x v="30"/>
    <x v="0"/>
    <x v="0"/>
    <x v="1949"/>
    <x v="1"/>
    <d v="1899-12-31T00:00:00"/>
    <d v="2012-10-15T00:00:00"/>
    <n v="80"/>
    <n v="0"/>
    <n v="0"/>
    <n v="0"/>
    <n v="5"/>
    <n v="58"/>
    <x v="0"/>
    <n v="5"/>
    <x v="3"/>
    <m/>
    <x v="0"/>
    <x v="1"/>
    <x v="0"/>
    <n v="14"/>
    <x v="0"/>
  </r>
  <r>
    <n v="1092"/>
    <x v="16"/>
    <x v="0"/>
    <x v="2"/>
    <x v="1950"/>
    <x v="0"/>
    <d v="1899-12-31T00:00:00"/>
    <d v="2012-08-11T00:00:00"/>
    <n v="17"/>
    <n v="129"/>
    <n v="43"/>
    <n v="43"/>
    <n v="4"/>
    <n v="46"/>
    <x v="1"/>
    <n v="47"/>
    <x v="3"/>
    <m/>
    <x v="0"/>
    <x v="0"/>
    <x v="0"/>
    <n v="14"/>
    <x v="0"/>
  </r>
  <r>
    <n v="4333"/>
    <x v="1"/>
    <x v="0"/>
    <x v="1"/>
    <x v="1951"/>
    <x v="1"/>
    <d v="1899-12-31T00:00:00"/>
    <d v="2014-03-23T00:00:00"/>
    <n v="76"/>
    <n v="0"/>
    <n v="0"/>
    <n v="0"/>
    <n v="3"/>
    <n v="72"/>
    <x v="0"/>
    <n v="3"/>
    <x v="3"/>
    <m/>
    <x v="0"/>
    <x v="1"/>
    <x v="0"/>
    <n v="12"/>
    <x v="0"/>
  </r>
  <r>
    <n v="3850"/>
    <x v="24"/>
    <x v="3"/>
    <x v="1"/>
    <x v="1952"/>
    <x v="0"/>
    <d v="1899-12-31T00:00:00"/>
    <d v="2012-12-07T00:00:00"/>
    <n v="52"/>
    <n v="3"/>
    <n v="4"/>
    <n v="4"/>
    <n v="3"/>
    <n v="63"/>
    <x v="0"/>
    <n v="7"/>
    <x v="3"/>
    <m/>
    <x v="0"/>
    <x v="2"/>
    <x v="0"/>
    <n v="14"/>
    <x v="0"/>
  </r>
  <r>
    <n v="6168"/>
    <x v="24"/>
    <x v="0"/>
    <x v="3"/>
    <x v="1953"/>
    <x v="1"/>
    <d v="1899-12-31T00:00:00"/>
    <d v="2013-07-15T00:00:00"/>
    <n v="28"/>
    <n v="0"/>
    <n v="0"/>
    <n v="0"/>
    <n v="2"/>
    <n v="63"/>
    <x v="0"/>
    <n v="2"/>
    <x v="3"/>
    <m/>
    <x v="0"/>
    <x v="1"/>
    <x v="0"/>
    <n v="13"/>
    <x v="0"/>
  </r>
  <r>
    <n v="607"/>
    <x v="34"/>
    <x v="4"/>
    <x v="3"/>
    <x v="1954"/>
    <x v="0"/>
    <d v="1899-12-31T00:00:00"/>
    <d v="2013-02-13T00:00:00"/>
    <n v="31"/>
    <n v="29"/>
    <n v="0"/>
    <n v="0"/>
    <n v="7"/>
    <n v="71"/>
    <x v="0"/>
    <n v="7"/>
    <x v="3"/>
    <m/>
    <x v="0"/>
    <x v="1"/>
    <x v="0"/>
    <n v="13"/>
    <x v="0"/>
  </r>
  <r>
    <n v="10469"/>
    <x v="4"/>
    <x v="0"/>
    <x v="1"/>
    <x v="1955"/>
    <x v="0"/>
    <d v="1899-12-30T00:00:00"/>
    <d v="2014-02-05T00:00:00"/>
    <n v="42"/>
    <n v="71"/>
    <n v="27"/>
    <n v="27"/>
    <n v="9"/>
    <n v="45"/>
    <x v="1"/>
    <n v="36"/>
    <x v="3"/>
    <m/>
    <x v="0"/>
    <x v="3"/>
    <x v="0"/>
    <n v="12"/>
    <x v="0"/>
  </r>
  <r>
    <n v="6983"/>
    <x v="9"/>
    <x v="2"/>
    <x v="3"/>
    <x v="1956"/>
    <x v="1"/>
    <d v="1899-12-31T00:00:00"/>
    <d v="2014-05-01T00:00:00"/>
    <n v="24"/>
    <n v="2"/>
    <n v="1"/>
    <n v="1"/>
    <n v="3"/>
    <n v="76"/>
    <x v="0"/>
    <n v="4"/>
    <x v="3"/>
    <m/>
    <x v="0"/>
    <x v="1"/>
    <x v="0"/>
    <n v="12"/>
    <x v="0"/>
  </r>
  <r>
    <n v="3661"/>
    <x v="57"/>
    <x v="4"/>
    <x v="0"/>
    <x v="1957"/>
    <x v="0"/>
    <d v="1899-12-30T00:00:00"/>
    <d v="2012-10-12T00:00:00"/>
    <n v="42"/>
    <n v="51"/>
    <n v="55"/>
    <n v="55"/>
    <n v="8"/>
    <n v="31"/>
    <x v="1"/>
    <n v="63"/>
    <x v="3"/>
    <m/>
    <x v="0"/>
    <x v="3"/>
    <x v="0"/>
    <n v="14"/>
    <x v="0"/>
  </r>
  <r>
    <n v="9303"/>
    <x v="11"/>
    <x v="0"/>
    <x v="2"/>
    <x v="1958"/>
    <x v="0"/>
    <d v="1899-12-31T00:00:00"/>
    <d v="2013-07-30T00:00:00"/>
    <n v="12"/>
    <n v="4"/>
    <n v="3"/>
    <n v="3"/>
    <n v="0"/>
    <n v="50"/>
    <x v="1"/>
    <n v="3"/>
    <x v="3"/>
    <m/>
    <x v="0"/>
    <x v="2"/>
    <x v="0"/>
    <n v="13"/>
    <x v="0"/>
  </r>
  <r>
    <n v="692"/>
    <x v="1"/>
    <x v="0"/>
    <x v="1"/>
    <x v="1959"/>
    <x v="1"/>
    <d v="1899-12-31T00:00:00"/>
    <d v="2012-12-20T00:00:00"/>
    <n v="88"/>
    <n v="2"/>
    <n v="0"/>
    <n v="0"/>
    <n v="2"/>
    <n v="72"/>
    <x v="0"/>
    <n v="2"/>
    <x v="3"/>
    <m/>
    <x v="0"/>
    <x v="1"/>
    <x v="0"/>
    <n v="14"/>
    <x v="0"/>
  </r>
  <r>
    <n v="736"/>
    <x v="10"/>
    <x v="0"/>
    <x v="1"/>
    <x v="1145"/>
    <x v="1"/>
    <d v="1899-12-30T00:00:00"/>
    <d v="2013-03-21T00:00:00"/>
    <n v="67"/>
    <n v="3"/>
    <n v="3"/>
    <n v="3"/>
    <n v="3"/>
    <n v="43"/>
    <x v="1"/>
    <n v="6"/>
    <x v="3"/>
    <m/>
    <x v="0"/>
    <x v="2"/>
    <x v="0"/>
    <n v="13"/>
    <x v="0"/>
  </r>
  <r>
    <n v="9589"/>
    <x v="37"/>
    <x v="1"/>
    <x v="4"/>
    <x v="1390"/>
    <x v="0"/>
    <d v="1899-12-30T00:00:00"/>
    <d v="2014-04-05T00:00:00"/>
    <n v="54"/>
    <n v="194"/>
    <n v="125"/>
    <n v="125"/>
    <n v="7"/>
    <n v="78"/>
    <x v="0"/>
    <n v="132"/>
    <x v="3"/>
    <m/>
    <x v="0"/>
    <x v="3"/>
    <x v="0"/>
    <n v="12"/>
    <x v="0"/>
  </r>
  <r>
    <n v="4838"/>
    <x v="33"/>
    <x v="0"/>
    <x v="1"/>
    <x v="1473"/>
    <x v="1"/>
    <d v="1899-12-30T00:00:00"/>
    <d v="2013-06-19T00:00:00"/>
    <n v="40"/>
    <n v="1"/>
    <n v="0"/>
    <n v="0"/>
    <n v="2"/>
    <n v="48"/>
    <x v="1"/>
    <n v="2"/>
    <x v="3"/>
    <m/>
    <x v="0"/>
    <x v="2"/>
    <x v="0"/>
    <n v="13"/>
    <x v="0"/>
  </r>
  <r>
    <n v="9246"/>
    <x v="7"/>
    <x v="2"/>
    <x v="1"/>
    <x v="1960"/>
    <x v="1"/>
    <d v="1899-12-30T00:00:00"/>
    <d v="2012-10-14T00:00:00"/>
    <n v="73"/>
    <n v="3"/>
    <n v="24"/>
    <n v="24"/>
    <n v="6"/>
    <n v="41"/>
    <x v="1"/>
    <n v="30"/>
    <x v="3"/>
    <m/>
    <x v="0"/>
    <x v="1"/>
    <x v="0"/>
    <n v="14"/>
    <x v="0"/>
  </r>
  <r>
    <n v="6261"/>
    <x v="19"/>
    <x v="0"/>
    <x v="2"/>
    <x v="1961"/>
    <x v="0"/>
    <d v="1899-12-31T00:00:00"/>
    <d v="2013-11-26T00:00:00"/>
    <n v="81"/>
    <n v="31"/>
    <n v="48"/>
    <n v="48"/>
    <n v="10"/>
    <n v="47"/>
    <x v="1"/>
    <n v="58"/>
    <x v="3"/>
    <m/>
    <x v="0"/>
    <x v="0"/>
    <x v="0"/>
    <n v="13"/>
    <x v="0"/>
  </r>
  <r>
    <n v="7366"/>
    <x v="18"/>
    <x v="2"/>
    <x v="0"/>
    <x v="54"/>
    <x v="0"/>
    <d v="1899-12-30T00:00:00"/>
    <d v="2013-07-04T00:00:00"/>
    <n v="12"/>
    <n v="26"/>
    <n v="13"/>
    <n v="13"/>
    <n v="11"/>
    <n v="44"/>
    <x v="1"/>
    <n v="24"/>
    <x v="3"/>
    <m/>
    <x v="0"/>
    <x v="3"/>
    <x v="0"/>
    <n v="13"/>
    <x v="0"/>
  </r>
  <r>
    <n v="10659"/>
    <x v="19"/>
    <x v="4"/>
    <x v="1"/>
    <x v="11"/>
    <x v="1"/>
    <d v="1899-12-30T00:00:00"/>
    <d v="2013-05-07T00:00:00"/>
    <n v="7"/>
    <n v="8"/>
    <n v="8"/>
    <n v="8"/>
    <n v="2"/>
    <n v="47"/>
    <x v="1"/>
    <n v="10"/>
    <x v="3"/>
    <m/>
    <x v="0"/>
    <x v="2"/>
    <x v="0"/>
    <n v="13"/>
    <x v="0"/>
  </r>
  <r>
    <n v="1448"/>
    <x v="24"/>
    <x v="2"/>
    <x v="2"/>
    <x v="1962"/>
    <x v="1"/>
    <d v="1900-01-01T00:00:00"/>
    <d v="2014-06-25T00:00:00"/>
    <n v="33"/>
    <n v="12"/>
    <n v="3"/>
    <n v="3"/>
    <n v="4"/>
    <n v="63"/>
    <x v="0"/>
    <n v="7"/>
    <x v="3"/>
    <m/>
    <x v="0"/>
    <x v="1"/>
    <x v="0"/>
    <n v="12"/>
    <x v="0"/>
  </r>
  <r>
    <n v="4286"/>
    <x v="25"/>
    <x v="1"/>
    <x v="0"/>
    <x v="1963"/>
    <x v="0"/>
    <d v="1899-12-31T00:00:00"/>
    <d v="2014-01-09T00:00:00"/>
    <n v="24"/>
    <n v="6"/>
    <n v="0"/>
    <n v="0"/>
    <n v="6"/>
    <n v="56"/>
    <x v="0"/>
    <n v="6"/>
    <x v="3"/>
    <m/>
    <x v="0"/>
    <x v="0"/>
    <x v="0"/>
    <n v="12"/>
    <x v="0"/>
  </r>
  <r>
    <n v="4749"/>
    <x v="30"/>
    <x v="0"/>
    <x v="1"/>
    <x v="1256"/>
    <x v="1"/>
    <d v="1899-12-31T00:00:00"/>
    <d v="2012-09-26T00:00:00"/>
    <n v="55"/>
    <n v="24"/>
    <n v="0"/>
    <n v="0"/>
    <n v="6"/>
    <n v="58"/>
    <x v="0"/>
    <n v="6"/>
    <x v="3"/>
    <m/>
    <x v="0"/>
    <x v="0"/>
    <x v="0"/>
    <n v="14"/>
    <x v="0"/>
  </r>
  <r>
    <n v="4478"/>
    <x v="19"/>
    <x v="0"/>
    <x v="2"/>
    <x v="1964"/>
    <x v="1"/>
    <d v="1899-12-31T00:00:00"/>
    <d v="2013-03-24T00:00:00"/>
    <n v="87"/>
    <n v="5"/>
    <n v="17"/>
    <n v="17"/>
    <n v="6"/>
    <n v="47"/>
    <x v="1"/>
    <n v="23"/>
    <x v="3"/>
    <m/>
    <x v="0"/>
    <x v="0"/>
    <x v="0"/>
    <n v="13"/>
    <x v="0"/>
  </r>
  <r>
    <n v="4201"/>
    <x v="43"/>
    <x v="0"/>
    <x v="0"/>
    <x v="1965"/>
    <x v="0"/>
    <d v="1899-12-31T00:00:00"/>
    <d v="2013-03-03T00:00:00"/>
    <n v="39"/>
    <n v="7"/>
    <n v="0"/>
    <n v="0"/>
    <n v="8"/>
    <n v="64"/>
    <x v="0"/>
    <n v="8"/>
    <x v="3"/>
    <m/>
    <x v="0"/>
    <x v="0"/>
    <x v="0"/>
    <n v="13"/>
    <x v="0"/>
  </r>
  <r>
    <n v="8720"/>
    <x v="33"/>
    <x v="4"/>
    <x v="1"/>
    <x v="10"/>
    <x v="0"/>
    <d v="1899-12-30T00:00:00"/>
    <d v="2012-08-12T00:00:00"/>
    <n v="53"/>
    <n v="2"/>
    <n v="4"/>
    <n v="4"/>
    <n v="1"/>
    <n v="48"/>
    <x v="1"/>
    <n v="5"/>
    <x v="3"/>
    <m/>
    <x v="0"/>
    <x v="2"/>
    <x v="0"/>
    <n v="14"/>
    <x v="0"/>
  </r>
  <r>
    <n v="10084"/>
    <x v="39"/>
    <x v="0"/>
    <x v="2"/>
    <x v="1966"/>
    <x v="2"/>
    <d v="1899-12-30T00:00:00"/>
    <d v="2014-05-18T00:00:00"/>
    <n v="9"/>
    <n v="2"/>
    <n v="0"/>
    <n v="0"/>
    <n v="2"/>
    <n v="54"/>
    <x v="0"/>
    <n v="2"/>
    <x v="3"/>
    <m/>
    <x v="0"/>
    <x v="2"/>
    <x v="0"/>
    <n v="12"/>
    <x v="0"/>
  </r>
  <r>
    <n v="7004"/>
    <x v="3"/>
    <x v="0"/>
    <x v="0"/>
    <x v="1967"/>
    <x v="1"/>
    <d v="1899-12-30T00:00:00"/>
    <d v="2013-03-16T00:00:00"/>
    <n v="82"/>
    <n v="3"/>
    <n v="1"/>
    <n v="1"/>
    <n v="2"/>
    <n v="42"/>
    <x v="1"/>
    <n v="3"/>
    <x v="3"/>
    <m/>
    <x v="0"/>
    <x v="2"/>
    <x v="0"/>
    <n v="13"/>
    <x v="0"/>
  </r>
  <r>
    <n v="9817"/>
    <x v="25"/>
    <x v="2"/>
    <x v="0"/>
    <x v="1968"/>
    <x v="0"/>
    <d v="1899-12-30T00:00:00"/>
    <d v="2012-08-21T00:00:00"/>
    <n v="71"/>
    <n v="10"/>
    <n v="10"/>
    <n v="10"/>
    <n v="12"/>
    <n v="56"/>
    <x v="0"/>
    <n v="22"/>
    <x v="3"/>
    <m/>
    <x v="0"/>
    <x v="1"/>
    <x v="0"/>
    <n v="14"/>
    <x v="0"/>
  </r>
  <r>
    <n v="8080"/>
    <x v="22"/>
    <x v="0"/>
    <x v="0"/>
    <x v="1969"/>
    <x v="0"/>
    <d v="1899-12-30T00:00:00"/>
    <d v="2012-08-17T00:00:00"/>
    <n v="50"/>
    <n v="1"/>
    <n v="4"/>
    <n v="4"/>
    <n v="3"/>
    <n v="40"/>
    <x v="1"/>
    <n v="7"/>
    <x v="3"/>
    <m/>
    <x v="0"/>
    <x v="2"/>
    <x v="0"/>
    <n v="14"/>
    <x v="0"/>
  </r>
  <r>
    <n v="9432"/>
    <x v="32"/>
    <x v="0"/>
    <x v="1"/>
    <x v="1970"/>
    <x v="1"/>
    <d v="1899-12-30T00:00:00"/>
    <d v="2013-06-02T00:00:00"/>
    <n v="23"/>
    <n v="14"/>
    <n v="1"/>
    <n v="1"/>
    <n v="3"/>
    <n v="49"/>
    <x v="1"/>
    <n v="4"/>
    <x v="3"/>
    <m/>
    <x v="0"/>
    <x v="4"/>
    <x v="0"/>
    <n v="13"/>
    <x v="0"/>
  </r>
  <r>
    <n v="8372"/>
    <x v="8"/>
    <x v="0"/>
    <x v="2"/>
    <x v="300"/>
    <x v="1"/>
    <d v="1899-12-30T00:00:00"/>
    <d v="2013-07-01T00:00:00"/>
    <n v="81"/>
    <n v="3"/>
    <n v="2"/>
    <n v="2"/>
    <n v="2"/>
    <n v="52"/>
    <x v="0"/>
    <n v="4"/>
    <x v="3"/>
    <m/>
    <x v="0"/>
    <x v="1"/>
    <x v="0"/>
    <n v="13"/>
    <x v="0"/>
  </r>
  <r>
    <n v="10870"/>
    <x v="5"/>
    <x v="0"/>
    <x v="2"/>
    <x v="1971"/>
    <x v="0"/>
    <d v="1899-12-31T00:00:00"/>
    <d v="2013-06-13T00:00:00"/>
    <n v="46"/>
    <n v="43"/>
    <n v="118"/>
    <n v="118"/>
    <n v="4"/>
    <n v="59"/>
    <x v="0"/>
    <n v="122"/>
    <x v="3"/>
    <m/>
    <x v="0"/>
    <x v="0"/>
    <x v="0"/>
    <n v="13"/>
    <x v="0"/>
  </r>
  <r>
    <n v="4001"/>
    <x v="15"/>
    <x v="1"/>
    <x v="1"/>
    <x v="1356"/>
    <x v="2"/>
    <d v="1899-12-31T00:00:00"/>
    <d v="2014-06-10T00:00:00"/>
    <n v="56"/>
    <n v="0"/>
    <n v="0"/>
    <n v="0"/>
    <n v="5"/>
    <n v="80"/>
    <x v="0"/>
    <n v="5"/>
    <x v="3"/>
    <m/>
    <x v="0"/>
    <x v="0"/>
    <x v="0"/>
    <n v="12"/>
    <x v="0"/>
  </r>
  <r>
    <n v="7270"/>
    <x v="4"/>
    <x v="0"/>
    <x v="3"/>
    <x v="1972"/>
    <x v="0"/>
    <d v="1899-12-30T00:00:00"/>
    <d v="2014-01-25T00:00:00"/>
    <n v="91"/>
    <n v="48"/>
    <n v="12"/>
    <n v="12"/>
    <n v="13"/>
    <n v="45"/>
    <x v="1"/>
    <n v="25"/>
    <x v="3"/>
    <m/>
    <x v="0"/>
    <x v="0"/>
    <x v="0"/>
    <n v="12"/>
    <x v="0"/>
  </r>
  <r>
    <n v="8235"/>
    <x v="46"/>
    <x v="2"/>
    <x v="1"/>
    <x v="1973"/>
    <x v="0"/>
    <d v="1899-12-31T00:00:00"/>
    <d v="2014-01-24T00:00:00"/>
    <n v="8"/>
    <n v="30"/>
    <n v="30"/>
    <n v="30"/>
    <n v="10"/>
    <n v="70"/>
    <x v="0"/>
    <n v="40"/>
    <x v="3"/>
    <m/>
    <x v="0"/>
    <x v="0"/>
    <x v="0"/>
    <n v="12"/>
    <x v="0"/>
  </r>
  <r>
    <n v="9405"/>
    <x v="1"/>
    <x v="1"/>
    <x v="2"/>
    <x v="1974"/>
    <x v="1"/>
    <d v="1899-12-31T00:00:00"/>
    <d v="2012-10-15T00:00:00"/>
    <n v="40"/>
    <n v="3"/>
    <n v="1"/>
    <n v="1"/>
    <n v="4"/>
    <n v="72"/>
    <x v="0"/>
    <n v="5"/>
    <x v="3"/>
    <m/>
    <x v="0"/>
    <x v="0"/>
    <x v="0"/>
    <n v="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2FFE2A-0962-45CC-BFBF-7AB7BCCECE8F}" name="Chart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D65:M72" firstHeaderRow="1" firstDataRow="2" firstDataCol="1"/>
  <pivotFields count="23">
    <pivotField showAll="0"/>
    <pivotField showAll="0">
      <items count="60">
        <item x="49"/>
        <item x="52"/>
        <item x="48"/>
        <item x="58"/>
        <item x="55"/>
        <item x="27"/>
        <item x="56"/>
        <item x="41"/>
        <item x="15"/>
        <item x="51"/>
        <item x="37"/>
        <item x="17"/>
        <item x="9"/>
        <item x="20"/>
        <item x="13"/>
        <item x="44"/>
        <item x="1"/>
        <item x="34"/>
        <item x="46"/>
        <item x="0"/>
        <item x="38"/>
        <item x="12"/>
        <item x="40"/>
        <item x="45"/>
        <item x="43"/>
        <item x="24"/>
        <item x="31"/>
        <item x="2"/>
        <item x="35"/>
        <item x="5"/>
        <item x="30"/>
        <item x="21"/>
        <item x="25"/>
        <item x="6"/>
        <item x="39"/>
        <item x="26"/>
        <item x="8"/>
        <item x="28"/>
        <item x="11"/>
        <item x="32"/>
        <item x="33"/>
        <item x="19"/>
        <item x="16"/>
        <item x="4"/>
        <item x="18"/>
        <item x="10"/>
        <item x="3"/>
        <item x="7"/>
        <item x="22"/>
        <item x="14"/>
        <item x="36"/>
        <item x="23"/>
        <item x="50"/>
        <item x="42"/>
        <item x="47"/>
        <item x="53"/>
        <item x="54"/>
        <item x="57"/>
        <item x="29"/>
        <item t="default"/>
      </items>
    </pivotField>
    <pivotField axis="axisRow" showAll="0">
      <items count="6">
        <item x="4"/>
        <item x="3"/>
        <item x="0"/>
        <item x="2"/>
        <item x="1"/>
        <item t="default"/>
      </items>
    </pivotField>
    <pivotField axis="axisCol" showAll="0">
      <items count="9">
        <item x="6"/>
        <item x="5"/>
        <item x="3"/>
        <item x="2"/>
        <item x="0"/>
        <item x="1"/>
        <item x="4"/>
        <item x="7"/>
        <item t="default"/>
      </items>
    </pivotField>
    <pivotField showAll="0">
      <items count="1976">
        <item x="1156"/>
        <item x="21"/>
        <item x="1388"/>
        <item x="1649"/>
        <item x="1760"/>
        <item x="921"/>
        <item x="1958"/>
        <item x="9"/>
        <item x="1229"/>
        <item x="726"/>
        <item x="1614"/>
        <item x="11"/>
        <item x="976"/>
        <item x="1941"/>
        <item x="1132"/>
        <item x="1398"/>
        <item x="123"/>
        <item x="1535"/>
        <item x="361"/>
        <item x="401"/>
        <item x="29"/>
        <item x="1967"/>
        <item x="1664"/>
        <item x="1456"/>
        <item x="291"/>
        <item x="652"/>
        <item x="544"/>
        <item x="1583"/>
        <item x="589"/>
        <item x="1777"/>
        <item x="1441"/>
        <item x="456"/>
        <item x="1866"/>
        <item x="1088"/>
        <item x="375"/>
        <item x="624"/>
        <item x="1864"/>
        <item x="305"/>
        <item x="885"/>
        <item x="1952"/>
        <item x="217"/>
        <item x="962"/>
        <item x="1100"/>
        <item x="798"/>
        <item x="1916"/>
        <item x="243"/>
        <item x="525"/>
        <item x="373"/>
        <item x="913"/>
        <item x="1195"/>
        <item x="1510"/>
        <item x="1889"/>
        <item x="1577"/>
        <item x="1946"/>
        <item x="165"/>
        <item x="1038"/>
        <item x="779"/>
        <item x="1336"/>
        <item x="1050"/>
        <item x="274"/>
        <item x="1555"/>
        <item x="744"/>
        <item x="997"/>
        <item x="896"/>
        <item x="699"/>
        <item x="825"/>
        <item x="738"/>
        <item x="1907"/>
        <item x="1257"/>
        <item x="14"/>
        <item x="959"/>
        <item x="561"/>
        <item x="691"/>
        <item x="1811"/>
        <item x="1550"/>
        <item x="414"/>
        <item x="1524"/>
        <item x="1526"/>
        <item x="1248"/>
        <item x="1120"/>
        <item x="1533"/>
        <item x="1225"/>
        <item x="395"/>
        <item x="25"/>
        <item x="625"/>
        <item x="241"/>
        <item x="1545"/>
        <item x="1463"/>
        <item x="189"/>
        <item x="1242"/>
        <item x="577"/>
        <item x="679"/>
        <item x="1352"/>
        <item x="751"/>
        <item x="1895"/>
        <item x="1351"/>
        <item x="792"/>
        <item x="1469"/>
        <item x="813"/>
        <item x="111"/>
        <item x="515"/>
        <item x="1174"/>
        <item x="1393"/>
        <item x="391"/>
        <item x="358"/>
        <item x="415"/>
        <item x="954"/>
        <item x="1508"/>
        <item x="1596"/>
        <item x="737"/>
        <item x="1158"/>
        <item x="1313"/>
        <item x="444"/>
        <item x="40"/>
        <item x="734"/>
        <item x="1273"/>
        <item x="1380"/>
        <item x="1660"/>
        <item x="1721"/>
        <item x="627"/>
        <item x="1065"/>
        <item x="1062"/>
        <item x="1269"/>
        <item x="763"/>
        <item x="518"/>
        <item x="1317"/>
        <item x="818"/>
        <item x="1621"/>
        <item x="843"/>
        <item x="571"/>
        <item x="108"/>
        <item x="1586"/>
        <item x="41"/>
        <item x="313"/>
        <item x="773"/>
        <item x="252"/>
        <item x="1547"/>
        <item x="1848"/>
        <item x="1696"/>
        <item x="219"/>
        <item x="1799"/>
        <item x="1654"/>
        <item x="1000"/>
        <item x="1102"/>
        <item x="1856"/>
        <item x="520"/>
        <item x="940"/>
        <item x="1487"/>
        <item x="769"/>
        <item x="1139"/>
        <item x="1515"/>
        <item x="292"/>
        <item x="353"/>
        <item x="1042"/>
        <item x="1634"/>
        <item x="1277"/>
        <item x="1715"/>
        <item x="1473"/>
        <item x="225"/>
        <item x="506"/>
        <item x="1785"/>
        <item x="1074"/>
        <item x="1204"/>
        <item x="1342"/>
        <item x="147"/>
        <item x="1807"/>
        <item x="416"/>
        <item x="1397"/>
        <item x="374"/>
        <item x="1771"/>
        <item x="1834"/>
        <item x="1557"/>
        <item x="1516"/>
        <item x="1898"/>
        <item x="75"/>
        <item x="385"/>
        <item x="83"/>
        <item x="220"/>
        <item x="36"/>
        <item x="1091"/>
        <item x="1181"/>
        <item x="1731"/>
        <item x="1676"/>
        <item x="562"/>
        <item x="133"/>
        <item x="285"/>
        <item x="419"/>
        <item x="309"/>
        <item x="1016"/>
        <item x="1783"/>
        <item x="555"/>
        <item x="470"/>
        <item x="1525"/>
        <item x="1243"/>
        <item x="868"/>
        <item x="1966"/>
        <item x="263"/>
        <item x="1765"/>
        <item x="94"/>
        <item x="1300"/>
        <item x="1419"/>
        <item x="512"/>
        <item x="1227"/>
        <item x="826"/>
        <item x="174"/>
        <item x="930"/>
        <item x="1652"/>
        <item x="783"/>
        <item x="1880"/>
        <item x="1936"/>
        <item x="667"/>
        <item x="169"/>
        <item x="1630"/>
        <item x="507"/>
        <item x="1491"/>
        <item x="1728"/>
        <item x="875"/>
        <item x="1590"/>
        <item x="491"/>
        <item x="1151"/>
        <item x="59"/>
        <item x="771"/>
        <item x="1878"/>
        <item x="674"/>
        <item x="1053"/>
        <item x="986"/>
        <item x="623"/>
        <item x="1929"/>
        <item x="154"/>
        <item x="484"/>
        <item x="572"/>
        <item x="564"/>
        <item x="1133"/>
        <item x="1331"/>
        <item x="74"/>
        <item x="71"/>
        <item x="1931"/>
        <item x="236"/>
        <item x="656"/>
        <item x="1069"/>
        <item x="1671"/>
        <item x="3"/>
        <item x="634"/>
        <item x="1283"/>
        <item x="1969"/>
        <item x="551"/>
        <item x="838"/>
        <item x="762"/>
        <item x="575"/>
        <item x="1244"/>
        <item x="1007"/>
        <item x="1101"/>
        <item x="1191"/>
        <item x="287"/>
        <item x="1645"/>
        <item x="987"/>
        <item x="1451"/>
        <item x="516"/>
        <item x="1427"/>
        <item x="323"/>
        <item x="468"/>
        <item x="382"/>
        <item x="1417"/>
        <item x="1217"/>
        <item x="1384"/>
        <item x="1231"/>
        <item x="306"/>
        <item x="359"/>
        <item x="549"/>
        <item x="1939"/>
        <item x="1509"/>
        <item x="1025"/>
        <item x="1155"/>
        <item x="1875"/>
        <item x="1849"/>
        <item x="1847"/>
        <item x="891"/>
        <item x="52"/>
        <item x="1798"/>
        <item x="969"/>
        <item x="1337"/>
        <item x="1391"/>
        <item x="1304"/>
        <item x="168"/>
        <item x="1730"/>
        <item x="67"/>
        <item x="1460"/>
        <item x="1573"/>
        <item x="1784"/>
        <item x="1145"/>
        <item x="956"/>
        <item x="340"/>
        <item x="457"/>
        <item x="1095"/>
        <item x="1607"/>
        <item x="501"/>
        <item x="1801"/>
        <item x="961"/>
        <item x="412"/>
        <item x="156"/>
        <item x="984"/>
        <item x="593"/>
        <item x="295"/>
        <item x="1593"/>
        <item x="1821"/>
        <item x="613"/>
        <item x="628"/>
        <item x="1635"/>
        <item x="534"/>
        <item x="256"/>
        <item x="1894"/>
        <item x="77"/>
        <item x="1744"/>
        <item x="1722"/>
        <item x="349"/>
        <item x="190"/>
        <item x="275"/>
        <item x="1901"/>
        <item x="73"/>
        <item x="1280"/>
        <item x="1698"/>
        <item x="234"/>
        <item x="308"/>
        <item x="407"/>
        <item x="1031"/>
        <item x="566"/>
        <item x="1650"/>
        <item x="84"/>
        <item x="947"/>
        <item x="1800"/>
        <item x="354"/>
        <item x="1684"/>
        <item x="8"/>
        <item x="1787"/>
        <item x="327"/>
        <item x="1407"/>
        <item x="1682"/>
        <item x="735"/>
        <item x="167"/>
        <item x="379"/>
        <item x="583"/>
        <item x="145"/>
        <item x="1669"/>
        <item x="815"/>
        <item x="1478"/>
        <item x="487"/>
        <item x="266"/>
        <item x="316"/>
        <item x="207"/>
        <item x="107"/>
        <item x="768"/>
        <item x="573"/>
        <item x="356"/>
        <item x="1853"/>
        <item x="298"/>
        <item x="801"/>
        <item x="238"/>
        <item x="1408"/>
        <item x="112"/>
        <item x="968"/>
        <item x="1312"/>
        <item x="565"/>
        <item x="1690"/>
        <item x="233"/>
        <item x="1308"/>
        <item x="179"/>
        <item x="1764"/>
        <item x="376"/>
        <item x="1171"/>
        <item x="1105"/>
        <item x="1703"/>
        <item x="1917"/>
        <item x="736"/>
        <item x="1044"/>
        <item x="344"/>
        <item x="715"/>
        <item x="585"/>
        <item x="228"/>
        <item x="1841"/>
        <item x="254"/>
        <item x="835"/>
        <item x="1416"/>
        <item x="1710"/>
        <item x="437"/>
        <item x="1307"/>
        <item x="1402"/>
        <item x="411"/>
        <item x="1951"/>
        <item x="1908"/>
        <item x="963"/>
        <item x="596"/>
        <item x="451"/>
        <item x="953"/>
        <item x="170"/>
        <item x="1643"/>
        <item x="271"/>
        <item x="60"/>
        <item x="110"/>
        <item x="1625"/>
        <item x="1761"/>
        <item x="1781"/>
        <item x="1329"/>
        <item x="1806"/>
        <item x="1829"/>
        <item x="492"/>
        <item x="1667"/>
        <item x="876"/>
        <item x="1365"/>
        <item x="527"/>
        <item x="1677"/>
        <item x="979"/>
        <item x="559"/>
        <item x="328"/>
        <item x="434"/>
        <item x="1512"/>
        <item x="1701"/>
        <item x="669"/>
        <item x="1786"/>
        <item x="1255"/>
        <item x="257"/>
        <item x="1315"/>
        <item x="1063"/>
        <item x="1136"/>
        <item x="1093"/>
        <item x="7"/>
        <item x="155"/>
        <item x="922"/>
        <item x="908"/>
        <item x="1962"/>
        <item x="958"/>
        <item x="1040"/>
        <item x="357"/>
        <item x="980"/>
        <item x="1886"/>
        <item x="725"/>
        <item x="1130"/>
        <item x="701"/>
        <item x="124"/>
        <item x="19"/>
        <item x="1458"/>
        <item x="1192"/>
        <item x="310"/>
        <item x="790"/>
        <item x="1200"/>
        <item x="948"/>
        <item x="1606"/>
        <item x="1854"/>
        <item x="138"/>
        <item x="1489"/>
        <item x="1709"/>
        <item x="1727"/>
        <item x="213"/>
        <item x="1842"/>
        <item x="1131"/>
        <item x="1343"/>
        <item x="1296"/>
        <item x="300"/>
        <item x="1795"/>
        <item x="866"/>
        <item x="592"/>
        <item x="1733"/>
        <item x="90"/>
        <item x="1301"/>
        <item x="1872"/>
        <item x="909"/>
        <item x="1600"/>
        <item x="1432"/>
        <item x="1344"/>
        <item x="978"/>
        <item x="1668"/>
        <item x="655"/>
        <item x="754"/>
        <item x="1310"/>
        <item x="1498"/>
        <item x="475"/>
        <item x="694"/>
        <item x="955"/>
        <item x="1438"/>
        <item x="1724"/>
        <item x="312"/>
        <item x="982"/>
        <item x="281"/>
        <item x="1085"/>
        <item x="928"/>
        <item x="277"/>
        <item x="270"/>
        <item x="784"/>
        <item x="712"/>
        <item x="1492"/>
        <item x="857"/>
        <item x="664"/>
        <item x="347"/>
        <item x="135"/>
        <item x="1702"/>
        <item x="918"/>
        <item x="1363"/>
        <item x="1896"/>
        <item x="47"/>
        <item x="580"/>
        <item x="827"/>
        <item x="125"/>
        <item x="1238"/>
        <item x="1949"/>
        <item x="1479"/>
        <item x="685"/>
        <item x="1299"/>
        <item x="1708"/>
        <item x="1737"/>
        <item x="1603"/>
        <item x="1444"/>
        <item x="942"/>
        <item x="78"/>
        <item x="360"/>
        <item x="637"/>
        <item x="423"/>
        <item x="1041"/>
        <item x="1609"/>
        <item x="733"/>
        <item x="1470"/>
        <item x="1122"/>
        <item x="1316"/>
        <item x="483"/>
        <item x="106"/>
        <item x="828"/>
        <item x="1493"/>
        <item x="176"/>
        <item x="1446"/>
        <item x="1011"/>
        <item x="1503"/>
        <item x="944"/>
        <item x="1058"/>
        <item x="1763"/>
        <item x="1797"/>
        <item x="1588"/>
        <item x="1959"/>
        <item x="1287"/>
        <item x="126"/>
        <item x="1832"/>
        <item x="941"/>
        <item x="1289"/>
        <item x="1292"/>
        <item x="541"/>
        <item x="587"/>
        <item x="1897"/>
        <item x="20"/>
        <item x="1414"/>
        <item x="214"/>
        <item x="1945"/>
        <item x="842"/>
        <item x="972"/>
        <item x="1823"/>
        <item x="1061"/>
        <item x="1220"/>
        <item x="1560"/>
        <item x="1410"/>
        <item x="1568"/>
        <item x="970"/>
        <item x="1183"/>
        <item x="1146"/>
        <item x="394"/>
        <item x="441"/>
        <item x="1879"/>
        <item x="1189"/>
        <item x="1387"/>
        <item x="1286"/>
        <item x="246"/>
        <item x="806"/>
        <item x="17"/>
        <item x="1224"/>
        <item x="1383"/>
        <item x="777"/>
        <item x="1504"/>
        <item x="1262"/>
        <item x="1956"/>
        <item x="250"/>
        <item x="1252"/>
        <item x="1536"/>
        <item x="248"/>
        <item x="949"/>
        <item x="1143"/>
        <item x="536"/>
        <item x="1428"/>
        <item x="1514"/>
        <item x="1762"/>
        <item x="163"/>
        <item x="27"/>
        <item x="272"/>
        <item x="1333"/>
        <item x="443"/>
        <item x="538"/>
        <item x="1141"/>
        <item x="1029"/>
        <item x="1554"/>
        <item x="134"/>
        <item x="97"/>
        <item x="804"/>
        <item x="351"/>
        <item x="216"/>
        <item x="539"/>
        <item x="30"/>
        <item x="334"/>
        <item x="1817"/>
        <item x="809"/>
        <item x="696"/>
        <item x="1580"/>
        <item x="1306"/>
        <item x="1179"/>
        <item x="364"/>
        <item x="711"/>
        <item x="162"/>
        <item x="177"/>
        <item x="1278"/>
        <item x="642"/>
        <item x="450"/>
        <item x="426"/>
        <item x="975"/>
        <item x="1758"/>
        <item x="1793"/>
        <item x="1020"/>
        <item x="1483"/>
        <item x="1167"/>
        <item x="1594"/>
        <item x="550"/>
        <item x="517"/>
        <item x="1047"/>
        <item x="1239"/>
        <item x="477"/>
        <item x="556"/>
        <item x="1004"/>
        <item x="284"/>
        <item x="1579"/>
        <item x="1190"/>
        <item x="889"/>
        <item x="1774"/>
        <item x="865"/>
        <item x="1347"/>
        <item x="823"/>
        <item x="1282"/>
        <item x="791"/>
        <item x="1813"/>
        <item x="1960"/>
        <item x="1135"/>
        <item x="904"/>
        <item x="68"/>
        <item x="1328"/>
        <item x="296"/>
        <item x="1082"/>
        <item x="1436"/>
        <item x="1121"/>
        <item x="303"/>
        <item x="1013"/>
        <item x="1157"/>
        <item x="31"/>
        <item x="1892"/>
        <item x="188"/>
        <item x="710"/>
        <item x="24"/>
        <item x="912"/>
        <item x="242"/>
        <item x="728"/>
        <item x="741"/>
        <item x="1759"/>
        <item x="1184"/>
        <item x="1938"/>
        <item x="1750"/>
        <item x="1468"/>
        <item x="1009"/>
        <item x="1349"/>
        <item x="903"/>
        <item x="641"/>
        <item x="1578"/>
        <item x="449"/>
        <item x="1340"/>
        <item x="1543"/>
        <item x="1902"/>
        <item x="663"/>
        <item x="320"/>
        <item x="1530"/>
        <item x="199"/>
        <item x="727"/>
        <item x="1501"/>
        <item x="121"/>
        <item x="1639"/>
        <item x="1789"/>
        <item x="446"/>
        <item x="1279"/>
        <item x="1909"/>
        <item x="43"/>
        <item x="1954"/>
        <item x="16"/>
        <item x="131"/>
        <item x="1920"/>
        <item x="1144"/>
        <item x="995"/>
        <item x="209"/>
        <item x="1370"/>
        <item x="931"/>
        <item x="1528"/>
        <item x="1688"/>
        <item x="1128"/>
        <item x="1066"/>
        <item x="563"/>
        <item x="1839"/>
        <item x="428"/>
        <item x="1123"/>
        <item x="1518"/>
        <item x="832"/>
        <item x="651"/>
        <item x="378"/>
        <item x="278"/>
        <item x="404"/>
        <item x="82"/>
        <item x="819"/>
        <item x="1566"/>
        <item x="37"/>
        <item x="1597"/>
        <item x="1314"/>
        <item x="1837"/>
        <item x="989"/>
        <item x="739"/>
        <item x="1556"/>
        <item x="861"/>
        <item x="417"/>
        <item x="1592"/>
        <item x="290"/>
        <item x="489"/>
        <item x="1054"/>
        <item x="509"/>
        <item x="724"/>
        <item x="1471"/>
        <item x="894"/>
        <item x="1904"/>
        <item x="822"/>
        <item x="1360"/>
        <item x="1197"/>
        <item x="1873"/>
        <item x="1824"/>
        <item x="1196"/>
        <item x="452"/>
        <item x="1098"/>
        <item x="1294"/>
        <item x="665"/>
        <item x="1241"/>
        <item x="1305"/>
        <item x="1330"/>
        <item x="1942"/>
        <item x="812"/>
        <item x="522"/>
        <item x="150"/>
        <item x="1881"/>
        <item x="1500"/>
        <item x="508"/>
        <item x="1111"/>
        <item x="247"/>
        <item x="740"/>
        <item x="362"/>
        <item x="1802"/>
        <item x="372"/>
        <item x="103"/>
        <item x="910"/>
        <item x="893"/>
        <item x="1477"/>
        <item x="481"/>
        <item x="1685"/>
        <item x="245"/>
        <item x="1150"/>
        <item x="1205"/>
        <item x="325"/>
        <item x="265"/>
        <item x="1421"/>
        <item x="1930"/>
        <item x="1749"/>
        <item x="1079"/>
        <item x="196"/>
        <item x="1548"/>
        <item x="1103"/>
        <item x="1142"/>
        <item x="1673"/>
        <item x="1288"/>
        <item x="1450"/>
        <item x="983"/>
        <item x="202"/>
        <item x="808"/>
        <item x="1627"/>
        <item x="1613"/>
        <item x="192"/>
        <item x="1968"/>
        <item x="1636"/>
        <item x="503"/>
        <item x="1871"/>
        <item x="1275"/>
        <item x="537"/>
        <item x="576"/>
        <item x="1822"/>
        <item x="626"/>
        <item x="687"/>
        <item x="1214"/>
        <item x="1953"/>
        <item x="676"/>
        <item x="747"/>
        <item x="1429"/>
        <item x="204"/>
        <item x="547"/>
        <item x="1228"/>
        <item x="1569"/>
        <item x="1175"/>
        <item x="851"/>
        <item x="1699"/>
        <item x="1874"/>
        <item x="173"/>
        <item x="579"/>
        <item x="788"/>
        <item x="1106"/>
        <item x="1435"/>
        <item x="605"/>
        <item x="853"/>
        <item x="657"/>
        <item x="240"/>
        <item x="197"/>
        <item x="863"/>
        <item x="1075"/>
        <item x="1325"/>
        <item x="936"/>
        <item x="1219"/>
        <item x="194"/>
        <item x="352"/>
        <item x="598"/>
        <item x="895"/>
        <item x="873"/>
        <item x="1186"/>
        <item x="831"/>
        <item x="459"/>
        <item x="1"/>
        <item x="802"/>
        <item x="283"/>
        <item x="1271"/>
        <item x="971"/>
        <item x="607"/>
        <item x="746"/>
        <item x="32"/>
        <item x="338"/>
        <item x="1222"/>
        <item x="620"/>
        <item x="1617"/>
        <item x="1375"/>
        <item x="920"/>
        <item x="1193"/>
        <item x="183"/>
        <item x="720"/>
        <item x="1601"/>
        <item x="1559"/>
        <item x="388"/>
        <item x="1049"/>
        <item x="753"/>
        <item x="1745"/>
        <item x="1218"/>
        <item x="301"/>
        <item x="1467"/>
        <item x="1172"/>
        <item x="1415"/>
        <item x="1914"/>
        <item x="502"/>
        <item x="1092"/>
        <item x="545"/>
        <item x="653"/>
        <item x="497"/>
        <item x="535"/>
        <item x="973"/>
        <item x="1641"/>
        <item x="1589"/>
        <item x="548"/>
        <item x="89"/>
        <item x="514"/>
        <item x="852"/>
        <item x="85"/>
        <item x="1422"/>
        <item x="381"/>
        <item x="1097"/>
        <item x="1868"/>
        <item x="348"/>
        <item x="1638"/>
        <item x="756"/>
        <item x="1803"/>
        <item x="578"/>
        <item x="469"/>
        <item x="1443"/>
        <item x="1046"/>
        <item x="398"/>
        <item x="1858"/>
        <item x="191"/>
        <item x="717"/>
        <item x="1232"/>
        <item x="695"/>
        <item x="781"/>
        <item x="1833"/>
        <item x="531"/>
        <item x="1751"/>
        <item x="1267"/>
        <item x="1198"/>
        <item x="479"/>
        <item x="38"/>
        <item x="1084"/>
        <item x="1522"/>
        <item x="1602"/>
        <item x="95"/>
        <item x="1188"/>
        <item x="496"/>
        <item x="1693"/>
        <item x="799"/>
        <item x="946"/>
        <item x="439"/>
        <item x="34"/>
        <item x="1517"/>
        <item x="616"/>
        <item x="1338"/>
        <item x="786"/>
        <item x="393"/>
        <item x="810"/>
        <item x="1511"/>
        <item x="1905"/>
        <item x="136"/>
        <item x="570"/>
        <item x="1675"/>
        <item x="1372"/>
        <item x="1057"/>
        <item x="1060"/>
        <item x="757"/>
        <item x="1819"/>
        <item x="1358"/>
        <item x="1808"/>
        <item x="141"/>
        <item x="797"/>
        <item x="1475"/>
        <item x="1008"/>
        <item x="1883"/>
        <item x="1240"/>
        <item x="88"/>
        <item x="905"/>
        <item x="1208"/>
        <item x="671"/>
        <item x="429"/>
        <item x="1495"/>
        <item x="494"/>
        <item x="1624"/>
        <item x="79"/>
        <item x="384"/>
        <item x="157"/>
        <item x="1944"/>
        <item x="433"/>
        <item x="1265"/>
        <item x="649"/>
        <item x="615"/>
        <item x="1464"/>
        <item x="1339"/>
        <item x="1497"/>
        <item x="335"/>
        <item x="104"/>
        <item x="1033"/>
        <item x="268"/>
        <item x="408"/>
        <item x="1119"/>
        <item x="369"/>
        <item x="1284"/>
        <item x="829"/>
        <item x="730"/>
        <item x="1738"/>
        <item x="178"/>
        <item x="833"/>
        <item x="1454"/>
        <item x="745"/>
        <item x="543"/>
        <item x="1298"/>
        <item x="210"/>
        <item x="1770"/>
        <item x="836"/>
        <item x="1405"/>
        <item x="1117"/>
        <item x="341"/>
        <item x="704"/>
        <item x="410"/>
        <item x="211"/>
        <item x="886"/>
        <item x="1576"/>
        <item x="164"/>
        <item x="1850"/>
        <item x="1462"/>
        <item x="1381"/>
        <item x="86"/>
        <item x="1320"/>
        <item x="1236"/>
        <item x="1406"/>
        <item x="1045"/>
        <item x="159"/>
        <item x="1538"/>
        <item x="532"/>
        <item x="892"/>
        <item x="200"/>
        <item x="1259"/>
        <item x="856"/>
        <item x="152"/>
        <item x="96"/>
        <item x="1629"/>
        <item x="1194"/>
        <item x="1442"/>
        <item x="902"/>
        <item x="346"/>
        <item x="765"/>
        <item x="935"/>
        <item x="1322"/>
        <item x="1472"/>
        <item x="1974"/>
        <item x="1928"/>
        <item x="1461"/>
        <item x="1258"/>
        <item x="1395"/>
        <item x="919"/>
        <item x="1825"/>
        <item x="814"/>
        <item x="1030"/>
        <item x="1768"/>
        <item x="1863"/>
        <item x="1882"/>
        <item x="1932"/>
        <item x="1369"/>
        <item x="990"/>
        <item x="26"/>
        <item x="1855"/>
        <item x="1366"/>
        <item x="1173"/>
        <item x="158"/>
        <item x="686"/>
        <item x="472"/>
        <item x="898"/>
        <item x="1276"/>
        <item x="438"/>
        <item x="1447"/>
        <item x="386"/>
        <item x="554"/>
        <item x="1377"/>
        <item x="1662"/>
        <item x="511"/>
        <item x="1452"/>
        <item x="1371"/>
        <item x="1631"/>
        <item x="1303"/>
        <item x="845"/>
        <item x="582"/>
        <item x="952"/>
        <item x="81"/>
        <item x="1073"/>
        <item x="294"/>
        <item x="1028"/>
        <item x="1540"/>
        <item x="1015"/>
        <item x="900"/>
        <item x="1860"/>
        <item x="1272"/>
        <item x="116"/>
        <item x="1726"/>
        <item x="1094"/>
        <item x="1465"/>
        <item x="307"/>
        <item x="1067"/>
        <item x="584"/>
        <item x="1037"/>
        <item x="1466"/>
        <item x="1843"/>
        <item x="546"/>
        <item x="629"/>
        <item x="1637"/>
        <item x="1140"/>
        <item x="906"/>
        <item x="342"/>
        <item x="1115"/>
        <item x="523"/>
        <item x="1099"/>
        <item x="1565"/>
        <item x="1725"/>
        <item x="1534"/>
        <item x="1164"/>
        <item x="321"/>
        <item x="879"/>
        <item x="1148"/>
        <item x="668"/>
        <item x="839"/>
        <item x="759"/>
        <item x="609"/>
        <item x="796"/>
        <item x="805"/>
        <item x="143"/>
        <item x="780"/>
        <item x="1549"/>
        <item x="1459"/>
        <item x="1425"/>
        <item x="380"/>
        <item x="464"/>
        <item x="1943"/>
        <item x="462"/>
        <item x="6"/>
        <item x="1757"/>
        <item x="420"/>
        <item x="1382"/>
        <item x="1567"/>
        <item x="1830"/>
        <item x="447"/>
        <item x="1812"/>
        <item x="276"/>
        <item x="53"/>
        <item x="1177"/>
        <item x="72"/>
        <item x="882"/>
        <item x="109"/>
        <item x="600"/>
        <item x="413"/>
        <item x="1266"/>
        <item x="1268"/>
        <item x="621"/>
        <item x="960"/>
        <item x="939"/>
        <item x="1481"/>
        <item x="1520"/>
        <item x="1486"/>
        <item x="1780"/>
        <item x="782"/>
        <item x="789"/>
        <item x="1076"/>
        <item x="1127"/>
        <item x="1026"/>
        <item x="422"/>
        <item x="758"/>
        <item x="442"/>
        <item x="1739"/>
        <item x="683"/>
        <item x="1972"/>
        <item x="1394"/>
        <item x="1291"/>
        <item x="1350"/>
        <item x="774"/>
        <item x="847"/>
        <item x="1707"/>
        <item x="1769"/>
        <item x="1374"/>
        <item x="1180"/>
        <item x="1021"/>
        <item x="505"/>
        <item x="101"/>
        <item x="1078"/>
        <item x="1642"/>
        <item x="1264"/>
        <item x="1270"/>
        <item x="1070"/>
        <item x="1411"/>
        <item x="1297"/>
        <item x="1963"/>
        <item x="1651"/>
        <item x="1947"/>
        <item x="1068"/>
        <item x="1201"/>
        <item x="1362"/>
        <item x="811"/>
        <item x="280"/>
        <item x="887"/>
        <item x="499"/>
        <item x="1335"/>
        <item x="421"/>
        <item x="1965"/>
        <item x="1961"/>
        <item x="1571"/>
        <item x="1116"/>
        <item x="1772"/>
        <item x="0"/>
        <item x="1659"/>
        <item x="1870"/>
        <item x="4"/>
        <item x="461"/>
        <item x="622"/>
        <item x="1521"/>
        <item x="670"/>
        <item x="1109"/>
        <item x="1910"/>
        <item x="1484"/>
        <item x="709"/>
        <item x="1256"/>
        <item x="1622"/>
        <item x="1389"/>
        <item x="22"/>
        <item x="1767"/>
        <item x="1537"/>
        <item x="1485"/>
        <item x="1891"/>
        <item x="675"/>
        <item x="282"/>
        <item x="848"/>
        <item x="899"/>
        <item x="914"/>
        <item x="1216"/>
        <item x="1152"/>
        <item x="678"/>
        <item x="1114"/>
        <item x="1401"/>
        <item x="631"/>
        <item x="322"/>
        <item x="630"/>
        <item x="13"/>
        <item x="1612"/>
        <item x="950"/>
        <item x="463"/>
        <item x="1836"/>
        <item x="1584"/>
        <item x="1080"/>
        <item x="1260"/>
        <item x="760"/>
        <item x="1911"/>
        <item x="897"/>
        <item x="132"/>
        <item x="1474"/>
        <item x="1211"/>
        <item x="1348"/>
        <item x="1003"/>
        <item x="560"/>
        <item x="333"/>
        <item x="1199"/>
        <item x="455"/>
        <item x="478"/>
        <item x="749"/>
        <item x="222"/>
        <item x="142"/>
        <item x="1674"/>
        <item x="1666"/>
        <item x="1546"/>
        <item x="1455"/>
        <item x="803"/>
        <item x="1431"/>
        <item x="1700"/>
        <item x="519"/>
        <item x="1285"/>
        <item x="880"/>
        <item x="1359"/>
        <item x="431"/>
        <item x="66"/>
        <item x="1816"/>
        <item x="259"/>
        <item x="1604"/>
        <item x="1207"/>
        <item x="1912"/>
        <item x="1814"/>
        <item x="1923"/>
        <item x="139"/>
        <item x="1950"/>
        <item x="1532"/>
        <item x="227"/>
        <item x="974"/>
        <item x="650"/>
        <item x="1971"/>
        <item x="476"/>
        <item x="618"/>
        <item x="1138"/>
        <item x="171"/>
        <item x="402"/>
        <item x="119"/>
        <item x="820"/>
        <item x="1818"/>
        <item x="440"/>
        <item x="569"/>
        <item x="1437"/>
        <item x="1129"/>
        <item x="795"/>
        <item x="1691"/>
        <item x="1523"/>
        <item x="553"/>
        <item x="1742"/>
        <item x="56"/>
        <item x="1022"/>
        <item x="495"/>
        <item x="752"/>
        <item x="255"/>
        <item x="1719"/>
        <item x="654"/>
        <item x="542"/>
        <item x="1104"/>
        <item x="448"/>
        <item x="721"/>
        <item x="1245"/>
        <item x="1253"/>
        <item x="304"/>
        <item x="314"/>
        <item x="708"/>
        <item x="1110"/>
        <item x="1527"/>
        <item x="817"/>
        <item x="530"/>
        <item x="367"/>
        <item x="445"/>
        <item x="5"/>
        <item x="1608"/>
        <item x="151"/>
        <item x="1626"/>
        <item x="1893"/>
        <item x="1494"/>
        <item x="1718"/>
        <item x="1083"/>
        <item x="218"/>
        <item x="1683"/>
        <item x="567"/>
        <item x="859"/>
        <item x="993"/>
        <item x="742"/>
        <item x="604"/>
        <item x="692"/>
        <item x="1582"/>
        <item x="1165"/>
        <item x="122"/>
        <item x="1913"/>
        <item x="118"/>
        <item x="12"/>
        <item x="601"/>
        <item x="1616"/>
        <item x="1373"/>
        <item x="1619"/>
        <item x="1735"/>
        <item x="1502"/>
        <item x="1064"/>
        <item x="239"/>
        <item x="363"/>
        <item x="1610"/>
        <item x="1903"/>
        <item x="702"/>
        <item x="1788"/>
        <item x="186"/>
        <item x="1964"/>
        <item x="350"/>
        <item x="262"/>
        <item x="707"/>
        <item x="208"/>
        <item x="1281"/>
        <item x="1413"/>
        <item x="1628"/>
        <item x="1423"/>
        <item x="1051"/>
        <item x="1356"/>
        <item x="840"/>
        <item x="289"/>
        <item x="693"/>
        <item x="1480"/>
        <item x="999"/>
        <item x="1178"/>
        <item x="1656"/>
        <item x="302"/>
        <item x="471"/>
        <item x="540"/>
        <item x="932"/>
        <item x="1753"/>
        <item x="193"/>
        <item x="957"/>
        <item x="1457"/>
        <item x="933"/>
        <item x="1598"/>
        <item x="1846"/>
        <item x="1147"/>
        <item x="299"/>
        <item x="1539"/>
        <item x="881"/>
        <item x="1717"/>
        <item x="1213"/>
        <item x="1334"/>
        <item x="1499"/>
        <item x="874"/>
        <item x="224"/>
        <item x="65"/>
        <item x="337"/>
        <item x="128"/>
        <item x="1159"/>
        <item x="1346"/>
        <item x="1210"/>
        <item x="232"/>
        <item x="994"/>
        <item x="1925"/>
        <item x="1885"/>
        <item x="467"/>
        <item x="638"/>
        <item x="1826"/>
        <item x="500"/>
        <item x="23"/>
        <item x="1899"/>
        <item x="924"/>
        <item x="1595"/>
        <item x="1034"/>
        <item x="45"/>
        <item x="1890"/>
        <item x="595"/>
        <item x="1364"/>
        <item x="996"/>
        <item x="943"/>
        <item x="264"/>
        <item x="473"/>
        <item x="770"/>
        <item x="1212"/>
        <item x="1302"/>
        <item x="1922"/>
        <item x="1647"/>
        <item x="137"/>
        <item x="1124"/>
        <item x="643"/>
        <item x="383"/>
        <item x="1791"/>
        <item x="1404"/>
        <item x="92"/>
        <item x="767"/>
        <item x="425"/>
        <item x="1154"/>
        <item x="1409"/>
        <item x="1010"/>
        <item x="1182"/>
        <item x="258"/>
        <item x="311"/>
        <item x="49"/>
        <item x="666"/>
        <item x="355"/>
        <item x="387"/>
        <item x="644"/>
        <item x="1035"/>
        <item x="297"/>
        <item x="533"/>
        <item x="435"/>
        <item x="1118"/>
        <item x="55"/>
        <item x="430"/>
        <item x="1090"/>
        <item x="632"/>
        <item x="846"/>
        <item x="166"/>
        <item x="611"/>
        <item x="153"/>
        <item x="175"/>
        <item x="64"/>
        <item x="1001"/>
        <item x="1838"/>
        <item x="1290"/>
        <item x="1587"/>
        <item x="1810"/>
        <item x="1263"/>
        <item x="409"/>
        <item x="405"/>
        <item x="35"/>
        <item x="1108"/>
        <item x="1052"/>
        <item x="1705"/>
        <item x="1341"/>
        <item x="719"/>
        <item x="689"/>
        <item x="1161"/>
        <item x="614"/>
        <item x="1720"/>
        <item x="1782"/>
        <item x="878"/>
        <item x="231"/>
        <item x="992"/>
        <item x="57"/>
        <item x="1933"/>
        <item x="1399"/>
        <item x="890"/>
        <item x="466"/>
        <item x="834"/>
        <item x="1809"/>
        <item x="639"/>
        <item x="100"/>
        <item x="1071"/>
        <item x="1646"/>
        <item x="888"/>
        <item x="1796"/>
        <item x="964"/>
        <item x="130"/>
        <item x="871"/>
        <item x="336"/>
        <item x="1368"/>
        <item x="279"/>
        <item x="319"/>
        <item x="33"/>
        <item x="371"/>
        <item x="967"/>
        <item x="640"/>
        <item x="1790"/>
        <item x="1507"/>
        <item x="1663"/>
        <item x="594"/>
        <item x="62"/>
        <item x="985"/>
        <item x="1250"/>
        <item x="1249"/>
        <item x="184"/>
        <item x="1906"/>
        <item x="1973"/>
        <item x="1921"/>
        <item x="253"/>
        <item x="1396"/>
        <item x="140"/>
        <item x="1293"/>
        <item x="1324"/>
        <item x="648"/>
        <item x="203"/>
        <item x="1845"/>
        <item x="1251"/>
        <item x="180"/>
        <item x="244"/>
        <item x="1679"/>
        <item x="1692"/>
        <item x="1476"/>
        <item x="331"/>
        <item x="1876"/>
        <item x="261"/>
        <item x="558"/>
        <item x="1574"/>
        <item x="1386"/>
        <item x="1672"/>
        <item x="1160"/>
        <item x="1323"/>
        <item x="1563"/>
        <item x="1747"/>
        <item x="1112"/>
        <item x="1661"/>
        <item x="816"/>
        <item x="432"/>
        <item x="1418"/>
        <item x="51"/>
        <item x="1680"/>
        <item x="1570"/>
        <item x="636"/>
        <item x="146"/>
        <item x="1354"/>
        <item x="748"/>
        <item x="1513"/>
        <item x="490"/>
        <item x="1247"/>
        <item x="690"/>
        <item x="1043"/>
        <item x="988"/>
        <item x="1716"/>
        <item x="1449"/>
        <item x="1681"/>
        <item x="901"/>
        <item x="58"/>
        <item x="1002"/>
        <item x="370"/>
        <item x="1734"/>
        <item x="424"/>
        <item x="1311"/>
        <item x="1665"/>
        <item x="293"/>
        <item x="951"/>
        <item x="1711"/>
        <item x="198"/>
        <item x="591"/>
        <item x="661"/>
        <item x="1558"/>
        <item x="329"/>
        <item x="1835"/>
        <item x="700"/>
        <item x="1599"/>
        <item x="1805"/>
        <item x="485"/>
        <item x="785"/>
        <item x="660"/>
        <item x="1233"/>
        <item x="732"/>
        <item x="114"/>
        <item x="529"/>
        <item x="1230"/>
        <item x="2"/>
        <item x="1206"/>
        <item x="1748"/>
        <item x="1018"/>
        <item x="1367"/>
        <item x="877"/>
        <item x="1039"/>
        <item x="1185"/>
        <item x="1237"/>
        <item x="1453"/>
        <item x="1844"/>
        <item x="330"/>
        <item x="1792"/>
        <item x="1924"/>
        <item x="1400"/>
        <item x="345"/>
        <item x="722"/>
        <item x="1496"/>
        <item x="1620"/>
        <item x="332"/>
        <item x="1585"/>
        <item x="1655"/>
        <item x="680"/>
        <item x="1877"/>
        <item x="991"/>
        <item x="731"/>
        <item x="1623"/>
        <item x="586"/>
        <item x="1887"/>
        <item x="1741"/>
        <item x="864"/>
        <item x="205"/>
        <item x="761"/>
        <item x="44"/>
        <item x="1732"/>
        <item x="588"/>
        <item x="1755"/>
        <item x="498"/>
        <item x="1226"/>
        <item x="1056"/>
        <item x="1678"/>
        <item x="568"/>
        <item x="251"/>
        <item x="1867"/>
        <item x="1773"/>
        <item x="619"/>
        <item x="860"/>
        <item x="764"/>
        <item x="1729"/>
        <item x="1697"/>
        <item x="120"/>
        <item x="1170"/>
        <item x="488"/>
        <item x="223"/>
        <item x="1378"/>
        <item x="226"/>
        <item x="602"/>
        <item x="1531"/>
        <item x="1940"/>
        <item x="1948"/>
        <item x="1327"/>
        <item x="750"/>
        <item x="1392"/>
        <item x="172"/>
        <item x="870"/>
        <item x="148"/>
        <item x="1166"/>
        <item x="1089"/>
        <item x="729"/>
        <item x="1440"/>
        <item x="1658"/>
        <item x="368"/>
        <item x="1752"/>
        <item x="965"/>
        <item x="862"/>
        <item x="1163"/>
        <item x="1215"/>
        <item x="677"/>
        <item x="63"/>
        <item x="1915"/>
        <item x="1403"/>
        <item x="1126"/>
        <item x="718"/>
        <item x="682"/>
        <item x="230"/>
        <item x="1137"/>
        <item x="389"/>
        <item x="855"/>
        <item x="716"/>
        <item x="1261"/>
        <item x="406"/>
        <item x="69"/>
        <item x="436"/>
        <item x="377"/>
        <item x="267"/>
        <item x="1426"/>
        <item x="1424"/>
        <item x="1815"/>
        <item x="1562"/>
        <item x="1014"/>
        <item x="400"/>
        <item x="934"/>
        <item x="1353"/>
        <item x="706"/>
        <item x="315"/>
        <item x="237"/>
        <item x="926"/>
        <item x="1482"/>
        <item x="54"/>
        <item x="1439"/>
        <item x="70"/>
        <item x="390"/>
        <item x="1723"/>
        <item x="185"/>
        <item x="460"/>
        <item x="1032"/>
        <item x="1862"/>
        <item x="977"/>
        <item x="603"/>
        <item x="1934"/>
        <item x="1831"/>
        <item x="772"/>
        <item x="1445"/>
        <item x="1827"/>
        <item x="1687"/>
        <item x="1246"/>
        <item x="672"/>
        <item x="1153"/>
        <item x="837"/>
        <item x="1168"/>
        <item x="1036"/>
        <item x="1412"/>
        <item x="1743"/>
        <item x="504"/>
        <item x="18"/>
        <item x="1357"/>
        <item x="1804"/>
        <item x="981"/>
        <item x="1125"/>
        <item x="1086"/>
        <item x="1754"/>
        <item x="1134"/>
        <item x="99"/>
        <item x="1326"/>
        <item x="633"/>
        <item x="117"/>
        <item x="1223"/>
        <item x="1564"/>
        <item x="288"/>
        <item x="1542"/>
        <item x="945"/>
        <item x="869"/>
        <item x="1713"/>
        <item x="1840"/>
        <item x="206"/>
        <item x="606"/>
        <item x="1162"/>
        <item x="647"/>
        <item x="493"/>
        <item x="1706"/>
        <item x="260"/>
        <item x="195"/>
        <item x="1581"/>
        <item x="937"/>
        <item x="1321"/>
        <item x="1113"/>
        <item x="1433"/>
        <item x="1865"/>
        <item x="714"/>
        <item x="841"/>
        <item x="775"/>
        <item x="1632"/>
        <item x="1611"/>
        <item x="854"/>
        <item x="1318"/>
        <item x="658"/>
        <item x="87"/>
        <item x="1900"/>
        <item x="1202"/>
        <item x="1107"/>
        <item x="339"/>
        <item x="465"/>
        <item x="1187"/>
        <item x="610"/>
        <item x="1519"/>
        <item x="454"/>
        <item x="659"/>
        <item x="1376"/>
        <item x="723"/>
        <item x="458"/>
        <item x="46"/>
        <item x="713"/>
        <item x="1926"/>
        <item x="1779"/>
        <item x="1857"/>
        <item x="1077"/>
        <item x="1355"/>
        <item x="1012"/>
        <item x="1379"/>
        <item x="343"/>
        <item x="80"/>
        <item x="115"/>
        <item x="872"/>
        <item x="927"/>
        <item x="1618"/>
        <item x="221"/>
        <item x="552"/>
        <item x="1023"/>
        <item x="1852"/>
        <item x="1420"/>
        <item x="524"/>
        <item x="212"/>
        <item x="42"/>
        <item x="269"/>
        <item x="39"/>
        <item x="181"/>
        <item x="249"/>
        <item x="229"/>
        <item x="1506"/>
        <item x="1859"/>
        <item x="486"/>
        <item x="144"/>
        <item x="1640"/>
        <item x="1575"/>
        <item x="681"/>
        <item x="1544"/>
        <item x="160"/>
        <item x="915"/>
        <item x="1295"/>
        <item x="1957"/>
        <item x="1081"/>
        <item x="1254"/>
        <item x="1633"/>
        <item x="923"/>
        <item x="821"/>
        <item x="1740"/>
        <item x="1024"/>
        <item x="286"/>
        <item x="705"/>
        <item x="1714"/>
        <item x="778"/>
        <item x="1828"/>
        <item x="1209"/>
        <item x="574"/>
        <item x="482"/>
        <item x="794"/>
        <item x="474"/>
        <item x="418"/>
        <item x="635"/>
        <item x="844"/>
        <item x="76"/>
        <item x="1927"/>
        <item x="1430"/>
        <item x="1087"/>
        <item x="521"/>
        <item x="787"/>
        <item x="528"/>
        <item x="1572"/>
        <item x="1221"/>
        <item x="1861"/>
        <item x="215"/>
        <item x="1488"/>
        <item x="743"/>
        <item x="883"/>
        <item x="1390"/>
        <item x="830"/>
        <item x="1605"/>
        <item x="925"/>
        <item x="697"/>
        <item x="1670"/>
        <item x="1869"/>
        <item x="1884"/>
        <item x="800"/>
        <item x="50"/>
        <item x="1561"/>
        <item x="1434"/>
        <item x="273"/>
        <item x="793"/>
        <item x="1553"/>
        <item x="917"/>
        <item x="48"/>
        <item x="396"/>
        <item x="324"/>
        <item x="1319"/>
        <item x="755"/>
        <item x="1657"/>
        <item x="15"/>
        <item x="317"/>
        <item x="867"/>
        <item x="1072"/>
        <item x="453"/>
        <item x="1653"/>
        <item x="1820"/>
        <item x="703"/>
        <item x="1541"/>
        <item x="998"/>
        <item x="318"/>
        <item x="365"/>
        <item x="916"/>
        <item x="201"/>
        <item x="1027"/>
        <item x="161"/>
        <item x="698"/>
        <item x="1736"/>
        <item x="597"/>
        <item x="1935"/>
        <item x="510"/>
        <item x="590"/>
        <item x="911"/>
        <item x="1017"/>
        <item x="599"/>
        <item x="28"/>
        <item x="326"/>
        <item x="403"/>
        <item x="1149"/>
        <item x="1644"/>
        <item x="849"/>
        <item x="1591"/>
        <item x="1176"/>
        <item x="1055"/>
        <item x="513"/>
        <item x="929"/>
        <item x="91"/>
        <item x="1059"/>
        <item x="807"/>
        <item x="1756"/>
        <item x="1019"/>
        <item x="102"/>
        <item x="129"/>
        <item x="1048"/>
        <item x="824"/>
        <item x="850"/>
        <item x="1529"/>
        <item x="1505"/>
        <item x="182"/>
        <item x="1648"/>
        <item x="645"/>
        <item x="1686"/>
        <item x="1851"/>
        <item x="1006"/>
        <item x="1385"/>
        <item x="93"/>
        <item x="673"/>
        <item x="1361"/>
        <item x="526"/>
        <item x="1235"/>
        <item x="61"/>
        <item x="1955"/>
        <item x="1005"/>
        <item x="1689"/>
        <item x="98"/>
        <item x="480"/>
        <item x="427"/>
        <item x="1937"/>
        <item x="688"/>
        <item x="684"/>
        <item x="1919"/>
        <item x="1448"/>
        <item x="662"/>
        <item x="1552"/>
        <item x="366"/>
        <item x="1615"/>
        <item x="1096"/>
        <item x="1169"/>
        <item x="105"/>
        <item x="1234"/>
        <item x="1694"/>
        <item x="392"/>
        <item x="1918"/>
        <item x="1712"/>
        <item x="966"/>
        <item x="1775"/>
        <item x="766"/>
        <item x="557"/>
        <item x="1274"/>
        <item x="1551"/>
        <item x="1309"/>
        <item x="1704"/>
        <item x="127"/>
        <item x="399"/>
        <item x="907"/>
        <item x="397"/>
        <item x="776"/>
        <item x="1332"/>
        <item x="884"/>
        <item x="1776"/>
        <item x="1766"/>
        <item x="1345"/>
        <item x="938"/>
        <item x="858"/>
        <item x="1778"/>
        <item x="1746"/>
        <item x="1794"/>
        <item x="612"/>
        <item x="113"/>
        <item x="187"/>
        <item x="235"/>
        <item x="608"/>
        <item x="1695"/>
        <item x="617"/>
        <item x="1888"/>
        <item x="1490"/>
        <item x="149"/>
        <item x="1203"/>
        <item x="646"/>
        <item x="581"/>
        <item x="1970"/>
        <item x="10"/>
        <item t="default"/>
      </items>
    </pivotField>
    <pivotField showAll="0">
      <items count="4">
        <item x="0"/>
        <item x="1"/>
        <item x="2"/>
        <item t="default"/>
      </items>
    </pivotField>
    <pivotField numFmtId="14" showAll="0"/>
    <pivotField numFmtId="14" showAll="0"/>
    <pivotField dataField="1" showAll="0"/>
    <pivotField showAll="0"/>
    <pivotField showAll="0"/>
    <pivotField showAll="0"/>
    <pivotField showAll="0"/>
    <pivotField showAll="0"/>
    <pivotField showAll="0">
      <items count="3">
        <item x="0"/>
        <item x="1"/>
        <item t="default"/>
      </items>
    </pivotField>
    <pivotField showAll="0"/>
    <pivotField showAll="0">
      <items count="5">
        <item x="1"/>
        <item x="0"/>
        <item x="2"/>
        <item h="1" x="3"/>
        <item t="default"/>
      </items>
    </pivotField>
    <pivotField showAll="0"/>
    <pivotField showAll="0">
      <items count="2">
        <item x="0"/>
        <item t="default"/>
      </items>
    </pivotField>
    <pivotField showAll="0">
      <items count="6">
        <item x="4"/>
        <item x="2"/>
        <item x="1"/>
        <item x="0"/>
        <item x="3"/>
        <item t="default"/>
      </items>
    </pivotField>
    <pivotField showAll="0">
      <items count="2">
        <item x="0"/>
        <item t="default"/>
      </items>
    </pivotField>
    <pivotField showAll="0"/>
    <pivotField showAll="0">
      <items count="2">
        <item x="0"/>
        <item t="default"/>
      </items>
    </pivotField>
  </pivotFields>
  <rowFields count="1">
    <field x="2"/>
  </rowFields>
  <rowItems count="6">
    <i>
      <x/>
    </i>
    <i>
      <x v="1"/>
    </i>
    <i>
      <x v="2"/>
    </i>
    <i>
      <x v="3"/>
    </i>
    <i>
      <x v="4"/>
    </i>
    <i t="grand">
      <x/>
    </i>
  </rowItems>
  <colFields count="1">
    <field x="3"/>
  </colFields>
  <colItems count="9">
    <i>
      <x/>
    </i>
    <i>
      <x v="1"/>
    </i>
    <i>
      <x v="2"/>
    </i>
    <i>
      <x v="3"/>
    </i>
    <i>
      <x v="4"/>
    </i>
    <i>
      <x v="5"/>
    </i>
    <i>
      <x v="6"/>
    </i>
    <i>
      <x v="7"/>
    </i>
    <i t="grand">
      <x/>
    </i>
  </colItems>
  <dataFields count="1">
    <dataField name="Average of Recency" fld="8" subtotal="average" baseField="2"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0C8A06-5A8F-42DA-BB85-64FC3C50FF69}" name="Chart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D56:E62" firstHeaderRow="1" firstDataRow="1" firstDataCol="1"/>
  <pivotFields count="23">
    <pivotField showAll="0"/>
    <pivotField showAll="0">
      <items count="60">
        <item x="49"/>
        <item x="52"/>
        <item x="48"/>
        <item x="58"/>
        <item x="55"/>
        <item x="27"/>
        <item x="56"/>
        <item x="41"/>
        <item x="15"/>
        <item x="51"/>
        <item x="37"/>
        <item x="17"/>
        <item x="9"/>
        <item x="20"/>
        <item x="13"/>
        <item x="44"/>
        <item x="1"/>
        <item x="34"/>
        <item x="46"/>
        <item x="0"/>
        <item x="38"/>
        <item x="12"/>
        <item x="40"/>
        <item x="45"/>
        <item x="43"/>
        <item x="24"/>
        <item x="31"/>
        <item x="2"/>
        <item x="35"/>
        <item x="5"/>
        <item x="30"/>
        <item x="21"/>
        <item x="25"/>
        <item x="6"/>
        <item x="39"/>
        <item x="26"/>
        <item x="8"/>
        <item x="28"/>
        <item x="11"/>
        <item x="32"/>
        <item x="33"/>
        <item x="19"/>
        <item x="16"/>
        <item x="4"/>
        <item x="18"/>
        <item x="10"/>
        <item x="3"/>
        <item x="7"/>
        <item x="22"/>
        <item x="14"/>
        <item x="36"/>
        <item x="23"/>
        <item x="50"/>
        <item x="42"/>
        <item x="47"/>
        <item x="53"/>
        <item x="54"/>
        <item x="57"/>
        <item x="29"/>
        <item t="default"/>
      </items>
    </pivotField>
    <pivotField showAll="0">
      <items count="6">
        <item x="4"/>
        <item x="3"/>
        <item x="0"/>
        <item x="2"/>
        <item x="1"/>
        <item t="default"/>
      </items>
    </pivotField>
    <pivotField showAll="0">
      <items count="9">
        <item x="6"/>
        <item x="5"/>
        <item x="3"/>
        <item x="2"/>
        <item x="0"/>
        <item x="1"/>
        <item x="4"/>
        <item x="7"/>
        <item t="default"/>
      </items>
    </pivotField>
    <pivotField showAll="0">
      <items count="1976">
        <item x="1156"/>
        <item x="21"/>
        <item x="1388"/>
        <item x="1649"/>
        <item x="1760"/>
        <item x="921"/>
        <item x="1958"/>
        <item x="9"/>
        <item x="1229"/>
        <item x="726"/>
        <item x="1614"/>
        <item x="11"/>
        <item x="976"/>
        <item x="1941"/>
        <item x="1132"/>
        <item x="1398"/>
        <item x="123"/>
        <item x="1535"/>
        <item x="361"/>
        <item x="401"/>
        <item x="29"/>
        <item x="1967"/>
        <item x="1664"/>
        <item x="1456"/>
        <item x="291"/>
        <item x="652"/>
        <item x="544"/>
        <item x="1583"/>
        <item x="589"/>
        <item x="1777"/>
        <item x="1441"/>
        <item x="456"/>
        <item x="1866"/>
        <item x="1088"/>
        <item x="375"/>
        <item x="624"/>
        <item x="1864"/>
        <item x="305"/>
        <item x="885"/>
        <item x="1952"/>
        <item x="217"/>
        <item x="962"/>
        <item x="1100"/>
        <item x="798"/>
        <item x="1916"/>
        <item x="243"/>
        <item x="525"/>
        <item x="373"/>
        <item x="913"/>
        <item x="1195"/>
        <item x="1510"/>
        <item x="1889"/>
        <item x="1577"/>
        <item x="1946"/>
        <item x="165"/>
        <item x="1038"/>
        <item x="779"/>
        <item x="1336"/>
        <item x="1050"/>
        <item x="274"/>
        <item x="1555"/>
        <item x="744"/>
        <item x="997"/>
        <item x="896"/>
        <item x="699"/>
        <item x="825"/>
        <item x="738"/>
        <item x="1907"/>
        <item x="1257"/>
        <item x="14"/>
        <item x="959"/>
        <item x="561"/>
        <item x="691"/>
        <item x="1811"/>
        <item x="1550"/>
        <item x="414"/>
        <item x="1524"/>
        <item x="1526"/>
        <item x="1248"/>
        <item x="1120"/>
        <item x="1533"/>
        <item x="1225"/>
        <item x="395"/>
        <item x="25"/>
        <item x="625"/>
        <item x="241"/>
        <item x="1545"/>
        <item x="1463"/>
        <item x="189"/>
        <item x="1242"/>
        <item x="577"/>
        <item x="679"/>
        <item x="1352"/>
        <item x="751"/>
        <item x="1895"/>
        <item x="1351"/>
        <item x="792"/>
        <item x="1469"/>
        <item x="813"/>
        <item x="111"/>
        <item x="515"/>
        <item x="1174"/>
        <item x="1393"/>
        <item x="391"/>
        <item x="358"/>
        <item x="415"/>
        <item x="954"/>
        <item x="1508"/>
        <item x="1596"/>
        <item x="737"/>
        <item x="1158"/>
        <item x="1313"/>
        <item x="444"/>
        <item x="40"/>
        <item x="734"/>
        <item x="1273"/>
        <item x="1380"/>
        <item x="1660"/>
        <item x="1721"/>
        <item x="627"/>
        <item x="1065"/>
        <item x="1062"/>
        <item x="1269"/>
        <item x="763"/>
        <item x="518"/>
        <item x="1317"/>
        <item x="818"/>
        <item x="1621"/>
        <item x="843"/>
        <item x="571"/>
        <item x="108"/>
        <item x="1586"/>
        <item x="41"/>
        <item x="313"/>
        <item x="773"/>
        <item x="252"/>
        <item x="1547"/>
        <item x="1848"/>
        <item x="1696"/>
        <item x="219"/>
        <item x="1799"/>
        <item x="1654"/>
        <item x="1000"/>
        <item x="1102"/>
        <item x="1856"/>
        <item x="520"/>
        <item x="940"/>
        <item x="1487"/>
        <item x="769"/>
        <item x="1139"/>
        <item x="1515"/>
        <item x="292"/>
        <item x="353"/>
        <item x="1042"/>
        <item x="1634"/>
        <item x="1277"/>
        <item x="1715"/>
        <item x="1473"/>
        <item x="225"/>
        <item x="506"/>
        <item x="1785"/>
        <item x="1074"/>
        <item x="1204"/>
        <item x="1342"/>
        <item x="147"/>
        <item x="1807"/>
        <item x="416"/>
        <item x="1397"/>
        <item x="374"/>
        <item x="1771"/>
        <item x="1834"/>
        <item x="1557"/>
        <item x="1516"/>
        <item x="1898"/>
        <item x="75"/>
        <item x="385"/>
        <item x="83"/>
        <item x="220"/>
        <item x="36"/>
        <item x="1091"/>
        <item x="1181"/>
        <item x="1731"/>
        <item x="1676"/>
        <item x="562"/>
        <item x="133"/>
        <item x="285"/>
        <item x="419"/>
        <item x="309"/>
        <item x="1016"/>
        <item x="1783"/>
        <item x="555"/>
        <item x="470"/>
        <item x="1525"/>
        <item x="1243"/>
        <item x="868"/>
        <item x="1966"/>
        <item x="263"/>
        <item x="1765"/>
        <item x="94"/>
        <item x="1300"/>
        <item x="1419"/>
        <item x="512"/>
        <item x="1227"/>
        <item x="826"/>
        <item x="174"/>
        <item x="930"/>
        <item x="1652"/>
        <item x="783"/>
        <item x="1880"/>
        <item x="1936"/>
        <item x="667"/>
        <item x="169"/>
        <item x="1630"/>
        <item x="507"/>
        <item x="1491"/>
        <item x="1728"/>
        <item x="875"/>
        <item x="1590"/>
        <item x="491"/>
        <item x="1151"/>
        <item x="59"/>
        <item x="771"/>
        <item x="1878"/>
        <item x="674"/>
        <item x="1053"/>
        <item x="986"/>
        <item x="623"/>
        <item x="1929"/>
        <item x="154"/>
        <item x="484"/>
        <item x="572"/>
        <item x="564"/>
        <item x="1133"/>
        <item x="1331"/>
        <item x="74"/>
        <item x="71"/>
        <item x="1931"/>
        <item x="236"/>
        <item x="656"/>
        <item x="1069"/>
        <item x="1671"/>
        <item x="3"/>
        <item x="634"/>
        <item x="1283"/>
        <item x="1969"/>
        <item x="551"/>
        <item x="838"/>
        <item x="762"/>
        <item x="575"/>
        <item x="1244"/>
        <item x="1007"/>
        <item x="1101"/>
        <item x="1191"/>
        <item x="287"/>
        <item x="1645"/>
        <item x="987"/>
        <item x="1451"/>
        <item x="516"/>
        <item x="1427"/>
        <item x="323"/>
        <item x="468"/>
        <item x="382"/>
        <item x="1417"/>
        <item x="1217"/>
        <item x="1384"/>
        <item x="1231"/>
        <item x="306"/>
        <item x="359"/>
        <item x="549"/>
        <item x="1939"/>
        <item x="1509"/>
        <item x="1025"/>
        <item x="1155"/>
        <item x="1875"/>
        <item x="1849"/>
        <item x="1847"/>
        <item x="891"/>
        <item x="52"/>
        <item x="1798"/>
        <item x="969"/>
        <item x="1337"/>
        <item x="1391"/>
        <item x="1304"/>
        <item x="168"/>
        <item x="1730"/>
        <item x="67"/>
        <item x="1460"/>
        <item x="1573"/>
        <item x="1784"/>
        <item x="1145"/>
        <item x="956"/>
        <item x="340"/>
        <item x="457"/>
        <item x="1095"/>
        <item x="1607"/>
        <item x="501"/>
        <item x="1801"/>
        <item x="961"/>
        <item x="412"/>
        <item x="156"/>
        <item x="984"/>
        <item x="593"/>
        <item x="295"/>
        <item x="1593"/>
        <item x="1821"/>
        <item x="613"/>
        <item x="628"/>
        <item x="1635"/>
        <item x="534"/>
        <item x="256"/>
        <item x="1894"/>
        <item x="77"/>
        <item x="1744"/>
        <item x="1722"/>
        <item x="349"/>
        <item x="190"/>
        <item x="275"/>
        <item x="1901"/>
        <item x="73"/>
        <item x="1280"/>
        <item x="1698"/>
        <item x="234"/>
        <item x="308"/>
        <item x="407"/>
        <item x="1031"/>
        <item x="566"/>
        <item x="1650"/>
        <item x="84"/>
        <item x="947"/>
        <item x="1800"/>
        <item x="354"/>
        <item x="1684"/>
        <item x="8"/>
        <item x="1787"/>
        <item x="327"/>
        <item x="1407"/>
        <item x="1682"/>
        <item x="735"/>
        <item x="167"/>
        <item x="379"/>
        <item x="583"/>
        <item x="145"/>
        <item x="1669"/>
        <item x="815"/>
        <item x="1478"/>
        <item x="487"/>
        <item x="266"/>
        <item x="316"/>
        <item x="207"/>
        <item x="107"/>
        <item x="768"/>
        <item x="573"/>
        <item x="356"/>
        <item x="1853"/>
        <item x="298"/>
        <item x="801"/>
        <item x="238"/>
        <item x="1408"/>
        <item x="112"/>
        <item x="968"/>
        <item x="1312"/>
        <item x="565"/>
        <item x="1690"/>
        <item x="233"/>
        <item x="1308"/>
        <item x="179"/>
        <item x="1764"/>
        <item x="376"/>
        <item x="1171"/>
        <item x="1105"/>
        <item x="1703"/>
        <item x="1917"/>
        <item x="736"/>
        <item x="1044"/>
        <item x="344"/>
        <item x="715"/>
        <item x="585"/>
        <item x="228"/>
        <item x="1841"/>
        <item x="254"/>
        <item x="835"/>
        <item x="1416"/>
        <item x="1710"/>
        <item x="437"/>
        <item x="1307"/>
        <item x="1402"/>
        <item x="411"/>
        <item x="1951"/>
        <item x="1908"/>
        <item x="963"/>
        <item x="596"/>
        <item x="451"/>
        <item x="953"/>
        <item x="170"/>
        <item x="1643"/>
        <item x="271"/>
        <item x="60"/>
        <item x="110"/>
        <item x="1625"/>
        <item x="1761"/>
        <item x="1781"/>
        <item x="1329"/>
        <item x="1806"/>
        <item x="1829"/>
        <item x="492"/>
        <item x="1667"/>
        <item x="876"/>
        <item x="1365"/>
        <item x="527"/>
        <item x="1677"/>
        <item x="979"/>
        <item x="559"/>
        <item x="328"/>
        <item x="434"/>
        <item x="1512"/>
        <item x="1701"/>
        <item x="669"/>
        <item x="1786"/>
        <item x="1255"/>
        <item x="257"/>
        <item x="1315"/>
        <item x="1063"/>
        <item x="1136"/>
        <item x="1093"/>
        <item x="7"/>
        <item x="155"/>
        <item x="922"/>
        <item x="908"/>
        <item x="1962"/>
        <item x="958"/>
        <item x="1040"/>
        <item x="357"/>
        <item x="980"/>
        <item x="1886"/>
        <item x="725"/>
        <item x="1130"/>
        <item x="701"/>
        <item x="124"/>
        <item x="19"/>
        <item x="1458"/>
        <item x="1192"/>
        <item x="310"/>
        <item x="790"/>
        <item x="1200"/>
        <item x="948"/>
        <item x="1606"/>
        <item x="1854"/>
        <item x="138"/>
        <item x="1489"/>
        <item x="1709"/>
        <item x="1727"/>
        <item x="213"/>
        <item x="1842"/>
        <item x="1131"/>
        <item x="1343"/>
        <item x="1296"/>
        <item x="300"/>
        <item x="1795"/>
        <item x="866"/>
        <item x="592"/>
        <item x="1733"/>
        <item x="90"/>
        <item x="1301"/>
        <item x="1872"/>
        <item x="909"/>
        <item x="1600"/>
        <item x="1432"/>
        <item x="1344"/>
        <item x="978"/>
        <item x="1668"/>
        <item x="655"/>
        <item x="754"/>
        <item x="1310"/>
        <item x="1498"/>
        <item x="475"/>
        <item x="694"/>
        <item x="955"/>
        <item x="1438"/>
        <item x="1724"/>
        <item x="312"/>
        <item x="982"/>
        <item x="281"/>
        <item x="1085"/>
        <item x="928"/>
        <item x="277"/>
        <item x="270"/>
        <item x="784"/>
        <item x="712"/>
        <item x="1492"/>
        <item x="857"/>
        <item x="664"/>
        <item x="347"/>
        <item x="135"/>
        <item x="1702"/>
        <item x="918"/>
        <item x="1363"/>
        <item x="1896"/>
        <item x="47"/>
        <item x="580"/>
        <item x="827"/>
        <item x="125"/>
        <item x="1238"/>
        <item x="1949"/>
        <item x="1479"/>
        <item x="685"/>
        <item x="1299"/>
        <item x="1708"/>
        <item x="1737"/>
        <item x="1603"/>
        <item x="1444"/>
        <item x="942"/>
        <item x="78"/>
        <item x="360"/>
        <item x="637"/>
        <item x="423"/>
        <item x="1041"/>
        <item x="1609"/>
        <item x="733"/>
        <item x="1470"/>
        <item x="1122"/>
        <item x="1316"/>
        <item x="483"/>
        <item x="106"/>
        <item x="828"/>
        <item x="1493"/>
        <item x="176"/>
        <item x="1446"/>
        <item x="1011"/>
        <item x="1503"/>
        <item x="944"/>
        <item x="1058"/>
        <item x="1763"/>
        <item x="1797"/>
        <item x="1588"/>
        <item x="1959"/>
        <item x="1287"/>
        <item x="126"/>
        <item x="1832"/>
        <item x="941"/>
        <item x="1289"/>
        <item x="1292"/>
        <item x="541"/>
        <item x="587"/>
        <item x="1897"/>
        <item x="20"/>
        <item x="1414"/>
        <item x="214"/>
        <item x="1945"/>
        <item x="842"/>
        <item x="972"/>
        <item x="1823"/>
        <item x="1061"/>
        <item x="1220"/>
        <item x="1560"/>
        <item x="1410"/>
        <item x="1568"/>
        <item x="970"/>
        <item x="1183"/>
        <item x="1146"/>
        <item x="394"/>
        <item x="441"/>
        <item x="1879"/>
        <item x="1189"/>
        <item x="1387"/>
        <item x="1286"/>
        <item x="246"/>
        <item x="806"/>
        <item x="17"/>
        <item x="1224"/>
        <item x="1383"/>
        <item x="777"/>
        <item x="1504"/>
        <item x="1262"/>
        <item x="1956"/>
        <item x="250"/>
        <item x="1252"/>
        <item x="1536"/>
        <item x="248"/>
        <item x="949"/>
        <item x="1143"/>
        <item x="536"/>
        <item x="1428"/>
        <item x="1514"/>
        <item x="1762"/>
        <item x="163"/>
        <item x="27"/>
        <item x="272"/>
        <item x="1333"/>
        <item x="443"/>
        <item x="538"/>
        <item x="1141"/>
        <item x="1029"/>
        <item x="1554"/>
        <item x="134"/>
        <item x="97"/>
        <item x="804"/>
        <item x="351"/>
        <item x="216"/>
        <item x="539"/>
        <item x="30"/>
        <item x="334"/>
        <item x="1817"/>
        <item x="809"/>
        <item x="696"/>
        <item x="1580"/>
        <item x="1306"/>
        <item x="1179"/>
        <item x="364"/>
        <item x="711"/>
        <item x="162"/>
        <item x="177"/>
        <item x="1278"/>
        <item x="642"/>
        <item x="450"/>
        <item x="426"/>
        <item x="975"/>
        <item x="1758"/>
        <item x="1793"/>
        <item x="1020"/>
        <item x="1483"/>
        <item x="1167"/>
        <item x="1594"/>
        <item x="550"/>
        <item x="517"/>
        <item x="1047"/>
        <item x="1239"/>
        <item x="477"/>
        <item x="556"/>
        <item x="1004"/>
        <item x="284"/>
        <item x="1579"/>
        <item x="1190"/>
        <item x="889"/>
        <item x="1774"/>
        <item x="865"/>
        <item x="1347"/>
        <item x="823"/>
        <item x="1282"/>
        <item x="791"/>
        <item x="1813"/>
        <item x="1960"/>
        <item x="1135"/>
        <item x="904"/>
        <item x="68"/>
        <item x="1328"/>
        <item x="296"/>
        <item x="1082"/>
        <item x="1436"/>
        <item x="1121"/>
        <item x="303"/>
        <item x="1013"/>
        <item x="1157"/>
        <item x="31"/>
        <item x="1892"/>
        <item x="188"/>
        <item x="710"/>
        <item x="24"/>
        <item x="912"/>
        <item x="242"/>
        <item x="728"/>
        <item x="741"/>
        <item x="1759"/>
        <item x="1184"/>
        <item x="1938"/>
        <item x="1750"/>
        <item x="1468"/>
        <item x="1009"/>
        <item x="1349"/>
        <item x="903"/>
        <item x="641"/>
        <item x="1578"/>
        <item x="449"/>
        <item x="1340"/>
        <item x="1543"/>
        <item x="1902"/>
        <item x="663"/>
        <item x="320"/>
        <item x="1530"/>
        <item x="199"/>
        <item x="727"/>
        <item x="1501"/>
        <item x="121"/>
        <item x="1639"/>
        <item x="1789"/>
        <item x="446"/>
        <item x="1279"/>
        <item x="1909"/>
        <item x="43"/>
        <item x="1954"/>
        <item x="16"/>
        <item x="131"/>
        <item x="1920"/>
        <item x="1144"/>
        <item x="995"/>
        <item x="209"/>
        <item x="1370"/>
        <item x="931"/>
        <item x="1528"/>
        <item x="1688"/>
        <item x="1128"/>
        <item x="1066"/>
        <item x="563"/>
        <item x="1839"/>
        <item x="428"/>
        <item x="1123"/>
        <item x="1518"/>
        <item x="832"/>
        <item x="651"/>
        <item x="378"/>
        <item x="278"/>
        <item x="404"/>
        <item x="82"/>
        <item x="819"/>
        <item x="1566"/>
        <item x="37"/>
        <item x="1597"/>
        <item x="1314"/>
        <item x="1837"/>
        <item x="989"/>
        <item x="739"/>
        <item x="1556"/>
        <item x="861"/>
        <item x="417"/>
        <item x="1592"/>
        <item x="290"/>
        <item x="489"/>
        <item x="1054"/>
        <item x="509"/>
        <item x="724"/>
        <item x="1471"/>
        <item x="894"/>
        <item x="1904"/>
        <item x="822"/>
        <item x="1360"/>
        <item x="1197"/>
        <item x="1873"/>
        <item x="1824"/>
        <item x="1196"/>
        <item x="452"/>
        <item x="1098"/>
        <item x="1294"/>
        <item x="665"/>
        <item x="1241"/>
        <item x="1305"/>
        <item x="1330"/>
        <item x="1942"/>
        <item x="812"/>
        <item x="522"/>
        <item x="150"/>
        <item x="1881"/>
        <item x="1500"/>
        <item x="508"/>
        <item x="1111"/>
        <item x="247"/>
        <item x="740"/>
        <item x="362"/>
        <item x="1802"/>
        <item x="372"/>
        <item x="103"/>
        <item x="910"/>
        <item x="893"/>
        <item x="1477"/>
        <item x="481"/>
        <item x="1685"/>
        <item x="245"/>
        <item x="1150"/>
        <item x="1205"/>
        <item x="325"/>
        <item x="265"/>
        <item x="1421"/>
        <item x="1930"/>
        <item x="1749"/>
        <item x="1079"/>
        <item x="196"/>
        <item x="1548"/>
        <item x="1103"/>
        <item x="1142"/>
        <item x="1673"/>
        <item x="1288"/>
        <item x="1450"/>
        <item x="983"/>
        <item x="202"/>
        <item x="808"/>
        <item x="1627"/>
        <item x="1613"/>
        <item x="192"/>
        <item x="1968"/>
        <item x="1636"/>
        <item x="503"/>
        <item x="1871"/>
        <item x="1275"/>
        <item x="537"/>
        <item x="576"/>
        <item x="1822"/>
        <item x="626"/>
        <item x="687"/>
        <item x="1214"/>
        <item x="1953"/>
        <item x="676"/>
        <item x="747"/>
        <item x="1429"/>
        <item x="204"/>
        <item x="547"/>
        <item x="1228"/>
        <item x="1569"/>
        <item x="1175"/>
        <item x="851"/>
        <item x="1699"/>
        <item x="1874"/>
        <item x="173"/>
        <item x="579"/>
        <item x="788"/>
        <item x="1106"/>
        <item x="1435"/>
        <item x="605"/>
        <item x="853"/>
        <item x="657"/>
        <item x="240"/>
        <item x="197"/>
        <item x="863"/>
        <item x="1075"/>
        <item x="1325"/>
        <item x="936"/>
        <item x="1219"/>
        <item x="194"/>
        <item x="352"/>
        <item x="598"/>
        <item x="895"/>
        <item x="873"/>
        <item x="1186"/>
        <item x="831"/>
        <item x="459"/>
        <item x="1"/>
        <item x="802"/>
        <item x="283"/>
        <item x="1271"/>
        <item x="971"/>
        <item x="607"/>
        <item x="746"/>
        <item x="32"/>
        <item x="338"/>
        <item x="1222"/>
        <item x="620"/>
        <item x="1617"/>
        <item x="1375"/>
        <item x="920"/>
        <item x="1193"/>
        <item x="183"/>
        <item x="720"/>
        <item x="1601"/>
        <item x="1559"/>
        <item x="388"/>
        <item x="1049"/>
        <item x="753"/>
        <item x="1745"/>
        <item x="1218"/>
        <item x="301"/>
        <item x="1467"/>
        <item x="1172"/>
        <item x="1415"/>
        <item x="1914"/>
        <item x="502"/>
        <item x="1092"/>
        <item x="545"/>
        <item x="653"/>
        <item x="497"/>
        <item x="535"/>
        <item x="973"/>
        <item x="1641"/>
        <item x="1589"/>
        <item x="548"/>
        <item x="89"/>
        <item x="514"/>
        <item x="852"/>
        <item x="85"/>
        <item x="1422"/>
        <item x="381"/>
        <item x="1097"/>
        <item x="1868"/>
        <item x="348"/>
        <item x="1638"/>
        <item x="756"/>
        <item x="1803"/>
        <item x="578"/>
        <item x="469"/>
        <item x="1443"/>
        <item x="1046"/>
        <item x="398"/>
        <item x="1858"/>
        <item x="191"/>
        <item x="717"/>
        <item x="1232"/>
        <item x="695"/>
        <item x="781"/>
        <item x="1833"/>
        <item x="531"/>
        <item x="1751"/>
        <item x="1267"/>
        <item x="1198"/>
        <item x="479"/>
        <item x="38"/>
        <item x="1084"/>
        <item x="1522"/>
        <item x="1602"/>
        <item x="95"/>
        <item x="1188"/>
        <item x="496"/>
        <item x="1693"/>
        <item x="799"/>
        <item x="946"/>
        <item x="439"/>
        <item x="34"/>
        <item x="1517"/>
        <item x="616"/>
        <item x="1338"/>
        <item x="786"/>
        <item x="393"/>
        <item x="810"/>
        <item x="1511"/>
        <item x="1905"/>
        <item x="136"/>
        <item x="570"/>
        <item x="1675"/>
        <item x="1372"/>
        <item x="1057"/>
        <item x="1060"/>
        <item x="757"/>
        <item x="1819"/>
        <item x="1358"/>
        <item x="1808"/>
        <item x="141"/>
        <item x="797"/>
        <item x="1475"/>
        <item x="1008"/>
        <item x="1883"/>
        <item x="1240"/>
        <item x="88"/>
        <item x="905"/>
        <item x="1208"/>
        <item x="671"/>
        <item x="429"/>
        <item x="1495"/>
        <item x="494"/>
        <item x="1624"/>
        <item x="79"/>
        <item x="384"/>
        <item x="157"/>
        <item x="1944"/>
        <item x="433"/>
        <item x="1265"/>
        <item x="649"/>
        <item x="615"/>
        <item x="1464"/>
        <item x="1339"/>
        <item x="1497"/>
        <item x="335"/>
        <item x="104"/>
        <item x="1033"/>
        <item x="268"/>
        <item x="408"/>
        <item x="1119"/>
        <item x="369"/>
        <item x="1284"/>
        <item x="829"/>
        <item x="730"/>
        <item x="1738"/>
        <item x="178"/>
        <item x="833"/>
        <item x="1454"/>
        <item x="745"/>
        <item x="543"/>
        <item x="1298"/>
        <item x="210"/>
        <item x="1770"/>
        <item x="836"/>
        <item x="1405"/>
        <item x="1117"/>
        <item x="341"/>
        <item x="704"/>
        <item x="410"/>
        <item x="211"/>
        <item x="886"/>
        <item x="1576"/>
        <item x="164"/>
        <item x="1850"/>
        <item x="1462"/>
        <item x="1381"/>
        <item x="86"/>
        <item x="1320"/>
        <item x="1236"/>
        <item x="1406"/>
        <item x="1045"/>
        <item x="159"/>
        <item x="1538"/>
        <item x="532"/>
        <item x="892"/>
        <item x="200"/>
        <item x="1259"/>
        <item x="856"/>
        <item x="152"/>
        <item x="96"/>
        <item x="1629"/>
        <item x="1194"/>
        <item x="1442"/>
        <item x="902"/>
        <item x="346"/>
        <item x="765"/>
        <item x="935"/>
        <item x="1322"/>
        <item x="1472"/>
        <item x="1974"/>
        <item x="1928"/>
        <item x="1461"/>
        <item x="1258"/>
        <item x="1395"/>
        <item x="919"/>
        <item x="1825"/>
        <item x="814"/>
        <item x="1030"/>
        <item x="1768"/>
        <item x="1863"/>
        <item x="1882"/>
        <item x="1932"/>
        <item x="1369"/>
        <item x="990"/>
        <item x="26"/>
        <item x="1855"/>
        <item x="1366"/>
        <item x="1173"/>
        <item x="158"/>
        <item x="686"/>
        <item x="472"/>
        <item x="898"/>
        <item x="1276"/>
        <item x="438"/>
        <item x="1447"/>
        <item x="386"/>
        <item x="554"/>
        <item x="1377"/>
        <item x="1662"/>
        <item x="511"/>
        <item x="1452"/>
        <item x="1371"/>
        <item x="1631"/>
        <item x="1303"/>
        <item x="845"/>
        <item x="582"/>
        <item x="952"/>
        <item x="81"/>
        <item x="1073"/>
        <item x="294"/>
        <item x="1028"/>
        <item x="1540"/>
        <item x="1015"/>
        <item x="900"/>
        <item x="1860"/>
        <item x="1272"/>
        <item x="116"/>
        <item x="1726"/>
        <item x="1094"/>
        <item x="1465"/>
        <item x="307"/>
        <item x="1067"/>
        <item x="584"/>
        <item x="1037"/>
        <item x="1466"/>
        <item x="1843"/>
        <item x="546"/>
        <item x="629"/>
        <item x="1637"/>
        <item x="1140"/>
        <item x="906"/>
        <item x="342"/>
        <item x="1115"/>
        <item x="523"/>
        <item x="1099"/>
        <item x="1565"/>
        <item x="1725"/>
        <item x="1534"/>
        <item x="1164"/>
        <item x="321"/>
        <item x="879"/>
        <item x="1148"/>
        <item x="668"/>
        <item x="839"/>
        <item x="759"/>
        <item x="609"/>
        <item x="796"/>
        <item x="805"/>
        <item x="143"/>
        <item x="780"/>
        <item x="1549"/>
        <item x="1459"/>
        <item x="1425"/>
        <item x="380"/>
        <item x="464"/>
        <item x="1943"/>
        <item x="462"/>
        <item x="6"/>
        <item x="1757"/>
        <item x="420"/>
        <item x="1382"/>
        <item x="1567"/>
        <item x="1830"/>
        <item x="447"/>
        <item x="1812"/>
        <item x="276"/>
        <item x="53"/>
        <item x="1177"/>
        <item x="72"/>
        <item x="882"/>
        <item x="109"/>
        <item x="600"/>
        <item x="413"/>
        <item x="1266"/>
        <item x="1268"/>
        <item x="621"/>
        <item x="960"/>
        <item x="939"/>
        <item x="1481"/>
        <item x="1520"/>
        <item x="1486"/>
        <item x="1780"/>
        <item x="782"/>
        <item x="789"/>
        <item x="1076"/>
        <item x="1127"/>
        <item x="1026"/>
        <item x="422"/>
        <item x="758"/>
        <item x="442"/>
        <item x="1739"/>
        <item x="683"/>
        <item x="1972"/>
        <item x="1394"/>
        <item x="1291"/>
        <item x="1350"/>
        <item x="774"/>
        <item x="847"/>
        <item x="1707"/>
        <item x="1769"/>
        <item x="1374"/>
        <item x="1180"/>
        <item x="1021"/>
        <item x="505"/>
        <item x="101"/>
        <item x="1078"/>
        <item x="1642"/>
        <item x="1264"/>
        <item x="1270"/>
        <item x="1070"/>
        <item x="1411"/>
        <item x="1297"/>
        <item x="1963"/>
        <item x="1651"/>
        <item x="1947"/>
        <item x="1068"/>
        <item x="1201"/>
        <item x="1362"/>
        <item x="811"/>
        <item x="280"/>
        <item x="887"/>
        <item x="499"/>
        <item x="1335"/>
        <item x="421"/>
        <item x="1965"/>
        <item x="1961"/>
        <item x="1571"/>
        <item x="1116"/>
        <item x="1772"/>
        <item x="0"/>
        <item x="1659"/>
        <item x="1870"/>
        <item x="4"/>
        <item x="461"/>
        <item x="622"/>
        <item x="1521"/>
        <item x="670"/>
        <item x="1109"/>
        <item x="1910"/>
        <item x="1484"/>
        <item x="709"/>
        <item x="1256"/>
        <item x="1622"/>
        <item x="1389"/>
        <item x="22"/>
        <item x="1767"/>
        <item x="1537"/>
        <item x="1485"/>
        <item x="1891"/>
        <item x="675"/>
        <item x="282"/>
        <item x="848"/>
        <item x="899"/>
        <item x="914"/>
        <item x="1216"/>
        <item x="1152"/>
        <item x="678"/>
        <item x="1114"/>
        <item x="1401"/>
        <item x="631"/>
        <item x="322"/>
        <item x="630"/>
        <item x="13"/>
        <item x="1612"/>
        <item x="950"/>
        <item x="463"/>
        <item x="1836"/>
        <item x="1584"/>
        <item x="1080"/>
        <item x="1260"/>
        <item x="760"/>
        <item x="1911"/>
        <item x="897"/>
        <item x="132"/>
        <item x="1474"/>
        <item x="1211"/>
        <item x="1348"/>
        <item x="1003"/>
        <item x="560"/>
        <item x="333"/>
        <item x="1199"/>
        <item x="455"/>
        <item x="478"/>
        <item x="749"/>
        <item x="222"/>
        <item x="142"/>
        <item x="1674"/>
        <item x="1666"/>
        <item x="1546"/>
        <item x="1455"/>
        <item x="803"/>
        <item x="1431"/>
        <item x="1700"/>
        <item x="519"/>
        <item x="1285"/>
        <item x="880"/>
        <item x="1359"/>
        <item x="431"/>
        <item x="66"/>
        <item x="1816"/>
        <item x="259"/>
        <item x="1604"/>
        <item x="1207"/>
        <item x="1912"/>
        <item x="1814"/>
        <item x="1923"/>
        <item x="139"/>
        <item x="1950"/>
        <item x="1532"/>
        <item x="227"/>
        <item x="974"/>
        <item x="650"/>
        <item x="1971"/>
        <item x="476"/>
        <item x="618"/>
        <item x="1138"/>
        <item x="171"/>
        <item x="402"/>
        <item x="119"/>
        <item x="820"/>
        <item x="1818"/>
        <item x="440"/>
        <item x="569"/>
        <item x="1437"/>
        <item x="1129"/>
        <item x="795"/>
        <item x="1691"/>
        <item x="1523"/>
        <item x="553"/>
        <item x="1742"/>
        <item x="56"/>
        <item x="1022"/>
        <item x="495"/>
        <item x="752"/>
        <item x="255"/>
        <item x="1719"/>
        <item x="654"/>
        <item x="542"/>
        <item x="1104"/>
        <item x="448"/>
        <item x="721"/>
        <item x="1245"/>
        <item x="1253"/>
        <item x="304"/>
        <item x="314"/>
        <item x="708"/>
        <item x="1110"/>
        <item x="1527"/>
        <item x="817"/>
        <item x="530"/>
        <item x="367"/>
        <item x="445"/>
        <item x="5"/>
        <item x="1608"/>
        <item x="151"/>
        <item x="1626"/>
        <item x="1893"/>
        <item x="1494"/>
        <item x="1718"/>
        <item x="1083"/>
        <item x="218"/>
        <item x="1683"/>
        <item x="567"/>
        <item x="859"/>
        <item x="993"/>
        <item x="742"/>
        <item x="604"/>
        <item x="692"/>
        <item x="1582"/>
        <item x="1165"/>
        <item x="122"/>
        <item x="1913"/>
        <item x="118"/>
        <item x="12"/>
        <item x="601"/>
        <item x="1616"/>
        <item x="1373"/>
        <item x="1619"/>
        <item x="1735"/>
        <item x="1502"/>
        <item x="1064"/>
        <item x="239"/>
        <item x="363"/>
        <item x="1610"/>
        <item x="1903"/>
        <item x="702"/>
        <item x="1788"/>
        <item x="186"/>
        <item x="1964"/>
        <item x="350"/>
        <item x="262"/>
        <item x="707"/>
        <item x="208"/>
        <item x="1281"/>
        <item x="1413"/>
        <item x="1628"/>
        <item x="1423"/>
        <item x="1051"/>
        <item x="1356"/>
        <item x="840"/>
        <item x="289"/>
        <item x="693"/>
        <item x="1480"/>
        <item x="999"/>
        <item x="1178"/>
        <item x="1656"/>
        <item x="302"/>
        <item x="471"/>
        <item x="540"/>
        <item x="932"/>
        <item x="1753"/>
        <item x="193"/>
        <item x="957"/>
        <item x="1457"/>
        <item x="933"/>
        <item x="1598"/>
        <item x="1846"/>
        <item x="1147"/>
        <item x="299"/>
        <item x="1539"/>
        <item x="881"/>
        <item x="1717"/>
        <item x="1213"/>
        <item x="1334"/>
        <item x="1499"/>
        <item x="874"/>
        <item x="224"/>
        <item x="65"/>
        <item x="337"/>
        <item x="128"/>
        <item x="1159"/>
        <item x="1346"/>
        <item x="1210"/>
        <item x="232"/>
        <item x="994"/>
        <item x="1925"/>
        <item x="1885"/>
        <item x="467"/>
        <item x="638"/>
        <item x="1826"/>
        <item x="500"/>
        <item x="23"/>
        <item x="1899"/>
        <item x="924"/>
        <item x="1595"/>
        <item x="1034"/>
        <item x="45"/>
        <item x="1890"/>
        <item x="595"/>
        <item x="1364"/>
        <item x="996"/>
        <item x="943"/>
        <item x="264"/>
        <item x="473"/>
        <item x="770"/>
        <item x="1212"/>
        <item x="1302"/>
        <item x="1922"/>
        <item x="1647"/>
        <item x="137"/>
        <item x="1124"/>
        <item x="643"/>
        <item x="383"/>
        <item x="1791"/>
        <item x="1404"/>
        <item x="92"/>
        <item x="767"/>
        <item x="425"/>
        <item x="1154"/>
        <item x="1409"/>
        <item x="1010"/>
        <item x="1182"/>
        <item x="258"/>
        <item x="311"/>
        <item x="49"/>
        <item x="666"/>
        <item x="355"/>
        <item x="387"/>
        <item x="644"/>
        <item x="1035"/>
        <item x="297"/>
        <item x="533"/>
        <item x="435"/>
        <item x="1118"/>
        <item x="55"/>
        <item x="430"/>
        <item x="1090"/>
        <item x="632"/>
        <item x="846"/>
        <item x="166"/>
        <item x="611"/>
        <item x="153"/>
        <item x="175"/>
        <item x="64"/>
        <item x="1001"/>
        <item x="1838"/>
        <item x="1290"/>
        <item x="1587"/>
        <item x="1810"/>
        <item x="1263"/>
        <item x="409"/>
        <item x="405"/>
        <item x="35"/>
        <item x="1108"/>
        <item x="1052"/>
        <item x="1705"/>
        <item x="1341"/>
        <item x="719"/>
        <item x="689"/>
        <item x="1161"/>
        <item x="614"/>
        <item x="1720"/>
        <item x="1782"/>
        <item x="878"/>
        <item x="231"/>
        <item x="992"/>
        <item x="57"/>
        <item x="1933"/>
        <item x="1399"/>
        <item x="890"/>
        <item x="466"/>
        <item x="834"/>
        <item x="1809"/>
        <item x="639"/>
        <item x="100"/>
        <item x="1071"/>
        <item x="1646"/>
        <item x="888"/>
        <item x="1796"/>
        <item x="964"/>
        <item x="130"/>
        <item x="871"/>
        <item x="336"/>
        <item x="1368"/>
        <item x="279"/>
        <item x="319"/>
        <item x="33"/>
        <item x="371"/>
        <item x="967"/>
        <item x="640"/>
        <item x="1790"/>
        <item x="1507"/>
        <item x="1663"/>
        <item x="594"/>
        <item x="62"/>
        <item x="985"/>
        <item x="1250"/>
        <item x="1249"/>
        <item x="184"/>
        <item x="1906"/>
        <item x="1973"/>
        <item x="1921"/>
        <item x="253"/>
        <item x="1396"/>
        <item x="140"/>
        <item x="1293"/>
        <item x="1324"/>
        <item x="648"/>
        <item x="203"/>
        <item x="1845"/>
        <item x="1251"/>
        <item x="180"/>
        <item x="244"/>
        <item x="1679"/>
        <item x="1692"/>
        <item x="1476"/>
        <item x="331"/>
        <item x="1876"/>
        <item x="261"/>
        <item x="558"/>
        <item x="1574"/>
        <item x="1386"/>
        <item x="1672"/>
        <item x="1160"/>
        <item x="1323"/>
        <item x="1563"/>
        <item x="1747"/>
        <item x="1112"/>
        <item x="1661"/>
        <item x="816"/>
        <item x="432"/>
        <item x="1418"/>
        <item x="51"/>
        <item x="1680"/>
        <item x="1570"/>
        <item x="636"/>
        <item x="146"/>
        <item x="1354"/>
        <item x="748"/>
        <item x="1513"/>
        <item x="490"/>
        <item x="1247"/>
        <item x="690"/>
        <item x="1043"/>
        <item x="988"/>
        <item x="1716"/>
        <item x="1449"/>
        <item x="1681"/>
        <item x="901"/>
        <item x="58"/>
        <item x="1002"/>
        <item x="370"/>
        <item x="1734"/>
        <item x="424"/>
        <item x="1311"/>
        <item x="1665"/>
        <item x="293"/>
        <item x="951"/>
        <item x="1711"/>
        <item x="198"/>
        <item x="591"/>
        <item x="661"/>
        <item x="1558"/>
        <item x="329"/>
        <item x="1835"/>
        <item x="700"/>
        <item x="1599"/>
        <item x="1805"/>
        <item x="485"/>
        <item x="785"/>
        <item x="660"/>
        <item x="1233"/>
        <item x="732"/>
        <item x="114"/>
        <item x="529"/>
        <item x="1230"/>
        <item x="2"/>
        <item x="1206"/>
        <item x="1748"/>
        <item x="1018"/>
        <item x="1367"/>
        <item x="877"/>
        <item x="1039"/>
        <item x="1185"/>
        <item x="1237"/>
        <item x="1453"/>
        <item x="1844"/>
        <item x="330"/>
        <item x="1792"/>
        <item x="1924"/>
        <item x="1400"/>
        <item x="345"/>
        <item x="722"/>
        <item x="1496"/>
        <item x="1620"/>
        <item x="332"/>
        <item x="1585"/>
        <item x="1655"/>
        <item x="680"/>
        <item x="1877"/>
        <item x="991"/>
        <item x="731"/>
        <item x="1623"/>
        <item x="586"/>
        <item x="1887"/>
        <item x="1741"/>
        <item x="864"/>
        <item x="205"/>
        <item x="761"/>
        <item x="44"/>
        <item x="1732"/>
        <item x="588"/>
        <item x="1755"/>
        <item x="498"/>
        <item x="1226"/>
        <item x="1056"/>
        <item x="1678"/>
        <item x="568"/>
        <item x="251"/>
        <item x="1867"/>
        <item x="1773"/>
        <item x="619"/>
        <item x="860"/>
        <item x="764"/>
        <item x="1729"/>
        <item x="1697"/>
        <item x="120"/>
        <item x="1170"/>
        <item x="488"/>
        <item x="223"/>
        <item x="1378"/>
        <item x="226"/>
        <item x="602"/>
        <item x="1531"/>
        <item x="1940"/>
        <item x="1948"/>
        <item x="1327"/>
        <item x="750"/>
        <item x="1392"/>
        <item x="172"/>
        <item x="870"/>
        <item x="148"/>
        <item x="1166"/>
        <item x="1089"/>
        <item x="729"/>
        <item x="1440"/>
        <item x="1658"/>
        <item x="368"/>
        <item x="1752"/>
        <item x="965"/>
        <item x="862"/>
        <item x="1163"/>
        <item x="1215"/>
        <item x="677"/>
        <item x="63"/>
        <item x="1915"/>
        <item x="1403"/>
        <item x="1126"/>
        <item x="718"/>
        <item x="682"/>
        <item x="230"/>
        <item x="1137"/>
        <item x="389"/>
        <item x="855"/>
        <item x="716"/>
        <item x="1261"/>
        <item x="406"/>
        <item x="69"/>
        <item x="436"/>
        <item x="377"/>
        <item x="267"/>
        <item x="1426"/>
        <item x="1424"/>
        <item x="1815"/>
        <item x="1562"/>
        <item x="1014"/>
        <item x="400"/>
        <item x="934"/>
        <item x="1353"/>
        <item x="706"/>
        <item x="315"/>
        <item x="237"/>
        <item x="926"/>
        <item x="1482"/>
        <item x="54"/>
        <item x="1439"/>
        <item x="70"/>
        <item x="390"/>
        <item x="1723"/>
        <item x="185"/>
        <item x="460"/>
        <item x="1032"/>
        <item x="1862"/>
        <item x="977"/>
        <item x="603"/>
        <item x="1934"/>
        <item x="1831"/>
        <item x="772"/>
        <item x="1445"/>
        <item x="1827"/>
        <item x="1687"/>
        <item x="1246"/>
        <item x="672"/>
        <item x="1153"/>
        <item x="837"/>
        <item x="1168"/>
        <item x="1036"/>
        <item x="1412"/>
        <item x="1743"/>
        <item x="504"/>
        <item x="18"/>
        <item x="1357"/>
        <item x="1804"/>
        <item x="981"/>
        <item x="1125"/>
        <item x="1086"/>
        <item x="1754"/>
        <item x="1134"/>
        <item x="99"/>
        <item x="1326"/>
        <item x="633"/>
        <item x="117"/>
        <item x="1223"/>
        <item x="1564"/>
        <item x="288"/>
        <item x="1542"/>
        <item x="945"/>
        <item x="869"/>
        <item x="1713"/>
        <item x="1840"/>
        <item x="206"/>
        <item x="606"/>
        <item x="1162"/>
        <item x="647"/>
        <item x="493"/>
        <item x="1706"/>
        <item x="260"/>
        <item x="195"/>
        <item x="1581"/>
        <item x="937"/>
        <item x="1321"/>
        <item x="1113"/>
        <item x="1433"/>
        <item x="1865"/>
        <item x="714"/>
        <item x="841"/>
        <item x="775"/>
        <item x="1632"/>
        <item x="1611"/>
        <item x="854"/>
        <item x="1318"/>
        <item x="658"/>
        <item x="87"/>
        <item x="1900"/>
        <item x="1202"/>
        <item x="1107"/>
        <item x="339"/>
        <item x="465"/>
        <item x="1187"/>
        <item x="610"/>
        <item x="1519"/>
        <item x="454"/>
        <item x="659"/>
        <item x="1376"/>
        <item x="723"/>
        <item x="458"/>
        <item x="46"/>
        <item x="713"/>
        <item x="1926"/>
        <item x="1779"/>
        <item x="1857"/>
        <item x="1077"/>
        <item x="1355"/>
        <item x="1012"/>
        <item x="1379"/>
        <item x="343"/>
        <item x="80"/>
        <item x="115"/>
        <item x="872"/>
        <item x="927"/>
        <item x="1618"/>
        <item x="221"/>
        <item x="552"/>
        <item x="1023"/>
        <item x="1852"/>
        <item x="1420"/>
        <item x="524"/>
        <item x="212"/>
        <item x="42"/>
        <item x="269"/>
        <item x="39"/>
        <item x="181"/>
        <item x="249"/>
        <item x="229"/>
        <item x="1506"/>
        <item x="1859"/>
        <item x="486"/>
        <item x="144"/>
        <item x="1640"/>
        <item x="1575"/>
        <item x="681"/>
        <item x="1544"/>
        <item x="160"/>
        <item x="915"/>
        <item x="1295"/>
        <item x="1957"/>
        <item x="1081"/>
        <item x="1254"/>
        <item x="1633"/>
        <item x="923"/>
        <item x="821"/>
        <item x="1740"/>
        <item x="1024"/>
        <item x="286"/>
        <item x="705"/>
        <item x="1714"/>
        <item x="778"/>
        <item x="1828"/>
        <item x="1209"/>
        <item x="574"/>
        <item x="482"/>
        <item x="794"/>
        <item x="474"/>
        <item x="418"/>
        <item x="635"/>
        <item x="844"/>
        <item x="76"/>
        <item x="1927"/>
        <item x="1430"/>
        <item x="1087"/>
        <item x="521"/>
        <item x="787"/>
        <item x="528"/>
        <item x="1572"/>
        <item x="1221"/>
        <item x="1861"/>
        <item x="215"/>
        <item x="1488"/>
        <item x="743"/>
        <item x="883"/>
        <item x="1390"/>
        <item x="830"/>
        <item x="1605"/>
        <item x="925"/>
        <item x="697"/>
        <item x="1670"/>
        <item x="1869"/>
        <item x="1884"/>
        <item x="800"/>
        <item x="50"/>
        <item x="1561"/>
        <item x="1434"/>
        <item x="273"/>
        <item x="793"/>
        <item x="1553"/>
        <item x="917"/>
        <item x="48"/>
        <item x="396"/>
        <item x="324"/>
        <item x="1319"/>
        <item x="755"/>
        <item x="1657"/>
        <item x="15"/>
        <item x="317"/>
        <item x="867"/>
        <item x="1072"/>
        <item x="453"/>
        <item x="1653"/>
        <item x="1820"/>
        <item x="703"/>
        <item x="1541"/>
        <item x="998"/>
        <item x="318"/>
        <item x="365"/>
        <item x="916"/>
        <item x="201"/>
        <item x="1027"/>
        <item x="161"/>
        <item x="698"/>
        <item x="1736"/>
        <item x="597"/>
        <item x="1935"/>
        <item x="510"/>
        <item x="590"/>
        <item x="911"/>
        <item x="1017"/>
        <item x="599"/>
        <item x="28"/>
        <item x="326"/>
        <item x="403"/>
        <item x="1149"/>
        <item x="1644"/>
        <item x="849"/>
        <item x="1591"/>
        <item x="1176"/>
        <item x="1055"/>
        <item x="513"/>
        <item x="929"/>
        <item x="91"/>
        <item x="1059"/>
        <item x="807"/>
        <item x="1756"/>
        <item x="1019"/>
        <item x="102"/>
        <item x="129"/>
        <item x="1048"/>
        <item x="824"/>
        <item x="850"/>
        <item x="1529"/>
        <item x="1505"/>
        <item x="182"/>
        <item x="1648"/>
        <item x="645"/>
        <item x="1686"/>
        <item x="1851"/>
        <item x="1006"/>
        <item x="1385"/>
        <item x="93"/>
        <item x="673"/>
        <item x="1361"/>
        <item x="526"/>
        <item x="1235"/>
        <item x="61"/>
        <item x="1955"/>
        <item x="1005"/>
        <item x="1689"/>
        <item x="98"/>
        <item x="480"/>
        <item x="427"/>
        <item x="1937"/>
        <item x="688"/>
        <item x="684"/>
        <item x="1919"/>
        <item x="1448"/>
        <item x="662"/>
        <item x="1552"/>
        <item x="366"/>
        <item x="1615"/>
        <item x="1096"/>
        <item x="1169"/>
        <item x="105"/>
        <item x="1234"/>
        <item x="1694"/>
        <item x="392"/>
        <item x="1918"/>
        <item x="1712"/>
        <item x="966"/>
        <item x="1775"/>
        <item x="766"/>
        <item x="557"/>
        <item x="1274"/>
        <item x="1551"/>
        <item x="1309"/>
        <item x="1704"/>
        <item x="127"/>
        <item x="399"/>
        <item x="907"/>
        <item x="397"/>
        <item x="776"/>
        <item x="1332"/>
        <item x="884"/>
        <item x="1776"/>
        <item x="1766"/>
        <item x="1345"/>
        <item x="938"/>
        <item x="858"/>
        <item x="1778"/>
        <item x="1746"/>
        <item x="1794"/>
        <item x="612"/>
        <item x="113"/>
        <item x="187"/>
        <item x="235"/>
        <item x="608"/>
        <item x="1695"/>
        <item x="617"/>
        <item x="1888"/>
        <item x="1490"/>
        <item x="149"/>
        <item x="1203"/>
        <item x="646"/>
        <item x="581"/>
        <item x="1970"/>
        <item x="10"/>
        <item t="default"/>
      </items>
    </pivotField>
    <pivotField showAll="0">
      <items count="4">
        <item x="0"/>
        <item x="1"/>
        <item x="2"/>
        <item t="default"/>
      </items>
    </pivotField>
    <pivotField numFmtId="14" showAll="0"/>
    <pivotField numFmtId="14" showAll="0"/>
    <pivotField showAll="0"/>
    <pivotField showAll="0"/>
    <pivotField showAll="0"/>
    <pivotField showAll="0"/>
    <pivotField showAll="0"/>
    <pivotField showAll="0"/>
    <pivotField showAll="0">
      <items count="3">
        <item x="0"/>
        <item x="1"/>
        <item t="default"/>
      </items>
    </pivotField>
    <pivotField dataField="1" showAll="0"/>
    <pivotField showAll="0">
      <items count="5">
        <item x="1"/>
        <item x="0"/>
        <item x="2"/>
        <item h="1" x="3"/>
        <item t="default"/>
      </items>
    </pivotField>
    <pivotField showAll="0"/>
    <pivotField showAll="0">
      <items count="2">
        <item x="0"/>
        <item t="default"/>
      </items>
    </pivotField>
    <pivotField axis="axisRow" showAll="0">
      <items count="6">
        <item x="4"/>
        <item x="2"/>
        <item x="1"/>
        <item x="0"/>
        <item x="3"/>
        <item t="default"/>
      </items>
    </pivotField>
    <pivotField showAll="0">
      <items count="2">
        <item x="0"/>
        <item t="default"/>
      </items>
    </pivotField>
    <pivotField showAll="0"/>
    <pivotField showAll="0">
      <items count="2">
        <item x="0"/>
        <item t="default"/>
      </items>
    </pivotField>
  </pivotFields>
  <rowFields count="1">
    <field x="19"/>
  </rowFields>
  <rowItems count="6">
    <i>
      <x/>
    </i>
    <i>
      <x v="1"/>
    </i>
    <i>
      <x v="2"/>
    </i>
    <i>
      <x v="3"/>
    </i>
    <i>
      <x v="4"/>
    </i>
    <i t="grand">
      <x/>
    </i>
  </rowItems>
  <colItems count="1">
    <i/>
  </colItems>
  <dataFields count="1">
    <dataField name="Sum of TOTAL PURCHAS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9649EF-B900-4860-9684-29574FA93CC3}" name="Chart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D49:E53" firstHeaderRow="1" firstDataRow="1" firstDataCol="1"/>
  <pivotFields count="23">
    <pivotField showAll="0"/>
    <pivotField showAll="0">
      <items count="60">
        <item x="49"/>
        <item x="52"/>
        <item x="48"/>
        <item x="58"/>
        <item x="55"/>
        <item x="27"/>
        <item x="56"/>
        <item x="41"/>
        <item x="15"/>
        <item x="51"/>
        <item x="37"/>
        <item x="17"/>
        <item x="9"/>
        <item x="20"/>
        <item x="13"/>
        <item x="44"/>
        <item x="1"/>
        <item x="34"/>
        <item x="46"/>
        <item x="0"/>
        <item x="38"/>
        <item x="12"/>
        <item x="40"/>
        <item x="45"/>
        <item x="43"/>
        <item x="24"/>
        <item x="31"/>
        <item x="2"/>
        <item x="35"/>
        <item x="5"/>
        <item x="30"/>
        <item x="21"/>
        <item x="25"/>
        <item x="6"/>
        <item x="39"/>
        <item x="26"/>
        <item x="8"/>
        <item x="28"/>
        <item x="11"/>
        <item x="32"/>
        <item x="33"/>
        <item x="19"/>
        <item x="16"/>
        <item x="4"/>
        <item x="18"/>
        <item x="10"/>
        <item x="3"/>
        <item x="7"/>
        <item x="22"/>
        <item x="14"/>
        <item x="36"/>
        <item x="23"/>
        <item x="50"/>
        <item x="42"/>
        <item x="47"/>
        <item x="53"/>
        <item x="54"/>
        <item x="57"/>
        <item x="29"/>
        <item t="default"/>
      </items>
    </pivotField>
    <pivotField showAll="0">
      <items count="6">
        <item x="4"/>
        <item x="3"/>
        <item x="0"/>
        <item x="2"/>
        <item x="1"/>
        <item t="default"/>
      </items>
    </pivotField>
    <pivotField showAll="0">
      <items count="9">
        <item x="6"/>
        <item x="5"/>
        <item x="3"/>
        <item x="2"/>
        <item x="0"/>
        <item x="1"/>
        <item x="4"/>
        <item x="7"/>
        <item t="default"/>
      </items>
    </pivotField>
    <pivotField showAll="0">
      <items count="1976">
        <item x="1156"/>
        <item x="21"/>
        <item x="1388"/>
        <item x="1649"/>
        <item x="1760"/>
        <item x="921"/>
        <item x="1958"/>
        <item x="9"/>
        <item x="1229"/>
        <item x="726"/>
        <item x="1614"/>
        <item x="11"/>
        <item x="976"/>
        <item x="1941"/>
        <item x="1132"/>
        <item x="1398"/>
        <item x="123"/>
        <item x="1535"/>
        <item x="361"/>
        <item x="401"/>
        <item x="29"/>
        <item x="1967"/>
        <item x="1664"/>
        <item x="1456"/>
        <item x="291"/>
        <item x="652"/>
        <item x="544"/>
        <item x="1583"/>
        <item x="589"/>
        <item x="1777"/>
        <item x="1441"/>
        <item x="456"/>
        <item x="1866"/>
        <item x="1088"/>
        <item x="375"/>
        <item x="624"/>
        <item x="1864"/>
        <item x="305"/>
        <item x="885"/>
        <item x="1952"/>
        <item x="217"/>
        <item x="962"/>
        <item x="1100"/>
        <item x="798"/>
        <item x="1916"/>
        <item x="243"/>
        <item x="525"/>
        <item x="373"/>
        <item x="913"/>
        <item x="1195"/>
        <item x="1510"/>
        <item x="1889"/>
        <item x="1577"/>
        <item x="1946"/>
        <item x="165"/>
        <item x="1038"/>
        <item x="779"/>
        <item x="1336"/>
        <item x="1050"/>
        <item x="274"/>
        <item x="1555"/>
        <item x="744"/>
        <item x="997"/>
        <item x="896"/>
        <item x="699"/>
        <item x="825"/>
        <item x="738"/>
        <item x="1907"/>
        <item x="1257"/>
        <item x="14"/>
        <item x="959"/>
        <item x="561"/>
        <item x="691"/>
        <item x="1811"/>
        <item x="1550"/>
        <item x="414"/>
        <item x="1524"/>
        <item x="1526"/>
        <item x="1248"/>
        <item x="1120"/>
        <item x="1533"/>
        <item x="1225"/>
        <item x="395"/>
        <item x="25"/>
        <item x="625"/>
        <item x="241"/>
        <item x="1545"/>
        <item x="1463"/>
        <item x="189"/>
        <item x="1242"/>
        <item x="577"/>
        <item x="679"/>
        <item x="1352"/>
        <item x="751"/>
        <item x="1895"/>
        <item x="1351"/>
        <item x="792"/>
        <item x="1469"/>
        <item x="813"/>
        <item x="111"/>
        <item x="515"/>
        <item x="1174"/>
        <item x="1393"/>
        <item x="391"/>
        <item x="358"/>
        <item x="415"/>
        <item x="954"/>
        <item x="1508"/>
        <item x="1596"/>
        <item x="737"/>
        <item x="1158"/>
        <item x="1313"/>
        <item x="444"/>
        <item x="40"/>
        <item x="734"/>
        <item x="1273"/>
        <item x="1380"/>
        <item x="1660"/>
        <item x="1721"/>
        <item x="627"/>
        <item x="1065"/>
        <item x="1062"/>
        <item x="1269"/>
        <item x="763"/>
        <item x="518"/>
        <item x="1317"/>
        <item x="818"/>
        <item x="1621"/>
        <item x="843"/>
        <item x="571"/>
        <item x="108"/>
        <item x="1586"/>
        <item x="41"/>
        <item x="313"/>
        <item x="773"/>
        <item x="252"/>
        <item x="1547"/>
        <item x="1848"/>
        <item x="1696"/>
        <item x="219"/>
        <item x="1799"/>
        <item x="1654"/>
        <item x="1000"/>
        <item x="1102"/>
        <item x="1856"/>
        <item x="520"/>
        <item x="940"/>
        <item x="1487"/>
        <item x="769"/>
        <item x="1139"/>
        <item x="1515"/>
        <item x="292"/>
        <item x="353"/>
        <item x="1042"/>
        <item x="1634"/>
        <item x="1277"/>
        <item x="1715"/>
        <item x="1473"/>
        <item x="225"/>
        <item x="506"/>
        <item x="1785"/>
        <item x="1074"/>
        <item x="1204"/>
        <item x="1342"/>
        <item x="147"/>
        <item x="1807"/>
        <item x="416"/>
        <item x="1397"/>
        <item x="374"/>
        <item x="1771"/>
        <item x="1834"/>
        <item x="1557"/>
        <item x="1516"/>
        <item x="1898"/>
        <item x="75"/>
        <item x="385"/>
        <item x="83"/>
        <item x="220"/>
        <item x="36"/>
        <item x="1091"/>
        <item x="1181"/>
        <item x="1731"/>
        <item x="1676"/>
        <item x="562"/>
        <item x="133"/>
        <item x="285"/>
        <item x="419"/>
        <item x="309"/>
        <item x="1016"/>
        <item x="1783"/>
        <item x="555"/>
        <item x="470"/>
        <item x="1525"/>
        <item x="1243"/>
        <item x="868"/>
        <item x="1966"/>
        <item x="263"/>
        <item x="1765"/>
        <item x="94"/>
        <item x="1300"/>
        <item x="1419"/>
        <item x="512"/>
        <item x="1227"/>
        <item x="826"/>
        <item x="174"/>
        <item x="930"/>
        <item x="1652"/>
        <item x="783"/>
        <item x="1880"/>
        <item x="1936"/>
        <item x="667"/>
        <item x="169"/>
        <item x="1630"/>
        <item x="507"/>
        <item x="1491"/>
        <item x="1728"/>
        <item x="875"/>
        <item x="1590"/>
        <item x="491"/>
        <item x="1151"/>
        <item x="59"/>
        <item x="771"/>
        <item x="1878"/>
        <item x="674"/>
        <item x="1053"/>
        <item x="986"/>
        <item x="623"/>
        <item x="1929"/>
        <item x="154"/>
        <item x="484"/>
        <item x="572"/>
        <item x="564"/>
        <item x="1133"/>
        <item x="1331"/>
        <item x="74"/>
        <item x="71"/>
        <item x="1931"/>
        <item x="236"/>
        <item x="656"/>
        <item x="1069"/>
        <item x="1671"/>
        <item x="3"/>
        <item x="634"/>
        <item x="1283"/>
        <item x="1969"/>
        <item x="551"/>
        <item x="838"/>
        <item x="762"/>
        <item x="575"/>
        <item x="1244"/>
        <item x="1007"/>
        <item x="1101"/>
        <item x="1191"/>
        <item x="287"/>
        <item x="1645"/>
        <item x="987"/>
        <item x="1451"/>
        <item x="516"/>
        <item x="1427"/>
        <item x="323"/>
        <item x="468"/>
        <item x="382"/>
        <item x="1417"/>
        <item x="1217"/>
        <item x="1384"/>
        <item x="1231"/>
        <item x="306"/>
        <item x="359"/>
        <item x="549"/>
        <item x="1939"/>
        <item x="1509"/>
        <item x="1025"/>
        <item x="1155"/>
        <item x="1875"/>
        <item x="1849"/>
        <item x="1847"/>
        <item x="891"/>
        <item x="52"/>
        <item x="1798"/>
        <item x="969"/>
        <item x="1337"/>
        <item x="1391"/>
        <item x="1304"/>
        <item x="168"/>
        <item x="1730"/>
        <item x="67"/>
        <item x="1460"/>
        <item x="1573"/>
        <item x="1784"/>
        <item x="1145"/>
        <item x="956"/>
        <item x="340"/>
        <item x="457"/>
        <item x="1095"/>
        <item x="1607"/>
        <item x="501"/>
        <item x="1801"/>
        <item x="961"/>
        <item x="412"/>
        <item x="156"/>
        <item x="984"/>
        <item x="593"/>
        <item x="295"/>
        <item x="1593"/>
        <item x="1821"/>
        <item x="613"/>
        <item x="628"/>
        <item x="1635"/>
        <item x="534"/>
        <item x="256"/>
        <item x="1894"/>
        <item x="77"/>
        <item x="1744"/>
        <item x="1722"/>
        <item x="349"/>
        <item x="190"/>
        <item x="275"/>
        <item x="1901"/>
        <item x="73"/>
        <item x="1280"/>
        <item x="1698"/>
        <item x="234"/>
        <item x="308"/>
        <item x="407"/>
        <item x="1031"/>
        <item x="566"/>
        <item x="1650"/>
        <item x="84"/>
        <item x="947"/>
        <item x="1800"/>
        <item x="354"/>
        <item x="1684"/>
        <item x="8"/>
        <item x="1787"/>
        <item x="327"/>
        <item x="1407"/>
        <item x="1682"/>
        <item x="735"/>
        <item x="167"/>
        <item x="379"/>
        <item x="583"/>
        <item x="145"/>
        <item x="1669"/>
        <item x="815"/>
        <item x="1478"/>
        <item x="487"/>
        <item x="266"/>
        <item x="316"/>
        <item x="207"/>
        <item x="107"/>
        <item x="768"/>
        <item x="573"/>
        <item x="356"/>
        <item x="1853"/>
        <item x="298"/>
        <item x="801"/>
        <item x="238"/>
        <item x="1408"/>
        <item x="112"/>
        <item x="968"/>
        <item x="1312"/>
        <item x="565"/>
        <item x="1690"/>
        <item x="233"/>
        <item x="1308"/>
        <item x="179"/>
        <item x="1764"/>
        <item x="376"/>
        <item x="1171"/>
        <item x="1105"/>
        <item x="1703"/>
        <item x="1917"/>
        <item x="736"/>
        <item x="1044"/>
        <item x="344"/>
        <item x="715"/>
        <item x="585"/>
        <item x="228"/>
        <item x="1841"/>
        <item x="254"/>
        <item x="835"/>
        <item x="1416"/>
        <item x="1710"/>
        <item x="437"/>
        <item x="1307"/>
        <item x="1402"/>
        <item x="411"/>
        <item x="1951"/>
        <item x="1908"/>
        <item x="963"/>
        <item x="596"/>
        <item x="451"/>
        <item x="953"/>
        <item x="170"/>
        <item x="1643"/>
        <item x="271"/>
        <item x="60"/>
        <item x="110"/>
        <item x="1625"/>
        <item x="1761"/>
        <item x="1781"/>
        <item x="1329"/>
        <item x="1806"/>
        <item x="1829"/>
        <item x="492"/>
        <item x="1667"/>
        <item x="876"/>
        <item x="1365"/>
        <item x="527"/>
        <item x="1677"/>
        <item x="979"/>
        <item x="559"/>
        <item x="328"/>
        <item x="434"/>
        <item x="1512"/>
        <item x="1701"/>
        <item x="669"/>
        <item x="1786"/>
        <item x="1255"/>
        <item x="257"/>
        <item x="1315"/>
        <item x="1063"/>
        <item x="1136"/>
        <item x="1093"/>
        <item x="7"/>
        <item x="155"/>
        <item x="922"/>
        <item x="908"/>
        <item x="1962"/>
        <item x="958"/>
        <item x="1040"/>
        <item x="357"/>
        <item x="980"/>
        <item x="1886"/>
        <item x="725"/>
        <item x="1130"/>
        <item x="701"/>
        <item x="124"/>
        <item x="19"/>
        <item x="1458"/>
        <item x="1192"/>
        <item x="310"/>
        <item x="790"/>
        <item x="1200"/>
        <item x="948"/>
        <item x="1606"/>
        <item x="1854"/>
        <item x="138"/>
        <item x="1489"/>
        <item x="1709"/>
        <item x="1727"/>
        <item x="213"/>
        <item x="1842"/>
        <item x="1131"/>
        <item x="1343"/>
        <item x="1296"/>
        <item x="300"/>
        <item x="1795"/>
        <item x="866"/>
        <item x="592"/>
        <item x="1733"/>
        <item x="90"/>
        <item x="1301"/>
        <item x="1872"/>
        <item x="909"/>
        <item x="1600"/>
        <item x="1432"/>
        <item x="1344"/>
        <item x="978"/>
        <item x="1668"/>
        <item x="655"/>
        <item x="754"/>
        <item x="1310"/>
        <item x="1498"/>
        <item x="475"/>
        <item x="694"/>
        <item x="955"/>
        <item x="1438"/>
        <item x="1724"/>
        <item x="312"/>
        <item x="982"/>
        <item x="281"/>
        <item x="1085"/>
        <item x="928"/>
        <item x="277"/>
        <item x="270"/>
        <item x="784"/>
        <item x="712"/>
        <item x="1492"/>
        <item x="857"/>
        <item x="664"/>
        <item x="347"/>
        <item x="135"/>
        <item x="1702"/>
        <item x="918"/>
        <item x="1363"/>
        <item x="1896"/>
        <item x="47"/>
        <item x="580"/>
        <item x="827"/>
        <item x="125"/>
        <item x="1238"/>
        <item x="1949"/>
        <item x="1479"/>
        <item x="685"/>
        <item x="1299"/>
        <item x="1708"/>
        <item x="1737"/>
        <item x="1603"/>
        <item x="1444"/>
        <item x="942"/>
        <item x="78"/>
        <item x="360"/>
        <item x="637"/>
        <item x="423"/>
        <item x="1041"/>
        <item x="1609"/>
        <item x="733"/>
        <item x="1470"/>
        <item x="1122"/>
        <item x="1316"/>
        <item x="483"/>
        <item x="106"/>
        <item x="828"/>
        <item x="1493"/>
        <item x="176"/>
        <item x="1446"/>
        <item x="1011"/>
        <item x="1503"/>
        <item x="944"/>
        <item x="1058"/>
        <item x="1763"/>
        <item x="1797"/>
        <item x="1588"/>
        <item x="1959"/>
        <item x="1287"/>
        <item x="126"/>
        <item x="1832"/>
        <item x="941"/>
        <item x="1289"/>
        <item x="1292"/>
        <item x="541"/>
        <item x="587"/>
        <item x="1897"/>
        <item x="20"/>
        <item x="1414"/>
        <item x="214"/>
        <item x="1945"/>
        <item x="842"/>
        <item x="972"/>
        <item x="1823"/>
        <item x="1061"/>
        <item x="1220"/>
        <item x="1560"/>
        <item x="1410"/>
        <item x="1568"/>
        <item x="970"/>
        <item x="1183"/>
        <item x="1146"/>
        <item x="394"/>
        <item x="441"/>
        <item x="1879"/>
        <item x="1189"/>
        <item x="1387"/>
        <item x="1286"/>
        <item x="246"/>
        <item x="806"/>
        <item x="17"/>
        <item x="1224"/>
        <item x="1383"/>
        <item x="777"/>
        <item x="1504"/>
        <item x="1262"/>
        <item x="1956"/>
        <item x="250"/>
        <item x="1252"/>
        <item x="1536"/>
        <item x="248"/>
        <item x="949"/>
        <item x="1143"/>
        <item x="536"/>
        <item x="1428"/>
        <item x="1514"/>
        <item x="1762"/>
        <item x="163"/>
        <item x="27"/>
        <item x="272"/>
        <item x="1333"/>
        <item x="443"/>
        <item x="538"/>
        <item x="1141"/>
        <item x="1029"/>
        <item x="1554"/>
        <item x="134"/>
        <item x="97"/>
        <item x="804"/>
        <item x="351"/>
        <item x="216"/>
        <item x="539"/>
        <item x="30"/>
        <item x="334"/>
        <item x="1817"/>
        <item x="809"/>
        <item x="696"/>
        <item x="1580"/>
        <item x="1306"/>
        <item x="1179"/>
        <item x="364"/>
        <item x="711"/>
        <item x="162"/>
        <item x="177"/>
        <item x="1278"/>
        <item x="642"/>
        <item x="450"/>
        <item x="426"/>
        <item x="975"/>
        <item x="1758"/>
        <item x="1793"/>
        <item x="1020"/>
        <item x="1483"/>
        <item x="1167"/>
        <item x="1594"/>
        <item x="550"/>
        <item x="517"/>
        <item x="1047"/>
        <item x="1239"/>
        <item x="477"/>
        <item x="556"/>
        <item x="1004"/>
        <item x="284"/>
        <item x="1579"/>
        <item x="1190"/>
        <item x="889"/>
        <item x="1774"/>
        <item x="865"/>
        <item x="1347"/>
        <item x="823"/>
        <item x="1282"/>
        <item x="791"/>
        <item x="1813"/>
        <item x="1960"/>
        <item x="1135"/>
        <item x="904"/>
        <item x="68"/>
        <item x="1328"/>
        <item x="296"/>
        <item x="1082"/>
        <item x="1436"/>
        <item x="1121"/>
        <item x="303"/>
        <item x="1013"/>
        <item x="1157"/>
        <item x="31"/>
        <item x="1892"/>
        <item x="188"/>
        <item x="710"/>
        <item x="24"/>
        <item x="912"/>
        <item x="242"/>
        <item x="728"/>
        <item x="741"/>
        <item x="1759"/>
        <item x="1184"/>
        <item x="1938"/>
        <item x="1750"/>
        <item x="1468"/>
        <item x="1009"/>
        <item x="1349"/>
        <item x="903"/>
        <item x="641"/>
        <item x="1578"/>
        <item x="449"/>
        <item x="1340"/>
        <item x="1543"/>
        <item x="1902"/>
        <item x="663"/>
        <item x="320"/>
        <item x="1530"/>
        <item x="199"/>
        <item x="727"/>
        <item x="1501"/>
        <item x="121"/>
        <item x="1639"/>
        <item x="1789"/>
        <item x="446"/>
        <item x="1279"/>
        <item x="1909"/>
        <item x="43"/>
        <item x="1954"/>
        <item x="16"/>
        <item x="131"/>
        <item x="1920"/>
        <item x="1144"/>
        <item x="995"/>
        <item x="209"/>
        <item x="1370"/>
        <item x="931"/>
        <item x="1528"/>
        <item x="1688"/>
        <item x="1128"/>
        <item x="1066"/>
        <item x="563"/>
        <item x="1839"/>
        <item x="428"/>
        <item x="1123"/>
        <item x="1518"/>
        <item x="832"/>
        <item x="651"/>
        <item x="378"/>
        <item x="278"/>
        <item x="404"/>
        <item x="82"/>
        <item x="819"/>
        <item x="1566"/>
        <item x="37"/>
        <item x="1597"/>
        <item x="1314"/>
        <item x="1837"/>
        <item x="989"/>
        <item x="739"/>
        <item x="1556"/>
        <item x="861"/>
        <item x="417"/>
        <item x="1592"/>
        <item x="290"/>
        <item x="489"/>
        <item x="1054"/>
        <item x="509"/>
        <item x="724"/>
        <item x="1471"/>
        <item x="894"/>
        <item x="1904"/>
        <item x="822"/>
        <item x="1360"/>
        <item x="1197"/>
        <item x="1873"/>
        <item x="1824"/>
        <item x="1196"/>
        <item x="452"/>
        <item x="1098"/>
        <item x="1294"/>
        <item x="665"/>
        <item x="1241"/>
        <item x="1305"/>
        <item x="1330"/>
        <item x="1942"/>
        <item x="812"/>
        <item x="522"/>
        <item x="150"/>
        <item x="1881"/>
        <item x="1500"/>
        <item x="508"/>
        <item x="1111"/>
        <item x="247"/>
        <item x="740"/>
        <item x="362"/>
        <item x="1802"/>
        <item x="372"/>
        <item x="103"/>
        <item x="910"/>
        <item x="893"/>
        <item x="1477"/>
        <item x="481"/>
        <item x="1685"/>
        <item x="245"/>
        <item x="1150"/>
        <item x="1205"/>
        <item x="325"/>
        <item x="265"/>
        <item x="1421"/>
        <item x="1930"/>
        <item x="1749"/>
        <item x="1079"/>
        <item x="196"/>
        <item x="1548"/>
        <item x="1103"/>
        <item x="1142"/>
        <item x="1673"/>
        <item x="1288"/>
        <item x="1450"/>
        <item x="983"/>
        <item x="202"/>
        <item x="808"/>
        <item x="1627"/>
        <item x="1613"/>
        <item x="192"/>
        <item x="1968"/>
        <item x="1636"/>
        <item x="503"/>
        <item x="1871"/>
        <item x="1275"/>
        <item x="537"/>
        <item x="576"/>
        <item x="1822"/>
        <item x="626"/>
        <item x="687"/>
        <item x="1214"/>
        <item x="1953"/>
        <item x="676"/>
        <item x="747"/>
        <item x="1429"/>
        <item x="204"/>
        <item x="547"/>
        <item x="1228"/>
        <item x="1569"/>
        <item x="1175"/>
        <item x="851"/>
        <item x="1699"/>
        <item x="1874"/>
        <item x="173"/>
        <item x="579"/>
        <item x="788"/>
        <item x="1106"/>
        <item x="1435"/>
        <item x="605"/>
        <item x="853"/>
        <item x="657"/>
        <item x="240"/>
        <item x="197"/>
        <item x="863"/>
        <item x="1075"/>
        <item x="1325"/>
        <item x="936"/>
        <item x="1219"/>
        <item x="194"/>
        <item x="352"/>
        <item x="598"/>
        <item x="895"/>
        <item x="873"/>
        <item x="1186"/>
        <item x="831"/>
        <item x="459"/>
        <item x="1"/>
        <item x="802"/>
        <item x="283"/>
        <item x="1271"/>
        <item x="971"/>
        <item x="607"/>
        <item x="746"/>
        <item x="32"/>
        <item x="338"/>
        <item x="1222"/>
        <item x="620"/>
        <item x="1617"/>
        <item x="1375"/>
        <item x="920"/>
        <item x="1193"/>
        <item x="183"/>
        <item x="720"/>
        <item x="1601"/>
        <item x="1559"/>
        <item x="388"/>
        <item x="1049"/>
        <item x="753"/>
        <item x="1745"/>
        <item x="1218"/>
        <item x="301"/>
        <item x="1467"/>
        <item x="1172"/>
        <item x="1415"/>
        <item x="1914"/>
        <item x="502"/>
        <item x="1092"/>
        <item x="545"/>
        <item x="653"/>
        <item x="497"/>
        <item x="535"/>
        <item x="973"/>
        <item x="1641"/>
        <item x="1589"/>
        <item x="548"/>
        <item x="89"/>
        <item x="514"/>
        <item x="852"/>
        <item x="85"/>
        <item x="1422"/>
        <item x="381"/>
        <item x="1097"/>
        <item x="1868"/>
        <item x="348"/>
        <item x="1638"/>
        <item x="756"/>
        <item x="1803"/>
        <item x="578"/>
        <item x="469"/>
        <item x="1443"/>
        <item x="1046"/>
        <item x="398"/>
        <item x="1858"/>
        <item x="191"/>
        <item x="717"/>
        <item x="1232"/>
        <item x="695"/>
        <item x="781"/>
        <item x="1833"/>
        <item x="531"/>
        <item x="1751"/>
        <item x="1267"/>
        <item x="1198"/>
        <item x="479"/>
        <item x="38"/>
        <item x="1084"/>
        <item x="1522"/>
        <item x="1602"/>
        <item x="95"/>
        <item x="1188"/>
        <item x="496"/>
        <item x="1693"/>
        <item x="799"/>
        <item x="946"/>
        <item x="439"/>
        <item x="34"/>
        <item x="1517"/>
        <item x="616"/>
        <item x="1338"/>
        <item x="786"/>
        <item x="393"/>
        <item x="810"/>
        <item x="1511"/>
        <item x="1905"/>
        <item x="136"/>
        <item x="570"/>
        <item x="1675"/>
        <item x="1372"/>
        <item x="1057"/>
        <item x="1060"/>
        <item x="757"/>
        <item x="1819"/>
        <item x="1358"/>
        <item x="1808"/>
        <item x="141"/>
        <item x="797"/>
        <item x="1475"/>
        <item x="1008"/>
        <item x="1883"/>
        <item x="1240"/>
        <item x="88"/>
        <item x="905"/>
        <item x="1208"/>
        <item x="671"/>
        <item x="429"/>
        <item x="1495"/>
        <item x="494"/>
        <item x="1624"/>
        <item x="79"/>
        <item x="384"/>
        <item x="157"/>
        <item x="1944"/>
        <item x="433"/>
        <item x="1265"/>
        <item x="649"/>
        <item x="615"/>
        <item x="1464"/>
        <item x="1339"/>
        <item x="1497"/>
        <item x="335"/>
        <item x="104"/>
        <item x="1033"/>
        <item x="268"/>
        <item x="408"/>
        <item x="1119"/>
        <item x="369"/>
        <item x="1284"/>
        <item x="829"/>
        <item x="730"/>
        <item x="1738"/>
        <item x="178"/>
        <item x="833"/>
        <item x="1454"/>
        <item x="745"/>
        <item x="543"/>
        <item x="1298"/>
        <item x="210"/>
        <item x="1770"/>
        <item x="836"/>
        <item x="1405"/>
        <item x="1117"/>
        <item x="341"/>
        <item x="704"/>
        <item x="410"/>
        <item x="211"/>
        <item x="886"/>
        <item x="1576"/>
        <item x="164"/>
        <item x="1850"/>
        <item x="1462"/>
        <item x="1381"/>
        <item x="86"/>
        <item x="1320"/>
        <item x="1236"/>
        <item x="1406"/>
        <item x="1045"/>
        <item x="159"/>
        <item x="1538"/>
        <item x="532"/>
        <item x="892"/>
        <item x="200"/>
        <item x="1259"/>
        <item x="856"/>
        <item x="152"/>
        <item x="96"/>
        <item x="1629"/>
        <item x="1194"/>
        <item x="1442"/>
        <item x="902"/>
        <item x="346"/>
        <item x="765"/>
        <item x="935"/>
        <item x="1322"/>
        <item x="1472"/>
        <item x="1974"/>
        <item x="1928"/>
        <item x="1461"/>
        <item x="1258"/>
        <item x="1395"/>
        <item x="919"/>
        <item x="1825"/>
        <item x="814"/>
        <item x="1030"/>
        <item x="1768"/>
        <item x="1863"/>
        <item x="1882"/>
        <item x="1932"/>
        <item x="1369"/>
        <item x="990"/>
        <item x="26"/>
        <item x="1855"/>
        <item x="1366"/>
        <item x="1173"/>
        <item x="158"/>
        <item x="686"/>
        <item x="472"/>
        <item x="898"/>
        <item x="1276"/>
        <item x="438"/>
        <item x="1447"/>
        <item x="386"/>
        <item x="554"/>
        <item x="1377"/>
        <item x="1662"/>
        <item x="511"/>
        <item x="1452"/>
        <item x="1371"/>
        <item x="1631"/>
        <item x="1303"/>
        <item x="845"/>
        <item x="582"/>
        <item x="952"/>
        <item x="81"/>
        <item x="1073"/>
        <item x="294"/>
        <item x="1028"/>
        <item x="1540"/>
        <item x="1015"/>
        <item x="900"/>
        <item x="1860"/>
        <item x="1272"/>
        <item x="116"/>
        <item x="1726"/>
        <item x="1094"/>
        <item x="1465"/>
        <item x="307"/>
        <item x="1067"/>
        <item x="584"/>
        <item x="1037"/>
        <item x="1466"/>
        <item x="1843"/>
        <item x="546"/>
        <item x="629"/>
        <item x="1637"/>
        <item x="1140"/>
        <item x="906"/>
        <item x="342"/>
        <item x="1115"/>
        <item x="523"/>
        <item x="1099"/>
        <item x="1565"/>
        <item x="1725"/>
        <item x="1534"/>
        <item x="1164"/>
        <item x="321"/>
        <item x="879"/>
        <item x="1148"/>
        <item x="668"/>
        <item x="839"/>
        <item x="759"/>
        <item x="609"/>
        <item x="796"/>
        <item x="805"/>
        <item x="143"/>
        <item x="780"/>
        <item x="1549"/>
        <item x="1459"/>
        <item x="1425"/>
        <item x="380"/>
        <item x="464"/>
        <item x="1943"/>
        <item x="462"/>
        <item x="6"/>
        <item x="1757"/>
        <item x="420"/>
        <item x="1382"/>
        <item x="1567"/>
        <item x="1830"/>
        <item x="447"/>
        <item x="1812"/>
        <item x="276"/>
        <item x="53"/>
        <item x="1177"/>
        <item x="72"/>
        <item x="882"/>
        <item x="109"/>
        <item x="600"/>
        <item x="413"/>
        <item x="1266"/>
        <item x="1268"/>
        <item x="621"/>
        <item x="960"/>
        <item x="939"/>
        <item x="1481"/>
        <item x="1520"/>
        <item x="1486"/>
        <item x="1780"/>
        <item x="782"/>
        <item x="789"/>
        <item x="1076"/>
        <item x="1127"/>
        <item x="1026"/>
        <item x="422"/>
        <item x="758"/>
        <item x="442"/>
        <item x="1739"/>
        <item x="683"/>
        <item x="1972"/>
        <item x="1394"/>
        <item x="1291"/>
        <item x="1350"/>
        <item x="774"/>
        <item x="847"/>
        <item x="1707"/>
        <item x="1769"/>
        <item x="1374"/>
        <item x="1180"/>
        <item x="1021"/>
        <item x="505"/>
        <item x="101"/>
        <item x="1078"/>
        <item x="1642"/>
        <item x="1264"/>
        <item x="1270"/>
        <item x="1070"/>
        <item x="1411"/>
        <item x="1297"/>
        <item x="1963"/>
        <item x="1651"/>
        <item x="1947"/>
        <item x="1068"/>
        <item x="1201"/>
        <item x="1362"/>
        <item x="811"/>
        <item x="280"/>
        <item x="887"/>
        <item x="499"/>
        <item x="1335"/>
        <item x="421"/>
        <item x="1965"/>
        <item x="1961"/>
        <item x="1571"/>
        <item x="1116"/>
        <item x="1772"/>
        <item x="0"/>
        <item x="1659"/>
        <item x="1870"/>
        <item x="4"/>
        <item x="461"/>
        <item x="622"/>
        <item x="1521"/>
        <item x="670"/>
        <item x="1109"/>
        <item x="1910"/>
        <item x="1484"/>
        <item x="709"/>
        <item x="1256"/>
        <item x="1622"/>
        <item x="1389"/>
        <item x="22"/>
        <item x="1767"/>
        <item x="1537"/>
        <item x="1485"/>
        <item x="1891"/>
        <item x="675"/>
        <item x="282"/>
        <item x="848"/>
        <item x="899"/>
        <item x="914"/>
        <item x="1216"/>
        <item x="1152"/>
        <item x="678"/>
        <item x="1114"/>
        <item x="1401"/>
        <item x="631"/>
        <item x="322"/>
        <item x="630"/>
        <item x="13"/>
        <item x="1612"/>
        <item x="950"/>
        <item x="463"/>
        <item x="1836"/>
        <item x="1584"/>
        <item x="1080"/>
        <item x="1260"/>
        <item x="760"/>
        <item x="1911"/>
        <item x="897"/>
        <item x="132"/>
        <item x="1474"/>
        <item x="1211"/>
        <item x="1348"/>
        <item x="1003"/>
        <item x="560"/>
        <item x="333"/>
        <item x="1199"/>
        <item x="455"/>
        <item x="478"/>
        <item x="749"/>
        <item x="222"/>
        <item x="142"/>
        <item x="1674"/>
        <item x="1666"/>
        <item x="1546"/>
        <item x="1455"/>
        <item x="803"/>
        <item x="1431"/>
        <item x="1700"/>
        <item x="519"/>
        <item x="1285"/>
        <item x="880"/>
        <item x="1359"/>
        <item x="431"/>
        <item x="66"/>
        <item x="1816"/>
        <item x="259"/>
        <item x="1604"/>
        <item x="1207"/>
        <item x="1912"/>
        <item x="1814"/>
        <item x="1923"/>
        <item x="139"/>
        <item x="1950"/>
        <item x="1532"/>
        <item x="227"/>
        <item x="974"/>
        <item x="650"/>
        <item x="1971"/>
        <item x="476"/>
        <item x="618"/>
        <item x="1138"/>
        <item x="171"/>
        <item x="402"/>
        <item x="119"/>
        <item x="820"/>
        <item x="1818"/>
        <item x="440"/>
        <item x="569"/>
        <item x="1437"/>
        <item x="1129"/>
        <item x="795"/>
        <item x="1691"/>
        <item x="1523"/>
        <item x="553"/>
        <item x="1742"/>
        <item x="56"/>
        <item x="1022"/>
        <item x="495"/>
        <item x="752"/>
        <item x="255"/>
        <item x="1719"/>
        <item x="654"/>
        <item x="542"/>
        <item x="1104"/>
        <item x="448"/>
        <item x="721"/>
        <item x="1245"/>
        <item x="1253"/>
        <item x="304"/>
        <item x="314"/>
        <item x="708"/>
        <item x="1110"/>
        <item x="1527"/>
        <item x="817"/>
        <item x="530"/>
        <item x="367"/>
        <item x="445"/>
        <item x="5"/>
        <item x="1608"/>
        <item x="151"/>
        <item x="1626"/>
        <item x="1893"/>
        <item x="1494"/>
        <item x="1718"/>
        <item x="1083"/>
        <item x="218"/>
        <item x="1683"/>
        <item x="567"/>
        <item x="859"/>
        <item x="993"/>
        <item x="742"/>
        <item x="604"/>
        <item x="692"/>
        <item x="1582"/>
        <item x="1165"/>
        <item x="122"/>
        <item x="1913"/>
        <item x="118"/>
        <item x="12"/>
        <item x="601"/>
        <item x="1616"/>
        <item x="1373"/>
        <item x="1619"/>
        <item x="1735"/>
        <item x="1502"/>
        <item x="1064"/>
        <item x="239"/>
        <item x="363"/>
        <item x="1610"/>
        <item x="1903"/>
        <item x="702"/>
        <item x="1788"/>
        <item x="186"/>
        <item x="1964"/>
        <item x="350"/>
        <item x="262"/>
        <item x="707"/>
        <item x="208"/>
        <item x="1281"/>
        <item x="1413"/>
        <item x="1628"/>
        <item x="1423"/>
        <item x="1051"/>
        <item x="1356"/>
        <item x="840"/>
        <item x="289"/>
        <item x="693"/>
        <item x="1480"/>
        <item x="999"/>
        <item x="1178"/>
        <item x="1656"/>
        <item x="302"/>
        <item x="471"/>
        <item x="540"/>
        <item x="932"/>
        <item x="1753"/>
        <item x="193"/>
        <item x="957"/>
        <item x="1457"/>
        <item x="933"/>
        <item x="1598"/>
        <item x="1846"/>
        <item x="1147"/>
        <item x="299"/>
        <item x="1539"/>
        <item x="881"/>
        <item x="1717"/>
        <item x="1213"/>
        <item x="1334"/>
        <item x="1499"/>
        <item x="874"/>
        <item x="224"/>
        <item x="65"/>
        <item x="337"/>
        <item x="128"/>
        <item x="1159"/>
        <item x="1346"/>
        <item x="1210"/>
        <item x="232"/>
        <item x="994"/>
        <item x="1925"/>
        <item x="1885"/>
        <item x="467"/>
        <item x="638"/>
        <item x="1826"/>
        <item x="500"/>
        <item x="23"/>
        <item x="1899"/>
        <item x="924"/>
        <item x="1595"/>
        <item x="1034"/>
        <item x="45"/>
        <item x="1890"/>
        <item x="595"/>
        <item x="1364"/>
        <item x="996"/>
        <item x="943"/>
        <item x="264"/>
        <item x="473"/>
        <item x="770"/>
        <item x="1212"/>
        <item x="1302"/>
        <item x="1922"/>
        <item x="1647"/>
        <item x="137"/>
        <item x="1124"/>
        <item x="643"/>
        <item x="383"/>
        <item x="1791"/>
        <item x="1404"/>
        <item x="92"/>
        <item x="767"/>
        <item x="425"/>
        <item x="1154"/>
        <item x="1409"/>
        <item x="1010"/>
        <item x="1182"/>
        <item x="258"/>
        <item x="311"/>
        <item x="49"/>
        <item x="666"/>
        <item x="355"/>
        <item x="387"/>
        <item x="644"/>
        <item x="1035"/>
        <item x="297"/>
        <item x="533"/>
        <item x="435"/>
        <item x="1118"/>
        <item x="55"/>
        <item x="430"/>
        <item x="1090"/>
        <item x="632"/>
        <item x="846"/>
        <item x="166"/>
        <item x="611"/>
        <item x="153"/>
        <item x="175"/>
        <item x="64"/>
        <item x="1001"/>
        <item x="1838"/>
        <item x="1290"/>
        <item x="1587"/>
        <item x="1810"/>
        <item x="1263"/>
        <item x="409"/>
        <item x="405"/>
        <item x="35"/>
        <item x="1108"/>
        <item x="1052"/>
        <item x="1705"/>
        <item x="1341"/>
        <item x="719"/>
        <item x="689"/>
        <item x="1161"/>
        <item x="614"/>
        <item x="1720"/>
        <item x="1782"/>
        <item x="878"/>
        <item x="231"/>
        <item x="992"/>
        <item x="57"/>
        <item x="1933"/>
        <item x="1399"/>
        <item x="890"/>
        <item x="466"/>
        <item x="834"/>
        <item x="1809"/>
        <item x="639"/>
        <item x="100"/>
        <item x="1071"/>
        <item x="1646"/>
        <item x="888"/>
        <item x="1796"/>
        <item x="964"/>
        <item x="130"/>
        <item x="871"/>
        <item x="336"/>
        <item x="1368"/>
        <item x="279"/>
        <item x="319"/>
        <item x="33"/>
        <item x="371"/>
        <item x="967"/>
        <item x="640"/>
        <item x="1790"/>
        <item x="1507"/>
        <item x="1663"/>
        <item x="594"/>
        <item x="62"/>
        <item x="985"/>
        <item x="1250"/>
        <item x="1249"/>
        <item x="184"/>
        <item x="1906"/>
        <item x="1973"/>
        <item x="1921"/>
        <item x="253"/>
        <item x="1396"/>
        <item x="140"/>
        <item x="1293"/>
        <item x="1324"/>
        <item x="648"/>
        <item x="203"/>
        <item x="1845"/>
        <item x="1251"/>
        <item x="180"/>
        <item x="244"/>
        <item x="1679"/>
        <item x="1692"/>
        <item x="1476"/>
        <item x="331"/>
        <item x="1876"/>
        <item x="261"/>
        <item x="558"/>
        <item x="1574"/>
        <item x="1386"/>
        <item x="1672"/>
        <item x="1160"/>
        <item x="1323"/>
        <item x="1563"/>
        <item x="1747"/>
        <item x="1112"/>
        <item x="1661"/>
        <item x="816"/>
        <item x="432"/>
        <item x="1418"/>
        <item x="51"/>
        <item x="1680"/>
        <item x="1570"/>
        <item x="636"/>
        <item x="146"/>
        <item x="1354"/>
        <item x="748"/>
        <item x="1513"/>
        <item x="490"/>
        <item x="1247"/>
        <item x="690"/>
        <item x="1043"/>
        <item x="988"/>
        <item x="1716"/>
        <item x="1449"/>
        <item x="1681"/>
        <item x="901"/>
        <item x="58"/>
        <item x="1002"/>
        <item x="370"/>
        <item x="1734"/>
        <item x="424"/>
        <item x="1311"/>
        <item x="1665"/>
        <item x="293"/>
        <item x="951"/>
        <item x="1711"/>
        <item x="198"/>
        <item x="591"/>
        <item x="661"/>
        <item x="1558"/>
        <item x="329"/>
        <item x="1835"/>
        <item x="700"/>
        <item x="1599"/>
        <item x="1805"/>
        <item x="485"/>
        <item x="785"/>
        <item x="660"/>
        <item x="1233"/>
        <item x="732"/>
        <item x="114"/>
        <item x="529"/>
        <item x="1230"/>
        <item x="2"/>
        <item x="1206"/>
        <item x="1748"/>
        <item x="1018"/>
        <item x="1367"/>
        <item x="877"/>
        <item x="1039"/>
        <item x="1185"/>
        <item x="1237"/>
        <item x="1453"/>
        <item x="1844"/>
        <item x="330"/>
        <item x="1792"/>
        <item x="1924"/>
        <item x="1400"/>
        <item x="345"/>
        <item x="722"/>
        <item x="1496"/>
        <item x="1620"/>
        <item x="332"/>
        <item x="1585"/>
        <item x="1655"/>
        <item x="680"/>
        <item x="1877"/>
        <item x="991"/>
        <item x="731"/>
        <item x="1623"/>
        <item x="586"/>
        <item x="1887"/>
        <item x="1741"/>
        <item x="864"/>
        <item x="205"/>
        <item x="761"/>
        <item x="44"/>
        <item x="1732"/>
        <item x="588"/>
        <item x="1755"/>
        <item x="498"/>
        <item x="1226"/>
        <item x="1056"/>
        <item x="1678"/>
        <item x="568"/>
        <item x="251"/>
        <item x="1867"/>
        <item x="1773"/>
        <item x="619"/>
        <item x="860"/>
        <item x="764"/>
        <item x="1729"/>
        <item x="1697"/>
        <item x="120"/>
        <item x="1170"/>
        <item x="488"/>
        <item x="223"/>
        <item x="1378"/>
        <item x="226"/>
        <item x="602"/>
        <item x="1531"/>
        <item x="1940"/>
        <item x="1948"/>
        <item x="1327"/>
        <item x="750"/>
        <item x="1392"/>
        <item x="172"/>
        <item x="870"/>
        <item x="148"/>
        <item x="1166"/>
        <item x="1089"/>
        <item x="729"/>
        <item x="1440"/>
        <item x="1658"/>
        <item x="368"/>
        <item x="1752"/>
        <item x="965"/>
        <item x="862"/>
        <item x="1163"/>
        <item x="1215"/>
        <item x="677"/>
        <item x="63"/>
        <item x="1915"/>
        <item x="1403"/>
        <item x="1126"/>
        <item x="718"/>
        <item x="682"/>
        <item x="230"/>
        <item x="1137"/>
        <item x="389"/>
        <item x="855"/>
        <item x="716"/>
        <item x="1261"/>
        <item x="406"/>
        <item x="69"/>
        <item x="436"/>
        <item x="377"/>
        <item x="267"/>
        <item x="1426"/>
        <item x="1424"/>
        <item x="1815"/>
        <item x="1562"/>
        <item x="1014"/>
        <item x="400"/>
        <item x="934"/>
        <item x="1353"/>
        <item x="706"/>
        <item x="315"/>
        <item x="237"/>
        <item x="926"/>
        <item x="1482"/>
        <item x="54"/>
        <item x="1439"/>
        <item x="70"/>
        <item x="390"/>
        <item x="1723"/>
        <item x="185"/>
        <item x="460"/>
        <item x="1032"/>
        <item x="1862"/>
        <item x="977"/>
        <item x="603"/>
        <item x="1934"/>
        <item x="1831"/>
        <item x="772"/>
        <item x="1445"/>
        <item x="1827"/>
        <item x="1687"/>
        <item x="1246"/>
        <item x="672"/>
        <item x="1153"/>
        <item x="837"/>
        <item x="1168"/>
        <item x="1036"/>
        <item x="1412"/>
        <item x="1743"/>
        <item x="504"/>
        <item x="18"/>
        <item x="1357"/>
        <item x="1804"/>
        <item x="981"/>
        <item x="1125"/>
        <item x="1086"/>
        <item x="1754"/>
        <item x="1134"/>
        <item x="99"/>
        <item x="1326"/>
        <item x="633"/>
        <item x="117"/>
        <item x="1223"/>
        <item x="1564"/>
        <item x="288"/>
        <item x="1542"/>
        <item x="945"/>
        <item x="869"/>
        <item x="1713"/>
        <item x="1840"/>
        <item x="206"/>
        <item x="606"/>
        <item x="1162"/>
        <item x="647"/>
        <item x="493"/>
        <item x="1706"/>
        <item x="260"/>
        <item x="195"/>
        <item x="1581"/>
        <item x="937"/>
        <item x="1321"/>
        <item x="1113"/>
        <item x="1433"/>
        <item x="1865"/>
        <item x="714"/>
        <item x="841"/>
        <item x="775"/>
        <item x="1632"/>
        <item x="1611"/>
        <item x="854"/>
        <item x="1318"/>
        <item x="658"/>
        <item x="87"/>
        <item x="1900"/>
        <item x="1202"/>
        <item x="1107"/>
        <item x="339"/>
        <item x="465"/>
        <item x="1187"/>
        <item x="610"/>
        <item x="1519"/>
        <item x="454"/>
        <item x="659"/>
        <item x="1376"/>
        <item x="723"/>
        <item x="458"/>
        <item x="46"/>
        <item x="713"/>
        <item x="1926"/>
        <item x="1779"/>
        <item x="1857"/>
        <item x="1077"/>
        <item x="1355"/>
        <item x="1012"/>
        <item x="1379"/>
        <item x="343"/>
        <item x="80"/>
        <item x="115"/>
        <item x="872"/>
        <item x="927"/>
        <item x="1618"/>
        <item x="221"/>
        <item x="552"/>
        <item x="1023"/>
        <item x="1852"/>
        <item x="1420"/>
        <item x="524"/>
        <item x="212"/>
        <item x="42"/>
        <item x="269"/>
        <item x="39"/>
        <item x="181"/>
        <item x="249"/>
        <item x="229"/>
        <item x="1506"/>
        <item x="1859"/>
        <item x="486"/>
        <item x="144"/>
        <item x="1640"/>
        <item x="1575"/>
        <item x="681"/>
        <item x="1544"/>
        <item x="160"/>
        <item x="915"/>
        <item x="1295"/>
        <item x="1957"/>
        <item x="1081"/>
        <item x="1254"/>
        <item x="1633"/>
        <item x="923"/>
        <item x="821"/>
        <item x="1740"/>
        <item x="1024"/>
        <item x="286"/>
        <item x="705"/>
        <item x="1714"/>
        <item x="778"/>
        <item x="1828"/>
        <item x="1209"/>
        <item x="574"/>
        <item x="482"/>
        <item x="794"/>
        <item x="474"/>
        <item x="418"/>
        <item x="635"/>
        <item x="844"/>
        <item x="76"/>
        <item x="1927"/>
        <item x="1430"/>
        <item x="1087"/>
        <item x="521"/>
        <item x="787"/>
        <item x="528"/>
        <item x="1572"/>
        <item x="1221"/>
        <item x="1861"/>
        <item x="215"/>
        <item x="1488"/>
        <item x="743"/>
        <item x="883"/>
        <item x="1390"/>
        <item x="830"/>
        <item x="1605"/>
        <item x="925"/>
        <item x="697"/>
        <item x="1670"/>
        <item x="1869"/>
        <item x="1884"/>
        <item x="800"/>
        <item x="50"/>
        <item x="1561"/>
        <item x="1434"/>
        <item x="273"/>
        <item x="793"/>
        <item x="1553"/>
        <item x="917"/>
        <item x="48"/>
        <item x="396"/>
        <item x="324"/>
        <item x="1319"/>
        <item x="755"/>
        <item x="1657"/>
        <item x="15"/>
        <item x="317"/>
        <item x="867"/>
        <item x="1072"/>
        <item x="453"/>
        <item x="1653"/>
        <item x="1820"/>
        <item x="703"/>
        <item x="1541"/>
        <item x="998"/>
        <item x="318"/>
        <item x="365"/>
        <item x="916"/>
        <item x="201"/>
        <item x="1027"/>
        <item x="161"/>
        <item x="698"/>
        <item x="1736"/>
        <item x="597"/>
        <item x="1935"/>
        <item x="510"/>
        <item x="590"/>
        <item x="911"/>
        <item x="1017"/>
        <item x="599"/>
        <item x="28"/>
        <item x="326"/>
        <item x="403"/>
        <item x="1149"/>
        <item x="1644"/>
        <item x="849"/>
        <item x="1591"/>
        <item x="1176"/>
        <item x="1055"/>
        <item x="513"/>
        <item x="929"/>
        <item x="91"/>
        <item x="1059"/>
        <item x="807"/>
        <item x="1756"/>
        <item x="1019"/>
        <item x="102"/>
        <item x="129"/>
        <item x="1048"/>
        <item x="824"/>
        <item x="850"/>
        <item x="1529"/>
        <item x="1505"/>
        <item x="182"/>
        <item x="1648"/>
        <item x="645"/>
        <item x="1686"/>
        <item x="1851"/>
        <item x="1006"/>
        <item x="1385"/>
        <item x="93"/>
        <item x="673"/>
        <item x="1361"/>
        <item x="526"/>
        <item x="1235"/>
        <item x="61"/>
        <item x="1955"/>
        <item x="1005"/>
        <item x="1689"/>
        <item x="98"/>
        <item x="480"/>
        <item x="427"/>
        <item x="1937"/>
        <item x="688"/>
        <item x="684"/>
        <item x="1919"/>
        <item x="1448"/>
        <item x="662"/>
        <item x="1552"/>
        <item x="366"/>
        <item x="1615"/>
        <item x="1096"/>
        <item x="1169"/>
        <item x="105"/>
        <item x="1234"/>
        <item x="1694"/>
        <item x="392"/>
        <item x="1918"/>
        <item x="1712"/>
        <item x="966"/>
        <item x="1775"/>
        <item x="766"/>
        <item x="557"/>
        <item x="1274"/>
        <item x="1551"/>
        <item x="1309"/>
        <item x="1704"/>
        <item x="127"/>
        <item x="399"/>
        <item x="907"/>
        <item x="397"/>
        <item x="776"/>
        <item x="1332"/>
        <item x="884"/>
        <item x="1776"/>
        <item x="1766"/>
        <item x="1345"/>
        <item x="938"/>
        <item x="858"/>
        <item x="1778"/>
        <item x="1746"/>
        <item x="1794"/>
        <item x="612"/>
        <item x="113"/>
        <item x="187"/>
        <item x="235"/>
        <item x="608"/>
        <item x="1695"/>
        <item x="617"/>
        <item x="1888"/>
        <item x="1490"/>
        <item x="149"/>
        <item x="1203"/>
        <item x="646"/>
        <item x="581"/>
        <item x="1970"/>
        <item x="10"/>
        <item t="default"/>
      </items>
    </pivotField>
    <pivotField showAll="0">
      <items count="4">
        <item x="0"/>
        <item x="1"/>
        <item x="2"/>
        <item t="default"/>
      </items>
    </pivotField>
    <pivotField numFmtId="14" showAll="0"/>
    <pivotField numFmtId="14" showAll="0"/>
    <pivotField showAll="0"/>
    <pivotField showAll="0"/>
    <pivotField showAll="0"/>
    <pivotField showAll="0"/>
    <pivotField showAll="0"/>
    <pivotField showAll="0"/>
    <pivotField showAll="0">
      <items count="3">
        <item x="0"/>
        <item x="1"/>
        <item t="default"/>
      </items>
    </pivotField>
    <pivotField showAll="0"/>
    <pivotField axis="axisRow" showAll="0">
      <items count="5">
        <item x="1"/>
        <item x="0"/>
        <item x="2"/>
        <item h="1" x="3"/>
        <item t="default"/>
      </items>
    </pivotField>
    <pivotField dataField="1"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Sum of Total Sales Am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DCD82B-2FC3-4805-B447-4A9F3FBF09A4}" name="Chart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D43:E46" firstHeaderRow="1" firstDataRow="1" firstDataCol="1"/>
  <pivotFields count="23">
    <pivotField showAll="0"/>
    <pivotField showAll="0">
      <items count="60">
        <item x="49"/>
        <item x="52"/>
        <item x="48"/>
        <item x="58"/>
        <item x="55"/>
        <item x="27"/>
        <item x="56"/>
        <item x="41"/>
        <item x="15"/>
        <item x="51"/>
        <item x="37"/>
        <item x="17"/>
        <item x="9"/>
        <item x="20"/>
        <item x="13"/>
        <item x="44"/>
        <item x="1"/>
        <item x="34"/>
        <item x="46"/>
        <item x="0"/>
        <item x="38"/>
        <item x="12"/>
        <item x="40"/>
        <item x="45"/>
        <item x="43"/>
        <item x="24"/>
        <item x="31"/>
        <item x="2"/>
        <item x="35"/>
        <item x="5"/>
        <item x="30"/>
        <item x="21"/>
        <item x="25"/>
        <item x="6"/>
        <item x="39"/>
        <item x="26"/>
        <item x="8"/>
        <item x="28"/>
        <item x="11"/>
        <item x="32"/>
        <item x="33"/>
        <item x="19"/>
        <item x="16"/>
        <item x="4"/>
        <item x="18"/>
        <item x="10"/>
        <item x="3"/>
        <item x="7"/>
        <item x="22"/>
        <item x="14"/>
        <item x="36"/>
        <item x="23"/>
        <item x="50"/>
        <item x="42"/>
        <item x="47"/>
        <item x="53"/>
        <item x="54"/>
        <item x="57"/>
        <item x="29"/>
        <item t="default"/>
      </items>
    </pivotField>
    <pivotField showAll="0">
      <items count="6">
        <item x="4"/>
        <item x="3"/>
        <item x="0"/>
        <item x="2"/>
        <item x="1"/>
        <item t="default"/>
      </items>
    </pivotField>
    <pivotField showAll="0">
      <items count="9">
        <item x="6"/>
        <item x="5"/>
        <item x="3"/>
        <item x="2"/>
        <item x="0"/>
        <item x="1"/>
        <item x="4"/>
        <item x="7"/>
        <item t="default"/>
      </items>
    </pivotField>
    <pivotField showAll="0">
      <items count="1976">
        <item x="1156"/>
        <item x="21"/>
        <item x="1388"/>
        <item x="1649"/>
        <item x="1760"/>
        <item x="921"/>
        <item x="1958"/>
        <item x="9"/>
        <item x="1229"/>
        <item x="726"/>
        <item x="1614"/>
        <item x="11"/>
        <item x="976"/>
        <item x="1941"/>
        <item x="1132"/>
        <item x="1398"/>
        <item x="123"/>
        <item x="1535"/>
        <item x="361"/>
        <item x="401"/>
        <item x="29"/>
        <item x="1967"/>
        <item x="1664"/>
        <item x="1456"/>
        <item x="291"/>
        <item x="652"/>
        <item x="544"/>
        <item x="1583"/>
        <item x="589"/>
        <item x="1777"/>
        <item x="1441"/>
        <item x="456"/>
        <item x="1866"/>
        <item x="1088"/>
        <item x="375"/>
        <item x="624"/>
        <item x="1864"/>
        <item x="305"/>
        <item x="885"/>
        <item x="1952"/>
        <item x="217"/>
        <item x="962"/>
        <item x="1100"/>
        <item x="798"/>
        <item x="1916"/>
        <item x="243"/>
        <item x="525"/>
        <item x="373"/>
        <item x="913"/>
        <item x="1195"/>
        <item x="1510"/>
        <item x="1889"/>
        <item x="1577"/>
        <item x="1946"/>
        <item x="165"/>
        <item x="1038"/>
        <item x="779"/>
        <item x="1336"/>
        <item x="1050"/>
        <item x="274"/>
        <item x="1555"/>
        <item x="744"/>
        <item x="997"/>
        <item x="896"/>
        <item x="699"/>
        <item x="825"/>
        <item x="738"/>
        <item x="1907"/>
        <item x="1257"/>
        <item x="14"/>
        <item x="959"/>
        <item x="561"/>
        <item x="691"/>
        <item x="1811"/>
        <item x="1550"/>
        <item x="414"/>
        <item x="1524"/>
        <item x="1526"/>
        <item x="1248"/>
        <item x="1120"/>
        <item x="1533"/>
        <item x="1225"/>
        <item x="395"/>
        <item x="25"/>
        <item x="625"/>
        <item x="241"/>
        <item x="1545"/>
        <item x="1463"/>
        <item x="189"/>
        <item x="1242"/>
        <item x="577"/>
        <item x="679"/>
        <item x="1352"/>
        <item x="751"/>
        <item x="1895"/>
        <item x="1351"/>
        <item x="792"/>
        <item x="1469"/>
        <item x="813"/>
        <item x="111"/>
        <item x="515"/>
        <item x="1174"/>
        <item x="1393"/>
        <item x="391"/>
        <item x="358"/>
        <item x="415"/>
        <item x="954"/>
        <item x="1508"/>
        <item x="1596"/>
        <item x="737"/>
        <item x="1158"/>
        <item x="1313"/>
        <item x="444"/>
        <item x="40"/>
        <item x="734"/>
        <item x="1273"/>
        <item x="1380"/>
        <item x="1660"/>
        <item x="1721"/>
        <item x="627"/>
        <item x="1065"/>
        <item x="1062"/>
        <item x="1269"/>
        <item x="763"/>
        <item x="518"/>
        <item x="1317"/>
        <item x="818"/>
        <item x="1621"/>
        <item x="843"/>
        <item x="571"/>
        <item x="108"/>
        <item x="1586"/>
        <item x="41"/>
        <item x="313"/>
        <item x="773"/>
        <item x="252"/>
        <item x="1547"/>
        <item x="1848"/>
        <item x="1696"/>
        <item x="219"/>
        <item x="1799"/>
        <item x="1654"/>
        <item x="1000"/>
        <item x="1102"/>
        <item x="1856"/>
        <item x="520"/>
        <item x="940"/>
        <item x="1487"/>
        <item x="769"/>
        <item x="1139"/>
        <item x="1515"/>
        <item x="292"/>
        <item x="353"/>
        <item x="1042"/>
        <item x="1634"/>
        <item x="1277"/>
        <item x="1715"/>
        <item x="1473"/>
        <item x="225"/>
        <item x="506"/>
        <item x="1785"/>
        <item x="1074"/>
        <item x="1204"/>
        <item x="1342"/>
        <item x="147"/>
        <item x="1807"/>
        <item x="416"/>
        <item x="1397"/>
        <item x="374"/>
        <item x="1771"/>
        <item x="1834"/>
        <item x="1557"/>
        <item x="1516"/>
        <item x="1898"/>
        <item x="75"/>
        <item x="385"/>
        <item x="83"/>
        <item x="220"/>
        <item x="36"/>
        <item x="1091"/>
        <item x="1181"/>
        <item x="1731"/>
        <item x="1676"/>
        <item x="562"/>
        <item x="133"/>
        <item x="285"/>
        <item x="419"/>
        <item x="309"/>
        <item x="1016"/>
        <item x="1783"/>
        <item x="555"/>
        <item x="470"/>
        <item x="1525"/>
        <item x="1243"/>
        <item x="868"/>
        <item x="1966"/>
        <item x="263"/>
        <item x="1765"/>
        <item x="94"/>
        <item x="1300"/>
        <item x="1419"/>
        <item x="512"/>
        <item x="1227"/>
        <item x="826"/>
        <item x="174"/>
        <item x="930"/>
        <item x="1652"/>
        <item x="783"/>
        <item x="1880"/>
        <item x="1936"/>
        <item x="667"/>
        <item x="169"/>
        <item x="1630"/>
        <item x="507"/>
        <item x="1491"/>
        <item x="1728"/>
        <item x="875"/>
        <item x="1590"/>
        <item x="491"/>
        <item x="1151"/>
        <item x="59"/>
        <item x="771"/>
        <item x="1878"/>
        <item x="674"/>
        <item x="1053"/>
        <item x="986"/>
        <item x="623"/>
        <item x="1929"/>
        <item x="154"/>
        <item x="484"/>
        <item x="572"/>
        <item x="564"/>
        <item x="1133"/>
        <item x="1331"/>
        <item x="74"/>
        <item x="71"/>
        <item x="1931"/>
        <item x="236"/>
        <item x="656"/>
        <item x="1069"/>
        <item x="1671"/>
        <item x="3"/>
        <item x="634"/>
        <item x="1283"/>
        <item x="1969"/>
        <item x="551"/>
        <item x="838"/>
        <item x="762"/>
        <item x="575"/>
        <item x="1244"/>
        <item x="1007"/>
        <item x="1101"/>
        <item x="1191"/>
        <item x="287"/>
        <item x="1645"/>
        <item x="987"/>
        <item x="1451"/>
        <item x="516"/>
        <item x="1427"/>
        <item x="323"/>
        <item x="468"/>
        <item x="382"/>
        <item x="1417"/>
        <item x="1217"/>
        <item x="1384"/>
        <item x="1231"/>
        <item x="306"/>
        <item x="359"/>
        <item x="549"/>
        <item x="1939"/>
        <item x="1509"/>
        <item x="1025"/>
        <item x="1155"/>
        <item x="1875"/>
        <item x="1849"/>
        <item x="1847"/>
        <item x="891"/>
        <item x="52"/>
        <item x="1798"/>
        <item x="969"/>
        <item x="1337"/>
        <item x="1391"/>
        <item x="1304"/>
        <item x="168"/>
        <item x="1730"/>
        <item x="67"/>
        <item x="1460"/>
        <item x="1573"/>
        <item x="1784"/>
        <item x="1145"/>
        <item x="956"/>
        <item x="340"/>
        <item x="457"/>
        <item x="1095"/>
        <item x="1607"/>
        <item x="501"/>
        <item x="1801"/>
        <item x="961"/>
        <item x="412"/>
        <item x="156"/>
        <item x="984"/>
        <item x="593"/>
        <item x="295"/>
        <item x="1593"/>
        <item x="1821"/>
        <item x="613"/>
        <item x="628"/>
        <item x="1635"/>
        <item x="534"/>
        <item x="256"/>
        <item x="1894"/>
        <item x="77"/>
        <item x="1744"/>
        <item x="1722"/>
        <item x="349"/>
        <item x="190"/>
        <item x="275"/>
        <item x="1901"/>
        <item x="73"/>
        <item x="1280"/>
        <item x="1698"/>
        <item x="234"/>
        <item x="308"/>
        <item x="407"/>
        <item x="1031"/>
        <item x="566"/>
        <item x="1650"/>
        <item x="84"/>
        <item x="947"/>
        <item x="1800"/>
        <item x="354"/>
        <item x="1684"/>
        <item x="8"/>
        <item x="1787"/>
        <item x="327"/>
        <item x="1407"/>
        <item x="1682"/>
        <item x="735"/>
        <item x="167"/>
        <item x="379"/>
        <item x="583"/>
        <item x="145"/>
        <item x="1669"/>
        <item x="815"/>
        <item x="1478"/>
        <item x="487"/>
        <item x="266"/>
        <item x="316"/>
        <item x="207"/>
        <item x="107"/>
        <item x="768"/>
        <item x="573"/>
        <item x="356"/>
        <item x="1853"/>
        <item x="298"/>
        <item x="801"/>
        <item x="238"/>
        <item x="1408"/>
        <item x="112"/>
        <item x="968"/>
        <item x="1312"/>
        <item x="565"/>
        <item x="1690"/>
        <item x="233"/>
        <item x="1308"/>
        <item x="179"/>
        <item x="1764"/>
        <item x="376"/>
        <item x="1171"/>
        <item x="1105"/>
        <item x="1703"/>
        <item x="1917"/>
        <item x="736"/>
        <item x="1044"/>
        <item x="344"/>
        <item x="715"/>
        <item x="585"/>
        <item x="228"/>
        <item x="1841"/>
        <item x="254"/>
        <item x="835"/>
        <item x="1416"/>
        <item x="1710"/>
        <item x="437"/>
        <item x="1307"/>
        <item x="1402"/>
        <item x="411"/>
        <item x="1951"/>
        <item x="1908"/>
        <item x="963"/>
        <item x="596"/>
        <item x="451"/>
        <item x="953"/>
        <item x="170"/>
        <item x="1643"/>
        <item x="271"/>
        <item x="60"/>
        <item x="110"/>
        <item x="1625"/>
        <item x="1761"/>
        <item x="1781"/>
        <item x="1329"/>
        <item x="1806"/>
        <item x="1829"/>
        <item x="492"/>
        <item x="1667"/>
        <item x="876"/>
        <item x="1365"/>
        <item x="527"/>
        <item x="1677"/>
        <item x="979"/>
        <item x="559"/>
        <item x="328"/>
        <item x="434"/>
        <item x="1512"/>
        <item x="1701"/>
        <item x="669"/>
        <item x="1786"/>
        <item x="1255"/>
        <item x="257"/>
        <item x="1315"/>
        <item x="1063"/>
        <item x="1136"/>
        <item x="1093"/>
        <item x="7"/>
        <item x="155"/>
        <item x="922"/>
        <item x="908"/>
        <item x="1962"/>
        <item x="958"/>
        <item x="1040"/>
        <item x="357"/>
        <item x="980"/>
        <item x="1886"/>
        <item x="725"/>
        <item x="1130"/>
        <item x="701"/>
        <item x="124"/>
        <item x="19"/>
        <item x="1458"/>
        <item x="1192"/>
        <item x="310"/>
        <item x="790"/>
        <item x="1200"/>
        <item x="948"/>
        <item x="1606"/>
        <item x="1854"/>
        <item x="138"/>
        <item x="1489"/>
        <item x="1709"/>
        <item x="1727"/>
        <item x="213"/>
        <item x="1842"/>
        <item x="1131"/>
        <item x="1343"/>
        <item x="1296"/>
        <item x="300"/>
        <item x="1795"/>
        <item x="866"/>
        <item x="592"/>
        <item x="1733"/>
        <item x="90"/>
        <item x="1301"/>
        <item x="1872"/>
        <item x="909"/>
        <item x="1600"/>
        <item x="1432"/>
        <item x="1344"/>
        <item x="978"/>
        <item x="1668"/>
        <item x="655"/>
        <item x="754"/>
        <item x="1310"/>
        <item x="1498"/>
        <item x="475"/>
        <item x="694"/>
        <item x="955"/>
        <item x="1438"/>
        <item x="1724"/>
        <item x="312"/>
        <item x="982"/>
        <item x="281"/>
        <item x="1085"/>
        <item x="928"/>
        <item x="277"/>
        <item x="270"/>
        <item x="784"/>
        <item x="712"/>
        <item x="1492"/>
        <item x="857"/>
        <item x="664"/>
        <item x="347"/>
        <item x="135"/>
        <item x="1702"/>
        <item x="918"/>
        <item x="1363"/>
        <item x="1896"/>
        <item x="47"/>
        <item x="580"/>
        <item x="827"/>
        <item x="125"/>
        <item x="1238"/>
        <item x="1949"/>
        <item x="1479"/>
        <item x="685"/>
        <item x="1299"/>
        <item x="1708"/>
        <item x="1737"/>
        <item x="1603"/>
        <item x="1444"/>
        <item x="942"/>
        <item x="78"/>
        <item x="360"/>
        <item x="637"/>
        <item x="423"/>
        <item x="1041"/>
        <item x="1609"/>
        <item x="733"/>
        <item x="1470"/>
        <item x="1122"/>
        <item x="1316"/>
        <item x="483"/>
        <item x="106"/>
        <item x="828"/>
        <item x="1493"/>
        <item x="176"/>
        <item x="1446"/>
        <item x="1011"/>
        <item x="1503"/>
        <item x="944"/>
        <item x="1058"/>
        <item x="1763"/>
        <item x="1797"/>
        <item x="1588"/>
        <item x="1959"/>
        <item x="1287"/>
        <item x="126"/>
        <item x="1832"/>
        <item x="941"/>
        <item x="1289"/>
        <item x="1292"/>
        <item x="541"/>
        <item x="587"/>
        <item x="1897"/>
        <item x="20"/>
        <item x="1414"/>
        <item x="214"/>
        <item x="1945"/>
        <item x="842"/>
        <item x="972"/>
        <item x="1823"/>
        <item x="1061"/>
        <item x="1220"/>
        <item x="1560"/>
        <item x="1410"/>
        <item x="1568"/>
        <item x="970"/>
        <item x="1183"/>
        <item x="1146"/>
        <item x="394"/>
        <item x="441"/>
        <item x="1879"/>
        <item x="1189"/>
        <item x="1387"/>
        <item x="1286"/>
        <item x="246"/>
        <item x="806"/>
        <item x="17"/>
        <item x="1224"/>
        <item x="1383"/>
        <item x="777"/>
        <item x="1504"/>
        <item x="1262"/>
        <item x="1956"/>
        <item x="250"/>
        <item x="1252"/>
        <item x="1536"/>
        <item x="248"/>
        <item x="949"/>
        <item x="1143"/>
        <item x="536"/>
        <item x="1428"/>
        <item x="1514"/>
        <item x="1762"/>
        <item x="163"/>
        <item x="27"/>
        <item x="272"/>
        <item x="1333"/>
        <item x="443"/>
        <item x="538"/>
        <item x="1141"/>
        <item x="1029"/>
        <item x="1554"/>
        <item x="134"/>
        <item x="97"/>
        <item x="804"/>
        <item x="351"/>
        <item x="216"/>
        <item x="539"/>
        <item x="30"/>
        <item x="334"/>
        <item x="1817"/>
        <item x="809"/>
        <item x="696"/>
        <item x="1580"/>
        <item x="1306"/>
        <item x="1179"/>
        <item x="364"/>
        <item x="711"/>
        <item x="162"/>
        <item x="177"/>
        <item x="1278"/>
        <item x="642"/>
        <item x="450"/>
        <item x="426"/>
        <item x="975"/>
        <item x="1758"/>
        <item x="1793"/>
        <item x="1020"/>
        <item x="1483"/>
        <item x="1167"/>
        <item x="1594"/>
        <item x="550"/>
        <item x="517"/>
        <item x="1047"/>
        <item x="1239"/>
        <item x="477"/>
        <item x="556"/>
        <item x="1004"/>
        <item x="284"/>
        <item x="1579"/>
        <item x="1190"/>
        <item x="889"/>
        <item x="1774"/>
        <item x="865"/>
        <item x="1347"/>
        <item x="823"/>
        <item x="1282"/>
        <item x="791"/>
        <item x="1813"/>
        <item x="1960"/>
        <item x="1135"/>
        <item x="904"/>
        <item x="68"/>
        <item x="1328"/>
        <item x="296"/>
        <item x="1082"/>
        <item x="1436"/>
        <item x="1121"/>
        <item x="303"/>
        <item x="1013"/>
        <item x="1157"/>
        <item x="31"/>
        <item x="1892"/>
        <item x="188"/>
        <item x="710"/>
        <item x="24"/>
        <item x="912"/>
        <item x="242"/>
        <item x="728"/>
        <item x="741"/>
        <item x="1759"/>
        <item x="1184"/>
        <item x="1938"/>
        <item x="1750"/>
        <item x="1468"/>
        <item x="1009"/>
        <item x="1349"/>
        <item x="903"/>
        <item x="641"/>
        <item x="1578"/>
        <item x="449"/>
        <item x="1340"/>
        <item x="1543"/>
        <item x="1902"/>
        <item x="663"/>
        <item x="320"/>
        <item x="1530"/>
        <item x="199"/>
        <item x="727"/>
        <item x="1501"/>
        <item x="121"/>
        <item x="1639"/>
        <item x="1789"/>
        <item x="446"/>
        <item x="1279"/>
        <item x="1909"/>
        <item x="43"/>
        <item x="1954"/>
        <item x="16"/>
        <item x="131"/>
        <item x="1920"/>
        <item x="1144"/>
        <item x="995"/>
        <item x="209"/>
        <item x="1370"/>
        <item x="931"/>
        <item x="1528"/>
        <item x="1688"/>
        <item x="1128"/>
        <item x="1066"/>
        <item x="563"/>
        <item x="1839"/>
        <item x="428"/>
        <item x="1123"/>
        <item x="1518"/>
        <item x="832"/>
        <item x="651"/>
        <item x="378"/>
        <item x="278"/>
        <item x="404"/>
        <item x="82"/>
        <item x="819"/>
        <item x="1566"/>
        <item x="37"/>
        <item x="1597"/>
        <item x="1314"/>
        <item x="1837"/>
        <item x="989"/>
        <item x="739"/>
        <item x="1556"/>
        <item x="861"/>
        <item x="417"/>
        <item x="1592"/>
        <item x="290"/>
        <item x="489"/>
        <item x="1054"/>
        <item x="509"/>
        <item x="724"/>
        <item x="1471"/>
        <item x="894"/>
        <item x="1904"/>
        <item x="822"/>
        <item x="1360"/>
        <item x="1197"/>
        <item x="1873"/>
        <item x="1824"/>
        <item x="1196"/>
        <item x="452"/>
        <item x="1098"/>
        <item x="1294"/>
        <item x="665"/>
        <item x="1241"/>
        <item x="1305"/>
        <item x="1330"/>
        <item x="1942"/>
        <item x="812"/>
        <item x="522"/>
        <item x="150"/>
        <item x="1881"/>
        <item x="1500"/>
        <item x="508"/>
        <item x="1111"/>
        <item x="247"/>
        <item x="740"/>
        <item x="362"/>
        <item x="1802"/>
        <item x="372"/>
        <item x="103"/>
        <item x="910"/>
        <item x="893"/>
        <item x="1477"/>
        <item x="481"/>
        <item x="1685"/>
        <item x="245"/>
        <item x="1150"/>
        <item x="1205"/>
        <item x="325"/>
        <item x="265"/>
        <item x="1421"/>
        <item x="1930"/>
        <item x="1749"/>
        <item x="1079"/>
        <item x="196"/>
        <item x="1548"/>
        <item x="1103"/>
        <item x="1142"/>
        <item x="1673"/>
        <item x="1288"/>
        <item x="1450"/>
        <item x="983"/>
        <item x="202"/>
        <item x="808"/>
        <item x="1627"/>
        <item x="1613"/>
        <item x="192"/>
        <item x="1968"/>
        <item x="1636"/>
        <item x="503"/>
        <item x="1871"/>
        <item x="1275"/>
        <item x="537"/>
        <item x="576"/>
        <item x="1822"/>
        <item x="626"/>
        <item x="687"/>
        <item x="1214"/>
        <item x="1953"/>
        <item x="676"/>
        <item x="747"/>
        <item x="1429"/>
        <item x="204"/>
        <item x="547"/>
        <item x="1228"/>
        <item x="1569"/>
        <item x="1175"/>
        <item x="851"/>
        <item x="1699"/>
        <item x="1874"/>
        <item x="173"/>
        <item x="579"/>
        <item x="788"/>
        <item x="1106"/>
        <item x="1435"/>
        <item x="605"/>
        <item x="853"/>
        <item x="657"/>
        <item x="240"/>
        <item x="197"/>
        <item x="863"/>
        <item x="1075"/>
        <item x="1325"/>
        <item x="936"/>
        <item x="1219"/>
        <item x="194"/>
        <item x="352"/>
        <item x="598"/>
        <item x="895"/>
        <item x="873"/>
        <item x="1186"/>
        <item x="831"/>
        <item x="459"/>
        <item x="1"/>
        <item x="802"/>
        <item x="283"/>
        <item x="1271"/>
        <item x="971"/>
        <item x="607"/>
        <item x="746"/>
        <item x="32"/>
        <item x="338"/>
        <item x="1222"/>
        <item x="620"/>
        <item x="1617"/>
        <item x="1375"/>
        <item x="920"/>
        <item x="1193"/>
        <item x="183"/>
        <item x="720"/>
        <item x="1601"/>
        <item x="1559"/>
        <item x="388"/>
        <item x="1049"/>
        <item x="753"/>
        <item x="1745"/>
        <item x="1218"/>
        <item x="301"/>
        <item x="1467"/>
        <item x="1172"/>
        <item x="1415"/>
        <item x="1914"/>
        <item x="502"/>
        <item x="1092"/>
        <item x="545"/>
        <item x="653"/>
        <item x="497"/>
        <item x="535"/>
        <item x="973"/>
        <item x="1641"/>
        <item x="1589"/>
        <item x="548"/>
        <item x="89"/>
        <item x="514"/>
        <item x="852"/>
        <item x="85"/>
        <item x="1422"/>
        <item x="381"/>
        <item x="1097"/>
        <item x="1868"/>
        <item x="348"/>
        <item x="1638"/>
        <item x="756"/>
        <item x="1803"/>
        <item x="578"/>
        <item x="469"/>
        <item x="1443"/>
        <item x="1046"/>
        <item x="398"/>
        <item x="1858"/>
        <item x="191"/>
        <item x="717"/>
        <item x="1232"/>
        <item x="695"/>
        <item x="781"/>
        <item x="1833"/>
        <item x="531"/>
        <item x="1751"/>
        <item x="1267"/>
        <item x="1198"/>
        <item x="479"/>
        <item x="38"/>
        <item x="1084"/>
        <item x="1522"/>
        <item x="1602"/>
        <item x="95"/>
        <item x="1188"/>
        <item x="496"/>
        <item x="1693"/>
        <item x="799"/>
        <item x="946"/>
        <item x="439"/>
        <item x="34"/>
        <item x="1517"/>
        <item x="616"/>
        <item x="1338"/>
        <item x="786"/>
        <item x="393"/>
        <item x="810"/>
        <item x="1511"/>
        <item x="1905"/>
        <item x="136"/>
        <item x="570"/>
        <item x="1675"/>
        <item x="1372"/>
        <item x="1057"/>
        <item x="1060"/>
        <item x="757"/>
        <item x="1819"/>
        <item x="1358"/>
        <item x="1808"/>
        <item x="141"/>
        <item x="797"/>
        <item x="1475"/>
        <item x="1008"/>
        <item x="1883"/>
        <item x="1240"/>
        <item x="88"/>
        <item x="905"/>
        <item x="1208"/>
        <item x="671"/>
        <item x="429"/>
        <item x="1495"/>
        <item x="494"/>
        <item x="1624"/>
        <item x="79"/>
        <item x="384"/>
        <item x="157"/>
        <item x="1944"/>
        <item x="433"/>
        <item x="1265"/>
        <item x="649"/>
        <item x="615"/>
        <item x="1464"/>
        <item x="1339"/>
        <item x="1497"/>
        <item x="335"/>
        <item x="104"/>
        <item x="1033"/>
        <item x="268"/>
        <item x="408"/>
        <item x="1119"/>
        <item x="369"/>
        <item x="1284"/>
        <item x="829"/>
        <item x="730"/>
        <item x="1738"/>
        <item x="178"/>
        <item x="833"/>
        <item x="1454"/>
        <item x="745"/>
        <item x="543"/>
        <item x="1298"/>
        <item x="210"/>
        <item x="1770"/>
        <item x="836"/>
        <item x="1405"/>
        <item x="1117"/>
        <item x="341"/>
        <item x="704"/>
        <item x="410"/>
        <item x="211"/>
        <item x="886"/>
        <item x="1576"/>
        <item x="164"/>
        <item x="1850"/>
        <item x="1462"/>
        <item x="1381"/>
        <item x="86"/>
        <item x="1320"/>
        <item x="1236"/>
        <item x="1406"/>
        <item x="1045"/>
        <item x="159"/>
        <item x="1538"/>
        <item x="532"/>
        <item x="892"/>
        <item x="200"/>
        <item x="1259"/>
        <item x="856"/>
        <item x="152"/>
        <item x="96"/>
        <item x="1629"/>
        <item x="1194"/>
        <item x="1442"/>
        <item x="902"/>
        <item x="346"/>
        <item x="765"/>
        <item x="935"/>
        <item x="1322"/>
        <item x="1472"/>
        <item x="1974"/>
        <item x="1928"/>
        <item x="1461"/>
        <item x="1258"/>
        <item x="1395"/>
        <item x="919"/>
        <item x="1825"/>
        <item x="814"/>
        <item x="1030"/>
        <item x="1768"/>
        <item x="1863"/>
        <item x="1882"/>
        <item x="1932"/>
        <item x="1369"/>
        <item x="990"/>
        <item x="26"/>
        <item x="1855"/>
        <item x="1366"/>
        <item x="1173"/>
        <item x="158"/>
        <item x="686"/>
        <item x="472"/>
        <item x="898"/>
        <item x="1276"/>
        <item x="438"/>
        <item x="1447"/>
        <item x="386"/>
        <item x="554"/>
        <item x="1377"/>
        <item x="1662"/>
        <item x="511"/>
        <item x="1452"/>
        <item x="1371"/>
        <item x="1631"/>
        <item x="1303"/>
        <item x="845"/>
        <item x="582"/>
        <item x="952"/>
        <item x="81"/>
        <item x="1073"/>
        <item x="294"/>
        <item x="1028"/>
        <item x="1540"/>
        <item x="1015"/>
        <item x="900"/>
        <item x="1860"/>
        <item x="1272"/>
        <item x="116"/>
        <item x="1726"/>
        <item x="1094"/>
        <item x="1465"/>
        <item x="307"/>
        <item x="1067"/>
        <item x="584"/>
        <item x="1037"/>
        <item x="1466"/>
        <item x="1843"/>
        <item x="546"/>
        <item x="629"/>
        <item x="1637"/>
        <item x="1140"/>
        <item x="906"/>
        <item x="342"/>
        <item x="1115"/>
        <item x="523"/>
        <item x="1099"/>
        <item x="1565"/>
        <item x="1725"/>
        <item x="1534"/>
        <item x="1164"/>
        <item x="321"/>
        <item x="879"/>
        <item x="1148"/>
        <item x="668"/>
        <item x="839"/>
        <item x="759"/>
        <item x="609"/>
        <item x="796"/>
        <item x="805"/>
        <item x="143"/>
        <item x="780"/>
        <item x="1549"/>
        <item x="1459"/>
        <item x="1425"/>
        <item x="380"/>
        <item x="464"/>
        <item x="1943"/>
        <item x="462"/>
        <item x="6"/>
        <item x="1757"/>
        <item x="420"/>
        <item x="1382"/>
        <item x="1567"/>
        <item x="1830"/>
        <item x="447"/>
        <item x="1812"/>
        <item x="276"/>
        <item x="53"/>
        <item x="1177"/>
        <item x="72"/>
        <item x="882"/>
        <item x="109"/>
        <item x="600"/>
        <item x="413"/>
        <item x="1266"/>
        <item x="1268"/>
        <item x="621"/>
        <item x="960"/>
        <item x="939"/>
        <item x="1481"/>
        <item x="1520"/>
        <item x="1486"/>
        <item x="1780"/>
        <item x="782"/>
        <item x="789"/>
        <item x="1076"/>
        <item x="1127"/>
        <item x="1026"/>
        <item x="422"/>
        <item x="758"/>
        <item x="442"/>
        <item x="1739"/>
        <item x="683"/>
        <item x="1972"/>
        <item x="1394"/>
        <item x="1291"/>
        <item x="1350"/>
        <item x="774"/>
        <item x="847"/>
        <item x="1707"/>
        <item x="1769"/>
        <item x="1374"/>
        <item x="1180"/>
        <item x="1021"/>
        <item x="505"/>
        <item x="101"/>
        <item x="1078"/>
        <item x="1642"/>
        <item x="1264"/>
        <item x="1270"/>
        <item x="1070"/>
        <item x="1411"/>
        <item x="1297"/>
        <item x="1963"/>
        <item x="1651"/>
        <item x="1947"/>
        <item x="1068"/>
        <item x="1201"/>
        <item x="1362"/>
        <item x="811"/>
        <item x="280"/>
        <item x="887"/>
        <item x="499"/>
        <item x="1335"/>
        <item x="421"/>
        <item x="1965"/>
        <item x="1961"/>
        <item x="1571"/>
        <item x="1116"/>
        <item x="1772"/>
        <item x="0"/>
        <item x="1659"/>
        <item x="1870"/>
        <item x="4"/>
        <item x="461"/>
        <item x="622"/>
        <item x="1521"/>
        <item x="670"/>
        <item x="1109"/>
        <item x="1910"/>
        <item x="1484"/>
        <item x="709"/>
        <item x="1256"/>
        <item x="1622"/>
        <item x="1389"/>
        <item x="22"/>
        <item x="1767"/>
        <item x="1537"/>
        <item x="1485"/>
        <item x="1891"/>
        <item x="675"/>
        <item x="282"/>
        <item x="848"/>
        <item x="899"/>
        <item x="914"/>
        <item x="1216"/>
        <item x="1152"/>
        <item x="678"/>
        <item x="1114"/>
        <item x="1401"/>
        <item x="631"/>
        <item x="322"/>
        <item x="630"/>
        <item x="13"/>
        <item x="1612"/>
        <item x="950"/>
        <item x="463"/>
        <item x="1836"/>
        <item x="1584"/>
        <item x="1080"/>
        <item x="1260"/>
        <item x="760"/>
        <item x="1911"/>
        <item x="897"/>
        <item x="132"/>
        <item x="1474"/>
        <item x="1211"/>
        <item x="1348"/>
        <item x="1003"/>
        <item x="560"/>
        <item x="333"/>
        <item x="1199"/>
        <item x="455"/>
        <item x="478"/>
        <item x="749"/>
        <item x="222"/>
        <item x="142"/>
        <item x="1674"/>
        <item x="1666"/>
        <item x="1546"/>
        <item x="1455"/>
        <item x="803"/>
        <item x="1431"/>
        <item x="1700"/>
        <item x="519"/>
        <item x="1285"/>
        <item x="880"/>
        <item x="1359"/>
        <item x="431"/>
        <item x="66"/>
        <item x="1816"/>
        <item x="259"/>
        <item x="1604"/>
        <item x="1207"/>
        <item x="1912"/>
        <item x="1814"/>
        <item x="1923"/>
        <item x="139"/>
        <item x="1950"/>
        <item x="1532"/>
        <item x="227"/>
        <item x="974"/>
        <item x="650"/>
        <item x="1971"/>
        <item x="476"/>
        <item x="618"/>
        <item x="1138"/>
        <item x="171"/>
        <item x="402"/>
        <item x="119"/>
        <item x="820"/>
        <item x="1818"/>
        <item x="440"/>
        <item x="569"/>
        <item x="1437"/>
        <item x="1129"/>
        <item x="795"/>
        <item x="1691"/>
        <item x="1523"/>
        <item x="553"/>
        <item x="1742"/>
        <item x="56"/>
        <item x="1022"/>
        <item x="495"/>
        <item x="752"/>
        <item x="255"/>
        <item x="1719"/>
        <item x="654"/>
        <item x="542"/>
        <item x="1104"/>
        <item x="448"/>
        <item x="721"/>
        <item x="1245"/>
        <item x="1253"/>
        <item x="304"/>
        <item x="314"/>
        <item x="708"/>
        <item x="1110"/>
        <item x="1527"/>
        <item x="817"/>
        <item x="530"/>
        <item x="367"/>
        <item x="445"/>
        <item x="5"/>
        <item x="1608"/>
        <item x="151"/>
        <item x="1626"/>
        <item x="1893"/>
        <item x="1494"/>
        <item x="1718"/>
        <item x="1083"/>
        <item x="218"/>
        <item x="1683"/>
        <item x="567"/>
        <item x="859"/>
        <item x="993"/>
        <item x="742"/>
        <item x="604"/>
        <item x="692"/>
        <item x="1582"/>
        <item x="1165"/>
        <item x="122"/>
        <item x="1913"/>
        <item x="118"/>
        <item x="12"/>
        <item x="601"/>
        <item x="1616"/>
        <item x="1373"/>
        <item x="1619"/>
        <item x="1735"/>
        <item x="1502"/>
        <item x="1064"/>
        <item x="239"/>
        <item x="363"/>
        <item x="1610"/>
        <item x="1903"/>
        <item x="702"/>
        <item x="1788"/>
        <item x="186"/>
        <item x="1964"/>
        <item x="350"/>
        <item x="262"/>
        <item x="707"/>
        <item x="208"/>
        <item x="1281"/>
        <item x="1413"/>
        <item x="1628"/>
        <item x="1423"/>
        <item x="1051"/>
        <item x="1356"/>
        <item x="840"/>
        <item x="289"/>
        <item x="693"/>
        <item x="1480"/>
        <item x="999"/>
        <item x="1178"/>
        <item x="1656"/>
        <item x="302"/>
        <item x="471"/>
        <item x="540"/>
        <item x="932"/>
        <item x="1753"/>
        <item x="193"/>
        <item x="957"/>
        <item x="1457"/>
        <item x="933"/>
        <item x="1598"/>
        <item x="1846"/>
        <item x="1147"/>
        <item x="299"/>
        <item x="1539"/>
        <item x="881"/>
        <item x="1717"/>
        <item x="1213"/>
        <item x="1334"/>
        <item x="1499"/>
        <item x="874"/>
        <item x="224"/>
        <item x="65"/>
        <item x="337"/>
        <item x="128"/>
        <item x="1159"/>
        <item x="1346"/>
        <item x="1210"/>
        <item x="232"/>
        <item x="994"/>
        <item x="1925"/>
        <item x="1885"/>
        <item x="467"/>
        <item x="638"/>
        <item x="1826"/>
        <item x="500"/>
        <item x="23"/>
        <item x="1899"/>
        <item x="924"/>
        <item x="1595"/>
        <item x="1034"/>
        <item x="45"/>
        <item x="1890"/>
        <item x="595"/>
        <item x="1364"/>
        <item x="996"/>
        <item x="943"/>
        <item x="264"/>
        <item x="473"/>
        <item x="770"/>
        <item x="1212"/>
        <item x="1302"/>
        <item x="1922"/>
        <item x="1647"/>
        <item x="137"/>
        <item x="1124"/>
        <item x="643"/>
        <item x="383"/>
        <item x="1791"/>
        <item x="1404"/>
        <item x="92"/>
        <item x="767"/>
        <item x="425"/>
        <item x="1154"/>
        <item x="1409"/>
        <item x="1010"/>
        <item x="1182"/>
        <item x="258"/>
        <item x="311"/>
        <item x="49"/>
        <item x="666"/>
        <item x="355"/>
        <item x="387"/>
        <item x="644"/>
        <item x="1035"/>
        <item x="297"/>
        <item x="533"/>
        <item x="435"/>
        <item x="1118"/>
        <item x="55"/>
        <item x="430"/>
        <item x="1090"/>
        <item x="632"/>
        <item x="846"/>
        <item x="166"/>
        <item x="611"/>
        <item x="153"/>
        <item x="175"/>
        <item x="64"/>
        <item x="1001"/>
        <item x="1838"/>
        <item x="1290"/>
        <item x="1587"/>
        <item x="1810"/>
        <item x="1263"/>
        <item x="409"/>
        <item x="405"/>
        <item x="35"/>
        <item x="1108"/>
        <item x="1052"/>
        <item x="1705"/>
        <item x="1341"/>
        <item x="719"/>
        <item x="689"/>
        <item x="1161"/>
        <item x="614"/>
        <item x="1720"/>
        <item x="1782"/>
        <item x="878"/>
        <item x="231"/>
        <item x="992"/>
        <item x="57"/>
        <item x="1933"/>
        <item x="1399"/>
        <item x="890"/>
        <item x="466"/>
        <item x="834"/>
        <item x="1809"/>
        <item x="639"/>
        <item x="100"/>
        <item x="1071"/>
        <item x="1646"/>
        <item x="888"/>
        <item x="1796"/>
        <item x="964"/>
        <item x="130"/>
        <item x="871"/>
        <item x="336"/>
        <item x="1368"/>
        <item x="279"/>
        <item x="319"/>
        <item x="33"/>
        <item x="371"/>
        <item x="967"/>
        <item x="640"/>
        <item x="1790"/>
        <item x="1507"/>
        <item x="1663"/>
        <item x="594"/>
        <item x="62"/>
        <item x="985"/>
        <item x="1250"/>
        <item x="1249"/>
        <item x="184"/>
        <item x="1906"/>
        <item x="1973"/>
        <item x="1921"/>
        <item x="253"/>
        <item x="1396"/>
        <item x="140"/>
        <item x="1293"/>
        <item x="1324"/>
        <item x="648"/>
        <item x="203"/>
        <item x="1845"/>
        <item x="1251"/>
        <item x="180"/>
        <item x="244"/>
        <item x="1679"/>
        <item x="1692"/>
        <item x="1476"/>
        <item x="331"/>
        <item x="1876"/>
        <item x="261"/>
        <item x="558"/>
        <item x="1574"/>
        <item x="1386"/>
        <item x="1672"/>
        <item x="1160"/>
        <item x="1323"/>
        <item x="1563"/>
        <item x="1747"/>
        <item x="1112"/>
        <item x="1661"/>
        <item x="816"/>
        <item x="432"/>
        <item x="1418"/>
        <item x="51"/>
        <item x="1680"/>
        <item x="1570"/>
        <item x="636"/>
        <item x="146"/>
        <item x="1354"/>
        <item x="748"/>
        <item x="1513"/>
        <item x="490"/>
        <item x="1247"/>
        <item x="690"/>
        <item x="1043"/>
        <item x="988"/>
        <item x="1716"/>
        <item x="1449"/>
        <item x="1681"/>
        <item x="901"/>
        <item x="58"/>
        <item x="1002"/>
        <item x="370"/>
        <item x="1734"/>
        <item x="424"/>
        <item x="1311"/>
        <item x="1665"/>
        <item x="293"/>
        <item x="951"/>
        <item x="1711"/>
        <item x="198"/>
        <item x="591"/>
        <item x="661"/>
        <item x="1558"/>
        <item x="329"/>
        <item x="1835"/>
        <item x="700"/>
        <item x="1599"/>
        <item x="1805"/>
        <item x="485"/>
        <item x="785"/>
        <item x="660"/>
        <item x="1233"/>
        <item x="732"/>
        <item x="114"/>
        <item x="529"/>
        <item x="1230"/>
        <item x="2"/>
        <item x="1206"/>
        <item x="1748"/>
        <item x="1018"/>
        <item x="1367"/>
        <item x="877"/>
        <item x="1039"/>
        <item x="1185"/>
        <item x="1237"/>
        <item x="1453"/>
        <item x="1844"/>
        <item x="330"/>
        <item x="1792"/>
        <item x="1924"/>
        <item x="1400"/>
        <item x="345"/>
        <item x="722"/>
        <item x="1496"/>
        <item x="1620"/>
        <item x="332"/>
        <item x="1585"/>
        <item x="1655"/>
        <item x="680"/>
        <item x="1877"/>
        <item x="991"/>
        <item x="731"/>
        <item x="1623"/>
        <item x="586"/>
        <item x="1887"/>
        <item x="1741"/>
        <item x="864"/>
        <item x="205"/>
        <item x="761"/>
        <item x="44"/>
        <item x="1732"/>
        <item x="588"/>
        <item x="1755"/>
        <item x="498"/>
        <item x="1226"/>
        <item x="1056"/>
        <item x="1678"/>
        <item x="568"/>
        <item x="251"/>
        <item x="1867"/>
        <item x="1773"/>
        <item x="619"/>
        <item x="860"/>
        <item x="764"/>
        <item x="1729"/>
        <item x="1697"/>
        <item x="120"/>
        <item x="1170"/>
        <item x="488"/>
        <item x="223"/>
        <item x="1378"/>
        <item x="226"/>
        <item x="602"/>
        <item x="1531"/>
        <item x="1940"/>
        <item x="1948"/>
        <item x="1327"/>
        <item x="750"/>
        <item x="1392"/>
        <item x="172"/>
        <item x="870"/>
        <item x="148"/>
        <item x="1166"/>
        <item x="1089"/>
        <item x="729"/>
        <item x="1440"/>
        <item x="1658"/>
        <item x="368"/>
        <item x="1752"/>
        <item x="965"/>
        <item x="862"/>
        <item x="1163"/>
        <item x="1215"/>
        <item x="677"/>
        <item x="63"/>
        <item x="1915"/>
        <item x="1403"/>
        <item x="1126"/>
        <item x="718"/>
        <item x="682"/>
        <item x="230"/>
        <item x="1137"/>
        <item x="389"/>
        <item x="855"/>
        <item x="716"/>
        <item x="1261"/>
        <item x="406"/>
        <item x="69"/>
        <item x="436"/>
        <item x="377"/>
        <item x="267"/>
        <item x="1426"/>
        <item x="1424"/>
        <item x="1815"/>
        <item x="1562"/>
        <item x="1014"/>
        <item x="400"/>
        <item x="934"/>
        <item x="1353"/>
        <item x="706"/>
        <item x="315"/>
        <item x="237"/>
        <item x="926"/>
        <item x="1482"/>
        <item x="54"/>
        <item x="1439"/>
        <item x="70"/>
        <item x="390"/>
        <item x="1723"/>
        <item x="185"/>
        <item x="460"/>
        <item x="1032"/>
        <item x="1862"/>
        <item x="977"/>
        <item x="603"/>
        <item x="1934"/>
        <item x="1831"/>
        <item x="772"/>
        <item x="1445"/>
        <item x="1827"/>
        <item x="1687"/>
        <item x="1246"/>
        <item x="672"/>
        <item x="1153"/>
        <item x="837"/>
        <item x="1168"/>
        <item x="1036"/>
        <item x="1412"/>
        <item x="1743"/>
        <item x="504"/>
        <item x="18"/>
        <item x="1357"/>
        <item x="1804"/>
        <item x="981"/>
        <item x="1125"/>
        <item x="1086"/>
        <item x="1754"/>
        <item x="1134"/>
        <item x="99"/>
        <item x="1326"/>
        <item x="633"/>
        <item x="117"/>
        <item x="1223"/>
        <item x="1564"/>
        <item x="288"/>
        <item x="1542"/>
        <item x="945"/>
        <item x="869"/>
        <item x="1713"/>
        <item x="1840"/>
        <item x="206"/>
        <item x="606"/>
        <item x="1162"/>
        <item x="647"/>
        <item x="493"/>
        <item x="1706"/>
        <item x="260"/>
        <item x="195"/>
        <item x="1581"/>
        <item x="937"/>
        <item x="1321"/>
        <item x="1113"/>
        <item x="1433"/>
        <item x="1865"/>
        <item x="714"/>
        <item x="841"/>
        <item x="775"/>
        <item x="1632"/>
        <item x="1611"/>
        <item x="854"/>
        <item x="1318"/>
        <item x="658"/>
        <item x="87"/>
        <item x="1900"/>
        <item x="1202"/>
        <item x="1107"/>
        <item x="339"/>
        <item x="465"/>
        <item x="1187"/>
        <item x="610"/>
        <item x="1519"/>
        <item x="454"/>
        <item x="659"/>
        <item x="1376"/>
        <item x="723"/>
        <item x="458"/>
        <item x="46"/>
        <item x="713"/>
        <item x="1926"/>
        <item x="1779"/>
        <item x="1857"/>
        <item x="1077"/>
        <item x="1355"/>
        <item x="1012"/>
        <item x="1379"/>
        <item x="343"/>
        <item x="80"/>
        <item x="115"/>
        <item x="872"/>
        <item x="927"/>
        <item x="1618"/>
        <item x="221"/>
        <item x="552"/>
        <item x="1023"/>
        <item x="1852"/>
        <item x="1420"/>
        <item x="524"/>
        <item x="212"/>
        <item x="42"/>
        <item x="269"/>
        <item x="39"/>
        <item x="181"/>
        <item x="249"/>
        <item x="229"/>
        <item x="1506"/>
        <item x="1859"/>
        <item x="486"/>
        <item x="144"/>
        <item x="1640"/>
        <item x="1575"/>
        <item x="681"/>
        <item x="1544"/>
        <item x="160"/>
        <item x="915"/>
        <item x="1295"/>
        <item x="1957"/>
        <item x="1081"/>
        <item x="1254"/>
        <item x="1633"/>
        <item x="923"/>
        <item x="821"/>
        <item x="1740"/>
        <item x="1024"/>
        <item x="286"/>
        <item x="705"/>
        <item x="1714"/>
        <item x="778"/>
        <item x="1828"/>
        <item x="1209"/>
        <item x="574"/>
        <item x="482"/>
        <item x="794"/>
        <item x="474"/>
        <item x="418"/>
        <item x="635"/>
        <item x="844"/>
        <item x="76"/>
        <item x="1927"/>
        <item x="1430"/>
        <item x="1087"/>
        <item x="521"/>
        <item x="787"/>
        <item x="528"/>
        <item x="1572"/>
        <item x="1221"/>
        <item x="1861"/>
        <item x="215"/>
        <item x="1488"/>
        <item x="743"/>
        <item x="883"/>
        <item x="1390"/>
        <item x="830"/>
        <item x="1605"/>
        <item x="925"/>
        <item x="697"/>
        <item x="1670"/>
        <item x="1869"/>
        <item x="1884"/>
        <item x="800"/>
        <item x="50"/>
        <item x="1561"/>
        <item x="1434"/>
        <item x="273"/>
        <item x="793"/>
        <item x="1553"/>
        <item x="917"/>
        <item x="48"/>
        <item x="396"/>
        <item x="324"/>
        <item x="1319"/>
        <item x="755"/>
        <item x="1657"/>
        <item x="15"/>
        <item x="317"/>
        <item x="867"/>
        <item x="1072"/>
        <item x="453"/>
        <item x="1653"/>
        <item x="1820"/>
        <item x="703"/>
        <item x="1541"/>
        <item x="998"/>
        <item x="318"/>
        <item x="365"/>
        <item x="916"/>
        <item x="201"/>
        <item x="1027"/>
        <item x="161"/>
        <item x="698"/>
        <item x="1736"/>
        <item x="597"/>
        <item x="1935"/>
        <item x="510"/>
        <item x="590"/>
        <item x="911"/>
        <item x="1017"/>
        <item x="599"/>
        <item x="28"/>
        <item x="326"/>
        <item x="403"/>
        <item x="1149"/>
        <item x="1644"/>
        <item x="849"/>
        <item x="1591"/>
        <item x="1176"/>
        <item x="1055"/>
        <item x="513"/>
        <item x="929"/>
        <item x="91"/>
        <item x="1059"/>
        <item x="807"/>
        <item x="1756"/>
        <item x="1019"/>
        <item x="102"/>
        <item x="129"/>
        <item x="1048"/>
        <item x="824"/>
        <item x="850"/>
        <item x="1529"/>
        <item x="1505"/>
        <item x="182"/>
        <item x="1648"/>
        <item x="645"/>
        <item x="1686"/>
        <item x="1851"/>
        <item x="1006"/>
        <item x="1385"/>
        <item x="93"/>
        <item x="673"/>
        <item x="1361"/>
        <item x="526"/>
        <item x="1235"/>
        <item x="61"/>
        <item x="1955"/>
        <item x="1005"/>
        <item x="1689"/>
        <item x="98"/>
        <item x="480"/>
        <item x="427"/>
        <item x="1937"/>
        <item x="688"/>
        <item x="684"/>
        <item x="1919"/>
        <item x="1448"/>
        <item x="662"/>
        <item x="1552"/>
        <item x="366"/>
        <item x="1615"/>
        <item x="1096"/>
        <item x="1169"/>
        <item x="105"/>
        <item x="1234"/>
        <item x="1694"/>
        <item x="392"/>
        <item x="1918"/>
        <item x="1712"/>
        <item x="966"/>
        <item x="1775"/>
        <item x="766"/>
        <item x="557"/>
        <item x="1274"/>
        <item x="1551"/>
        <item x="1309"/>
        <item x="1704"/>
        <item x="127"/>
        <item x="399"/>
        <item x="907"/>
        <item x="397"/>
        <item x="776"/>
        <item x="1332"/>
        <item x="884"/>
        <item x="1776"/>
        <item x="1766"/>
        <item x="1345"/>
        <item x="938"/>
        <item x="858"/>
        <item x="1778"/>
        <item x="1746"/>
        <item x="1794"/>
        <item x="612"/>
        <item x="113"/>
        <item x="187"/>
        <item x="235"/>
        <item x="608"/>
        <item x="1695"/>
        <item x="617"/>
        <item x="1888"/>
        <item x="1490"/>
        <item x="149"/>
        <item x="1203"/>
        <item x="646"/>
        <item x="581"/>
        <item x="1970"/>
        <item x="10"/>
        <item t="default"/>
      </items>
    </pivotField>
    <pivotField showAll="0">
      <items count="4">
        <item x="0"/>
        <item x="1"/>
        <item x="2"/>
        <item t="default"/>
      </items>
    </pivotField>
    <pivotField numFmtId="14" showAll="0"/>
    <pivotField numFmtId="14" showAll="0"/>
    <pivotField showAll="0"/>
    <pivotField showAll="0"/>
    <pivotField showAll="0"/>
    <pivotField showAll="0"/>
    <pivotField showAll="0"/>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s>
  <rowFields count="1">
    <field x="14"/>
  </rowFields>
  <rowItems count="3">
    <i>
      <x/>
    </i>
    <i>
      <x v="1"/>
    </i>
    <i t="grand">
      <x/>
    </i>
  </rowItems>
  <colItems count="1">
    <i/>
  </colItems>
  <dataFields count="1">
    <dataField name="Sum of TOTAL PURCHAS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D8C050-FC48-44A4-9F85-102A19FC56E3}" name="PivotTable1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J37" firstHeaderRow="1" firstDataRow="2" firstDataCol="1"/>
  <pivotFields count="22">
    <pivotField showAll="0"/>
    <pivotField showAll="0"/>
    <pivotField axis="axisRow" showAll="0">
      <items count="6">
        <item x="4"/>
        <item x="3"/>
        <item x="0"/>
        <item x="2"/>
        <item x="1"/>
        <item t="default"/>
      </items>
    </pivotField>
    <pivotField axis="axisCol" showAll="0">
      <items count="9">
        <item x="6"/>
        <item x="5"/>
        <item x="3"/>
        <item x="2"/>
        <item x="0"/>
        <item x="1"/>
        <item x="4"/>
        <item x="7"/>
        <item t="default"/>
      </items>
    </pivotField>
    <pivotField showAll="0"/>
    <pivotField showAll="0"/>
    <pivotField numFmtId="14"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9">
    <i>
      <x/>
    </i>
    <i>
      <x v="1"/>
    </i>
    <i>
      <x v="2"/>
    </i>
    <i>
      <x v="3"/>
    </i>
    <i>
      <x v="4"/>
    </i>
    <i>
      <x v="5"/>
    </i>
    <i>
      <x v="6"/>
    </i>
    <i>
      <x v="7"/>
    </i>
    <i t="grand">
      <x/>
    </i>
  </colItems>
  <dataFields count="1">
    <dataField name="Average of Recency" fld="8" subtotal="average" baseField="2" baseItem="0" numFmtId="1"/>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D3D2E9-7EE7-4966-B389-EA09088F51F6}"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27" firstHeaderRow="0" firstDataRow="1" firstDataCol="1"/>
  <pivotFields count="22">
    <pivotField showAll="0"/>
    <pivotField showAll="0"/>
    <pivotField axis="axisRow" showAll="0">
      <items count="6">
        <item x="4"/>
        <item x="3"/>
        <item x="0"/>
        <item x="2"/>
        <item x="1"/>
        <item t="default"/>
      </items>
    </pivotField>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Sum of TOTAL PURCHASE" fld="15" baseField="0" baseItem="0"/>
    <dataField name="Average of Income" fld="4" subtotal="average" baseField="2" baseItem="0"/>
    <dataField name="Average of TOTAL PURCHASE" fld="15" subtotal="average" baseField="2" baseItem="2"/>
  </dataFields>
  <chartFormats count="8">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1"/>
          </reference>
          <reference field="2" count="1" selected="0">
            <x v="4"/>
          </reference>
        </references>
      </pivotArea>
    </chartFormat>
    <chartFormat chart="2" format="10">
      <pivotArea type="data" outline="0" fieldPosition="0">
        <references count="2">
          <reference field="4294967294" count="1" selected="0">
            <x v="1"/>
          </reference>
          <reference field="2" count="1" selected="0">
            <x v="3"/>
          </reference>
        </references>
      </pivotArea>
    </chartFormat>
    <chartFormat chart="2" format="11">
      <pivotArea type="data" outline="0" fieldPosition="0">
        <references count="2">
          <reference field="4294967294" count="1" selected="0">
            <x v="1"/>
          </reference>
          <reference field="2" count="1" selected="0">
            <x v="2"/>
          </reference>
        </references>
      </pivotArea>
    </chartFormat>
    <chartFormat chart="2" format="12">
      <pivotArea type="data" outline="0" fieldPosition="0">
        <references count="2">
          <reference field="4294967294" count="1" selected="0">
            <x v="1"/>
          </reference>
          <reference field="2" count="1" selected="0">
            <x v="1"/>
          </reference>
        </references>
      </pivotArea>
    </chartFormat>
    <chartFormat chart="2" format="13">
      <pivotArea type="data" outline="0" fieldPosition="0">
        <references count="2">
          <reference field="4294967294" count="1" selected="0">
            <x v="1"/>
          </reference>
          <reference field="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1D78EB-CA57-4794-A7D7-D52229142A81}"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D18" firstHeaderRow="0" firstDataRow="1" firstDataCol="1"/>
  <pivotFields count="22">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2"/>
        <item x="1"/>
        <item x="0"/>
        <item x="3"/>
        <item x="4"/>
        <item t="default"/>
      </items>
    </pivotField>
    <pivotField showAll="0"/>
    <pivotField dataField="1" showAll="0"/>
  </pivotFields>
  <rowFields count="1">
    <field x="19"/>
  </rowFields>
  <rowItems count="6">
    <i>
      <x/>
    </i>
    <i>
      <x v="1"/>
    </i>
    <i>
      <x v="2"/>
    </i>
    <i>
      <x v="3"/>
    </i>
    <i>
      <x v="4"/>
    </i>
    <i t="grand">
      <x/>
    </i>
  </rowItems>
  <colFields count="1">
    <field x="-2"/>
  </colFields>
  <colItems count="3">
    <i>
      <x/>
    </i>
    <i i="1">
      <x v="1"/>
    </i>
    <i i="2">
      <x v="2"/>
    </i>
  </colItems>
  <dataFields count="3">
    <dataField name="Average of Lifespan years" fld="21" subtotal="average" baseField="19" baseItem="2"/>
    <dataField name="Sum of TOTAL PURCHASE" fld="15" baseField="0" baseItem="0"/>
    <dataField name="Average of TOTAL PURCHASE" fld="15" subtotal="average" baseField="19"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3986D8-3866-4C56-B02B-EA3E74BE02D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B10"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Sum of Total Sales Amount" fld="1"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4950DC-FB7A-4B69-AF59-28E4B6DA9738}"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4" firstHeaderRow="1" firstDataRow="1" firstDataCol="1"/>
  <pivotFields count="17">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axis="axisRow" showAll="0">
      <items count="3">
        <item x="0"/>
        <item x="1"/>
        <item t="default"/>
      </items>
    </pivotField>
    <pivotField dataField="1" showAll="0">
      <items count="186">
        <item x="155"/>
        <item x="8"/>
        <item x="42"/>
        <item x="1"/>
        <item x="9"/>
        <item x="7"/>
        <item x="29"/>
        <item x="3"/>
        <item x="41"/>
        <item x="18"/>
        <item x="11"/>
        <item x="20"/>
        <item x="51"/>
        <item x="104"/>
        <item x="31"/>
        <item x="21"/>
        <item x="13"/>
        <item x="67"/>
        <item x="14"/>
        <item x="44"/>
        <item x="26"/>
        <item x="81"/>
        <item x="62"/>
        <item x="45"/>
        <item x="38"/>
        <item x="15"/>
        <item x="56"/>
        <item x="16"/>
        <item x="24"/>
        <item x="89"/>
        <item x="39"/>
        <item x="2"/>
        <item x="74"/>
        <item x="4"/>
        <item x="35"/>
        <item x="61"/>
        <item x="50"/>
        <item x="78"/>
        <item x="73"/>
        <item x="30"/>
        <item x="105"/>
        <item x="19"/>
        <item x="66"/>
        <item x="17"/>
        <item x="109"/>
        <item x="49"/>
        <item x="54"/>
        <item x="34"/>
        <item x="121"/>
        <item x="125"/>
        <item x="32"/>
        <item x="106"/>
        <item x="5"/>
        <item x="85"/>
        <item x="27"/>
        <item x="93"/>
        <item x="6"/>
        <item x="64"/>
        <item x="94"/>
        <item x="79"/>
        <item x="91"/>
        <item x="123"/>
        <item x="128"/>
        <item x="102"/>
        <item x="122"/>
        <item x="119"/>
        <item x="43"/>
        <item x="149"/>
        <item x="52"/>
        <item x="140"/>
        <item x="120"/>
        <item x="184"/>
        <item x="136"/>
        <item x="65"/>
        <item x="176"/>
        <item x="113"/>
        <item x="23"/>
        <item x="25"/>
        <item x="47"/>
        <item x="70"/>
        <item x="12"/>
        <item x="165"/>
        <item x="59"/>
        <item x="69"/>
        <item x="127"/>
        <item x="60"/>
        <item x="117"/>
        <item x="57"/>
        <item x="118"/>
        <item x="135"/>
        <item x="181"/>
        <item x="153"/>
        <item x="0"/>
        <item x="173"/>
        <item x="63"/>
        <item x="130"/>
        <item x="75"/>
        <item x="103"/>
        <item x="169"/>
        <item x="107"/>
        <item x="156"/>
        <item x="68"/>
        <item x="87"/>
        <item x="95"/>
        <item x="111"/>
        <item x="148"/>
        <item x="174"/>
        <item x="58"/>
        <item x="132"/>
        <item x="55"/>
        <item x="77"/>
        <item x="131"/>
        <item x="151"/>
        <item x="46"/>
        <item x="99"/>
        <item x="108"/>
        <item x="157"/>
        <item x="141"/>
        <item x="158"/>
        <item x="10"/>
        <item x="161"/>
        <item x="133"/>
        <item x="129"/>
        <item x="71"/>
        <item x="40"/>
        <item x="83"/>
        <item x="96"/>
        <item x="37"/>
        <item x="138"/>
        <item x="171"/>
        <item x="36"/>
        <item x="166"/>
        <item x="146"/>
        <item x="100"/>
        <item x="183"/>
        <item x="88"/>
        <item x="48"/>
        <item x="101"/>
        <item x="80"/>
        <item x="53"/>
        <item x="142"/>
        <item x="90"/>
        <item x="134"/>
        <item x="147"/>
        <item x="167"/>
        <item x="154"/>
        <item x="163"/>
        <item x="159"/>
        <item x="86"/>
        <item x="92"/>
        <item x="97"/>
        <item x="160"/>
        <item x="152"/>
        <item x="143"/>
        <item x="177"/>
        <item x="112"/>
        <item x="145"/>
        <item x="137"/>
        <item x="144"/>
        <item x="126"/>
        <item x="168"/>
        <item x="139"/>
        <item x="164"/>
        <item x="82"/>
        <item x="179"/>
        <item x="172"/>
        <item x="150"/>
        <item x="72"/>
        <item x="33"/>
        <item x="28"/>
        <item x="110"/>
        <item x="84"/>
        <item x="76"/>
        <item x="175"/>
        <item x="182"/>
        <item x="124"/>
        <item x="98"/>
        <item x="178"/>
        <item x="162"/>
        <item x="115"/>
        <item x="114"/>
        <item x="116"/>
        <item x="170"/>
        <item x="180"/>
        <item x="22"/>
        <item t="default"/>
      </items>
    </pivotField>
  </pivotFields>
  <rowFields count="1">
    <field x="15"/>
  </rowFields>
  <rowItems count="3">
    <i>
      <x/>
    </i>
    <i>
      <x v="1"/>
    </i>
    <i t="grand">
      <x/>
    </i>
  </rowItems>
  <colItems count="1">
    <i/>
  </colItems>
  <dataFields count="1">
    <dataField name="Sum of TOTAL PURCHASE" fld="16"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1F8EF3-31A0-4581-BEB4-322908DA1EE1}" autoFormatId="16" applyNumberFormats="0" applyBorderFormats="0" applyFontFormats="0" applyPatternFormats="0" applyAlignmentFormats="0" applyWidthHeightFormats="0">
  <queryTableRefresh nextId="28">
    <queryTableFields count="10">
      <queryTableField id="1" name="Column1" tableColumnId="1"/>
      <queryTableField id="2" name="ID" tableColumnId="2"/>
      <queryTableField id="3" name="Year_Birth" tableColumnId="3"/>
      <queryTableField id="4" name="Education" tableColumnId="4"/>
      <queryTableField id="5" name="Marital_Status" tableColumnId="5"/>
      <queryTableField id="6" name="Income" tableColumnId="6"/>
      <queryTableField id="7" name="Kidhome" tableColumnId="7"/>
      <queryTableField id="8" name="Teenhome" tableColumnId="8"/>
      <queryTableField id="9" name="Dt_Customer" tableColumnId="9"/>
      <queryTableField id="10" name="Recency" tableColumnId="10"/>
    </queryTableFields>
    <queryTableDeletedFields count="16">
      <deletedField name="Column11"/>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deletedField name="Column23"/>
      <deletedField name="Column24"/>
      <deletedField name="Column25"/>
      <deletedField name="Column26"/>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9ADD227-5CD0-4A3F-9DE0-7E33F2CDA869}" autoFormatId="16" applyNumberFormats="0" applyBorderFormats="0" applyFontFormats="0" applyPatternFormats="0" applyAlignmentFormats="0" applyWidthHeightFormats="0">
  <queryTableRefresh nextId="27">
    <queryTableFields count="6">
      <queryTableField id="1" name="Column1" tableColumnId="1"/>
      <queryTableField id="2" name="ID" tableColumnId="2"/>
      <queryTableField id="3" name="MntFruits" tableColumnId="3"/>
      <queryTableField id="4" name="MntSweetProducts" tableColumnId="4"/>
      <queryTableField id="5" name="NumWebPurchases" tableColumnId="5"/>
      <queryTableField id="6" name="NumStorePurchases" tableColumnId="6"/>
    </queryTableFields>
    <queryTableDeletedFields count="20">
      <deletedField name="Column7"/>
      <deletedField name="Column8"/>
      <deletedField name="Column9"/>
      <deletedField name="Column10"/>
      <deletedField name="Column11"/>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deletedField name="Column23"/>
      <deletedField name="Column24"/>
      <deletedField name="Column25"/>
      <deletedField name="Column26"/>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Birth" xr10:uid="{6E5F0D7A-329F-4CC2-B6D7-83831C9073B2}" sourceName="Year_Birth">
  <pivotTables>
    <pivotTable tabId="3" name="Chart1"/>
    <pivotTable tabId="3" name="Chart2"/>
    <pivotTable tabId="3" name="Chart3"/>
    <pivotTable tabId="3" name="Chart4"/>
  </pivotTables>
  <data>
    <tabular pivotCacheId="1438816499">
      <items count="59">
        <i x="49" s="1"/>
        <i x="52" s="1"/>
        <i x="48" s="1"/>
        <i x="58" s="1"/>
        <i x="55" s="1"/>
        <i x="27" s="1"/>
        <i x="56" s="1"/>
        <i x="41" s="1"/>
        <i x="15" s="1"/>
        <i x="51" s="1"/>
        <i x="37" s="1"/>
        <i x="17" s="1"/>
        <i x="9" s="1"/>
        <i x="20" s="1"/>
        <i x="13" s="1"/>
        <i x="44" s="1"/>
        <i x="1" s="1"/>
        <i x="34" s="1"/>
        <i x="46" s="1"/>
        <i x="0" s="1"/>
        <i x="38" s="1"/>
        <i x="12" s="1"/>
        <i x="40" s="1"/>
        <i x="45" s="1"/>
        <i x="43" s="1"/>
        <i x="24" s="1"/>
        <i x="31" s="1"/>
        <i x="2" s="1"/>
        <i x="35" s="1"/>
        <i x="5" s="1"/>
        <i x="30" s="1"/>
        <i x="21" s="1"/>
        <i x="25" s="1"/>
        <i x="6" s="1"/>
        <i x="39" s="1"/>
        <i x="26" s="1"/>
        <i x="8" s="1"/>
        <i x="28" s="1"/>
        <i x="11" s="1"/>
        <i x="32" s="1"/>
        <i x="33" s="1"/>
        <i x="19" s="1"/>
        <i x="16" s="1"/>
        <i x="4" s="1"/>
        <i x="18" s="1"/>
        <i x="10" s="1"/>
        <i x="3" s="1"/>
        <i x="7" s="1"/>
        <i x="22" s="1"/>
        <i x="14" s="1"/>
        <i x="36" s="1"/>
        <i x="23" s="1"/>
        <i x="50" s="1"/>
        <i x="42" s="1"/>
        <i x="47" s="1"/>
        <i x="53" s="1"/>
        <i x="54" s="1"/>
        <i x="57"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3AB7699-2C9E-4285-9A25-8F923876EA3B}" sourceName="Education">
  <pivotTables>
    <pivotTable tabId="3" name="Chart1"/>
    <pivotTable tabId="3" name="Chart2"/>
    <pivotTable tabId="3" name="Chart3"/>
    <pivotTable tabId="3" name="Chart4"/>
  </pivotTables>
  <data>
    <tabular pivotCacheId="1438816499">
      <items count="5">
        <i x="4"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7A60B0E-9E64-4C84-9531-D5075D3A67F4}" sourceName="Marital_Status">
  <pivotTables>
    <pivotTable tabId="3" name="Chart1"/>
    <pivotTable tabId="3" name="Chart2"/>
    <pivotTable tabId="3" name="Chart3"/>
    <pivotTable tabId="3" name="Chart4"/>
  </pivotTables>
  <data>
    <tabular pivotCacheId="1438816499">
      <items count="8">
        <i x="6" s="1"/>
        <i x="5" s="1"/>
        <i x="3" s="1"/>
        <i x="2" s="1"/>
        <i x="0" s="1"/>
        <i x="1" s="1"/>
        <i x="4"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D9972637-83A8-42CA-AC35-22996907C724}" sourceName="Income">
  <pivotTables>
    <pivotTable tabId="3" name="Chart1"/>
    <pivotTable tabId="3" name="Chart2"/>
    <pivotTable tabId="3" name="Chart3"/>
    <pivotTable tabId="3" name="Chart4"/>
  </pivotTables>
  <data>
    <tabular pivotCacheId="1438816499">
      <items count="1975">
        <i x="1156" s="1"/>
        <i x="21" s="1"/>
        <i x="1388" s="1"/>
        <i x="1649" s="1"/>
        <i x="1760" s="1"/>
        <i x="921" s="1"/>
        <i x="1958" s="1"/>
        <i x="9" s="1"/>
        <i x="1229" s="1"/>
        <i x="726" s="1"/>
        <i x="1614" s="1"/>
        <i x="11" s="1"/>
        <i x="976" s="1"/>
        <i x="1941" s="1"/>
        <i x="1132" s="1"/>
        <i x="1398" s="1"/>
        <i x="123" s="1"/>
        <i x="1535" s="1"/>
        <i x="361" s="1"/>
        <i x="401" s="1"/>
        <i x="29" s="1"/>
        <i x="1967" s="1"/>
        <i x="1664" s="1"/>
        <i x="1456" s="1"/>
        <i x="291" s="1"/>
        <i x="652" s="1"/>
        <i x="544" s="1"/>
        <i x="1583" s="1"/>
        <i x="589" s="1"/>
        <i x="1777" s="1"/>
        <i x="1441" s="1"/>
        <i x="456" s="1"/>
        <i x="1866" s="1"/>
        <i x="1088" s="1"/>
        <i x="375" s="1"/>
        <i x="624" s="1"/>
        <i x="1864" s="1"/>
        <i x="305" s="1"/>
        <i x="885" s="1"/>
        <i x="1952" s="1"/>
        <i x="217" s="1"/>
        <i x="962" s="1"/>
        <i x="1100" s="1"/>
        <i x="798" s="1"/>
        <i x="1916" s="1"/>
        <i x="243" s="1"/>
        <i x="525" s="1"/>
        <i x="373" s="1"/>
        <i x="913" s="1"/>
        <i x="1195" s="1"/>
        <i x="1510" s="1"/>
        <i x="1889" s="1"/>
        <i x="1577" s="1"/>
        <i x="1946" s="1"/>
        <i x="165" s="1"/>
        <i x="1038" s="1"/>
        <i x="779" s="1"/>
        <i x="1336" s="1"/>
        <i x="1050" s="1"/>
        <i x="274" s="1"/>
        <i x="1555" s="1"/>
        <i x="744" s="1"/>
        <i x="997" s="1"/>
        <i x="896" s="1"/>
        <i x="699" s="1"/>
        <i x="825" s="1"/>
        <i x="738" s="1"/>
        <i x="1907" s="1"/>
        <i x="1257" s="1"/>
        <i x="14" s="1"/>
        <i x="959" s="1"/>
        <i x="561" s="1"/>
        <i x="691" s="1"/>
        <i x="1811" s="1"/>
        <i x="1550" s="1"/>
        <i x="414" s="1"/>
        <i x="1524" s="1"/>
        <i x="1526" s="1"/>
        <i x="1248" s="1"/>
        <i x="1120" s="1"/>
        <i x="1533" s="1"/>
        <i x="1225" s="1"/>
        <i x="395" s="1"/>
        <i x="25" s="1"/>
        <i x="625" s="1"/>
        <i x="241" s="1"/>
        <i x="1545" s="1"/>
        <i x="1463" s="1"/>
        <i x="189" s="1"/>
        <i x="1242" s="1"/>
        <i x="577" s="1"/>
        <i x="679" s="1"/>
        <i x="1352" s="1"/>
        <i x="751" s="1"/>
        <i x="1895" s="1"/>
        <i x="1351" s="1"/>
        <i x="792" s="1"/>
        <i x="1469" s="1"/>
        <i x="813" s="1"/>
        <i x="111" s="1"/>
        <i x="515" s="1"/>
        <i x="1174" s="1"/>
        <i x="1393" s="1"/>
        <i x="391" s="1"/>
        <i x="358" s="1"/>
        <i x="415" s="1"/>
        <i x="954" s="1"/>
        <i x="1508" s="1"/>
        <i x="1596" s="1"/>
        <i x="737" s="1"/>
        <i x="1158" s="1"/>
        <i x="1313" s="1"/>
        <i x="444" s="1"/>
        <i x="40" s="1"/>
        <i x="734" s="1"/>
        <i x="1273" s="1"/>
        <i x="1380" s="1"/>
        <i x="1660" s="1"/>
        <i x="1721" s="1"/>
        <i x="627" s="1"/>
        <i x="1065" s="1"/>
        <i x="1062" s="1"/>
        <i x="1269" s="1"/>
        <i x="763" s="1"/>
        <i x="518" s="1"/>
        <i x="1317" s="1"/>
        <i x="818" s="1"/>
        <i x="1621" s="1"/>
        <i x="843" s="1"/>
        <i x="571" s="1"/>
        <i x="108" s="1"/>
        <i x="1586" s="1"/>
        <i x="41" s="1"/>
        <i x="313" s="1"/>
        <i x="773" s="1"/>
        <i x="252" s="1"/>
        <i x="1547" s="1"/>
        <i x="1848" s="1"/>
        <i x="1696" s="1"/>
        <i x="219" s="1"/>
        <i x="1799" s="1"/>
        <i x="1654" s="1"/>
        <i x="1000" s="1"/>
        <i x="1102" s="1"/>
        <i x="1856" s="1"/>
        <i x="520" s="1"/>
        <i x="940" s="1"/>
        <i x="1487" s="1"/>
        <i x="769" s="1"/>
        <i x="1139" s="1"/>
        <i x="1515" s="1"/>
        <i x="292" s="1"/>
        <i x="353" s="1"/>
        <i x="1042" s="1"/>
        <i x="1634" s="1"/>
        <i x="1277" s="1"/>
        <i x="1715" s="1"/>
        <i x="1473" s="1"/>
        <i x="225" s="1"/>
        <i x="506" s="1"/>
        <i x="1785" s="1"/>
        <i x="1074" s="1"/>
        <i x="1204" s="1"/>
        <i x="1342" s="1"/>
        <i x="147" s="1"/>
        <i x="1807" s="1"/>
        <i x="416" s="1"/>
        <i x="1397" s="1"/>
        <i x="374" s="1"/>
        <i x="1771" s="1"/>
        <i x="1834" s="1"/>
        <i x="1557" s="1"/>
        <i x="1516" s="1"/>
        <i x="1898" s="1"/>
        <i x="75" s="1"/>
        <i x="385" s="1"/>
        <i x="83" s="1"/>
        <i x="220" s="1"/>
        <i x="36" s="1"/>
        <i x="1091" s="1"/>
        <i x="1181" s="1"/>
        <i x="1731" s="1"/>
        <i x="1676" s="1"/>
        <i x="562" s="1"/>
        <i x="133" s="1"/>
        <i x="285" s="1"/>
        <i x="419" s="1"/>
        <i x="309" s="1"/>
        <i x="1016" s="1"/>
        <i x="1783" s="1"/>
        <i x="555" s="1"/>
        <i x="470" s="1"/>
        <i x="1525" s="1"/>
        <i x="1243" s="1"/>
        <i x="868" s="1"/>
        <i x="1966" s="1"/>
        <i x="263" s="1"/>
        <i x="1765" s="1"/>
        <i x="94" s="1"/>
        <i x="1300" s="1"/>
        <i x="1419" s="1"/>
        <i x="512" s="1"/>
        <i x="1227" s="1"/>
        <i x="826" s="1"/>
        <i x="174" s="1"/>
        <i x="930" s="1"/>
        <i x="1652" s="1"/>
        <i x="783" s="1"/>
        <i x="1880" s="1"/>
        <i x="1936" s="1"/>
        <i x="667" s="1"/>
        <i x="169" s="1"/>
        <i x="1630" s="1"/>
        <i x="507" s="1"/>
        <i x="1491" s="1"/>
        <i x="1728" s="1"/>
        <i x="875" s="1"/>
        <i x="1590" s="1"/>
        <i x="491" s="1"/>
        <i x="1151" s="1"/>
        <i x="59" s="1"/>
        <i x="771" s="1"/>
        <i x="1878" s="1"/>
        <i x="674" s="1"/>
        <i x="1053" s="1"/>
        <i x="986" s="1"/>
        <i x="623" s="1"/>
        <i x="1929" s="1"/>
        <i x="154" s="1"/>
        <i x="484" s="1"/>
        <i x="572" s="1"/>
        <i x="564" s="1"/>
        <i x="1133" s="1"/>
        <i x="1331" s="1"/>
        <i x="74" s="1"/>
        <i x="71" s="1"/>
        <i x="1931" s="1"/>
        <i x="236" s="1"/>
        <i x="656" s="1"/>
        <i x="1069" s="1"/>
        <i x="1671" s="1"/>
        <i x="3" s="1"/>
        <i x="634" s="1"/>
        <i x="1283" s="1"/>
        <i x="1969" s="1"/>
        <i x="551" s="1"/>
        <i x="838" s="1"/>
        <i x="762" s="1"/>
        <i x="575" s="1"/>
        <i x="1244" s="1"/>
        <i x="1007" s="1"/>
        <i x="1101" s="1"/>
        <i x="1191" s="1"/>
        <i x="287" s="1"/>
        <i x="1645" s="1"/>
        <i x="987" s="1"/>
        <i x="1451" s="1"/>
        <i x="516" s="1"/>
        <i x="1427" s="1"/>
        <i x="323" s="1"/>
        <i x="468" s="1"/>
        <i x="382" s="1"/>
        <i x="1417" s="1"/>
        <i x="1217" s="1"/>
        <i x="1384" s="1"/>
        <i x="1231" s="1"/>
        <i x="306" s="1"/>
        <i x="359" s="1"/>
        <i x="549" s="1"/>
        <i x="1939" s="1"/>
        <i x="1509" s="1"/>
        <i x="1025" s="1"/>
        <i x="1155" s="1"/>
        <i x="1875" s="1"/>
        <i x="1849" s="1"/>
        <i x="1847" s="1"/>
        <i x="891" s="1"/>
        <i x="52" s="1"/>
        <i x="1798" s="1"/>
        <i x="969" s="1"/>
        <i x="1337" s="1"/>
        <i x="1391" s="1"/>
        <i x="1304" s="1"/>
        <i x="168" s="1"/>
        <i x="1730" s="1"/>
        <i x="67" s="1"/>
        <i x="1460" s="1"/>
        <i x="1573" s="1"/>
        <i x="1784" s="1"/>
        <i x="1145" s="1"/>
        <i x="956" s="1"/>
        <i x="340" s="1"/>
        <i x="457" s="1"/>
        <i x="1095" s="1"/>
        <i x="1607" s="1"/>
        <i x="501" s="1"/>
        <i x="1801" s="1"/>
        <i x="961" s="1"/>
        <i x="412" s="1"/>
        <i x="156" s="1"/>
        <i x="984" s="1"/>
        <i x="593" s="1"/>
        <i x="295" s="1"/>
        <i x="1593" s="1"/>
        <i x="1821" s="1"/>
        <i x="613" s="1"/>
        <i x="628" s="1"/>
        <i x="1635" s="1"/>
        <i x="534" s="1"/>
        <i x="256" s="1"/>
        <i x="1894" s="1"/>
        <i x="77" s="1"/>
        <i x="1744" s="1"/>
        <i x="1722" s="1"/>
        <i x="349" s="1"/>
        <i x="190" s="1"/>
        <i x="275" s="1"/>
        <i x="1901" s="1"/>
        <i x="73" s="1"/>
        <i x="1280" s="1"/>
        <i x="1698" s="1"/>
        <i x="234" s="1"/>
        <i x="308" s="1"/>
        <i x="407" s="1"/>
        <i x="1031" s="1"/>
        <i x="566" s="1"/>
        <i x="1650" s="1"/>
        <i x="84" s="1"/>
        <i x="947" s="1"/>
        <i x="1800" s="1"/>
        <i x="354" s="1"/>
        <i x="1684" s="1"/>
        <i x="8" s="1"/>
        <i x="1787" s="1"/>
        <i x="327" s="1"/>
        <i x="1407" s="1"/>
        <i x="1682" s="1"/>
        <i x="735" s="1"/>
        <i x="167" s="1"/>
        <i x="379" s="1"/>
        <i x="583" s="1"/>
        <i x="145" s="1"/>
        <i x="1669" s="1"/>
        <i x="815" s="1"/>
        <i x="1478" s="1"/>
        <i x="487" s="1"/>
        <i x="266" s="1"/>
        <i x="316" s="1"/>
        <i x="207" s="1"/>
        <i x="107" s="1"/>
        <i x="768" s="1"/>
        <i x="573" s="1"/>
        <i x="356" s="1"/>
        <i x="1853" s="1"/>
        <i x="298" s="1"/>
        <i x="801" s="1"/>
        <i x="238" s="1"/>
        <i x="1408" s="1"/>
        <i x="112" s="1"/>
        <i x="968" s="1"/>
        <i x="1312" s="1"/>
        <i x="565" s="1"/>
        <i x="1690" s="1"/>
        <i x="233" s="1"/>
        <i x="1308" s="1"/>
        <i x="179" s="1"/>
        <i x="1764" s="1"/>
        <i x="376" s="1"/>
        <i x="1171" s="1"/>
        <i x="1105" s="1"/>
        <i x="1703" s="1"/>
        <i x="1917" s="1"/>
        <i x="736" s="1"/>
        <i x="1044" s="1"/>
        <i x="344" s="1"/>
        <i x="715" s="1"/>
        <i x="585" s="1"/>
        <i x="228" s="1"/>
        <i x="1841" s="1"/>
        <i x="254" s="1"/>
        <i x="835" s="1"/>
        <i x="1416" s="1"/>
        <i x="1710" s="1"/>
        <i x="437" s="1"/>
        <i x="1307" s="1"/>
        <i x="1402" s="1"/>
        <i x="411" s="1"/>
        <i x="1951" s="1"/>
        <i x="1908" s="1"/>
        <i x="963" s="1"/>
        <i x="596" s="1"/>
        <i x="451" s="1"/>
        <i x="953" s="1"/>
        <i x="170" s="1"/>
        <i x="1643" s="1"/>
        <i x="271" s="1"/>
        <i x="60" s="1"/>
        <i x="110" s="1"/>
        <i x="1625" s="1"/>
        <i x="1761" s="1"/>
        <i x="1781" s="1"/>
        <i x="1329" s="1"/>
        <i x="1806" s="1"/>
        <i x="1829" s="1"/>
        <i x="492" s="1"/>
        <i x="1667" s="1"/>
        <i x="876" s="1"/>
        <i x="1365" s="1"/>
        <i x="527" s="1"/>
        <i x="1677" s="1"/>
        <i x="979" s="1"/>
        <i x="559" s="1"/>
        <i x="328" s="1"/>
        <i x="434" s="1"/>
        <i x="1512" s="1"/>
        <i x="1701" s="1"/>
        <i x="669" s="1"/>
        <i x="1786" s="1"/>
        <i x="1255" s="1"/>
        <i x="257" s="1"/>
        <i x="1315" s="1"/>
        <i x="1063" s="1"/>
        <i x="1136" s="1"/>
        <i x="1093" s="1"/>
        <i x="7" s="1"/>
        <i x="155" s="1"/>
        <i x="922" s="1"/>
        <i x="908" s="1"/>
        <i x="1962" s="1"/>
        <i x="958" s="1"/>
        <i x="1040" s="1"/>
        <i x="357" s="1"/>
        <i x="980" s="1"/>
        <i x="1886" s="1"/>
        <i x="725" s="1"/>
        <i x="1130" s="1"/>
        <i x="701" s="1"/>
        <i x="124" s="1"/>
        <i x="19" s="1"/>
        <i x="1458" s="1"/>
        <i x="1192" s="1"/>
        <i x="310" s="1"/>
        <i x="790" s="1"/>
        <i x="1200" s="1"/>
        <i x="948" s="1"/>
        <i x="1606" s="1"/>
        <i x="1854" s="1"/>
        <i x="138" s="1"/>
        <i x="1489" s="1"/>
        <i x="1709" s="1"/>
        <i x="1727" s="1"/>
        <i x="213" s="1"/>
        <i x="1842" s="1"/>
        <i x="1131" s="1"/>
        <i x="1343" s="1"/>
        <i x="1296" s="1"/>
        <i x="300" s="1"/>
        <i x="1795" s="1"/>
        <i x="866" s="1"/>
        <i x="592" s="1"/>
        <i x="1733" s="1"/>
        <i x="90" s="1"/>
        <i x="1301" s="1"/>
        <i x="1872" s="1"/>
        <i x="909" s="1"/>
        <i x="1600" s="1"/>
        <i x="1432" s="1"/>
        <i x="1344" s="1"/>
        <i x="978" s="1"/>
        <i x="1668" s="1"/>
        <i x="655" s="1"/>
        <i x="754" s="1"/>
        <i x="1310" s="1"/>
        <i x="1498" s="1"/>
        <i x="475" s="1"/>
        <i x="694" s="1"/>
        <i x="955" s="1"/>
        <i x="1438" s="1"/>
        <i x="1724" s="1"/>
        <i x="312" s="1"/>
        <i x="982" s="1"/>
        <i x="281" s="1"/>
        <i x="1085" s="1"/>
        <i x="928" s="1"/>
        <i x="277" s="1"/>
        <i x="270" s="1"/>
        <i x="784" s="1"/>
        <i x="712" s="1"/>
        <i x="1492" s="1"/>
        <i x="857" s="1"/>
        <i x="664" s="1"/>
        <i x="347" s="1"/>
        <i x="135" s="1"/>
        <i x="1702" s="1"/>
        <i x="918" s="1"/>
        <i x="1363" s="1"/>
        <i x="1896" s="1"/>
        <i x="47" s="1"/>
        <i x="580" s="1"/>
        <i x="827" s="1"/>
        <i x="125" s="1"/>
        <i x="1238" s="1"/>
        <i x="1949" s="1"/>
        <i x="1479" s="1"/>
        <i x="685" s="1"/>
        <i x="1299" s="1"/>
        <i x="1708" s="1"/>
        <i x="1737" s="1"/>
        <i x="1603" s="1"/>
        <i x="1444" s="1"/>
        <i x="942" s="1"/>
        <i x="78" s="1"/>
        <i x="360" s="1"/>
        <i x="637" s="1"/>
        <i x="423" s="1"/>
        <i x="1041" s="1"/>
        <i x="1609" s="1"/>
        <i x="733" s="1"/>
        <i x="1470" s="1"/>
        <i x="1122" s="1"/>
        <i x="1316" s="1"/>
        <i x="483" s="1"/>
        <i x="106" s="1"/>
        <i x="828" s="1"/>
        <i x="1493" s="1"/>
        <i x="176" s="1"/>
        <i x="1446" s="1"/>
        <i x="1011" s="1"/>
        <i x="1503" s="1"/>
        <i x="944" s="1"/>
        <i x="1058" s="1"/>
        <i x="1763" s="1"/>
        <i x="1797" s="1"/>
        <i x="1588" s="1"/>
        <i x="1959" s="1"/>
        <i x="1287" s="1"/>
        <i x="126" s="1"/>
        <i x="1832" s="1"/>
        <i x="941" s="1"/>
        <i x="1289" s="1"/>
        <i x="1292" s="1"/>
        <i x="541" s="1"/>
        <i x="587" s="1"/>
        <i x="1897" s="1"/>
        <i x="20" s="1"/>
        <i x="1414" s="1"/>
        <i x="214" s="1"/>
        <i x="1945" s="1"/>
        <i x="842" s="1"/>
        <i x="972" s="1"/>
        <i x="1823" s="1"/>
        <i x="1061" s="1"/>
        <i x="1220" s="1"/>
        <i x="1560" s="1"/>
        <i x="1410" s="1"/>
        <i x="1568" s="1"/>
        <i x="970" s="1"/>
        <i x="1183" s="1"/>
        <i x="1146" s="1"/>
        <i x="394" s="1"/>
        <i x="441" s="1"/>
        <i x="1879" s="1"/>
        <i x="1189" s="1"/>
        <i x="1387" s="1"/>
        <i x="1286" s="1"/>
        <i x="246" s="1"/>
        <i x="806" s="1"/>
        <i x="17" s="1"/>
        <i x="1224" s="1"/>
        <i x="1383" s="1"/>
        <i x="777" s="1"/>
        <i x="1504" s="1"/>
        <i x="1262" s="1"/>
        <i x="1956" s="1"/>
        <i x="250" s="1"/>
        <i x="1252" s="1"/>
        <i x="1536" s="1"/>
        <i x="248" s="1"/>
        <i x="949" s="1"/>
        <i x="1143" s="1"/>
        <i x="536" s="1"/>
        <i x="1428" s="1"/>
        <i x="1514" s="1"/>
        <i x="1762" s="1"/>
        <i x="163" s="1"/>
        <i x="27" s="1"/>
        <i x="272" s="1"/>
        <i x="1333" s="1"/>
        <i x="443" s="1"/>
        <i x="538" s="1"/>
        <i x="1141" s="1"/>
        <i x="1029" s="1"/>
        <i x="1554" s="1"/>
        <i x="134" s="1"/>
        <i x="97" s="1"/>
        <i x="804" s="1"/>
        <i x="351" s="1"/>
        <i x="216" s="1"/>
        <i x="539" s="1"/>
        <i x="30" s="1"/>
        <i x="334" s="1"/>
        <i x="1817" s="1"/>
        <i x="809" s="1"/>
        <i x="696" s="1"/>
        <i x="1580" s="1"/>
        <i x="1306" s="1"/>
        <i x="1179" s="1"/>
        <i x="364" s="1"/>
        <i x="711" s="1"/>
        <i x="162" s="1"/>
        <i x="177" s="1"/>
        <i x="1278" s="1"/>
        <i x="642" s="1"/>
        <i x="450" s="1"/>
        <i x="426" s="1"/>
        <i x="975" s="1"/>
        <i x="1758" s="1"/>
        <i x="1793" s="1"/>
        <i x="1020" s="1"/>
        <i x="1483" s="1"/>
        <i x="1167" s="1"/>
        <i x="1594" s="1"/>
        <i x="550" s="1"/>
        <i x="517" s="1"/>
        <i x="1047" s="1"/>
        <i x="1239" s="1"/>
        <i x="477" s="1"/>
        <i x="556" s="1"/>
        <i x="1004" s="1"/>
        <i x="284" s="1"/>
        <i x="1579" s="1"/>
        <i x="1190" s="1"/>
        <i x="889" s="1"/>
        <i x="1774" s="1"/>
        <i x="865" s="1"/>
        <i x="1347" s="1"/>
        <i x="823" s="1"/>
        <i x="1282" s="1"/>
        <i x="791" s="1"/>
        <i x="1813" s="1"/>
        <i x="1960" s="1"/>
        <i x="1135" s="1"/>
        <i x="904" s="1"/>
        <i x="68" s="1"/>
        <i x="1328" s="1"/>
        <i x="296" s="1"/>
        <i x="1082" s="1"/>
        <i x="1436" s="1"/>
        <i x="1121" s="1"/>
        <i x="303" s="1"/>
        <i x="1013" s="1"/>
        <i x="1157" s="1"/>
        <i x="31" s="1"/>
        <i x="1892" s="1"/>
        <i x="188" s="1"/>
        <i x="710" s="1"/>
        <i x="24" s="1"/>
        <i x="912" s="1"/>
        <i x="242" s="1"/>
        <i x="728" s="1"/>
        <i x="741" s="1"/>
        <i x="1759" s="1"/>
        <i x="1184" s="1"/>
        <i x="1938" s="1"/>
        <i x="1750" s="1"/>
        <i x="1468" s="1"/>
        <i x="1009" s="1"/>
        <i x="1349" s="1"/>
        <i x="903" s="1"/>
        <i x="641" s="1"/>
        <i x="1578" s="1"/>
        <i x="449" s="1"/>
        <i x="1340" s="1"/>
        <i x="1543" s="1"/>
        <i x="1902" s="1"/>
        <i x="663" s="1"/>
        <i x="320" s="1"/>
        <i x="1530" s="1"/>
        <i x="199" s="1"/>
        <i x="727" s="1"/>
        <i x="1501" s="1"/>
        <i x="121" s="1"/>
        <i x="1639" s="1"/>
        <i x="1789" s="1"/>
        <i x="446" s="1"/>
        <i x="1279" s="1"/>
        <i x="1909" s="1"/>
        <i x="43" s="1"/>
        <i x="1954" s="1"/>
        <i x="16" s="1"/>
        <i x="131" s="1"/>
        <i x="1920" s="1"/>
        <i x="1144" s="1"/>
        <i x="995" s="1"/>
        <i x="209" s="1"/>
        <i x="1370" s="1"/>
        <i x="931" s="1"/>
        <i x="1528" s="1"/>
        <i x="1688" s="1"/>
        <i x="1128" s="1"/>
        <i x="1066" s="1"/>
        <i x="563" s="1"/>
        <i x="1839" s="1"/>
        <i x="428" s="1"/>
        <i x="1123" s="1"/>
        <i x="1518" s="1"/>
        <i x="832" s="1"/>
        <i x="651" s="1"/>
        <i x="378" s="1"/>
        <i x="278" s="1"/>
        <i x="404" s="1"/>
        <i x="82" s="1"/>
        <i x="819" s="1"/>
        <i x="1566" s="1"/>
        <i x="37" s="1"/>
        <i x="1597" s="1"/>
        <i x="1314" s="1"/>
        <i x="1837" s="1"/>
        <i x="989" s="1"/>
        <i x="739" s="1"/>
        <i x="1556" s="1"/>
        <i x="861" s="1"/>
        <i x="417" s="1"/>
        <i x="1592" s="1"/>
        <i x="290" s="1"/>
        <i x="489" s="1"/>
        <i x="1054" s="1"/>
        <i x="509" s="1"/>
        <i x="724" s="1"/>
        <i x="1471" s="1"/>
        <i x="894" s="1"/>
        <i x="1904" s="1"/>
        <i x="822" s="1"/>
        <i x="1360" s="1"/>
        <i x="1197" s="1"/>
        <i x="1873" s="1"/>
        <i x="1824" s="1"/>
        <i x="1196" s="1"/>
        <i x="452" s="1"/>
        <i x="1098" s="1"/>
        <i x="1294" s="1"/>
        <i x="665" s="1"/>
        <i x="1241" s="1"/>
        <i x="1305" s="1"/>
        <i x="1330" s="1"/>
        <i x="1942" s="1"/>
        <i x="812" s="1"/>
        <i x="522" s="1"/>
        <i x="150" s="1"/>
        <i x="1881" s="1"/>
        <i x="1500" s="1"/>
        <i x="508" s="1"/>
        <i x="1111" s="1"/>
        <i x="247" s="1"/>
        <i x="740" s="1"/>
        <i x="362" s="1"/>
        <i x="1802" s="1"/>
        <i x="372" s="1"/>
        <i x="103" s="1"/>
        <i x="910" s="1"/>
        <i x="893" s="1"/>
        <i x="1477" s="1"/>
        <i x="481" s="1"/>
        <i x="1685" s="1"/>
        <i x="245" s="1"/>
        <i x="1150" s="1"/>
        <i x="1205" s="1"/>
        <i x="325" s="1"/>
        <i x="265" s="1"/>
        <i x="1421" s="1"/>
        <i x="1930" s="1"/>
        <i x="1749" s="1"/>
        <i x="1079" s="1"/>
        <i x="196" s="1"/>
        <i x="1548" s="1"/>
        <i x="1103" s="1"/>
        <i x="1142" s="1"/>
        <i x="1673" s="1"/>
        <i x="1288" s="1"/>
        <i x="1450" s="1"/>
        <i x="983" s="1"/>
        <i x="202" s="1"/>
        <i x="808" s="1"/>
        <i x="1627" s="1"/>
        <i x="1613" s="1"/>
        <i x="192" s="1"/>
        <i x="1968" s="1"/>
        <i x="1636" s="1"/>
        <i x="503" s="1"/>
        <i x="1871" s="1"/>
        <i x="1275" s="1"/>
        <i x="537" s="1"/>
        <i x="576" s="1"/>
        <i x="1822" s="1"/>
        <i x="626" s="1"/>
        <i x="687" s="1"/>
        <i x="1214" s="1"/>
        <i x="1953" s="1"/>
        <i x="676" s="1"/>
        <i x="747" s="1"/>
        <i x="1429" s="1"/>
        <i x="204" s="1"/>
        <i x="547" s="1"/>
        <i x="1228" s="1"/>
        <i x="1569" s="1"/>
        <i x="1175" s="1"/>
        <i x="851" s="1"/>
        <i x="1699" s="1"/>
        <i x="1874" s="1"/>
        <i x="173" s="1"/>
        <i x="579" s="1"/>
        <i x="788" s="1"/>
        <i x="1106" s="1"/>
        <i x="1435" s="1"/>
        <i x="605" s="1"/>
        <i x="853" s="1"/>
        <i x="657" s="1"/>
        <i x="240" s="1"/>
        <i x="197" s="1"/>
        <i x="863" s="1"/>
        <i x="1075" s="1"/>
        <i x="1325" s="1"/>
        <i x="936" s="1"/>
        <i x="1219" s="1"/>
        <i x="194" s="1"/>
        <i x="352" s="1"/>
        <i x="598" s="1"/>
        <i x="895" s="1"/>
        <i x="873" s="1"/>
        <i x="1186" s="1"/>
        <i x="831" s="1"/>
        <i x="459" s="1"/>
        <i x="1" s="1"/>
        <i x="802" s="1"/>
        <i x="283" s="1"/>
        <i x="1271" s="1"/>
        <i x="971" s="1"/>
        <i x="607" s="1"/>
        <i x="746" s="1"/>
        <i x="32" s="1"/>
        <i x="338" s="1"/>
        <i x="1222" s="1"/>
        <i x="620" s="1"/>
        <i x="1617" s="1"/>
        <i x="1375" s="1"/>
        <i x="920" s="1"/>
        <i x="1193" s="1"/>
        <i x="183" s="1"/>
        <i x="720" s="1"/>
        <i x="1601" s="1"/>
        <i x="1559" s="1"/>
        <i x="388" s="1"/>
        <i x="1049" s="1"/>
        <i x="753" s="1"/>
        <i x="1745" s="1"/>
        <i x="1218" s="1"/>
        <i x="301" s="1"/>
        <i x="1467" s="1"/>
        <i x="1172" s="1"/>
        <i x="1415" s="1"/>
        <i x="1914" s="1"/>
        <i x="502" s="1"/>
        <i x="1092" s="1"/>
        <i x="545" s="1"/>
        <i x="653" s="1"/>
        <i x="497" s="1"/>
        <i x="535" s="1"/>
        <i x="973" s="1"/>
        <i x="1641" s="1"/>
        <i x="1589" s="1"/>
        <i x="548" s="1"/>
        <i x="89" s="1"/>
        <i x="514" s="1"/>
        <i x="852" s="1"/>
        <i x="85" s="1"/>
        <i x="1422" s="1"/>
        <i x="381" s="1"/>
        <i x="1097" s="1"/>
        <i x="1868" s="1"/>
        <i x="348" s="1"/>
        <i x="1638" s="1"/>
        <i x="756" s="1"/>
        <i x="1803" s="1"/>
        <i x="578" s="1"/>
        <i x="469" s="1"/>
        <i x="1443" s="1"/>
        <i x="1046" s="1"/>
        <i x="398" s="1"/>
        <i x="1858" s="1"/>
        <i x="191" s="1"/>
        <i x="717" s="1"/>
        <i x="1232" s="1"/>
        <i x="695" s="1"/>
        <i x="781" s="1"/>
        <i x="1833" s="1"/>
        <i x="531" s="1"/>
        <i x="1751" s="1"/>
        <i x="1267" s="1"/>
        <i x="1198" s="1"/>
        <i x="479" s="1"/>
        <i x="38" s="1"/>
        <i x="1084" s="1"/>
        <i x="1522" s="1"/>
        <i x="1602" s="1"/>
        <i x="95" s="1"/>
        <i x="1188" s="1"/>
        <i x="496" s="1"/>
        <i x="1693" s="1"/>
        <i x="799" s="1"/>
        <i x="946" s="1"/>
        <i x="439" s="1"/>
        <i x="34" s="1"/>
        <i x="1517" s="1"/>
        <i x="616" s="1"/>
        <i x="1338" s="1"/>
        <i x="786" s="1"/>
        <i x="393" s="1"/>
        <i x="810" s="1"/>
        <i x="1511" s="1"/>
        <i x="1905" s="1"/>
        <i x="136" s="1"/>
        <i x="570" s="1"/>
        <i x="1675" s="1"/>
        <i x="1372" s="1"/>
        <i x="1057" s="1"/>
        <i x="1060" s="1"/>
        <i x="757" s="1"/>
        <i x="1819" s="1"/>
        <i x="1358" s="1"/>
        <i x="1808" s="1"/>
        <i x="141" s="1"/>
        <i x="797" s="1"/>
        <i x="1475" s="1"/>
        <i x="1008" s="1"/>
        <i x="1883" s="1"/>
        <i x="1240" s="1"/>
        <i x="88" s="1"/>
        <i x="905" s="1"/>
        <i x="1208" s="1"/>
        <i x="671" s="1"/>
        <i x="429" s="1"/>
        <i x="1495" s="1"/>
        <i x="494" s="1"/>
        <i x="1624" s="1"/>
        <i x="79" s="1"/>
        <i x="384" s="1"/>
        <i x="157" s="1"/>
        <i x="1944" s="1"/>
        <i x="433" s="1"/>
        <i x="1265" s="1"/>
        <i x="649" s="1"/>
        <i x="615" s="1"/>
        <i x="1464" s="1"/>
        <i x="1339" s="1"/>
        <i x="1497" s="1"/>
        <i x="335" s="1"/>
        <i x="104" s="1"/>
        <i x="1033" s="1"/>
        <i x="268" s="1"/>
        <i x="408" s="1"/>
        <i x="1119" s="1"/>
        <i x="369" s="1"/>
        <i x="1284" s="1"/>
        <i x="829" s="1"/>
        <i x="730" s="1"/>
        <i x="1738" s="1"/>
        <i x="178" s="1"/>
        <i x="833" s="1"/>
        <i x="1454" s="1"/>
        <i x="745" s="1"/>
        <i x="543" s="1"/>
        <i x="1298" s="1"/>
        <i x="210" s="1"/>
        <i x="1770" s="1"/>
        <i x="836" s="1"/>
        <i x="1405" s="1"/>
        <i x="1117" s="1"/>
        <i x="341" s="1"/>
        <i x="704" s="1"/>
        <i x="410" s="1"/>
        <i x="211" s="1"/>
        <i x="886" s="1"/>
        <i x="1576" s="1"/>
        <i x="164" s="1"/>
        <i x="1850" s="1"/>
        <i x="1462" s="1"/>
        <i x="1381" s="1"/>
        <i x="86" s="1"/>
        <i x="1320" s="1"/>
        <i x="1236" s="1"/>
        <i x="1406" s="1"/>
        <i x="1045" s="1"/>
        <i x="159" s="1"/>
        <i x="1538" s="1"/>
        <i x="532" s="1"/>
        <i x="892" s="1"/>
        <i x="200" s="1"/>
        <i x="1259" s="1"/>
        <i x="856" s="1"/>
        <i x="152" s="1"/>
        <i x="96" s="1"/>
        <i x="1629" s="1"/>
        <i x="1194" s="1"/>
        <i x="1442" s="1"/>
        <i x="902" s="1"/>
        <i x="346" s="1"/>
        <i x="765" s="1"/>
        <i x="935" s="1"/>
        <i x="1322" s="1"/>
        <i x="1472" s="1"/>
        <i x="1974" s="1"/>
        <i x="1928" s="1"/>
        <i x="1461" s="1"/>
        <i x="1258" s="1"/>
        <i x="1395" s="1"/>
        <i x="919" s="1"/>
        <i x="1825" s="1"/>
        <i x="814" s="1"/>
        <i x="1030" s="1"/>
        <i x="1768" s="1"/>
        <i x="1863" s="1"/>
        <i x="1882" s="1"/>
        <i x="1932" s="1"/>
        <i x="1369" s="1"/>
        <i x="990" s="1"/>
        <i x="26" s="1"/>
        <i x="1855" s="1"/>
        <i x="1366" s="1"/>
        <i x="1173" s="1"/>
        <i x="158" s="1"/>
        <i x="686" s="1"/>
        <i x="472" s="1"/>
        <i x="898" s="1"/>
        <i x="1276" s="1"/>
        <i x="438" s="1"/>
        <i x="1447" s="1"/>
        <i x="386" s="1"/>
        <i x="554" s="1"/>
        <i x="1377" s="1"/>
        <i x="1662" s="1"/>
        <i x="511" s="1"/>
        <i x="1452" s="1"/>
        <i x="1371" s="1"/>
        <i x="1631" s="1"/>
        <i x="1303" s="1"/>
        <i x="845" s="1"/>
        <i x="582" s="1"/>
        <i x="952" s="1"/>
        <i x="81" s="1"/>
        <i x="1073" s="1"/>
        <i x="294" s="1"/>
        <i x="1028" s="1"/>
        <i x="1540" s="1"/>
        <i x="1015" s="1"/>
        <i x="900" s="1"/>
        <i x="1860" s="1"/>
        <i x="1272" s="1"/>
        <i x="116" s="1"/>
        <i x="1726" s="1"/>
        <i x="1094" s="1"/>
        <i x="1465" s="1"/>
        <i x="307" s="1"/>
        <i x="1067" s="1"/>
        <i x="584" s="1"/>
        <i x="1037" s="1"/>
        <i x="1466" s="1"/>
        <i x="1843" s="1"/>
        <i x="546" s="1"/>
        <i x="629" s="1"/>
        <i x="1637" s="1"/>
        <i x="1140" s="1"/>
        <i x="906" s="1"/>
        <i x="342" s="1"/>
        <i x="1115" s="1"/>
        <i x="523" s="1"/>
        <i x="1099" s="1"/>
        <i x="1565" s="1"/>
        <i x="1725" s="1"/>
        <i x="1534" s="1"/>
        <i x="1164" s="1"/>
        <i x="321" s="1"/>
        <i x="879" s="1"/>
        <i x="1148" s="1"/>
        <i x="668" s="1"/>
        <i x="839" s="1"/>
        <i x="759" s="1"/>
        <i x="609" s="1"/>
        <i x="796" s="1"/>
        <i x="805" s="1"/>
        <i x="143" s="1"/>
        <i x="780" s="1"/>
        <i x="1549" s="1"/>
        <i x="1459" s="1"/>
        <i x="1425" s="1"/>
        <i x="380" s="1"/>
        <i x="464" s="1"/>
        <i x="1943" s="1"/>
        <i x="462" s="1"/>
        <i x="6" s="1"/>
        <i x="1757" s="1"/>
        <i x="420" s="1"/>
        <i x="1382" s="1"/>
        <i x="1567" s="1"/>
        <i x="1830" s="1"/>
        <i x="447" s="1"/>
        <i x="1812" s="1"/>
        <i x="276" s="1"/>
        <i x="53" s="1"/>
        <i x="1177" s="1"/>
        <i x="72" s="1"/>
        <i x="882" s="1"/>
        <i x="109" s="1"/>
        <i x="600" s="1"/>
        <i x="413" s="1"/>
        <i x="1266" s="1"/>
        <i x="1268" s="1"/>
        <i x="621" s="1"/>
        <i x="960" s="1"/>
        <i x="939" s="1"/>
        <i x="1481" s="1"/>
        <i x="1520" s="1"/>
        <i x="1486" s="1"/>
        <i x="1780" s="1"/>
        <i x="782" s="1"/>
        <i x="789" s="1"/>
        <i x="1076" s="1"/>
        <i x="1127" s="1"/>
        <i x="1026" s="1"/>
        <i x="422" s="1"/>
        <i x="758" s="1"/>
        <i x="442" s="1"/>
        <i x="1739" s="1"/>
        <i x="683" s="1"/>
        <i x="1972" s="1"/>
        <i x="1394" s="1"/>
        <i x="1291" s="1"/>
        <i x="1350" s="1"/>
        <i x="774" s="1"/>
        <i x="847" s="1"/>
        <i x="1707" s="1"/>
        <i x="1769" s="1"/>
        <i x="1374" s="1"/>
        <i x="1180" s="1"/>
        <i x="1021" s="1"/>
        <i x="505" s="1"/>
        <i x="101" s="1"/>
        <i x="1078" s="1"/>
        <i x="1642" s="1"/>
        <i x="1264" s="1"/>
        <i x="1270" s="1"/>
        <i x="1070" s="1"/>
        <i x="1411" s="1"/>
        <i x="1297" s="1"/>
        <i x="1963" s="1"/>
        <i x="1651" s="1"/>
        <i x="1947" s="1"/>
        <i x="1068" s="1"/>
        <i x="1201" s="1"/>
        <i x="1362" s="1"/>
        <i x="811" s="1"/>
        <i x="280" s="1"/>
        <i x="887" s="1"/>
        <i x="499" s="1"/>
        <i x="1335" s="1"/>
        <i x="421" s="1"/>
        <i x="1965" s="1"/>
        <i x="1961" s="1"/>
        <i x="1571" s="1"/>
        <i x="1116" s="1"/>
        <i x="1772" s="1"/>
        <i x="0" s="1"/>
        <i x="1659" s="1"/>
        <i x="1870" s="1"/>
        <i x="4" s="1"/>
        <i x="461" s="1"/>
        <i x="622" s="1"/>
        <i x="1521" s="1"/>
        <i x="670" s="1"/>
        <i x="1109" s="1"/>
        <i x="1910" s="1"/>
        <i x="1484" s="1"/>
        <i x="709" s="1"/>
        <i x="1256" s="1"/>
        <i x="1622" s="1"/>
        <i x="1389" s="1"/>
        <i x="22" s="1"/>
        <i x="1767" s="1"/>
        <i x="1537" s="1"/>
        <i x="1485" s="1"/>
        <i x="1891" s="1"/>
        <i x="675" s="1"/>
        <i x="282" s="1"/>
        <i x="848" s="1"/>
        <i x="899" s="1"/>
        <i x="914" s="1"/>
        <i x="1216" s="1"/>
        <i x="1152" s="1"/>
        <i x="678" s="1"/>
        <i x="1114" s="1"/>
        <i x="1401" s="1"/>
        <i x="631" s="1"/>
        <i x="322" s="1"/>
        <i x="630" s="1"/>
        <i x="13" s="1"/>
        <i x="1612" s="1"/>
        <i x="950" s="1"/>
        <i x="463" s="1"/>
        <i x="1836" s="1"/>
        <i x="1584" s="1"/>
        <i x="1080" s="1"/>
        <i x="1260" s="1"/>
        <i x="760" s="1"/>
        <i x="1911" s="1"/>
        <i x="897" s="1"/>
        <i x="132" s="1"/>
        <i x="1474" s="1"/>
        <i x="1211" s="1"/>
        <i x="1348" s="1"/>
        <i x="1003" s="1"/>
        <i x="560" s="1"/>
        <i x="333" s="1"/>
        <i x="1199" s="1"/>
        <i x="455" s="1"/>
        <i x="478" s="1"/>
        <i x="749" s="1"/>
        <i x="222" s="1"/>
        <i x="142" s="1"/>
        <i x="1674" s="1"/>
        <i x="1666" s="1"/>
        <i x="1546" s="1"/>
        <i x="1455" s="1"/>
        <i x="803" s="1"/>
        <i x="1431" s="1"/>
        <i x="1700" s="1"/>
        <i x="519" s="1"/>
        <i x="1285" s="1"/>
        <i x="880" s="1"/>
        <i x="1359" s="1"/>
        <i x="431" s="1"/>
        <i x="66" s="1"/>
        <i x="1816" s="1"/>
        <i x="259" s="1"/>
        <i x="1604" s="1"/>
        <i x="1207" s="1"/>
        <i x="1912" s="1"/>
        <i x="1814" s="1"/>
        <i x="1923" s="1"/>
        <i x="139" s="1"/>
        <i x="1950" s="1"/>
        <i x="1532" s="1"/>
        <i x="227" s="1"/>
        <i x="974" s="1"/>
        <i x="650" s="1"/>
        <i x="1971" s="1"/>
        <i x="476" s="1"/>
        <i x="618" s="1"/>
        <i x="1138" s="1"/>
        <i x="171" s="1"/>
        <i x="402" s="1"/>
        <i x="119" s="1"/>
        <i x="820" s="1"/>
        <i x="1818" s="1"/>
        <i x="440" s="1"/>
        <i x="569" s="1"/>
        <i x="1437" s="1"/>
        <i x="1129" s="1"/>
        <i x="795" s="1"/>
        <i x="1691" s="1"/>
        <i x="1523" s="1"/>
        <i x="553" s="1"/>
        <i x="1742" s="1"/>
        <i x="56" s="1"/>
        <i x="1022" s="1"/>
        <i x="495" s="1"/>
        <i x="752" s="1"/>
        <i x="255" s="1"/>
        <i x="1719" s="1"/>
        <i x="654" s="1"/>
        <i x="542" s="1"/>
        <i x="1104" s="1"/>
        <i x="448" s="1"/>
        <i x="721" s="1"/>
        <i x="1245" s="1"/>
        <i x="1253" s="1"/>
        <i x="304" s="1"/>
        <i x="314" s="1"/>
        <i x="708" s="1"/>
        <i x="1110" s="1"/>
        <i x="1527" s="1"/>
        <i x="817" s="1"/>
        <i x="530" s="1"/>
        <i x="367" s="1"/>
        <i x="445" s="1"/>
        <i x="5" s="1"/>
        <i x="1608" s="1"/>
        <i x="151" s="1"/>
        <i x="1626" s="1"/>
        <i x="1893" s="1"/>
        <i x="1494" s="1"/>
        <i x="1718" s="1"/>
        <i x="1083" s="1"/>
        <i x="218" s="1"/>
        <i x="1683" s="1"/>
        <i x="567" s="1"/>
        <i x="859" s="1"/>
        <i x="993" s="1"/>
        <i x="742" s="1"/>
        <i x="604" s="1"/>
        <i x="692" s="1"/>
        <i x="1582" s="1"/>
        <i x="1165" s="1"/>
        <i x="122" s="1"/>
        <i x="1913" s="1"/>
        <i x="118" s="1"/>
        <i x="12" s="1"/>
        <i x="601" s="1"/>
        <i x="1616" s="1"/>
        <i x="1373" s="1"/>
        <i x="1619" s="1"/>
        <i x="1735" s="1"/>
        <i x="1502" s="1"/>
        <i x="1064" s="1"/>
        <i x="239" s="1"/>
        <i x="363" s="1"/>
        <i x="1610" s="1"/>
        <i x="1903" s="1"/>
        <i x="702" s="1"/>
        <i x="1788" s="1"/>
        <i x="186" s="1"/>
        <i x="1964" s="1"/>
        <i x="350" s="1"/>
        <i x="262" s="1"/>
        <i x="707" s="1"/>
        <i x="208" s="1"/>
        <i x="1281" s="1"/>
        <i x="1413" s="1"/>
        <i x="1628" s="1"/>
        <i x="1423" s="1"/>
        <i x="1051" s="1"/>
        <i x="1356" s="1"/>
        <i x="840" s="1"/>
        <i x="289" s="1"/>
        <i x="693" s="1"/>
        <i x="1480" s="1"/>
        <i x="999" s="1"/>
        <i x="1178" s="1"/>
        <i x="1656" s="1"/>
        <i x="302" s="1"/>
        <i x="471" s="1"/>
        <i x="540" s="1"/>
        <i x="932" s="1"/>
        <i x="1753" s="1"/>
        <i x="193" s="1"/>
        <i x="957" s="1"/>
        <i x="1457" s="1"/>
        <i x="933" s="1"/>
        <i x="1598" s="1"/>
        <i x="1846" s="1"/>
        <i x="1147" s="1"/>
        <i x="299" s="1"/>
        <i x="1539" s="1"/>
        <i x="881" s="1"/>
        <i x="1717" s="1"/>
        <i x="1213" s="1"/>
        <i x="1334" s="1"/>
        <i x="1499" s="1"/>
        <i x="874" s="1"/>
        <i x="224" s="1"/>
        <i x="65" s="1"/>
        <i x="337" s="1"/>
        <i x="128" s="1"/>
        <i x="1159" s="1"/>
        <i x="1346" s="1"/>
        <i x="1210" s="1"/>
        <i x="232" s="1"/>
        <i x="994" s="1"/>
        <i x="1925" s="1"/>
        <i x="1885" s="1"/>
        <i x="467" s="1"/>
        <i x="638" s="1"/>
        <i x="1826" s="1"/>
        <i x="500" s="1"/>
        <i x="23" s="1"/>
        <i x="1899" s="1"/>
        <i x="924" s="1"/>
        <i x="1595" s="1"/>
        <i x="1034" s="1"/>
        <i x="45" s="1"/>
        <i x="1890" s="1"/>
        <i x="595" s="1"/>
        <i x="1364" s="1"/>
        <i x="996" s="1"/>
        <i x="943" s="1"/>
        <i x="264" s="1"/>
        <i x="473" s="1"/>
        <i x="770" s="1"/>
        <i x="1212" s="1"/>
        <i x="1302" s="1"/>
        <i x="1922" s="1"/>
        <i x="1647" s="1"/>
        <i x="137" s="1"/>
        <i x="1124" s="1"/>
        <i x="643" s="1"/>
        <i x="383" s="1"/>
        <i x="1791" s="1"/>
        <i x="1404" s="1"/>
        <i x="92" s="1"/>
        <i x="767" s="1"/>
        <i x="425" s="1"/>
        <i x="1154" s="1"/>
        <i x="1409" s="1"/>
        <i x="1010" s="1"/>
        <i x="1182" s="1"/>
        <i x="258" s="1"/>
        <i x="311" s="1"/>
        <i x="49" s="1"/>
        <i x="666" s="1"/>
        <i x="355" s="1"/>
        <i x="387" s="1"/>
        <i x="644" s="1"/>
        <i x="1035" s="1"/>
        <i x="297" s="1"/>
        <i x="533" s="1"/>
        <i x="435" s="1"/>
        <i x="1118" s="1"/>
        <i x="55" s="1"/>
        <i x="430" s="1"/>
        <i x="1090" s="1"/>
        <i x="632" s="1"/>
        <i x="846" s="1"/>
        <i x="166" s="1"/>
        <i x="611" s="1"/>
        <i x="153" s="1"/>
        <i x="175" s="1"/>
        <i x="64" s="1"/>
        <i x="1001" s="1"/>
        <i x="1838" s="1"/>
        <i x="1290" s="1"/>
        <i x="1587" s="1"/>
        <i x="1810" s="1"/>
        <i x="1263" s="1"/>
        <i x="409" s="1"/>
        <i x="405" s="1"/>
        <i x="35" s="1"/>
        <i x="1108" s="1"/>
        <i x="1052" s="1"/>
        <i x="1705" s="1"/>
        <i x="1341" s="1"/>
        <i x="719" s="1"/>
        <i x="689" s="1"/>
        <i x="1161" s="1"/>
        <i x="614" s="1"/>
        <i x="1720" s="1"/>
        <i x="1782" s="1"/>
        <i x="878" s="1"/>
        <i x="231" s="1"/>
        <i x="992" s="1"/>
        <i x="57" s="1"/>
        <i x="1933" s="1"/>
        <i x="1399" s="1"/>
        <i x="890" s="1"/>
        <i x="466" s="1"/>
        <i x="834" s="1"/>
        <i x="1809" s="1"/>
        <i x="639" s="1"/>
        <i x="100" s="1"/>
        <i x="1071" s="1"/>
        <i x="1646" s="1"/>
        <i x="888" s="1"/>
        <i x="1796" s="1"/>
        <i x="964" s="1"/>
        <i x="130" s="1"/>
        <i x="871" s="1"/>
        <i x="336" s="1"/>
        <i x="1368" s="1"/>
        <i x="279" s="1"/>
        <i x="319" s="1"/>
        <i x="33" s="1"/>
        <i x="371" s="1"/>
        <i x="967" s="1"/>
        <i x="640" s="1"/>
        <i x="1790" s="1"/>
        <i x="1507" s="1"/>
        <i x="1663" s="1"/>
        <i x="594" s="1"/>
        <i x="62" s="1"/>
        <i x="985" s="1"/>
        <i x="1250" s="1"/>
        <i x="1249" s="1"/>
        <i x="184" s="1"/>
        <i x="1906" s="1"/>
        <i x="1973" s="1"/>
        <i x="1921" s="1"/>
        <i x="253" s="1"/>
        <i x="1396" s="1"/>
        <i x="140" s="1"/>
        <i x="1293" s="1"/>
        <i x="1324" s="1"/>
        <i x="648" s="1"/>
        <i x="203" s="1"/>
        <i x="1845" s="1"/>
        <i x="1251" s="1"/>
        <i x="180" s="1"/>
        <i x="244" s="1"/>
        <i x="1679" s="1"/>
        <i x="1692" s="1"/>
        <i x="1476" s="1"/>
        <i x="331" s="1"/>
        <i x="1876" s="1"/>
        <i x="261" s="1"/>
        <i x="558" s="1"/>
        <i x="1574" s="1"/>
        <i x="1386" s="1"/>
        <i x="1672" s="1"/>
        <i x="1160" s="1"/>
        <i x="1323" s="1"/>
        <i x="1563" s="1"/>
        <i x="1747" s="1"/>
        <i x="1112" s="1"/>
        <i x="1661" s="1"/>
        <i x="816" s="1"/>
        <i x="432" s="1"/>
        <i x="1418" s="1"/>
        <i x="51" s="1"/>
        <i x="1680" s="1"/>
        <i x="1570" s="1"/>
        <i x="636" s="1"/>
        <i x="146" s="1"/>
        <i x="1354" s="1"/>
        <i x="748" s="1"/>
        <i x="1513" s="1"/>
        <i x="490" s="1"/>
        <i x="1247" s="1"/>
        <i x="690" s="1"/>
        <i x="1043" s="1"/>
        <i x="988" s="1"/>
        <i x="1716" s="1"/>
        <i x="1449" s="1"/>
        <i x="1681" s="1"/>
        <i x="901" s="1"/>
        <i x="58" s="1"/>
        <i x="1002" s="1"/>
        <i x="370" s="1"/>
        <i x="1734" s="1"/>
        <i x="424" s="1"/>
        <i x="1311" s="1"/>
        <i x="1665" s="1"/>
        <i x="293" s="1"/>
        <i x="951" s="1"/>
        <i x="1711" s="1"/>
        <i x="198" s="1"/>
        <i x="591" s="1"/>
        <i x="661" s="1"/>
        <i x="1558" s="1"/>
        <i x="329" s="1"/>
        <i x="1835" s="1"/>
        <i x="700" s="1"/>
        <i x="1599" s="1"/>
        <i x="1805" s="1"/>
        <i x="485" s="1"/>
        <i x="785" s="1"/>
        <i x="660" s="1"/>
        <i x="1233" s="1"/>
        <i x="732" s="1"/>
        <i x="114" s="1"/>
        <i x="529" s="1"/>
        <i x="1230" s="1"/>
        <i x="2" s="1"/>
        <i x="1206" s="1"/>
        <i x="1748" s="1"/>
        <i x="1018" s="1"/>
        <i x="1367" s="1"/>
        <i x="877" s="1"/>
        <i x="1039" s="1"/>
        <i x="1185" s="1"/>
        <i x="1237" s="1"/>
        <i x="1453" s="1"/>
        <i x="1844" s="1"/>
        <i x="330" s="1"/>
        <i x="1792" s="1"/>
        <i x="1924" s="1"/>
        <i x="1400" s="1"/>
        <i x="345" s="1"/>
        <i x="722" s="1"/>
        <i x="1496" s="1"/>
        <i x="1620" s="1"/>
        <i x="332" s="1"/>
        <i x="1585" s="1"/>
        <i x="1655" s="1"/>
        <i x="680" s="1"/>
        <i x="1877" s="1"/>
        <i x="991" s="1"/>
        <i x="731" s="1"/>
        <i x="1623" s="1"/>
        <i x="586" s="1"/>
        <i x="1887" s="1"/>
        <i x="1741" s="1"/>
        <i x="864" s="1"/>
        <i x="205" s="1"/>
        <i x="761" s="1"/>
        <i x="44" s="1"/>
        <i x="1732" s="1"/>
        <i x="588" s="1"/>
        <i x="1755" s="1"/>
        <i x="498" s="1"/>
        <i x="1226" s="1"/>
        <i x="1056" s="1"/>
        <i x="1678" s="1"/>
        <i x="568" s="1"/>
        <i x="251" s="1"/>
        <i x="1867" s="1"/>
        <i x="1773" s="1"/>
        <i x="619" s="1"/>
        <i x="860" s="1"/>
        <i x="764" s="1"/>
        <i x="1729" s="1"/>
        <i x="1697" s="1"/>
        <i x="120" s="1"/>
        <i x="1170" s="1"/>
        <i x="488" s="1"/>
        <i x="223" s="1"/>
        <i x="1378" s="1"/>
        <i x="226" s="1"/>
        <i x="602" s="1"/>
        <i x="1531" s="1"/>
        <i x="1940" s="1"/>
        <i x="1948" s="1"/>
        <i x="1327" s="1"/>
        <i x="750" s="1"/>
        <i x="1392" s="1"/>
        <i x="172" s="1"/>
        <i x="870" s="1"/>
        <i x="148" s="1"/>
        <i x="1166" s="1"/>
        <i x="1089" s="1"/>
        <i x="729" s="1"/>
        <i x="1440" s="1"/>
        <i x="1658" s="1"/>
        <i x="368" s="1"/>
        <i x="1752" s="1"/>
        <i x="965" s="1"/>
        <i x="862" s="1"/>
        <i x="1163" s="1"/>
        <i x="1215" s="1"/>
        <i x="677" s="1"/>
        <i x="63" s="1"/>
        <i x="1915" s="1"/>
        <i x="1403" s="1"/>
        <i x="1126" s="1"/>
        <i x="718" s="1"/>
        <i x="682" s="1"/>
        <i x="230" s="1"/>
        <i x="1137" s="1"/>
        <i x="389" s="1"/>
        <i x="855" s="1"/>
        <i x="716" s="1"/>
        <i x="1261" s="1"/>
        <i x="406" s="1"/>
        <i x="69" s="1"/>
        <i x="436" s="1"/>
        <i x="377" s="1"/>
        <i x="267" s="1"/>
        <i x="1426" s="1"/>
        <i x="1424" s="1"/>
        <i x="1815" s="1"/>
        <i x="1562" s="1"/>
        <i x="1014" s="1"/>
        <i x="400" s="1"/>
        <i x="934" s="1"/>
        <i x="1353" s="1"/>
        <i x="706" s="1"/>
        <i x="315" s="1"/>
        <i x="237" s="1"/>
        <i x="926" s="1"/>
        <i x="1482" s="1"/>
        <i x="54" s="1"/>
        <i x="1439" s="1"/>
        <i x="70" s="1"/>
        <i x="390" s="1"/>
        <i x="1723" s="1"/>
        <i x="185" s="1"/>
        <i x="460" s="1"/>
        <i x="1032" s="1"/>
        <i x="1862" s="1"/>
        <i x="977" s="1"/>
        <i x="603" s="1"/>
        <i x="1934" s="1"/>
        <i x="1831" s="1"/>
        <i x="772" s="1"/>
        <i x="1445" s="1"/>
        <i x="1827" s="1"/>
        <i x="1687" s="1"/>
        <i x="1246" s="1"/>
        <i x="672" s="1"/>
        <i x="1153" s="1"/>
        <i x="837" s="1"/>
        <i x="1168" s="1"/>
        <i x="1036" s="1"/>
        <i x="1412" s="1"/>
        <i x="1743" s="1"/>
        <i x="504" s="1"/>
        <i x="18" s="1"/>
        <i x="1357" s="1"/>
        <i x="1804" s="1"/>
        <i x="981" s="1"/>
        <i x="1125" s="1"/>
        <i x="1086" s="1"/>
        <i x="1754" s="1"/>
        <i x="1134" s="1"/>
        <i x="99" s="1"/>
        <i x="1326" s="1"/>
        <i x="633" s="1"/>
        <i x="117" s="1"/>
        <i x="1223" s="1"/>
        <i x="1564" s="1"/>
        <i x="288" s="1"/>
        <i x="1542" s="1"/>
        <i x="945" s="1"/>
        <i x="869" s="1"/>
        <i x="1713" s="1"/>
        <i x="1840" s="1"/>
        <i x="206" s="1"/>
        <i x="606" s="1"/>
        <i x="1162" s="1"/>
        <i x="647" s="1"/>
        <i x="493" s="1"/>
        <i x="1706" s="1"/>
        <i x="260" s="1"/>
        <i x="195" s="1"/>
        <i x="1581" s="1"/>
        <i x="937" s="1"/>
        <i x="1321" s="1"/>
        <i x="1113" s="1"/>
        <i x="1433" s="1"/>
        <i x="1865" s="1"/>
        <i x="714" s="1"/>
        <i x="841" s="1"/>
        <i x="775" s="1"/>
        <i x="1632" s="1"/>
        <i x="1611" s="1"/>
        <i x="854" s="1"/>
        <i x="1318" s="1"/>
        <i x="658" s="1"/>
        <i x="87" s="1"/>
        <i x="1900" s="1"/>
        <i x="1202" s="1"/>
        <i x="1107" s="1"/>
        <i x="339" s="1"/>
        <i x="465" s="1"/>
        <i x="1187" s="1"/>
        <i x="610" s="1"/>
        <i x="1519" s="1"/>
        <i x="454" s="1"/>
        <i x="659" s="1"/>
        <i x="1376" s="1"/>
        <i x="723" s="1"/>
        <i x="458" s="1"/>
        <i x="46" s="1"/>
        <i x="713" s="1"/>
        <i x="1926" s="1"/>
        <i x="1779" s="1"/>
        <i x="1857" s="1"/>
        <i x="1077" s="1"/>
        <i x="1355" s="1"/>
        <i x="1012" s="1"/>
        <i x="1379" s="1"/>
        <i x="343" s="1"/>
        <i x="80" s="1"/>
        <i x="115" s="1"/>
        <i x="872" s="1"/>
        <i x="927" s="1"/>
        <i x="1618" s="1"/>
        <i x="221" s="1"/>
        <i x="552" s="1"/>
        <i x="1023" s="1"/>
        <i x="1852" s="1"/>
        <i x="1420" s="1"/>
        <i x="524" s="1"/>
        <i x="212" s="1"/>
        <i x="42" s="1"/>
        <i x="269" s="1"/>
        <i x="39" s="1"/>
        <i x="181" s="1"/>
        <i x="249" s="1"/>
        <i x="229" s="1"/>
        <i x="1506" s="1"/>
        <i x="1859" s="1"/>
        <i x="486" s="1"/>
        <i x="144" s="1"/>
        <i x="1640" s="1"/>
        <i x="1575" s="1"/>
        <i x="681" s="1"/>
        <i x="1544" s="1"/>
        <i x="160" s="1"/>
        <i x="915" s="1"/>
        <i x="1295" s="1"/>
        <i x="1957" s="1"/>
        <i x="1081" s="1"/>
        <i x="1254" s="1"/>
        <i x="1633" s="1"/>
        <i x="923" s="1"/>
        <i x="821" s="1"/>
        <i x="1740" s="1"/>
        <i x="1024" s="1"/>
        <i x="286" s="1"/>
        <i x="705" s="1"/>
        <i x="1714" s="1"/>
        <i x="778" s="1"/>
        <i x="1828" s="1"/>
        <i x="1209" s="1"/>
        <i x="574" s="1"/>
        <i x="482" s="1"/>
        <i x="794" s="1"/>
        <i x="474" s="1"/>
        <i x="418" s="1"/>
        <i x="635" s="1"/>
        <i x="844" s="1"/>
        <i x="76" s="1"/>
        <i x="1927" s="1"/>
        <i x="1430" s="1"/>
        <i x="1087" s="1"/>
        <i x="521" s="1"/>
        <i x="787" s="1"/>
        <i x="528" s="1"/>
        <i x="1572" s="1"/>
        <i x="1221" s="1"/>
        <i x="1861" s="1"/>
        <i x="215" s="1"/>
        <i x="1488" s="1"/>
        <i x="743" s="1"/>
        <i x="883" s="1"/>
        <i x="1390" s="1"/>
        <i x="830" s="1"/>
        <i x="1605" s="1"/>
        <i x="925" s="1"/>
        <i x="697" s="1"/>
        <i x="1670" s="1"/>
        <i x="1869" s="1"/>
        <i x="1884" s="1"/>
        <i x="800" s="1"/>
        <i x="50" s="1"/>
        <i x="1561" s="1"/>
        <i x="1434" s="1"/>
        <i x="273" s="1"/>
        <i x="793" s="1"/>
        <i x="1553" s="1"/>
        <i x="917" s="1"/>
        <i x="48" s="1"/>
        <i x="396" s="1"/>
        <i x="324" s="1"/>
        <i x="1319" s="1"/>
        <i x="755" s="1"/>
        <i x="1657" s="1"/>
        <i x="15" s="1"/>
        <i x="317" s="1"/>
        <i x="867" s="1"/>
        <i x="1072" s="1"/>
        <i x="453" s="1"/>
        <i x="1653" s="1"/>
        <i x="1820" s="1"/>
        <i x="703" s="1"/>
        <i x="1541" s="1"/>
        <i x="998" s="1"/>
        <i x="318" s="1"/>
        <i x="365" s="1"/>
        <i x="916" s="1"/>
        <i x="201" s="1"/>
        <i x="1027" s="1"/>
        <i x="161" s="1"/>
        <i x="698" s="1"/>
        <i x="1736" s="1"/>
        <i x="597" s="1"/>
        <i x="1935" s="1"/>
        <i x="510" s="1"/>
        <i x="590" s="1"/>
        <i x="911" s="1"/>
        <i x="1017" s="1"/>
        <i x="599" s="1"/>
        <i x="28" s="1"/>
        <i x="326" s="1"/>
        <i x="403" s="1"/>
        <i x="1149" s="1"/>
        <i x="1644" s="1"/>
        <i x="849" s="1"/>
        <i x="1591" s="1"/>
        <i x="1176" s="1"/>
        <i x="1055" s="1"/>
        <i x="513" s="1"/>
        <i x="929" s="1"/>
        <i x="91" s="1"/>
        <i x="1059" s="1"/>
        <i x="807" s="1"/>
        <i x="1756" s="1"/>
        <i x="1019" s="1"/>
        <i x="102" s="1"/>
        <i x="129" s="1"/>
        <i x="1048" s="1"/>
        <i x="824" s="1"/>
        <i x="850" s="1"/>
        <i x="1529" s="1"/>
        <i x="1505" s="1"/>
        <i x="182" s="1"/>
        <i x="1648" s="1"/>
        <i x="645" s="1"/>
        <i x="1686" s="1"/>
        <i x="1851" s="1"/>
        <i x="1006" s="1"/>
        <i x="1385" s="1"/>
        <i x="93" s="1"/>
        <i x="673" s="1"/>
        <i x="1361" s="1"/>
        <i x="526" s="1"/>
        <i x="1235" s="1"/>
        <i x="61" s="1"/>
        <i x="1955" s="1"/>
        <i x="1005" s="1"/>
        <i x="1689" s="1"/>
        <i x="98" s="1"/>
        <i x="480" s="1"/>
        <i x="427" s="1"/>
        <i x="1937" s="1"/>
        <i x="688" s="1"/>
        <i x="684" s="1"/>
        <i x="1919" s="1"/>
        <i x="1448" s="1"/>
        <i x="662" s="1"/>
        <i x="1552" s="1"/>
        <i x="366" s="1"/>
        <i x="1615" s="1"/>
        <i x="1096" s="1"/>
        <i x="1169" s="1"/>
        <i x="105" s="1"/>
        <i x="1234" s="1"/>
        <i x="1694" s="1"/>
        <i x="392" s="1"/>
        <i x="1918" s="1"/>
        <i x="1712" s="1"/>
        <i x="966" s="1"/>
        <i x="1775" s="1"/>
        <i x="766" s="1"/>
        <i x="557" s="1"/>
        <i x="1274" s="1"/>
        <i x="1551" s="1"/>
        <i x="1309" s="1"/>
        <i x="1704" s="1"/>
        <i x="127" s="1"/>
        <i x="399" s="1"/>
        <i x="907" s="1"/>
        <i x="397" s="1"/>
        <i x="776" s="1"/>
        <i x="1332" s="1"/>
        <i x="884" s="1"/>
        <i x="1776" s="1"/>
        <i x="1766" s="1"/>
        <i x="1345" s="1"/>
        <i x="938" s="1"/>
        <i x="858" s="1"/>
        <i x="1778" s="1"/>
        <i x="1746" s="1"/>
        <i x="1794" s="1"/>
        <i x="612" s="1"/>
        <i x="113" s="1"/>
        <i x="187" s="1"/>
        <i x="235" s="1"/>
        <i x="608" s="1"/>
        <i x="1695" s="1"/>
        <i x="617" s="1"/>
        <i x="1888" s="1"/>
        <i x="1490" s="1"/>
        <i x="149" s="1"/>
        <i x="1203" s="1"/>
        <i x="646" s="1"/>
        <i x="581" s="1"/>
        <i x="1970"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idhome" xr10:uid="{24C0FE55-92D1-4186-B3AC-BAA556F75CB8}" sourceName="Kidhome">
  <pivotTables>
    <pivotTable tabId="3" name="Chart1"/>
    <pivotTable tabId="3" name="Chart2"/>
    <pivotTable tabId="3" name="Chart3"/>
    <pivotTable tabId="3" name="Chart4"/>
  </pivotTables>
  <data>
    <tabular pivotCacheId="143881649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897E0C7-99AF-468F-AB31-5237C7D74F70}" sourceName="AGE GROUP">
  <pivotTables>
    <pivotTable tabId="3" name="Chart1"/>
    <pivotTable tabId="3" name="Chart2"/>
    <pivotTable tabId="3" name="Chart3"/>
    <pivotTable tabId="3" name="Chart4"/>
  </pivotTables>
  <data>
    <tabular pivotCacheId="1438816499">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PURCHASE" xr10:uid="{AC21DE05-C495-4945-9F40-06426C5FFDAA}" sourceName="TOTAL PURCHASE">
  <pivotTables>
    <pivotTable tabId="3" name="PivotTable1"/>
  </pivotTables>
  <data>
    <tabular pivotCacheId="1713718119">
      <items count="185">
        <i x="155" s="1"/>
        <i x="8" s="1"/>
        <i x="42" s="1"/>
        <i x="1" s="1"/>
        <i x="9" s="1"/>
        <i x="7" s="1"/>
        <i x="29" s="1"/>
        <i x="3" s="1"/>
        <i x="41" s="1"/>
        <i x="18" s="1"/>
        <i x="11" s="1"/>
        <i x="20" s="1"/>
        <i x="51" s="1"/>
        <i x="104" s="1"/>
        <i x="31" s="1"/>
        <i x="21" s="1"/>
        <i x="13" s="1"/>
        <i x="67" s="1"/>
        <i x="14" s="1"/>
        <i x="44" s="1"/>
        <i x="26" s="1"/>
        <i x="81" s="1"/>
        <i x="62" s="1"/>
        <i x="45" s="1"/>
        <i x="38" s="1"/>
        <i x="15" s="1"/>
        <i x="56" s="1"/>
        <i x="16" s="1"/>
        <i x="24" s="1"/>
        <i x="89" s="1"/>
        <i x="39" s="1"/>
        <i x="2" s="1"/>
        <i x="74" s="1"/>
        <i x="4" s="1"/>
        <i x="35" s="1"/>
        <i x="61" s="1"/>
        <i x="50" s="1"/>
        <i x="78" s="1"/>
        <i x="73" s="1"/>
        <i x="30" s="1"/>
        <i x="105" s="1"/>
        <i x="19" s="1"/>
        <i x="66" s="1"/>
        <i x="17" s="1"/>
        <i x="109" s="1"/>
        <i x="49" s="1"/>
        <i x="54" s="1"/>
        <i x="34" s="1"/>
        <i x="121" s="1"/>
        <i x="125" s="1"/>
        <i x="32" s="1"/>
        <i x="106" s="1"/>
        <i x="5" s="1"/>
        <i x="85" s="1"/>
        <i x="27" s="1"/>
        <i x="93" s="1"/>
        <i x="6" s="1"/>
        <i x="64" s="1"/>
        <i x="94" s="1"/>
        <i x="79" s="1"/>
        <i x="91" s="1"/>
        <i x="123" s="1"/>
        <i x="128" s="1"/>
        <i x="102" s="1"/>
        <i x="122" s="1"/>
        <i x="119" s="1"/>
        <i x="43" s="1"/>
        <i x="149" s="1"/>
        <i x="52" s="1"/>
        <i x="140" s="1"/>
        <i x="120" s="1"/>
        <i x="184" s="1"/>
        <i x="136" s="1"/>
        <i x="65" s="1"/>
        <i x="176" s="1"/>
        <i x="113" s="1"/>
        <i x="23" s="1"/>
        <i x="25" s="1"/>
        <i x="47" s="1"/>
        <i x="70" s="1"/>
        <i x="12" s="1"/>
        <i x="165" s="1"/>
        <i x="59" s="1"/>
        <i x="69" s="1"/>
        <i x="127" s="1"/>
        <i x="60" s="1"/>
        <i x="117" s="1"/>
        <i x="57" s="1"/>
        <i x="118" s="1"/>
        <i x="135" s="1"/>
        <i x="181" s="1"/>
        <i x="153" s="1"/>
        <i x="0" s="1"/>
        <i x="173" s="1"/>
        <i x="63" s="1"/>
        <i x="130" s="1"/>
        <i x="75" s="1"/>
        <i x="103" s="1"/>
        <i x="169" s="1"/>
        <i x="107" s="1"/>
        <i x="156" s="1"/>
        <i x="68" s="1"/>
        <i x="87" s="1"/>
        <i x="95" s="1"/>
        <i x="111" s="1"/>
        <i x="148" s="1"/>
        <i x="174" s="1"/>
        <i x="58" s="1"/>
        <i x="132" s="1"/>
        <i x="55" s="1"/>
        <i x="77" s="1"/>
        <i x="131" s="1"/>
        <i x="151" s="1"/>
        <i x="46" s="1"/>
        <i x="99" s="1"/>
        <i x="108" s="1"/>
        <i x="157" s="1"/>
        <i x="141" s="1"/>
        <i x="158" s="1"/>
        <i x="10" s="1"/>
        <i x="161" s="1"/>
        <i x="133" s="1"/>
        <i x="129" s="1"/>
        <i x="71" s="1"/>
        <i x="40" s="1"/>
        <i x="83" s="1"/>
        <i x="96" s="1"/>
        <i x="37" s="1"/>
        <i x="138" s="1"/>
        <i x="171" s="1"/>
        <i x="36" s="1"/>
        <i x="166" s="1"/>
        <i x="146" s="1"/>
        <i x="100" s="1"/>
        <i x="183" s="1"/>
        <i x="88" s="1"/>
        <i x="48" s="1"/>
        <i x="101" s="1"/>
        <i x="80" s="1"/>
        <i x="53" s="1"/>
        <i x="142" s="1"/>
        <i x="90" s="1"/>
        <i x="134" s="1"/>
        <i x="147" s="1"/>
        <i x="167" s="1"/>
        <i x="154" s="1"/>
        <i x="163" s="1"/>
        <i x="159" s="1"/>
        <i x="86" s="1"/>
        <i x="92" s="1"/>
        <i x="97" s="1"/>
        <i x="160" s="1"/>
        <i x="152" s="1"/>
        <i x="143" s="1"/>
        <i x="177" s="1"/>
        <i x="112" s="1"/>
        <i x="145" s="1"/>
        <i x="137" s="1"/>
        <i x="144" s="1"/>
        <i x="126" s="1"/>
        <i x="168" s="1"/>
        <i x="139" s="1"/>
        <i x="164" s="1"/>
        <i x="82" s="1"/>
        <i x="179" s="1"/>
        <i x="172" s="1"/>
        <i x="150" s="1"/>
        <i x="72" s="1"/>
        <i x="33" s="1"/>
        <i x="28" s="1"/>
        <i x="110" s="1"/>
        <i x="84" s="1"/>
        <i x="76" s="1"/>
        <i x="175" s="1"/>
        <i x="182" s="1"/>
        <i x="124" s="1"/>
        <i x="98" s="1"/>
        <i x="178" s="1"/>
        <i x="162" s="1"/>
        <i x="115" s="1"/>
        <i x="114" s="1"/>
        <i x="116" s="1"/>
        <i x="170" s="1"/>
        <i x="180"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Birth" xr10:uid="{8CA9B9C8-B677-4D7F-A1AC-5816EB2FAD8F}" cache="Slicer_Year_Birth" caption="Year_Birth" rowHeight="241300"/>
  <slicer name="Education" xr10:uid="{3BEE358C-EF3E-4016-B4F3-733B6EDB6F4C}" cache="Slicer_Education" caption="Education" rowHeight="241300"/>
  <slicer name="Marital_Status" xr10:uid="{38A69DAE-5F19-4412-B90C-8D44245E682A}" cache="Slicer_Marital_Status" caption="Marital_Status" rowHeight="241300"/>
  <slicer name="Income" xr10:uid="{8C27AFB9-7C07-4A77-ABFB-807B65A69154}" cache="Slicer_Income" caption="Income" rowHeight="241300"/>
  <slicer name="Kidhome" xr10:uid="{05FB271A-1BC3-4B80-A546-012ECF85AEA7}" cache="Slicer_Kidhome" caption="Kidhome" rowHeight="241300"/>
  <slicer name="AGE GROUP" xr10:uid="{E7E6949C-C4B1-4366-9FA0-AFC71D811837}" cache="Slicer_AGE_GROUP" caption="AGE 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Birth 1" xr10:uid="{B5A87190-C932-46C4-A52B-6B47C2AB4D30}" cache="Slicer_Year_Birth" caption="Year_Birth" columnCount="3" style="SlicerStyleDark5" rowHeight="241300"/>
  <slicer name="Education 1" xr10:uid="{42ECA8BF-CAFE-457D-AA54-5EFD0B013B9B}" cache="Slicer_Education" caption="Education" columnCount="2" style="SlicerStyleDark5" rowHeight="241300"/>
  <slicer name="Marital_Status 1" xr10:uid="{5AEB0851-4B52-43B3-8012-1A5A37CB06E9}" cache="Slicer_Marital_Status" caption="Marital_Status" columnCount="2" style="SlicerStyleDark5" rowHeight="241300"/>
  <slicer name="Income 1" xr10:uid="{BA50EB72-E359-4AD8-9A36-D02736CE2369}" cache="Slicer_Income" caption="Income" style="SlicerStyleDark5" rowHeight="241300"/>
  <slicer name="Kidhome 1" xr10:uid="{212C751C-DA52-4248-B954-44076D07A814}" cache="Slicer_Kidhome" caption="Kidhome" columnCount="3" style="SlicerStyleDark5" rowHeight="241300"/>
  <slicer name="AGE GROUP 1" xr10:uid="{06ECD880-228F-4676-8379-75DB0A22A5AB}" cache="Slicer_AGE_GROUP" caption="AGE GROUP" style="SlicerStyleDark5" rowHeight="241300"/>
  <slicer name="TOTAL PURCHASE" xr10:uid="{64A51410-283F-40DC-ACBC-7F30D09BEE7E}" cache="Slicer_TOTAL_PURCHASE" caption="TOTAL PURCHASE" startItem="60" columnCount="4"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117A3B-D30E-4B69-8DE9-C8BB8EB7F35A}" name="customer_dataset" displayName="customer_dataset" ref="A2:J2244" tableType="queryTable" totalsRowShown="0">
  <autoFilter ref="A2:J2244" xr:uid="{E6117A3B-D30E-4B69-8DE9-C8BB8EB7F35A}"/>
  <tableColumns count="10">
    <tableColumn id="1" xr3:uid="{4576DECD-E8AF-4CD2-BE54-867AAAAC8623}" uniqueName="1" name="Column1" queryTableFieldId="1"/>
    <tableColumn id="2" xr3:uid="{B624E828-DF3E-4F26-A40A-A7293E306A0E}" uniqueName="2" name="ID" queryTableFieldId="2"/>
    <tableColumn id="3" xr3:uid="{DDA5F754-2E2B-48C7-8E2D-40B539A4D10C}" uniqueName="3" name="Year_Birth" queryTableFieldId="3"/>
    <tableColumn id="4" xr3:uid="{9975D332-E98E-4183-BC32-25E5DE1FE704}" uniqueName="4" name="Education" queryTableFieldId="4" dataDxfId="7"/>
    <tableColumn id="5" xr3:uid="{26788F4C-C02D-4A67-9FAC-C02AB472AD05}" uniqueName="5" name="Marital_Status" queryTableFieldId="5" dataDxfId="6"/>
    <tableColumn id="6" xr3:uid="{0FCC18D5-5553-4271-A8AB-20FC3CB1A331}" uniqueName="6" name="Income" queryTableFieldId="6"/>
    <tableColumn id="7" xr3:uid="{887F390F-74DE-4977-A86B-70BFA120BA74}" uniqueName="7" name="Kidhome" queryTableFieldId="7"/>
    <tableColumn id="8" xr3:uid="{333A4283-0ED4-47D7-B0B2-C63D302C33AA}" uniqueName="8" name="Teenhome" queryTableFieldId="8" dataDxfId="5"/>
    <tableColumn id="9" xr3:uid="{2D788AE7-4781-4386-AA15-06491F1B26D8}" uniqueName="9" name="Dt_Customer" queryTableFieldId="9" dataDxfId="4"/>
    <tableColumn id="10" xr3:uid="{2CB6B6C6-F6F0-4D12-88B5-683B9C11915A}" uniqueName="10" name="Recency" queryTableFieldId="1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80F18E-672B-4F4A-B8CB-EB7EAFF28761}" name="Table3" displayName="Table3" ref="K2:N2242" totalsRowShown="0" headerRowDxfId="1" headerRowBorderDxfId="2" tableBorderDxfId="3">
  <autoFilter ref="K2:N2242" xr:uid="{EE80F18E-672B-4F4A-B8CB-EB7EAFF28761}"/>
  <tableColumns count="4">
    <tableColumn id="1" xr3:uid="{43C847C0-40E2-43BA-82C1-14E35CEAFD61}" name="MntFruits">
      <calculatedColumnFormula>VLOOKUP(B3,purchase_dataset!$B$2:$F$2241,2,FALSE)</calculatedColumnFormula>
    </tableColumn>
    <tableColumn id="2" xr3:uid="{A24ED46A-999E-4CB9-A758-3C811BC6252F}" name="MntSweetProducts">
      <calculatedColumnFormula>VLOOKUP(B3,purchase_dataset!$B$2:$F$2241,3,FALSE)</calculatedColumnFormula>
    </tableColumn>
    <tableColumn id="3" xr3:uid="{36065BFE-60CA-4692-8000-1D021406D49F}" name="NumWebPurchases">
      <calculatedColumnFormula>VLOOKUP(B3,purchase_dataset!$B$2:$F$2241,3,FALSE)</calculatedColumnFormula>
    </tableColumn>
    <tableColumn id="4" xr3:uid="{2F98B5D6-9702-4FDF-B264-9294C650EDEB}" name="NumStorePurchases">
      <calculatedColumnFormula>VLOOKUP(B3,purchase_dataset!$B$2:$F$2241,5,FALSE)</calculatedColumnFormula>
    </tableColumn>
  </tableColumns>
  <tableStyleInfo name="TableStyleLight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37CAE8-954A-4E4B-8150-764E07B7B8BE}" name="purchase_dataset" displayName="purchase_dataset" ref="A1:F2441" tableType="queryTable" totalsRowShown="0">
  <autoFilter ref="A1:F2441" xr:uid="{4737CAE8-954A-4E4B-8150-764E07B7B8BE}"/>
  <tableColumns count="6">
    <tableColumn id="1" xr3:uid="{C295C29E-A4B6-4429-A4CC-C1187308D064}" uniqueName="1" name="Column1" queryTableFieldId="1"/>
    <tableColumn id="2" xr3:uid="{F6DB438E-0EB9-4CB5-8D3F-0A4F1E1D1E2B}" uniqueName="2" name="ID" queryTableFieldId="2"/>
    <tableColumn id="3" xr3:uid="{7C4765D9-47ED-488F-93FA-0CEF5DD85D52}" uniqueName="3" name="MntFruits" queryTableFieldId="3"/>
    <tableColumn id="4" xr3:uid="{3B9DD9D3-CB6E-40DA-9DEE-25E93748F74B}" uniqueName="4" name="MntSweetProducts" queryTableFieldId="4"/>
    <tableColumn id="5" xr3:uid="{34F4247C-1272-43F4-AABB-D989355CAC65}" uniqueName="5" name="NumWebPurchases" queryTableFieldId="5"/>
    <tableColumn id="6" xr3:uid="{0170B37A-3DB9-4770-9E85-D100DC6FC1CF}" uniqueName="6" name="NumStorePurchases" queryTableFieldId="6"/>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E763E-71AC-4579-8E27-E8890A46AC09}">
  <dimension ref="A1:W2244"/>
  <sheetViews>
    <sheetView tabSelected="1" workbookViewId="0">
      <selection activeCell="Q3" sqref="Q3"/>
    </sheetView>
  </sheetViews>
  <sheetFormatPr defaultRowHeight="14.5" x14ac:dyDescent="0.35"/>
  <cols>
    <col min="1" max="1" width="10.54296875" bestFit="1" customWidth="1"/>
    <col min="2" max="2" width="4.90625" bestFit="1" customWidth="1"/>
    <col min="3" max="3" width="11.90625" bestFit="1" customWidth="1"/>
    <col min="4" max="4" width="11.453125" bestFit="1" customWidth="1"/>
    <col min="5" max="5" width="15.54296875" bestFit="1" customWidth="1"/>
    <col min="6" max="6" width="9.26953125" bestFit="1" customWidth="1"/>
    <col min="7" max="7" width="10.54296875" bestFit="1" customWidth="1"/>
    <col min="8" max="8" width="12" bestFit="1" customWidth="1"/>
    <col min="9" max="9" width="14.26953125" bestFit="1" customWidth="1"/>
    <col min="10" max="10" width="9.81640625" bestFit="1" customWidth="1"/>
    <col min="11" max="11" width="11.08984375" customWidth="1"/>
    <col min="12" max="12" width="18.90625" customWidth="1"/>
    <col min="13" max="13" width="19.1796875" customWidth="1"/>
    <col min="14" max="14" width="19.7265625" customWidth="1"/>
    <col min="15" max="15" width="8.7265625" style="5"/>
    <col min="16" max="16" width="10.7265625" bestFit="1" customWidth="1"/>
    <col min="17" max="17" width="15.54296875" bestFit="1" customWidth="1"/>
    <col min="18" max="18" width="18.54296875" bestFit="1" customWidth="1"/>
    <col min="19" max="19" width="17" bestFit="1" customWidth="1"/>
    <col min="21" max="21" width="12.36328125" bestFit="1" customWidth="1"/>
    <col min="23" max="23" width="10.08984375" bestFit="1" customWidth="1"/>
  </cols>
  <sheetData>
    <row r="1" spans="1:23" x14ac:dyDescent="0.35">
      <c r="A1" s="7" t="s">
        <v>30</v>
      </c>
      <c r="B1" s="7"/>
      <c r="C1" s="7"/>
      <c r="D1" s="7"/>
      <c r="E1" s="7"/>
      <c r="F1" s="7"/>
      <c r="G1" s="7"/>
      <c r="H1" s="7"/>
      <c r="I1" s="7"/>
      <c r="J1" s="7"/>
      <c r="K1" s="7" t="s">
        <v>31</v>
      </c>
      <c r="L1" s="7"/>
      <c r="M1" s="7"/>
      <c r="N1" s="7"/>
      <c r="O1" s="8" t="s">
        <v>32</v>
      </c>
      <c r="P1" s="8"/>
      <c r="Q1" s="8"/>
      <c r="R1" s="8" t="s">
        <v>42</v>
      </c>
      <c r="S1" s="8"/>
      <c r="T1" s="8"/>
      <c r="U1" s="20" t="s">
        <v>46</v>
      </c>
      <c r="V1" s="20"/>
      <c r="W1" s="20"/>
    </row>
    <row r="2" spans="1:23" x14ac:dyDescent="0.35">
      <c r="A2" t="s">
        <v>0</v>
      </c>
      <c r="B2" t="s">
        <v>1</v>
      </c>
      <c r="C2" t="s">
        <v>2</v>
      </c>
      <c r="D2" t="s">
        <v>3</v>
      </c>
      <c r="E2" t="s">
        <v>4</v>
      </c>
      <c r="F2" t="s">
        <v>5</v>
      </c>
      <c r="G2" t="s">
        <v>6</v>
      </c>
      <c r="H2" t="s">
        <v>7</v>
      </c>
      <c r="I2" t="s">
        <v>8</v>
      </c>
      <c r="J2" t="s">
        <v>9</v>
      </c>
      <c r="K2" s="3" t="s">
        <v>23</v>
      </c>
      <c r="L2" s="3" t="s">
        <v>24</v>
      </c>
      <c r="M2" s="3" t="s">
        <v>25</v>
      </c>
      <c r="N2" s="3" t="s">
        <v>26</v>
      </c>
      <c r="O2" s="6" t="s">
        <v>27</v>
      </c>
      <c r="P2" s="6" t="s">
        <v>28</v>
      </c>
      <c r="Q2" s="6" t="s">
        <v>29</v>
      </c>
      <c r="R2" s="6" t="s">
        <v>38</v>
      </c>
      <c r="S2" s="6" t="s">
        <v>43</v>
      </c>
      <c r="U2" s="6" t="s">
        <v>45</v>
      </c>
      <c r="W2" s="6" t="s">
        <v>53</v>
      </c>
    </row>
    <row r="3" spans="1:23" x14ac:dyDescent="0.35">
      <c r="A3">
        <v>0</v>
      </c>
      <c r="B3">
        <v>5524</v>
      </c>
      <c r="C3">
        <v>1957</v>
      </c>
      <c r="D3" s="1" t="s">
        <v>10</v>
      </c>
      <c r="E3" s="1" t="s">
        <v>11</v>
      </c>
      <c r="F3">
        <v>58138</v>
      </c>
      <c r="G3">
        <v>0</v>
      </c>
      <c r="H3" s="2">
        <v>0</v>
      </c>
      <c r="I3" s="2">
        <v>41156</v>
      </c>
      <c r="J3">
        <v>58</v>
      </c>
      <c r="K3">
        <f>VLOOKUP(B3,purchase_dataset!$B$2:$F$2241,2,FALSE)</f>
        <v>88</v>
      </c>
      <c r="L3">
        <f>VLOOKUP(B3,purchase_dataset!$B$2:$F$2241,3,FALSE)</f>
        <v>88</v>
      </c>
      <c r="M3">
        <f>VLOOKUP(B3,purchase_dataset!$B$2:$F$2241,3,FALSE)</f>
        <v>88</v>
      </c>
      <c r="N3">
        <f>VLOOKUP(B3,purchase_dataset!$B$2:$F$2241,5,FALSE)</f>
        <v>4</v>
      </c>
      <c r="O3" s="5" cm="1">
        <f t="array" ref="O3:O2242">2026-C3:C2242</f>
        <v>69</v>
      </c>
      <c r="P3" s="4" t="str">
        <f>IF(O3&lt;30,"30",IF(O3&lt;=50,"30-50","&gt;50"))</f>
        <v>&gt;50</v>
      </c>
      <c r="Q3" s="4">
        <f>M3+N3</f>
        <v>92</v>
      </c>
      <c r="R3" t="s">
        <v>39</v>
      </c>
      <c r="S3">
        <f>SUM(L3:L2242)</f>
        <v>60621</v>
      </c>
      <c r="U3" s="28" t="str" cm="1">
        <f t="array" ref="U3">_xlfn.IFS(F3&lt;30000,"30k",F3&lt;=50000,"30k-50k",F3&lt;=75000,"50k-75k",F3&lt;=100000,"75k-100k",F3&gt;100000,"100k")</f>
        <v>50k-75k</v>
      </c>
      <c r="W3" s="1">
        <f>2026-YEAR(I3)</f>
        <v>14</v>
      </c>
    </row>
    <row r="4" spans="1:23" x14ac:dyDescent="0.35">
      <c r="A4">
        <v>1</v>
      </c>
      <c r="B4">
        <v>2174</v>
      </c>
      <c r="C4">
        <v>1954</v>
      </c>
      <c r="D4" s="1" t="s">
        <v>10</v>
      </c>
      <c r="E4" s="1" t="s">
        <v>11</v>
      </c>
      <c r="F4">
        <v>46344</v>
      </c>
      <c r="G4">
        <v>1</v>
      </c>
      <c r="H4" s="2">
        <v>1</v>
      </c>
      <c r="I4" s="2">
        <v>41706</v>
      </c>
      <c r="J4">
        <v>38</v>
      </c>
      <c r="K4">
        <f>VLOOKUP(B4,purchase_dataset!$B$2:$F$2241,2,FALSE)</f>
        <v>1</v>
      </c>
      <c r="L4">
        <f>VLOOKUP(B4,purchase_dataset!$B$2:$F$2241,3,FALSE)</f>
        <v>1</v>
      </c>
      <c r="M4">
        <f>VLOOKUP(B4,purchase_dataset!$B$2:$F$2241,3,FALSE)</f>
        <v>1</v>
      </c>
      <c r="N4">
        <f>VLOOKUP(B4,purchase_dataset!$B$2:$F$2241,5,FALSE)</f>
        <v>2</v>
      </c>
      <c r="O4" s="5">
        <v>72</v>
      </c>
      <c r="P4" s="4" t="str">
        <f t="shared" ref="P4:P67" si="0">IF(O4&lt;30,"30",IF(O4&lt;=50,"30-50","&gt;50"))</f>
        <v>&gt;50</v>
      </c>
      <c r="Q4" s="4">
        <f>M4+N4</f>
        <v>3</v>
      </c>
      <c r="R4" t="s">
        <v>40</v>
      </c>
      <c r="S4">
        <f>SUM(K3:K2242)</f>
        <v>58917</v>
      </c>
      <c r="U4" s="28" t="str" cm="1">
        <f t="array" ref="U4">_xlfn.IFS(F4&lt;30000,"30k",F4&lt;=50000,"30k-50k",F4&lt;=75000,"50k-75k",F4&lt;=100000,"75k-100k",F4&gt;100000,"100k")</f>
        <v>30k-50k</v>
      </c>
      <c r="W4" s="1">
        <f t="shared" ref="W4:W67" si="1">2026-YEAR(I4)</f>
        <v>12</v>
      </c>
    </row>
    <row r="5" spans="1:23" x14ac:dyDescent="0.35">
      <c r="A5">
        <v>2</v>
      </c>
      <c r="B5">
        <v>4141</v>
      </c>
      <c r="C5">
        <v>1965</v>
      </c>
      <c r="D5" s="1" t="s">
        <v>10</v>
      </c>
      <c r="E5" s="1" t="s">
        <v>12</v>
      </c>
      <c r="F5">
        <v>71613</v>
      </c>
      <c r="G5">
        <v>0</v>
      </c>
      <c r="H5" s="2">
        <v>0</v>
      </c>
      <c r="I5" s="2">
        <v>41507</v>
      </c>
      <c r="J5">
        <v>26</v>
      </c>
      <c r="K5">
        <f>VLOOKUP(B5,purchase_dataset!$B$2:$F$2241,2,FALSE)</f>
        <v>49</v>
      </c>
      <c r="L5">
        <f>VLOOKUP(B5,purchase_dataset!$B$2:$F$2241,3,FALSE)</f>
        <v>21</v>
      </c>
      <c r="M5">
        <f>VLOOKUP(B5,purchase_dataset!$B$2:$F$2241,3,FALSE)</f>
        <v>21</v>
      </c>
      <c r="N5">
        <f>VLOOKUP(B5,purchase_dataset!$B$2:$F$2241,5,FALSE)</f>
        <v>10</v>
      </c>
      <c r="O5" s="5">
        <v>61</v>
      </c>
      <c r="P5" s="4" t="str">
        <f t="shared" si="0"/>
        <v>&gt;50</v>
      </c>
      <c r="Q5" s="4">
        <f>M5+N5</f>
        <v>31</v>
      </c>
      <c r="R5" t="s">
        <v>41</v>
      </c>
      <c r="S5">
        <f>S3+S4</f>
        <v>119538</v>
      </c>
      <c r="U5" s="28" t="str" cm="1">
        <f t="array" ref="U5">_xlfn.IFS(F5&lt;30000,"30k",F5&lt;=50000,"30k-50k",F5&lt;=75000,"50k-75k",F5&lt;=100000,"75k-100k",F5&gt;100000,"100k")</f>
        <v>50k-75k</v>
      </c>
      <c r="W5" s="1">
        <f t="shared" si="1"/>
        <v>13</v>
      </c>
    </row>
    <row r="6" spans="1:23" x14ac:dyDescent="0.35">
      <c r="A6">
        <v>3</v>
      </c>
      <c r="B6">
        <v>6182</v>
      </c>
      <c r="C6">
        <v>1984</v>
      </c>
      <c r="D6" s="1" t="s">
        <v>10</v>
      </c>
      <c r="E6" s="1" t="s">
        <v>12</v>
      </c>
      <c r="F6">
        <v>26646</v>
      </c>
      <c r="G6">
        <v>1</v>
      </c>
      <c r="H6" s="2">
        <v>0</v>
      </c>
      <c r="I6" s="2">
        <v>41680</v>
      </c>
      <c r="J6">
        <v>26</v>
      </c>
      <c r="K6">
        <f>VLOOKUP(B6,purchase_dataset!$B$2:$F$2241,2,FALSE)</f>
        <v>4</v>
      </c>
      <c r="L6">
        <f>VLOOKUP(B6,purchase_dataset!$B$2:$F$2241,3,FALSE)</f>
        <v>3</v>
      </c>
      <c r="M6">
        <f>VLOOKUP(B6,purchase_dataset!$B$2:$F$2241,3,FALSE)</f>
        <v>3</v>
      </c>
      <c r="N6">
        <f>VLOOKUP(B6,purchase_dataset!$B$2:$F$2241,5,FALSE)</f>
        <v>4</v>
      </c>
      <c r="O6" s="5">
        <v>42</v>
      </c>
      <c r="P6" s="4" t="str">
        <f t="shared" si="0"/>
        <v>30-50</v>
      </c>
      <c r="Q6" s="4">
        <f>M6+N6</f>
        <v>7</v>
      </c>
      <c r="U6" s="28" t="str" cm="1">
        <f t="array" ref="U6">_xlfn.IFS(F6&lt;30000,"30k",F6&lt;=50000,"30k-50k",F6&lt;=75000,"50k-75k",F6&lt;=100000,"75k-100k",F6&gt;100000,"100k")</f>
        <v>30k</v>
      </c>
      <c r="W6" s="1">
        <f t="shared" si="1"/>
        <v>12</v>
      </c>
    </row>
    <row r="7" spans="1:23" x14ac:dyDescent="0.35">
      <c r="A7">
        <v>4</v>
      </c>
      <c r="B7">
        <v>5324</v>
      </c>
      <c r="C7">
        <v>1981</v>
      </c>
      <c r="D7" s="1" t="s">
        <v>13</v>
      </c>
      <c r="E7" s="1" t="s">
        <v>14</v>
      </c>
      <c r="F7">
        <v>58293</v>
      </c>
      <c r="G7">
        <v>1</v>
      </c>
      <c r="H7" s="2">
        <v>0</v>
      </c>
      <c r="I7" s="2">
        <v>41658</v>
      </c>
      <c r="J7">
        <v>94</v>
      </c>
      <c r="K7">
        <f>VLOOKUP(B7,purchase_dataset!$B$2:$F$2241,2,FALSE)</f>
        <v>43</v>
      </c>
      <c r="L7">
        <f>VLOOKUP(B7,purchase_dataset!$B$2:$F$2241,3,FALSE)</f>
        <v>27</v>
      </c>
      <c r="M7">
        <f>VLOOKUP(B7,purchase_dataset!$B$2:$F$2241,3,FALSE)</f>
        <v>27</v>
      </c>
      <c r="N7">
        <f>VLOOKUP(B7,purchase_dataset!$B$2:$F$2241,5,FALSE)</f>
        <v>6</v>
      </c>
      <c r="O7" s="5">
        <v>45</v>
      </c>
      <c r="P7" s="4" t="str">
        <f t="shared" si="0"/>
        <v>30-50</v>
      </c>
      <c r="Q7" s="4">
        <f>M7+N7</f>
        <v>33</v>
      </c>
      <c r="U7" s="28" t="str" cm="1">
        <f t="array" ref="U7">_xlfn.IFS(F7&lt;30000,"30k",F7&lt;=50000,"30k-50k",F7&lt;=75000,"50k-75k",F7&lt;=100000,"75k-100k",F7&gt;100000,"100k")</f>
        <v>50k-75k</v>
      </c>
      <c r="W7" s="1">
        <f t="shared" si="1"/>
        <v>12</v>
      </c>
    </row>
    <row r="8" spans="1:23" x14ac:dyDescent="0.35">
      <c r="A8">
        <v>5</v>
      </c>
      <c r="B8">
        <v>7446</v>
      </c>
      <c r="C8">
        <v>1967</v>
      </c>
      <c r="D8" s="1" t="s">
        <v>15</v>
      </c>
      <c r="E8" s="1" t="s">
        <v>12</v>
      </c>
      <c r="F8">
        <v>62513</v>
      </c>
      <c r="G8">
        <v>0</v>
      </c>
      <c r="H8" s="2">
        <v>1</v>
      </c>
      <c r="I8" s="2">
        <v>41526</v>
      </c>
      <c r="J8">
        <v>16</v>
      </c>
      <c r="K8">
        <f>VLOOKUP(B8,purchase_dataset!$B$2:$F$2241,2,FALSE)</f>
        <v>42</v>
      </c>
      <c r="L8">
        <f>VLOOKUP(B8,purchase_dataset!$B$2:$F$2241,3,FALSE)</f>
        <v>42</v>
      </c>
      <c r="M8">
        <f>VLOOKUP(B8,purchase_dataset!$B$2:$F$2241,3,FALSE)</f>
        <v>42</v>
      </c>
      <c r="N8">
        <f>VLOOKUP(B8,purchase_dataset!$B$2:$F$2241,5,FALSE)</f>
        <v>10</v>
      </c>
      <c r="O8" s="5">
        <v>59</v>
      </c>
      <c r="P8" s="4" t="str">
        <f t="shared" si="0"/>
        <v>&gt;50</v>
      </c>
      <c r="Q8" s="4">
        <f>M8+N8</f>
        <v>52</v>
      </c>
      <c r="U8" s="28" t="str" cm="1">
        <f t="array" ref="U8">_xlfn.IFS(F8&lt;30000,"30k",F8&lt;=50000,"30k-50k",F8&lt;=75000,"50k-75k",F8&lt;=100000,"75k-100k",F8&gt;100000,"100k")</f>
        <v>50k-75k</v>
      </c>
      <c r="W8" s="1">
        <f t="shared" si="1"/>
        <v>13</v>
      </c>
    </row>
    <row r="9" spans="1:23" x14ac:dyDescent="0.35">
      <c r="A9">
        <v>6</v>
      </c>
      <c r="B9">
        <v>965</v>
      </c>
      <c r="C9">
        <v>1971</v>
      </c>
      <c r="D9" s="1" t="s">
        <v>10</v>
      </c>
      <c r="E9" s="1" t="s">
        <v>16</v>
      </c>
      <c r="F9">
        <v>55635</v>
      </c>
      <c r="G9">
        <v>0</v>
      </c>
      <c r="H9" s="2">
        <v>1</v>
      </c>
      <c r="I9" s="2">
        <v>41226</v>
      </c>
      <c r="J9">
        <v>34</v>
      </c>
      <c r="K9">
        <f>VLOOKUP(B9,purchase_dataset!$B$2:$F$2241,2,FALSE)</f>
        <v>65</v>
      </c>
      <c r="L9">
        <f>VLOOKUP(B9,purchase_dataset!$B$2:$F$2241,3,FALSE)</f>
        <v>49</v>
      </c>
      <c r="M9">
        <f>VLOOKUP(B9,purchase_dataset!$B$2:$F$2241,3,FALSE)</f>
        <v>49</v>
      </c>
      <c r="N9">
        <f>VLOOKUP(B9,purchase_dataset!$B$2:$F$2241,5,FALSE)</f>
        <v>7</v>
      </c>
      <c r="O9" s="5">
        <v>55</v>
      </c>
      <c r="P9" s="4" t="str">
        <f t="shared" si="0"/>
        <v>&gt;50</v>
      </c>
      <c r="Q9" s="4">
        <f>M9+N9</f>
        <v>56</v>
      </c>
      <c r="U9" s="28" t="str" cm="1">
        <f t="array" ref="U9">_xlfn.IFS(F9&lt;30000,"30k",F9&lt;=50000,"30k-50k",F9&lt;=75000,"50k-75k",F9&lt;=100000,"75k-100k",F9&gt;100000,"100k")</f>
        <v>50k-75k</v>
      </c>
      <c r="W9" s="1">
        <f t="shared" si="1"/>
        <v>14</v>
      </c>
    </row>
    <row r="10" spans="1:23" x14ac:dyDescent="0.35">
      <c r="A10">
        <v>7</v>
      </c>
      <c r="B10">
        <v>6177</v>
      </c>
      <c r="C10">
        <v>1985</v>
      </c>
      <c r="D10" s="1" t="s">
        <v>13</v>
      </c>
      <c r="E10" s="1" t="s">
        <v>14</v>
      </c>
      <c r="F10">
        <v>33454</v>
      </c>
      <c r="G10">
        <v>1</v>
      </c>
      <c r="H10" s="2">
        <v>0</v>
      </c>
      <c r="I10" s="2">
        <v>41402</v>
      </c>
      <c r="J10">
        <v>32</v>
      </c>
      <c r="K10">
        <f>VLOOKUP(B10,purchase_dataset!$B$2:$F$2241,2,FALSE)</f>
        <v>10</v>
      </c>
      <c r="L10">
        <f>VLOOKUP(B10,purchase_dataset!$B$2:$F$2241,3,FALSE)</f>
        <v>1</v>
      </c>
      <c r="M10">
        <f>VLOOKUP(B10,purchase_dataset!$B$2:$F$2241,3,FALSE)</f>
        <v>1</v>
      </c>
      <c r="N10">
        <f>VLOOKUP(B10,purchase_dataset!$B$2:$F$2241,5,FALSE)</f>
        <v>4</v>
      </c>
      <c r="O10" s="5">
        <v>41</v>
      </c>
      <c r="P10" s="4" t="str">
        <f t="shared" si="0"/>
        <v>30-50</v>
      </c>
      <c r="Q10" s="4">
        <f>M10+N10</f>
        <v>5</v>
      </c>
      <c r="U10" s="28" t="str" cm="1">
        <f t="array" ref="U10">_xlfn.IFS(F10&lt;30000,"30k",F10&lt;=50000,"30k-50k",F10&lt;=75000,"50k-75k",F10&lt;=100000,"75k-100k",F10&gt;100000,"100k")</f>
        <v>30k-50k</v>
      </c>
      <c r="W10" s="1">
        <f t="shared" si="1"/>
        <v>13</v>
      </c>
    </row>
    <row r="11" spans="1:23" x14ac:dyDescent="0.35">
      <c r="A11">
        <v>8</v>
      </c>
      <c r="B11">
        <v>4855</v>
      </c>
      <c r="C11">
        <v>1974</v>
      </c>
      <c r="D11" s="1" t="s">
        <v>13</v>
      </c>
      <c r="E11" s="1" t="s">
        <v>12</v>
      </c>
      <c r="F11">
        <v>30351</v>
      </c>
      <c r="G11">
        <v>1</v>
      </c>
      <c r="H11" s="2">
        <v>0</v>
      </c>
      <c r="I11" s="2">
        <v>41431</v>
      </c>
      <c r="J11">
        <v>19</v>
      </c>
      <c r="K11">
        <f>VLOOKUP(B11,purchase_dataset!$B$2:$F$2241,2,FALSE)</f>
        <v>0</v>
      </c>
      <c r="L11">
        <f>VLOOKUP(B11,purchase_dataset!$B$2:$F$2241,3,FALSE)</f>
        <v>3</v>
      </c>
      <c r="M11">
        <f>VLOOKUP(B11,purchase_dataset!$B$2:$F$2241,3,FALSE)</f>
        <v>3</v>
      </c>
      <c r="N11">
        <f>VLOOKUP(B11,purchase_dataset!$B$2:$F$2241,5,FALSE)</f>
        <v>2</v>
      </c>
      <c r="O11" s="5">
        <v>52</v>
      </c>
      <c r="P11" s="4" t="str">
        <f t="shared" si="0"/>
        <v>&gt;50</v>
      </c>
      <c r="Q11" s="4">
        <f>M11+N11</f>
        <v>5</v>
      </c>
      <c r="U11" s="28" t="str" cm="1">
        <f t="array" ref="U11">_xlfn.IFS(F11&lt;30000,"30k",F11&lt;=50000,"30k-50k",F11&lt;=75000,"50k-75k",F11&lt;=100000,"75k-100k",F11&gt;100000,"100k")</f>
        <v>30k-50k</v>
      </c>
      <c r="W11" s="1">
        <f t="shared" si="1"/>
        <v>13</v>
      </c>
    </row>
    <row r="12" spans="1:23" x14ac:dyDescent="0.35">
      <c r="A12">
        <v>9</v>
      </c>
      <c r="B12">
        <v>5899</v>
      </c>
      <c r="C12">
        <v>1950</v>
      </c>
      <c r="D12" s="1" t="s">
        <v>13</v>
      </c>
      <c r="E12" s="1" t="s">
        <v>12</v>
      </c>
      <c r="F12">
        <v>5648</v>
      </c>
      <c r="G12">
        <v>1</v>
      </c>
      <c r="H12" s="2">
        <v>1</v>
      </c>
      <c r="I12" s="2">
        <v>41711</v>
      </c>
      <c r="J12">
        <v>68</v>
      </c>
      <c r="K12">
        <f>VLOOKUP(B12,purchase_dataset!$B$2:$F$2241,2,FALSE)</f>
        <v>0</v>
      </c>
      <c r="L12">
        <f>VLOOKUP(B12,purchase_dataset!$B$2:$F$2241,3,FALSE)</f>
        <v>1</v>
      </c>
      <c r="M12">
        <f>VLOOKUP(B12,purchase_dataset!$B$2:$F$2241,3,FALSE)</f>
        <v>1</v>
      </c>
      <c r="N12">
        <f>VLOOKUP(B12,purchase_dataset!$B$2:$F$2241,5,FALSE)</f>
        <v>0</v>
      </c>
      <c r="O12" s="5">
        <v>76</v>
      </c>
      <c r="P12" s="4" t="str">
        <f t="shared" si="0"/>
        <v>&gt;50</v>
      </c>
      <c r="Q12" s="4">
        <f>M12+N12</f>
        <v>1</v>
      </c>
      <c r="U12" s="28" t="str" cm="1">
        <f t="array" ref="U12">_xlfn.IFS(F12&lt;30000,"30k",F12&lt;=50000,"30k-50k",F12&lt;=75000,"50k-75k",F12&lt;=100000,"75k-100k",F12&gt;100000,"100k")</f>
        <v>30k</v>
      </c>
      <c r="W12" s="1">
        <f t="shared" si="1"/>
        <v>12</v>
      </c>
    </row>
    <row r="13" spans="1:23" x14ac:dyDescent="0.35">
      <c r="A13">
        <v>10</v>
      </c>
      <c r="B13">
        <v>1994</v>
      </c>
      <c r="C13">
        <v>1983</v>
      </c>
      <c r="D13" s="1" t="s">
        <v>10</v>
      </c>
      <c r="E13" s="1" t="s">
        <v>14</v>
      </c>
      <c r="G13">
        <v>1</v>
      </c>
      <c r="H13" s="2">
        <v>0</v>
      </c>
      <c r="I13" s="2">
        <v>41593</v>
      </c>
      <c r="J13">
        <v>11</v>
      </c>
      <c r="K13">
        <f>VLOOKUP(B13,purchase_dataset!$B$2:$F$2241,2,FALSE)</f>
        <v>5</v>
      </c>
      <c r="L13">
        <f>VLOOKUP(B13,purchase_dataset!$B$2:$F$2241,3,FALSE)</f>
        <v>2</v>
      </c>
      <c r="M13">
        <f>VLOOKUP(B13,purchase_dataset!$B$2:$F$2241,3,FALSE)</f>
        <v>2</v>
      </c>
      <c r="N13">
        <f>VLOOKUP(B13,purchase_dataset!$B$2:$F$2241,5,FALSE)</f>
        <v>2</v>
      </c>
      <c r="O13" s="5">
        <v>43</v>
      </c>
      <c r="P13" s="4" t="str">
        <f t="shared" si="0"/>
        <v>30-50</v>
      </c>
      <c r="Q13" s="4">
        <f>M13+N13</f>
        <v>4</v>
      </c>
      <c r="U13" s="28" t="str" cm="1">
        <f t="array" ref="U13">_xlfn.IFS(F13&lt;30000,"30k",F13&lt;=50000,"30k-50k",F13&lt;=75000,"50k-75k",F13&lt;=100000,"75k-100k",F13&gt;100000,"100k")</f>
        <v>30k</v>
      </c>
      <c r="W13" s="1">
        <f t="shared" si="1"/>
        <v>13</v>
      </c>
    </row>
    <row r="14" spans="1:23" x14ac:dyDescent="0.35">
      <c r="A14">
        <v>11</v>
      </c>
      <c r="B14">
        <v>387</v>
      </c>
      <c r="C14">
        <v>1976</v>
      </c>
      <c r="D14" s="1" t="s">
        <v>17</v>
      </c>
      <c r="E14" s="1" t="s">
        <v>14</v>
      </c>
      <c r="F14">
        <v>7500</v>
      </c>
      <c r="G14">
        <v>0</v>
      </c>
      <c r="H14" s="2">
        <v>0</v>
      </c>
      <c r="I14" s="2">
        <v>41226</v>
      </c>
      <c r="J14">
        <v>59</v>
      </c>
      <c r="K14">
        <f>VLOOKUP(B14,purchase_dataset!$B$2:$F$2241,2,FALSE)</f>
        <v>16</v>
      </c>
      <c r="L14">
        <f>VLOOKUP(B14,purchase_dataset!$B$2:$F$2241,3,FALSE)</f>
        <v>1</v>
      </c>
      <c r="M14">
        <f>VLOOKUP(B14,purchase_dataset!$B$2:$F$2241,3,FALSE)</f>
        <v>1</v>
      </c>
      <c r="N14">
        <f>VLOOKUP(B14,purchase_dataset!$B$2:$F$2241,5,FALSE)</f>
        <v>3</v>
      </c>
      <c r="O14" s="5">
        <v>50</v>
      </c>
      <c r="P14" s="4" t="str">
        <f t="shared" si="0"/>
        <v>30-50</v>
      </c>
      <c r="Q14" s="4">
        <f>M14+N14</f>
        <v>4</v>
      </c>
      <c r="U14" s="28" t="str" cm="1">
        <f t="array" ref="U14">_xlfn.IFS(F14&lt;30000,"30k",F14&lt;=50000,"30k-50k",F14&lt;=75000,"50k-75k",F14&lt;=100000,"75k-100k",F14&gt;100000,"100k")</f>
        <v>30k</v>
      </c>
      <c r="W14" s="1">
        <f t="shared" si="1"/>
        <v>14</v>
      </c>
    </row>
    <row r="15" spans="1:23" x14ac:dyDescent="0.35">
      <c r="A15">
        <v>12</v>
      </c>
      <c r="B15">
        <v>2125</v>
      </c>
      <c r="C15">
        <v>1959</v>
      </c>
      <c r="D15" s="1" t="s">
        <v>10</v>
      </c>
      <c r="E15" s="1" t="s">
        <v>16</v>
      </c>
      <c r="F15">
        <v>63033</v>
      </c>
      <c r="G15">
        <v>0</v>
      </c>
      <c r="H15" s="2">
        <v>0</v>
      </c>
      <c r="I15" s="2">
        <v>41593</v>
      </c>
      <c r="J15">
        <v>82</v>
      </c>
      <c r="K15">
        <f>VLOOKUP(B15,purchase_dataset!$B$2:$F$2241,2,FALSE)</f>
        <v>61</v>
      </c>
      <c r="L15">
        <f>VLOOKUP(B15,purchase_dataset!$B$2:$F$2241,3,FALSE)</f>
        <v>112</v>
      </c>
      <c r="M15">
        <f>VLOOKUP(B15,purchase_dataset!$B$2:$F$2241,3,FALSE)</f>
        <v>112</v>
      </c>
      <c r="N15">
        <f>VLOOKUP(B15,purchase_dataset!$B$2:$F$2241,5,FALSE)</f>
        <v>8</v>
      </c>
      <c r="O15" s="5">
        <v>67</v>
      </c>
      <c r="P15" s="4" t="str">
        <f t="shared" si="0"/>
        <v>&gt;50</v>
      </c>
      <c r="Q15" s="4">
        <f>M15+N15</f>
        <v>120</v>
      </c>
      <c r="U15" s="28" t="str" cm="1">
        <f t="array" ref="U15">_xlfn.IFS(F15&lt;30000,"30k",F15&lt;=50000,"30k-50k",F15&lt;=75000,"50k-75k",F15&lt;=100000,"75k-100k",F15&gt;100000,"100k")</f>
        <v>50k-75k</v>
      </c>
      <c r="W15" s="1">
        <f t="shared" si="1"/>
        <v>13</v>
      </c>
    </row>
    <row r="16" spans="1:23" x14ac:dyDescent="0.35">
      <c r="A16">
        <v>13</v>
      </c>
      <c r="B16">
        <v>8180</v>
      </c>
      <c r="C16">
        <v>1952</v>
      </c>
      <c r="D16" s="1" t="s">
        <v>15</v>
      </c>
      <c r="E16" s="1" t="s">
        <v>16</v>
      </c>
      <c r="F16">
        <v>59354</v>
      </c>
      <c r="G16">
        <v>1</v>
      </c>
      <c r="H16" s="2">
        <v>1</v>
      </c>
      <c r="I16" s="2">
        <v>41593</v>
      </c>
      <c r="J16">
        <v>53</v>
      </c>
      <c r="K16">
        <f>VLOOKUP(B16,purchase_dataset!$B$2:$F$2241,2,FALSE)</f>
        <v>2</v>
      </c>
      <c r="L16">
        <f>VLOOKUP(B16,purchase_dataset!$B$2:$F$2241,3,FALSE)</f>
        <v>5</v>
      </c>
      <c r="M16">
        <f>VLOOKUP(B16,purchase_dataset!$B$2:$F$2241,3,FALSE)</f>
        <v>5</v>
      </c>
      <c r="N16">
        <f>VLOOKUP(B16,purchase_dataset!$B$2:$F$2241,5,FALSE)</f>
        <v>5</v>
      </c>
      <c r="O16" s="5">
        <v>74</v>
      </c>
      <c r="P16" s="4" t="str">
        <f t="shared" si="0"/>
        <v>&gt;50</v>
      </c>
      <c r="Q16" s="4">
        <f>M16+N16</f>
        <v>10</v>
      </c>
      <c r="U16" s="28" t="str" cm="1">
        <f t="array" ref="U16">_xlfn.IFS(F16&lt;30000,"30k",F16&lt;=50000,"30k-50k",F16&lt;=75000,"50k-75k",F16&lt;=100000,"75k-100k",F16&gt;100000,"100k")</f>
        <v>50k-75k</v>
      </c>
      <c r="W16" s="1">
        <f t="shared" si="1"/>
        <v>13</v>
      </c>
    </row>
    <row r="17" spans="1:23" x14ac:dyDescent="0.35">
      <c r="A17">
        <v>14</v>
      </c>
      <c r="B17">
        <v>2569</v>
      </c>
      <c r="C17">
        <v>1987</v>
      </c>
      <c r="D17" s="1" t="s">
        <v>10</v>
      </c>
      <c r="E17" s="1" t="s">
        <v>14</v>
      </c>
      <c r="F17">
        <v>17323</v>
      </c>
      <c r="G17">
        <v>0</v>
      </c>
      <c r="H17" s="2">
        <v>0</v>
      </c>
      <c r="I17" s="2">
        <v>41192</v>
      </c>
      <c r="J17">
        <v>38</v>
      </c>
      <c r="K17">
        <f>VLOOKUP(B17,purchase_dataset!$B$2:$F$2241,2,FALSE)</f>
        <v>14</v>
      </c>
      <c r="L17">
        <f>VLOOKUP(B17,purchase_dataset!$B$2:$F$2241,3,FALSE)</f>
        <v>1</v>
      </c>
      <c r="M17">
        <f>VLOOKUP(B17,purchase_dataset!$B$2:$F$2241,3,FALSE)</f>
        <v>1</v>
      </c>
      <c r="N17">
        <f>VLOOKUP(B17,purchase_dataset!$B$2:$F$2241,5,FALSE)</f>
        <v>3</v>
      </c>
      <c r="O17" s="5">
        <v>39</v>
      </c>
      <c r="P17" s="4" t="str">
        <f t="shared" si="0"/>
        <v>30-50</v>
      </c>
      <c r="Q17" s="4">
        <f>M17+N17</f>
        <v>4</v>
      </c>
      <c r="U17" s="28" t="str" cm="1">
        <f t="array" ref="U17">_xlfn.IFS(F17&lt;30000,"30k",F17&lt;=50000,"30k-50k",F17&lt;=75000,"50k-75k",F17&lt;=100000,"75k-100k",F17&gt;100000,"100k")</f>
        <v>30k</v>
      </c>
      <c r="W17" s="1">
        <f t="shared" si="1"/>
        <v>14</v>
      </c>
    </row>
    <row r="18" spans="1:23" x14ac:dyDescent="0.35">
      <c r="A18">
        <v>15</v>
      </c>
      <c r="B18">
        <v>2114</v>
      </c>
      <c r="C18">
        <v>1946</v>
      </c>
      <c r="D18" s="1" t="s">
        <v>13</v>
      </c>
      <c r="E18" s="1" t="s">
        <v>11</v>
      </c>
      <c r="F18">
        <v>82800</v>
      </c>
      <c r="G18">
        <v>0</v>
      </c>
      <c r="H18" s="2">
        <v>0</v>
      </c>
      <c r="I18" s="2">
        <v>41237</v>
      </c>
      <c r="J18">
        <v>23</v>
      </c>
      <c r="K18">
        <f>VLOOKUP(B18,purchase_dataset!$B$2:$F$2241,2,FALSE)</f>
        <v>22</v>
      </c>
      <c r="L18">
        <f>VLOOKUP(B18,purchase_dataset!$B$2:$F$2241,3,FALSE)</f>
        <v>68</v>
      </c>
      <c r="M18">
        <f>VLOOKUP(B18,purchase_dataset!$B$2:$F$2241,3,FALSE)</f>
        <v>68</v>
      </c>
      <c r="N18">
        <f>VLOOKUP(B18,purchase_dataset!$B$2:$F$2241,5,FALSE)</f>
        <v>12</v>
      </c>
      <c r="O18" s="5">
        <v>80</v>
      </c>
      <c r="P18" s="4" t="str">
        <f t="shared" si="0"/>
        <v>&gt;50</v>
      </c>
      <c r="Q18" s="4">
        <f>M18+N18</f>
        <v>80</v>
      </c>
      <c r="U18" s="28" t="str" cm="1">
        <f t="array" ref="U18">_xlfn.IFS(F18&lt;30000,"30k",F18&lt;=50000,"30k-50k",F18&lt;=75000,"50k-75k",F18&lt;=100000,"75k-100k",F18&gt;100000,"100k")</f>
        <v>75k-100k</v>
      </c>
      <c r="W18" s="1">
        <f t="shared" si="1"/>
        <v>14</v>
      </c>
    </row>
    <row r="19" spans="1:23" x14ac:dyDescent="0.35">
      <c r="A19">
        <v>16</v>
      </c>
      <c r="B19">
        <v>9736</v>
      </c>
      <c r="C19">
        <v>1980</v>
      </c>
      <c r="D19" s="1" t="s">
        <v>10</v>
      </c>
      <c r="E19" s="1" t="s">
        <v>14</v>
      </c>
      <c r="F19">
        <v>41850</v>
      </c>
      <c r="G19">
        <v>1</v>
      </c>
      <c r="H19" s="2">
        <v>1</v>
      </c>
      <c r="I19" s="2">
        <v>41267</v>
      </c>
      <c r="J19">
        <v>51</v>
      </c>
      <c r="K19">
        <f>VLOOKUP(B19,purchase_dataset!$B$2:$F$2241,2,FALSE)</f>
        <v>5</v>
      </c>
      <c r="L19">
        <f>VLOOKUP(B19,purchase_dataset!$B$2:$F$2241,3,FALSE)</f>
        <v>13</v>
      </c>
      <c r="M19">
        <f>VLOOKUP(B19,purchase_dataset!$B$2:$F$2241,3,FALSE)</f>
        <v>13</v>
      </c>
      <c r="N19">
        <f>VLOOKUP(B19,purchase_dataset!$B$2:$F$2241,5,FALSE)</f>
        <v>3</v>
      </c>
      <c r="O19" s="5">
        <v>46</v>
      </c>
      <c r="P19" s="4" t="str">
        <f t="shared" si="0"/>
        <v>30-50</v>
      </c>
      <c r="Q19" s="4">
        <f>M19+N19</f>
        <v>16</v>
      </c>
      <c r="U19" s="28" t="str" cm="1">
        <f t="array" ref="U19">_xlfn.IFS(F19&lt;30000,"30k",F19&lt;=50000,"30k-50k",F19&lt;=75000,"50k-75k",F19&lt;=100000,"75k-100k",F19&gt;100000,"100k")</f>
        <v>30k-50k</v>
      </c>
      <c r="W19" s="1">
        <f t="shared" si="1"/>
        <v>14</v>
      </c>
    </row>
    <row r="20" spans="1:23" x14ac:dyDescent="0.35">
      <c r="A20">
        <v>17</v>
      </c>
      <c r="B20">
        <v>4939</v>
      </c>
      <c r="C20">
        <v>1946</v>
      </c>
      <c r="D20" s="1" t="s">
        <v>10</v>
      </c>
      <c r="E20" s="1" t="s">
        <v>12</v>
      </c>
      <c r="F20">
        <v>37760</v>
      </c>
      <c r="G20">
        <v>0</v>
      </c>
      <c r="H20" s="2">
        <v>0</v>
      </c>
      <c r="I20" s="2">
        <v>41152</v>
      </c>
      <c r="J20">
        <v>20</v>
      </c>
      <c r="K20">
        <f>VLOOKUP(B20,purchase_dataset!$B$2:$F$2241,2,FALSE)</f>
        <v>5</v>
      </c>
      <c r="L20">
        <f>VLOOKUP(B20,purchase_dataset!$B$2:$F$2241,3,FALSE)</f>
        <v>12</v>
      </c>
      <c r="M20">
        <f>VLOOKUP(B20,purchase_dataset!$B$2:$F$2241,3,FALSE)</f>
        <v>12</v>
      </c>
      <c r="N20">
        <f>VLOOKUP(B20,purchase_dataset!$B$2:$F$2241,5,FALSE)</f>
        <v>6</v>
      </c>
      <c r="O20" s="5">
        <v>80</v>
      </c>
      <c r="P20" s="4" t="str">
        <f t="shared" si="0"/>
        <v>&gt;50</v>
      </c>
      <c r="Q20" s="4">
        <f>M20+N20</f>
        <v>18</v>
      </c>
      <c r="U20" s="28" t="str" cm="1">
        <f t="array" ref="U20">_xlfn.IFS(F20&lt;30000,"30k",F20&lt;=50000,"30k-50k",F20&lt;=75000,"50k-75k",F20&lt;=100000,"75k-100k",F20&gt;100000,"100k")</f>
        <v>30k-50k</v>
      </c>
      <c r="W20" s="1">
        <f t="shared" si="1"/>
        <v>14</v>
      </c>
    </row>
    <row r="21" spans="1:23" x14ac:dyDescent="0.35">
      <c r="A21">
        <v>18</v>
      </c>
      <c r="B21">
        <v>6565</v>
      </c>
      <c r="C21">
        <v>1949</v>
      </c>
      <c r="D21" s="1" t="s">
        <v>15</v>
      </c>
      <c r="E21" s="1" t="s">
        <v>14</v>
      </c>
      <c r="F21">
        <v>76995</v>
      </c>
      <c r="G21">
        <v>0</v>
      </c>
      <c r="H21" s="2">
        <v>1</v>
      </c>
      <c r="I21" s="2">
        <v>41361</v>
      </c>
      <c r="J21">
        <v>91</v>
      </c>
      <c r="K21">
        <f>VLOOKUP(B21,purchase_dataset!$B$2:$F$2241,2,FALSE)</f>
        <v>80</v>
      </c>
      <c r="L21">
        <f>VLOOKUP(B21,purchase_dataset!$B$2:$F$2241,3,FALSE)</f>
        <v>16</v>
      </c>
      <c r="M21">
        <f>VLOOKUP(B21,purchase_dataset!$B$2:$F$2241,3,FALSE)</f>
        <v>16</v>
      </c>
      <c r="N21">
        <f>VLOOKUP(B21,purchase_dataset!$B$2:$F$2241,5,FALSE)</f>
        <v>9</v>
      </c>
      <c r="O21" s="5">
        <v>77</v>
      </c>
      <c r="P21" s="4" t="str">
        <f t="shared" si="0"/>
        <v>&gt;50</v>
      </c>
      <c r="Q21" s="4">
        <f>M21+N21</f>
        <v>25</v>
      </c>
      <c r="U21" s="28" t="str" cm="1">
        <f t="array" ref="U21">_xlfn.IFS(F21&lt;30000,"30k",F21&lt;=50000,"30k-50k",F21&lt;=75000,"50k-75k",F21&lt;=100000,"75k-100k",F21&gt;100000,"100k")</f>
        <v>75k-100k</v>
      </c>
      <c r="W21" s="1">
        <f t="shared" si="1"/>
        <v>13</v>
      </c>
    </row>
    <row r="22" spans="1:23" x14ac:dyDescent="0.35">
      <c r="A22">
        <v>19</v>
      </c>
      <c r="B22">
        <v>2278</v>
      </c>
      <c r="C22">
        <v>1985</v>
      </c>
      <c r="D22" s="1" t="s">
        <v>18</v>
      </c>
      <c r="E22" s="1" t="s">
        <v>11</v>
      </c>
      <c r="F22">
        <v>33812</v>
      </c>
      <c r="G22">
        <v>1</v>
      </c>
      <c r="H22" s="2">
        <v>0</v>
      </c>
      <c r="I22" s="2">
        <v>41216</v>
      </c>
      <c r="J22">
        <v>86</v>
      </c>
      <c r="K22">
        <f>VLOOKUP(B22,purchase_dataset!$B$2:$F$2241,2,FALSE)</f>
        <v>17</v>
      </c>
      <c r="L22">
        <f>VLOOKUP(B22,purchase_dataset!$B$2:$F$2241,3,FALSE)</f>
        <v>24</v>
      </c>
      <c r="M22">
        <f>VLOOKUP(B22,purchase_dataset!$B$2:$F$2241,3,FALSE)</f>
        <v>24</v>
      </c>
      <c r="N22">
        <f>VLOOKUP(B22,purchase_dataset!$B$2:$F$2241,5,FALSE)</f>
        <v>3</v>
      </c>
      <c r="O22" s="5">
        <v>41</v>
      </c>
      <c r="P22" s="4" t="str">
        <f t="shared" si="0"/>
        <v>30-50</v>
      </c>
      <c r="Q22" s="4">
        <f>M22+N22</f>
        <v>27</v>
      </c>
      <c r="U22" s="28" t="str" cm="1">
        <f t="array" ref="U22">_xlfn.IFS(F22&lt;30000,"30k",F22&lt;=50000,"30k-50k",F22&lt;=75000,"50k-75k",F22&lt;=100000,"75k-100k",F22&gt;100000,"100k")</f>
        <v>30k-50k</v>
      </c>
      <c r="W22" s="1">
        <f t="shared" si="1"/>
        <v>14</v>
      </c>
    </row>
    <row r="23" spans="1:23" x14ac:dyDescent="0.35">
      <c r="A23">
        <v>20</v>
      </c>
      <c r="B23">
        <v>9360</v>
      </c>
      <c r="C23">
        <v>1982</v>
      </c>
      <c r="D23" s="1" t="s">
        <v>10</v>
      </c>
      <c r="E23" s="1" t="s">
        <v>14</v>
      </c>
      <c r="F23">
        <v>37040</v>
      </c>
      <c r="G23">
        <v>0</v>
      </c>
      <c r="H23" s="2">
        <v>0</v>
      </c>
      <c r="I23" s="2">
        <v>41129</v>
      </c>
      <c r="J23">
        <v>41</v>
      </c>
      <c r="K23">
        <f>VLOOKUP(B23,purchase_dataset!$B$2:$F$2241,2,FALSE)</f>
        <v>2</v>
      </c>
      <c r="L23">
        <f>VLOOKUP(B23,purchase_dataset!$B$2:$F$2241,3,FALSE)</f>
        <v>38</v>
      </c>
      <c r="M23">
        <f>VLOOKUP(B23,purchase_dataset!$B$2:$F$2241,3,FALSE)</f>
        <v>38</v>
      </c>
      <c r="N23">
        <f>VLOOKUP(B23,purchase_dataset!$B$2:$F$2241,5,FALSE)</f>
        <v>5</v>
      </c>
      <c r="O23" s="5">
        <v>44</v>
      </c>
      <c r="P23" s="4" t="str">
        <f t="shared" si="0"/>
        <v>30-50</v>
      </c>
      <c r="Q23" s="4">
        <f>M23+N23</f>
        <v>43</v>
      </c>
      <c r="U23" s="28" t="str" cm="1">
        <f t="array" ref="U23">_xlfn.IFS(F23&lt;30000,"30k",F23&lt;=50000,"30k-50k",F23&lt;=75000,"50k-75k",F23&lt;=100000,"75k-100k",F23&gt;100000,"100k")</f>
        <v>30k-50k</v>
      </c>
      <c r="W23" s="1">
        <f t="shared" si="1"/>
        <v>14</v>
      </c>
    </row>
    <row r="24" spans="1:23" x14ac:dyDescent="0.35">
      <c r="A24">
        <v>21</v>
      </c>
      <c r="B24">
        <v>5376</v>
      </c>
      <c r="C24">
        <v>1979</v>
      </c>
      <c r="D24" s="1" t="s">
        <v>10</v>
      </c>
      <c r="E24" s="1" t="s">
        <v>14</v>
      </c>
      <c r="F24">
        <v>2447</v>
      </c>
      <c r="G24">
        <v>1</v>
      </c>
      <c r="H24" s="2">
        <v>0</v>
      </c>
      <c r="I24" s="2">
        <v>41280</v>
      </c>
      <c r="J24">
        <v>42</v>
      </c>
      <c r="K24">
        <f>VLOOKUP(B24,purchase_dataset!$B$2:$F$2241,2,FALSE)</f>
        <v>1</v>
      </c>
      <c r="L24">
        <f>VLOOKUP(B24,purchase_dataset!$B$2:$F$2241,3,FALSE)</f>
        <v>1</v>
      </c>
      <c r="M24">
        <f>VLOOKUP(B24,purchase_dataset!$B$2:$F$2241,3,FALSE)</f>
        <v>1</v>
      </c>
      <c r="N24">
        <f>VLOOKUP(B24,purchase_dataset!$B$2:$F$2241,5,FALSE)</f>
        <v>0</v>
      </c>
      <c r="O24" s="5">
        <v>47</v>
      </c>
      <c r="P24" s="4" t="str">
        <f t="shared" si="0"/>
        <v>30-50</v>
      </c>
      <c r="Q24" s="4">
        <f>M24+N24</f>
        <v>1</v>
      </c>
      <c r="U24" s="28" t="str" cm="1">
        <f t="array" ref="U24">_xlfn.IFS(F24&lt;30000,"30k",F24&lt;=50000,"30k-50k",F24&lt;=75000,"50k-75k",F24&lt;=100000,"75k-100k",F24&gt;100000,"100k")</f>
        <v>30k</v>
      </c>
      <c r="W24" s="1">
        <f t="shared" si="1"/>
        <v>13</v>
      </c>
    </row>
    <row r="25" spans="1:23" x14ac:dyDescent="0.35">
      <c r="A25">
        <v>22</v>
      </c>
      <c r="B25">
        <v>1993</v>
      </c>
      <c r="C25">
        <v>1949</v>
      </c>
      <c r="D25" s="1" t="s">
        <v>13</v>
      </c>
      <c r="E25" s="1" t="s">
        <v>14</v>
      </c>
      <c r="F25">
        <v>58607</v>
      </c>
      <c r="G25">
        <v>0</v>
      </c>
      <c r="H25" s="2">
        <v>1</v>
      </c>
      <c r="I25" s="2">
        <v>41266</v>
      </c>
      <c r="J25">
        <v>63</v>
      </c>
      <c r="K25">
        <f>VLOOKUP(B25,purchase_dataset!$B$2:$F$2241,2,FALSE)</f>
        <v>0</v>
      </c>
      <c r="L25">
        <f>VLOOKUP(B25,purchase_dataset!$B$2:$F$2241,3,FALSE)</f>
        <v>0</v>
      </c>
      <c r="M25">
        <f>VLOOKUP(B25,purchase_dataset!$B$2:$F$2241,3,FALSE)</f>
        <v>0</v>
      </c>
      <c r="N25">
        <f>VLOOKUP(B25,purchase_dataset!$B$2:$F$2241,5,FALSE)</f>
        <v>9</v>
      </c>
      <c r="O25" s="5">
        <v>77</v>
      </c>
      <c r="P25" s="4" t="str">
        <f t="shared" si="0"/>
        <v>&gt;50</v>
      </c>
      <c r="Q25" s="4">
        <f>M25+N25</f>
        <v>9</v>
      </c>
      <c r="U25" s="28" t="str" cm="1">
        <f t="array" ref="U25">_xlfn.IFS(F25&lt;30000,"30k",F25&lt;=50000,"30k-50k",F25&lt;=75000,"50k-75k",F25&lt;=100000,"75k-100k",F25&gt;100000,"100k")</f>
        <v>50k-75k</v>
      </c>
      <c r="W25" s="1">
        <f t="shared" si="1"/>
        <v>14</v>
      </c>
    </row>
    <row r="26" spans="1:23" x14ac:dyDescent="0.35">
      <c r="A26">
        <v>23</v>
      </c>
      <c r="B26">
        <v>4047</v>
      </c>
      <c r="C26">
        <v>1954</v>
      </c>
      <c r="D26" s="1" t="s">
        <v>13</v>
      </c>
      <c r="E26" s="1" t="s">
        <v>14</v>
      </c>
      <c r="F26">
        <v>65324</v>
      </c>
      <c r="G26">
        <v>0</v>
      </c>
      <c r="H26" s="2">
        <v>1</v>
      </c>
      <c r="I26" s="2">
        <v>41650</v>
      </c>
      <c r="J26">
        <v>0</v>
      </c>
      <c r="K26">
        <f>VLOOKUP(B26,purchase_dataset!$B$2:$F$2241,2,FALSE)</f>
        <v>0</v>
      </c>
      <c r="L26">
        <f>VLOOKUP(B26,purchase_dataset!$B$2:$F$2241,3,FALSE)</f>
        <v>32</v>
      </c>
      <c r="M26">
        <f>VLOOKUP(B26,purchase_dataset!$B$2:$F$2241,3,FALSE)</f>
        <v>32</v>
      </c>
      <c r="N26">
        <f>VLOOKUP(B26,purchase_dataset!$B$2:$F$2241,5,FALSE)</f>
        <v>9</v>
      </c>
      <c r="O26" s="5">
        <v>72</v>
      </c>
      <c r="P26" s="4" t="str">
        <f t="shared" si="0"/>
        <v>&gt;50</v>
      </c>
      <c r="Q26" s="4">
        <f>M26+N26</f>
        <v>41</v>
      </c>
      <c r="U26" s="28" t="str" cm="1">
        <f t="array" ref="U26">_xlfn.IFS(F26&lt;30000,"30k",F26&lt;=50000,"30k-50k",F26&lt;=75000,"50k-75k",F26&lt;=100000,"75k-100k",F26&gt;100000,"100k")</f>
        <v>50k-75k</v>
      </c>
      <c r="W26" s="1">
        <f t="shared" si="1"/>
        <v>12</v>
      </c>
    </row>
    <row r="27" spans="1:23" x14ac:dyDescent="0.35">
      <c r="A27">
        <v>24</v>
      </c>
      <c r="B27">
        <v>1409</v>
      </c>
      <c r="C27">
        <v>1951</v>
      </c>
      <c r="D27" s="1" t="s">
        <v>10</v>
      </c>
      <c r="E27" s="1" t="s">
        <v>12</v>
      </c>
      <c r="F27">
        <v>40689</v>
      </c>
      <c r="G27">
        <v>0</v>
      </c>
      <c r="H27" s="2">
        <v>1</v>
      </c>
      <c r="I27" s="2">
        <v>41351</v>
      </c>
      <c r="J27">
        <v>69</v>
      </c>
      <c r="K27">
        <f>VLOOKUP(B27,purchase_dataset!$B$2:$F$2241,2,FALSE)</f>
        <v>3</v>
      </c>
      <c r="L27">
        <f>VLOOKUP(B27,purchase_dataset!$B$2:$F$2241,3,FALSE)</f>
        <v>6</v>
      </c>
      <c r="M27">
        <f>VLOOKUP(B27,purchase_dataset!$B$2:$F$2241,3,FALSE)</f>
        <v>6</v>
      </c>
      <c r="N27">
        <f>VLOOKUP(B27,purchase_dataset!$B$2:$F$2241,5,FALSE)</f>
        <v>5</v>
      </c>
      <c r="O27" s="5">
        <v>75</v>
      </c>
      <c r="P27" s="4" t="str">
        <f t="shared" si="0"/>
        <v>&gt;50</v>
      </c>
      <c r="Q27" s="4">
        <f>M27+N27</f>
        <v>11</v>
      </c>
      <c r="U27" s="28" t="str" cm="1">
        <f t="array" ref="U27">_xlfn.IFS(F27&lt;30000,"30k",F27&lt;=50000,"30k-50k",F27&lt;=75000,"50k-75k",F27&lt;=100000,"75k-100k",F27&gt;100000,"100k")</f>
        <v>30k-50k</v>
      </c>
      <c r="W27" s="1">
        <f t="shared" si="1"/>
        <v>13</v>
      </c>
    </row>
    <row r="28" spans="1:23" x14ac:dyDescent="0.35">
      <c r="A28">
        <v>25</v>
      </c>
      <c r="B28">
        <v>7892</v>
      </c>
      <c r="C28">
        <v>1969</v>
      </c>
      <c r="D28" s="1" t="s">
        <v>10</v>
      </c>
      <c r="E28" s="1" t="s">
        <v>11</v>
      </c>
      <c r="F28">
        <v>18589</v>
      </c>
      <c r="G28">
        <v>0</v>
      </c>
      <c r="H28" s="2">
        <v>0</v>
      </c>
      <c r="I28" s="2">
        <v>41276</v>
      </c>
      <c r="J28">
        <v>89</v>
      </c>
      <c r="K28">
        <f>VLOOKUP(B28,purchase_dataset!$B$2:$F$2241,2,FALSE)</f>
        <v>4</v>
      </c>
      <c r="L28">
        <f>VLOOKUP(B28,purchase_dataset!$B$2:$F$2241,3,FALSE)</f>
        <v>12</v>
      </c>
      <c r="M28">
        <f>VLOOKUP(B28,purchase_dataset!$B$2:$F$2241,3,FALSE)</f>
        <v>12</v>
      </c>
      <c r="N28">
        <f>VLOOKUP(B28,purchase_dataset!$B$2:$F$2241,5,FALSE)</f>
        <v>3</v>
      </c>
      <c r="O28" s="5">
        <v>57</v>
      </c>
      <c r="P28" s="4" t="str">
        <f t="shared" si="0"/>
        <v>&gt;50</v>
      </c>
      <c r="Q28" s="4">
        <f>M28+N28</f>
        <v>15</v>
      </c>
      <c r="U28" s="28" t="str" cm="1">
        <f t="array" ref="U28">_xlfn.IFS(F28&lt;30000,"30k",F28&lt;=50000,"30k-50k",F28&lt;=75000,"50k-75k",F28&lt;=100000,"75k-100k",F28&gt;100000,"100k")</f>
        <v>30k</v>
      </c>
      <c r="W28" s="1">
        <f t="shared" si="1"/>
        <v>13</v>
      </c>
    </row>
    <row r="29" spans="1:23" x14ac:dyDescent="0.35">
      <c r="A29">
        <v>26</v>
      </c>
      <c r="B29">
        <v>2404</v>
      </c>
      <c r="C29">
        <v>1976</v>
      </c>
      <c r="D29" s="1" t="s">
        <v>10</v>
      </c>
      <c r="E29" s="1" t="s">
        <v>14</v>
      </c>
      <c r="F29">
        <v>53359</v>
      </c>
      <c r="G29">
        <v>1</v>
      </c>
      <c r="H29" s="2">
        <v>1</v>
      </c>
      <c r="I29" s="2">
        <v>41421</v>
      </c>
      <c r="J29">
        <v>4</v>
      </c>
      <c r="K29">
        <f>VLOOKUP(B29,purchase_dataset!$B$2:$F$2241,2,FALSE)</f>
        <v>4</v>
      </c>
      <c r="L29">
        <f>VLOOKUP(B29,purchase_dataset!$B$2:$F$2241,3,FALSE)</f>
        <v>6</v>
      </c>
      <c r="M29">
        <f>VLOOKUP(B29,purchase_dataset!$B$2:$F$2241,3,FALSE)</f>
        <v>6</v>
      </c>
      <c r="N29">
        <f>VLOOKUP(B29,purchase_dataset!$B$2:$F$2241,5,FALSE)</f>
        <v>4</v>
      </c>
      <c r="O29" s="5">
        <v>50</v>
      </c>
      <c r="P29" s="4" t="str">
        <f t="shared" si="0"/>
        <v>30-50</v>
      </c>
      <c r="Q29" s="4">
        <f>M29+N29</f>
        <v>10</v>
      </c>
      <c r="U29" s="28" t="str" cm="1">
        <f t="array" ref="U29">_xlfn.IFS(F29&lt;30000,"30k",F29&lt;=50000,"30k-50k",F29&lt;=75000,"50k-75k",F29&lt;=100000,"75k-100k",F29&gt;100000,"100k")</f>
        <v>50k-75k</v>
      </c>
      <c r="W29" s="1">
        <f t="shared" si="1"/>
        <v>13</v>
      </c>
    </row>
    <row r="30" spans="1:23" x14ac:dyDescent="0.35">
      <c r="A30">
        <v>27</v>
      </c>
      <c r="B30">
        <v>5255</v>
      </c>
      <c r="C30">
        <v>1986</v>
      </c>
      <c r="D30" s="1" t="s">
        <v>10</v>
      </c>
      <c r="E30" s="1" t="s">
        <v>11</v>
      </c>
      <c r="G30">
        <v>1</v>
      </c>
      <c r="H30" s="2">
        <v>0</v>
      </c>
      <c r="I30" s="2">
        <v>41325</v>
      </c>
      <c r="J30">
        <v>19</v>
      </c>
      <c r="K30">
        <f>VLOOKUP(B30,purchase_dataset!$B$2:$F$2241,2,FALSE)</f>
        <v>1</v>
      </c>
      <c r="L30">
        <f>VLOOKUP(B30,purchase_dataset!$B$2:$F$2241,3,FALSE)</f>
        <v>263</v>
      </c>
      <c r="M30">
        <f>VLOOKUP(B30,purchase_dataset!$B$2:$F$2241,3,FALSE)</f>
        <v>263</v>
      </c>
      <c r="N30">
        <f>VLOOKUP(B30,purchase_dataset!$B$2:$F$2241,5,FALSE)</f>
        <v>0</v>
      </c>
      <c r="O30" s="5">
        <v>40</v>
      </c>
      <c r="P30" s="4" t="str">
        <f t="shared" si="0"/>
        <v>30-50</v>
      </c>
      <c r="Q30" s="4">
        <f>M30+N30</f>
        <v>263</v>
      </c>
      <c r="U30" s="28" t="str" cm="1">
        <f t="array" ref="U30">_xlfn.IFS(F30&lt;30000,"30k",F30&lt;=50000,"30k-50k",F30&lt;=75000,"50k-75k",F30&lt;=100000,"75k-100k",F30&gt;100000,"100k")</f>
        <v>30k</v>
      </c>
      <c r="W30" s="1">
        <f t="shared" si="1"/>
        <v>13</v>
      </c>
    </row>
    <row r="31" spans="1:23" x14ac:dyDescent="0.35">
      <c r="A31">
        <v>28</v>
      </c>
      <c r="B31">
        <v>9422</v>
      </c>
      <c r="C31">
        <v>1989</v>
      </c>
      <c r="D31" s="1" t="s">
        <v>10</v>
      </c>
      <c r="E31" s="1" t="s">
        <v>14</v>
      </c>
      <c r="F31">
        <v>38360</v>
      </c>
      <c r="G31">
        <v>1</v>
      </c>
      <c r="H31" s="2">
        <v>0</v>
      </c>
      <c r="I31" s="2">
        <v>41425</v>
      </c>
      <c r="J31">
        <v>26</v>
      </c>
      <c r="K31">
        <f>VLOOKUP(B31,purchase_dataset!$B$2:$F$2241,2,FALSE)</f>
        <v>2</v>
      </c>
      <c r="L31">
        <f>VLOOKUP(B31,purchase_dataset!$B$2:$F$2241,3,FALSE)</f>
        <v>21</v>
      </c>
      <c r="M31">
        <f>VLOOKUP(B31,purchase_dataset!$B$2:$F$2241,3,FALSE)</f>
        <v>21</v>
      </c>
      <c r="N31">
        <f>VLOOKUP(B31,purchase_dataset!$B$2:$F$2241,5,FALSE)</f>
        <v>4</v>
      </c>
      <c r="O31" s="5">
        <v>37</v>
      </c>
      <c r="P31" s="4" t="str">
        <f t="shared" si="0"/>
        <v>30-50</v>
      </c>
      <c r="Q31" s="4">
        <f>M31+N31</f>
        <v>25</v>
      </c>
      <c r="U31" s="28" t="str" cm="1">
        <f t="array" ref="U31">_xlfn.IFS(F31&lt;30000,"30k",F31&lt;=50000,"30k-50k",F31&lt;=75000,"50k-75k",F31&lt;=100000,"75k-100k",F31&gt;100000,"100k")</f>
        <v>30k-50k</v>
      </c>
      <c r="W31" s="1">
        <f t="shared" si="1"/>
        <v>13</v>
      </c>
    </row>
    <row r="32" spans="1:23" x14ac:dyDescent="0.35">
      <c r="A32">
        <v>29</v>
      </c>
      <c r="B32">
        <v>1966</v>
      </c>
      <c r="C32">
        <v>1965</v>
      </c>
      <c r="D32" s="1" t="s">
        <v>13</v>
      </c>
      <c r="E32" s="1" t="s">
        <v>14</v>
      </c>
      <c r="F32">
        <v>84618</v>
      </c>
      <c r="G32">
        <v>0</v>
      </c>
      <c r="H32" s="2">
        <v>0</v>
      </c>
      <c r="I32" s="2">
        <v>41600</v>
      </c>
      <c r="J32">
        <v>96</v>
      </c>
      <c r="K32">
        <f>VLOOKUP(B32,purchase_dataset!$B$2:$F$2241,2,FALSE)</f>
        <v>100</v>
      </c>
      <c r="L32">
        <f>VLOOKUP(B32,purchase_dataset!$B$2:$F$2241,3,FALSE)</f>
        <v>66</v>
      </c>
      <c r="M32">
        <f>VLOOKUP(B32,purchase_dataset!$B$2:$F$2241,3,FALSE)</f>
        <v>66</v>
      </c>
      <c r="N32">
        <f>VLOOKUP(B32,purchase_dataset!$B$2:$F$2241,5,FALSE)</f>
        <v>10</v>
      </c>
      <c r="O32" s="5">
        <v>61</v>
      </c>
      <c r="P32" s="4" t="str">
        <f t="shared" si="0"/>
        <v>&gt;50</v>
      </c>
      <c r="Q32" s="4">
        <f>M32+N32</f>
        <v>76</v>
      </c>
      <c r="U32" s="28" t="str" cm="1">
        <f t="array" ref="U32">_xlfn.IFS(F32&lt;30000,"30k",F32&lt;=50000,"30k-50k",F32&lt;=75000,"50k-75k",F32&lt;=100000,"75k-100k",F32&gt;100000,"100k")</f>
        <v>75k-100k</v>
      </c>
      <c r="W32" s="1">
        <f t="shared" si="1"/>
        <v>13</v>
      </c>
    </row>
    <row r="33" spans="1:23" x14ac:dyDescent="0.35">
      <c r="A33">
        <v>30</v>
      </c>
      <c r="B33">
        <v>6864</v>
      </c>
      <c r="C33">
        <v>1989</v>
      </c>
      <c r="D33" s="1" t="s">
        <v>15</v>
      </c>
      <c r="E33" s="1" t="s">
        <v>16</v>
      </c>
      <c r="F33">
        <v>10979</v>
      </c>
      <c r="G33">
        <v>0</v>
      </c>
      <c r="H33" s="2">
        <v>0</v>
      </c>
      <c r="I33" s="2">
        <v>41781</v>
      </c>
      <c r="J33">
        <v>34</v>
      </c>
      <c r="K33">
        <f>VLOOKUP(B33,purchase_dataset!$B$2:$F$2241,2,FALSE)</f>
        <v>4</v>
      </c>
      <c r="L33">
        <f>VLOOKUP(B33,purchase_dataset!$B$2:$F$2241,3,FALSE)</f>
        <v>2</v>
      </c>
      <c r="M33">
        <f>VLOOKUP(B33,purchase_dataset!$B$2:$F$2241,3,FALSE)</f>
        <v>2</v>
      </c>
      <c r="N33">
        <f>VLOOKUP(B33,purchase_dataset!$B$2:$F$2241,5,FALSE)</f>
        <v>3</v>
      </c>
      <c r="O33" s="5">
        <v>37</v>
      </c>
      <c r="P33" s="4" t="str">
        <f t="shared" si="0"/>
        <v>30-50</v>
      </c>
      <c r="Q33" s="4">
        <f>M33+N33</f>
        <v>5</v>
      </c>
      <c r="U33" s="28" t="str" cm="1">
        <f t="array" ref="U33">_xlfn.IFS(F33&lt;30000,"30k",F33&lt;=50000,"30k-50k",F33&lt;=75000,"50k-75k",F33&lt;=100000,"75k-100k",F33&gt;100000,"100k")</f>
        <v>30k</v>
      </c>
      <c r="W33" s="1">
        <f t="shared" si="1"/>
        <v>12</v>
      </c>
    </row>
    <row r="34" spans="1:23" x14ac:dyDescent="0.35">
      <c r="A34">
        <v>31</v>
      </c>
      <c r="B34">
        <v>3033</v>
      </c>
      <c r="C34">
        <v>1963</v>
      </c>
      <c r="D34" s="1" t="s">
        <v>15</v>
      </c>
      <c r="E34" s="1" t="s">
        <v>12</v>
      </c>
      <c r="F34">
        <v>38620</v>
      </c>
      <c r="G34">
        <v>0</v>
      </c>
      <c r="H34" s="2">
        <v>0</v>
      </c>
      <c r="I34" s="2">
        <v>41405</v>
      </c>
      <c r="J34">
        <v>56</v>
      </c>
      <c r="K34">
        <f>VLOOKUP(B34,purchase_dataset!$B$2:$F$2241,2,FALSE)</f>
        <v>17</v>
      </c>
      <c r="L34">
        <f>VLOOKUP(B34,purchase_dataset!$B$2:$F$2241,3,FALSE)</f>
        <v>22</v>
      </c>
      <c r="M34">
        <f>VLOOKUP(B34,purchase_dataset!$B$2:$F$2241,3,FALSE)</f>
        <v>22</v>
      </c>
      <c r="N34">
        <f>VLOOKUP(B34,purchase_dataset!$B$2:$F$2241,5,FALSE)</f>
        <v>3</v>
      </c>
      <c r="O34" s="5">
        <v>63</v>
      </c>
      <c r="P34" s="4" t="str">
        <f t="shared" si="0"/>
        <v>&gt;50</v>
      </c>
      <c r="Q34" s="4">
        <f>M34+N34</f>
        <v>25</v>
      </c>
      <c r="U34" s="28" t="str" cm="1">
        <f t="array" ref="U34">_xlfn.IFS(F34&lt;30000,"30k",F34&lt;=50000,"30k-50k",F34&lt;=75000,"50k-75k",F34&lt;=100000,"75k-100k",F34&gt;100000,"100k")</f>
        <v>30k-50k</v>
      </c>
      <c r="W34" s="1">
        <f t="shared" si="1"/>
        <v>13</v>
      </c>
    </row>
    <row r="35" spans="1:23" x14ac:dyDescent="0.35">
      <c r="A35">
        <v>32</v>
      </c>
      <c r="B35">
        <v>5710</v>
      </c>
      <c r="C35">
        <v>1970</v>
      </c>
      <c r="D35" s="1" t="s">
        <v>10</v>
      </c>
      <c r="E35" s="1" t="s">
        <v>12</v>
      </c>
      <c r="F35">
        <v>40548</v>
      </c>
      <c r="G35">
        <v>0</v>
      </c>
      <c r="H35" s="2">
        <v>1</v>
      </c>
      <c r="I35" s="2">
        <v>41192</v>
      </c>
      <c r="J35">
        <v>31</v>
      </c>
      <c r="K35">
        <f>VLOOKUP(B35,purchase_dataset!$B$2:$F$2241,2,FALSE)</f>
        <v>0</v>
      </c>
      <c r="L35">
        <f>VLOOKUP(B35,purchase_dataset!$B$2:$F$2241,3,FALSE)</f>
        <v>0</v>
      </c>
      <c r="M35">
        <f>VLOOKUP(B35,purchase_dataset!$B$2:$F$2241,3,FALSE)</f>
        <v>0</v>
      </c>
      <c r="N35">
        <f>VLOOKUP(B35,purchase_dataset!$B$2:$F$2241,5,FALSE)</f>
        <v>4</v>
      </c>
      <c r="O35" s="5">
        <v>56</v>
      </c>
      <c r="P35" s="4" t="str">
        <f t="shared" si="0"/>
        <v>&gt;50</v>
      </c>
      <c r="Q35" s="4">
        <f>M35+N35</f>
        <v>4</v>
      </c>
      <c r="U35" s="28" t="str" cm="1">
        <f t="array" ref="U35">_xlfn.IFS(F35&lt;30000,"30k",F35&lt;=50000,"30k-50k",F35&lt;=75000,"50k-75k",F35&lt;=100000,"75k-100k",F35&gt;100000,"100k")</f>
        <v>30k-50k</v>
      </c>
      <c r="W35" s="1">
        <f t="shared" si="1"/>
        <v>14</v>
      </c>
    </row>
    <row r="36" spans="1:23" x14ac:dyDescent="0.35">
      <c r="A36">
        <v>33</v>
      </c>
      <c r="B36">
        <v>7373</v>
      </c>
      <c r="C36">
        <v>1952</v>
      </c>
      <c r="D36" s="1" t="s">
        <v>13</v>
      </c>
      <c r="E36" s="1" t="s">
        <v>16</v>
      </c>
      <c r="F36">
        <v>46610</v>
      </c>
      <c r="G36">
        <v>0</v>
      </c>
      <c r="H36" s="2">
        <v>2</v>
      </c>
      <c r="I36" s="2">
        <v>41211</v>
      </c>
      <c r="J36">
        <v>8</v>
      </c>
      <c r="K36">
        <f>VLOOKUP(B36,purchase_dataset!$B$2:$F$2241,2,FALSE)</f>
        <v>12</v>
      </c>
      <c r="L36">
        <f>VLOOKUP(B36,purchase_dataset!$B$2:$F$2241,3,FALSE)</f>
        <v>22</v>
      </c>
      <c r="M36">
        <f>VLOOKUP(B36,purchase_dataset!$B$2:$F$2241,3,FALSE)</f>
        <v>22</v>
      </c>
      <c r="N36">
        <f>VLOOKUP(B36,purchase_dataset!$B$2:$F$2241,5,FALSE)</f>
        <v>6</v>
      </c>
      <c r="O36" s="5">
        <v>74</v>
      </c>
      <c r="P36" s="4" t="str">
        <f t="shared" si="0"/>
        <v>&gt;50</v>
      </c>
      <c r="Q36" s="4">
        <f>M36+N36</f>
        <v>28</v>
      </c>
      <c r="U36" s="28" t="str" cm="1">
        <f t="array" ref="U36">_xlfn.IFS(F36&lt;30000,"30k",F36&lt;=50000,"30k-50k",F36&lt;=75000,"50k-75k",F36&lt;=100000,"75k-100k",F36&gt;100000,"100k")</f>
        <v>30k-50k</v>
      </c>
      <c r="W36" s="1">
        <f t="shared" si="1"/>
        <v>14</v>
      </c>
    </row>
    <row r="37" spans="1:23" x14ac:dyDescent="0.35">
      <c r="A37">
        <v>34</v>
      </c>
      <c r="B37">
        <v>8755</v>
      </c>
      <c r="C37">
        <v>1946</v>
      </c>
      <c r="D37" s="1" t="s">
        <v>15</v>
      </c>
      <c r="E37" s="1" t="s">
        <v>14</v>
      </c>
      <c r="F37">
        <v>68657</v>
      </c>
      <c r="G37">
        <v>0</v>
      </c>
      <c r="H37" s="2">
        <v>0</v>
      </c>
      <c r="I37" s="2">
        <v>41325</v>
      </c>
      <c r="J37">
        <v>4</v>
      </c>
      <c r="K37">
        <f>VLOOKUP(B37,purchase_dataset!$B$2:$F$2241,2,FALSE)</f>
        <v>34</v>
      </c>
      <c r="L37">
        <f>VLOOKUP(B37,purchase_dataset!$B$2:$F$2241,3,FALSE)</f>
        <v>68</v>
      </c>
      <c r="M37">
        <f>VLOOKUP(B37,purchase_dataset!$B$2:$F$2241,3,FALSE)</f>
        <v>68</v>
      </c>
      <c r="N37">
        <f>VLOOKUP(B37,purchase_dataset!$B$2:$F$2241,5,FALSE)</f>
        <v>9</v>
      </c>
      <c r="O37" s="5">
        <v>80</v>
      </c>
      <c r="P37" s="4" t="str">
        <f t="shared" si="0"/>
        <v>&gt;50</v>
      </c>
      <c r="Q37" s="4">
        <f>M37+N37</f>
        <v>77</v>
      </c>
      <c r="U37" s="28" t="str" cm="1">
        <f t="array" ref="U37">_xlfn.IFS(F37&lt;30000,"30k",F37&lt;=50000,"30k-50k",F37&lt;=75000,"50k-75k",F37&lt;=100000,"75k-100k",F37&gt;100000,"100k")</f>
        <v>50k-75k</v>
      </c>
      <c r="W37" s="1">
        <f t="shared" si="1"/>
        <v>13</v>
      </c>
    </row>
    <row r="38" spans="1:23" x14ac:dyDescent="0.35">
      <c r="A38">
        <v>35</v>
      </c>
      <c r="B38">
        <v>10738</v>
      </c>
      <c r="C38">
        <v>1951</v>
      </c>
      <c r="D38" s="1" t="s">
        <v>15</v>
      </c>
      <c r="E38" s="1" t="s">
        <v>11</v>
      </c>
      <c r="F38">
        <v>49389</v>
      </c>
      <c r="G38">
        <v>1</v>
      </c>
      <c r="H38" s="2">
        <v>1</v>
      </c>
      <c r="I38" s="2">
        <v>41515</v>
      </c>
      <c r="J38">
        <v>55</v>
      </c>
      <c r="K38">
        <f>VLOOKUP(B38,purchase_dataset!$B$2:$F$2241,2,FALSE)</f>
        <v>0</v>
      </c>
      <c r="L38">
        <f>VLOOKUP(B38,purchase_dataset!$B$2:$F$2241,3,FALSE)</f>
        <v>1</v>
      </c>
      <c r="M38">
        <f>VLOOKUP(B38,purchase_dataset!$B$2:$F$2241,3,FALSE)</f>
        <v>1</v>
      </c>
      <c r="N38">
        <f>VLOOKUP(B38,purchase_dataset!$B$2:$F$2241,5,FALSE)</f>
        <v>3</v>
      </c>
      <c r="O38" s="5">
        <v>75</v>
      </c>
      <c r="P38" s="4" t="str">
        <f t="shared" si="0"/>
        <v>&gt;50</v>
      </c>
      <c r="Q38" s="4">
        <f>M38+N38</f>
        <v>4</v>
      </c>
      <c r="U38" s="28" t="str" cm="1">
        <f t="array" ref="U38">_xlfn.IFS(F38&lt;30000,"30k",F38&lt;=50000,"30k-50k",F38&lt;=75000,"50k-75k",F38&lt;=100000,"75k-100k",F38&gt;100000,"100k")</f>
        <v>30k-50k</v>
      </c>
      <c r="W38" s="1">
        <f t="shared" si="1"/>
        <v>13</v>
      </c>
    </row>
    <row r="39" spans="1:23" x14ac:dyDescent="0.35">
      <c r="A39">
        <v>36</v>
      </c>
      <c r="B39">
        <v>4339</v>
      </c>
      <c r="C39">
        <v>1970</v>
      </c>
      <c r="D39" s="1" t="s">
        <v>13</v>
      </c>
      <c r="E39" s="1" t="s">
        <v>14</v>
      </c>
      <c r="F39">
        <v>67353</v>
      </c>
      <c r="G39">
        <v>0</v>
      </c>
      <c r="H39" s="2">
        <v>1</v>
      </c>
      <c r="I39" s="2">
        <v>41639</v>
      </c>
      <c r="J39">
        <v>37</v>
      </c>
      <c r="K39">
        <f>VLOOKUP(B39,purchase_dataset!$B$2:$F$2241,2,FALSE)</f>
        <v>17</v>
      </c>
      <c r="L39">
        <f>VLOOKUP(B39,purchase_dataset!$B$2:$F$2241,3,FALSE)</f>
        <v>8</v>
      </c>
      <c r="M39">
        <f>VLOOKUP(B39,purchase_dataset!$B$2:$F$2241,3,FALSE)</f>
        <v>8</v>
      </c>
      <c r="N39">
        <f>VLOOKUP(B39,purchase_dataset!$B$2:$F$2241,5,FALSE)</f>
        <v>12</v>
      </c>
      <c r="O39" s="5">
        <v>56</v>
      </c>
      <c r="P39" s="4" t="str">
        <f t="shared" si="0"/>
        <v>&gt;50</v>
      </c>
      <c r="Q39" s="4">
        <f>M39+N39</f>
        <v>20</v>
      </c>
      <c r="U39" s="28" t="str" cm="1">
        <f t="array" ref="U39">_xlfn.IFS(F39&lt;30000,"30k",F39&lt;=50000,"30k-50k",F39&lt;=75000,"50k-75k",F39&lt;=100000,"75k-100k",F39&gt;100000,"100k")</f>
        <v>50k-75k</v>
      </c>
      <c r="W39" s="1">
        <f t="shared" si="1"/>
        <v>13</v>
      </c>
    </row>
    <row r="40" spans="1:23" x14ac:dyDescent="0.35">
      <c r="A40">
        <v>37</v>
      </c>
      <c r="B40">
        <v>10755</v>
      </c>
      <c r="C40">
        <v>1976</v>
      </c>
      <c r="D40" s="1" t="s">
        <v>18</v>
      </c>
      <c r="E40" s="1" t="s">
        <v>14</v>
      </c>
      <c r="F40">
        <v>23718</v>
      </c>
      <c r="G40">
        <v>1</v>
      </c>
      <c r="H40" s="2">
        <v>0</v>
      </c>
      <c r="I40" s="2">
        <v>41519</v>
      </c>
      <c r="J40">
        <v>76</v>
      </c>
      <c r="K40">
        <f>VLOOKUP(B40,purchase_dataset!$B$2:$F$2241,2,FALSE)</f>
        <v>3</v>
      </c>
      <c r="L40">
        <f>VLOOKUP(B40,purchase_dataset!$B$2:$F$2241,3,FALSE)</f>
        <v>7</v>
      </c>
      <c r="M40">
        <f>VLOOKUP(B40,purchase_dataset!$B$2:$F$2241,3,FALSE)</f>
        <v>7</v>
      </c>
      <c r="N40">
        <f>VLOOKUP(B40,purchase_dataset!$B$2:$F$2241,5,FALSE)</f>
        <v>2</v>
      </c>
      <c r="O40" s="5">
        <v>50</v>
      </c>
      <c r="P40" s="4" t="str">
        <f t="shared" si="0"/>
        <v>30-50</v>
      </c>
      <c r="Q40" s="4">
        <f>M40+N40</f>
        <v>9</v>
      </c>
      <c r="U40" s="28" t="str" cm="1">
        <f t="array" ref="U40">_xlfn.IFS(F40&lt;30000,"30k",F40&lt;=50000,"30k-50k",F40&lt;=75000,"50k-75k",F40&lt;=100000,"75k-100k",F40&gt;100000,"100k")</f>
        <v>30k</v>
      </c>
      <c r="W40" s="1">
        <f t="shared" si="1"/>
        <v>13</v>
      </c>
    </row>
    <row r="41" spans="1:23" x14ac:dyDescent="0.35">
      <c r="A41">
        <v>38</v>
      </c>
      <c r="B41">
        <v>8595</v>
      </c>
      <c r="C41">
        <v>1973</v>
      </c>
      <c r="D41" s="1" t="s">
        <v>10</v>
      </c>
      <c r="E41" s="1" t="s">
        <v>19</v>
      </c>
      <c r="F41">
        <v>42429</v>
      </c>
      <c r="G41">
        <v>0</v>
      </c>
      <c r="H41" s="2">
        <v>1</v>
      </c>
      <c r="I41" s="2">
        <v>41681</v>
      </c>
      <c r="J41">
        <v>99</v>
      </c>
      <c r="K41">
        <f>VLOOKUP(B41,purchase_dataset!$B$2:$F$2241,2,FALSE)</f>
        <v>0</v>
      </c>
      <c r="L41">
        <f>VLOOKUP(B41,purchase_dataset!$B$2:$F$2241,3,FALSE)</f>
        <v>0</v>
      </c>
      <c r="M41">
        <f>VLOOKUP(B41,purchase_dataset!$B$2:$F$2241,3,FALSE)</f>
        <v>0</v>
      </c>
      <c r="N41">
        <f>VLOOKUP(B41,purchase_dataset!$B$2:$F$2241,5,FALSE)</f>
        <v>3</v>
      </c>
      <c r="O41" s="5">
        <v>53</v>
      </c>
      <c r="P41" s="4" t="str">
        <f t="shared" si="0"/>
        <v>&gt;50</v>
      </c>
      <c r="Q41" s="4">
        <f>M41+N41</f>
        <v>3</v>
      </c>
      <c r="U41" s="28" t="str" cm="1">
        <f t="array" ref="U41">_xlfn.IFS(F41&lt;30000,"30k",F41&lt;=50000,"30k-50k",F41&lt;=75000,"50k-75k",F41&lt;=100000,"75k-100k",F41&gt;100000,"100k")</f>
        <v>30k-50k</v>
      </c>
      <c r="W41" s="1">
        <f t="shared" si="1"/>
        <v>12</v>
      </c>
    </row>
    <row r="42" spans="1:23" x14ac:dyDescent="0.35">
      <c r="A42">
        <v>39</v>
      </c>
      <c r="B42">
        <v>2968</v>
      </c>
      <c r="C42">
        <v>1943</v>
      </c>
      <c r="D42" s="1" t="s">
        <v>13</v>
      </c>
      <c r="E42" s="1" t="s">
        <v>16</v>
      </c>
      <c r="F42">
        <v>48948</v>
      </c>
      <c r="G42">
        <v>0</v>
      </c>
      <c r="H42" s="2">
        <v>0</v>
      </c>
      <c r="I42" s="2">
        <v>41306</v>
      </c>
      <c r="J42">
        <v>53</v>
      </c>
      <c r="K42">
        <f>VLOOKUP(B42,purchase_dataset!$B$2:$F$2241,2,FALSE)</f>
        <v>8</v>
      </c>
      <c r="L42">
        <f>VLOOKUP(B42,purchase_dataset!$B$2:$F$2241,3,FALSE)</f>
        <v>49</v>
      </c>
      <c r="M42">
        <f>VLOOKUP(B42,purchase_dataset!$B$2:$F$2241,3,FALSE)</f>
        <v>49</v>
      </c>
      <c r="N42">
        <f>VLOOKUP(B42,purchase_dataset!$B$2:$F$2241,5,FALSE)</f>
        <v>5</v>
      </c>
      <c r="O42" s="5">
        <v>83</v>
      </c>
      <c r="P42" s="4" t="str">
        <f t="shared" si="0"/>
        <v>&gt;50</v>
      </c>
      <c r="Q42" s="4">
        <f>M42+N42</f>
        <v>54</v>
      </c>
      <c r="U42" s="28" t="str" cm="1">
        <f t="array" ref="U42">_xlfn.IFS(F42&lt;30000,"30k",F42&lt;=50000,"30k-50k",F42&lt;=75000,"50k-75k",F42&lt;=100000,"75k-100k",F42&gt;100000,"100k")</f>
        <v>30k-50k</v>
      </c>
      <c r="W42" s="1">
        <f t="shared" si="1"/>
        <v>13</v>
      </c>
    </row>
    <row r="43" spans="1:23" x14ac:dyDescent="0.35">
      <c r="A43">
        <v>40</v>
      </c>
      <c r="B43">
        <v>8601</v>
      </c>
      <c r="C43">
        <v>1980</v>
      </c>
      <c r="D43" s="1" t="s">
        <v>10</v>
      </c>
      <c r="E43" s="1" t="s">
        <v>14</v>
      </c>
      <c r="F43">
        <v>80011</v>
      </c>
      <c r="G43">
        <v>0</v>
      </c>
      <c r="H43" s="2">
        <v>1</v>
      </c>
      <c r="I43" s="2">
        <v>41393</v>
      </c>
      <c r="J43">
        <v>3</v>
      </c>
      <c r="K43">
        <f>VLOOKUP(B43,purchase_dataset!$B$2:$F$2241,2,FALSE)</f>
        <v>76</v>
      </c>
      <c r="L43">
        <f>VLOOKUP(B43,purchase_dataset!$B$2:$F$2241,3,FALSE)</f>
        <v>178</v>
      </c>
      <c r="M43">
        <f>VLOOKUP(B43,purchase_dataset!$B$2:$F$2241,3,FALSE)</f>
        <v>178</v>
      </c>
      <c r="N43">
        <f>VLOOKUP(B43,purchase_dataset!$B$2:$F$2241,5,FALSE)</f>
        <v>5</v>
      </c>
      <c r="O43" s="5">
        <v>46</v>
      </c>
      <c r="P43" s="4" t="str">
        <f t="shared" si="0"/>
        <v>30-50</v>
      </c>
      <c r="Q43" s="4">
        <f>M43+N43</f>
        <v>183</v>
      </c>
      <c r="U43" s="28" t="str" cm="1">
        <f t="array" ref="U43">_xlfn.IFS(F43&lt;30000,"30k",F43&lt;=50000,"30k-50k",F43&lt;=75000,"50k-75k",F43&lt;=100000,"75k-100k",F43&gt;100000,"100k")</f>
        <v>75k-100k</v>
      </c>
      <c r="W43" s="1">
        <f t="shared" si="1"/>
        <v>13</v>
      </c>
    </row>
    <row r="44" spans="1:23" x14ac:dyDescent="0.35">
      <c r="A44">
        <v>41</v>
      </c>
      <c r="B44">
        <v>503</v>
      </c>
      <c r="C44">
        <v>1985</v>
      </c>
      <c r="D44" s="1" t="s">
        <v>15</v>
      </c>
      <c r="E44" s="1" t="s">
        <v>14</v>
      </c>
      <c r="F44">
        <v>20559</v>
      </c>
      <c r="G44">
        <v>1</v>
      </c>
      <c r="H44" s="2">
        <v>0</v>
      </c>
      <c r="I44" s="2">
        <v>41345</v>
      </c>
      <c r="J44">
        <v>88</v>
      </c>
      <c r="K44">
        <f>VLOOKUP(B44,purchase_dataset!$B$2:$F$2241,2,FALSE)</f>
        <v>1</v>
      </c>
      <c r="L44">
        <f>VLOOKUP(B44,purchase_dataset!$B$2:$F$2241,3,FALSE)</f>
        <v>0</v>
      </c>
      <c r="M44">
        <f>VLOOKUP(B44,purchase_dataset!$B$2:$F$2241,3,FALSE)</f>
        <v>0</v>
      </c>
      <c r="N44">
        <f>VLOOKUP(B44,purchase_dataset!$B$2:$F$2241,5,FALSE)</f>
        <v>3</v>
      </c>
      <c r="O44" s="5">
        <v>41</v>
      </c>
      <c r="P44" s="4" t="str">
        <f t="shared" si="0"/>
        <v>30-50</v>
      </c>
      <c r="Q44" s="4">
        <f>M44+N44</f>
        <v>3</v>
      </c>
      <c r="U44" s="28" t="str" cm="1">
        <f t="array" ref="U44">_xlfn.IFS(F44&lt;30000,"30k",F44&lt;=50000,"30k-50k",F44&lt;=75000,"50k-75k",F44&lt;=100000,"75k-100k",F44&gt;100000,"100k")</f>
        <v>30k</v>
      </c>
      <c r="W44" s="1">
        <f t="shared" si="1"/>
        <v>13</v>
      </c>
    </row>
    <row r="45" spans="1:23" x14ac:dyDescent="0.35">
      <c r="A45">
        <v>42</v>
      </c>
      <c r="B45">
        <v>8430</v>
      </c>
      <c r="C45">
        <v>1957</v>
      </c>
      <c r="D45" s="1" t="s">
        <v>10</v>
      </c>
      <c r="E45" s="1" t="s">
        <v>12</v>
      </c>
      <c r="F45">
        <v>21994</v>
      </c>
      <c r="G45">
        <v>0</v>
      </c>
      <c r="H45" s="2">
        <v>1</v>
      </c>
      <c r="I45" s="2">
        <v>41267</v>
      </c>
      <c r="J45">
        <v>4</v>
      </c>
      <c r="K45">
        <f>VLOOKUP(B45,purchase_dataset!$B$2:$F$2241,2,FALSE)</f>
        <v>0</v>
      </c>
      <c r="L45">
        <f>VLOOKUP(B45,purchase_dataset!$B$2:$F$2241,3,FALSE)</f>
        <v>1</v>
      </c>
      <c r="M45">
        <f>VLOOKUP(B45,purchase_dataset!$B$2:$F$2241,3,FALSE)</f>
        <v>1</v>
      </c>
      <c r="N45">
        <f>VLOOKUP(B45,purchase_dataset!$B$2:$F$2241,5,FALSE)</f>
        <v>3</v>
      </c>
      <c r="O45" s="5">
        <v>69</v>
      </c>
      <c r="P45" s="4" t="str">
        <f t="shared" si="0"/>
        <v>&gt;50</v>
      </c>
      <c r="Q45" s="4">
        <f>M45+N45</f>
        <v>4</v>
      </c>
      <c r="U45" s="28" t="str" cm="1">
        <f t="array" ref="U45">_xlfn.IFS(F45&lt;30000,"30k",F45&lt;=50000,"30k-50k",F45&lt;=75000,"50k-75k",F45&lt;=100000,"75k-100k",F45&gt;100000,"100k")</f>
        <v>30k</v>
      </c>
      <c r="W45" s="1">
        <f t="shared" si="1"/>
        <v>14</v>
      </c>
    </row>
    <row r="46" spans="1:23" x14ac:dyDescent="0.35">
      <c r="A46">
        <v>43</v>
      </c>
      <c r="B46">
        <v>7281</v>
      </c>
      <c r="C46">
        <v>1959</v>
      </c>
      <c r="D46" s="1" t="s">
        <v>13</v>
      </c>
      <c r="E46" s="1" t="s">
        <v>11</v>
      </c>
      <c r="G46">
        <v>0</v>
      </c>
      <c r="H46" s="2">
        <v>0</v>
      </c>
      <c r="I46" s="2">
        <v>41583</v>
      </c>
      <c r="J46">
        <v>80</v>
      </c>
      <c r="K46">
        <f>VLOOKUP(B46,purchase_dataset!$B$2:$F$2241,2,FALSE)</f>
        <v>11</v>
      </c>
      <c r="L46">
        <f>VLOOKUP(B46,purchase_dataset!$B$2:$F$2241,3,FALSE)</f>
        <v>2</v>
      </c>
      <c r="M46">
        <f>VLOOKUP(B46,purchase_dataset!$B$2:$F$2241,3,FALSE)</f>
        <v>2</v>
      </c>
      <c r="N46">
        <f>VLOOKUP(B46,purchase_dataset!$B$2:$F$2241,5,FALSE)</f>
        <v>4</v>
      </c>
      <c r="O46" s="5">
        <v>67</v>
      </c>
      <c r="P46" s="4" t="str">
        <f t="shared" si="0"/>
        <v>&gt;50</v>
      </c>
      <c r="Q46" s="4">
        <f>M46+N46</f>
        <v>6</v>
      </c>
      <c r="U46" s="28" t="str" cm="1">
        <f t="array" ref="U46">_xlfn.IFS(F46&lt;30000,"30k",F46&lt;=50000,"30k-50k",F46&lt;=75000,"50k-75k",F46&lt;=100000,"75k-100k",F46&gt;100000,"100k")</f>
        <v>30k</v>
      </c>
      <c r="W46" s="1">
        <f t="shared" si="1"/>
        <v>13</v>
      </c>
    </row>
    <row r="47" spans="1:23" x14ac:dyDescent="0.35">
      <c r="A47">
        <v>44</v>
      </c>
      <c r="B47">
        <v>2139</v>
      </c>
      <c r="C47">
        <v>1975</v>
      </c>
      <c r="D47" s="1" t="s">
        <v>15</v>
      </c>
      <c r="E47" s="1" t="s">
        <v>14</v>
      </c>
      <c r="F47">
        <v>7500</v>
      </c>
      <c r="G47">
        <v>1</v>
      </c>
      <c r="H47" s="2">
        <v>0</v>
      </c>
      <c r="I47" s="2">
        <v>41549</v>
      </c>
      <c r="J47">
        <v>19</v>
      </c>
      <c r="K47">
        <f>VLOOKUP(B47,purchase_dataset!$B$2:$F$2241,2,FALSE)</f>
        <v>1</v>
      </c>
      <c r="L47">
        <f>VLOOKUP(B47,purchase_dataset!$B$2:$F$2241,3,FALSE)</f>
        <v>2</v>
      </c>
      <c r="M47">
        <f>VLOOKUP(B47,purchase_dataset!$B$2:$F$2241,3,FALSE)</f>
        <v>2</v>
      </c>
      <c r="N47">
        <f>VLOOKUP(B47,purchase_dataset!$B$2:$F$2241,5,FALSE)</f>
        <v>3</v>
      </c>
      <c r="O47" s="5">
        <v>51</v>
      </c>
      <c r="P47" s="4" t="str">
        <f t="shared" si="0"/>
        <v>&gt;50</v>
      </c>
      <c r="Q47" s="4">
        <f>M47+N47</f>
        <v>5</v>
      </c>
      <c r="U47" s="28" t="str" cm="1">
        <f t="array" ref="U47">_xlfn.IFS(F47&lt;30000,"30k",F47&lt;=50000,"30k-50k",F47&lt;=75000,"50k-75k",F47&lt;=100000,"75k-100k",F47&gt;100000,"100k")</f>
        <v>30k</v>
      </c>
      <c r="W47" s="1">
        <f t="shared" si="1"/>
        <v>13</v>
      </c>
    </row>
    <row r="48" spans="1:23" x14ac:dyDescent="0.35">
      <c r="A48">
        <v>45</v>
      </c>
      <c r="B48">
        <v>1371</v>
      </c>
      <c r="C48">
        <v>1976</v>
      </c>
      <c r="D48" s="1" t="s">
        <v>10</v>
      </c>
      <c r="E48" s="1" t="s">
        <v>11</v>
      </c>
      <c r="F48">
        <v>79941</v>
      </c>
      <c r="G48">
        <v>0</v>
      </c>
      <c r="H48" s="2">
        <v>0</v>
      </c>
      <c r="I48" s="2">
        <v>41818</v>
      </c>
      <c r="J48">
        <v>72</v>
      </c>
      <c r="K48">
        <f>VLOOKUP(B48,purchase_dataset!$B$2:$F$2241,2,FALSE)</f>
        <v>164</v>
      </c>
      <c r="L48">
        <f>VLOOKUP(B48,purchase_dataset!$B$2:$F$2241,3,FALSE)</f>
        <v>30</v>
      </c>
      <c r="M48">
        <f>VLOOKUP(B48,purchase_dataset!$B$2:$F$2241,3,FALSE)</f>
        <v>30</v>
      </c>
      <c r="N48">
        <f>VLOOKUP(B48,purchase_dataset!$B$2:$F$2241,5,FALSE)</f>
        <v>9</v>
      </c>
      <c r="O48" s="5">
        <v>50</v>
      </c>
      <c r="P48" s="4" t="str">
        <f t="shared" si="0"/>
        <v>30-50</v>
      </c>
      <c r="Q48" s="4">
        <f>M48+N48</f>
        <v>39</v>
      </c>
      <c r="U48" s="28" t="str" cm="1">
        <f t="array" ref="U48">_xlfn.IFS(F48&lt;30000,"30k",F48&lt;=50000,"30k-50k",F48&lt;=75000,"50k-75k",F48&lt;=100000,"75k-100k",F48&gt;100000,"100k")</f>
        <v>75k-100k</v>
      </c>
      <c r="W48" s="1">
        <f t="shared" si="1"/>
        <v>12</v>
      </c>
    </row>
    <row r="49" spans="1:23" x14ac:dyDescent="0.35">
      <c r="A49">
        <v>46</v>
      </c>
      <c r="B49">
        <v>9909</v>
      </c>
      <c r="C49">
        <v>1996</v>
      </c>
      <c r="D49" s="1" t="s">
        <v>18</v>
      </c>
      <c r="E49" s="1" t="s">
        <v>14</v>
      </c>
      <c r="F49">
        <v>7500</v>
      </c>
      <c r="G49">
        <v>0</v>
      </c>
      <c r="H49" s="2">
        <v>0</v>
      </c>
      <c r="I49" s="2">
        <v>41222</v>
      </c>
      <c r="J49">
        <v>24</v>
      </c>
      <c r="K49">
        <f>VLOOKUP(B49,purchase_dataset!$B$2:$F$2241,2,FALSE)</f>
        <v>18</v>
      </c>
      <c r="L49">
        <f>VLOOKUP(B49,purchase_dataset!$B$2:$F$2241,3,FALSE)</f>
        <v>22</v>
      </c>
      <c r="M49">
        <f>VLOOKUP(B49,purchase_dataset!$B$2:$F$2241,3,FALSE)</f>
        <v>22</v>
      </c>
      <c r="N49">
        <f>VLOOKUP(B49,purchase_dataset!$B$2:$F$2241,5,FALSE)</f>
        <v>3</v>
      </c>
      <c r="O49" s="5">
        <v>30</v>
      </c>
      <c r="P49" s="4" t="str">
        <f t="shared" si="0"/>
        <v>30-50</v>
      </c>
      <c r="Q49" s="4">
        <f>M49+N49</f>
        <v>25</v>
      </c>
      <c r="U49" s="28" t="str" cm="1">
        <f t="array" ref="U49">_xlfn.IFS(F49&lt;30000,"30k",F49&lt;=50000,"30k-50k",F49&lt;=75000,"50k-75k",F49&lt;=100000,"75k-100k",F49&gt;100000,"100k")</f>
        <v>30k</v>
      </c>
      <c r="W49" s="1">
        <f t="shared" si="1"/>
        <v>14</v>
      </c>
    </row>
    <row r="50" spans="1:23" x14ac:dyDescent="0.35">
      <c r="A50">
        <v>47</v>
      </c>
      <c r="B50">
        <v>7286</v>
      </c>
      <c r="C50">
        <v>1968</v>
      </c>
      <c r="D50" s="1" t="s">
        <v>10</v>
      </c>
      <c r="E50" s="1" t="s">
        <v>12</v>
      </c>
      <c r="F50">
        <v>41728</v>
      </c>
      <c r="G50">
        <v>1</v>
      </c>
      <c r="H50" s="2">
        <v>0</v>
      </c>
      <c r="I50" s="2">
        <v>41418</v>
      </c>
      <c r="J50">
        <v>92</v>
      </c>
      <c r="K50">
        <f>VLOOKUP(B50,purchase_dataset!$B$2:$F$2241,2,FALSE)</f>
        <v>6</v>
      </c>
      <c r="L50">
        <f>VLOOKUP(B50,purchase_dataset!$B$2:$F$2241,3,FALSE)</f>
        <v>5</v>
      </c>
      <c r="M50">
        <f>VLOOKUP(B50,purchase_dataset!$B$2:$F$2241,3,FALSE)</f>
        <v>5</v>
      </c>
      <c r="N50">
        <f>VLOOKUP(B50,purchase_dataset!$B$2:$F$2241,5,FALSE)</f>
        <v>2</v>
      </c>
      <c r="O50" s="5">
        <v>58</v>
      </c>
      <c r="P50" s="4" t="str">
        <f t="shared" si="0"/>
        <v>&gt;50</v>
      </c>
      <c r="Q50" s="4">
        <f>M50+N50</f>
        <v>7</v>
      </c>
      <c r="U50" s="28" t="str" cm="1">
        <f t="array" ref="U50">_xlfn.IFS(F50&lt;30000,"30k",F50&lt;=50000,"30k-50k",F50&lt;=75000,"50k-75k",F50&lt;=100000,"75k-100k",F50&gt;100000,"100k")</f>
        <v>30k-50k</v>
      </c>
      <c r="W50" s="1">
        <f t="shared" si="1"/>
        <v>13</v>
      </c>
    </row>
    <row r="51" spans="1:23" x14ac:dyDescent="0.35">
      <c r="A51">
        <v>48</v>
      </c>
      <c r="B51">
        <v>7244</v>
      </c>
      <c r="C51">
        <v>1951</v>
      </c>
      <c r="D51" s="1" t="s">
        <v>10</v>
      </c>
      <c r="E51" s="1" t="s">
        <v>11</v>
      </c>
      <c r="G51">
        <v>2</v>
      </c>
      <c r="H51" s="2">
        <v>1</v>
      </c>
      <c r="I51" s="2">
        <v>41640</v>
      </c>
      <c r="J51">
        <v>96</v>
      </c>
      <c r="K51">
        <f>VLOOKUP(B51,purchase_dataset!$B$2:$F$2241,2,FALSE)</f>
        <v>5</v>
      </c>
      <c r="L51">
        <f>VLOOKUP(B51,purchase_dataset!$B$2:$F$2241,3,FALSE)</f>
        <v>10</v>
      </c>
      <c r="M51">
        <f>VLOOKUP(B51,purchase_dataset!$B$2:$F$2241,3,FALSE)</f>
        <v>10</v>
      </c>
      <c r="N51">
        <f>VLOOKUP(B51,purchase_dataset!$B$2:$F$2241,5,FALSE)</f>
        <v>4</v>
      </c>
      <c r="O51" s="5">
        <v>75</v>
      </c>
      <c r="P51" s="4" t="str">
        <f t="shared" si="0"/>
        <v>&gt;50</v>
      </c>
      <c r="Q51" s="4">
        <f>M51+N51</f>
        <v>14</v>
      </c>
      <c r="U51" s="28" t="str" cm="1">
        <f t="array" ref="U51">_xlfn.IFS(F51&lt;30000,"30k",F51&lt;=50000,"30k-50k",F51&lt;=75000,"50k-75k",F51&lt;=100000,"75k-100k",F51&gt;100000,"100k")</f>
        <v>30k</v>
      </c>
      <c r="W51" s="1">
        <f t="shared" si="1"/>
        <v>12</v>
      </c>
    </row>
    <row r="52" spans="1:23" x14ac:dyDescent="0.35">
      <c r="A52">
        <v>49</v>
      </c>
      <c r="B52">
        <v>6566</v>
      </c>
      <c r="C52">
        <v>1954</v>
      </c>
      <c r="D52" s="1" t="s">
        <v>13</v>
      </c>
      <c r="E52" s="1" t="s">
        <v>14</v>
      </c>
      <c r="F52">
        <v>72550</v>
      </c>
      <c r="G52">
        <v>1</v>
      </c>
      <c r="H52" s="2">
        <v>1</v>
      </c>
      <c r="I52" s="2">
        <v>41221</v>
      </c>
      <c r="J52">
        <v>39</v>
      </c>
      <c r="K52">
        <f>VLOOKUP(B52,purchase_dataset!$B$2:$F$2241,2,FALSE)</f>
        <v>50</v>
      </c>
      <c r="L52">
        <f>VLOOKUP(B52,purchase_dataset!$B$2:$F$2241,3,FALSE)</f>
        <v>38</v>
      </c>
      <c r="M52">
        <f>VLOOKUP(B52,purchase_dataset!$B$2:$F$2241,3,FALSE)</f>
        <v>38</v>
      </c>
      <c r="N52">
        <f>VLOOKUP(B52,purchase_dataset!$B$2:$F$2241,5,FALSE)</f>
        <v>12</v>
      </c>
      <c r="O52" s="5">
        <v>72</v>
      </c>
      <c r="P52" s="4" t="str">
        <f t="shared" si="0"/>
        <v>&gt;50</v>
      </c>
      <c r="Q52" s="4">
        <f>M52+N52</f>
        <v>50</v>
      </c>
      <c r="U52" s="28" t="str" cm="1">
        <f t="array" ref="U52">_xlfn.IFS(F52&lt;30000,"30k",F52&lt;=50000,"30k-50k",F52&lt;=75000,"50k-75k",F52&lt;=100000,"75k-100k",F52&gt;100000,"100k")</f>
        <v>50k-75k</v>
      </c>
      <c r="W52" s="1">
        <f t="shared" si="1"/>
        <v>14</v>
      </c>
    </row>
    <row r="53" spans="1:23" x14ac:dyDescent="0.35">
      <c r="A53">
        <v>50</v>
      </c>
      <c r="B53">
        <v>8614</v>
      </c>
      <c r="C53">
        <v>1957</v>
      </c>
      <c r="D53" s="1" t="s">
        <v>10</v>
      </c>
      <c r="E53" s="1" t="s">
        <v>19</v>
      </c>
      <c r="F53">
        <v>65486</v>
      </c>
      <c r="G53">
        <v>0</v>
      </c>
      <c r="H53" s="2">
        <v>1</v>
      </c>
      <c r="I53" s="2">
        <v>41771</v>
      </c>
      <c r="J53">
        <v>29</v>
      </c>
      <c r="K53">
        <f>VLOOKUP(B53,purchase_dataset!$B$2:$F$2241,2,FALSE)</f>
        <v>19</v>
      </c>
      <c r="L53">
        <f>VLOOKUP(B53,purchase_dataset!$B$2:$F$2241,3,FALSE)</f>
        <v>67</v>
      </c>
      <c r="M53">
        <f>VLOOKUP(B53,purchase_dataset!$B$2:$F$2241,3,FALSE)</f>
        <v>67</v>
      </c>
      <c r="N53">
        <f>VLOOKUP(B53,purchase_dataset!$B$2:$F$2241,5,FALSE)</f>
        <v>10</v>
      </c>
      <c r="O53" s="5">
        <v>69</v>
      </c>
      <c r="P53" s="4" t="str">
        <f t="shared" si="0"/>
        <v>&gt;50</v>
      </c>
      <c r="Q53" s="4">
        <f>M53+N53</f>
        <v>77</v>
      </c>
      <c r="U53" s="28" t="str" cm="1">
        <f t="array" ref="U53">_xlfn.IFS(F53&lt;30000,"30k",F53&lt;=50000,"30k-50k",F53&lt;=75000,"50k-75k",F53&lt;=100000,"75k-100k",F53&gt;100000,"100k")</f>
        <v>50k-75k</v>
      </c>
      <c r="W53" s="1">
        <f t="shared" si="1"/>
        <v>12</v>
      </c>
    </row>
    <row r="54" spans="1:23" x14ac:dyDescent="0.35">
      <c r="A54">
        <v>51</v>
      </c>
      <c r="B54">
        <v>4114</v>
      </c>
      <c r="C54">
        <v>1964</v>
      </c>
      <c r="D54" s="1" t="s">
        <v>15</v>
      </c>
      <c r="E54" s="1" t="s">
        <v>14</v>
      </c>
      <c r="F54">
        <v>79143</v>
      </c>
      <c r="G54">
        <v>0</v>
      </c>
      <c r="H54" s="2">
        <v>0</v>
      </c>
      <c r="I54" s="2">
        <v>41132</v>
      </c>
      <c r="J54">
        <v>2</v>
      </c>
      <c r="K54">
        <f>VLOOKUP(B54,purchase_dataset!$B$2:$F$2241,2,FALSE)</f>
        <v>37</v>
      </c>
      <c r="L54">
        <f>VLOOKUP(B54,purchase_dataset!$B$2:$F$2241,3,FALSE)</f>
        <v>167</v>
      </c>
      <c r="M54">
        <f>VLOOKUP(B54,purchase_dataset!$B$2:$F$2241,3,FALSE)</f>
        <v>167</v>
      </c>
      <c r="N54">
        <f>VLOOKUP(B54,purchase_dataset!$B$2:$F$2241,5,FALSE)</f>
        <v>13</v>
      </c>
      <c r="O54" s="5">
        <v>62</v>
      </c>
      <c r="P54" s="4" t="str">
        <f t="shared" si="0"/>
        <v>&gt;50</v>
      </c>
      <c r="Q54" s="4">
        <f>M54+N54</f>
        <v>180</v>
      </c>
      <c r="U54" s="28" t="str" cm="1">
        <f t="array" ref="U54">_xlfn.IFS(F54&lt;30000,"30k",F54&lt;=50000,"30k-50k",F54&lt;=75000,"50k-75k",F54&lt;=100000,"75k-100k",F54&gt;100000,"100k")</f>
        <v>75k-100k</v>
      </c>
      <c r="W54" s="1">
        <f t="shared" si="1"/>
        <v>14</v>
      </c>
    </row>
    <row r="55" spans="1:23" x14ac:dyDescent="0.35">
      <c r="A55">
        <v>52</v>
      </c>
      <c r="B55">
        <v>1331</v>
      </c>
      <c r="C55">
        <v>1977</v>
      </c>
      <c r="D55" s="1" t="s">
        <v>10</v>
      </c>
      <c r="E55" s="1" t="s">
        <v>11</v>
      </c>
      <c r="F55">
        <v>35790</v>
      </c>
      <c r="G55">
        <v>1</v>
      </c>
      <c r="H55" s="2">
        <v>0</v>
      </c>
      <c r="I55" s="2">
        <v>41276</v>
      </c>
      <c r="J55">
        <v>54</v>
      </c>
      <c r="K55">
        <f>VLOOKUP(B55,purchase_dataset!$B$2:$F$2241,2,FALSE)</f>
        <v>6</v>
      </c>
      <c r="L55">
        <f>VLOOKUP(B55,purchase_dataset!$B$2:$F$2241,3,FALSE)</f>
        <v>1</v>
      </c>
      <c r="M55">
        <f>VLOOKUP(B55,purchase_dataset!$B$2:$F$2241,3,FALSE)</f>
        <v>1</v>
      </c>
      <c r="N55">
        <f>VLOOKUP(B55,purchase_dataset!$B$2:$F$2241,5,FALSE)</f>
        <v>3</v>
      </c>
      <c r="O55" s="5">
        <v>49</v>
      </c>
      <c r="P55" s="4" t="str">
        <f t="shared" si="0"/>
        <v>30-50</v>
      </c>
      <c r="Q55" s="4">
        <f>M55+N55</f>
        <v>4</v>
      </c>
      <c r="U55" s="28" t="str" cm="1">
        <f t="array" ref="U55">_xlfn.IFS(F55&lt;30000,"30k",F55&lt;=50000,"30k-50k",F55&lt;=75000,"50k-75k",F55&lt;=100000,"75k-100k",F55&gt;100000,"100k")</f>
        <v>30k-50k</v>
      </c>
      <c r="W55" s="1">
        <f t="shared" si="1"/>
        <v>13</v>
      </c>
    </row>
    <row r="56" spans="1:23" x14ac:dyDescent="0.35">
      <c r="A56">
        <v>53</v>
      </c>
      <c r="B56">
        <v>2225</v>
      </c>
      <c r="C56">
        <v>1977</v>
      </c>
      <c r="D56" s="1" t="s">
        <v>10</v>
      </c>
      <c r="E56" s="1" t="s">
        <v>16</v>
      </c>
      <c r="F56">
        <v>82582</v>
      </c>
      <c r="G56">
        <v>0</v>
      </c>
      <c r="H56" s="2">
        <v>0</v>
      </c>
      <c r="I56" s="2">
        <v>41797</v>
      </c>
      <c r="J56">
        <v>54</v>
      </c>
      <c r="K56">
        <f>VLOOKUP(B56,purchase_dataset!$B$2:$F$2241,2,FALSE)</f>
        <v>120</v>
      </c>
      <c r="L56">
        <f>VLOOKUP(B56,purchase_dataset!$B$2:$F$2241,3,FALSE)</f>
        <v>40</v>
      </c>
      <c r="M56">
        <f>VLOOKUP(B56,purchase_dataset!$B$2:$F$2241,3,FALSE)</f>
        <v>40</v>
      </c>
      <c r="N56">
        <f>VLOOKUP(B56,purchase_dataset!$B$2:$F$2241,5,FALSE)</f>
        <v>7</v>
      </c>
      <c r="O56" s="5">
        <v>49</v>
      </c>
      <c r="P56" s="4" t="str">
        <f t="shared" si="0"/>
        <v>30-50</v>
      </c>
      <c r="Q56" s="4">
        <f>M56+N56</f>
        <v>47</v>
      </c>
      <c r="U56" s="28" t="str" cm="1">
        <f t="array" ref="U56">_xlfn.IFS(F56&lt;30000,"30k",F56&lt;=50000,"30k-50k",F56&lt;=75000,"50k-75k",F56&lt;=100000,"75k-100k",F56&gt;100000,"100k")</f>
        <v>75k-100k</v>
      </c>
      <c r="W56" s="1">
        <f t="shared" si="1"/>
        <v>12</v>
      </c>
    </row>
    <row r="57" spans="1:23" x14ac:dyDescent="0.35">
      <c r="A57">
        <v>54</v>
      </c>
      <c r="B57">
        <v>9381</v>
      </c>
      <c r="C57">
        <v>1978</v>
      </c>
      <c r="D57" s="1" t="s">
        <v>10</v>
      </c>
      <c r="E57" s="1" t="s">
        <v>14</v>
      </c>
      <c r="F57">
        <v>66373</v>
      </c>
      <c r="G57">
        <v>1</v>
      </c>
      <c r="H57" s="2">
        <v>1</v>
      </c>
      <c r="I57" s="2">
        <v>41437</v>
      </c>
      <c r="J57">
        <v>57</v>
      </c>
      <c r="K57">
        <f>VLOOKUP(B57,purchase_dataset!$B$2:$F$2241,2,FALSE)</f>
        <v>9</v>
      </c>
      <c r="L57">
        <f>VLOOKUP(B57,purchase_dataset!$B$2:$F$2241,3,FALSE)</f>
        <v>24</v>
      </c>
      <c r="M57">
        <f>VLOOKUP(B57,purchase_dataset!$B$2:$F$2241,3,FALSE)</f>
        <v>24</v>
      </c>
      <c r="N57">
        <f>VLOOKUP(B57,purchase_dataset!$B$2:$F$2241,5,FALSE)</f>
        <v>10</v>
      </c>
      <c r="O57" s="5">
        <v>48</v>
      </c>
      <c r="P57" s="4" t="str">
        <f t="shared" si="0"/>
        <v>30-50</v>
      </c>
      <c r="Q57" s="4">
        <f>M57+N57</f>
        <v>34</v>
      </c>
      <c r="U57" s="28" t="str" cm="1">
        <f t="array" ref="U57">_xlfn.IFS(F57&lt;30000,"30k",F57&lt;=50000,"30k-50k",F57&lt;=75000,"50k-75k",F57&lt;=100000,"75k-100k",F57&gt;100000,"100k")</f>
        <v>50k-75k</v>
      </c>
      <c r="W57" s="1">
        <f t="shared" si="1"/>
        <v>13</v>
      </c>
    </row>
    <row r="58" spans="1:23" x14ac:dyDescent="0.35">
      <c r="A58">
        <v>55</v>
      </c>
      <c r="B58">
        <v>6260</v>
      </c>
      <c r="C58">
        <v>1955</v>
      </c>
      <c r="D58" s="1" t="s">
        <v>15</v>
      </c>
      <c r="E58" s="1" t="s">
        <v>12</v>
      </c>
      <c r="F58">
        <v>82384</v>
      </c>
      <c r="G58">
        <v>0</v>
      </c>
      <c r="H58" s="2">
        <v>0</v>
      </c>
      <c r="I58" s="2">
        <v>41232</v>
      </c>
      <c r="J58">
        <v>55</v>
      </c>
      <c r="K58">
        <f>VLOOKUP(B58,purchase_dataset!$B$2:$F$2241,2,FALSE)</f>
        <v>51</v>
      </c>
      <c r="L58">
        <f>VLOOKUP(B58,purchase_dataset!$B$2:$F$2241,3,FALSE)</f>
        <v>120</v>
      </c>
      <c r="M58">
        <f>VLOOKUP(B58,purchase_dataset!$B$2:$F$2241,3,FALSE)</f>
        <v>120</v>
      </c>
      <c r="N58">
        <f>VLOOKUP(B58,purchase_dataset!$B$2:$F$2241,5,FALSE)</f>
        <v>13</v>
      </c>
      <c r="O58" s="5">
        <v>71</v>
      </c>
      <c r="P58" s="4" t="str">
        <f t="shared" si="0"/>
        <v>&gt;50</v>
      </c>
      <c r="Q58" s="4">
        <f>M58+N58</f>
        <v>133</v>
      </c>
      <c r="U58" s="28" t="str" cm="1">
        <f t="array" ref="U58">_xlfn.IFS(F58&lt;30000,"30k",F58&lt;=50000,"30k-50k",F58&lt;=75000,"50k-75k",F58&lt;=100000,"75k-100k",F58&gt;100000,"100k")</f>
        <v>75k-100k</v>
      </c>
      <c r="W58" s="1">
        <f t="shared" si="1"/>
        <v>14</v>
      </c>
    </row>
    <row r="59" spans="1:23" x14ac:dyDescent="0.35">
      <c r="A59">
        <v>56</v>
      </c>
      <c r="B59">
        <v>10383</v>
      </c>
      <c r="C59">
        <v>1966</v>
      </c>
      <c r="D59" s="1" t="s">
        <v>10</v>
      </c>
      <c r="E59" s="1" t="s">
        <v>16</v>
      </c>
      <c r="F59">
        <v>70287</v>
      </c>
      <c r="G59">
        <v>0</v>
      </c>
      <c r="H59" s="2">
        <v>0</v>
      </c>
      <c r="I59" s="2">
        <v>41366</v>
      </c>
      <c r="J59">
        <v>30</v>
      </c>
      <c r="K59">
        <f>VLOOKUP(B59,purchase_dataset!$B$2:$F$2241,2,FALSE)</f>
        <v>35</v>
      </c>
      <c r="L59">
        <f>VLOOKUP(B59,purchase_dataset!$B$2:$F$2241,3,FALSE)</f>
        <v>120</v>
      </c>
      <c r="M59">
        <f>VLOOKUP(B59,purchase_dataset!$B$2:$F$2241,3,FALSE)</f>
        <v>120</v>
      </c>
      <c r="N59">
        <f>VLOOKUP(B59,purchase_dataset!$B$2:$F$2241,5,FALSE)</f>
        <v>10</v>
      </c>
      <c r="O59" s="5">
        <v>60</v>
      </c>
      <c r="P59" s="4" t="str">
        <f t="shared" si="0"/>
        <v>&gt;50</v>
      </c>
      <c r="Q59" s="4">
        <f>M59+N59</f>
        <v>130</v>
      </c>
      <c r="U59" s="28" t="str" cm="1">
        <f t="array" ref="U59">_xlfn.IFS(F59&lt;30000,"30k",F59&lt;=50000,"30k-50k",F59&lt;=75000,"50k-75k",F59&lt;=100000,"75k-100k",F59&gt;100000,"100k")</f>
        <v>50k-75k</v>
      </c>
      <c r="W59" s="1">
        <f t="shared" si="1"/>
        <v>13</v>
      </c>
    </row>
    <row r="60" spans="1:23" x14ac:dyDescent="0.35">
      <c r="A60">
        <v>57</v>
      </c>
      <c r="B60">
        <v>7437</v>
      </c>
      <c r="C60">
        <v>1988</v>
      </c>
      <c r="D60" s="1" t="s">
        <v>10</v>
      </c>
      <c r="E60" s="1" t="s">
        <v>11</v>
      </c>
      <c r="F60">
        <v>27938</v>
      </c>
      <c r="G60">
        <v>1</v>
      </c>
      <c r="H60" s="2">
        <v>0</v>
      </c>
      <c r="I60" s="2">
        <v>41757</v>
      </c>
      <c r="J60">
        <v>31</v>
      </c>
      <c r="K60">
        <f>VLOOKUP(B60,purchase_dataset!$B$2:$F$2241,2,FALSE)</f>
        <v>0</v>
      </c>
      <c r="L60">
        <f>VLOOKUP(B60,purchase_dataset!$B$2:$F$2241,3,FALSE)</f>
        <v>1</v>
      </c>
      <c r="M60">
        <f>VLOOKUP(B60,purchase_dataset!$B$2:$F$2241,3,FALSE)</f>
        <v>1</v>
      </c>
      <c r="N60">
        <f>VLOOKUP(B60,purchase_dataset!$B$2:$F$2241,5,FALSE)</f>
        <v>4</v>
      </c>
      <c r="O60" s="5">
        <v>38</v>
      </c>
      <c r="P60" s="4" t="str">
        <f t="shared" si="0"/>
        <v>30-50</v>
      </c>
      <c r="Q60" s="4">
        <f>M60+N60</f>
        <v>5</v>
      </c>
      <c r="U60" s="28" t="str" cm="1">
        <f t="array" ref="U60">_xlfn.IFS(F60&lt;30000,"30k",F60&lt;=50000,"30k-50k",F60&lt;=75000,"50k-75k",F60&lt;=100000,"75k-100k",F60&gt;100000,"100k")</f>
        <v>30k</v>
      </c>
      <c r="W60" s="1">
        <f t="shared" si="1"/>
        <v>12</v>
      </c>
    </row>
    <row r="61" spans="1:23" x14ac:dyDescent="0.35">
      <c r="A61">
        <v>58</v>
      </c>
      <c r="B61">
        <v>8557</v>
      </c>
      <c r="C61">
        <v>1982</v>
      </c>
      <c r="D61" s="1" t="s">
        <v>10</v>
      </c>
      <c r="E61" s="1" t="s">
        <v>11</v>
      </c>
      <c r="G61">
        <v>1</v>
      </c>
      <c r="H61" s="2">
        <v>0</v>
      </c>
      <c r="I61" s="2">
        <v>41442</v>
      </c>
      <c r="J61">
        <v>57</v>
      </c>
      <c r="K61">
        <f>VLOOKUP(B61,purchase_dataset!$B$2:$F$2241,2,FALSE)</f>
        <v>3</v>
      </c>
      <c r="L61">
        <f>VLOOKUP(B61,purchase_dataset!$B$2:$F$2241,3,FALSE)</f>
        <v>2</v>
      </c>
      <c r="M61">
        <f>VLOOKUP(B61,purchase_dataset!$B$2:$F$2241,3,FALSE)</f>
        <v>2</v>
      </c>
      <c r="N61">
        <f>VLOOKUP(B61,purchase_dataset!$B$2:$F$2241,5,FALSE)</f>
        <v>3</v>
      </c>
      <c r="O61" s="5">
        <v>44</v>
      </c>
      <c r="P61" s="4" t="str">
        <f t="shared" si="0"/>
        <v>30-50</v>
      </c>
      <c r="Q61" s="4">
        <f>M61+N61</f>
        <v>5</v>
      </c>
      <c r="U61" s="28" t="str" cm="1">
        <f t="array" ref="U61">_xlfn.IFS(F61&lt;30000,"30k",F61&lt;=50000,"30k-50k",F61&lt;=75000,"50k-75k",F61&lt;=100000,"75k-100k",F61&gt;100000,"100k")</f>
        <v>30k</v>
      </c>
      <c r="W61" s="1">
        <f t="shared" si="1"/>
        <v>13</v>
      </c>
    </row>
    <row r="62" spans="1:23" x14ac:dyDescent="0.35">
      <c r="A62">
        <v>59</v>
      </c>
      <c r="B62">
        <v>8375</v>
      </c>
      <c r="C62">
        <v>1968</v>
      </c>
      <c r="D62" s="1" t="s">
        <v>13</v>
      </c>
      <c r="E62" s="1" t="s">
        <v>14</v>
      </c>
      <c r="F62">
        <v>55954</v>
      </c>
      <c r="G62">
        <v>0</v>
      </c>
      <c r="H62" s="2">
        <v>1</v>
      </c>
      <c r="I62" s="2">
        <v>41701</v>
      </c>
      <c r="J62">
        <v>63</v>
      </c>
      <c r="K62">
        <f>VLOOKUP(B62,purchase_dataset!$B$2:$F$2241,2,FALSE)</f>
        <v>0</v>
      </c>
      <c r="L62">
        <f>VLOOKUP(B62,purchase_dataset!$B$2:$F$2241,3,FALSE)</f>
        <v>0</v>
      </c>
      <c r="M62">
        <f>VLOOKUP(B62,purchase_dataset!$B$2:$F$2241,3,FALSE)</f>
        <v>0</v>
      </c>
      <c r="N62">
        <f>VLOOKUP(B62,purchase_dataset!$B$2:$F$2241,5,FALSE)</f>
        <v>6</v>
      </c>
      <c r="O62" s="5">
        <v>58</v>
      </c>
      <c r="P62" s="4" t="str">
        <f t="shared" si="0"/>
        <v>&gt;50</v>
      </c>
      <c r="Q62" s="4">
        <f>M62+N62</f>
        <v>6</v>
      </c>
      <c r="U62" s="28" t="str" cm="1">
        <f t="array" ref="U62">_xlfn.IFS(F62&lt;30000,"30k",F62&lt;=50000,"30k-50k",F62&lt;=75000,"50k-75k",F62&lt;=100000,"75k-100k",F62&gt;100000,"100k")</f>
        <v>50k-75k</v>
      </c>
      <c r="W62" s="1">
        <f t="shared" si="1"/>
        <v>12</v>
      </c>
    </row>
    <row r="63" spans="1:23" x14ac:dyDescent="0.35">
      <c r="A63">
        <v>60</v>
      </c>
      <c r="B63">
        <v>6853</v>
      </c>
      <c r="C63">
        <v>1982</v>
      </c>
      <c r="D63" s="1" t="s">
        <v>15</v>
      </c>
      <c r="E63" s="1" t="s">
        <v>11</v>
      </c>
      <c r="F63">
        <v>75777</v>
      </c>
      <c r="G63">
        <v>0</v>
      </c>
      <c r="H63" s="2">
        <v>0</v>
      </c>
      <c r="I63" s="2">
        <v>41459</v>
      </c>
      <c r="J63">
        <v>12</v>
      </c>
      <c r="K63">
        <f>VLOOKUP(B63,purchase_dataset!$B$2:$F$2241,2,FALSE)</f>
        <v>26</v>
      </c>
      <c r="L63">
        <f>VLOOKUP(B63,purchase_dataset!$B$2:$F$2241,3,FALSE)</f>
        <v>13</v>
      </c>
      <c r="M63">
        <f>VLOOKUP(B63,purchase_dataset!$B$2:$F$2241,3,FALSE)</f>
        <v>13</v>
      </c>
      <c r="N63">
        <f>VLOOKUP(B63,purchase_dataset!$B$2:$F$2241,5,FALSE)</f>
        <v>11</v>
      </c>
      <c r="O63" s="5">
        <v>44</v>
      </c>
      <c r="P63" s="4" t="str">
        <f t="shared" si="0"/>
        <v>30-50</v>
      </c>
      <c r="Q63" s="4">
        <f>M63+N63</f>
        <v>24</v>
      </c>
      <c r="U63" s="28" t="str" cm="1">
        <f t="array" ref="U63">_xlfn.IFS(F63&lt;30000,"30k",F63&lt;=50000,"30k-50k",F63&lt;=75000,"50k-75k",F63&lt;=100000,"75k-100k",F63&gt;100000,"100k")</f>
        <v>75k-100k</v>
      </c>
      <c r="W63" s="1">
        <f t="shared" si="1"/>
        <v>13</v>
      </c>
    </row>
    <row r="64" spans="1:23" x14ac:dyDescent="0.35">
      <c r="A64">
        <v>61</v>
      </c>
      <c r="B64">
        <v>3076</v>
      </c>
      <c r="C64">
        <v>1975</v>
      </c>
      <c r="D64" s="1" t="s">
        <v>10</v>
      </c>
      <c r="E64" s="1" t="s">
        <v>12</v>
      </c>
      <c r="F64">
        <v>66653</v>
      </c>
      <c r="G64">
        <v>1</v>
      </c>
      <c r="H64" s="2">
        <v>1</v>
      </c>
      <c r="I64" s="2">
        <v>41159</v>
      </c>
      <c r="J64">
        <v>18</v>
      </c>
      <c r="K64">
        <f>VLOOKUP(B64,purchase_dataset!$B$2:$F$2241,2,FALSE)</f>
        <v>18</v>
      </c>
      <c r="L64">
        <f>VLOOKUP(B64,purchase_dataset!$B$2:$F$2241,3,FALSE)</f>
        <v>18</v>
      </c>
      <c r="M64">
        <f>VLOOKUP(B64,purchase_dataset!$B$2:$F$2241,3,FALSE)</f>
        <v>18</v>
      </c>
      <c r="N64">
        <f>VLOOKUP(B64,purchase_dataset!$B$2:$F$2241,5,FALSE)</f>
        <v>12</v>
      </c>
      <c r="O64" s="5">
        <v>51</v>
      </c>
      <c r="P64" s="4" t="str">
        <f t="shared" si="0"/>
        <v>&gt;50</v>
      </c>
      <c r="Q64" s="4">
        <f>M64+N64</f>
        <v>30</v>
      </c>
      <c r="U64" s="28" t="str" cm="1">
        <f t="array" ref="U64">_xlfn.IFS(F64&lt;30000,"30k",F64&lt;=50000,"30k-50k",F64&lt;=75000,"50k-75k",F64&lt;=100000,"75k-100k",F64&gt;100000,"100k")</f>
        <v>50k-75k</v>
      </c>
      <c r="W64" s="1">
        <f t="shared" si="1"/>
        <v>14</v>
      </c>
    </row>
    <row r="65" spans="1:23" x14ac:dyDescent="0.35">
      <c r="A65">
        <v>62</v>
      </c>
      <c r="B65">
        <v>1012</v>
      </c>
      <c r="C65">
        <v>1952</v>
      </c>
      <c r="D65" s="1" t="s">
        <v>10</v>
      </c>
      <c r="E65" s="1" t="s">
        <v>11</v>
      </c>
      <c r="F65">
        <v>61823</v>
      </c>
      <c r="G65">
        <v>0</v>
      </c>
      <c r="H65" s="2">
        <v>1</v>
      </c>
      <c r="I65" s="2">
        <v>41323</v>
      </c>
      <c r="J65">
        <v>26</v>
      </c>
      <c r="K65">
        <f>VLOOKUP(B65,purchase_dataset!$B$2:$F$2241,2,FALSE)</f>
        <v>7</v>
      </c>
      <c r="L65">
        <f>VLOOKUP(B65,purchase_dataset!$B$2:$F$2241,3,FALSE)</f>
        <v>14</v>
      </c>
      <c r="M65">
        <f>VLOOKUP(B65,purchase_dataset!$B$2:$F$2241,3,FALSE)</f>
        <v>14</v>
      </c>
      <c r="N65">
        <f>VLOOKUP(B65,purchase_dataset!$B$2:$F$2241,5,FALSE)</f>
        <v>10</v>
      </c>
      <c r="O65" s="5">
        <v>74</v>
      </c>
      <c r="P65" s="4" t="str">
        <f t="shared" si="0"/>
        <v>&gt;50</v>
      </c>
      <c r="Q65" s="4">
        <f>M65+N65</f>
        <v>24</v>
      </c>
      <c r="U65" s="28" t="str" cm="1">
        <f t="array" ref="U65">_xlfn.IFS(F65&lt;30000,"30k",F65&lt;=50000,"30k-50k",F65&lt;=75000,"50k-75k",F65&lt;=100000,"75k-100k",F65&gt;100000,"100k")</f>
        <v>50k-75k</v>
      </c>
      <c r="W65" s="1">
        <f t="shared" si="1"/>
        <v>13</v>
      </c>
    </row>
    <row r="66" spans="1:23" x14ac:dyDescent="0.35">
      <c r="A66">
        <v>63</v>
      </c>
      <c r="B66">
        <v>6518</v>
      </c>
      <c r="C66">
        <v>1951</v>
      </c>
      <c r="D66" s="1" t="s">
        <v>13</v>
      </c>
      <c r="E66" s="1" t="s">
        <v>19</v>
      </c>
      <c r="F66">
        <v>67680</v>
      </c>
      <c r="G66">
        <v>0</v>
      </c>
      <c r="H66" s="2">
        <v>1</v>
      </c>
      <c r="I66" s="2">
        <v>41436</v>
      </c>
      <c r="J66">
        <v>8</v>
      </c>
      <c r="K66">
        <f>VLOOKUP(B66,purchase_dataset!$B$2:$F$2241,2,FALSE)</f>
        <v>0</v>
      </c>
      <c r="L66">
        <f>VLOOKUP(B66,purchase_dataset!$B$2:$F$2241,3,FALSE)</f>
        <v>6</v>
      </c>
      <c r="M66">
        <f>VLOOKUP(B66,purchase_dataset!$B$2:$F$2241,3,FALSE)</f>
        <v>6</v>
      </c>
      <c r="N66">
        <f>VLOOKUP(B66,purchase_dataset!$B$2:$F$2241,5,FALSE)</f>
        <v>8</v>
      </c>
      <c r="O66" s="5">
        <v>75</v>
      </c>
      <c r="P66" s="4" t="str">
        <f t="shared" si="0"/>
        <v>&gt;50</v>
      </c>
      <c r="Q66" s="4">
        <f>M66+N66</f>
        <v>14</v>
      </c>
      <c r="U66" s="28" t="str" cm="1">
        <f t="array" ref="U66">_xlfn.IFS(F66&lt;30000,"30k",F66&lt;=50000,"30k-50k",F66&lt;=75000,"50k-75k",F66&lt;=100000,"75k-100k",F66&gt;100000,"100k")</f>
        <v>50k-75k</v>
      </c>
      <c r="W66" s="1">
        <f t="shared" si="1"/>
        <v>13</v>
      </c>
    </row>
    <row r="67" spans="1:23" x14ac:dyDescent="0.35">
      <c r="A67">
        <v>64</v>
      </c>
      <c r="B67">
        <v>4137</v>
      </c>
      <c r="C67">
        <v>1948</v>
      </c>
      <c r="D67" s="1" t="s">
        <v>10</v>
      </c>
      <c r="E67" s="1" t="s">
        <v>12</v>
      </c>
      <c r="F67">
        <v>70666</v>
      </c>
      <c r="G67">
        <v>0</v>
      </c>
      <c r="H67" s="2">
        <v>0</v>
      </c>
      <c r="I67" s="2">
        <v>41614</v>
      </c>
      <c r="J67">
        <v>29</v>
      </c>
      <c r="K67">
        <f>VLOOKUP(B67,purchase_dataset!$B$2:$F$2241,2,FALSE)</f>
        <v>40</v>
      </c>
      <c r="L67">
        <f>VLOOKUP(B67,purchase_dataset!$B$2:$F$2241,3,FALSE)</f>
        <v>122</v>
      </c>
      <c r="M67">
        <f>VLOOKUP(B67,purchase_dataset!$B$2:$F$2241,3,FALSE)</f>
        <v>122</v>
      </c>
      <c r="N67">
        <f>VLOOKUP(B67,purchase_dataset!$B$2:$F$2241,5,FALSE)</f>
        <v>4</v>
      </c>
      <c r="O67" s="5">
        <v>78</v>
      </c>
      <c r="P67" s="4" t="str">
        <f t="shared" si="0"/>
        <v>&gt;50</v>
      </c>
      <c r="Q67" s="4">
        <f>M67+N67</f>
        <v>126</v>
      </c>
      <c r="U67" s="28" t="str" cm="1">
        <f t="array" ref="U67">_xlfn.IFS(F67&lt;30000,"30k",F67&lt;=50000,"30k-50k",F67&lt;=75000,"50k-75k",F67&lt;=100000,"75k-100k",F67&gt;100000,"100k")</f>
        <v>50k-75k</v>
      </c>
      <c r="W67" s="1">
        <f t="shared" si="1"/>
        <v>13</v>
      </c>
    </row>
    <row r="68" spans="1:23" x14ac:dyDescent="0.35">
      <c r="A68">
        <v>65</v>
      </c>
      <c r="B68">
        <v>8082</v>
      </c>
      <c r="C68">
        <v>1971</v>
      </c>
      <c r="D68" s="1" t="s">
        <v>10</v>
      </c>
      <c r="E68" s="1" t="s">
        <v>14</v>
      </c>
      <c r="F68">
        <v>25721</v>
      </c>
      <c r="G68">
        <v>1</v>
      </c>
      <c r="H68" s="2">
        <v>0</v>
      </c>
      <c r="I68" s="2">
        <v>41415</v>
      </c>
      <c r="J68">
        <v>75</v>
      </c>
      <c r="K68">
        <f>VLOOKUP(B68,purchase_dataset!$B$2:$F$2241,2,FALSE)</f>
        <v>3</v>
      </c>
      <c r="L68">
        <f>VLOOKUP(B68,purchase_dataset!$B$2:$F$2241,3,FALSE)</f>
        <v>6</v>
      </c>
      <c r="M68">
        <f>VLOOKUP(B68,purchase_dataset!$B$2:$F$2241,3,FALSE)</f>
        <v>6</v>
      </c>
      <c r="N68">
        <f>VLOOKUP(B68,purchase_dataset!$B$2:$F$2241,5,FALSE)</f>
        <v>2</v>
      </c>
      <c r="O68" s="5">
        <v>55</v>
      </c>
      <c r="P68" s="4" t="str">
        <f t="shared" ref="P68:P131" si="2">IF(O68&lt;30,"30",IF(O68&lt;=50,"30-50","&gt;50"))</f>
        <v>&gt;50</v>
      </c>
      <c r="Q68" s="4">
        <f>M68+N68</f>
        <v>8</v>
      </c>
      <c r="U68" s="28" t="str" cm="1">
        <f t="array" ref="U68">_xlfn.IFS(F68&lt;30000,"30k",F68&lt;=50000,"30k-50k",F68&lt;=75000,"50k-75k",F68&lt;=100000,"75k-100k",F68&gt;100000,"100k")</f>
        <v>30k</v>
      </c>
      <c r="W68" s="1">
        <f t="shared" ref="W68:W131" si="3">2026-YEAR(I68)</f>
        <v>13</v>
      </c>
    </row>
    <row r="69" spans="1:23" x14ac:dyDescent="0.35">
      <c r="A69">
        <v>66</v>
      </c>
      <c r="B69">
        <v>1386</v>
      </c>
      <c r="C69">
        <v>1967</v>
      </c>
      <c r="D69" s="1" t="s">
        <v>10</v>
      </c>
      <c r="E69" s="1" t="s">
        <v>12</v>
      </c>
      <c r="F69">
        <v>32474</v>
      </c>
      <c r="G69">
        <v>1</v>
      </c>
      <c r="H69" s="2">
        <v>1</v>
      </c>
      <c r="I69" s="2">
        <v>41770</v>
      </c>
      <c r="J69">
        <v>0</v>
      </c>
      <c r="K69">
        <f>VLOOKUP(B69,purchase_dataset!$B$2:$F$2241,2,FALSE)</f>
        <v>0</v>
      </c>
      <c r="L69">
        <f>VLOOKUP(B69,purchase_dataset!$B$2:$F$2241,3,FALSE)</f>
        <v>0</v>
      </c>
      <c r="M69">
        <f>VLOOKUP(B69,purchase_dataset!$B$2:$F$2241,3,FALSE)</f>
        <v>0</v>
      </c>
      <c r="N69">
        <f>VLOOKUP(B69,purchase_dataset!$B$2:$F$2241,5,FALSE)</f>
        <v>2</v>
      </c>
      <c r="O69" s="5">
        <v>59</v>
      </c>
      <c r="P69" s="4" t="str">
        <f t="shared" si="2"/>
        <v>&gt;50</v>
      </c>
      <c r="Q69" s="4">
        <f>M69+N69</f>
        <v>2</v>
      </c>
      <c r="U69" s="28" t="str" cm="1">
        <f t="array" ref="U69">_xlfn.IFS(F69&lt;30000,"30k",F69&lt;=50000,"30k-50k",F69&lt;=75000,"50k-75k",F69&lt;=100000,"75k-100k",F69&gt;100000,"100k")</f>
        <v>30k-50k</v>
      </c>
      <c r="W69" s="1">
        <f t="shared" si="3"/>
        <v>12</v>
      </c>
    </row>
    <row r="70" spans="1:23" x14ac:dyDescent="0.35">
      <c r="A70">
        <v>67</v>
      </c>
      <c r="B70">
        <v>9369</v>
      </c>
      <c r="C70">
        <v>1979</v>
      </c>
      <c r="D70" s="1" t="s">
        <v>18</v>
      </c>
      <c r="E70" s="1" t="s">
        <v>11</v>
      </c>
      <c r="F70">
        <v>88194</v>
      </c>
      <c r="G70">
        <v>0</v>
      </c>
      <c r="H70" s="2">
        <v>1</v>
      </c>
      <c r="I70" s="2">
        <v>41717</v>
      </c>
      <c r="J70">
        <v>19</v>
      </c>
      <c r="K70">
        <f>VLOOKUP(B70,purchase_dataset!$B$2:$F$2241,2,FALSE)</f>
        <v>14</v>
      </c>
      <c r="L70">
        <f>VLOOKUP(B70,purchase_dataset!$B$2:$F$2241,3,FALSE)</f>
        <v>24</v>
      </c>
      <c r="M70">
        <f>VLOOKUP(B70,purchase_dataset!$B$2:$F$2241,3,FALSE)</f>
        <v>24</v>
      </c>
      <c r="N70">
        <f>VLOOKUP(B70,purchase_dataset!$B$2:$F$2241,5,FALSE)</f>
        <v>10</v>
      </c>
      <c r="O70" s="5">
        <v>47</v>
      </c>
      <c r="P70" s="4" t="str">
        <f t="shared" si="2"/>
        <v>30-50</v>
      </c>
      <c r="Q70" s="4">
        <f>M70+N70</f>
        <v>34</v>
      </c>
      <c r="U70" s="28" t="str" cm="1">
        <f t="array" ref="U70">_xlfn.IFS(F70&lt;30000,"30k",F70&lt;=50000,"30k-50k",F70&lt;=75000,"50k-75k",F70&lt;=100000,"75k-100k",F70&gt;100000,"100k")</f>
        <v>75k-100k</v>
      </c>
      <c r="W70" s="1">
        <f t="shared" si="3"/>
        <v>12</v>
      </c>
    </row>
    <row r="71" spans="1:23" x14ac:dyDescent="0.35">
      <c r="A71">
        <v>68</v>
      </c>
      <c r="B71">
        <v>4477</v>
      </c>
      <c r="C71">
        <v>1958</v>
      </c>
      <c r="D71" s="1" t="s">
        <v>10</v>
      </c>
      <c r="E71" s="1" t="s">
        <v>12</v>
      </c>
      <c r="F71">
        <v>69096</v>
      </c>
      <c r="G71">
        <v>0</v>
      </c>
      <c r="H71" s="2">
        <v>1</v>
      </c>
      <c r="I71" s="2">
        <v>41544</v>
      </c>
      <c r="J71">
        <v>4</v>
      </c>
      <c r="K71">
        <f>VLOOKUP(B71,purchase_dataset!$B$2:$F$2241,2,FALSE)</f>
        <v>49</v>
      </c>
      <c r="L71">
        <f>VLOOKUP(B71,purchase_dataset!$B$2:$F$2241,3,FALSE)</f>
        <v>82</v>
      </c>
      <c r="M71">
        <f>VLOOKUP(B71,purchase_dataset!$B$2:$F$2241,3,FALSE)</f>
        <v>82</v>
      </c>
      <c r="N71">
        <f>VLOOKUP(B71,purchase_dataset!$B$2:$F$2241,5,FALSE)</f>
        <v>10</v>
      </c>
      <c r="O71" s="5">
        <v>68</v>
      </c>
      <c r="P71" s="4" t="str">
        <f t="shared" si="2"/>
        <v>&gt;50</v>
      </c>
      <c r="Q71" s="4">
        <f>M71+N71</f>
        <v>92</v>
      </c>
      <c r="U71" s="28" t="str" cm="1">
        <f t="array" ref="U71">_xlfn.IFS(F71&lt;30000,"30k",F71&lt;=50000,"30k-50k",F71&lt;=75000,"50k-75k",F71&lt;=100000,"75k-100k",F71&gt;100000,"100k")</f>
        <v>50k-75k</v>
      </c>
      <c r="W71" s="1">
        <f t="shared" si="3"/>
        <v>13</v>
      </c>
    </row>
    <row r="72" spans="1:23" x14ac:dyDescent="0.35">
      <c r="A72">
        <v>69</v>
      </c>
      <c r="B72">
        <v>1357</v>
      </c>
      <c r="C72">
        <v>1970</v>
      </c>
      <c r="D72" s="1" t="s">
        <v>10</v>
      </c>
      <c r="E72" s="1" t="s">
        <v>12</v>
      </c>
      <c r="F72">
        <v>74854</v>
      </c>
      <c r="G72">
        <v>1</v>
      </c>
      <c r="H72" s="2">
        <v>2</v>
      </c>
      <c r="I72" s="2">
        <v>41372</v>
      </c>
      <c r="J72">
        <v>90</v>
      </c>
      <c r="K72">
        <f>VLOOKUP(B72,purchase_dataset!$B$2:$F$2241,2,FALSE)</f>
        <v>59</v>
      </c>
      <c r="L72">
        <f>VLOOKUP(B72,purchase_dataset!$B$2:$F$2241,3,FALSE)</f>
        <v>29</v>
      </c>
      <c r="M72">
        <f>VLOOKUP(B72,purchase_dataset!$B$2:$F$2241,3,FALSE)</f>
        <v>29</v>
      </c>
      <c r="N72">
        <f>VLOOKUP(B72,purchase_dataset!$B$2:$F$2241,5,FALSE)</f>
        <v>5</v>
      </c>
      <c r="O72" s="5">
        <v>56</v>
      </c>
      <c r="P72" s="4" t="str">
        <f t="shared" si="2"/>
        <v>&gt;50</v>
      </c>
      <c r="Q72" s="4">
        <f>M72+N72</f>
        <v>34</v>
      </c>
      <c r="U72" s="28" t="str" cm="1">
        <f t="array" ref="U72">_xlfn.IFS(F72&lt;30000,"30k",F72&lt;=50000,"30k-50k",F72&lt;=75000,"50k-75k",F72&lt;=100000,"75k-100k",F72&gt;100000,"100k")</f>
        <v>50k-75k</v>
      </c>
      <c r="W72" s="1">
        <f t="shared" si="3"/>
        <v>13</v>
      </c>
    </row>
    <row r="73" spans="1:23" x14ac:dyDescent="0.35">
      <c r="A73">
        <v>70</v>
      </c>
      <c r="B73">
        <v>1402</v>
      </c>
      <c r="C73">
        <v>1954</v>
      </c>
      <c r="D73" s="1" t="s">
        <v>15</v>
      </c>
      <c r="E73" s="1" t="s">
        <v>14</v>
      </c>
      <c r="F73">
        <v>66991</v>
      </c>
      <c r="G73">
        <v>0</v>
      </c>
      <c r="H73" s="2">
        <v>0</v>
      </c>
      <c r="I73" s="2">
        <v>41163</v>
      </c>
      <c r="J73">
        <v>1</v>
      </c>
      <c r="K73">
        <f>VLOOKUP(B73,purchase_dataset!$B$2:$F$2241,2,FALSE)</f>
        <v>36</v>
      </c>
      <c r="L73">
        <f>VLOOKUP(B73,purchase_dataset!$B$2:$F$2241,3,FALSE)</f>
        <v>60</v>
      </c>
      <c r="M73">
        <f>VLOOKUP(B73,purchase_dataset!$B$2:$F$2241,3,FALSE)</f>
        <v>60</v>
      </c>
      <c r="N73">
        <f>VLOOKUP(B73,purchase_dataset!$B$2:$F$2241,5,FALSE)</f>
        <v>6</v>
      </c>
      <c r="O73" s="5">
        <v>72</v>
      </c>
      <c r="P73" s="4" t="str">
        <f t="shared" si="2"/>
        <v>&gt;50</v>
      </c>
      <c r="Q73" s="4">
        <f>M73+N73</f>
        <v>66</v>
      </c>
      <c r="U73" s="28" t="str" cm="1">
        <f t="array" ref="U73">_xlfn.IFS(F73&lt;30000,"30k",F73&lt;=50000,"30k-50k",F73&lt;=75000,"50k-75k",F73&lt;=100000,"75k-100k",F73&gt;100000,"100k")</f>
        <v>50k-75k</v>
      </c>
      <c r="W73" s="1">
        <f t="shared" si="3"/>
        <v>14</v>
      </c>
    </row>
    <row r="74" spans="1:23" x14ac:dyDescent="0.35">
      <c r="A74">
        <v>71</v>
      </c>
      <c r="B74">
        <v>10629</v>
      </c>
      <c r="C74">
        <v>1973</v>
      </c>
      <c r="D74" s="1" t="s">
        <v>18</v>
      </c>
      <c r="E74" s="1" t="s">
        <v>14</v>
      </c>
      <c r="G74">
        <v>1</v>
      </c>
      <c r="H74" s="2">
        <v>0</v>
      </c>
      <c r="I74" s="2">
        <v>41166</v>
      </c>
      <c r="J74">
        <v>25</v>
      </c>
      <c r="K74">
        <f>VLOOKUP(B74,purchase_dataset!$B$2:$F$2241,2,FALSE)</f>
        <v>3</v>
      </c>
      <c r="L74">
        <f>VLOOKUP(B74,purchase_dataset!$B$2:$F$2241,3,FALSE)</f>
        <v>4</v>
      </c>
      <c r="M74">
        <f>VLOOKUP(B74,purchase_dataset!$B$2:$F$2241,3,FALSE)</f>
        <v>4</v>
      </c>
      <c r="N74">
        <f>VLOOKUP(B74,purchase_dataset!$B$2:$F$2241,5,FALSE)</f>
        <v>3</v>
      </c>
      <c r="O74" s="5">
        <v>53</v>
      </c>
      <c r="P74" s="4" t="str">
        <f t="shared" si="2"/>
        <v>&gt;50</v>
      </c>
      <c r="Q74" s="4">
        <f>M74+N74</f>
        <v>7</v>
      </c>
      <c r="U74" s="28" t="str" cm="1">
        <f t="array" ref="U74">_xlfn.IFS(F74&lt;30000,"30k",F74&lt;=50000,"30k-50k",F74&lt;=75000,"50k-75k",F74&lt;=100000,"75k-100k",F74&gt;100000,"100k")</f>
        <v>30k</v>
      </c>
      <c r="W74" s="1">
        <f t="shared" si="3"/>
        <v>14</v>
      </c>
    </row>
    <row r="75" spans="1:23" x14ac:dyDescent="0.35">
      <c r="A75">
        <v>72</v>
      </c>
      <c r="B75">
        <v>6312</v>
      </c>
      <c r="C75">
        <v>1959</v>
      </c>
      <c r="D75" s="1" t="s">
        <v>10</v>
      </c>
      <c r="E75" s="1" t="s">
        <v>14</v>
      </c>
      <c r="F75">
        <v>65031</v>
      </c>
      <c r="G75">
        <v>0</v>
      </c>
      <c r="H75" s="2">
        <v>1</v>
      </c>
      <c r="I75" s="2">
        <v>41350</v>
      </c>
      <c r="J75">
        <v>29</v>
      </c>
      <c r="K75">
        <f>VLOOKUP(B75,purchase_dataset!$B$2:$F$2241,2,FALSE)</f>
        <v>107</v>
      </c>
      <c r="L75">
        <f>VLOOKUP(B75,purchase_dataset!$B$2:$F$2241,3,FALSE)</f>
        <v>37</v>
      </c>
      <c r="M75">
        <f>VLOOKUP(B75,purchase_dataset!$B$2:$F$2241,3,FALSE)</f>
        <v>37</v>
      </c>
      <c r="N75">
        <f>VLOOKUP(B75,purchase_dataset!$B$2:$F$2241,5,FALSE)</f>
        <v>13</v>
      </c>
      <c r="O75" s="5">
        <v>67</v>
      </c>
      <c r="P75" s="4" t="str">
        <f t="shared" si="2"/>
        <v>&gt;50</v>
      </c>
      <c r="Q75" s="4">
        <f>M75+N75</f>
        <v>50</v>
      </c>
      <c r="U75" s="28" t="str" cm="1">
        <f t="array" ref="U75">_xlfn.IFS(F75&lt;30000,"30k",F75&lt;=50000,"30k-50k",F75&lt;=75000,"50k-75k",F75&lt;=100000,"75k-100k",F75&gt;100000,"100k")</f>
        <v>50k-75k</v>
      </c>
      <c r="W75" s="1">
        <f t="shared" si="3"/>
        <v>13</v>
      </c>
    </row>
    <row r="76" spans="1:23" x14ac:dyDescent="0.35">
      <c r="A76">
        <v>73</v>
      </c>
      <c r="B76">
        <v>8132</v>
      </c>
      <c r="C76">
        <v>1975</v>
      </c>
      <c r="D76" s="1" t="s">
        <v>13</v>
      </c>
      <c r="E76" s="1" t="s">
        <v>14</v>
      </c>
      <c r="F76">
        <v>60631</v>
      </c>
      <c r="G76">
        <v>1</v>
      </c>
      <c r="H76" s="2">
        <v>1</v>
      </c>
      <c r="I76" s="2">
        <v>41369</v>
      </c>
      <c r="J76">
        <v>88</v>
      </c>
      <c r="K76">
        <f>VLOOKUP(B76,purchase_dataset!$B$2:$F$2241,2,FALSE)</f>
        <v>6</v>
      </c>
      <c r="L76">
        <f>VLOOKUP(B76,purchase_dataset!$B$2:$F$2241,3,FALSE)</f>
        <v>6</v>
      </c>
      <c r="M76">
        <f>VLOOKUP(B76,purchase_dataset!$B$2:$F$2241,3,FALSE)</f>
        <v>6</v>
      </c>
      <c r="N76">
        <f>VLOOKUP(B76,purchase_dataset!$B$2:$F$2241,5,FALSE)</f>
        <v>8</v>
      </c>
      <c r="O76" s="5">
        <v>51</v>
      </c>
      <c r="P76" s="4" t="str">
        <f t="shared" si="2"/>
        <v>&gt;50</v>
      </c>
      <c r="Q76" s="4">
        <f>M76+N76</f>
        <v>14</v>
      </c>
      <c r="U76" s="28" t="str" cm="1">
        <f t="array" ref="U76">_xlfn.IFS(F76&lt;30000,"30k",F76&lt;=50000,"30k-50k",F76&lt;=75000,"50k-75k",F76&lt;=100000,"75k-100k",F76&gt;100000,"100k")</f>
        <v>50k-75k</v>
      </c>
      <c r="W76" s="1">
        <f t="shared" si="3"/>
        <v>13</v>
      </c>
    </row>
    <row r="77" spans="1:23" x14ac:dyDescent="0.35">
      <c r="A77">
        <v>74</v>
      </c>
      <c r="B77">
        <v>1050</v>
      </c>
      <c r="C77">
        <v>1952</v>
      </c>
      <c r="D77" s="1" t="s">
        <v>10</v>
      </c>
      <c r="E77" s="1" t="s">
        <v>14</v>
      </c>
      <c r="F77">
        <v>28332</v>
      </c>
      <c r="G77">
        <v>0</v>
      </c>
      <c r="H77" s="2">
        <v>0</v>
      </c>
      <c r="I77" s="2">
        <v>41759</v>
      </c>
      <c r="J77">
        <v>58</v>
      </c>
      <c r="K77">
        <f>VLOOKUP(B77,purchase_dataset!$B$2:$F$2241,2,FALSE)</f>
        <v>10</v>
      </c>
      <c r="L77">
        <f>VLOOKUP(B77,purchase_dataset!$B$2:$F$2241,3,FALSE)</f>
        <v>15</v>
      </c>
      <c r="M77">
        <f>VLOOKUP(B77,purchase_dataset!$B$2:$F$2241,3,FALSE)</f>
        <v>15</v>
      </c>
      <c r="N77">
        <f>VLOOKUP(B77,purchase_dataset!$B$2:$F$2241,5,FALSE)</f>
        <v>4</v>
      </c>
      <c r="O77" s="5">
        <v>74</v>
      </c>
      <c r="P77" s="4" t="str">
        <f t="shared" si="2"/>
        <v>&gt;50</v>
      </c>
      <c r="Q77" s="4">
        <f>M77+N77</f>
        <v>19</v>
      </c>
      <c r="U77" s="28" t="str" cm="1">
        <f t="array" ref="U77">_xlfn.IFS(F77&lt;30000,"30k",F77&lt;=50000,"30k-50k",F77&lt;=75000,"50k-75k",F77&lt;=100000,"75k-100k",F77&gt;100000,"100k")</f>
        <v>30k</v>
      </c>
      <c r="W77" s="1">
        <f t="shared" si="3"/>
        <v>12</v>
      </c>
    </row>
    <row r="78" spans="1:23" x14ac:dyDescent="0.35">
      <c r="A78">
        <v>75</v>
      </c>
      <c r="B78">
        <v>5846</v>
      </c>
      <c r="C78">
        <v>1977</v>
      </c>
      <c r="D78" s="1" t="s">
        <v>10</v>
      </c>
      <c r="E78" s="1" t="s">
        <v>16</v>
      </c>
      <c r="F78">
        <v>40246</v>
      </c>
      <c r="G78">
        <v>1</v>
      </c>
      <c r="H78" s="2">
        <v>0</v>
      </c>
      <c r="I78" s="2">
        <v>41262</v>
      </c>
      <c r="J78">
        <v>68</v>
      </c>
      <c r="K78">
        <f>VLOOKUP(B78,purchase_dataset!$B$2:$F$2241,2,FALSE)</f>
        <v>1</v>
      </c>
      <c r="L78">
        <f>VLOOKUP(B78,purchase_dataset!$B$2:$F$2241,3,FALSE)</f>
        <v>1</v>
      </c>
      <c r="M78">
        <f>VLOOKUP(B78,purchase_dataset!$B$2:$F$2241,3,FALSE)</f>
        <v>1</v>
      </c>
      <c r="N78">
        <f>VLOOKUP(B78,purchase_dataset!$B$2:$F$2241,5,FALSE)</f>
        <v>2</v>
      </c>
      <c r="O78" s="5">
        <v>49</v>
      </c>
      <c r="P78" s="4" t="str">
        <f t="shared" si="2"/>
        <v>30-50</v>
      </c>
      <c r="Q78" s="4">
        <f>M78+N78</f>
        <v>3</v>
      </c>
      <c r="U78" s="28" t="str" cm="1">
        <f t="array" ref="U78">_xlfn.IFS(F78&lt;30000,"30k",F78&lt;=50000,"30k-50k",F78&lt;=75000,"50k-75k",F78&lt;=100000,"75k-100k",F78&gt;100000,"100k")</f>
        <v>30k-50k</v>
      </c>
      <c r="W78" s="1">
        <f t="shared" si="3"/>
        <v>14</v>
      </c>
    </row>
    <row r="79" spans="1:23" x14ac:dyDescent="0.35">
      <c r="A79">
        <v>76</v>
      </c>
      <c r="B79">
        <v>1859</v>
      </c>
      <c r="C79">
        <v>1972</v>
      </c>
      <c r="D79" s="1" t="s">
        <v>15</v>
      </c>
      <c r="E79" s="1" t="s">
        <v>14</v>
      </c>
      <c r="F79">
        <v>75251</v>
      </c>
      <c r="G79">
        <v>0</v>
      </c>
      <c r="H79" s="2">
        <v>0</v>
      </c>
      <c r="I79" s="2">
        <v>41148</v>
      </c>
      <c r="J79">
        <v>34</v>
      </c>
      <c r="K79">
        <f>VLOOKUP(B79,purchase_dataset!$B$2:$F$2241,2,FALSE)</f>
        <v>111</v>
      </c>
      <c r="L79">
        <f>VLOOKUP(B79,purchase_dataset!$B$2:$F$2241,3,FALSE)</f>
        <v>18</v>
      </c>
      <c r="M79">
        <f>VLOOKUP(B79,purchase_dataset!$B$2:$F$2241,3,FALSE)</f>
        <v>18</v>
      </c>
      <c r="N79">
        <f>VLOOKUP(B79,purchase_dataset!$B$2:$F$2241,5,FALSE)</f>
        <v>5</v>
      </c>
      <c r="O79" s="5">
        <v>54</v>
      </c>
      <c r="P79" s="4" t="str">
        <f t="shared" si="2"/>
        <v>&gt;50</v>
      </c>
      <c r="Q79" s="4">
        <f>M79+N79</f>
        <v>23</v>
      </c>
      <c r="U79" s="28" t="str" cm="1">
        <f t="array" ref="U79">_xlfn.IFS(F79&lt;30000,"30k",F79&lt;=50000,"30k-50k",F79&lt;=75000,"50k-75k",F79&lt;=100000,"75k-100k",F79&gt;100000,"100k")</f>
        <v>75k-100k</v>
      </c>
      <c r="W79" s="1">
        <f t="shared" si="3"/>
        <v>14</v>
      </c>
    </row>
    <row r="80" spans="1:23" x14ac:dyDescent="0.35">
      <c r="A80">
        <v>77</v>
      </c>
      <c r="B80">
        <v>7503</v>
      </c>
      <c r="C80">
        <v>1976</v>
      </c>
      <c r="D80" s="1" t="s">
        <v>10</v>
      </c>
      <c r="E80" s="1" t="s">
        <v>11</v>
      </c>
      <c r="F80">
        <v>75825</v>
      </c>
      <c r="G80">
        <v>0</v>
      </c>
      <c r="H80" s="2">
        <v>0</v>
      </c>
      <c r="I80" s="2">
        <v>41194</v>
      </c>
      <c r="J80">
        <v>40</v>
      </c>
      <c r="K80">
        <f>VLOOKUP(B80,purchase_dataset!$B$2:$F$2241,2,FALSE)</f>
        <v>105</v>
      </c>
      <c r="L80">
        <f>VLOOKUP(B80,purchase_dataset!$B$2:$F$2241,3,FALSE)</f>
        <v>105</v>
      </c>
      <c r="M80">
        <f>VLOOKUP(B80,purchase_dataset!$B$2:$F$2241,3,FALSE)</f>
        <v>105</v>
      </c>
      <c r="N80">
        <f>VLOOKUP(B80,purchase_dataset!$B$2:$F$2241,5,FALSE)</f>
        <v>9</v>
      </c>
      <c r="O80" s="5">
        <v>50</v>
      </c>
      <c r="P80" s="4" t="str">
        <f t="shared" si="2"/>
        <v>30-50</v>
      </c>
      <c r="Q80" s="4">
        <f>M80+N80</f>
        <v>114</v>
      </c>
      <c r="U80" s="28" t="str" cm="1">
        <f t="array" ref="U80">_xlfn.IFS(F80&lt;30000,"30k",F80&lt;=50000,"30k-50k",F80&lt;=75000,"50k-75k",F80&lt;=100000,"75k-100k",F80&gt;100000,"100k")</f>
        <v>75k-100k</v>
      </c>
      <c r="W80" s="1">
        <f t="shared" si="3"/>
        <v>14</v>
      </c>
    </row>
    <row r="81" spans="1:23" x14ac:dyDescent="0.35">
      <c r="A81">
        <v>78</v>
      </c>
      <c r="B81">
        <v>10401</v>
      </c>
      <c r="C81">
        <v>1976</v>
      </c>
      <c r="D81" s="1" t="s">
        <v>18</v>
      </c>
      <c r="E81" s="1" t="s">
        <v>12</v>
      </c>
      <c r="F81">
        <v>26326</v>
      </c>
      <c r="G81">
        <v>0</v>
      </c>
      <c r="H81" s="2">
        <v>0</v>
      </c>
      <c r="I81" s="2">
        <v>41521</v>
      </c>
      <c r="J81">
        <v>12</v>
      </c>
      <c r="K81">
        <f>VLOOKUP(B81,purchase_dataset!$B$2:$F$2241,2,FALSE)</f>
        <v>0</v>
      </c>
      <c r="L81">
        <f>VLOOKUP(B81,purchase_dataset!$B$2:$F$2241,3,FALSE)</f>
        <v>3</v>
      </c>
      <c r="M81">
        <f>VLOOKUP(B81,purchase_dataset!$B$2:$F$2241,3,FALSE)</f>
        <v>3</v>
      </c>
      <c r="N81">
        <f>VLOOKUP(B81,purchase_dataset!$B$2:$F$2241,5,FALSE)</f>
        <v>3</v>
      </c>
      <c r="O81" s="5">
        <v>50</v>
      </c>
      <c r="P81" s="4" t="str">
        <f t="shared" si="2"/>
        <v>30-50</v>
      </c>
      <c r="Q81" s="4">
        <f>M81+N81</f>
        <v>6</v>
      </c>
      <c r="U81" s="28" t="str" cm="1">
        <f t="array" ref="U81">_xlfn.IFS(F81&lt;30000,"30k",F81&lt;=50000,"30k-50k",F81&lt;=75000,"50k-75k",F81&lt;=100000,"75k-100k",F81&gt;100000,"100k")</f>
        <v>30k</v>
      </c>
      <c r="W81" s="1">
        <f t="shared" si="3"/>
        <v>13</v>
      </c>
    </row>
    <row r="82" spans="1:23" x14ac:dyDescent="0.35">
      <c r="A82">
        <v>79</v>
      </c>
      <c r="B82">
        <v>1618</v>
      </c>
      <c r="C82">
        <v>1965</v>
      </c>
      <c r="D82" s="1" t="s">
        <v>10</v>
      </c>
      <c r="E82" s="1" t="s">
        <v>12</v>
      </c>
      <c r="F82">
        <v>56046</v>
      </c>
      <c r="G82">
        <v>0</v>
      </c>
      <c r="H82" s="2">
        <v>0</v>
      </c>
      <c r="I82" s="2">
        <v>41276</v>
      </c>
      <c r="J82">
        <v>9</v>
      </c>
      <c r="K82">
        <f>VLOOKUP(B82,purchase_dataset!$B$2:$F$2241,2,FALSE)</f>
        <v>0</v>
      </c>
      <c r="L82">
        <f>VLOOKUP(B82,purchase_dataset!$B$2:$F$2241,3,FALSE)</f>
        <v>0</v>
      </c>
      <c r="M82">
        <f>VLOOKUP(B82,purchase_dataset!$B$2:$F$2241,3,FALSE)</f>
        <v>0</v>
      </c>
      <c r="N82">
        <f>VLOOKUP(B82,purchase_dataset!$B$2:$F$2241,5,FALSE)</f>
        <v>8</v>
      </c>
      <c r="O82" s="5">
        <v>61</v>
      </c>
      <c r="P82" s="4" t="str">
        <f t="shared" si="2"/>
        <v>&gt;50</v>
      </c>
      <c r="Q82" s="4">
        <f>M82+N82</f>
        <v>8</v>
      </c>
      <c r="U82" s="28" t="str" cm="1">
        <f t="array" ref="U82">_xlfn.IFS(F82&lt;30000,"30k",F82&lt;=50000,"30k-50k",F82&lt;=75000,"50k-75k",F82&lt;=100000,"75k-100k",F82&gt;100000,"100k")</f>
        <v>50k-75k</v>
      </c>
      <c r="W82" s="1">
        <f t="shared" si="3"/>
        <v>13</v>
      </c>
    </row>
    <row r="83" spans="1:23" x14ac:dyDescent="0.35">
      <c r="A83">
        <v>80</v>
      </c>
      <c r="B83">
        <v>3332</v>
      </c>
      <c r="C83">
        <v>1985</v>
      </c>
      <c r="D83" s="1" t="s">
        <v>10</v>
      </c>
      <c r="E83" s="1" t="s">
        <v>11</v>
      </c>
      <c r="F83">
        <v>29760</v>
      </c>
      <c r="G83">
        <v>1</v>
      </c>
      <c r="H83" s="2">
        <v>0</v>
      </c>
      <c r="I83" s="2">
        <v>41150</v>
      </c>
      <c r="J83">
        <v>87</v>
      </c>
      <c r="K83">
        <f>VLOOKUP(B83,purchase_dataset!$B$2:$F$2241,2,FALSE)</f>
        <v>4</v>
      </c>
      <c r="L83">
        <f>VLOOKUP(B83,purchase_dataset!$B$2:$F$2241,3,FALSE)</f>
        <v>5</v>
      </c>
      <c r="M83">
        <f>VLOOKUP(B83,purchase_dataset!$B$2:$F$2241,3,FALSE)</f>
        <v>5</v>
      </c>
      <c r="N83">
        <f>VLOOKUP(B83,purchase_dataset!$B$2:$F$2241,5,FALSE)</f>
        <v>4</v>
      </c>
      <c r="O83" s="5">
        <v>41</v>
      </c>
      <c r="P83" s="4" t="str">
        <f t="shared" si="2"/>
        <v>30-50</v>
      </c>
      <c r="Q83" s="4">
        <f>M83+N83</f>
        <v>9</v>
      </c>
      <c r="U83" s="28" t="str" cm="1">
        <f t="array" ref="U83">_xlfn.IFS(F83&lt;30000,"30k",F83&lt;=50000,"30k-50k",F83&lt;=75000,"50k-75k",F83&lt;=100000,"75k-100k",F83&gt;100000,"100k")</f>
        <v>30k</v>
      </c>
      <c r="W83" s="1">
        <f t="shared" si="3"/>
        <v>14</v>
      </c>
    </row>
    <row r="84" spans="1:23" x14ac:dyDescent="0.35">
      <c r="A84">
        <v>81</v>
      </c>
      <c r="B84">
        <v>2261</v>
      </c>
      <c r="C84">
        <v>1969</v>
      </c>
      <c r="D84" s="1" t="s">
        <v>10</v>
      </c>
      <c r="E84" s="1" t="s">
        <v>14</v>
      </c>
      <c r="F84">
        <v>26304</v>
      </c>
      <c r="G84">
        <v>1</v>
      </c>
      <c r="H84" s="2">
        <v>0</v>
      </c>
      <c r="I84" s="2">
        <v>41448</v>
      </c>
      <c r="J84">
        <v>5</v>
      </c>
      <c r="K84">
        <f>VLOOKUP(B84,purchase_dataset!$B$2:$F$2241,2,FALSE)</f>
        <v>1</v>
      </c>
      <c r="L84">
        <f>VLOOKUP(B84,purchase_dataset!$B$2:$F$2241,3,FALSE)</f>
        <v>0</v>
      </c>
      <c r="M84">
        <f>VLOOKUP(B84,purchase_dataset!$B$2:$F$2241,3,FALSE)</f>
        <v>0</v>
      </c>
      <c r="N84">
        <f>VLOOKUP(B84,purchase_dataset!$B$2:$F$2241,5,FALSE)</f>
        <v>2</v>
      </c>
      <c r="O84" s="5">
        <v>57</v>
      </c>
      <c r="P84" s="4" t="str">
        <f t="shared" si="2"/>
        <v>&gt;50</v>
      </c>
      <c r="Q84" s="4">
        <f>M84+N84</f>
        <v>2</v>
      </c>
      <c r="U84" s="28" t="str" cm="1">
        <f t="array" ref="U84">_xlfn.IFS(F84&lt;30000,"30k",F84&lt;=50000,"30k-50k",F84&lt;=75000,"50k-75k",F84&lt;=100000,"75k-100k",F84&gt;100000,"100k")</f>
        <v>30k</v>
      </c>
      <c r="W84" s="1">
        <f t="shared" si="3"/>
        <v>13</v>
      </c>
    </row>
    <row r="85" spans="1:23" x14ac:dyDescent="0.35">
      <c r="A85">
        <v>82</v>
      </c>
      <c r="B85">
        <v>5346</v>
      </c>
      <c r="C85">
        <v>1973</v>
      </c>
      <c r="D85" s="1" t="s">
        <v>18</v>
      </c>
      <c r="E85" s="1" t="s">
        <v>14</v>
      </c>
      <c r="F85">
        <v>23559</v>
      </c>
      <c r="G85">
        <v>1</v>
      </c>
      <c r="H85" s="2">
        <v>0</v>
      </c>
      <c r="I85" s="2">
        <v>41458</v>
      </c>
      <c r="J85">
        <v>87</v>
      </c>
      <c r="K85">
        <f>VLOOKUP(B85,purchase_dataset!$B$2:$F$2241,2,FALSE)</f>
        <v>5</v>
      </c>
      <c r="L85">
        <f>VLOOKUP(B85,purchase_dataset!$B$2:$F$2241,3,FALSE)</f>
        <v>0</v>
      </c>
      <c r="M85">
        <f>VLOOKUP(B85,purchase_dataset!$B$2:$F$2241,3,FALSE)</f>
        <v>0</v>
      </c>
      <c r="N85">
        <f>VLOOKUP(B85,purchase_dataset!$B$2:$F$2241,5,FALSE)</f>
        <v>3</v>
      </c>
      <c r="O85" s="5">
        <v>53</v>
      </c>
      <c r="P85" s="4" t="str">
        <f t="shared" si="2"/>
        <v>&gt;50</v>
      </c>
      <c r="Q85" s="4">
        <f>M85+N85</f>
        <v>3</v>
      </c>
      <c r="U85" s="28" t="str" cm="1">
        <f t="array" ref="U85">_xlfn.IFS(F85&lt;30000,"30k",F85&lt;=50000,"30k-50k",F85&lt;=75000,"50k-75k",F85&lt;=100000,"75k-100k",F85&gt;100000,"100k")</f>
        <v>30k</v>
      </c>
      <c r="W85" s="1">
        <f t="shared" si="3"/>
        <v>13</v>
      </c>
    </row>
    <row r="86" spans="1:23" x14ac:dyDescent="0.35">
      <c r="A86">
        <v>83</v>
      </c>
      <c r="B86">
        <v>4119</v>
      </c>
      <c r="C86">
        <v>1963</v>
      </c>
      <c r="D86" s="1" t="s">
        <v>15</v>
      </c>
      <c r="E86" s="1" t="s">
        <v>12</v>
      </c>
      <c r="F86">
        <v>38620</v>
      </c>
      <c r="G86">
        <v>0</v>
      </c>
      <c r="H86" s="2">
        <v>0</v>
      </c>
      <c r="I86" s="2">
        <v>41405</v>
      </c>
      <c r="J86">
        <v>56</v>
      </c>
      <c r="K86">
        <f>VLOOKUP(B86,purchase_dataset!$B$2:$F$2241,2,FALSE)</f>
        <v>17</v>
      </c>
      <c r="L86">
        <f>VLOOKUP(B86,purchase_dataset!$B$2:$F$2241,3,FALSE)</f>
        <v>22</v>
      </c>
      <c r="M86">
        <f>VLOOKUP(B86,purchase_dataset!$B$2:$F$2241,3,FALSE)</f>
        <v>22</v>
      </c>
      <c r="N86">
        <f>VLOOKUP(B86,purchase_dataset!$B$2:$F$2241,5,FALSE)</f>
        <v>3</v>
      </c>
      <c r="O86" s="5">
        <v>63</v>
      </c>
      <c r="P86" s="4" t="str">
        <f t="shared" si="2"/>
        <v>&gt;50</v>
      </c>
      <c r="Q86" s="4">
        <f>M86+N86</f>
        <v>25</v>
      </c>
      <c r="U86" s="28" t="str" cm="1">
        <f t="array" ref="U86">_xlfn.IFS(F86&lt;30000,"30k",F86&lt;=50000,"30k-50k",F86&lt;=75000,"50k-75k",F86&lt;=100000,"75k-100k",F86&gt;100000,"100k")</f>
        <v>30k-50k</v>
      </c>
      <c r="W86" s="1">
        <f t="shared" si="3"/>
        <v>13</v>
      </c>
    </row>
    <row r="87" spans="1:23" x14ac:dyDescent="0.35">
      <c r="A87">
        <v>84</v>
      </c>
      <c r="B87">
        <v>535</v>
      </c>
      <c r="C87">
        <v>1987</v>
      </c>
      <c r="D87" s="1" t="s">
        <v>10</v>
      </c>
      <c r="E87" s="1" t="s">
        <v>16</v>
      </c>
      <c r="F87">
        <v>81361</v>
      </c>
      <c r="G87">
        <v>0</v>
      </c>
      <c r="H87" s="2">
        <v>0</v>
      </c>
      <c r="I87" s="2">
        <v>41695</v>
      </c>
      <c r="J87">
        <v>18</v>
      </c>
      <c r="K87">
        <f>VLOOKUP(B87,purchase_dataset!$B$2:$F$2241,2,FALSE)</f>
        <v>23</v>
      </c>
      <c r="L87">
        <f>VLOOKUP(B87,purchase_dataset!$B$2:$F$2241,3,FALSE)</f>
        <v>65</v>
      </c>
      <c r="M87">
        <f>VLOOKUP(B87,purchase_dataset!$B$2:$F$2241,3,FALSE)</f>
        <v>65</v>
      </c>
      <c r="N87">
        <f>VLOOKUP(B87,purchase_dataset!$B$2:$F$2241,5,FALSE)</f>
        <v>13</v>
      </c>
      <c r="O87" s="5">
        <v>39</v>
      </c>
      <c r="P87" s="4" t="str">
        <f t="shared" si="2"/>
        <v>30-50</v>
      </c>
      <c r="Q87" s="4">
        <f>M87+N87</f>
        <v>78</v>
      </c>
      <c r="U87" s="28" t="str" cm="1">
        <f t="array" ref="U87">_xlfn.IFS(F87&lt;30000,"30k",F87&lt;=50000,"30k-50k",F87&lt;=75000,"50k-75k",F87&lt;=100000,"75k-100k",F87&gt;100000,"100k")</f>
        <v>75k-100k</v>
      </c>
      <c r="W87" s="1">
        <f t="shared" si="3"/>
        <v>12</v>
      </c>
    </row>
    <row r="88" spans="1:23" x14ac:dyDescent="0.35">
      <c r="A88">
        <v>85</v>
      </c>
      <c r="B88">
        <v>5268</v>
      </c>
      <c r="C88">
        <v>1960</v>
      </c>
      <c r="D88" s="1" t="s">
        <v>10</v>
      </c>
      <c r="E88" s="1" t="s">
        <v>14</v>
      </c>
      <c r="F88">
        <v>29440</v>
      </c>
      <c r="G88">
        <v>1</v>
      </c>
      <c r="H88" s="2">
        <v>1</v>
      </c>
      <c r="I88" s="2">
        <v>41497</v>
      </c>
      <c r="J88">
        <v>95</v>
      </c>
      <c r="K88">
        <f>VLOOKUP(B88,purchase_dataset!$B$2:$F$2241,2,FALSE)</f>
        <v>8</v>
      </c>
      <c r="L88">
        <f>VLOOKUP(B88,purchase_dataset!$B$2:$F$2241,3,FALSE)</f>
        <v>4</v>
      </c>
      <c r="M88">
        <f>VLOOKUP(B88,purchase_dataset!$B$2:$F$2241,3,FALSE)</f>
        <v>4</v>
      </c>
      <c r="N88">
        <f>VLOOKUP(B88,purchase_dataset!$B$2:$F$2241,5,FALSE)</f>
        <v>4</v>
      </c>
      <c r="O88" s="5">
        <v>66</v>
      </c>
      <c r="P88" s="4" t="str">
        <f t="shared" si="2"/>
        <v>&gt;50</v>
      </c>
      <c r="Q88" s="4">
        <f>M88+N88</f>
        <v>8</v>
      </c>
      <c r="U88" s="28" t="str" cm="1">
        <f t="array" ref="U88">_xlfn.IFS(F88&lt;30000,"30k",F88&lt;=50000,"30k-50k",F88&lt;=75000,"50k-75k",F88&lt;=100000,"75k-100k",F88&gt;100000,"100k")</f>
        <v>30k</v>
      </c>
      <c r="W88" s="1">
        <f t="shared" si="3"/>
        <v>13</v>
      </c>
    </row>
    <row r="89" spans="1:23" x14ac:dyDescent="0.35">
      <c r="A89">
        <v>86</v>
      </c>
      <c r="B89">
        <v>273</v>
      </c>
      <c r="C89">
        <v>1970</v>
      </c>
      <c r="D89" s="1" t="s">
        <v>15</v>
      </c>
      <c r="E89" s="1" t="s">
        <v>14</v>
      </c>
      <c r="F89">
        <v>36138</v>
      </c>
      <c r="G89">
        <v>1</v>
      </c>
      <c r="H89" s="2">
        <v>1</v>
      </c>
      <c r="I89" s="2">
        <v>41471</v>
      </c>
      <c r="J89">
        <v>48</v>
      </c>
      <c r="K89">
        <f>VLOOKUP(B89,purchase_dataset!$B$2:$F$2241,2,FALSE)</f>
        <v>0</v>
      </c>
      <c r="L89">
        <f>VLOOKUP(B89,purchase_dataset!$B$2:$F$2241,3,FALSE)</f>
        <v>0</v>
      </c>
      <c r="M89">
        <f>VLOOKUP(B89,purchase_dataset!$B$2:$F$2241,3,FALSE)</f>
        <v>0</v>
      </c>
      <c r="N89">
        <f>VLOOKUP(B89,purchase_dataset!$B$2:$F$2241,5,FALSE)</f>
        <v>4</v>
      </c>
      <c r="O89" s="5">
        <v>56</v>
      </c>
      <c r="P89" s="4" t="str">
        <f t="shared" si="2"/>
        <v>&gt;50</v>
      </c>
      <c r="Q89" s="4">
        <f>M89+N89</f>
        <v>4</v>
      </c>
      <c r="U89" s="28" t="str" cm="1">
        <f t="array" ref="U89">_xlfn.IFS(F89&lt;30000,"30k",F89&lt;=50000,"30k-50k",F89&lt;=75000,"50k-75k",F89&lt;=100000,"75k-100k",F89&gt;100000,"100k")</f>
        <v>30k-50k</v>
      </c>
      <c r="W89" s="1">
        <f t="shared" si="3"/>
        <v>13</v>
      </c>
    </row>
    <row r="90" spans="1:23" x14ac:dyDescent="0.35">
      <c r="A90">
        <v>87</v>
      </c>
      <c r="B90">
        <v>4452</v>
      </c>
      <c r="C90">
        <v>1957</v>
      </c>
      <c r="D90" s="1" t="s">
        <v>10</v>
      </c>
      <c r="E90" s="1" t="s">
        <v>11</v>
      </c>
      <c r="F90">
        <v>50388</v>
      </c>
      <c r="G90">
        <v>0</v>
      </c>
      <c r="H90" s="2">
        <v>1</v>
      </c>
      <c r="I90" s="2">
        <v>41787</v>
      </c>
      <c r="J90">
        <v>3</v>
      </c>
      <c r="K90">
        <f>VLOOKUP(B90,purchase_dataset!$B$2:$F$2241,2,FALSE)</f>
        <v>6</v>
      </c>
      <c r="L90">
        <f>VLOOKUP(B90,purchase_dataset!$B$2:$F$2241,3,FALSE)</f>
        <v>3</v>
      </c>
      <c r="M90">
        <f>VLOOKUP(B90,purchase_dataset!$B$2:$F$2241,3,FALSE)</f>
        <v>3</v>
      </c>
      <c r="N90">
        <f>VLOOKUP(B90,purchase_dataset!$B$2:$F$2241,5,FALSE)</f>
        <v>6</v>
      </c>
      <c r="O90" s="5">
        <v>69</v>
      </c>
      <c r="P90" s="4" t="str">
        <f t="shared" si="2"/>
        <v>&gt;50</v>
      </c>
      <c r="Q90" s="4">
        <f>M90+N90</f>
        <v>9</v>
      </c>
      <c r="U90" s="28" t="str" cm="1">
        <f t="array" ref="U90">_xlfn.IFS(F90&lt;30000,"30k",F90&lt;=50000,"30k-50k",F90&lt;=75000,"50k-75k",F90&lt;=100000,"75k-100k",F90&gt;100000,"100k")</f>
        <v>50k-75k</v>
      </c>
      <c r="W90" s="1">
        <f t="shared" si="3"/>
        <v>12</v>
      </c>
    </row>
    <row r="91" spans="1:23" x14ac:dyDescent="0.35">
      <c r="A91">
        <v>88</v>
      </c>
      <c r="B91">
        <v>8504</v>
      </c>
      <c r="C91">
        <v>1973</v>
      </c>
      <c r="D91" s="1" t="s">
        <v>10</v>
      </c>
      <c r="E91" s="1" t="s">
        <v>14</v>
      </c>
      <c r="F91">
        <v>79593</v>
      </c>
      <c r="G91">
        <v>0</v>
      </c>
      <c r="H91" s="2">
        <v>0</v>
      </c>
      <c r="I91" s="2">
        <v>41771</v>
      </c>
      <c r="J91">
        <v>70</v>
      </c>
      <c r="K91">
        <f>VLOOKUP(B91,purchase_dataset!$B$2:$F$2241,2,FALSE)</f>
        <v>60</v>
      </c>
      <c r="L91">
        <f>VLOOKUP(B91,purchase_dataset!$B$2:$F$2241,3,FALSE)</f>
        <v>133</v>
      </c>
      <c r="M91">
        <f>VLOOKUP(B91,purchase_dataset!$B$2:$F$2241,3,FALSE)</f>
        <v>133</v>
      </c>
      <c r="N91">
        <f>VLOOKUP(B91,purchase_dataset!$B$2:$F$2241,5,FALSE)</f>
        <v>7</v>
      </c>
      <c r="O91" s="5">
        <v>53</v>
      </c>
      <c r="P91" s="4" t="str">
        <f t="shared" si="2"/>
        <v>&gt;50</v>
      </c>
      <c r="Q91" s="4">
        <f>M91+N91</f>
        <v>140</v>
      </c>
      <c r="U91" s="28" t="str" cm="1">
        <f t="array" ref="U91">_xlfn.IFS(F91&lt;30000,"30k",F91&lt;=50000,"30k-50k",F91&lt;=75000,"50k-75k",F91&lt;=100000,"75k-100k",F91&gt;100000,"100k")</f>
        <v>75k-100k</v>
      </c>
      <c r="W91" s="1">
        <f t="shared" si="3"/>
        <v>12</v>
      </c>
    </row>
    <row r="92" spans="1:23" x14ac:dyDescent="0.35">
      <c r="A92">
        <v>89</v>
      </c>
      <c r="B92">
        <v>771</v>
      </c>
      <c r="C92">
        <v>1967</v>
      </c>
      <c r="D92" s="1" t="s">
        <v>10</v>
      </c>
      <c r="E92" s="1" t="s">
        <v>12</v>
      </c>
      <c r="F92">
        <v>54178</v>
      </c>
      <c r="G92">
        <v>0</v>
      </c>
      <c r="H92" s="2">
        <v>1</v>
      </c>
      <c r="I92" s="2">
        <v>41660</v>
      </c>
      <c r="J92">
        <v>79</v>
      </c>
      <c r="K92">
        <f>VLOOKUP(B92,purchase_dataset!$B$2:$F$2241,2,FALSE)</f>
        <v>9</v>
      </c>
      <c r="L92">
        <f>VLOOKUP(B92,purchase_dataset!$B$2:$F$2241,3,FALSE)</f>
        <v>0</v>
      </c>
      <c r="M92">
        <f>VLOOKUP(B92,purchase_dataset!$B$2:$F$2241,3,FALSE)</f>
        <v>0</v>
      </c>
      <c r="N92">
        <f>VLOOKUP(B92,purchase_dataset!$B$2:$F$2241,5,FALSE)</f>
        <v>5</v>
      </c>
      <c r="O92" s="5">
        <v>59</v>
      </c>
      <c r="P92" s="4" t="str">
        <f t="shared" si="2"/>
        <v>&gt;50</v>
      </c>
      <c r="Q92" s="4">
        <f>M92+N92</f>
        <v>5</v>
      </c>
      <c r="U92" s="28" t="str" cm="1">
        <f t="array" ref="U92">_xlfn.IFS(F92&lt;30000,"30k",F92&lt;=50000,"30k-50k",F92&lt;=75000,"50k-75k",F92&lt;=100000,"75k-100k",F92&gt;100000,"100k")</f>
        <v>50k-75k</v>
      </c>
      <c r="W92" s="1">
        <f t="shared" si="3"/>
        <v>12</v>
      </c>
    </row>
    <row r="93" spans="1:23" x14ac:dyDescent="0.35">
      <c r="A93">
        <v>90</v>
      </c>
      <c r="B93">
        <v>8996</v>
      </c>
      <c r="C93">
        <v>1957</v>
      </c>
      <c r="D93" s="1" t="s">
        <v>13</v>
      </c>
      <c r="E93" s="1" t="s">
        <v>14</v>
      </c>
      <c r="G93">
        <v>2</v>
      </c>
      <c r="H93" s="2">
        <v>1</v>
      </c>
      <c r="I93" s="2">
        <v>41232</v>
      </c>
      <c r="J93">
        <v>4</v>
      </c>
      <c r="K93">
        <f>VLOOKUP(B93,purchase_dataset!$B$2:$F$2241,2,FALSE)</f>
        <v>42</v>
      </c>
      <c r="L93">
        <f>VLOOKUP(B93,purchase_dataset!$B$2:$F$2241,3,FALSE)</f>
        <v>37</v>
      </c>
      <c r="M93">
        <f>VLOOKUP(B93,purchase_dataset!$B$2:$F$2241,3,FALSE)</f>
        <v>37</v>
      </c>
      <c r="N93">
        <f>VLOOKUP(B93,purchase_dataset!$B$2:$F$2241,5,FALSE)</f>
        <v>8</v>
      </c>
      <c r="O93" s="5">
        <v>69</v>
      </c>
      <c r="P93" s="4" t="str">
        <f t="shared" si="2"/>
        <v>&gt;50</v>
      </c>
      <c r="Q93" s="4">
        <f>M93+N93</f>
        <v>45</v>
      </c>
      <c r="U93" s="28" t="str" cm="1">
        <f t="array" ref="U93">_xlfn.IFS(F93&lt;30000,"30k",F93&lt;=50000,"30k-50k",F93&lt;=75000,"50k-75k",F93&lt;=100000,"75k-100k",F93&gt;100000,"100k")</f>
        <v>30k</v>
      </c>
      <c r="W93" s="1">
        <f t="shared" si="3"/>
        <v>14</v>
      </c>
    </row>
    <row r="94" spans="1:23" x14ac:dyDescent="0.35">
      <c r="A94">
        <v>91</v>
      </c>
      <c r="B94">
        <v>9235</v>
      </c>
      <c r="C94">
        <v>1957</v>
      </c>
      <c r="D94" s="1" t="s">
        <v>10</v>
      </c>
      <c r="E94" s="1" t="s">
        <v>11</v>
      </c>
      <c r="G94">
        <v>1</v>
      </c>
      <c r="H94" s="2">
        <v>1</v>
      </c>
      <c r="I94" s="2">
        <v>41786</v>
      </c>
      <c r="J94">
        <v>45</v>
      </c>
      <c r="K94">
        <f>VLOOKUP(B94,purchase_dataset!$B$2:$F$2241,2,FALSE)</f>
        <v>0</v>
      </c>
      <c r="L94">
        <f>VLOOKUP(B94,purchase_dataset!$B$2:$F$2241,3,FALSE)</f>
        <v>0</v>
      </c>
      <c r="M94">
        <f>VLOOKUP(B94,purchase_dataset!$B$2:$F$2241,3,FALSE)</f>
        <v>0</v>
      </c>
      <c r="N94">
        <f>VLOOKUP(B94,purchase_dataset!$B$2:$F$2241,5,FALSE)</f>
        <v>2</v>
      </c>
      <c r="O94" s="5">
        <v>69</v>
      </c>
      <c r="P94" s="4" t="str">
        <f t="shared" si="2"/>
        <v>&gt;50</v>
      </c>
      <c r="Q94" s="4">
        <f>M94+N94</f>
        <v>2</v>
      </c>
      <c r="U94" s="28" t="str" cm="1">
        <f t="array" ref="U94">_xlfn.IFS(F94&lt;30000,"30k",F94&lt;=50000,"30k-50k",F94&lt;=75000,"50k-75k",F94&lt;=100000,"75k-100k",F94&gt;100000,"100k")</f>
        <v>30k</v>
      </c>
      <c r="W94" s="1">
        <f t="shared" si="3"/>
        <v>12</v>
      </c>
    </row>
    <row r="95" spans="1:23" x14ac:dyDescent="0.35">
      <c r="A95">
        <v>92</v>
      </c>
      <c r="B95">
        <v>5798</v>
      </c>
      <c r="C95">
        <v>1973</v>
      </c>
      <c r="D95" s="1" t="s">
        <v>15</v>
      </c>
      <c r="E95" s="1" t="s">
        <v>12</v>
      </c>
      <c r="G95">
        <v>0</v>
      </c>
      <c r="H95" s="2">
        <v>0</v>
      </c>
      <c r="I95" s="2">
        <v>41601</v>
      </c>
      <c r="J95">
        <v>87</v>
      </c>
      <c r="K95">
        <f>VLOOKUP(B95,purchase_dataset!$B$2:$F$2241,2,FALSE)</f>
        <v>37</v>
      </c>
      <c r="L95">
        <f>VLOOKUP(B95,purchase_dataset!$B$2:$F$2241,3,FALSE)</f>
        <v>28</v>
      </c>
      <c r="M95">
        <f>VLOOKUP(B95,purchase_dataset!$B$2:$F$2241,3,FALSE)</f>
        <v>28</v>
      </c>
      <c r="N95">
        <f>VLOOKUP(B95,purchase_dataset!$B$2:$F$2241,5,FALSE)</f>
        <v>8</v>
      </c>
      <c r="O95" s="5">
        <v>53</v>
      </c>
      <c r="P95" s="4" t="str">
        <f t="shared" si="2"/>
        <v>&gt;50</v>
      </c>
      <c r="Q95" s="4">
        <f>M95+N95</f>
        <v>36</v>
      </c>
      <c r="U95" s="28" t="str" cm="1">
        <f t="array" ref="U95">_xlfn.IFS(F95&lt;30000,"30k",F95&lt;=50000,"30k-50k",F95&lt;=75000,"50k-75k",F95&lt;=100000,"75k-100k",F95&gt;100000,"100k")</f>
        <v>30k</v>
      </c>
      <c r="W95" s="1">
        <f t="shared" si="3"/>
        <v>13</v>
      </c>
    </row>
    <row r="96" spans="1:23" x14ac:dyDescent="0.35">
      <c r="A96">
        <v>93</v>
      </c>
      <c r="B96">
        <v>11178</v>
      </c>
      <c r="C96">
        <v>1972</v>
      </c>
      <c r="D96" s="1" t="s">
        <v>15</v>
      </c>
      <c r="E96" s="1" t="s">
        <v>11</v>
      </c>
      <c r="F96">
        <v>42394</v>
      </c>
      <c r="G96">
        <v>1</v>
      </c>
      <c r="H96" s="2">
        <v>0</v>
      </c>
      <c r="I96" s="2">
        <v>41721</v>
      </c>
      <c r="J96">
        <v>69</v>
      </c>
      <c r="K96">
        <f>VLOOKUP(B96,purchase_dataset!$B$2:$F$2241,2,FALSE)</f>
        <v>2</v>
      </c>
      <c r="L96">
        <f>VLOOKUP(B96,purchase_dataset!$B$2:$F$2241,3,FALSE)</f>
        <v>1</v>
      </c>
      <c r="M96">
        <f>VLOOKUP(B96,purchase_dataset!$B$2:$F$2241,3,FALSE)</f>
        <v>1</v>
      </c>
      <c r="N96">
        <f>VLOOKUP(B96,purchase_dataset!$B$2:$F$2241,5,FALSE)</f>
        <v>3</v>
      </c>
      <c r="O96" s="5">
        <v>54</v>
      </c>
      <c r="P96" s="4" t="str">
        <f t="shared" si="2"/>
        <v>&gt;50</v>
      </c>
      <c r="Q96" s="4">
        <f>M96+N96</f>
        <v>4</v>
      </c>
      <c r="U96" s="28" t="str" cm="1">
        <f t="array" ref="U96">_xlfn.IFS(F96&lt;30000,"30k",F96&lt;=50000,"30k-50k",F96&lt;=75000,"50k-75k",F96&lt;=100000,"75k-100k",F96&gt;100000,"100k")</f>
        <v>30k-50k</v>
      </c>
      <c r="W96" s="1">
        <f t="shared" si="3"/>
        <v>12</v>
      </c>
    </row>
    <row r="97" spans="1:23" x14ac:dyDescent="0.35">
      <c r="A97">
        <v>94</v>
      </c>
      <c r="B97">
        <v>2230</v>
      </c>
      <c r="C97">
        <v>1970</v>
      </c>
      <c r="D97" s="1" t="s">
        <v>13</v>
      </c>
      <c r="E97" s="1" t="s">
        <v>14</v>
      </c>
      <c r="F97">
        <v>23626</v>
      </c>
      <c r="G97">
        <v>1</v>
      </c>
      <c r="H97" s="2">
        <v>0</v>
      </c>
      <c r="I97" s="2">
        <v>41783</v>
      </c>
      <c r="J97">
        <v>84</v>
      </c>
      <c r="K97">
        <f>VLOOKUP(B97,purchase_dataset!$B$2:$F$2241,2,FALSE)</f>
        <v>2</v>
      </c>
      <c r="L97">
        <f>VLOOKUP(B97,purchase_dataset!$B$2:$F$2241,3,FALSE)</f>
        <v>0</v>
      </c>
      <c r="M97">
        <f>VLOOKUP(B97,purchase_dataset!$B$2:$F$2241,3,FALSE)</f>
        <v>0</v>
      </c>
      <c r="N97">
        <f>VLOOKUP(B97,purchase_dataset!$B$2:$F$2241,5,FALSE)</f>
        <v>3</v>
      </c>
      <c r="O97" s="5">
        <v>56</v>
      </c>
      <c r="P97" s="4" t="str">
        <f t="shared" si="2"/>
        <v>&gt;50</v>
      </c>
      <c r="Q97" s="4">
        <f>M97+N97</f>
        <v>3</v>
      </c>
      <c r="U97" s="28" t="str" cm="1">
        <f t="array" ref="U97">_xlfn.IFS(F97&lt;30000,"30k",F97&lt;=50000,"30k-50k",F97&lt;=75000,"50k-75k",F97&lt;=100000,"75k-100k",F97&gt;100000,"100k")</f>
        <v>30k</v>
      </c>
      <c r="W97" s="1">
        <f t="shared" si="3"/>
        <v>12</v>
      </c>
    </row>
    <row r="98" spans="1:23" x14ac:dyDescent="0.35">
      <c r="A98">
        <v>95</v>
      </c>
      <c r="B98">
        <v>7516</v>
      </c>
      <c r="C98">
        <v>1983</v>
      </c>
      <c r="D98" s="1" t="s">
        <v>10</v>
      </c>
      <c r="E98" s="1" t="s">
        <v>14</v>
      </c>
      <c r="F98">
        <v>30096</v>
      </c>
      <c r="G98">
        <v>1</v>
      </c>
      <c r="H98" s="2">
        <v>0</v>
      </c>
      <c r="I98" s="2">
        <v>41781</v>
      </c>
      <c r="J98">
        <v>30</v>
      </c>
      <c r="K98">
        <f>VLOOKUP(B98,purchase_dataset!$B$2:$F$2241,2,FALSE)</f>
        <v>3</v>
      </c>
      <c r="L98">
        <f>VLOOKUP(B98,purchase_dataset!$B$2:$F$2241,3,FALSE)</f>
        <v>5</v>
      </c>
      <c r="M98">
        <f>VLOOKUP(B98,purchase_dataset!$B$2:$F$2241,3,FALSE)</f>
        <v>5</v>
      </c>
      <c r="N98">
        <f>VLOOKUP(B98,purchase_dataset!$B$2:$F$2241,5,FALSE)</f>
        <v>3</v>
      </c>
      <c r="O98" s="5">
        <v>43</v>
      </c>
      <c r="P98" s="4" t="str">
        <f t="shared" si="2"/>
        <v>30-50</v>
      </c>
      <c r="Q98" s="4">
        <f>M98+N98</f>
        <v>8</v>
      </c>
      <c r="U98" s="28" t="str" cm="1">
        <f t="array" ref="U98">_xlfn.IFS(F98&lt;30000,"30k",F98&lt;=50000,"30k-50k",F98&lt;=75000,"50k-75k",F98&lt;=100000,"75k-100k",F98&gt;100000,"100k")</f>
        <v>30k-50k</v>
      </c>
      <c r="W98" s="1">
        <f t="shared" si="3"/>
        <v>12</v>
      </c>
    </row>
    <row r="99" spans="1:23" x14ac:dyDescent="0.35">
      <c r="A99">
        <v>96</v>
      </c>
      <c r="B99">
        <v>7247</v>
      </c>
      <c r="C99">
        <v>1960</v>
      </c>
      <c r="D99" s="1" t="s">
        <v>10</v>
      </c>
      <c r="E99" s="1" t="s">
        <v>19</v>
      </c>
      <c r="F99">
        <v>47916</v>
      </c>
      <c r="G99">
        <v>0</v>
      </c>
      <c r="H99" s="2">
        <v>1</v>
      </c>
      <c r="I99" s="2">
        <v>41235</v>
      </c>
      <c r="J99">
        <v>72</v>
      </c>
      <c r="K99">
        <f>VLOOKUP(B99,purchase_dataset!$B$2:$F$2241,2,FALSE)</f>
        <v>0</v>
      </c>
      <c r="L99">
        <f>VLOOKUP(B99,purchase_dataset!$B$2:$F$2241,3,FALSE)</f>
        <v>0</v>
      </c>
      <c r="M99">
        <f>VLOOKUP(B99,purchase_dataset!$B$2:$F$2241,3,FALSE)</f>
        <v>0</v>
      </c>
      <c r="N99">
        <f>VLOOKUP(B99,purchase_dataset!$B$2:$F$2241,5,FALSE)</f>
        <v>6</v>
      </c>
      <c r="O99" s="5">
        <v>66</v>
      </c>
      <c r="P99" s="4" t="str">
        <f t="shared" si="2"/>
        <v>&gt;50</v>
      </c>
      <c r="Q99" s="4">
        <f>M99+N99</f>
        <v>6</v>
      </c>
      <c r="U99" s="28" t="str" cm="1">
        <f t="array" ref="U99">_xlfn.IFS(F99&lt;30000,"30k",F99&lt;=50000,"30k-50k",F99&lt;=75000,"50k-75k",F99&lt;=100000,"75k-100k",F99&gt;100000,"100k")</f>
        <v>30k-50k</v>
      </c>
      <c r="W99" s="1">
        <f t="shared" si="3"/>
        <v>14</v>
      </c>
    </row>
    <row r="100" spans="1:23" x14ac:dyDescent="0.35">
      <c r="A100">
        <v>97</v>
      </c>
      <c r="B100">
        <v>11100</v>
      </c>
      <c r="C100">
        <v>1972</v>
      </c>
      <c r="D100" s="1" t="s">
        <v>10</v>
      </c>
      <c r="E100" s="1" t="s">
        <v>16</v>
      </c>
      <c r="F100">
        <v>51813</v>
      </c>
      <c r="G100">
        <v>1</v>
      </c>
      <c r="H100" s="2">
        <v>1</v>
      </c>
      <c r="I100" s="2">
        <v>41375</v>
      </c>
      <c r="J100">
        <v>37</v>
      </c>
      <c r="K100">
        <f>VLOOKUP(B100,purchase_dataset!$B$2:$F$2241,2,FALSE)</f>
        <v>2</v>
      </c>
      <c r="L100">
        <f>VLOOKUP(B100,purchase_dataset!$B$2:$F$2241,3,FALSE)</f>
        <v>1</v>
      </c>
      <c r="M100">
        <f>VLOOKUP(B100,purchase_dataset!$B$2:$F$2241,3,FALSE)</f>
        <v>1</v>
      </c>
      <c r="N100">
        <f>VLOOKUP(B100,purchase_dataset!$B$2:$F$2241,5,FALSE)</f>
        <v>3</v>
      </c>
      <c r="O100" s="5">
        <v>54</v>
      </c>
      <c r="P100" s="4" t="str">
        <f t="shared" si="2"/>
        <v>&gt;50</v>
      </c>
      <c r="Q100" s="4">
        <f>M100+N100</f>
        <v>4</v>
      </c>
      <c r="U100" s="28" t="str" cm="1">
        <f t="array" ref="U100">_xlfn.IFS(F100&lt;30000,"30k",F100&lt;=50000,"30k-50k",F100&lt;=75000,"50k-75k",F100&lt;=100000,"75k-100k",F100&gt;100000,"100k")</f>
        <v>50k-75k</v>
      </c>
      <c r="W100" s="1">
        <f t="shared" si="3"/>
        <v>13</v>
      </c>
    </row>
    <row r="101" spans="1:23" x14ac:dyDescent="0.35">
      <c r="A101">
        <v>98</v>
      </c>
      <c r="B101">
        <v>4646</v>
      </c>
      <c r="C101">
        <v>1951</v>
      </c>
      <c r="D101" s="1" t="s">
        <v>18</v>
      </c>
      <c r="E101" s="1" t="s">
        <v>14</v>
      </c>
      <c r="F101">
        <v>78497</v>
      </c>
      <c r="G101">
        <v>0</v>
      </c>
      <c r="H101" s="2">
        <v>0</v>
      </c>
      <c r="I101" s="2">
        <v>41609</v>
      </c>
      <c r="J101">
        <v>44</v>
      </c>
      <c r="K101">
        <f>VLOOKUP(B101,purchase_dataset!$B$2:$F$2241,2,FALSE)</f>
        <v>26</v>
      </c>
      <c r="L101">
        <f>VLOOKUP(B101,purchase_dataset!$B$2:$F$2241,3,FALSE)</f>
        <v>0</v>
      </c>
      <c r="M101">
        <f>VLOOKUP(B101,purchase_dataset!$B$2:$F$2241,3,FALSE)</f>
        <v>0</v>
      </c>
      <c r="N101">
        <f>VLOOKUP(B101,purchase_dataset!$B$2:$F$2241,5,FALSE)</f>
        <v>12</v>
      </c>
      <c r="O101" s="5">
        <v>75</v>
      </c>
      <c r="P101" s="4" t="str">
        <f t="shared" si="2"/>
        <v>&gt;50</v>
      </c>
      <c r="Q101" s="4">
        <f>M101+N101</f>
        <v>12</v>
      </c>
      <c r="U101" s="28" t="str" cm="1">
        <f t="array" ref="U101">_xlfn.IFS(F101&lt;30000,"30k",F101&lt;=50000,"30k-50k",F101&lt;=75000,"50k-75k",F101&lt;=100000,"75k-100k",F101&gt;100000,"100k")</f>
        <v>75k-100k</v>
      </c>
      <c r="W101" s="1">
        <f t="shared" si="3"/>
        <v>13</v>
      </c>
    </row>
    <row r="102" spans="1:23" x14ac:dyDescent="0.35">
      <c r="A102">
        <v>99</v>
      </c>
      <c r="B102">
        <v>3037</v>
      </c>
      <c r="C102">
        <v>1983</v>
      </c>
      <c r="D102" s="1" t="s">
        <v>13</v>
      </c>
      <c r="E102" s="1" t="s">
        <v>14</v>
      </c>
      <c r="F102">
        <v>50150</v>
      </c>
      <c r="G102">
        <v>0</v>
      </c>
      <c r="H102" s="2">
        <v>0</v>
      </c>
      <c r="I102" s="2">
        <v>41445</v>
      </c>
      <c r="J102">
        <v>32</v>
      </c>
      <c r="K102">
        <f>VLOOKUP(B102,purchase_dataset!$B$2:$F$2241,2,FALSE)</f>
        <v>46</v>
      </c>
      <c r="L102">
        <f>VLOOKUP(B102,purchase_dataset!$B$2:$F$2241,3,FALSE)</f>
        <v>61</v>
      </c>
      <c r="M102">
        <f>VLOOKUP(B102,purchase_dataset!$B$2:$F$2241,3,FALSE)</f>
        <v>61</v>
      </c>
      <c r="N102">
        <f>VLOOKUP(B102,purchase_dataset!$B$2:$F$2241,5,FALSE)</f>
        <v>7</v>
      </c>
      <c r="O102" s="5">
        <v>43</v>
      </c>
      <c r="P102" s="4" t="str">
        <f t="shared" si="2"/>
        <v>30-50</v>
      </c>
      <c r="Q102" s="4">
        <f>M102+N102</f>
        <v>68</v>
      </c>
      <c r="U102" s="28" t="str" cm="1">
        <f t="array" ref="U102">_xlfn.IFS(F102&lt;30000,"30k",F102&lt;=50000,"30k-50k",F102&lt;=75000,"50k-75k",F102&lt;=100000,"75k-100k",F102&gt;100000,"100k")</f>
        <v>50k-75k</v>
      </c>
      <c r="W102" s="1">
        <f t="shared" si="3"/>
        <v>13</v>
      </c>
    </row>
    <row r="103" spans="1:23" x14ac:dyDescent="0.35">
      <c r="A103">
        <v>100</v>
      </c>
      <c r="B103">
        <v>1473</v>
      </c>
      <c r="C103">
        <v>1960</v>
      </c>
      <c r="D103" s="1" t="s">
        <v>18</v>
      </c>
      <c r="E103" s="1" t="s">
        <v>11</v>
      </c>
      <c r="F103">
        <v>47823</v>
      </c>
      <c r="G103">
        <v>0</v>
      </c>
      <c r="H103" s="2">
        <v>1</v>
      </c>
      <c r="I103" s="2">
        <v>41478</v>
      </c>
      <c r="J103">
        <v>0</v>
      </c>
      <c r="K103">
        <f>VLOOKUP(B103,purchase_dataset!$B$2:$F$2241,2,FALSE)</f>
        <v>1</v>
      </c>
      <c r="L103">
        <f>VLOOKUP(B103,purchase_dataset!$B$2:$F$2241,3,FALSE)</f>
        <v>1</v>
      </c>
      <c r="M103">
        <f>VLOOKUP(B103,purchase_dataset!$B$2:$F$2241,3,FALSE)</f>
        <v>1</v>
      </c>
      <c r="N103">
        <f>VLOOKUP(B103,purchase_dataset!$B$2:$F$2241,5,FALSE)</f>
        <v>3</v>
      </c>
      <c r="O103" s="5">
        <v>66</v>
      </c>
      <c r="P103" s="4" t="str">
        <f t="shared" si="2"/>
        <v>&gt;50</v>
      </c>
      <c r="Q103" s="4">
        <f>M103+N103</f>
        <v>4</v>
      </c>
      <c r="U103" s="28" t="str" cm="1">
        <f t="array" ref="U103">_xlfn.IFS(F103&lt;30000,"30k",F103&lt;=50000,"30k-50k",F103&lt;=75000,"50k-75k",F103&lt;=100000,"75k-100k",F103&gt;100000,"100k")</f>
        <v>30k-50k</v>
      </c>
      <c r="W103" s="1">
        <f t="shared" si="3"/>
        <v>13</v>
      </c>
    </row>
    <row r="104" spans="1:23" x14ac:dyDescent="0.35">
      <c r="A104">
        <v>101</v>
      </c>
      <c r="B104">
        <v>1016</v>
      </c>
      <c r="C104">
        <v>1959</v>
      </c>
      <c r="D104" s="1" t="s">
        <v>13</v>
      </c>
      <c r="E104" s="1" t="s">
        <v>11</v>
      </c>
      <c r="F104">
        <v>34554</v>
      </c>
      <c r="G104">
        <v>0</v>
      </c>
      <c r="H104" s="2">
        <v>1</v>
      </c>
      <c r="I104" s="2">
        <v>41728</v>
      </c>
      <c r="J104">
        <v>43</v>
      </c>
      <c r="K104">
        <f>VLOOKUP(B104,purchase_dataset!$B$2:$F$2241,2,FALSE)</f>
        <v>1</v>
      </c>
      <c r="L104">
        <f>VLOOKUP(B104,purchase_dataset!$B$2:$F$2241,3,FALSE)</f>
        <v>0</v>
      </c>
      <c r="M104">
        <f>VLOOKUP(B104,purchase_dataset!$B$2:$F$2241,3,FALSE)</f>
        <v>0</v>
      </c>
      <c r="N104">
        <f>VLOOKUP(B104,purchase_dataset!$B$2:$F$2241,5,FALSE)</f>
        <v>3</v>
      </c>
      <c r="O104" s="5">
        <v>67</v>
      </c>
      <c r="P104" s="4" t="str">
        <f t="shared" si="2"/>
        <v>&gt;50</v>
      </c>
      <c r="Q104" s="4">
        <f>M104+N104</f>
        <v>3</v>
      </c>
      <c r="U104" s="28" t="str" cm="1">
        <f t="array" ref="U104">_xlfn.IFS(F104&lt;30000,"30k",F104&lt;=50000,"30k-50k",F104&lt;=75000,"50k-75k",F104&lt;=100000,"75k-100k",F104&gt;100000,"100k")</f>
        <v>30k-50k</v>
      </c>
      <c r="W104" s="1">
        <f t="shared" si="3"/>
        <v>12</v>
      </c>
    </row>
    <row r="105" spans="1:23" x14ac:dyDescent="0.35">
      <c r="A105">
        <v>102</v>
      </c>
      <c r="B105">
        <v>4518</v>
      </c>
      <c r="C105">
        <v>1979</v>
      </c>
      <c r="D105" s="1" t="s">
        <v>10</v>
      </c>
      <c r="E105" s="1" t="s">
        <v>12</v>
      </c>
      <c r="F105">
        <v>85693</v>
      </c>
      <c r="G105">
        <v>0</v>
      </c>
      <c r="H105" s="2">
        <v>1</v>
      </c>
      <c r="I105" s="2">
        <v>41384</v>
      </c>
      <c r="J105">
        <v>59</v>
      </c>
      <c r="K105">
        <f>VLOOKUP(B105,purchase_dataset!$B$2:$F$2241,2,FALSE)</f>
        <v>172</v>
      </c>
      <c r="L105">
        <f>VLOOKUP(B105,purchase_dataset!$B$2:$F$2241,3,FALSE)</f>
        <v>132</v>
      </c>
      <c r="M105">
        <f>VLOOKUP(B105,purchase_dataset!$B$2:$F$2241,3,FALSE)</f>
        <v>132</v>
      </c>
      <c r="N105">
        <f>VLOOKUP(B105,purchase_dataset!$B$2:$F$2241,5,FALSE)</f>
        <v>11</v>
      </c>
      <c r="O105" s="5">
        <v>47</v>
      </c>
      <c r="P105" s="4" t="str">
        <f t="shared" si="2"/>
        <v>30-50</v>
      </c>
      <c r="Q105" s="4">
        <f>M105+N105</f>
        <v>143</v>
      </c>
      <c r="U105" s="28" t="str" cm="1">
        <f t="array" ref="U105">_xlfn.IFS(F105&lt;30000,"30k",F105&lt;=50000,"30k-50k",F105&lt;=75000,"50k-75k",F105&lt;=100000,"75k-100k",F105&gt;100000,"100k")</f>
        <v>75k-100k</v>
      </c>
      <c r="W105" s="1">
        <f t="shared" si="3"/>
        <v>13</v>
      </c>
    </row>
    <row r="106" spans="1:23" x14ac:dyDescent="0.35">
      <c r="A106">
        <v>103</v>
      </c>
      <c r="B106">
        <v>9370</v>
      </c>
      <c r="C106">
        <v>1945</v>
      </c>
      <c r="D106" s="1" t="s">
        <v>13</v>
      </c>
      <c r="E106" s="1" t="s">
        <v>14</v>
      </c>
      <c r="F106">
        <v>65846</v>
      </c>
      <c r="G106">
        <v>0</v>
      </c>
      <c r="H106" s="2">
        <v>0</v>
      </c>
      <c r="I106" s="2">
        <v>41411</v>
      </c>
      <c r="J106">
        <v>68</v>
      </c>
      <c r="K106">
        <f>VLOOKUP(B106,purchase_dataset!$B$2:$F$2241,2,FALSE)</f>
        <v>81</v>
      </c>
      <c r="L106">
        <f>VLOOKUP(B106,purchase_dataset!$B$2:$F$2241,3,FALSE)</f>
        <v>40</v>
      </c>
      <c r="M106">
        <f>VLOOKUP(B106,purchase_dataset!$B$2:$F$2241,3,FALSE)</f>
        <v>40</v>
      </c>
      <c r="N106">
        <f>VLOOKUP(B106,purchase_dataset!$B$2:$F$2241,5,FALSE)</f>
        <v>6</v>
      </c>
      <c r="O106" s="5">
        <v>81</v>
      </c>
      <c r="P106" s="4" t="str">
        <f t="shared" si="2"/>
        <v>&gt;50</v>
      </c>
      <c r="Q106" s="4">
        <f>M106+N106</f>
        <v>46</v>
      </c>
      <c r="U106" s="28" t="str" cm="1">
        <f t="array" ref="U106">_xlfn.IFS(F106&lt;30000,"30k",F106&lt;=50000,"30k-50k",F106&lt;=75000,"50k-75k",F106&lt;=100000,"75k-100k",F106&gt;100000,"100k")</f>
        <v>50k-75k</v>
      </c>
      <c r="W106" s="1">
        <f t="shared" si="3"/>
        <v>13</v>
      </c>
    </row>
    <row r="107" spans="1:23" x14ac:dyDescent="0.35">
      <c r="A107">
        <v>104</v>
      </c>
      <c r="B107">
        <v>8908</v>
      </c>
      <c r="C107">
        <v>1959</v>
      </c>
      <c r="D107" s="1" t="s">
        <v>10</v>
      </c>
      <c r="E107" s="1" t="s">
        <v>14</v>
      </c>
      <c r="F107">
        <v>87195</v>
      </c>
      <c r="G107">
        <v>0</v>
      </c>
      <c r="H107" s="2">
        <v>0</v>
      </c>
      <c r="I107" s="2">
        <v>41767</v>
      </c>
      <c r="J107">
        <v>35</v>
      </c>
      <c r="K107">
        <f>VLOOKUP(B107,purchase_dataset!$B$2:$F$2241,2,FALSE)</f>
        <v>76</v>
      </c>
      <c r="L107">
        <f>VLOOKUP(B107,purchase_dataset!$B$2:$F$2241,3,FALSE)</f>
        <v>26</v>
      </c>
      <c r="M107">
        <f>VLOOKUP(B107,purchase_dataset!$B$2:$F$2241,3,FALSE)</f>
        <v>26</v>
      </c>
      <c r="N107">
        <f>VLOOKUP(B107,purchase_dataset!$B$2:$F$2241,5,FALSE)</f>
        <v>5</v>
      </c>
      <c r="O107" s="5">
        <v>67</v>
      </c>
      <c r="P107" s="4" t="str">
        <f t="shared" si="2"/>
        <v>&gt;50</v>
      </c>
      <c r="Q107" s="4">
        <f>M107+N107</f>
        <v>31</v>
      </c>
      <c r="U107" s="28" t="str" cm="1">
        <f t="array" ref="U107">_xlfn.IFS(F107&lt;30000,"30k",F107&lt;=50000,"30k-50k",F107&lt;=75000,"50k-75k",F107&lt;=100000,"75k-100k",F107&gt;100000,"100k")</f>
        <v>75k-100k</v>
      </c>
      <c r="W107" s="1">
        <f t="shared" si="3"/>
        <v>12</v>
      </c>
    </row>
    <row r="108" spans="1:23" x14ac:dyDescent="0.35">
      <c r="A108">
        <v>105</v>
      </c>
      <c r="B108">
        <v>8373</v>
      </c>
      <c r="C108">
        <v>1979</v>
      </c>
      <c r="D108" s="1" t="s">
        <v>17</v>
      </c>
      <c r="E108" s="1" t="s">
        <v>12</v>
      </c>
      <c r="F108">
        <v>24594</v>
      </c>
      <c r="G108">
        <v>1</v>
      </c>
      <c r="H108" s="2">
        <v>0</v>
      </c>
      <c r="I108" s="2">
        <v>41618</v>
      </c>
      <c r="J108">
        <v>94</v>
      </c>
      <c r="K108">
        <f>VLOOKUP(B108,purchase_dataset!$B$2:$F$2241,2,FALSE)</f>
        <v>3</v>
      </c>
      <c r="L108">
        <f>VLOOKUP(B108,purchase_dataset!$B$2:$F$2241,3,FALSE)</f>
        <v>0</v>
      </c>
      <c r="M108">
        <f>VLOOKUP(B108,purchase_dataset!$B$2:$F$2241,3,FALSE)</f>
        <v>0</v>
      </c>
      <c r="N108">
        <f>VLOOKUP(B108,purchase_dataset!$B$2:$F$2241,5,FALSE)</f>
        <v>3</v>
      </c>
      <c r="O108" s="5">
        <v>47</v>
      </c>
      <c r="P108" s="4" t="str">
        <f t="shared" si="2"/>
        <v>30-50</v>
      </c>
      <c r="Q108" s="4">
        <f>M108+N108</f>
        <v>3</v>
      </c>
      <c r="U108" s="28" t="str" cm="1">
        <f t="array" ref="U108">_xlfn.IFS(F108&lt;30000,"30k",F108&lt;=50000,"30k-50k",F108&lt;=75000,"50k-75k",F108&lt;=100000,"75k-100k",F108&gt;100000,"100k")</f>
        <v>30k</v>
      </c>
      <c r="W108" s="1">
        <f t="shared" si="3"/>
        <v>13</v>
      </c>
    </row>
    <row r="109" spans="1:23" x14ac:dyDescent="0.35">
      <c r="A109">
        <v>106</v>
      </c>
      <c r="B109">
        <v>7533</v>
      </c>
      <c r="C109">
        <v>1964</v>
      </c>
      <c r="D109" s="1" t="s">
        <v>10</v>
      </c>
      <c r="E109" s="1" t="s">
        <v>14</v>
      </c>
      <c r="F109">
        <v>49096</v>
      </c>
      <c r="G109">
        <v>1</v>
      </c>
      <c r="H109" s="2">
        <v>1</v>
      </c>
      <c r="I109" s="2">
        <v>41541</v>
      </c>
      <c r="J109">
        <v>15</v>
      </c>
      <c r="K109">
        <f>VLOOKUP(B109,purchase_dataset!$B$2:$F$2241,2,FALSE)</f>
        <v>1</v>
      </c>
      <c r="L109">
        <f>VLOOKUP(B109,purchase_dataset!$B$2:$F$2241,3,FALSE)</f>
        <v>1</v>
      </c>
      <c r="M109">
        <f>VLOOKUP(B109,purchase_dataset!$B$2:$F$2241,3,FALSE)</f>
        <v>1</v>
      </c>
      <c r="N109">
        <f>VLOOKUP(B109,purchase_dataset!$B$2:$F$2241,5,FALSE)</f>
        <v>4</v>
      </c>
      <c r="O109" s="5">
        <v>62</v>
      </c>
      <c r="P109" s="4" t="str">
        <f t="shared" si="2"/>
        <v>&gt;50</v>
      </c>
      <c r="Q109" s="4">
        <f>M109+N109</f>
        <v>5</v>
      </c>
      <c r="U109" s="28" t="str" cm="1">
        <f t="array" ref="U109">_xlfn.IFS(F109&lt;30000,"30k",F109&lt;=50000,"30k-50k",F109&lt;=75000,"50k-75k",F109&lt;=100000,"75k-100k",F109&gt;100000,"100k")</f>
        <v>30k-50k</v>
      </c>
      <c r="W109" s="1">
        <f t="shared" si="3"/>
        <v>13</v>
      </c>
    </row>
    <row r="110" spans="1:23" x14ac:dyDescent="0.35">
      <c r="A110">
        <v>107</v>
      </c>
      <c r="B110">
        <v>2683</v>
      </c>
      <c r="C110">
        <v>1969</v>
      </c>
      <c r="D110" s="1" t="s">
        <v>10</v>
      </c>
      <c r="E110" s="1" t="s">
        <v>14</v>
      </c>
      <c r="F110">
        <v>52413</v>
      </c>
      <c r="G110">
        <v>0</v>
      </c>
      <c r="H110" s="2">
        <v>2</v>
      </c>
      <c r="I110" s="2">
        <v>41307</v>
      </c>
      <c r="J110">
        <v>56</v>
      </c>
      <c r="K110">
        <f>VLOOKUP(B110,purchase_dataset!$B$2:$F$2241,2,FALSE)</f>
        <v>106</v>
      </c>
      <c r="L110">
        <f>VLOOKUP(B110,purchase_dataset!$B$2:$F$2241,3,FALSE)</f>
        <v>98</v>
      </c>
      <c r="M110">
        <f>VLOOKUP(B110,purchase_dataset!$B$2:$F$2241,3,FALSE)</f>
        <v>98</v>
      </c>
      <c r="N110">
        <f>VLOOKUP(B110,purchase_dataset!$B$2:$F$2241,5,FALSE)</f>
        <v>12</v>
      </c>
      <c r="O110" s="5">
        <v>57</v>
      </c>
      <c r="P110" s="4" t="str">
        <f t="shared" si="2"/>
        <v>&gt;50</v>
      </c>
      <c r="Q110" s="4">
        <f>M110+N110</f>
        <v>110</v>
      </c>
      <c r="U110" s="28" t="str" cm="1">
        <f t="array" ref="U110">_xlfn.IFS(F110&lt;30000,"30k",F110&lt;=50000,"30k-50k",F110&lt;=75000,"50k-75k",F110&lt;=100000,"75k-100k",F110&gt;100000,"100k")</f>
        <v>50k-75k</v>
      </c>
      <c r="W110" s="1">
        <f t="shared" si="3"/>
        <v>13</v>
      </c>
    </row>
    <row r="111" spans="1:23" x14ac:dyDescent="0.35">
      <c r="A111">
        <v>108</v>
      </c>
      <c r="B111">
        <v>3629</v>
      </c>
      <c r="C111">
        <v>1978</v>
      </c>
      <c r="D111" s="1" t="s">
        <v>10</v>
      </c>
      <c r="E111" s="1" t="s">
        <v>11</v>
      </c>
      <c r="F111">
        <v>38557</v>
      </c>
      <c r="G111">
        <v>1</v>
      </c>
      <c r="H111" s="2">
        <v>0</v>
      </c>
      <c r="I111" s="2">
        <v>41262</v>
      </c>
      <c r="J111">
        <v>17</v>
      </c>
      <c r="K111">
        <f>VLOOKUP(B111,purchase_dataset!$B$2:$F$2241,2,FALSE)</f>
        <v>3</v>
      </c>
      <c r="L111">
        <f>VLOOKUP(B111,purchase_dataset!$B$2:$F$2241,3,FALSE)</f>
        <v>4</v>
      </c>
      <c r="M111">
        <f>VLOOKUP(B111,purchase_dataset!$B$2:$F$2241,3,FALSE)</f>
        <v>4</v>
      </c>
      <c r="N111">
        <f>VLOOKUP(B111,purchase_dataset!$B$2:$F$2241,5,FALSE)</f>
        <v>3</v>
      </c>
      <c r="O111" s="5">
        <v>48</v>
      </c>
      <c r="P111" s="4" t="str">
        <f t="shared" si="2"/>
        <v>30-50</v>
      </c>
      <c r="Q111" s="4">
        <f>M111+N111</f>
        <v>7</v>
      </c>
      <c r="U111" s="28" t="str" cm="1">
        <f t="array" ref="U111">_xlfn.IFS(F111&lt;30000,"30k",F111&lt;=50000,"30k-50k",F111&lt;=75000,"50k-75k",F111&lt;=100000,"75k-100k",F111&gt;100000,"100k")</f>
        <v>30k-50k</v>
      </c>
      <c r="W111" s="1">
        <f t="shared" si="3"/>
        <v>14</v>
      </c>
    </row>
    <row r="112" spans="1:23" x14ac:dyDescent="0.35">
      <c r="A112">
        <v>109</v>
      </c>
      <c r="B112">
        <v>10991</v>
      </c>
      <c r="C112">
        <v>1960</v>
      </c>
      <c r="D112" s="1" t="s">
        <v>15</v>
      </c>
      <c r="E112" s="1" t="s">
        <v>14</v>
      </c>
      <c r="F112">
        <v>89058</v>
      </c>
      <c r="G112">
        <v>0</v>
      </c>
      <c r="H112" s="2">
        <v>0</v>
      </c>
      <c r="I112" s="2">
        <v>41250</v>
      </c>
      <c r="J112">
        <v>18</v>
      </c>
      <c r="K112">
        <f>VLOOKUP(B112,purchase_dataset!$B$2:$F$2241,2,FALSE)</f>
        <v>194</v>
      </c>
      <c r="L112">
        <f>VLOOKUP(B112,purchase_dataset!$B$2:$F$2241,3,FALSE)</f>
        <v>22</v>
      </c>
      <c r="M112">
        <f>VLOOKUP(B112,purchase_dataset!$B$2:$F$2241,3,FALSE)</f>
        <v>22</v>
      </c>
      <c r="N112">
        <f>VLOOKUP(B112,purchase_dataset!$B$2:$F$2241,5,FALSE)</f>
        <v>4</v>
      </c>
      <c r="O112" s="5">
        <v>66</v>
      </c>
      <c r="P112" s="4" t="str">
        <f t="shared" si="2"/>
        <v>&gt;50</v>
      </c>
      <c r="Q112" s="4">
        <f>M112+N112</f>
        <v>26</v>
      </c>
      <c r="U112" s="28" t="str" cm="1">
        <f t="array" ref="U112">_xlfn.IFS(F112&lt;30000,"30k",F112&lt;=50000,"30k-50k",F112&lt;=75000,"50k-75k",F112&lt;=100000,"75k-100k",F112&gt;100000,"100k")</f>
        <v>75k-100k</v>
      </c>
      <c r="W112" s="1">
        <f t="shared" si="3"/>
        <v>14</v>
      </c>
    </row>
    <row r="113" spans="1:23" x14ac:dyDescent="0.35">
      <c r="A113">
        <v>110</v>
      </c>
      <c r="B113">
        <v>5077</v>
      </c>
      <c r="C113">
        <v>1979</v>
      </c>
      <c r="D113" s="1" t="s">
        <v>10</v>
      </c>
      <c r="E113" s="1" t="s">
        <v>12</v>
      </c>
      <c r="F113">
        <v>77298</v>
      </c>
      <c r="G113">
        <v>0</v>
      </c>
      <c r="H113" s="2">
        <v>1</v>
      </c>
      <c r="I113" s="2">
        <v>41580</v>
      </c>
      <c r="J113">
        <v>46</v>
      </c>
      <c r="K113">
        <f>VLOOKUP(B113,purchase_dataset!$B$2:$F$2241,2,FALSE)</f>
        <v>115</v>
      </c>
      <c r="L113">
        <f>VLOOKUP(B113,purchase_dataset!$B$2:$F$2241,3,FALSE)</f>
        <v>35</v>
      </c>
      <c r="M113">
        <f>VLOOKUP(B113,purchase_dataset!$B$2:$F$2241,3,FALSE)</f>
        <v>35</v>
      </c>
      <c r="N113">
        <f>VLOOKUP(B113,purchase_dataset!$B$2:$F$2241,5,FALSE)</f>
        <v>11</v>
      </c>
      <c r="O113" s="5">
        <v>47</v>
      </c>
      <c r="P113" s="4" t="str">
        <f t="shared" si="2"/>
        <v>30-50</v>
      </c>
      <c r="Q113" s="4">
        <f>M113+N113</f>
        <v>46</v>
      </c>
      <c r="U113" s="28" t="str" cm="1">
        <f t="array" ref="U113">_xlfn.IFS(F113&lt;30000,"30k",F113&lt;=50000,"30k-50k",F113&lt;=75000,"50k-75k",F113&lt;=100000,"75k-100k",F113&gt;100000,"100k")</f>
        <v>75k-100k</v>
      </c>
      <c r="W113" s="1">
        <f t="shared" si="3"/>
        <v>13</v>
      </c>
    </row>
    <row r="114" spans="1:23" x14ac:dyDescent="0.35">
      <c r="A114">
        <v>111</v>
      </c>
      <c r="B114">
        <v>7431</v>
      </c>
      <c r="C114">
        <v>1991</v>
      </c>
      <c r="D114" s="1" t="s">
        <v>13</v>
      </c>
      <c r="E114" s="1" t="s">
        <v>11</v>
      </c>
      <c r="F114">
        <v>68126</v>
      </c>
      <c r="G114">
        <v>0</v>
      </c>
      <c r="H114" s="2">
        <v>0</v>
      </c>
      <c r="I114" s="2">
        <v>41223</v>
      </c>
      <c r="J114">
        <v>40</v>
      </c>
      <c r="K114">
        <f>VLOOKUP(B114,purchase_dataset!$B$2:$F$2241,2,FALSE)</f>
        <v>17</v>
      </c>
      <c r="L114">
        <f>VLOOKUP(B114,purchase_dataset!$B$2:$F$2241,3,FALSE)</f>
        <v>51</v>
      </c>
      <c r="M114">
        <f>VLOOKUP(B114,purchase_dataset!$B$2:$F$2241,3,FALSE)</f>
        <v>51</v>
      </c>
      <c r="N114">
        <f>VLOOKUP(B114,purchase_dataset!$B$2:$F$2241,5,FALSE)</f>
        <v>5</v>
      </c>
      <c r="O114" s="5">
        <v>35</v>
      </c>
      <c r="P114" s="4" t="str">
        <f t="shared" si="2"/>
        <v>30-50</v>
      </c>
      <c r="Q114" s="4">
        <f>M114+N114</f>
        <v>56</v>
      </c>
      <c r="U114" s="28" t="str" cm="1">
        <f t="array" ref="U114">_xlfn.IFS(F114&lt;30000,"30k",F114&lt;=50000,"30k-50k",F114&lt;=75000,"50k-75k",F114&lt;=100000,"75k-100k",F114&gt;100000,"100k")</f>
        <v>50k-75k</v>
      </c>
      <c r="W114" s="1">
        <f t="shared" si="3"/>
        <v>14</v>
      </c>
    </row>
    <row r="115" spans="1:23" x14ac:dyDescent="0.35">
      <c r="A115">
        <v>112</v>
      </c>
      <c r="B115">
        <v>3267</v>
      </c>
      <c r="C115">
        <v>1963</v>
      </c>
      <c r="D115" s="1" t="s">
        <v>15</v>
      </c>
      <c r="E115" s="1" t="s">
        <v>12</v>
      </c>
      <c r="F115">
        <v>57288</v>
      </c>
      <c r="G115">
        <v>0</v>
      </c>
      <c r="H115" s="2">
        <v>1</v>
      </c>
      <c r="I115" s="2">
        <v>41815</v>
      </c>
      <c r="J115">
        <v>27</v>
      </c>
      <c r="K115">
        <f>VLOOKUP(B115,purchase_dataset!$B$2:$F$2241,2,FALSE)</f>
        <v>0</v>
      </c>
      <c r="L115">
        <f>VLOOKUP(B115,purchase_dataset!$B$2:$F$2241,3,FALSE)</f>
        <v>0</v>
      </c>
      <c r="M115">
        <f>VLOOKUP(B115,purchase_dataset!$B$2:$F$2241,3,FALSE)</f>
        <v>0</v>
      </c>
      <c r="N115">
        <f>VLOOKUP(B115,purchase_dataset!$B$2:$F$2241,5,FALSE)</f>
        <v>8</v>
      </c>
      <c r="O115" s="5">
        <v>63</v>
      </c>
      <c r="P115" s="4" t="str">
        <f t="shared" si="2"/>
        <v>&gt;50</v>
      </c>
      <c r="Q115" s="4">
        <f>M115+N115</f>
        <v>8</v>
      </c>
      <c r="U115" s="28" t="str" cm="1">
        <f t="array" ref="U115">_xlfn.IFS(F115&lt;30000,"30k",F115&lt;=50000,"30k-50k",F115&lt;=75000,"50k-75k",F115&lt;=100000,"75k-100k",F115&gt;100000,"100k")</f>
        <v>50k-75k</v>
      </c>
      <c r="W115" s="1">
        <f t="shared" si="3"/>
        <v>12</v>
      </c>
    </row>
    <row r="116" spans="1:23" x14ac:dyDescent="0.35">
      <c r="A116">
        <v>113</v>
      </c>
      <c r="B116">
        <v>999</v>
      </c>
      <c r="C116">
        <v>1991</v>
      </c>
      <c r="D116" s="1" t="s">
        <v>10</v>
      </c>
      <c r="E116" s="1" t="s">
        <v>11</v>
      </c>
      <c r="F116">
        <v>86037</v>
      </c>
      <c r="G116">
        <v>0</v>
      </c>
      <c r="H116" s="2">
        <v>0</v>
      </c>
      <c r="I116" s="2">
        <v>41276</v>
      </c>
      <c r="J116">
        <v>95</v>
      </c>
      <c r="K116">
        <f>VLOOKUP(B116,purchase_dataset!$B$2:$F$2241,2,FALSE)</f>
        <v>44</v>
      </c>
      <c r="L116">
        <f>VLOOKUP(B116,purchase_dataset!$B$2:$F$2241,3,FALSE)</f>
        <v>20</v>
      </c>
      <c r="M116">
        <f>VLOOKUP(B116,purchase_dataset!$B$2:$F$2241,3,FALSE)</f>
        <v>20</v>
      </c>
      <c r="N116">
        <f>VLOOKUP(B116,purchase_dataset!$B$2:$F$2241,5,FALSE)</f>
        <v>11</v>
      </c>
      <c r="O116" s="5">
        <v>35</v>
      </c>
      <c r="P116" s="4" t="str">
        <f t="shared" si="2"/>
        <v>30-50</v>
      </c>
      <c r="Q116" s="4">
        <f>M116+N116</f>
        <v>31</v>
      </c>
      <c r="U116" s="28" t="str" cm="1">
        <f t="array" ref="U116">_xlfn.IFS(F116&lt;30000,"30k",F116&lt;=50000,"30k-50k",F116&lt;=75000,"50k-75k",F116&lt;=100000,"75k-100k",F116&gt;100000,"100k")</f>
        <v>75k-100k</v>
      </c>
      <c r="W116" s="1">
        <f t="shared" si="3"/>
        <v>13</v>
      </c>
    </row>
    <row r="117" spans="1:23" x14ac:dyDescent="0.35">
      <c r="A117">
        <v>114</v>
      </c>
      <c r="B117">
        <v>9215</v>
      </c>
      <c r="C117">
        <v>1980</v>
      </c>
      <c r="D117" s="1" t="s">
        <v>13</v>
      </c>
      <c r="E117" s="1" t="s">
        <v>14</v>
      </c>
      <c r="F117">
        <v>43974</v>
      </c>
      <c r="G117">
        <v>1</v>
      </c>
      <c r="H117" s="2">
        <v>0</v>
      </c>
      <c r="I117" s="2">
        <v>41255</v>
      </c>
      <c r="J117">
        <v>19</v>
      </c>
      <c r="K117">
        <f>VLOOKUP(B117,purchase_dataset!$B$2:$F$2241,2,FALSE)</f>
        <v>0</v>
      </c>
      <c r="L117">
        <f>VLOOKUP(B117,purchase_dataset!$B$2:$F$2241,3,FALSE)</f>
        <v>0</v>
      </c>
      <c r="M117">
        <f>VLOOKUP(B117,purchase_dataset!$B$2:$F$2241,3,FALSE)</f>
        <v>0</v>
      </c>
      <c r="N117">
        <f>VLOOKUP(B117,purchase_dataset!$B$2:$F$2241,5,FALSE)</f>
        <v>6</v>
      </c>
      <c r="O117" s="5">
        <v>46</v>
      </c>
      <c r="P117" s="4" t="str">
        <f t="shared" si="2"/>
        <v>30-50</v>
      </c>
      <c r="Q117" s="4">
        <f>M117+N117</f>
        <v>6</v>
      </c>
      <c r="U117" s="28" t="str" cm="1">
        <f t="array" ref="U117">_xlfn.IFS(F117&lt;30000,"30k",F117&lt;=50000,"30k-50k",F117&lt;=75000,"50k-75k",F117&lt;=100000,"75k-100k",F117&gt;100000,"100k")</f>
        <v>30k-50k</v>
      </c>
      <c r="W117" s="1">
        <f t="shared" si="3"/>
        <v>14</v>
      </c>
    </row>
    <row r="118" spans="1:23" x14ac:dyDescent="0.35">
      <c r="A118">
        <v>115</v>
      </c>
      <c r="B118">
        <v>2286</v>
      </c>
      <c r="C118">
        <v>1962</v>
      </c>
      <c r="D118" s="1" t="s">
        <v>10</v>
      </c>
      <c r="E118" s="1" t="s">
        <v>11</v>
      </c>
      <c r="F118">
        <v>50785</v>
      </c>
      <c r="G118">
        <v>1</v>
      </c>
      <c r="H118" s="2">
        <v>1</v>
      </c>
      <c r="I118" s="2">
        <v>41527</v>
      </c>
      <c r="J118">
        <v>27</v>
      </c>
      <c r="K118">
        <f>VLOOKUP(B118,purchase_dataset!$B$2:$F$2241,2,FALSE)</f>
        <v>1</v>
      </c>
      <c r="L118">
        <f>VLOOKUP(B118,purchase_dataset!$B$2:$F$2241,3,FALSE)</f>
        <v>1</v>
      </c>
      <c r="M118">
        <f>VLOOKUP(B118,purchase_dataset!$B$2:$F$2241,3,FALSE)</f>
        <v>1</v>
      </c>
      <c r="N118">
        <f>VLOOKUP(B118,purchase_dataset!$B$2:$F$2241,5,FALSE)</f>
        <v>3</v>
      </c>
      <c r="O118" s="5">
        <v>64</v>
      </c>
      <c r="P118" s="4" t="str">
        <f t="shared" si="2"/>
        <v>&gt;50</v>
      </c>
      <c r="Q118" s="4">
        <f>M118+N118</f>
        <v>4</v>
      </c>
      <c r="U118" s="28" t="str" cm="1">
        <f t="array" ref="U118">_xlfn.IFS(F118&lt;30000,"30k",F118&lt;=50000,"30k-50k",F118&lt;=75000,"50k-75k",F118&lt;=100000,"75k-100k",F118&gt;100000,"100k")</f>
        <v>50k-75k</v>
      </c>
      <c r="W118" s="1">
        <f t="shared" si="3"/>
        <v>13</v>
      </c>
    </row>
    <row r="119" spans="1:23" x14ac:dyDescent="0.35">
      <c r="A119">
        <v>116</v>
      </c>
      <c r="B119">
        <v>1592</v>
      </c>
      <c r="C119">
        <v>1970</v>
      </c>
      <c r="D119" s="1" t="s">
        <v>10</v>
      </c>
      <c r="E119" s="1" t="s">
        <v>14</v>
      </c>
      <c r="F119">
        <v>90765</v>
      </c>
      <c r="G119">
        <v>0</v>
      </c>
      <c r="H119" s="2">
        <v>0</v>
      </c>
      <c r="I119" s="2">
        <v>41663</v>
      </c>
      <c r="J119">
        <v>25</v>
      </c>
      <c r="K119">
        <f>VLOOKUP(B119,purchase_dataset!$B$2:$F$2241,2,FALSE)</f>
        <v>99</v>
      </c>
      <c r="L119">
        <f>VLOOKUP(B119,purchase_dataset!$B$2:$F$2241,3,FALSE)</f>
        <v>82</v>
      </c>
      <c r="M119">
        <f>VLOOKUP(B119,purchase_dataset!$B$2:$F$2241,3,FALSE)</f>
        <v>82</v>
      </c>
      <c r="N119">
        <f>VLOOKUP(B119,purchase_dataset!$B$2:$F$2241,5,FALSE)</f>
        <v>5</v>
      </c>
      <c r="O119" s="5">
        <v>56</v>
      </c>
      <c r="P119" s="4" t="str">
        <f t="shared" si="2"/>
        <v>&gt;50</v>
      </c>
      <c r="Q119" s="4">
        <f>M119+N119</f>
        <v>87</v>
      </c>
      <c r="U119" s="28" t="str" cm="1">
        <f t="array" ref="U119">_xlfn.IFS(F119&lt;30000,"30k",F119&lt;=50000,"30k-50k",F119&lt;=75000,"50k-75k",F119&lt;=100000,"75k-100k",F119&gt;100000,"100k")</f>
        <v>75k-100k</v>
      </c>
      <c r="W119" s="1">
        <f t="shared" si="3"/>
        <v>12</v>
      </c>
    </row>
    <row r="120" spans="1:23" x14ac:dyDescent="0.35">
      <c r="A120">
        <v>117</v>
      </c>
      <c r="B120">
        <v>367</v>
      </c>
      <c r="C120">
        <v>1978</v>
      </c>
      <c r="D120" s="1" t="s">
        <v>18</v>
      </c>
      <c r="E120" s="1" t="s">
        <v>14</v>
      </c>
      <c r="F120">
        <v>36550</v>
      </c>
      <c r="G120">
        <v>1</v>
      </c>
      <c r="H120" s="2">
        <v>0</v>
      </c>
      <c r="I120" s="2">
        <v>41324</v>
      </c>
      <c r="J120">
        <v>74</v>
      </c>
      <c r="K120">
        <f>VLOOKUP(B120,purchase_dataset!$B$2:$F$2241,2,FALSE)</f>
        <v>90</v>
      </c>
      <c r="L120">
        <f>VLOOKUP(B120,purchase_dataset!$B$2:$F$2241,3,FALSE)</f>
        <v>103</v>
      </c>
      <c r="M120">
        <f>VLOOKUP(B120,purchase_dataset!$B$2:$F$2241,3,FALSE)</f>
        <v>103</v>
      </c>
      <c r="N120">
        <f>VLOOKUP(B120,purchase_dataset!$B$2:$F$2241,5,FALSE)</f>
        <v>5</v>
      </c>
      <c r="O120" s="5">
        <v>48</v>
      </c>
      <c r="P120" s="4" t="str">
        <f t="shared" si="2"/>
        <v>30-50</v>
      </c>
      <c r="Q120" s="4">
        <f>M120+N120</f>
        <v>108</v>
      </c>
      <c r="U120" s="28" t="str" cm="1">
        <f t="array" ref="U120">_xlfn.IFS(F120&lt;30000,"30k",F120&lt;=50000,"30k-50k",F120&lt;=75000,"50k-75k",F120&lt;=100000,"75k-100k",F120&gt;100000,"100k")</f>
        <v>30k-50k</v>
      </c>
      <c r="W120" s="1">
        <f t="shared" si="3"/>
        <v>13</v>
      </c>
    </row>
    <row r="121" spans="1:23" x14ac:dyDescent="0.35">
      <c r="A121">
        <v>118</v>
      </c>
      <c r="B121">
        <v>5234</v>
      </c>
      <c r="C121">
        <v>1967</v>
      </c>
      <c r="D121" s="1" t="s">
        <v>18</v>
      </c>
      <c r="E121" s="1" t="s">
        <v>12</v>
      </c>
      <c r="F121">
        <v>30753</v>
      </c>
      <c r="G121">
        <v>1</v>
      </c>
      <c r="H121" s="2">
        <v>1</v>
      </c>
      <c r="I121" s="2">
        <v>41466</v>
      </c>
      <c r="J121">
        <v>85</v>
      </c>
      <c r="K121">
        <f>VLOOKUP(B121,purchase_dataset!$B$2:$F$2241,2,FALSE)</f>
        <v>5</v>
      </c>
      <c r="L121">
        <f>VLOOKUP(B121,purchase_dataset!$B$2:$F$2241,3,FALSE)</f>
        <v>9</v>
      </c>
      <c r="M121">
        <f>VLOOKUP(B121,purchase_dataset!$B$2:$F$2241,3,FALSE)</f>
        <v>9</v>
      </c>
      <c r="N121">
        <f>VLOOKUP(B121,purchase_dataset!$B$2:$F$2241,5,FALSE)</f>
        <v>3</v>
      </c>
      <c r="O121" s="5">
        <v>59</v>
      </c>
      <c r="P121" s="4" t="str">
        <f t="shared" si="2"/>
        <v>&gt;50</v>
      </c>
      <c r="Q121" s="4">
        <f>M121+N121</f>
        <v>12</v>
      </c>
      <c r="U121" s="28" t="str" cm="1">
        <f t="array" ref="U121">_xlfn.IFS(F121&lt;30000,"30k",F121&lt;=50000,"30k-50k",F121&lt;=75000,"50k-75k",F121&lt;=100000,"75k-100k",F121&gt;100000,"100k")</f>
        <v>30k-50k</v>
      </c>
      <c r="W121" s="1">
        <f t="shared" si="3"/>
        <v>13</v>
      </c>
    </row>
    <row r="122" spans="1:23" x14ac:dyDescent="0.35">
      <c r="A122">
        <v>119</v>
      </c>
      <c r="B122">
        <v>9862</v>
      </c>
      <c r="C122">
        <v>1969</v>
      </c>
      <c r="D122" s="1" t="s">
        <v>10</v>
      </c>
      <c r="E122" s="1" t="s">
        <v>12</v>
      </c>
      <c r="F122">
        <v>21918</v>
      </c>
      <c r="G122">
        <v>1</v>
      </c>
      <c r="H122" s="2">
        <v>0</v>
      </c>
      <c r="I122" s="2">
        <v>41592</v>
      </c>
      <c r="J122">
        <v>37</v>
      </c>
      <c r="K122">
        <f>VLOOKUP(B122,purchase_dataset!$B$2:$F$2241,2,FALSE)</f>
        <v>6</v>
      </c>
      <c r="L122">
        <f>VLOOKUP(B122,purchase_dataset!$B$2:$F$2241,3,FALSE)</f>
        <v>5</v>
      </c>
      <c r="M122">
        <f>VLOOKUP(B122,purchase_dataset!$B$2:$F$2241,3,FALSE)</f>
        <v>5</v>
      </c>
      <c r="N122">
        <f>VLOOKUP(B122,purchase_dataset!$B$2:$F$2241,5,FALSE)</f>
        <v>3</v>
      </c>
      <c r="O122" s="5">
        <v>57</v>
      </c>
      <c r="P122" s="4" t="str">
        <f t="shared" si="2"/>
        <v>&gt;50</v>
      </c>
      <c r="Q122" s="4">
        <f>M122+N122</f>
        <v>8</v>
      </c>
      <c r="U122" s="28" t="str" cm="1">
        <f t="array" ref="U122">_xlfn.IFS(F122&lt;30000,"30k",F122&lt;=50000,"30k-50k",F122&lt;=75000,"50k-75k",F122&lt;=100000,"75k-100k",F122&gt;100000,"100k")</f>
        <v>30k</v>
      </c>
      <c r="W122" s="1">
        <f t="shared" si="3"/>
        <v>13</v>
      </c>
    </row>
    <row r="123" spans="1:23" x14ac:dyDescent="0.35">
      <c r="A123">
        <v>120</v>
      </c>
      <c r="B123">
        <v>9805</v>
      </c>
      <c r="C123">
        <v>1953</v>
      </c>
      <c r="D123" s="1" t="s">
        <v>15</v>
      </c>
      <c r="E123" s="1" t="s">
        <v>12</v>
      </c>
      <c r="F123">
        <v>56129</v>
      </c>
      <c r="G123">
        <v>0</v>
      </c>
      <c r="H123" s="2">
        <v>1</v>
      </c>
      <c r="I123" s="2">
        <v>41445</v>
      </c>
      <c r="J123">
        <v>65</v>
      </c>
      <c r="K123">
        <f>VLOOKUP(B123,purchase_dataset!$B$2:$F$2241,2,FALSE)</f>
        <v>48</v>
      </c>
      <c r="L123">
        <f>VLOOKUP(B123,purchase_dataset!$B$2:$F$2241,3,FALSE)</f>
        <v>72</v>
      </c>
      <c r="M123">
        <f>VLOOKUP(B123,purchase_dataset!$B$2:$F$2241,3,FALSE)</f>
        <v>72</v>
      </c>
      <c r="N123">
        <f>VLOOKUP(B123,purchase_dataset!$B$2:$F$2241,5,FALSE)</f>
        <v>10</v>
      </c>
      <c r="O123" s="5">
        <v>73</v>
      </c>
      <c r="P123" s="4" t="str">
        <f t="shared" si="2"/>
        <v>&gt;50</v>
      </c>
      <c r="Q123" s="4">
        <f>M123+N123</f>
        <v>82</v>
      </c>
      <c r="U123" s="28" t="str" cm="1">
        <f t="array" ref="U123">_xlfn.IFS(F123&lt;30000,"30k",F123&lt;=50000,"30k-50k",F123&lt;=75000,"50k-75k",F123&lt;=100000,"75k-100k",F123&gt;100000,"100k")</f>
        <v>50k-75k</v>
      </c>
      <c r="W123" s="1">
        <f t="shared" si="3"/>
        <v>13</v>
      </c>
    </row>
    <row r="124" spans="1:23" x14ac:dyDescent="0.35">
      <c r="A124">
        <v>121</v>
      </c>
      <c r="B124">
        <v>6205</v>
      </c>
      <c r="C124">
        <v>1967</v>
      </c>
      <c r="D124" s="1" t="s">
        <v>15</v>
      </c>
      <c r="E124" s="1" t="s">
        <v>11</v>
      </c>
      <c r="F124">
        <v>32557</v>
      </c>
      <c r="G124">
        <v>1</v>
      </c>
      <c r="H124" s="2">
        <v>0</v>
      </c>
      <c r="I124" s="2">
        <v>41694</v>
      </c>
      <c r="J124">
        <v>13</v>
      </c>
      <c r="K124">
        <f>VLOOKUP(B124,purchase_dataset!$B$2:$F$2241,2,FALSE)</f>
        <v>3</v>
      </c>
      <c r="L124">
        <f>VLOOKUP(B124,purchase_dataset!$B$2:$F$2241,3,FALSE)</f>
        <v>4</v>
      </c>
      <c r="M124">
        <f>VLOOKUP(B124,purchase_dataset!$B$2:$F$2241,3,FALSE)</f>
        <v>4</v>
      </c>
      <c r="N124">
        <f>VLOOKUP(B124,purchase_dataset!$B$2:$F$2241,5,FALSE)</f>
        <v>3</v>
      </c>
      <c r="O124" s="5">
        <v>59</v>
      </c>
      <c r="P124" s="4" t="str">
        <f t="shared" si="2"/>
        <v>&gt;50</v>
      </c>
      <c r="Q124" s="4">
        <f>M124+N124</f>
        <v>7</v>
      </c>
      <c r="U124" s="28" t="str" cm="1">
        <f t="array" ref="U124">_xlfn.IFS(F124&lt;30000,"30k",F124&lt;=50000,"30k-50k",F124&lt;=75000,"50k-75k",F124&lt;=100000,"75k-100k",F124&gt;100000,"100k")</f>
        <v>30k-50k</v>
      </c>
      <c r="W124" s="1">
        <f t="shared" si="3"/>
        <v>12</v>
      </c>
    </row>
    <row r="125" spans="1:23" x14ac:dyDescent="0.35">
      <c r="A125">
        <v>122</v>
      </c>
      <c r="B125">
        <v>8442</v>
      </c>
      <c r="C125">
        <v>1985</v>
      </c>
      <c r="D125" s="1" t="s">
        <v>15</v>
      </c>
      <c r="E125" s="1" t="s">
        <v>14</v>
      </c>
      <c r="F125">
        <v>19510</v>
      </c>
      <c r="G125">
        <v>2</v>
      </c>
      <c r="H125" s="2">
        <v>0</v>
      </c>
      <c r="I125" s="2">
        <v>41521</v>
      </c>
      <c r="J125">
        <v>63</v>
      </c>
      <c r="K125">
        <f>VLOOKUP(B125,purchase_dataset!$B$2:$F$2241,2,FALSE)</f>
        <v>0</v>
      </c>
      <c r="L125">
        <f>VLOOKUP(B125,purchase_dataset!$B$2:$F$2241,3,FALSE)</f>
        <v>4</v>
      </c>
      <c r="M125">
        <f>VLOOKUP(B125,purchase_dataset!$B$2:$F$2241,3,FALSE)</f>
        <v>4</v>
      </c>
      <c r="N125">
        <f>VLOOKUP(B125,purchase_dataset!$B$2:$F$2241,5,FALSE)</f>
        <v>3</v>
      </c>
      <c r="O125" s="5">
        <v>41</v>
      </c>
      <c r="P125" s="4" t="str">
        <f t="shared" si="2"/>
        <v>30-50</v>
      </c>
      <c r="Q125" s="4">
        <f>M125+N125</f>
        <v>7</v>
      </c>
      <c r="U125" s="28" t="str" cm="1">
        <f t="array" ref="U125">_xlfn.IFS(F125&lt;30000,"30k",F125&lt;=50000,"30k-50k",F125&lt;=75000,"50k-75k",F125&lt;=100000,"75k-100k",F125&gt;100000,"100k")</f>
        <v>30k</v>
      </c>
      <c r="W125" s="1">
        <f t="shared" si="3"/>
        <v>13</v>
      </c>
    </row>
    <row r="126" spans="1:23" x14ac:dyDescent="0.35">
      <c r="A126">
        <v>123</v>
      </c>
      <c r="B126">
        <v>7386</v>
      </c>
      <c r="C126">
        <v>1976</v>
      </c>
      <c r="D126" s="1" t="s">
        <v>10</v>
      </c>
      <c r="E126" s="1" t="s">
        <v>16</v>
      </c>
      <c r="F126">
        <v>30992</v>
      </c>
      <c r="G126">
        <v>1</v>
      </c>
      <c r="H126" s="2">
        <v>0</v>
      </c>
      <c r="I126" s="2">
        <v>41386</v>
      </c>
      <c r="J126">
        <v>83</v>
      </c>
      <c r="K126">
        <f>VLOOKUP(B126,purchase_dataset!$B$2:$F$2241,2,FALSE)</f>
        <v>0</v>
      </c>
      <c r="L126">
        <f>VLOOKUP(B126,purchase_dataset!$B$2:$F$2241,3,FALSE)</f>
        <v>3</v>
      </c>
      <c r="M126">
        <f>VLOOKUP(B126,purchase_dataset!$B$2:$F$2241,3,FALSE)</f>
        <v>3</v>
      </c>
      <c r="N126">
        <f>VLOOKUP(B126,purchase_dataset!$B$2:$F$2241,5,FALSE)</f>
        <v>3</v>
      </c>
      <c r="O126" s="5">
        <v>50</v>
      </c>
      <c r="P126" s="4" t="str">
        <f t="shared" si="2"/>
        <v>30-50</v>
      </c>
      <c r="Q126" s="4">
        <f>M126+N126</f>
        <v>6</v>
      </c>
      <c r="U126" s="28" t="str" cm="1">
        <f t="array" ref="U126">_xlfn.IFS(F126&lt;30000,"30k",F126&lt;=50000,"30k-50k",F126&lt;=75000,"50k-75k",F126&lt;=100000,"75k-100k",F126&gt;100000,"100k")</f>
        <v>30k-50k</v>
      </c>
      <c r="W126" s="1">
        <f t="shared" si="3"/>
        <v>13</v>
      </c>
    </row>
    <row r="127" spans="1:23" x14ac:dyDescent="0.35">
      <c r="A127">
        <v>124</v>
      </c>
      <c r="B127">
        <v>7215</v>
      </c>
      <c r="C127">
        <v>1983</v>
      </c>
      <c r="D127" s="1" t="s">
        <v>10</v>
      </c>
      <c r="E127" s="1" t="s">
        <v>11</v>
      </c>
      <c r="F127">
        <v>101970</v>
      </c>
      <c r="G127">
        <v>0</v>
      </c>
      <c r="H127" s="2">
        <v>0</v>
      </c>
      <c r="I127" s="2">
        <v>41345</v>
      </c>
      <c r="J127">
        <v>69</v>
      </c>
      <c r="K127">
        <f>VLOOKUP(B127,purchase_dataset!$B$2:$F$2241,2,FALSE)</f>
        <v>27</v>
      </c>
      <c r="L127">
        <f>VLOOKUP(B127,purchase_dataset!$B$2:$F$2241,3,FALSE)</f>
        <v>72</v>
      </c>
      <c r="M127">
        <f>VLOOKUP(B127,purchase_dataset!$B$2:$F$2241,3,FALSE)</f>
        <v>72</v>
      </c>
      <c r="N127">
        <f>VLOOKUP(B127,purchase_dataset!$B$2:$F$2241,5,FALSE)</f>
        <v>13</v>
      </c>
      <c r="O127" s="5">
        <v>43</v>
      </c>
      <c r="P127" s="4" t="str">
        <f t="shared" si="2"/>
        <v>30-50</v>
      </c>
      <c r="Q127" s="4">
        <f>M127+N127</f>
        <v>85</v>
      </c>
      <c r="U127" s="28" t="str" cm="1">
        <f t="array" ref="U127">_xlfn.IFS(F127&lt;30000,"30k",F127&lt;=50000,"30k-50k",F127&lt;=75000,"50k-75k",F127&lt;=100000,"75k-100k",F127&gt;100000,"100k")</f>
        <v>100k</v>
      </c>
      <c r="W127" s="1">
        <f t="shared" si="3"/>
        <v>13</v>
      </c>
    </row>
    <row r="128" spans="1:23" x14ac:dyDescent="0.35">
      <c r="A128">
        <v>125</v>
      </c>
      <c r="B128">
        <v>1491</v>
      </c>
      <c r="C128">
        <v>1965</v>
      </c>
      <c r="D128" s="1" t="s">
        <v>18</v>
      </c>
      <c r="E128" s="1" t="s">
        <v>12</v>
      </c>
      <c r="F128">
        <v>71488</v>
      </c>
      <c r="G128">
        <v>0</v>
      </c>
      <c r="H128" s="2">
        <v>0</v>
      </c>
      <c r="I128" s="2">
        <v>41323</v>
      </c>
      <c r="J128">
        <v>87</v>
      </c>
      <c r="K128">
        <f>VLOOKUP(B128,purchase_dataset!$B$2:$F$2241,2,FALSE)</f>
        <v>33</v>
      </c>
      <c r="L128">
        <f>VLOOKUP(B128,purchase_dataset!$B$2:$F$2241,3,FALSE)</f>
        <v>28</v>
      </c>
      <c r="M128">
        <f>VLOOKUP(B128,purchase_dataset!$B$2:$F$2241,3,FALSE)</f>
        <v>28</v>
      </c>
      <c r="N128">
        <f>VLOOKUP(B128,purchase_dataset!$B$2:$F$2241,5,FALSE)</f>
        <v>7</v>
      </c>
      <c r="O128" s="5">
        <v>61</v>
      </c>
      <c r="P128" s="4" t="str">
        <f t="shared" si="2"/>
        <v>&gt;50</v>
      </c>
      <c r="Q128" s="4">
        <f>M128+N128</f>
        <v>35</v>
      </c>
      <c r="U128" s="28" t="str" cm="1">
        <f t="array" ref="U128">_xlfn.IFS(F128&lt;30000,"30k",F128&lt;=50000,"30k-50k",F128&lt;=75000,"50k-75k",F128&lt;=100000,"75k-100k",F128&gt;100000,"100k")</f>
        <v>50k-75k</v>
      </c>
      <c r="W128" s="1">
        <f t="shared" si="3"/>
        <v>13</v>
      </c>
    </row>
    <row r="129" spans="1:23" x14ac:dyDescent="0.35">
      <c r="A129">
        <v>126</v>
      </c>
      <c r="B129">
        <v>11071</v>
      </c>
      <c r="C129">
        <v>1984</v>
      </c>
      <c r="D129" s="1" t="s">
        <v>10</v>
      </c>
      <c r="E129" s="1" t="s">
        <v>11</v>
      </c>
      <c r="F129">
        <v>79607</v>
      </c>
      <c r="G129">
        <v>0</v>
      </c>
      <c r="H129" s="2">
        <v>0</v>
      </c>
      <c r="I129" s="2">
        <v>41385</v>
      </c>
      <c r="J129">
        <v>37</v>
      </c>
      <c r="K129">
        <f>VLOOKUP(B129,purchase_dataset!$B$2:$F$2241,2,FALSE)</f>
        <v>133</v>
      </c>
      <c r="L129">
        <f>VLOOKUP(B129,purchase_dataset!$B$2:$F$2241,3,FALSE)</f>
        <v>0</v>
      </c>
      <c r="M129">
        <f>VLOOKUP(B129,purchase_dataset!$B$2:$F$2241,3,FALSE)</f>
        <v>0</v>
      </c>
      <c r="N129">
        <f>VLOOKUP(B129,purchase_dataset!$B$2:$F$2241,5,FALSE)</f>
        <v>6</v>
      </c>
      <c r="O129" s="5">
        <v>42</v>
      </c>
      <c r="P129" s="4" t="str">
        <f t="shared" si="2"/>
        <v>30-50</v>
      </c>
      <c r="Q129" s="4">
        <f>M129+N129</f>
        <v>6</v>
      </c>
      <c r="U129" s="28" t="str" cm="1">
        <f t="array" ref="U129">_xlfn.IFS(F129&lt;30000,"30k",F129&lt;=50000,"30k-50k",F129&lt;=75000,"50k-75k",F129&lt;=100000,"75k-100k",F129&gt;100000,"100k")</f>
        <v>75k-100k</v>
      </c>
      <c r="W129" s="1">
        <f t="shared" si="3"/>
        <v>13</v>
      </c>
    </row>
    <row r="130" spans="1:23" x14ac:dyDescent="0.35">
      <c r="A130">
        <v>127</v>
      </c>
      <c r="B130">
        <v>3381</v>
      </c>
      <c r="C130">
        <v>1953</v>
      </c>
      <c r="D130" s="1" t="s">
        <v>15</v>
      </c>
      <c r="E130" s="1" t="s">
        <v>14</v>
      </c>
      <c r="F130">
        <v>54348</v>
      </c>
      <c r="G130">
        <v>1</v>
      </c>
      <c r="H130" s="2">
        <v>1</v>
      </c>
      <c r="I130" s="2">
        <v>41798</v>
      </c>
      <c r="J130">
        <v>51</v>
      </c>
      <c r="K130">
        <f>VLOOKUP(B130,purchase_dataset!$B$2:$F$2241,2,FALSE)</f>
        <v>0</v>
      </c>
      <c r="L130">
        <f>VLOOKUP(B130,purchase_dataset!$B$2:$F$2241,3,FALSE)</f>
        <v>0</v>
      </c>
      <c r="M130">
        <f>VLOOKUP(B130,purchase_dataset!$B$2:$F$2241,3,FALSE)</f>
        <v>0</v>
      </c>
      <c r="N130">
        <f>VLOOKUP(B130,purchase_dataset!$B$2:$F$2241,5,FALSE)</f>
        <v>4</v>
      </c>
      <c r="O130" s="5">
        <v>73</v>
      </c>
      <c r="P130" s="4" t="str">
        <f t="shared" si="2"/>
        <v>&gt;50</v>
      </c>
      <c r="Q130" s="4">
        <f>M130+N130</f>
        <v>4</v>
      </c>
      <c r="U130" s="28" t="str" cm="1">
        <f t="array" ref="U130">_xlfn.IFS(F130&lt;30000,"30k",F130&lt;=50000,"30k-50k",F130&lt;=75000,"50k-75k",F130&lt;=100000,"75k-100k",F130&gt;100000,"100k")</f>
        <v>50k-75k</v>
      </c>
      <c r="W130" s="1">
        <f t="shared" si="3"/>
        <v>12</v>
      </c>
    </row>
    <row r="131" spans="1:23" x14ac:dyDescent="0.35">
      <c r="A131">
        <v>128</v>
      </c>
      <c r="B131">
        <v>8268</v>
      </c>
      <c r="C131">
        <v>1961</v>
      </c>
      <c r="D131" s="1" t="s">
        <v>13</v>
      </c>
      <c r="E131" s="1" t="s">
        <v>14</v>
      </c>
      <c r="G131">
        <v>0</v>
      </c>
      <c r="H131" s="2">
        <v>1</v>
      </c>
      <c r="I131" s="2">
        <v>41466</v>
      </c>
      <c r="J131">
        <v>23</v>
      </c>
      <c r="K131">
        <f>VLOOKUP(B131,purchase_dataset!$B$2:$F$2241,2,FALSE)</f>
        <v>0</v>
      </c>
      <c r="L131">
        <f>VLOOKUP(B131,purchase_dataset!$B$2:$F$2241,3,FALSE)</f>
        <v>0</v>
      </c>
      <c r="M131">
        <f>VLOOKUP(B131,purchase_dataset!$B$2:$F$2241,3,FALSE)</f>
        <v>0</v>
      </c>
      <c r="N131">
        <f>VLOOKUP(B131,purchase_dataset!$B$2:$F$2241,5,FALSE)</f>
        <v>7</v>
      </c>
      <c r="O131" s="5">
        <v>65</v>
      </c>
      <c r="P131" s="4" t="str">
        <f t="shared" si="2"/>
        <v>&gt;50</v>
      </c>
      <c r="Q131" s="4">
        <f>M131+N131</f>
        <v>7</v>
      </c>
      <c r="U131" s="28" t="str" cm="1">
        <f t="array" ref="U131">_xlfn.IFS(F131&lt;30000,"30k",F131&lt;=50000,"30k-50k",F131&lt;=75000,"50k-75k",F131&lt;=100000,"75k-100k",F131&gt;100000,"100k")</f>
        <v>30k</v>
      </c>
      <c r="W131" s="1">
        <f t="shared" si="3"/>
        <v>13</v>
      </c>
    </row>
    <row r="132" spans="1:23" x14ac:dyDescent="0.35">
      <c r="A132">
        <v>129</v>
      </c>
      <c r="B132">
        <v>11051</v>
      </c>
      <c r="C132">
        <v>1956</v>
      </c>
      <c r="D132" s="1" t="s">
        <v>13</v>
      </c>
      <c r="E132" s="1" t="s">
        <v>12</v>
      </c>
      <c r="F132">
        <v>77376</v>
      </c>
      <c r="G132">
        <v>1</v>
      </c>
      <c r="H132" s="2">
        <v>1</v>
      </c>
      <c r="I132" s="2">
        <v>41769</v>
      </c>
      <c r="J132">
        <v>72</v>
      </c>
      <c r="K132">
        <f>VLOOKUP(B132,purchase_dataset!$B$2:$F$2241,2,FALSE)</f>
        <v>19</v>
      </c>
      <c r="L132">
        <f>VLOOKUP(B132,purchase_dataset!$B$2:$F$2241,3,FALSE)</f>
        <v>12</v>
      </c>
      <c r="M132">
        <f>VLOOKUP(B132,purchase_dataset!$B$2:$F$2241,3,FALSE)</f>
        <v>12</v>
      </c>
      <c r="N132">
        <f>VLOOKUP(B132,purchase_dataset!$B$2:$F$2241,5,FALSE)</f>
        <v>10</v>
      </c>
      <c r="O132" s="5">
        <v>70</v>
      </c>
      <c r="P132" s="4" t="str">
        <f t="shared" ref="P132:P195" si="4">IF(O132&lt;30,"30",IF(O132&lt;=50,"30-50","&gt;50"))</f>
        <v>&gt;50</v>
      </c>
      <c r="Q132" s="4">
        <f>M132+N132</f>
        <v>22</v>
      </c>
      <c r="U132" s="28" t="str" cm="1">
        <f t="array" ref="U132">_xlfn.IFS(F132&lt;30000,"30k",F132&lt;=50000,"30k-50k",F132&lt;=75000,"50k-75k",F132&lt;=100000,"75k-100k",F132&gt;100000,"100k")</f>
        <v>75k-100k</v>
      </c>
      <c r="W132" s="1">
        <f t="shared" ref="W132:W195" si="5">2026-YEAR(I132)</f>
        <v>12</v>
      </c>
    </row>
    <row r="133" spans="1:23" x14ac:dyDescent="0.35">
      <c r="A133">
        <v>130</v>
      </c>
      <c r="B133">
        <v>8026</v>
      </c>
      <c r="C133">
        <v>1952</v>
      </c>
      <c r="D133" s="1" t="s">
        <v>10</v>
      </c>
      <c r="E133" s="1" t="s">
        <v>14</v>
      </c>
      <c r="F133">
        <v>62998</v>
      </c>
      <c r="G133">
        <v>0</v>
      </c>
      <c r="H133" s="2">
        <v>1</v>
      </c>
      <c r="I133" s="2">
        <v>41547</v>
      </c>
      <c r="J133">
        <v>10</v>
      </c>
      <c r="K133">
        <f>VLOOKUP(B133,purchase_dataset!$B$2:$F$2241,2,FALSE)</f>
        <v>58</v>
      </c>
      <c r="L133">
        <f>VLOOKUP(B133,purchase_dataset!$B$2:$F$2241,3,FALSE)</f>
        <v>89</v>
      </c>
      <c r="M133">
        <f>VLOOKUP(B133,purchase_dataset!$B$2:$F$2241,3,FALSE)</f>
        <v>89</v>
      </c>
      <c r="N133">
        <f>VLOOKUP(B133,purchase_dataset!$B$2:$F$2241,5,FALSE)</f>
        <v>5</v>
      </c>
      <c r="O133" s="5">
        <v>74</v>
      </c>
      <c r="P133" s="4" t="str">
        <f t="shared" si="4"/>
        <v>&gt;50</v>
      </c>
      <c r="Q133" s="4">
        <f>M133+N133</f>
        <v>94</v>
      </c>
      <c r="U133" s="28" t="str" cm="1">
        <f t="array" ref="U133">_xlfn.IFS(F133&lt;30000,"30k",F133&lt;=50000,"30k-50k",F133&lt;=75000,"50k-75k",F133&lt;=100000,"75k-100k",F133&gt;100000,"100k")</f>
        <v>50k-75k</v>
      </c>
      <c r="W133" s="1">
        <f t="shared" si="5"/>
        <v>13</v>
      </c>
    </row>
    <row r="134" spans="1:23" x14ac:dyDescent="0.35">
      <c r="A134">
        <v>131</v>
      </c>
      <c r="B134">
        <v>433</v>
      </c>
      <c r="C134">
        <v>1958</v>
      </c>
      <c r="D134" s="1" t="s">
        <v>15</v>
      </c>
      <c r="E134" s="1" t="s">
        <v>20</v>
      </c>
      <c r="F134">
        <v>61331</v>
      </c>
      <c r="G134">
        <v>1</v>
      </c>
      <c r="H134" s="2">
        <v>1</v>
      </c>
      <c r="I134" s="2">
        <v>41343</v>
      </c>
      <c r="J134">
        <v>42</v>
      </c>
      <c r="K134">
        <f>VLOOKUP(B134,purchase_dataset!$B$2:$F$2241,2,FALSE)</f>
        <v>5</v>
      </c>
      <c r="L134">
        <f>VLOOKUP(B134,purchase_dataset!$B$2:$F$2241,3,FALSE)</f>
        <v>5</v>
      </c>
      <c r="M134">
        <f>VLOOKUP(B134,purchase_dataset!$B$2:$F$2241,3,FALSE)</f>
        <v>5</v>
      </c>
      <c r="N134">
        <f>VLOOKUP(B134,purchase_dataset!$B$2:$F$2241,5,FALSE)</f>
        <v>6</v>
      </c>
      <c r="O134" s="5">
        <v>68</v>
      </c>
      <c r="P134" s="4" t="str">
        <f t="shared" si="4"/>
        <v>&gt;50</v>
      </c>
      <c r="Q134" s="4">
        <f>M134+N134</f>
        <v>11</v>
      </c>
      <c r="U134" s="28" t="str" cm="1">
        <f t="array" ref="U134">_xlfn.IFS(F134&lt;30000,"30k",F134&lt;=50000,"30k-50k",F134&lt;=75000,"50k-75k",F134&lt;=100000,"75k-100k",F134&gt;100000,"100k")</f>
        <v>50k-75k</v>
      </c>
      <c r="W134" s="1">
        <f t="shared" si="5"/>
        <v>13</v>
      </c>
    </row>
    <row r="135" spans="1:23" x14ac:dyDescent="0.35">
      <c r="A135">
        <v>132</v>
      </c>
      <c r="B135">
        <v>9597</v>
      </c>
      <c r="C135">
        <v>1969</v>
      </c>
      <c r="D135" s="1" t="s">
        <v>10</v>
      </c>
      <c r="E135" s="1" t="s">
        <v>14</v>
      </c>
      <c r="F135">
        <v>73448</v>
      </c>
      <c r="G135">
        <v>0</v>
      </c>
      <c r="H135" s="2">
        <v>0</v>
      </c>
      <c r="I135" s="2">
        <v>41680</v>
      </c>
      <c r="J135">
        <v>10</v>
      </c>
      <c r="K135">
        <f>VLOOKUP(B135,purchase_dataset!$B$2:$F$2241,2,FALSE)</f>
        <v>106</v>
      </c>
      <c r="L135">
        <f>VLOOKUP(B135,purchase_dataset!$B$2:$F$2241,3,FALSE)</f>
        <v>41</v>
      </c>
      <c r="M135">
        <f>VLOOKUP(B135,purchase_dataset!$B$2:$F$2241,3,FALSE)</f>
        <v>41</v>
      </c>
      <c r="N135">
        <f>VLOOKUP(B135,purchase_dataset!$B$2:$F$2241,5,FALSE)</f>
        <v>9</v>
      </c>
      <c r="O135" s="5">
        <v>57</v>
      </c>
      <c r="P135" s="4" t="str">
        <f t="shared" si="4"/>
        <v>&gt;50</v>
      </c>
      <c r="Q135" s="4">
        <f>M135+N135</f>
        <v>50</v>
      </c>
      <c r="U135" s="28" t="str" cm="1">
        <f t="array" ref="U135">_xlfn.IFS(F135&lt;30000,"30k",F135&lt;=50000,"30k-50k",F135&lt;=75000,"50k-75k",F135&lt;=100000,"75k-100k",F135&gt;100000,"100k")</f>
        <v>50k-75k</v>
      </c>
      <c r="W135" s="1">
        <f t="shared" si="5"/>
        <v>12</v>
      </c>
    </row>
    <row r="136" spans="1:23" x14ac:dyDescent="0.35">
      <c r="A136">
        <v>133</v>
      </c>
      <c r="B136">
        <v>1295</v>
      </c>
      <c r="C136">
        <v>1963</v>
      </c>
      <c r="D136" s="1" t="s">
        <v>10</v>
      </c>
      <c r="E136" s="1" t="s">
        <v>14</v>
      </c>
      <c r="G136">
        <v>0</v>
      </c>
      <c r="H136" s="2">
        <v>1</v>
      </c>
      <c r="I136" s="2">
        <v>41497</v>
      </c>
      <c r="J136">
        <v>96</v>
      </c>
      <c r="K136">
        <f>VLOOKUP(B136,purchase_dataset!$B$2:$F$2241,2,FALSE)</f>
        <v>65</v>
      </c>
      <c r="L136">
        <f>VLOOKUP(B136,purchase_dataset!$B$2:$F$2241,3,FALSE)</f>
        <v>71</v>
      </c>
      <c r="M136">
        <f>VLOOKUP(B136,purchase_dataset!$B$2:$F$2241,3,FALSE)</f>
        <v>71</v>
      </c>
      <c r="N136">
        <f>VLOOKUP(B136,purchase_dataset!$B$2:$F$2241,5,FALSE)</f>
        <v>7</v>
      </c>
      <c r="O136" s="5">
        <v>63</v>
      </c>
      <c r="P136" s="4" t="str">
        <f t="shared" si="4"/>
        <v>&gt;50</v>
      </c>
      <c r="Q136" s="4">
        <f>M136+N136</f>
        <v>78</v>
      </c>
      <c r="U136" s="28" t="str" cm="1">
        <f t="array" ref="U136">_xlfn.IFS(F136&lt;30000,"30k",F136&lt;=50000,"30k-50k",F136&lt;=75000,"50k-75k",F136&lt;=100000,"75k-100k",F136&gt;100000,"100k")</f>
        <v>30k</v>
      </c>
      <c r="W136" s="1">
        <f t="shared" si="5"/>
        <v>13</v>
      </c>
    </row>
    <row r="137" spans="1:23" x14ac:dyDescent="0.35">
      <c r="A137">
        <v>134</v>
      </c>
      <c r="B137">
        <v>5290</v>
      </c>
      <c r="C137">
        <v>1964</v>
      </c>
      <c r="D137" s="1" t="s">
        <v>13</v>
      </c>
      <c r="E137" s="1" t="s">
        <v>14</v>
      </c>
      <c r="F137">
        <v>41551</v>
      </c>
      <c r="G137">
        <v>1</v>
      </c>
      <c r="H137" s="2">
        <v>1</v>
      </c>
      <c r="I137" s="2">
        <v>41500</v>
      </c>
      <c r="J137">
        <v>51</v>
      </c>
      <c r="K137">
        <f>VLOOKUP(B137,purchase_dataset!$B$2:$F$2241,2,FALSE)</f>
        <v>0</v>
      </c>
      <c r="L137">
        <f>VLOOKUP(B137,purchase_dataset!$B$2:$F$2241,3,FALSE)</f>
        <v>0</v>
      </c>
      <c r="M137">
        <f>VLOOKUP(B137,purchase_dataset!$B$2:$F$2241,3,FALSE)</f>
        <v>0</v>
      </c>
      <c r="N137">
        <f>VLOOKUP(B137,purchase_dataset!$B$2:$F$2241,5,FALSE)</f>
        <v>5</v>
      </c>
      <c r="O137" s="5">
        <v>62</v>
      </c>
      <c r="P137" s="4" t="str">
        <f t="shared" si="4"/>
        <v>&gt;50</v>
      </c>
      <c r="Q137" s="4">
        <f>M137+N137</f>
        <v>5</v>
      </c>
      <c r="U137" s="28" t="str" cm="1">
        <f t="array" ref="U137">_xlfn.IFS(F137&lt;30000,"30k",F137&lt;=50000,"30k-50k",F137&lt;=75000,"50k-75k",F137&lt;=100000,"75k-100k",F137&gt;100000,"100k")</f>
        <v>30k-50k</v>
      </c>
      <c r="W137" s="1">
        <f t="shared" si="5"/>
        <v>13</v>
      </c>
    </row>
    <row r="138" spans="1:23" x14ac:dyDescent="0.35">
      <c r="A138">
        <v>135</v>
      </c>
      <c r="B138">
        <v>1685</v>
      </c>
      <c r="C138">
        <v>1967</v>
      </c>
      <c r="D138" s="1" t="s">
        <v>13</v>
      </c>
      <c r="E138" s="1" t="s">
        <v>12</v>
      </c>
      <c r="F138">
        <v>62981</v>
      </c>
      <c r="G138">
        <v>0</v>
      </c>
      <c r="H138" s="2">
        <v>0</v>
      </c>
      <c r="I138" s="2">
        <v>41350</v>
      </c>
      <c r="J138">
        <v>21</v>
      </c>
      <c r="K138">
        <f>VLOOKUP(B138,purchase_dataset!$B$2:$F$2241,2,FALSE)</f>
        <v>14</v>
      </c>
      <c r="L138">
        <f>VLOOKUP(B138,purchase_dataset!$B$2:$F$2241,3,FALSE)</f>
        <v>44</v>
      </c>
      <c r="M138">
        <f>VLOOKUP(B138,purchase_dataset!$B$2:$F$2241,3,FALSE)</f>
        <v>44</v>
      </c>
      <c r="N138">
        <f>VLOOKUP(B138,purchase_dataset!$B$2:$F$2241,5,FALSE)</f>
        <v>13</v>
      </c>
      <c r="O138" s="5">
        <v>59</v>
      </c>
      <c r="P138" s="4" t="str">
        <f t="shared" si="4"/>
        <v>&gt;50</v>
      </c>
      <c r="Q138" s="4">
        <f>M138+N138</f>
        <v>57</v>
      </c>
      <c r="U138" s="28" t="str" cm="1">
        <f t="array" ref="U138">_xlfn.IFS(F138&lt;30000,"30k",F138&lt;=50000,"30k-50k",F138&lt;=75000,"50k-75k",F138&lt;=100000,"75k-100k",F138&gt;100000,"100k")</f>
        <v>50k-75k</v>
      </c>
      <c r="W138" s="1">
        <f t="shared" si="5"/>
        <v>13</v>
      </c>
    </row>
    <row r="139" spans="1:23" x14ac:dyDescent="0.35">
      <c r="A139">
        <v>136</v>
      </c>
      <c r="B139">
        <v>5342</v>
      </c>
      <c r="C139">
        <v>1976</v>
      </c>
      <c r="D139" s="1" t="s">
        <v>17</v>
      </c>
      <c r="E139" s="1" t="s">
        <v>16</v>
      </c>
      <c r="F139">
        <v>9548</v>
      </c>
      <c r="G139">
        <v>1</v>
      </c>
      <c r="H139" s="2">
        <v>0</v>
      </c>
      <c r="I139" s="2">
        <v>41129</v>
      </c>
      <c r="J139">
        <v>31</v>
      </c>
      <c r="K139">
        <f>VLOOKUP(B139,purchase_dataset!$B$2:$F$2241,2,FALSE)</f>
        <v>1</v>
      </c>
      <c r="L139">
        <f>VLOOKUP(B139,purchase_dataset!$B$2:$F$2241,3,FALSE)</f>
        <v>6</v>
      </c>
      <c r="M139">
        <f>VLOOKUP(B139,purchase_dataset!$B$2:$F$2241,3,FALSE)</f>
        <v>6</v>
      </c>
      <c r="N139">
        <f>VLOOKUP(B139,purchase_dataset!$B$2:$F$2241,5,FALSE)</f>
        <v>3</v>
      </c>
      <c r="O139" s="5">
        <v>50</v>
      </c>
      <c r="P139" s="4" t="str">
        <f t="shared" si="4"/>
        <v>30-50</v>
      </c>
      <c r="Q139" s="4">
        <f>M139+N139</f>
        <v>9</v>
      </c>
      <c r="U139" s="28" t="str" cm="1">
        <f t="array" ref="U139">_xlfn.IFS(F139&lt;30000,"30k",F139&lt;=50000,"30k-50k",F139&lt;=75000,"50k-75k",F139&lt;=100000,"75k-100k",F139&gt;100000,"100k")</f>
        <v>30k</v>
      </c>
      <c r="W139" s="1">
        <f t="shared" si="5"/>
        <v>14</v>
      </c>
    </row>
    <row r="140" spans="1:23" x14ac:dyDescent="0.35">
      <c r="A140">
        <v>137</v>
      </c>
      <c r="B140">
        <v>9579</v>
      </c>
      <c r="C140">
        <v>1959</v>
      </c>
      <c r="D140" s="1" t="s">
        <v>13</v>
      </c>
      <c r="E140" s="1" t="s">
        <v>14</v>
      </c>
      <c r="F140">
        <v>33762</v>
      </c>
      <c r="G140">
        <v>2</v>
      </c>
      <c r="H140" s="2">
        <v>1</v>
      </c>
      <c r="I140" s="2">
        <v>41462</v>
      </c>
      <c r="J140">
        <v>61</v>
      </c>
      <c r="K140">
        <f>VLOOKUP(B140,purchase_dataset!$B$2:$F$2241,2,FALSE)</f>
        <v>1</v>
      </c>
      <c r="L140">
        <f>VLOOKUP(B140,purchase_dataset!$B$2:$F$2241,3,FALSE)</f>
        <v>0</v>
      </c>
      <c r="M140">
        <f>VLOOKUP(B140,purchase_dataset!$B$2:$F$2241,3,FALSE)</f>
        <v>0</v>
      </c>
      <c r="N140">
        <f>VLOOKUP(B140,purchase_dataset!$B$2:$F$2241,5,FALSE)</f>
        <v>2</v>
      </c>
      <c r="O140" s="5">
        <v>67</v>
      </c>
      <c r="P140" s="4" t="str">
        <f t="shared" si="4"/>
        <v>&gt;50</v>
      </c>
      <c r="Q140" s="4">
        <f>M140+N140</f>
        <v>2</v>
      </c>
      <c r="U140" s="28" t="str" cm="1">
        <f t="array" ref="U140">_xlfn.IFS(F140&lt;30000,"30k",F140&lt;=50000,"30k-50k",F140&lt;=75000,"50k-75k",F140&lt;=100000,"75k-100k",F140&gt;100000,"100k")</f>
        <v>30k-50k</v>
      </c>
      <c r="W140" s="1">
        <f t="shared" si="5"/>
        <v>13</v>
      </c>
    </row>
    <row r="141" spans="1:23" x14ac:dyDescent="0.35">
      <c r="A141">
        <v>138</v>
      </c>
      <c r="B141">
        <v>7660</v>
      </c>
      <c r="C141">
        <v>1973</v>
      </c>
      <c r="D141" s="1" t="s">
        <v>13</v>
      </c>
      <c r="E141" s="1" t="s">
        <v>20</v>
      </c>
      <c r="F141">
        <v>35860</v>
      </c>
      <c r="G141">
        <v>1</v>
      </c>
      <c r="H141" s="2">
        <v>1</v>
      </c>
      <c r="I141" s="2">
        <v>41778</v>
      </c>
      <c r="J141">
        <v>37</v>
      </c>
      <c r="K141">
        <f>VLOOKUP(B141,purchase_dataset!$B$2:$F$2241,2,FALSE)</f>
        <v>0</v>
      </c>
      <c r="L141">
        <f>VLOOKUP(B141,purchase_dataset!$B$2:$F$2241,3,FALSE)</f>
        <v>2</v>
      </c>
      <c r="M141">
        <f>VLOOKUP(B141,purchase_dataset!$B$2:$F$2241,3,FALSE)</f>
        <v>2</v>
      </c>
      <c r="N141">
        <f>VLOOKUP(B141,purchase_dataset!$B$2:$F$2241,5,FALSE)</f>
        <v>2</v>
      </c>
      <c r="O141" s="5">
        <v>53</v>
      </c>
      <c r="P141" s="4" t="str">
        <f t="shared" si="4"/>
        <v>&gt;50</v>
      </c>
      <c r="Q141" s="4">
        <f>M141+N141</f>
        <v>4</v>
      </c>
      <c r="U141" s="28" t="str" cm="1">
        <f t="array" ref="U141">_xlfn.IFS(F141&lt;30000,"30k",F141&lt;=50000,"30k-50k",F141&lt;=75000,"50k-75k",F141&lt;=100000,"75k-100k",F141&gt;100000,"100k")</f>
        <v>30k-50k</v>
      </c>
      <c r="W141" s="1">
        <f t="shared" si="5"/>
        <v>12</v>
      </c>
    </row>
    <row r="142" spans="1:23" x14ac:dyDescent="0.35">
      <c r="A142">
        <v>139</v>
      </c>
      <c r="B142">
        <v>1461</v>
      </c>
      <c r="C142">
        <v>1965</v>
      </c>
      <c r="D142" s="1" t="s">
        <v>13</v>
      </c>
      <c r="E142" s="1" t="s">
        <v>16</v>
      </c>
      <c r="F142">
        <v>36921</v>
      </c>
      <c r="G142">
        <v>1</v>
      </c>
      <c r="H142" s="2">
        <v>1</v>
      </c>
      <c r="I142" s="2">
        <v>41483</v>
      </c>
      <c r="J142">
        <v>74</v>
      </c>
      <c r="K142">
        <f>VLOOKUP(B142,purchase_dataset!$B$2:$F$2241,2,FALSE)</f>
        <v>1</v>
      </c>
      <c r="L142">
        <f>VLOOKUP(B142,purchase_dataset!$B$2:$F$2241,3,FALSE)</f>
        <v>1</v>
      </c>
      <c r="M142">
        <f>VLOOKUP(B142,purchase_dataset!$B$2:$F$2241,3,FALSE)</f>
        <v>1</v>
      </c>
      <c r="N142">
        <f>VLOOKUP(B142,purchase_dataset!$B$2:$F$2241,5,FALSE)</f>
        <v>3</v>
      </c>
      <c r="O142" s="5">
        <v>61</v>
      </c>
      <c r="P142" s="4" t="str">
        <f t="shared" si="4"/>
        <v>&gt;50</v>
      </c>
      <c r="Q142" s="4">
        <f>M142+N142</f>
        <v>4</v>
      </c>
      <c r="U142" s="28" t="str" cm="1">
        <f t="array" ref="U142">_xlfn.IFS(F142&lt;30000,"30k",F142&lt;=50000,"30k-50k",F142&lt;=75000,"50k-75k",F142&lt;=100000,"75k-100k",F142&gt;100000,"100k")</f>
        <v>30k-50k</v>
      </c>
      <c r="W142" s="1">
        <f t="shared" si="5"/>
        <v>13</v>
      </c>
    </row>
    <row r="143" spans="1:23" x14ac:dyDescent="0.35">
      <c r="A143">
        <v>140</v>
      </c>
      <c r="B143">
        <v>821</v>
      </c>
      <c r="C143">
        <v>1992</v>
      </c>
      <c r="D143" s="1" t="s">
        <v>15</v>
      </c>
      <c r="E143" s="1" t="s">
        <v>11</v>
      </c>
      <c r="F143">
        <v>92859</v>
      </c>
      <c r="G143">
        <v>0</v>
      </c>
      <c r="H143" s="2">
        <v>0</v>
      </c>
      <c r="I143" s="2">
        <v>41201</v>
      </c>
      <c r="J143">
        <v>46</v>
      </c>
      <c r="K143">
        <f>VLOOKUP(B143,purchase_dataset!$B$2:$F$2241,2,FALSE)</f>
        <v>61</v>
      </c>
      <c r="L143">
        <f>VLOOKUP(B143,purchase_dataset!$B$2:$F$2241,3,FALSE)</f>
        <v>61</v>
      </c>
      <c r="M143">
        <f>VLOOKUP(B143,purchase_dataset!$B$2:$F$2241,3,FALSE)</f>
        <v>61</v>
      </c>
      <c r="N143">
        <f>VLOOKUP(B143,purchase_dataset!$B$2:$F$2241,5,FALSE)</f>
        <v>12</v>
      </c>
      <c r="O143" s="5">
        <v>34</v>
      </c>
      <c r="P143" s="4" t="str">
        <f t="shared" si="4"/>
        <v>30-50</v>
      </c>
      <c r="Q143" s="4">
        <f>M143+N143</f>
        <v>73</v>
      </c>
      <c r="U143" s="28" t="str" cm="1">
        <f t="array" ref="U143">_xlfn.IFS(F143&lt;30000,"30k",F143&lt;=50000,"30k-50k",F143&lt;=75000,"50k-75k",F143&lt;=100000,"75k-100k",F143&gt;100000,"100k")</f>
        <v>75k-100k</v>
      </c>
      <c r="W143" s="1">
        <f t="shared" si="5"/>
        <v>14</v>
      </c>
    </row>
    <row r="144" spans="1:23" x14ac:dyDescent="0.35">
      <c r="A144">
        <v>141</v>
      </c>
      <c r="B144">
        <v>11084</v>
      </c>
      <c r="C144">
        <v>1976</v>
      </c>
      <c r="D144" s="1" t="s">
        <v>15</v>
      </c>
      <c r="E144" s="1" t="s">
        <v>12</v>
      </c>
      <c r="F144">
        <v>65104</v>
      </c>
      <c r="G144">
        <v>0</v>
      </c>
      <c r="H144" s="2">
        <v>1</v>
      </c>
      <c r="I144" s="2">
        <v>41592</v>
      </c>
      <c r="J144">
        <v>4</v>
      </c>
      <c r="K144">
        <f>VLOOKUP(B144,purchase_dataset!$B$2:$F$2241,2,FALSE)</f>
        <v>0</v>
      </c>
      <c r="L144">
        <f>VLOOKUP(B144,purchase_dataset!$B$2:$F$2241,3,FALSE)</f>
        <v>20</v>
      </c>
      <c r="M144">
        <f>VLOOKUP(B144,purchase_dataset!$B$2:$F$2241,3,FALSE)</f>
        <v>20</v>
      </c>
      <c r="N144">
        <f>VLOOKUP(B144,purchase_dataset!$B$2:$F$2241,5,FALSE)</f>
        <v>7</v>
      </c>
      <c r="O144" s="5">
        <v>50</v>
      </c>
      <c r="P144" s="4" t="str">
        <f t="shared" si="4"/>
        <v>30-50</v>
      </c>
      <c r="Q144" s="4">
        <f>M144+N144</f>
        <v>27</v>
      </c>
      <c r="U144" s="28" t="str" cm="1">
        <f t="array" ref="U144">_xlfn.IFS(F144&lt;30000,"30k",F144&lt;=50000,"30k-50k",F144&lt;=75000,"50k-75k",F144&lt;=100000,"75k-100k",F144&gt;100000,"100k")</f>
        <v>50k-75k</v>
      </c>
      <c r="W144" s="1">
        <f t="shared" si="5"/>
        <v>13</v>
      </c>
    </row>
    <row r="145" spans="1:23" x14ac:dyDescent="0.35">
      <c r="A145">
        <v>142</v>
      </c>
      <c r="B145">
        <v>8690</v>
      </c>
      <c r="C145">
        <v>1962</v>
      </c>
      <c r="D145" s="1" t="s">
        <v>10</v>
      </c>
      <c r="E145" s="1" t="s">
        <v>14</v>
      </c>
      <c r="F145">
        <v>86111</v>
      </c>
      <c r="G145">
        <v>0</v>
      </c>
      <c r="H145" s="2">
        <v>0</v>
      </c>
      <c r="I145" s="2">
        <v>41383</v>
      </c>
      <c r="J145">
        <v>73</v>
      </c>
      <c r="K145">
        <f>VLOOKUP(B145,purchase_dataset!$B$2:$F$2241,2,FALSE)</f>
        <v>28</v>
      </c>
      <c r="L145">
        <f>VLOOKUP(B145,purchase_dataset!$B$2:$F$2241,3,FALSE)</f>
        <v>40</v>
      </c>
      <c r="M145">
        <f>VLOOKUP(B145,purchase_dataset!$B$2:$F$2241,3,FALSE)</f>
        <v>40</v>
      </c>
      <c r="N145">
        <f>VLOOKUP(B145,purchase_dataset!$B$2:$F$2241,5,FALSE)</f>
        <v>10</v>
      </c>
      <c r="O145" s="5">
        <v>64</v>
      </c>
      <c r="P145" s="4" t="str">
        <f t="shared" si="4"/>
        <v>&gt;50</v>
      </c>
      <c r="Q145" s="4">
        <f>M145+N145</f>
        <v>50</v>
      </c>
      <c r="U145" s="28" t="str" cm="1">
        <f t="array" ref="U145">_xlfn.IFS(F145&lt;30000,"30k",F145&lt;=50000,"30k-50k",F145&lt;=75000,"50k-75k",F145&lt;=100000,"75k-100k",F145&gt;100000,"100k")</f>
        <v>75k-100k</v>
      </c>
      <c r="W145" s="1">
        <f t="shared" si="5"/>
        <v>13</v>
      </c>
    </row>
    <row r="146" spans="1:23" x14ac:dyDescent="0.35">
      <c r="A146">
        <v>143</v>
      </c>
      <c r="B146">
        <v>2937</v>
      </c>
      <c r="C146">
        <v>1974</v>
      </c>
      <c r="D146" s="1" t="s">
        <v>13</v>
      </c>
      <c r="E146" s="1" t="s">
        <v>11</v>
      </c>
      <c r="F146">
        <v>68352</v>
      </c>
      <c r="G146">
        <v>0</v>
      </c>
      <c r="H146" s="2">
        <v>1</v>
      </c>
      <c r="I146" s="2">
        <v>41514</v>
      </c>
      <c r="J146">
        <v>47</v>
      </c>
      <c r="K146">
        <f>VLOOKUP(B146,purchase_dataset!$B$2:$F$2241,2,FALSE)</f>
        <v>16</v>
      </c>
      <c r="L146">
        <f>VLOOKUP(B146,purchase_dataset!$B$2:$F$2241,3,FALSE)</f>
        <v>33</v>
      </c>
      <c r="M146">
        <f>VLOOKUP(B146,purchase_dataset!$B$2:$F$2241,3,FALSE)</f>
        <v>33</v>
      </c>
      <c r="N146">
        <f>VLOOKUP(B146,purchase_dataset!$B$2:$F$2241,5,FALSE)</f>
        <v>9</v>
      </c>
      <c r="O146" s="5">
        <v>52</v>
      </c>
      <c r="P146" s="4" t="str">
        <f t="shared" si="4"/>
        <v>&gt;50</v>
      </c>
      <c r="Q146" s="4">
        <f>M146+N146</f>
        <v>42</v>
      </c>
      <c r="U146" s="28" t="str" cm="1">
        <f t="array" ref="U146">_xlfn.IFS(F146&lt;30000,"30k",F146&lt;=50000,"30k-50k",F146&lt;=75000,"50k-75k",F146&lt;=100000,"75k-100k",F146&gt;100000,"100k")</f>
        <v>50k-75k</v>
      </c>
      <c r="W146" s="1">
        <f t="shared" si="5"/>
        <v>13</v>
      </c>
    </row>
    <row r="147" spans="1:23" x14ac:dyDescent="0.35">
      <c r="A147">
        <v>144</v>
      </c>
      <c r="B147">
        <v>9701</v>
      </c>
      <c r="C147">
        <v>1988</v>
      </c>
      <c r="D147" s="1" t="s">
        <v>10</v>
      </c>
      <c r="E147" s="1" t="s">
        <v>12</v>
      </c>
      <c r="F147">
        <v>41883</v>
      </c>
      <c r="G147">
        <v>1</v>
      </c>
      <c r="H147" s="2">
        <v>0</v>
      </c>
      <c r="I147" s="2">
        <v>41352</v>
      </c>
      <c r="J147">
        <v>13</v>
      </c>
      <c r="K147">
        <f>VLOOKUP(B147,purchase_dataset!$B$2:$F$2241,2,FALSE)</f>
        <v>34</v>
      </c>
      <c r="L147">
        <f>VLOOKUP(B147,purchase_dataset!$B$2:$F$2241,3,FALSE)</f>
        <v>16</v>
      </c>
      <c r="M147">
        <f>VLOOKUP(B147,purchase_dataset!$B$2:$F$2241,3,FALSE)</f>
        <v>16</v>
      </c>
      <c r="N147">
        <f>VLOOKUP(B147,purchase_dataset!$B$2:$F$2241,5,FALSE)</f>
        <v>3</v>
      </c>
      <c r="O147" s="5">
        <v>38</v>
      </c>
      <c r="P147" s="4" t="str">
        <f t="shared" si="4"/>
        <v>30-50</v>
      </c>
      <c r="Q147" s="4">
        <f>M147+N147</f>
        <v>19</v>
      </c>
      <c r="U147" s="28" t="str" cm="1">
        <f t="array" ref="U147">_xlfn.IFS(F147&lt;30000,"30k",F147&lt;=50000,"30k-50k",F147&lt;=75000,"50k-75k",F147&lt;=100000,"75k-100k",F147&gt;100000,"100k")</f>
        <v>30k-50k</v>
      </c>
      <c r="W147" s="1">
        <f t="shared" si="5"/>
        <v>13</v>
      </c>
    </row>
    <row r="148" spans="1:23" x14ac:dyDescent="0.35">
      <c r="A148">
        <v>145</v>
      </c>
      <c r="B148">
        <v>9949</v>
      </c>
      <c r="C148">
        <v>1976</v>
      </c>
      <c r="D148" s="1" t="s">
        <v>10</v>
      </c>
      <c r="E148" s="1" t="s">
        <v>14</v>
      </c>
      <c r="F148">
        <v>59809</v>
      </c>
      <c r="G148">
        <v>0</v>
      </c>
      <c r="H148" s="2">
        <v>2</v>
      </c>
      <c r="I148" s="2">
        <v>41200</v>
      </c>
      <c r="J148">
        <v>36</v>
      </c>
      <c r="K148">
        <f>VLOOKUP(B148,purchase_dataset!$B$2:$F$2241,2,FALSE)</f>
        <v>16</v>
      </c>
      <c r="L148">
        <f>VLOOKUP(B148,purchase_dataset!$B$2:$F$2241,3,FALSE)</f>
        <v>41</v>
      </c>
      <c r="M148">
        <f>VLOOKUP(B148,purchase_dataset!$B$2:$F$2241,3,FALSE)</f>
        <v>41</v>
      </c>
      <c r="N148">
        <f>VLOOKUP(B148,purchase_dataset!$B$2:$F$2241,5,FALSE)</f>
        <v>6</v>
      </c>
      <c r="O148" s="5">
        <v>50</v>
      </c>
      <c r="P148" s="4" t="str">
        <f t="shared" si="4"/>
        <v>30-50</v>
      </c>
      <c r="Q148" s="4">
        <f>M148+N148</f>
        <v>47</v>
      </c>
      <c r="U148" s="28" t="str" cm="1">
        <f t="array" ref="U148">_xlfn.IFS(F148&lt;30000,"30k",F148&lt;=50000,"30k-50k",F148&lt;=75000,"50k-75k",F148&lt;=100000,"75k-100k",F148&gt;100000,"100k")</f>
        <v>50k-75k</v>
      </c>
      <c r="W148" s="1">
        <f t="shared" si="5"/>
        <v>14</v>
      </c>
    </row>
    <row r="149" spans="1:23" x14ac:dyDescent="0.35">
      <c r="A149">
        <v>146</v>
      </c>
      <c r="B149">
        <v>10837</v>
      </c>
      <c r="C149">
        <v>1975</v>
      </c>
      <c r="D149" s="1" t="s">
        <v>10</v>
      </c>
      <c r="E149" s="1" t="s">
        <v>14</v>
      </c>
      <c r="F149">
        <v>23957</v>
      </c>
      <c r="G149">
        <v>1</v>
      </c>
      <c r="H149" s="2">
        <v>0</v>
      </c>
      <c r="I149" s="2">
        <v>41210</v>
      </c>
      <c r="J149">
        <v>47</v>
      </c>
      <c r="K149">
        <f>VLOOKUP(B149,purchase_dataset!$B$2:$F$2241,2,FALSE)</f>
        <v>1</v>
      </c>
      <c r="L149">
        <f>VLOOKUP(B149,purchase_dataset!$B$2:$F$2241,3,FALSE)</f>
        <v>11</v>
      </c>
      <c r="M149">
        <f>VLOOKUP(B149,purchase_dataset!$B$2:$F$2241,3,FALSE)</f>
        <v>11</v>
      </c>
      <c r="N149">
        <f>VLOOKUP(B149,purchase_dataset!$B$2:$F$2241,5,FALSE)</f>
        <v>3</v>
      </c>
      <c r="O149" s="5">
        <v>51</v>
      </c>
      <c r="P149" s="4" t="str">
        <f t="shared" si="4"/>
        <v>&gt;50</v>
      </c>
      <c r="Q149" s="4">
        <f>M149+N149</f>
        <v>14</v>
      </c>
      <c r="U149" s="28" t="str" cm="1">
        <f t="array" ref="U149">_xlfn.IFS(F149&lt;30000,"30k",F149&lt;=50000,"30k-50k",F149&lt;=75000,"50k-75k",F149&lt;=100000,"75k-100k",F149&gt;100000,"100k")</f>
        <v>30k</v>
      </c>
      <c r="W149" s="1">
        <f t="shared" si="5"/>
        <v>14</v>
      </c>
    </row>
    <row r="150" spans="1:23" x14ac:dyDescent="0.35">
      <c r="A150">
        <v>147</v>
      </c>
      <c r="B150">
        <v>3120</v>
      </c>
      <c r="C150">
        <v>1981</v>
      </c>
      <c r="D150" s="1" t="s">
        <v>10</v>
      </c>
      <c r="E150" s="1" t="s">
        <v>12</v>
      </c>
      <c r="F150">
        <v>38547</v>
      </c>
      <c r="G150">
        <v>1</v>
      </c>
      <c r="H150" s="2">
        <v>0</v>
      </c>
      <c r="I150" s="2">
        <v>41514</v>
      </c>
      <c r="J150">
        <v>49</v>
      </c>
      <c r="K150">
        <f>VLOOKUP(B150,purchase_dataset!$B$2:$F$2241,2,FALSE)</f>
        <v>1</v>
      </c>
      <c r="L150">
        <f>VLOOKUP(B150,purchase_dataset!$B$2:$F$2241,3,FALSE)</f>
        <v>1</v>
      </c>
      <c r="M150">
        <f>VLOOKUP(B150,purchase_dataset!$B$2:$F$2241,3,FALSE)</f>
        <v>1</v>
      </c>
      <c r="N150">
        <f>VLOOKUP(B150,purchase_dataset!$B$2:$F$2241,5,FALSE)</f>
        <v>2</v>
      </c>
      <c r="O150" s="5">
        <v>45</v>
      </c>
      <c r="P150" s="4" t="str">
        <f t="shared" si="4"/>
        <v>30-50</v>
      </c>
      <c r="Q150" s="4">
        <f>M150+N150</f>
        <v>3</v>
      </c>
      <c r="U150" s="28" t="str" cm="1">
        <f t="array" ref="U150">_xlfn.IFS(F150&lt;30000,"30k",F150&lt;=50000,"30k-50k",F150&lt;=75000,"50k-75k",F150&lt;=100000,"75k-100k",F150&gt;100000,"100k")</f>
        <v>30k-50k</v>
      </c>
      <c r="W150" s="1">
        <f t="shared" si="5"/>
        <v>13</v>
      </c>
    </row>
    <row r="151" spans="1:23" x14ac:dyDescent="0.35">
      <c r="A151">
        <v>148</v>
      </c>
      <c r="B151">
        <v>5885</v>
      </c>
      <c r="C151">
        <v>1973</v>
      </c>
      <c r="D151" s="1" t="s">
        <v>18</v>
      </c>
      <c r="E151" s="1" t="s">
        <v>14</v>
      </c>
      <c r="F151">
        <v>35688</v>
      </c>
      <c r="G151">
        <v>2</v>
      </c>
      <c r="H151" s="2">
        <v>1</v>
      </c>
      <c r="I151" s="2">
        <v>41143</v>
      </c>
      <c r="J151">
        <v>94</v>
      </c>
      <c r="K151">
        <f>VLOOKUP(B151,purchase_dataset!$B$2:$F$2241,2,FALSE)</f>
        <v>3</v>
      </c>
      <c r="L151">
        <f>VLOOKUP(B151,purchase_dataset!$B$2:$F$2241,3,FALSE)</f>
        <v>1</v>
      </c>
      <c r="M151">
        <f>VLOOKUP(B151,purchase_dataset!$B$2:$F$2241,3,FALSE)</f>
        <v>1</v>
      </c>
      <c r="N151">
        <f>VLOOKUP(B151,purchase_dataset!$B$2:$F$2241,5,FALSE)</f>
        <v>4</v>
      </c>
      <c r="O151" s="5">
        <v>53</v>
      </c>
      <c r="P151" s="4" t="str">
        <f t="shared" si="4"/>
        <v>&gt;50</v>
      </c>
      <c r="Q151" s="4">
        <f>M151+N151</f>
        <v>5</v>
      </c>
      <c r="U151" s="28" t="str" cm="1">
        <f t="array" ref="U151">_xlfn.IFS(F151&lt;30000,"30k",F151&lt;=50000,"30k-50k",F151&lt;=75000,"50k-75k",F151&lt;=100000,"75k-100k",F151&gt;100000,"100k")</f>
        <v>30k-50k</v>
      </c>
      <c r="W151" s="1">
        <f t="shared" si="5"/>
        <v>14</v>
      </c>
    </row>
    <row r="152" spans="1:23" x14ac:dyDescent="0.35">
      <c r="A152">
        <v>149</v>
      </c>
      <c r="B152">
        <v>4050</v>
      </c>
      <c r="C152">
        <v>1966</v>
      </c>
      <c r="D152" s="1" t="s">
        <v>15</v>
      </c>
      <c r="E152" s="1" t="s">
        <v>14</v>
      </c>
      <c r="F152">
        <v>49605</v>
      </c>
      <c r="G152">
        <v>0</v>
      </c>
      <c r="H152" s="2">
        <v>0</v>
      </c>
      <c r="I152" s="2">
        <v>41811</v>
      </c>
      <c r="J152">
        <v>65</v>
      </c>
      <c r="K152">
        <f>VLOOKUP(B152,purchase_dataset!$B$2:$F$2241,2,FALSE)</f>
        <v>16</v>
      </c>
      <c r="L152">
        <f>VLOOKUP(B152,purchase_dataset!$B$2:$F$2241,3,FALSE)</f>
        <v>20</v>
      </c>
      <c r="M152">
        <f>VLOOKUP(B152,purchase_dataset!$B$2:$F$2241,3,FALSE)</f>
        <v>20</v>
      </c>
      <c r="N152">
        <f>VLOOKUP(B152,purchase_dataset!$B$2:$F$2241,5,FALSE)</f>
        <v>4</v>
      </c>
      <c r="O152" s="5">
        <v>60</v>
      </c>
      <c r="P152" s="4" t="str">
        <f t="shared" si="4"/>
        <v>&gt;50</v>
      </c>
      <c r="Q152" s="4">
        <f>M152+N152</f>
        <v>24</v>
      </c>
      <c r="U152" s="28" t="str" cm="1">
        <f t="array" ref="U152">_xlfn.IFS(F152&lt;30000,"30k",F152&lt;=50000,"30k-50k",F152&lt;=75000,"50k-75k",F152&lt;=100000,"75k-100k",F152&gt;100000,"100k")</f>
        <v>30k-50k</v>
      </c>
      <c r="W152" s="1">
        <f t="shared" si="5"/>
        <v>12</v>
      </c>
    </row>
    <row r="153" spans="1:23" x14ac:dyDescent="0.35">
      <c r="A153">
        <v>150</v>
      </c>
      <c r="B153">
        <v>3830</v>
      </c>
      <c r="C153">
        <v>1953</v>
      </c>
      <c r="D153" s="1" t="s">
        <v>15</v>
      </c>
      <c r="E153" s="1" t="s">
        <v>14</v>
      </c>
      <c r="F153">
        <v>59354</v>
      </c>
      <c r="G153">
        <v>0</v>
      </c>
      <c r="H153" s="2">
        <v>2</v>
      </c>
      <c r="I153" s="2">
        <v>41753</v>
      </c>
      <c r="J153">
        <v>59</v>
      </c>
      <c r="K153">
        <f>VLOOKUP(B153,purchase_dataset!$B$2:$F$2241,2,FALSE)</f>
        <v>21</v>
      </c>
      <c r="L153">
        <f>VLOOKUP(B153,purchase_dataset!$B$2:$F$2241,3,FALSE)</f>
        <v>13</v>
      </c>
      <c r="M153">
        <f>VLOOKUP(B153,purchase_dataset!$B$2:$F$2241,3,FALSE)</f>
        <v>13</v>
      </c>
      <c r="N153">
        <f>VLOOKUP(B153,purchase_dataset!$B$2:$F$2241,5,FALSE)</f>
        <v>7</v>
      </c>
      <c r="O153" s="5">
        <v>73</v>
      </c>
      <c r="P153" s="4" t="str">
        <f t="shared" si="4"/>
        <v>&gt;50</v>
      </c>
      <c r="Q153" s="4">
        <f>M153+N153</f>
        <v>20</v>
      </c>
      <c r="U153" s="28" t="str" cm="1">
        <f t="array" ref="U153">_xlfn.IFS(F153&lt;30000,"30k",F153&lt;=50000,"30k-50k",F153&lt;=75000,"50k-75k",F153&lt;=100000,"75k-100k",F153&gt;100000,"100k")</f>
        <v>50k-75k</v>
      </c>
      <c r="W153" s="1">
        <f t="shared" si="5"/>
        <v>12</v>
      </c>
    </row>
    <row r="154" spans="1:23" x14ac:dyDescent="0.35">
      <c r="A154">
        <v>151</v>
      </c>
      <c r="B154">
        <v>7987</v>
      </c>
      <c r="C154">
        <v>1969</v>
      </c>
      <c r="D154" s="1" t="s">
        <v>10</v>
      </c>
      <c r="E154" s="1" t="s">
        <v>14</v>
      </c>
      <c r="F154">
        <v>65747</v>
      </c>
      <c r="G154">
        <v>0</v>
      </c>
      <c r="H154" s="2">
        <v>1</v>
      </c>
      <c r="I154" s="2">
        <v>41705</v>
      </c>
      <c r="J154">
        <v>96</v>
      </c>
      <c r="K154">
        <f>VLOOKUP(B154,purchase_dataset!$B$2:$F$2241,2,FALSE)</f>
        <v>17</v>
      </c>
      <c r="L154">
        <f>VLOOKUP(B154,purchase_dataset!$B$2:$F$2241,3,FALSE)</f>
        <v>13</v>
      </c>
      <c r="M154">
        <f>VLOOKUP(B154,purchase_dataset!$B$2:$F$2241,3,FALSE)</f>
        <v>13</v>
      </c>
      <c r="N154">
        <f>VLOOKUP(B154,purchase_dataset!$B$2:$F$2241,5,FALSE)</f>
        <v>6</v>
      </c>
      <c r="O154" s="5">
        <v>57</v>
      </c>
      <c r="P154" s="4" t="str">
        <f t="shared" si="4"/>
        <v>&gt;50</v>
      </c>
      <c r="Q154" s="4">
        <f>M154+N154</f>
        <v>19</v>
      </c>
      <c r="U154" s="28" t="str" cm="1">
        <f t="array" ref="U154">_xlfn.IFS(F154&lt;30000,"30k",F154&lt;=50000,"30k-50k",F154&lt;=75000,"50k-75k",F154&lt;=100000,"75k-100k",F154&gt;100000,"100k")</f>
        <v>50k-75k</v>
      </c>
      <c r="W154" s="1">
        <f t="shared" si="5"/>
        <v>12</v>
      </c>
    </row>
    <row r="155" spans="1:23" x14ac:dyDescent="0.35">
      <c r="A155">
        <v>152</v>
      </c>
      <c r="B155">
        <v>7798</v>
      </c>
      <c r="C155">
        <v>1972</v>
      </c>
      <c r="D155" s="1" t="s">
        <v>18</v>
      </c>
      <c r="E155" s="1" t="s">
        <v>12</v>
      </c>
      <c r="F155">
        <v>46344</v>
      </c>
      <c r="G155">
        <v>0</v>
      </c>
      <c r="H155" s="2">
        <v>1</v>
      </c>
      <c r="I155" s="2">
        <v>41257</v>
      </c>
      <c r="J155">
        <v>28</v>
      </c>
      <c r="K155">
        <f>VLOOKUP(B155,purchase_dataset!$B$2:$F$2241,2,FALSE)</f>
        <v>20</v>
      </c>
      <c r="L155">
        <f>VLOOKUP(B155,purchase_dataset!$B$2:$F$2241,3,FALSE)</f>
        <v>20</v>
      </c>
      <c r="M155">
        <f>VLOOKUP(B155,purchase_dataset!$B$2:$F$2241,3,FALSE)</f>
        <v>20</v>
      </c>
      <c r="N155">
        <f>VLOOKUP(B155,purchase_dataset!$B$2:$F$2241,5,FALSE)</f>
        <v>5</v>
      </c>
      <c r="O155" s="5">
        <v>54</v>
      </c>
      <c r="P155" s="4" t="str">
        <f t="shared" si="4"/>
        <v>&gt;50</v>
      </c>
      <c r="Q155" s="4">
        <f>M155+N155</f>
        <v>25</v>
      </c>
      <c r="U155" s="28" t="str" cm="1">
        <f t="array" ref="U155">_xlfn.IFS(F155&lt;30000,"30k",F155&lt;=50000,"30k-50k",F155&lt;=75000,"50k-75k",F155&lt;=100000,"75k-100k",F155&gt;100000,"100k")</f>
        <v>30k-50k</v>
      </c>
      <c r="W155" s="1">
        <f t="shared" si="5"/>
        <v>14</v>
      </c>
    </row>
    <row r="156" spans="1:23" x14ac:dyDescent="0.35">
      <c r="A156">
        <v>153</v>
      </c>
      <c r="B156">
        <v>92</v>
      </c>
      <c r="C156">
        <v>1988</v>
      </c>
      <c r="D156" s="1" t="s">
        <v>10</v>
      </c>
      <c r="E156" s="1" t="s">
        <v>20</v>
      </c>
      <c r="F156">
        <v>34176</v>
      </c>
      <c r="G156">
        <v>1</v>
      </c>
      <c r="H156" s="2">
        <v>0</v>
      </c>
      <c r="I156" s="2">
        <v>41771</v>
      </c>
      <c r="J156">
        <v>12</v>
      </c>
      <c r="K156">
        <f>VLOOKUP(B156,purchase_dataset!$B$2:$F$2241,2,FALSE)</f>
        <v>7</v>
      </c>
      <c r="L156">
        <f>VLOOKUP(B156,purchase_dataset!$B$2:$F$2241,3,FALSE)</f>
        <v>14</v>
      </c>
      <c r="M156">
        <f>VLOOKUP(B156,purchase_dataset!$B$2:$F$2241,3,FALSE)</f>
        <v>14</v>
      </c>
      <c r="N156">
        <f>VLOOKUP(B156,purchase_dataset!$B$2:$F$2241,5,FALSE)</f>
        <v>4</v>
      </c>
      <c r="O156" s="5">
        <v>38</v>
      </c>
      <c r="P156" s="4" t="str">
        <f t="shared" si="4"/>
        <v>30-50</v>
      </c>
      <c r="Q156" s="4">
        <f>M156+N156</f>
        <v>18</v>
      </c>
      <c r="U156" s="28" t="str" cm="1">
        <f t="array" ref="U156">_xlfn.IFS(F156&lt;30000,"30k",F156&lt;=50000,"30k-50k",F156&lt;=75000,"50k-75k",F156&lt;=100000,"75k-100k",F156&gt;100000,"100k")</f>
        <v>30k-50k</v>
      </c>
      <c r="W156" s="1">
        <f t="shared" si="5"/>
        <v>12</v>
      </c>
    </row>
    <row r="157" spans="1:23" x14ac:dyDescent="0.35">
      <c r="A157">
        <v>154</v>
      </c>
      <c r="B157">
        <v>7055</v>
      </c>
      <c r="C157">
        <v>1952</v>
      </c>
      <c r="D157" s="1" t="s">
        <v>13</v>
      </c>
      <c r="E157" s="1" t="s">
        <v>12</v>
      </c>
      <c r="F157">
        <v>61010</v>
      </c>
      <c r="G157">
        <v>0</v>
      </c>
      <c r="H157" s="2">
        <v>1</v>
      </c>
      <c r="I157" s="2">
        <v>41191</v>
      </c>
      <c r="J157">
        <v>57</v>
      </c>
      <c r="K157">
        <f>VLOOKUP(B157,purchase_dataset!$B$2:$F$2241,2,FALSE)</f>
        <v>0</v>
      </c>
      <c r="L157">
        <f>VLOOKUP(B157,purchase_dataset!$B$2:$F$2241,3,FALSE)</f>
        <v>0</v>
      </c>
      <c r="M157">
        <f>VLOOKUP(B157,purchase_dataset!$B$2:$F$2241,3,FALSE)</f>
        <v>0</v>
      </c>
      <c r="N157">
        <f>VLOOKUP(B157,purchase_dataset!$B$2:$F$2241,5,FALSE)</f>
        <v>11</v>
      </c>
      <c r="O157" s="5">
        <v>74</v>
      </c>
      <c r="P157" s="4" t="str">
        <f t="shared" si="4"/>
        <v>&gt;50</v>
      </c>
      <c r="Q157" s="4">
        <f>M157+N157</f>
        <v>11</v>
      </c>
      <c r="U157" s="28" t="str" cm="1">
        <f t="array" ref="U157">_xlfn.IFS(F157&lt;30000,"30k",F157&lt;=50000,"30k-50k",F157&lt;=75000,"50k-75k",F157&lt;=100000,"75k-100k",F157&gt;100000,"100k")</f>
        <v>50k-75k</v>
      </c>
      <c r="W157" s="1">
        <f t="shared" si="5"/>
        <v>14</v>
      </c>
    </row>
    <row r="158" spans="1:23" x14ac:dyDescent="0.35">
      <c r="A158">
        <v>155</v>
      </c>
      <c r="B158">
        <v>10240</v>
      </c>
      <c r="C158">
        <v>1949</v>
      </c>
      <c r="D158" s="1" t="s">
        <v>10</v>
      </c>
      <c r="E158" s="1" t="s">
        <v>12</v>
      </c>
      <c r="F158">
        <v>69372</v>
      </c>
      <c r="G158">
        <v>0</v>
      </c>
      <c r="H158" s="2">
        <v>0</v>
      </c>
      <c r="I158" s="2">
        <v>41324</v>
      </c>
      <c r="J158">
        <v>10</v>
      </c>
      <c r="K158">
        <f>VLOOKUP(B158,purchase_dataset!$B$2:$F$2241,2,FALSE)</f>
        <v>26</v>
      </c>
      <c r="L158">
        <f>VLOOKUP(B158,purchase_dataset!$B$2:$F$2241,3,FALSE)</f>
        <v>13</v>
      </c>
      <c r="M158">
        <f>VLOOKUP(B158,purchase_dataset!$B$2:$F$2241,3,FALSE)</f>
        <v>13</v>
      </c>
      <c r="N158">
        <f>VLOOKUP(B158,purchase_dataset!$B$2:$F$2241,5,FALSE)</f>
        <v>6</v>
      </c>
      <c r="O158" s="5">
        <v>77</v>
      </c>
      <c r="P158" s="4" t="str">
        <f t="shared" si="4"/>
        <v>&gt;50</v>
      </c>
      <c r="Q158" s="4">
        <f>M158+N158</f>
        <v>19</v>
      </c>
      <c r="U158" s="28" t="str" cm="1">
        <f t="array" ref="U158">_xlfn.IFS(F158&lt;30000,"30k",F158&lt;=50000,"30k-50k",F158&lt;=75000,"50k-75k",F158&lt;=100000,"75k-100k",F158&gt;100000,"100k")</f>
        <v>50k-75k</v>
      </c>
      <c r="W158" s="1">
        <f t="shared" si="5"/>
        <v>13</v>
      </c>
    </row>
    <row r="159" spans="1:23" x14ac:dyDescent="0.35">
      <c r="A159">
        <v>156</v>
      </c>
      <c r="B159">
        <v>3025</v>
      </c>
      <c r="C159">
        <v>1958</v>
      </c>
      <c r="D159" s="1" t="s">
        <v>10</v>
      </c>
      <c r="E159" s="1" t="s">
        <v>11</v>
      </c>
      <c r="F159">
        <v>49967</v>
      </c>
      <c r="G159">
        <v>0</v>
      </c>
      <c r="H159" s="2">
        <v>1</v>
      </c>
      <c r="I159" s="2">
        <v>41463</v>
      </c>
      <c r="J159">
        <v>4</v>
      </c>
      <c r="K159">
        <f>VLOOKUP(B159,purchase_dataset!$B$2:$F$2241,2,FALSE)</f>
        <v>6</v>
      </c>
      <c r="L159">
        <f>VLOOKUP(B159,purchase_dataset!$B$2:$F$2241,3,FALSE)</f>
        <v>12</v>
      </c>
      <c r="M159">
        <f>VLOOKUP(B159,purchase_dataset!$B$2:$F$2241,3,FALSE)</f>
        <v>12</v>
      </c>
      <c r="N159">
        <f>VLOOKUP(B159,purchase_dataset!$B$2:$F$2241,5,FALSE)</f>
        <v>5</v>
      </c>
      <c r="O159" s="5">
        <v>68</v>
      </c>
      <c r="P159" s="4" t="str">
        <f t="shared" si="4"/>
        <v>&gt;50</v>
      </c>
      <c r="Q159" s="4">
        <f>M159+N159</f>
        <v>17</v>
      </c>
      <c r="U159" s="28" t="str" cm="1">
        <f t="array" ref="U159">_xlfn.IFS(F159&lt;30000,"30k",F159&lt;=50000,"30k-50k",F159&lt;=75000,"50k-75k",F159&lt;=100000,"75k-100k",F159&gt;100000,"100k")</f>
        <v>30k-50k</v>
      </c>
      <c r="W159" s="1">
        <f t="shared" si="5"/>
        <v>13</v>
      </c>
    </row>
    <row r="160" spans="1:23" x14ac:dyDescent="0.35">
      <c r="A160">
        <v>157</v>
      </c>
      <c r="B160">
        <v>9283</v>
      </c>
      <c r="C160">
        <v>1978</v>
      </c>
      <c r="D160" s="1" t="s">
        <v>10</v>
      </c>
      <c r="E160" s="1" t="s">
        <v>11</v>
      </c>
      <c r="F160">
        <v>60199</v>
      </c>
      <c r="G160">
        <v>1</v>
      </c>
      <c r="H160" s="2">
        <v>2</v>
      </c>
      <c r="I160" s="2">
        <v>41529</v>
      </c>
      <c r="J160">
        <v>49</v>
      </c>
      <c r="K160">
        <f>VLOOKUP(B160,purchase_dataset!$B$2:$F$2241,2,FALSE)</f>
        <v>1</v>
      </c>
      <c r="L160">
        <f>VLOOKUP(B160,purchase_dataset!$B$2:$F$2241,3,FALSE)</f>
        <v>0</v>
      </c>
      <c r="M160">
        <f>VLOOKUP(B160,purchase_dataset!$B$2:$F$2241,3,FALSE)</f>
        <v>0</v>
      </c>
      <c r="N160">
        <f>VLOOKUP(B160,purchase_dataset!$B$2:$F$2241,5,FALSE)</f>
        <v>3</v>
      </c>
      <c r="O160" s="5">
        <v>48</v>
      </c>
      <c r="P160" s="4" t="str">
        <f t="shared" si="4"/>
        <v>30-50</v>
      </c>
      <c r="Q160" s="4">
        <f>M160+N160</f>
        <v>3</v>
      </c>
      <c r="U160" s="28" t="str" cm="1">
        <f t="array" ref="U160">_xlfn.IFS(F160&lt;30000,"30k",F160&lt;=50000,"30k-50k",F160&lt;=75000,"50k-75k",F160&lt;=100000,"75k-100k",F160&gt;100000,"100k")</f>
        <v>50k-75k</v>
      </c>
      <c r="W160" s="1">
        <f t="shared" si="5"/>
        <v>13</v>
      </c>
    </row>
    <row r="161" spans="1:23" x14ac:dyDescent="0.35">
      <c r="A161">
        <v>158</v>
      </c>
      <c r="B161">
        <v>9970</v>
      </c>
      <c r="C161">
        <v>1977</v>
      </c>
      <c r="D161" s="1" t="s">
        <v>10</v>
      </c>
      <c r="E161" s="1" t="s">
        <v>12</v>
      </c>
      <c r="F161">
        <v>55375</v>
      </c>
      <c r="G161">
        <v>0</v>
      </c>
      <c r="H161" s="2">
        <v>1</v>
      </c>
      <c r="I161" s="2">
        <v>41564</v>
      </c>
      <c r="J161">
        <v>3</v>
      </c>
      <c r="K161">
        <f>VLOOKUP(B161,purchase_dataset!$B$2:$F$2241,2,FALSE)</f>
        <v>11</v>
      </c>
      <c r="L161">
        <f>VLOOKUP(B161,purchase_dataset!$B$2:$F$2241,3,FALSE)</f>
        <v>28</v>
      </c>
      <c r="M161">
        <f>VLOOKUP(B161,purchase_dataset!$B$2:$F$2241,3,FALSE)</f>
        <v>28</v>
      </c>
      <c r="N161">
        <f>VLOOKUP(B161,purchase_dataset!$B$2:$F$2241,5,FALSE)</f>
        <v>6</v>
      </c>
      <c r="O161" s="5">
        <v>49</v>
      </c>
      <c r="P161" s="4" t="str">
        <f t="shared" si="4"/>
        <v>30-50</v>
      </c>
      <c r="Q161" s="4">
        <f>M161+N161</f>
        <v>34</v>
      </c>
      <c r="U161" s="28" t="str" cm="1">
        <f t="array" ref="U161">_xlfn.IFS(F161&lt;30000,"30k",F161&lt;=50000,"30k-50k",F161&lt;=75000,"50k-75k",F161&lt;=100000,"75k-100k",F161&gt;100000,"100k")</f>
        <v>50k-75k</v>
      </c>
      <c r="W161" s="1">
        <f t="shared" si="5"/>
        <v>13</v>
      </c>
    </row>
    <row r="162" spans="1:23" x14ac:dyDescent="0.35">
      <c r="A162">
        <v>159</v>
      </c>
      <c r="B162">
        <v>2730</v>
      </c>
      <c r="C162">
        <v>1955</v>
      </c>
      <c r="D162" s="1" t="s">
        <v>10</v>
      </c>
      <c r="E162" s="1" t="s">
        <v>11</v>
      </c>
      <c r="F162">
        <v>80317</v>
      </c>
      <c r="G162">
        <v>0</v>
      </c>
      <c r="H162" s="2">
        <v>0</v>
      </c>
      <c r="I162" s="2">
        <v>41506</v>
      </c>
      <c r="J162">
        <v>64</v>
      </c>
      <c r="K162">
        <f>VLOOKUP(B162,purchase_dataset!$B$2:$F$2241,2,FALSE)</f>
        <v>11</v>
      </c>
      <c r="L162">
        <f>VLOOKUP(B162,purchase_dataset!$B$2:$F$2241,3,FALSE)</f>
        <v>91</v>
      </c>
      <c r="M162">
        <f>VLOOKUP(B162,purchase_dataset!$B$2:$F$2241,3,FALSE)</f>
        <v>91</v>
      </c>
      <c r="N162">
        <f>VLOOKUP(B162,purchase_dataset!$B$2:$F$2241,5,FALSE)</f>
        <v>10</v>
      </c>
      <c r="O162" s="5">
        <v>71</v>
      </c>
      <c r="P162" s="4" t="str">
        <f t="shared" si="4"/>
        <v>&gt;50</v>
      </c>
      <c r="Q162" s="4">
        <f>M162+N162</f>
        <v>101</v>
      </c>
      <c r="U162" s="28" t="str" cm="1">
        <f t="array" ref="U162">_xlfn.IFS(F162&lt;30000,"30k",F162&lt;=50000,"30k-50k",F162&lt;=75000,"50k-75k",F162&lt;=100000,"75k-100k",F162&gt;100000,"100k")</f>
        <v>75k-100k</v>
      </c>
      <c r="W162" s="1">
        <f t="shared" si="5"/>
        <v>13</v>
      </c>
    </row>
    <row r="163" spans="1:23" x14ac:dyDescent="0.35">
      <c r="A163">
        <v>160</v>
      </c>
      <c r="B163">
        <v>2795</v>
      </c>
      <c r="C163">
        <v>1958</v>
      </c>
      <c r="D163" s="1" t="s">
        <v>15</v>
      </c>
      <c r="E163" s="1" t="s">
        <v>11</v>
      </c>
      <c r="F163">
        <v>30523</v>
      </c>
      <c r="G163">
        <v>2</v>
      </c>
      <c r="H163" s="2">
        <v>1</v>
      </c>
      <c r="I163" s="2">
        <v>41456</v>
      </c>
      <c r="J163">
        <v>0</v>
      </c>
      <c r="K163">
        <f>VLOOKUP(B163,purchase_dataset!$B$2:$F$2241,2,FALSE)</f>
        <v>0</v>
      </c>
      <c r="L163">
        <f>VLOOKUP(B163,purchase_dataset!$B$2:$F$2241,3,FALSE)</f>
        <v>0</v>
      </c>
      <c r="M163">
        <f>VLOOKUP(B163,purchase_dataset!$B$2:$F$2241,3,FALSE)</f>
        <v>0</v>
      </c>
      <c r="N163">
        <f>VLOOKUP(B163,purchase_dataset!$B$2:$F$2241,5,FALSE)</f>
        <v>2</v>
      </c>
      <c r="O163" s="5">
        <v>68</v>
      </c>
      <c r="P163" s="4" t="str">
        <f t="shared" si="4"/>
        <v>&gt;50</v>
      </c>
      <c r="Q163" s="4">
        <f>M163+N163</f>
        <v>2</v>
      </c>
      <c r="U163" s="28" t="str" cm="1">
        <f t="array" ref="U163">_xlfn.IFS(F163&lt;30000,"30k",F163&lt;=50000,"30k-50k",F163&lt;=75000,"50k-75k",F163&lt;=100000,"75k-100k",F163&gt;100000,"100k")</f>
        <v>30k-50k</v>
      </c>
      <c r="W163" s="1">
        <f t="shared" si="5"/>
        <v>13</v>
      </c>
    </row>
    <row r="164" spans="1:23" x14ac:dyDescent="0.35">
      <c r="A164">
        <v>161</v>
      </c>
      <c r="B164">
        <v>9260</v>
      </c>
      <c r="C164">
        <v>1945</v>
      </c>
      <c r="D164" s="1" t="s">
        <v>13</v>
      </c>
      <c r="E164" s="1" t="s">
        <v>14</v>
      </c>
      <c r="F164">
        <v>70356</v>
      </c>
      <c r="G164">
        <v>0</v>
      </c>
      <c r="H164" s="2">
        <v>0</v>
      </c>
      <c r="I164" s="2">
        <v>41218</v>
      </c>
      <c r="J164">
        <v>20</v>
      </c>
      <c r="K164">
        <f>VLOOKUP(B164,purchase_dataset!$B$2:$F$2241,2,FALSE)</f>
        <v>16</v>
      </c>
      <c r="L164">
        <f>VLOOKUP(B164,purchase_dataset!$B$2:$F$2241,3,FALSE)</f>
        <v>16</v>
      </c>
      <c r="M164">
        <f>VLOOKUP(B164,purchase_dataset!$B$2:$F$2241,3,FALSE)</f>
        <v>16</v>
      </c>
      <c r="N164">
        <f>VLOOKUP(B164,purchase_dataset!$B$2:$F$2241,5,FALSE)</f>
        <v>9</v>
      </c>
      <c r="O164" s="5">
        <v>81</v>
      </c>
      <c r="P164" s="4" t="str">
        <f t="shared" si="4"/>
        <v>&gt;50</v>
      </c>
      <c r="Q164" s="4">
        <f>M164+N164</f>
        <v>25</v>
      </c>
      <c r="U164" s="28" t="str" cm="1">
        <f t="array" ref="U164">_xlfn.IFS(F164&lt;30000,"30k",F164&lt;=50000,"30k-50k",F164&lt;=75000,"50k-75k",F164&lt;=100000,"75k-100k",F164&gt;100000,"100k")</f>
        <v>50k-75k</v>
      </c>
      <c r="W164" s="1">
        <f t="shared" si="5"/>
        <v>14</v>
      </c>
    </row>
    <row r="165" spans="1:23" x14ac:dyDescent="0.35">
      <c r="A165">
        <v>162</v>
      </c>
      <c r="B165">
        <v>8182</v>
      </c>
      <c r="C165">
        <v>1984</v>
      </c>
      <c r="D165" s="1" t="s">
        <v>10</v>
      </c>
      <c r="E165" s="1" t="s">
        <v>14</v>
      </c>
      <c r="F165">
        <v>23228</v>
      </c>
      <c r="G165">
        <v>1</v>
      </c>
      <c r="H165" s="2">
        <v>0</v>
      </c>
      <c r="I165" s="2">
        <v>41644</v>
      </c>
      <c r="J165">
        <v>91</v>
      </c>
      <c r="K165">
        <f>VLOOKUP(B165,purchase_dataset!$B$2:$F$2241,2,FALSE)</f>
        <v>3</v>
      </c>
      <c r="L165">
        <f>VLOOKUP(B165,purchase_dataset!$B$2:$F$2241,3,FALSE)</f>
        <v>4</v>
      </c>
      <c r="M165">
        <f>VLOOKUP(B165,purchase_dataset!$B$2:$F$2241,3,FALSE)</f>
        <v>4</v>
      </c>
      <c r="N165">
        <f>VLOOKUP(B165,purchase_dataset!$B$2:$F$2241,5,FALSE)</f>
        <v>4</v>
      </c>
      <c r="O165" s="5">
        <v>42</v>
      </c>
      <c r="P165" s="4" t="str">
        <f t="shared" si="4"/>
        <v>30-50</v>
      </c>
      <c r="Q165" s="4">
        <f>M165+N165</f>
        <v>8</v>
      </c>
      <c r="U165" s="28" t="str" cm="1">
        <f t="array" ref="U165">_xlfn.IFS(F165&lt;30000,"30k",F165&lt;=50000,"30k-50k",F165&lt;=75000,"50k-75k",F165&lt;=100000,"75k-100k",F165&gt;100000,"100k")</f>
        <v>30k</v>
      </c>
      <c r="W165" s="1">
        <f t="shared" si="5"/>
        <v>12</v>
      </c>
    </row>
    <row r="166" spans="1:23" x14ac:dyDescent="0.35">
      <c r="A166">
        <v>163</v>
      </c>
      <c r="B166">
        <v>10095</v>
      </c>
      <c r="C166">
        <v>1975</v>
      </c>
      <c r="D166" s="1" t="s">
        <v>13</v>
      </c>
      <c r="E166" s="1" t="s">
        <v>16</v>
      </c>
      <c r="F166">
        <v>74165</v>
      </c>
      <c r="G166">
        <v>0</v>
      </c>
      <c r="H166" s="2">
        <v>0</v>
      </c>
      <c r="I166" s="2">
        <v>41395</v>
      </c>
      <c r="J166">
        <v>9</v>
      </c>
      <c r="K166">
        <f>VLOOKUP(B166,purchase_dataset!$B$2:$F$2241,2,FALSE)</f>
        <v>12</v>
      </c>
      <c r="L166">
        <f>VLOOKUP(B166,purchase_dataset!$B$2:$F$2241,3,FALSE)</f>
        <v>12</v>
      </c>
      <c r="M166">
        <f>VLOOKUP(B166,purchase_dataset!$B$2:$F$2241,3,FALSE)</f>
        <v>12</v>
      </c>
      <c r="N166">
        <f>VLOOKUP(B166,purchase_dataset!$B$2:$F$2241,5,FALSE)</f>
        <v>10</v>
      </c>
      <c r="O166" s="5">
        <v>51</v>
      </c>
      <c r="P166" s="4" t="str">
        <f t="shared" si="4"/>
        <v>&gt;50</v>
      </c>
      <c r="Q166" s="4">
        <f>M166+N166</f>
        <v>22</v>
      </c>
      <c r="U166" s="28" t="str" cm="1">
        <f t="array" ref="U166">_xlfn.IFS(F166&lt;30000,"30k",F166&lt;=50000,"30k-50k",F166&lt;=75000,"50k-75k",F166&lt;=100000,"75k-100k",F166&gt;100000,"100k")</f>
        <v>50k-75k</v>
      </c>
      <c r="W166" s="1">
        <f t="shared" si="5"/>
        <v>13</v>
      </c>
    </row>
    <row r="167" spans="1:23" x14ac:dyDescent="0.35">
      <c r="A167">
        <v>164</v>
      </c>
      <c r="B167">
        <v>8475</v>
      </c>
      <c r="C167">
        <v>1973</v>
      </c>
      <c r="D167" s="1" t="s">
        <v>13</v>
      </c>
      <c r="E167" s="1" t="s">
        <v>14</v>
      </c>
      <c r="F167">
        <v>157243</v>
      </c>
      <c r="G167">
        <v>0</v>
      </c>
      <c r="H167" s="2">
        <v>1</v>
      </c>
      <c r="I167" s="2">
        <v>41699</v>
      </c>
      <c r="J167">
        <v>98</v>
      </c>
      <c r="K167">
        <f>VLOOKUP(B167,purchase_dataset!$B$2:$F$2241,2,FALSE)</f>
        <v>2</v>
      </c>
      <c r="L167">
        <f>VLOOKUP(B167,purchase_dataset!$B$2:$F$2241,3,FALSE)</f>
        <v>2</v>
      </c>
      <c r="M167">
        <f>VLOOKUP(B167,purchase_dataset!$B$2:$F$2241,3,FALSE)</f>
        <v>2</v>
      </c>
      <c r="N167">
        <f>VLOOKUP(B167,purchase_dataset!$B$2:$F$2241,5,FALSE)</f>
        <v>0</v>
      </c>
      <c r="O167" s="5">
        <v>53</v>
      </c>
      <c r="P167" s="4" t="str">
        <f t="shared" si="4"/>
        <v>&gt;50</v>
      </c>
      <c r="Q167" s="4">
        <f>M167+N167</f>
        <v>2</v>
      </c>
      <c r="U167" s="28" t="str" cm="1">
        <f t="array" ref="U167">_xlfn.IFS(F167&lt;30000,"30k",F167&lt;=50000,"30k-50k",F167&lt;=75000,"50k-75k",F167&lt;=100000,"75k-100k",F167&gt;100000,"100k")</f>
        <v>100k</v>
      </c>
      <c r="W167" s="1">
        <f t="shared" si="5"/>
        <v>12</v>
      </c>
    </row>
    <row r="168" spans="1:23" x14ac:dyDescent="0.35">
      <c r="A168">
        <v>165</v>
      </c>
      <c r="B168">
        <v>4370</v>
      </c>
      <c r="C168">
        <v>1966</v>
      </c>
      <c r="D168" s="1" t="s">
        <v>10</v>
      </c>
      <c r="E168" s="1" t="s">
        <v>12</v>
      </c>
      <c r="F168">
        <v>43482</v>
      </c>
      <c r="G168">
        <v>2</v>
      </c>
      <c r="H168" s="2">
        <v>1</v>
      </c>
      <c r="I168" s="2">
        <v>41591</v>
      </c>
      <c r="J168">
        <v>83</v>
      </c>
      <c r="K168">
        <f>VLOOKUP(B168,purchase_dataset!$B$2:$F$2241,2,FALSE)</f>
        <v>1</v>
      </c>
      <c r="L168">
        <f>VLOOKUP(B168,purchase_dataset!$B$2:$F$2241,3,FALSE)</f>
        <v>3</v>
      </c>
      <c r="M168">
        <f>VLOOKUP(B168,purchase_dataset!$B$2:$F$2241,3,FALSE)</f>
        <v>3</v>
      </c>
      <c r="N168">
        <f>VLOOKUP(B168,purchase_dataset!$B$2:$F$2241,5,FALSE)</f>
        <v>4</v>
      </c>
      <c r="O168" s="5">
        <v>60</v>
      </c>
      <c r="P168" s="4" t="str">
        <f t="shared" si="4"/>
        <v>&gt;50</v>
      </c>
      <c r="Q168" s="4">
        <f>M168+N168</f>
        <v>7</v>
      </c>
      <c r="U168" s="28" t="str" cm="1">
        <f t="array" ref="U168">_xlfn.IFS(F168&lt;30000,"30k",F168&lt;=50000,"30k-50k",F168&lt;=75000,"50k-75k",F168&lt;=100000,"75k-100k",F168&gt;100000,"100k")</f>
        <v>30k-50k</v>
      </c>
      <c r="W168" s="1">
        <f t="shared" si="5"/>
        <v>13</v>
      </c>
    </row>
    <row r="169" spans="1:23" x14ac:dyDescent="0.35">
      <c r="A169">
        <v>166</v>
      </c>
      <c r="B169">
        <v>10573</v>
      </c>
      <c r="C169">
        <v>1953</v>
      </c>
      <c r="D169" s="1" t="s">
        <v>10</v>
      </c>
      <c r="E169" s="1" t="s">
        <v>16</v>
      </c>
      <c r="F169">
        <v>62551</v>
      </c>
      <c r="G169">
        <v>0</v>
      </c>
      <c r="H169" s="2">
        <v>0</v>
      </c>
      <c r="I169" s="2">
        <v>41596</v>
      </c>
      <c r="J169">
        <v>27</v>
      </c>
      <c r="K169">
        <f>VLOOKUP(B169,purchase_dataset!$B$2:$F$2241,2,FALSE)</f>
        <v>16</v>
      </c>
      <c r="L169">
        <f>VLOOKUP(B169,purchase_dataset!$B$2:$F$2241,3,FALSE)</f>
        <v>21</v>
      </c>
      <c r="M169">
        <f>VLOOKUP(B169,purchase_dataset!$B$2:$F$2241,3,FALSE)</f>
        <v>21</v>
      </c>
      <c r="N169">
        <f>VLOOKUP(B169,purchase_dataset!$B$2:$F$2241,5,FALSE)</f>
        <v>4</v>
      </c>
      <c r="O169" s="5">
        <v>73</v>
      </c>
      <c r="P169" s="4" t="str">
        <f t="shared" si="4"/>
        <v>&gt;50</v>
      </c>
      <c r="Q169" s="4">
        <f>M169+N169</f>
        <v>25</v>
      </c>
      <c r="U169" s="28" t="str" cm="1">
        <f t="array" ref="U169">_xlfn.IFS(F169&lt;30000,"30k",F169&lt;=50000,"30k-50k",F169&lt;=75000,"50k-75k",F169&lt;=100000,"75k-100k",F169&gt;100000,"100k")</f>
        <v>50k-75k</v>
      </c>
      <c r="W169" s="1">
        <f t="shared" si="5"/>
        <v>13</v>
      </c>
    </row>
    <row r="170" spans="1:23" x14ac:dyDescent="0.35">
      <c r="A170">
        <v>167</v>
      </c>
      <c r="B170">
        <v>3712</v>
      </c>
      <c r="C170">
        <v>1959</v>
      </c>
      <c r="D170" s="1" t="s">
        <v>10</v>
      </c>
      <c r="E170" s="1" t="s">
        <v>16</v>
      </c>
      <c r="F170">
        <v>52332</v>
      </c>
      <c r="G170">
        <v>0</v>
      </c>
      <c r="H170" s="2">
        <v>0</v>
      </c>
      <c r="I170" s="2">
        <v>41514</v>
      </c>
      <c r="J170">
        <v>63</v>
      </c>
      <c r="K170">
        <f>VLOOKUP(B170,purchase_dataset!$B$2:$F$2241,2,FALSE)</f>
        <v>5</v>
      </c>
      <c r="L170">
        <f>VLOOKUP(B170,purchase_dataset!$B$2:$F$2241,3,FALSE)</f>
        <v>0</v>
      </c>
      <c r="M170">
        <f>VLOOKUP(B170,purchase_dataset!$B$2:$F$2241,3,FALSE)</f>
        <v>0</v>
      </c>
      <c r="N170">
        <f>VLOOKUP(B170,purchase_dataset!$B$2:$F$2241,5,FALSE)</f>
        <v>6</v>
      </c>
      <c r="O170" s="5">
        <v>67</v>
      </c>
      <c r="P170" s="4" t="str">
        <f t="shared" si="4"/>
        <v>&gt;50</v>
      </c>
      <c r="Q170" s="4">
        <f>M170+N170</f>
        <v>6</v>
      </c>
      <c r="U170" s="28" t="str" cm="1">
        <f t="array" ref="U170">_xlfn.IFS(F170&lt;30000,"30k",F170&lt;=50000,"30k-50k",F170&lt;=75000,"50k-75k",F170&lt;=100000,"75k-100k",F170&gt;100000,"100k")</f>
        <v>50k-75k</v>
      </c>
      <c r="W170" s="1">
        <f t="shared" si="5"/>
        <v>13</v>
      </c>
    </row>
    <row r="171" spans="1:23" x14ac:dyDescent="0.35">
      <c r="A171">
        <v>168</v>
      </c>
      <c r="B171">
        <v>6637</v>
      </c>
      <c r="C171">
        <v>1988</v>
      </c>
      <c r="D171" s="1" t="s">
        <v>10</v>
      </c>
      <c r="E171" s="1" t="s">
        <v>11</v>
      </c>
      <c r="F171">
        <v>66951</v>
      </c>
      <c r="G171">
        <v>0</v>
      </c>
      <c r="H171" s="2">
        <v>0</v>
      </c>
      <c r="I171" s="2">
        <v>41580</v>
      </c>
      <c r="J171">
        <v>46</v>
      </c>
      <c r="K171">
        <f>VLOOKUP(B171,purchase_dataset!$B$2:$F$2241,2,FALSE)</f>
        <v>162</v>
      </c>
      <c r="L171">
        <f>VLOOKUP(B171,purchase_dataset!$B$2:$F$2241,3,FALSE)</f>
        <v>76</v>
      </c>
      <c r="M171">
        <f>VLOOKUP(B171,purchase_dataset!$B$2:$F$2241,3,FALSE)</f>
        <v>76</v>
      </c>
      <c r="N171">
        <f>VLOOKUP(B171,purchase_dataset!$B$2:$F$2241,5,FALSE)</f>
        <v>7</v>
      </c>
      <c r="O171" s="5">
        <v>38</v>
      </c>
      <c r="P171" s="4" t="str">
        <f t="shared" si="4"/>
        <v>30-50</v>
      </c>
      <c r="Q171" s="4">
        <f>M171+N171</f>
        <v>83</v>
      </c>
      <c r="U171" s="28" t="str" cm="1">
        <f t="array" ref="U171">_xlfn.IFS(F171&lt;30000,"30k",F171&lt;=50000,"30k-50k",F171&lt;=75000,"50k-75k",F171&lt;=100000,"75k-100k",F171&gt;100000,"100k")</f>
        <v>50k-75k</v>
      </c>
      <c r="W171" s="1">
        <f t="shared" si="5"/>
        <v>13</v>
      </c>
    </row>
    <row r="172" spans="1:23" x14ac:dyDescent="0.35">
      <c r="A172">
        <v>169</v>
      </c>
      <c r="B172">
        <v>3152</v>
      </c>
      <c r="C172">
        <v>1957</v>
      </c>
      <c r="D172" s="1" t="s">
        <v>10</v>
      </c>
      <c r="E172" s="1" t="s">
        <v>12</v>
      </c>
      <c r="F172">
        <v>26091</v>
      </c>
      <c r="G172">
        <v>1</v>
      </c>
      <c r="H172" s="2">
        <v>1</v>
      </c>
      <c r="I172" s="2">
        <v>41695</v>
      </c>
      <c r="J172">
        <v>84</v>
      </c>
      <c r="K172">
        <f>VLOOKUP(B172,purchase_dataset!$B$2:$F$2241,2,FALSE)</f>
        <v>10</v>
      </c>
      <c r="L172">
        <f>VLOOKUP(B172,purchase_dataset!$B$2:$F$2241,3,FALSE)</f>
        <v>17</v>
      </c>
      <c r="M172">
        <f>VLOOKUP(B172,purchase_dataset!$B$2:$F$2241,3,FALSE)</f>
        <v>17</v>
      </c>
      <c r="N172">
        <f>VLOOKUP(B172,purchase_dataset!$B$2:$F$2241,5,FALSE)</f>
        <v>3</v>
      </c>
      <c r="O172" s="5">
        <v>69</v>
      </c>
      <c r="P172" s="4" t="str">
        <f t="shared" si="4"/>
        <v>&gt;50</v>
      </c>
      <c r="Q172" s="4">
        <f>M172+N172</f>
        <v>20</v>
      </c>
      <c r="U172" s="28" t="str" cm="1">
        <f t="array" ref="U172">_xlfn.IFS(F172&lt;30000,"30k",F172&lt;=50000,"30k-50k",F172&lt;=75000,"50k-75k",F172&lt;=100000,"75k-100k",F172&gt;100000,"100k")</f>
        <v>30k</v>
      </c>
      <c r="W172" s="1">
        <f t="shared" si="5"/>
        <v>12</v>
      </c>
    </row>
    <row r="173" spans="1:23" x14ac:dyDescent="0.35">
      <c r="A173">
        <v>170</v>
      </c>
      <c r="B173">
        <v>5610</v>
      </c>
      <c r="C173">
        <v>1965</v>
      </c>
      <c r="D173" s="1" t="s">
        <v>10</v>
      </c>
      <c r="E173" s="1" t="s">
        <v>12</v>
      </c>
      <c r="F173">
        <v>33456</v>
      </c>
      <c r="G173">
        <v>1</v>
      </c>
      <c r="H173" s="2">
        <v>1</v>
      </c>
      <c r="I173" s="2">
        <v>41750</v>
      </c>
      <c r="J173">
        <v>58</v>
      </c>
      <c r="K173">
        <f>VLOOKUP(B173,purchase_dataset!$B$2:$F$2241,2,FALSE)</f>
        <v>3</v>
      </c>
      <c r="L173">
        <f>VLOOKUP(B173,purchase_dataset!$B$2:$F$2241,3,FALSE)</f>
        <v>1</v>
      </c>
      <c r="M173">
        <f>VLOOKUP(B173,purchase_dataset!$B$2:$F$2241,3,FALSE)</f>
        <v>1</v>
      </c>
      <c r="N173">
        <f>VLOOKUP(B173,purchase_dataset!$B$2:$F$2241,5,FALSE)</f>
        <v>3</v>
      </c>
      <c r="O173" s="5">
        <v>61</v>
      </c>
      <c r="P173" s="4" t="str">
        <f t="shared" si="4"/>
        <v>&gt;50</v>
      </c>
      <c r="Q173" s="4">
        <f>M173+N173</f>
        <v>4</v>
      </c>
      <c r="U173" s="28" t="str" cm="1">
        <f t="array" ref="U173">_xlfn.IFS(F173&lt;30000,"30k",F173&lt;=50000,"30k-50k",F173&lt;=75000,"50k-75k",F173&lt;=100000,"75k-100k",F173&gt;100000,"100k")</f>
        <v>30k-50k</v>
      </c>
      <c r="W173" s="1">
        <f t="shared" si="5"/>
        <v>12</v>
      </c>
    </row>
    <row r="174" spans="1:23" x14ac:dyDescent="0.35">
      <c r="A174">
        <v>171</v>
      </c>
      <c r="B174">
        <v>6460</v>
      </c>
      <c r="C174">
        <v>1982</v>
      </c>
      <c r="D174" s="1" t="s">
        <v>10</v>
      </c>
      <c r="E174" s="1" t="s">
        <v>14</v>
      </c>
      <c r="F174">
        <v>28718</v>
      </c>
      <c r="G174">
        <v>1</v>
      </c>
      <c r="H174" s="2">
        <v>0</v>
      </c>
      <c r="I174" s="2">
        <v>41468</v>
      </c>
      <c r="J174">
        <v>78</v>
      </c>
      <c r="K174">
        <f>VLOOKUP(B174,purchase_dataset!$B$2:$F$2241,2,FALSE)</f>
        <v>4</v>
      </c>
      <c r="L174">
        <f>VLOOKUP(B174,purchase_dataset!$B$2:$F$2241,3,FALSE)</f>
        <v>8</v>
      </c>
      <c r="M174">
        <f>VLOOKUP(B174,purchase_dataset!$B$2:$F$2241,3,FALSE)</f>
        <v>8</v>
      </c>
      <c r="N174">
        <f>VLOOKUP(B174,purchase_dataset!$B$2:$F$2241,5,FALSE)</f>
        <v>3</v>
      </c>
      <c r="O174" s="5">
        <v>44</v>
      </c>
      <c r="P174" s="4" t="str">
        <f t="shared" si="4"/>
        <v>30-50</v>
      </c>
      <c r="Q174" s="4">
        <f>M174+N174</f>
        <v>11</v>
      </c>
      <c r="U174" s="28" t="str" cm="1">
        <f t="array" ref="U174">_xlfn.IFS(F174&lt;30000,"30k",F174&lt;=50000,"30k-50k",F174&lt;=75000,"50k-75k",F174&lt;=100000,"75k-100k",F174&gt;100000,"100k")</f>
        <v>30k</v>
      </c>
      <c r="W174" s="1">
        <f t="shared" si="5"/>
        <v>13</v>
      </c>
    </row>
    <row r="175" spans="1:23" x14ac:dyDescent="0.35">
      <c r="A175">
        <v>172</v>
      </c>
      <c r="B175">
        <v>1349</v>
      </c>
      <c r="C175">
        <v>1970</v>
      </c>
      <c r="D175" s="1" t="s">
        <v>10</v>
      </c>
      <c r="E175" s="1" t="s">
        <v>14</v>
      </c>
      <c r="F175">
        <v>50447</v>
      </c>
      <c r="G175">
        <v>2</v>
      </c>
      <c r="H175" s="2">
        <v>0</v>
      </c>
      <c r="I175" s="2">
        <v>41750</v>
      </c>
      <c r="J175">
        <v>4</v>
      </c>
      <c r="K175">
        <f>VLOOKUP(B175,purchase_dataset!$B$2:$F$2241,2,FALSE)</f>
        <v>7</v>
      </c>
      <c r="L175">
        <f>VLOOKUP(B175,purchase_dataset!$B$2:$F$2241,3,FALSE)</f>
        <v>3</v>
      </c>
      <c r="M175">
        <f>VLOOKUP(B175,purchase_dataset!$B$2:$F$2241,3,FALSE)</f>
        <v>3</v>
      </c>
      <c r="N175">
        <f>VLOOKUP(B175,purchase_dataset!$B$2:$F$2241,5,FALSE)</f>
        <v>3</v>
      </c>
      <c r="O175" s="5">
        <v>56</v>
      </c>
      <c r="P175" s="4" t="str">
        <f t="shared" si="4"/>
        <v>&gt;50</v>
      </c>
      <c r="Q175" s="4">
        <f>M175+N175</f>
        <v>6</v>
      </c>
      <c r="U175" s="28" t="str" cm="1">
        <f t="array" ref="U175">_xlfn.IFS(F175&lt;30000,"30k",F175&lt;=50000,"30k-50k",F175&lt;=75000,"50k-75k",F175&lt;=100000,"75k-100k",F175&gt;100000,"100k")</f>
        <v>50k-75k</v>
      </c>
      <c r="W175" s="1">
        <f t="shared" si="5"/>
        <v>12</v>
      </c>
    </row>
    <row r="176" spans="1:23" x14ac:dyDescent="0.35">
      <c r="A176">
        <v>173</v>
      </c>
      <c r="B176">
        <v>1880</v>
      </c>
      <c r="C176">
        <v>1959</v>
      </c>
      <c r="D176" s="1" t="s">
        <v>13</v>
      </c>
      <c r="E176" s="1" t="s">
        <v>12</v>
      </c>
      <c r="F176">
        <v>53537</v>
      </c>
      <c r="G176">
        <v>1</v>
      </c>
      <c r="H176" s="2">
        <v>1</v>
      </c>
      <c r="I176" s="2">
        <v>41669</v>
      </c>
      <c r="J176">
        <v>17</v>
      </c>
      <c r="K176">
        <f>VLOOKUP(B176,purchase_dataset!$B$2:$F$2241,2,FALSE)</f>
        <v>0</v>
      </c>
      <c r="L176">
        <f>VLOOKUP(B176,purchase_dataset!$B$2:$F$2241,3,FALSE)</f>
        <v>0</v>
      </c>
      <c r="M176">
        <f>VLOOKUP(B176,purchase_dataset!$B$2:$F$2241,3,FALSE)</f>
        <v>0</v>
      </c>
      <c r="N176">
        <f>VLOOKUP(B176,purchase_dataset!$B$2:$F$2241,5,FALSE)</f>
        <v>3</v>
      </c>
      <c r="O176" s="5">
        <v>67</v>
      </c>
      <c r="P176" s="4" t="str">
        <f t="shared" si="4"/>
        <v>&gt;50</v>
      </c>
      <c r="Q176" s="4">
        <f>M176+N176</f>
        <v>3</v>
      </c>
      <c r="U176" s="28" t="str" cm="1">
        <f t="array" ref="U176">_xlfn.IFS(F176&lt;30000,"30k",F176&lt;=50000,"30k-50k",F176&lt;=75000,"50k-75k",F176&lt;=100000,"75k-100k",F176&gt;100000,"100k")</f>
        <v>50k-75k</v>
      </c>
      <c r="W176" s="1">
        <f t="shared" si="5"/>
        <v>12</v>
      </c>
    </row>
    <row r="177" spans="1:23" x14ac:dyDescent="0.35">
      <c r="A177">
        <v>174</v>
      </c>
      <c r="B177">
        <v>641</v>
      </c>
      <c r="C177">
        <v>1967</v>
      </c>
      <c r="D177" s="1" t="s">
        <v>10</v>
      </c>
      <c r="E177" s="1" t="s">
        <v>11</v>
      </c>
      <c r="F177">
        <v>52074</v>
      </c>
      <c r="G177">
        <v>0</v>
      </c>
      <c r="H177" s="2">
        <v>1</v>
      </c>
      <c r="I177" s="2">
        <v>41733</v>
      </c>
      <c r="J177">
        <v>77</v>
      </c>
      <c r="K177">
        <f>VLOOKUP(B177,purchase_dataset!$B$2:$F$2241,2,FALSE)</f>
        <v>0</v>
      </c>
      <c r="L177">
        <f>VLOOKUP(B177,purchase_dataset!$B$2:$F$2241,3,FALSE)</f>
        <v>0</v>
      </c>
      <c r="M177">
        <f>VLOOKUP(B177,purchase_dataset!$B$2:$F$2241,3,FALSE)</f>
        <v>0</v>
      </c>
      <c r="N177">
        <f>VLOOKUP(B177,purchase_dataset!$B$2:$F$2241,5,FALSE)</f>
        <v>2</v>
      </c>
      <c r="O177" s="5">
        <v>59</v>
      </c>
      <c r="P177" s="4" t="str">
        <f t="shared" si="4"/>
        <v>&gt;50</v>
      </c>
      <c r="Q177" s="4">
        <f>M177+N177</f>
        <v>2</v>
      </c>
      <c r="U177" s="28" t="str" cm="1">
        <f t="array" ref="U177">_xlfn.IFS(F177&lt;30000,"30k",F177&lt;=50000,"30k-50k",F177&lt;=75000,"50k-75k",F177&lt;=100000,"75k-100k",F177&gt;100000,"100k")</f>
        <v>50k-75k</v>
      </c>
      <c r="W177" s="1">
        <f t="shared" si="5"/>
        <v>12</v>
      </c>
    </row>
    <row r="178" spans="1:23" x14ac:dyDescent="0.35">
      <c r="A178">
        <v>175</v>
      </c>
      <c r="B178">
        <v>8717</v>
      </c>
      <c r="C178">
        <v>1975</v>
      </c>
      <c r="D178" s="1" t="s">
        <v>13</v>
      </c>
      <c r="E178" s="1" t="s">
        <v>14</v>
      </c>
      <c r="F178">
        <v>80427</v>
      </c>
      <c r="G178">
        <v>0</v>
      </c>
      <c r="H178" s="2">
        <v>1</v>
      </c>
      <c r="I178" s="2">
        <v>41164</v>
      </c>
      <c r="J178">
        <v>56</v>
      </c>
      <c r="K178">
        <f>VLOOKUP(B178,purchase_dataset!$B$2:$F$2241,2,FALSE)</f>
        <v>71</v>
      </c>
      <c r="L178">
        <f>VLOOKUP(B178,purchase_dataset!$B$2:$F$2241,3,FALSE)</f>
        <v>71</v>
      </c>
      <c r="M178">
        <f>VLOOKUP(B178,purchase_dataset!$B$2:$F$2241,3,FALSE)</f>
        <v>71</v>
      </c>
      <c r="N178">
        <f>VLOOKUP(B178,purchase_dataset!$B$2:$F$2241,5,FALSE)</f>
        <v>8</v>
      </c>
      <c r="O178" s="5">
        <v>51</v>
      </c>
      <c r="P178" s="4" t="str">
        <f t="shared" si="4"/>
        <v>&gt;50</v>
      </c>
      <c r="Q178" s="4">
        <f>M178+N178</f>
        <v>79</v>
      </c>
      <c r="U178" s="28" t="str" cm="1">
        <f t="array" ref="U178">_xlfn.IFS(F178&lt;30000,"30k",F178&lt;=50000,"30k-50k",F178&lt;=75000,"50k-75k",F178&lt;=100000,"75k-100k",F178&gt;100000,"100k")</f>
        <v>75k-100k</v>
      </c>
      <c r="W178" s="1">
        <f t="shared" si="5"/>
        <v>14</v>
      </c>
    </row>
    <row r="179" spans="1:23" x14ac:dyDescent="0.35">
      <c r="A179">
        <v>176</v>
      </c>
      <c r="B179">
        <v>10314</v>
      </c>
      <c r="C179">
        <v>1948</v>
      </c>
      <c r="D179" s="1" t="s">
        <v>13</v>
      </c>
      <c r="E179" s="1" t="s">
        <v>14</v>
      </c>
      <c r="F179">
        <v>83837</v>
      </c>
      <c r="G179">
        <v>0</v>
      </c>
      <c r="H179" s="2">
        <v>0</v>
      </c>
      <c r="I179" s="2">
        <v>41259</v>
      </c>
      <c r="J179">
        <v>79</v>
      </c>
      <c r="K179">
        <f>VLOOKUP(B179,purchase_dataset!$B$2:$F$2241,2,FALSE)</f>
        <v>66</v>
      </c>
      <c r="L179">
        <f>VLOOKUP(B179,purchase_dataset!$B$2:$F$2241,3,FALSE)</f>
        <v>89</v>
      </c>
      <c r="M179">
        <f>VLOOKUP(B179,purchase_dataset!$B$2:$F$2241,3,FALSE)</f>
        <v>89</v>
      </c>
      <c r="N179">
        <f>VLOOKUP(B179,purchase_dataset!$B$2:$F$2241,5,FALSE)</f>
        <v>5</v>
      </c>
      <c r="O179" s="5">
        <v>78</v>
      </c>
      <c r="P179" s="4" t="str">
        <f t="shared" si="4"/>
        <v>&gt;50</v>
      </c>
      <c r="Q179" s="4">
        <f>M179+N179</f>
        <v>94</v>
      </c>
      <c r="U179" s="28" t="str" cm="1">
        <f t="array" ref="U179">_xlfn.IFS(F179&lt;30000,"30k",F179&lt;=50000,"30k-50k",F179&lt;=75000,"50k-75k",F179&lt;=100000,"75k-100k",F179&gt;100000,"100k")</f>
        <v>75k-100k</v>
      </c>
      <c r="W179" s="1">
        <f t="shared" si="5"/>
        <v>14</v>
      </c>
    </row>
    <row r="180" spans="1:23" x14ac:dyDescent="0.35">
      <c r="A180">
        <v>177</v>
      </c>
      <c r="B180">
        <v>10854</v>
      </c>
      <c r="C180">
        <v>1970</v>
      </c>
      <c r="D180" s="1" t="s">
        <v>13</v>
      </c>
      <c r="E180" s="1" t="s">
        <v>14</v>
      </c>
      <c r="F180">
        <v>38853</v>
      </c>
      <c r="G180">
        <v>1</v>
      </c>
      <c r="H180" s="2">
        <v>1</v>
      </c>
      <c r="I180" s="2">
        <v>41782</v>
      </c>
      <c r="J180">
        <v>90</v>
      </c>
      <c r="K180">
        <f>VLOOKUP(B180,purchase_dataset!$B$2:$F$2241,2,FALSE)</f>
        <v>0</v>
      </c>
      <c r="L180">
        <f>VLOOKUP(B180,purchase_dataset!$B$2:$F$2241,3,FALSE)</f>
        <v>0</v>
      </c>
      <c r="M180">
        <f>VLOOKUP(B180,purchase_dataset!$B$2:$F$2241,3,FALSE)</f>
        <v>0</v>
      </c>
      <c r="N180">
        <f>VLOOKUP(B180,purchase_dataset!$B$2:$F$2241,5,FALSE)</f>
        <v>3</v>
      </c>
      <c r="O180" s="5">
        <v>56</v>
      </c>
      <c r="P180" s="4" t="str">
        <f t="shared" si="4"/>
        <v>&gt;50</v>
      </c>
      <c r="Q180" s="4">
        <f>M180+N180</f>
        <v>3</v>
      </c>
      <c r="U180" s="28" t="str" cm="1">
        <f t="array" ref="U180">_xlfn.IFS(F180&lt;30000,"30k",F180&lt;=50000,"30k-50k",F180&lt;=75000,"50k-75k",F180&lt;=100000,"75k-100k",F180&gt;100000,"100k")</f>
        <v>30k-50k</v>
      </c>
      <c r="W180" s="1">
        <f t="shared" si="5"/>
        <v>12</v>
      </c>
    </row>
    <row r="181" spans="1:23" x14ac:dyDescent="0.35">
      <c r="A181">
        <v>178</v>
      </c>
      <c r="B181">
        <v>10492</v>
      </c>
      <c r="C181">
        <v>1959</v>
      </c>
      <c r="D181" s="1" t="s">
        <v>10</v>
      </c>
      <c r="E181" s="1" t="s">
        <v>12</v>
      </c>
      <c r="F181">
        <v>38285</v>
      </c>
      <c r="G181">
        <v>2</v>
      </c>
      <c r="H181" s="2">
        <v>1</v>
      </c>
      <c r="I181" s="2">
        <v>41814</v>
      </c>
      <c r="J181">
        <v>96</v>
      </c>
      <c r="K181">
        <f>VLOOKUP(B181,purchase_dataset!$B$2:$F$2241,2,FALSE)</f>
        <v>0</v>
      </c>
      <c r="L181">
        <f>VLOOKUP(B181,purchase_dataset!$B$2:$F$2241,3,FALSE)</f>
        <v>0</v>
      </c>
      <c r="M181">
        <f>VLOOKUP(B181,purchase_dataset!$B$2:$F$2241,3,FALSE)</f>
        <v>0</v>
      </c>
      <c r="N181">
        <f>VLOOKUP(B181,purchase_dataset!$B$2:$F$2241,5,FALSE)</f>
        <v>3</v>
      </c>
      <c r="O181" s="5">
        <v>67</v>
      </c>
      <c r="P181" s="4" t="str">
        <f t="shared" si="4"/>
        <v>&gt;50</v>
      </c>
      <c r="Q181" s="4">
        <f>M181+N181</f>
        <v>3</v>
      </c>
      <c r="U181" s="28" t="str" cm="1">
        <f t="array" ref="U181">_xlfn.IFS(F181&lt;30000,"30k",F181&lt;=50000,"30k-50k",F181&lt;=75000,"50k-75k",F181&lt;=100000,"75k-100k",F181&gt;100000,"100k")</f>
        <v>30k-50k</v>
      </c>
      <c r="W181" s="1">
        <f t="shared" si="5"/>
        <v>12</v>
      </c>
    </row>
    <row r="182" spans="1:23" x14ac:dyDescent="0.35">
      <c r="A182">
        <v>179</v>
      </c>
      <c r="B182">
        <v>6935</v>
      </c>
      <c r="C182">
        <v>1951</v>
      </c>
      <c r="D182" s="1" t="s">
        <v>18</v>
      </c>
      <c r="E182" s="1" t="s">
        <v>14</v>
      </c>
      <c r="F182">
        <v>78497</v>
      </c>
      <c r="G182">
        <v>0</v>
      </c>
      <c r="H182" s="2">
        <v>0</v>
      </c>
      <c r="I182" s="2">
        <v>41609</v>
      </c>
      <c r="J182">
        <v>44</v>
      </c>
      <c r="K182">
        <f>VLOOKUP(B182,purchase_dataset!$B$2:$F$2241,2,FALSE)</f>
        <v>26</v>
      </c>
      <c r="L182">
        <f>VLOOKUP(B182,purchase_dataset!$B$2:$F$2241,3,FALSE)</f>
        <v>0</v>
      </c>
      <c r="M182">
        <f>VLOOKUP(B182,purchase_dataset!$B$2:$F$2241,3,FALSE)</f>
        <v>0</v>
      </c>
      <c r="N182">
        <f>VLOOKUP(B182,purchase_dataset!$B$2:$F$2241,5,FALSE)</f>
        <v>12</v>
      </c>
      <c r="O182" s="5">
        <v>75</v>
      </c>
      <c r="P182" s="4" t="str">
        <f t="shared" si="4"/>
        <v>&gt;50</v>
      </c>
      <c r="Q182" s="4">
        <f>M182+N182</f>
        <v>12</v>
      </c>
      <c r="U182" s="28" t="str" cm="1">
        <f t="array" ref="U182">_xlfn.IFS(F182&lt;30000,"30k",F182&lt;=50000,"30k-50k",F182&lt;=75000,"50k-75k",F182&lt;=100000,"75k-100k",F182&gt;100000,"100k")</f>
        <v>75k-100k</v>
      </c>
      <c r="W182" s="1">
        <f t="shared" si="5"/>
        <v>13</v>
      </c>
    </row>
    <row r="183" spans="1:23" x14ac:dyDescent="0.35">
      <c r="A183">
        <v>180</v>
      </c>
      <c r="B183">
        <v>7698</v>
      </c>
      <c r="C183">
        <v>1976</v>
      </c>
      <c r="D183" s="1" t="s">
        <v>13</v>
      </c>
      <c r="E183" s="1" t="s">
        <v>14</v>
      </c>
      <c r="F183">
        <v>51650</v>
      </c>
      <c r="G183">
        <v>0</v>
      </c>
      <c r="H183" s="2">
        <v>1</v>
      </c>
      <c r="I183" s="2">
        <v>41770</v>
      </c>
      <c r="J183">
        <v>81</v>
      </c>
      <c r="K183">
        <f>VLOOKUP(B183,purchase_dataset!$B$2:$F$2241,2,FALSE)</f>
        <v>3</v>
      </c>
      <c r="L183">
        <f>VLOOKUP(B183,purchase_dataset!$B$2:$F$2241,3,FALSE)</f>
        <v>5</v>
      </c>
      <c r="M183">
        <f>VLOOKUP(B183,purchase_dataset!$B$2:$F$2241,3,FALSE)</f>
        <v>5</v>
      </c>
      <c r="N183">
        <f>VLOOKUP(B183,purchase_dataset!$B$2:$F$2241,5,FALSE)</f>
        <v>4</v>
      </c>
      <c r="O183" s="5">
        <v>50</v>
      </c>
      <c r="P183" s="4" t="str">
        <f t="shared" si="4"/>
        <v>30-50</v>
      </c>
      <c r="Q183" s="4">
        <f>M183+N183</f>
        <v>9</v>
      </c>
      <c r="U183" s="28" t="str" cm="1">
        <f t="array" ref="U183">_xlfn.IFS(F183&lt;30000,"30k",F183&lt;=50000,"30k-50k",F183&lt;=75000,"50k-75k",F183&lt;=100000,"75k-100k",F183&gt;100000,"100k")</f>
        <v>50k-75k</v>
      </c>
      <c r="W183" s="1">
        <f t="shared" si="5"/>
        <v>12</v>
      </c>
    </row>
    <row r="184" spans="1:23" x14ac:dyDescent="0.35">
      <c r="A184">
        <v>181</v>
      </c>
      <c r="B184">
        <v>3559</v>
      </c>
      <c r="C184">
        <v>1988</v>
      </c>
      <c r="D184" s="1" t="s">
        <v>18</v>
      </c>
      <c r="E184" s="1" t="s">
        <v>14</v>
      </c>
      <c r="F184">
        <v>16248</v>
      </c>
      <c r="G184">
        <v>1</v>
      </c>
      <c r="H184" s="2">
        <v>0</v>
      </c>
      <c r="I184" s="2">
        <v>41769</v>
      </c>
      <c r="J184">
        <v>77</v>
      </c>
      <c r="K184">
        <f>VLOOKUP(B184,purchase_dataset!$B$2:$F$2241,2,FALSE)</f>
        <v>11</v>
      </c>
      <c r="L184">
        <f>VLOOKUP(B184,purchase_dataset!$B$2:$F$2241,3,FALSE)</f>
        <v>12</v>
      </c>
      <c r="M184">
        <f>VLOOKUP(B184,purchase_dataset!$B$2:$F$2241,3,FALSE)</f>
        <v>12</v>
      </c>
      <c r="N184">
        <f>VLOOKUP(B184,purchase_dataset!$B$2:$F$2241,5,FALSE)</f>
        <v>3</v>
      </c>
      <c r="O184" s="5">
        <v>38</v>
      </c>
      <c r="P184" s="4" t="str">
        <f t="shared" si="4"/>
        <v>30-50</v>
      </c>
      <c r="Q184" s="4">
        <f>M184+N184</f>
        <v>15</v>
      </c>
      <c r="U184" s="28" t="str" cm="1">
        <f t="array" ref="U184">_xlfn.IFS(F184&lt;30000,"30k",F184&lt;=50000,"30k-50k",F184&lt;=75000,"50k-75k",F184&lt;=100000,"75k-100k",F184&gt;100000,"100k")</f>
        <v>30k</v>
      </c>
      <c r="W184" s="1">
        <f t="shared" si="5"/>
        <v>12</v>
      </c>
    </row>
    <row r="185" spans="1:23" x14ac:dyDescent="0.35">
      <c r="A185">
        <v>182</v>
      </c>
      <c r="B185">
        <v>10562</v>
      </c>
      <c r="C185">
        <v>1946</v>
      </c>
      <c r="D185" s="1" t="s">
        <v>15</v>
      </c>
      <c r="E185" s="1" t="s">
        <v>14</v>
      </c>
      <c r="F185">
        <v>66835</v>
      </c>
      <c r="G185">
        <v>0</v>
      </c>
      <c r="H185" s="2">
        <v>0</v>
      </c>
      <c r="I185" s="2">
        <v>41545</v>
      </c>
      <c r="J185">
        <v>21</v>
      </c>
      <c r="K185">
        <f>VLOOKUP(B185,purchase_dataset!$B$2:$F$2241,2,FALSE)</f>
        <v>26</v>
      </c>
      <c r="L185">
        <f>VLOOKUP(B185,purchase_dataset!$B$2:$F$2241,3,FALSE)</f>
        <v>17</v>
      </c>
      <c r="M185">
        <f>VLOOKUP(B185,purchase_dataset!$B$2:$F$2241,3,FALSE)</f>
        <v>17</v>
      </c>
      <c r="N185">
        <f>VLOOKUP(B185,purchase_dataset!$B$2:$F$2241,5,FALSE)</f>
        <v>13</v>
      </c>
      <c r="O185" s="5">
        <v>80</v>
      </c>
      <c r="P185" s="4" t="str">
        <f t="shared" si="4"/>
        <v>&gt;50</v>
      </c>
      <c r="Q185" s="4">
        <f>M185+N185</f>
        <v>30</v>
      </c>
      <c r="U185" s="28" t="str" cm="1">
        <f t="array" ref="U185">_xlfn.IFS(F185&lt;30000,"30k",F185&lt;=50000,"30k-50k",F185&lt;=75000,"50k-75k",F185&lt;=100000,"75k-100k",F185&gt;100000,"100k")</f>
        <v>50k-75k</v>
      </c>
      <c r="W185" s="1">
        <f t="shared" si="5"/>
        <v>13</v>
      </c>
    </row>
    <row r="186" spans="1:23" x14ac:dyDescent="0.35">
      <c r="A186">
        <v>183</v>
      </c>
      <c r="B186">
        <v>10796</v>
      </c>
      <c r="C186">
        <v>1984</v>
      </c>
      <c r="D186" s="1" t="s">
        <v>15</v>
      </c>
      <c r="E186" s="1" t="s">
        <v>14</v>
      </c>
      <c r="F186">
        <v>30477</v>
      </c>
      <c r="G186">
        <v>1</v>
      </c>
      <c r="H186" s="2">
        <v>0</v>
      </c>
      <c r="I186" s="2">
        <v>41661</v>
      </c>
      <c r="J186">
        <v>16</v>
      </c>
      <c r="K186">
        <f>VLOOKUP(B186,purchase_dataset!$B$2:$F$2241,2,FALSE)</f>
        <v>1</v>
      </c>
      <c r="L186">
        <f>VLOOKUP(B186,purchase_dataset!$B$2:$F$2241,3,FALSE)</f>
        <v>0</v>
      </c>
      <c r="M186">
        <f>VLOOKUP(B186,purchase_dataset!$B$2:$F$2241,3,FALSE)</f>
        <v>0</v>
      </c>
      <c r="N186">
        <f>VLOOKUP(B186,purchase_dataset!$B$2:$F$2241,5,FALSE)</f>
        <v>3</v>
      </c>
      <c r="O186" s="5">
        <v>42</v>
      </c>
      <c r="P186" s="4" t="str">
        <f t="shared" si="4"/>
        <v>30-50</v>
      </c>
      <c r="Q186" s="4">
        <f>M186+N186</f>
        <v>3</v>
      </c>
      <c r="U186" s="28" t="str" cm="1">
        <f t="array" ref="U186">_xlfn.IFS(F186&lt;30000,"30k",F186&lt;=50000,"30k-50k",F186&lt;=75000,"50k-75k",F186&lt;=100000,"75k-100k",F186&gt;100000,"100k")</f>
        <v>30k-50k</v>
      </c>
      <c r="W186" s="1">
        <f t="shared" si="5"/>
        <v>12</v>
      </c>
    </row>
    <row r="187" spans="1:23" x14ac:dyDescent="0.35">
      <c r="A187">
        <v>184</v>
      </c>
      <c r="B187">
        <v>2563</v>
      </c>
      <c r="C187">
        <v>1961</v>
      </c>
      <c r="D187" s="1" t="s">
        <v>17</v>
      </c>
      <c r="E187" s="1" t="s">
        <v>14</v>
      </c>
      <c r="F187">
        <v>28249</v>
      </c>
      <c r="G187">
        <v>0</v>
      </c>
      <c r="H187" s="2">
        <v>0</v>
      </c>
      <c r="I187" s="2">
        <v>41805</v>
      </c>
      <c r="J187">
        <v>80</v>
      </c>
      <c r="K187">
        <f>VLOOKUP(B187,purchase_dataset!$B$2:$F$2241,2,FALSE)</f>
        <v>9</v>
      </c>
      <c r="L187">
        <f>VLOOKUP(B187,purchase_dataset!$B$2:$F$2241,3,FALSE)</f>
        <v>14</v>
      </c>
      <c r="M187">
        <f>VLOOKUP(B187,purchase_dataset!$B$2:$F$2241,3,FALSE)</f>
        <v>14</v>
      </c>
      <c r="N187">
        <f>VLOOKUP(B187,purchase_dataset!$B$2:$F$2241,5,FALSE)</f>
        <v>3</v>
      </c>
      <c r="O187" s="5">
        <v>65</v>
      </c>
      <c r="P187" s="4" t="str">
        <f t="shared" si="4"/>
        <v>&gt;50</v>
      </c>
      <c r="Q187" s="4">
        <f>M187+N187</f>
        <v>17</v>
      </c>
      <c r="U187" s="28" t="str" cm="1">
        <f t="array" ref="U187">_xlfn.IFS(F187&lt;30000,"30k",F187&lt;=50000,"30k-50k",F187&lt;=75000,"50k-75k",F187&lt;=100000,"75k-100k",F187&gt;100000,"100k")</f>
        <v>30k</v>
      </c>
      <c r="W187" s="1">
        <f t="shared" si="5"/>
        <v>12</v>
      </c>
    </row>
    <row r="188" spans="1:23" x14ac:dyDescent="0.35">
      <c r="A188">
        <v>185</v>
      </c>
      <c r="B188">
        <v>3518</v>
      </c>
      <c r="C188">
        <v>1983</v>
      </c>
      <c r="D188" s="1" t="s">
        <v>10</v>
      </c>
      <c r="E188" s="1" t="s">
        <v>14</v>
      </c>
      <c r="F188">
        <v>25271</v>
      </c>
      <c r="G188">
        <v>1</v>
      </c>
      <c r="H188" s="2">
        <v>0</v>
      </c>
      <c r="I188" s="2">
        <v>41248</v>
      </c>
      <c r="J188">
        <v>45</v>
      </c>
      <c r="K188">
        <f>VLOOKUP(B188,purchase_dataset!$B$2:$F$2241,2,FALSE)</f>
        <v>1</v>
      </c>
      <c r="L188">
        <f>VLOOKUP(B188,purchase_dataset!$B$2:$F$2241,3,FALSE)</f>
        <v>4</v>
      </c>
      <c r="M188">
        <f>VLOOKUP(B188,purchase_dataset!$B$2:$F$2241,3,FALSE)</f>
        <v>4</v>
      </c>
      <c r="N188">
        <f>VLOOKUP(B188,purchase_dataset!$B$2:$F$2241,5,FALSE)</f>
        <v>2</v>
      </c>
      <c r="O188" s="5">
        <v>43</v>
      </c>
      <c r="P188" s="4" t="str">
        <f t="shared" si="4"/>
        <v>30-50</v>
      </c>
      <c r="Q188" s="4">
        <f>M188+N188</f>
        <v>6</v>
      </c>
      <c r="U188" s="28" t="str" cm="1">
        <f t="array" ref="U188">_xlfn.IFS(F188&lt;30000,"30k",F188&lt;=50000,"30k-50k",F188&lt;=75000,"50k-75k",F188&lt;=100000,"75k-100k",F188&gt;100000,"100k")</f>
        <v>30k</v>
      </c>
      <c r="W188" s="1">
        <f t="shared" si="5"/>
        <v>14</v>
      </c>
    </row>
    <row r="189" spans="1:23" x14ac:dyDescent="0.35">
      <c r="A189">
        <v>186</v>
      </c>
      <c r="B189">
        <v>5823</v>
      </c>
      <c r="C189">
        <v>1970</v>
      </c>
      <c r="D189" s="1" t="s">
        <v>13</v>
      </c>
      <c r="E189" s="1" t="s">
        <v>11</v>
      </c>
      <c r="F189">
        <v>32303</v>
      </c>
      <c r="G189">
        <v>0</v>
      </c>
      <c r="H189" s="2">
        <v>1</v>
      </c>
      <c r="I189" s="2">
        <v>41706</v>
      </c>
      <c r="J189">
        <v>63</v>
      </c>
      <c r="K189">
        <f>VLOOKUP(B189,purchase_dataset!$B$2:$F$2241,2,FALSE)</f>
        <v>0</v>
      </c>
      <c r="L189">
        <f>VLOOKUP(B189,purchase_dataset!$B$2:$F$2241,3,FALSE)</f>
        <v>0</v>
      </c>
      <c r="M189">
        <f>VLOOKUP(B189,purchase_dataset!$B$2:$F$2241,3,FALSE)</f>
        <v>0</v>
      </c>
      <c r="N189">
        <f>VLOOKUP(B189,purchase_dataset!$B$2:$F$2241,5,FALSE)</f>
        <v>4</v>
      </c>
      <c r="O189" s="5">
        <v>56</v>
      </c>
      <c r="P189" s="4" t="str">
        <f t="shared" si="4"/>
        <v>&gt;50</v>
      </c>
      <c r="Q189" s="4">
        <f>M189+N189</f>
        <v>4</v>
      </c>
      <c r="U189" s="28" t="str" cm="1">
        <f t="array" ref="U189">_xlfn.IFS(F189&lt;30000,"30k",F189&lt;=50000,"30k-50k",F189&lt;=75000,"50k-75k",F189&lt;=100000,"75k-100k",F189&gt;100000,"100k")</f>
        <v>30k-50k</v>
      </c>
      <c r="W189" s="1">
        <f t="shared" si="5"/>
        <v>12</v>
      </c>
    </row>
    <row r="190" spans="1:23" x14ac:dyDescent="0.35">
      <c r="A190">
        <v>187</v>
      </c>
      <c r="B190">
        <v>3934</v>
      </c>
      <c r="C190">
        <v>1966</v>
      </c>
      <c r="D190" s="1" t="s">
        <v>10</v>
      </c>
      <c r="E190" s="1" t="s">
        <v>14</v>
      </c>
      <c r="F190">
        <v>61286</v>
      </c>
      <c r="G190">
        <v>0</v>
      </c>
      <c r="H190" s="2">
        <v>1</v>
      </c>
      <c r="I190" s="2">
        <v>41488</v>
      </c>
      <c r="J190">
        <v>34</v>
      </c>
      <c r="K190">
        <f>VLOOKUP(B190,purchase_dataset!$B$2:$F$2241,2,FALSE)</f>
        <v>0</v>
      </c>
      <c r="L190">
        <f>VLOOKUP(B190,purchase_dataset!$B$2:$F$2241,3,FALSE)</f>
        <v>9</v>
      </c>
      <c r="M190">
        <f>VLOOKUP(B190,purchase_dataset!$B$2:$F$2241,3,FALSE)</f>
        <v>9</v>
      </c>
      <c r="N190">
        <f>VLOOKUP(B190,purchase_dataset!$B$2:$F$2241,5,FALSE)</f>
        <v>8</v>
      </c>
      <c r="O190" s="5">
        <v>60</v>
      </c>
      <c r="P190" s="4" t="str">
        <f t="shared" si="4"/>
        <v>&gt;50</v>
      </c>
      <c r="Q190" s="4">
        <f>M190+N190</f>
        <v>17</v>
      </c>
      <c r="U190" s="28" t="str" cm="1">
        <f t="array" ref="U190">_xlfn.IFS(F190&lt;30000,"30k",F190&lt;=50000,"30k-50k",F190&lt;=75000,"50k-75k",F190&lt;=100000,"75k-100k",F190&gt;100000,"100k")</f>
        <v>50k-75k</v>
      </c>
      <c r="W190" s="1">
        <f t="shared" si="5"/>
        <v>13</v>
      </c>
    </row>
    <row r="191" spans="1:23" x14ac:dyDescent="0.35">
      <c r="A191">
        <v>188</v>
      </c>
      <c r="B191">
        <v>6982</v>
      </c>
      <c r="C191">
        <v>1976</v>
      </c>
      <c r="D191" s="1" t="s">
        <v>10</v>
      </c>
      <c r="E191" s="1" t="s">
        <v>14</v>
      </c>
      <c r="F191">
        <v>74068</v>
      </c>
      <c r="G191">
        <v>0</v>
      </c>
      <c r="H191" s="2">
        <v>0</v>
      </c>
      <c r="I191" s="2">
        <v>41352</v>
      </c>
      <c r="J191">
        <v>14</v>
      </c>
      <c r="K191">
        <f>VLOOKUP(B191,purchase_dataset!$B$2:$F$2241,2,FALSE)</f>
        <v>30</v>
      </c>
      <c r="L191">
        <f>VLOOKUP(B191,purchase_dataset!$B$2:$F$2241,3,FALSE)</f>
        <v>76</v>
      </c>
      <c r="M191">
        <f>VLOOKUP(B191,purchase_dataset!$B$2:$F$2241,3,FALSE)</f>
        <v>76</v>
      </c>
      <c r="N191">
        <f>VLOOKUP(B191,purchase_dataset!$B$2:$F$2241,5,FALSE)</f>
        <v>9</v>
      </c>
      <c r="O191" s="5">
        <v>50</v>
      </c>
      <c r="P191" s="4" t="str">
        <f t="shared" si="4"/>
        <v>30-50</v>
      </c>
      <c r="Q191" s="4">
        <f>M191+N191</f>
        <v>85</v>
      </c>
      <c r="U191" s="28" t="str" cm="1">
        <f t="array" ref="U191">_xlfn.IFS(F191&lt;30000,"30k",F191&lt;=50000,"30k-50k",F191&lt;=75000,"50k-75k",F191&lt;=100000,"75k-100k",F191&gt;100000,"100k")</f>
        <v>50k-75k</v>
      </c>
      <c r="W191" s="1">
        <f t="shared" si="5"/>
        <v>13</v>
      </c>
    </row>
    <row r="192" spans="1:23" x14ac:dyDescent="0.35">
      <c r="A192">
        <v>189</v>
      </c>
      <c r="B192">
        <v>6431</v>
      </c>
      <c r="C192">
        <v>1964</v>
      </c>
      <c r="D192" s="1" t="s">
        <v>13</v>
      </c>
      <c r="E192" s="1" t="s">
        <v>14</v>
      </c>
      <c r="F192">
        <v>45759</v>
      </c>
      <c r="G192">
        <v>1</v>
      </c>
      <c r="H192" s="2">
        <v>1</v>
      </c>
      <c r="I192" s="2">
        <v>41328</v>
      </c>
      <c r="J192">
        <v>13</v>
      </c>
      <c r="K192">
        <f>VLOOKUP(B192,purchase_dataset!$B$2:$F$2241,2,FALSE)</f>
        <v>1</v>
      </c>
      <c r="L192">
        <f>VLOOKUP(B192,purchase_dataset!$B$2:$F$2241,3,FALSE)</f>
        <v>0</v>
      </c>
      <c r="M192">
        <f>VLOOKUP(B192,purchase_dataset!$B$2:$F$2241,3,FALSE)</f>
        <v>0</v>
      </c>
      <c r="N192">
        <f>VLOOKUP(B192,purchase_dataset!$B$2:$F$2241,5,FALSE)</f>
        <v>3</v>
      </c>
      <c r="O192" s="5">
        <v>62</v>
      </c>
      <c r="P192" s="4" t="str">
        <f t="shared" si="4"/>
        <v>&gt;50</v>
      </c>
      <c r="Q192" s="4">
        <f>M192+N192</f>
        <v>3</v>
      </c>
      <c r="U192" s="28" t="str" cm="1">
        <f t="array" ref="U192">_xlfn.IFS(F192&lt;30000,"30k",F192&lt;=50000,"30k-50k",F192&lt;=75000,"50k-75k",F192&lt;=100000,"75k-100k",F192&gt;100000,"100k")</f>
        <v>30k-50k</v>
      </c>
      <c r="W192" s="1">
        <f t="shared" si="5"/>
        <v>13</v>
      </c>
    </row>
    <row r="193" spans="1:23" x14ac:dyDescent="0.35">
      <c r="A193">
        <v>190</v>
      </c>
      <c r="B193">
        <v>9733</v>
      </c>
      <c r="C193">
        <v>1978</v>
      </c>
      <c r="D193" s="1" t="s">
        <v>17</v>
      </c>
      <c r="E193" s="1" t="s">
        <v>12</v>
      </c>
      <c r="F193">
        <v>24882</v>
      </c>
      <c r="G193">
        <v>1</v>
      </c>
      <c r="H193" s="2">
        <v>0</v>
      </c>
      <c r="I193" s="2">
        <v>41161</v>
      </c>
      <c r="J193">
        <v>52</v>
      </c>
      <c r="K193">
        <f>VLOOKUP(B193,purchase_dataset!$B$2:$F$2241,2,FALSE)</f>
        <v>4</v>
      </c>
      <c r="L193">
        <f>VLOOKUP(B193,purchase_dataset!$B$2:$F$2241,3,FALSE)</f>
        <v>0</v>
      </c>
      <c r="M193">
        <f>VLOOKUP(B193,purchase_dataset!$B$2:$F$2241,3,FALSE)</f>
        <v>0</v>
      </c>
      <c r="N193">
        <f>VLOOKUP(B193,purchase_dataset!$B$2:$F$2241,5,FALSE)</f>
        <v>2</v>
      </c>
      <c r="O193" s="5">
        <v>48</v>
      </c>
      <c r="P193" s="4" t="str">
        <f t="shared" si="4"/>
        <v>30-50</v>
      </c>
      <c r="Q193" s="4">
        <f>M193+N193</f>
        <v>2</v>
      </c>
      <c r="U193" s="28" t="str" cm="1">
        <f t="array" ref="U193">_xlfn.IFS(F193&lt;30000,"30k",F193&lt;=50000,"30k-50k",F193&lt;=75000,"50k-75k",F193&lt;=100000,"75k-100k",F193&gt;100000,"100k")</f>
        <v>30k</v>
      </c>
      <c r="W193" s="1">
        <f t="shared" si="5"/>
        <v>14</v>
      </c>
    </row>
    <row r="194" spans="1:23" x14ac:dyDescent="0.35">
      <c r="A194">
        <v>191</v>
      </c>
      <c r="B194">
        <v>5602</v>
      </c>
      <c r="C194">
        <v>1989</v>
      </c>
      <c r="D194" s="1" t="s">
        <v>13</v>
      </c>
      <c r="E194" s="1" t="s">
        <v>12</v>
      </c>
      <c r="F194">
        <v>66973</v>
      </c>
      <c r="G194">
        <v>0</v>
      </c>
      <c r="H194" s="2">
        <v>0</v>
      </c>
      <c r="I194" s="2">
        <v>41411</v>
      </c>
      <c r="J194">
        <v>98</v>
      </c>
      <c r="K194">
        <f>VLOOKUP(B194,purchase_dataset!$B$2:$F$2241,2,FALSE)</f>
        <v>22</v>
      </c>
      <c r="L194">
        <f>VLOOKUP(B194,purchase_dataset!$B$2:$F$2241,3,FALSE)</f>
        <v>113</v>
      </c>
      <c r="M194">
        <f>VLOOKUP(B194,purchase_dataset!$B$2:$F$2241,3,FALSE)</f>
        <v>113</v>
      </c>
      <c r="N194">
        <f>VLOOKUP(B194,purchase_dataset!$B$2:$F$2241,5,FALSE)</f>
        <v>12</v>
      </c>
      <c r="O194" s="5">
        <v>37</v>
      </c>
      <c r="P194" s="4" t="str">
        <f t="shared" si="4"/>
        <v>30-50</v>
      </c>
      <c r="Q194" s="4">
        <f>M194+N194</f>
        <v>125</v>
      </c>
      <c r="U194" s="28" t="str" cm="1">
        <f t="array" ref="U194">_xlfn.IFS(F194&lt;30000,"30k",F194&lt;=50000,"30k-50k",F194&lt;=75000,"50k-75k",F194&lt;=100000,"75k-100k",F194&gt;100000,"100k")</f>
        <v>50k-75k</v>
      </c>
      <c r="W194" s="1">
        <f t="shared" si="5"/>
        <v>13</v>
      </c>
    </row>
    <row r="195" spans="1:23" x14ac:dyDescent="0.35">
      <c r="A195">
        <v>192</v>
      </c>
      <c r="B195">
        <v>7829</v>
      </c>
      <c r="C195">
        <v>1900</v>
      </c>
      <c r="D195" s="1" t="s">
        <v>18</v>
      </c>
      <c r="E195" s="1" t="s">
        <v>16</v>
      </c>
      <c r="F195">
        <v>36640</v>
      </c>
      <c r="G195">
        <v>1</v>
      </c>
      <c r="H195" s="2">
        <v>0</v>
      </c>
      <c r="I195" s="2">
        <v>41543</v>
      </c>
      <c r="J195">
        <v>99</v>
      </c>
      <c r="K195">
        <f>VLOOKUP(B195,purchase_dataset!$B$2:$F$2241,2,FALSE)</f>
        <v>6</v>
      </c>
      <c r="L195">
        <f>VLOOKUP(B195,purchase_dataset!$B$2:$F$2241,3,FALSE)</f>
        <v>4</v>
      </c>
      <c r="M195">
        <f>VLOOKUP(B195,purchase_dataset!$B$2:$F$2241,3,FALSE)</f>
        <v>4</v>
      </c>
      <c r="N195">
        <f>VLOOKUP(B195,purchase_dataset!$B$2:$F$2241,5,FALSE)</f>
        <v>2</v>
      </c>
      <c r="O195" s="5">
        <v>126</v>
      </c>
      <c r="P195" s="4" t="str">
        <f t="shared" si="4"/>
        <v>&gt;50</v>
      </c>
      <c r="Q195" s="4">
        <f>M195+N195</f>
        <v>6</v>
      </c>
      <c r="U195" s="28" t="str" cm="1">
        <f t="array" ref="U195">_xlfn.IFS(F195&lt;30000,"30k",F195&lt;=50000,"30k-50k",F195&lt;=75000,"50k-75k",F195&lt;=100000,"75k-100k",F195&gt;100000,"100k")</f>
        <v>30k-50k</v>
      </c>
      <c r="W195" s="1">
        <f t="shared" si="5"/>
        <v>13</v>
      </c>
    </row>
    <row r="196" spans="1:23" x14ac:dyDescent="0.35">
      <c r="A196">
        <v>193</v>
      </c>
      <c r="B196">
        <v>1324</v>
      </c>
      <c r="C196">
        <v>1988</v>
      </c>
      <c r="D196" s="1" t="s">
        <v>10</v>
      </c>
      <c r="E196" s="1" t="s">
        <v>14</v>
      </c>
      <c r="F196">
        <v>38872</v>
      </c>
      <c r="G196">
        <v>1</v>
      </c>
      <c r="H196" s="2">
        <v>0</v>
      </c>
      <c r="I196" s="2">
        <v>41424</v>
      </c>
      <c r="J196">
        <v>93</v>
      </c>
      <c r="K196">
        <f>VLOOKUP(B196,purchase_dataset!$B$2:$F$2241,2,FALSE)</f>
        <v>3</v>
      </c>
      <c r="L196">
        <f>VLOOKUP(B196,purchase_dataset!$B$2:$F$2241,3,FALSE)</f>
        <v>19</v>
      </c>
      <c r="M196">
        <f>VLOOKUP(B196,purchase_dataset!$B$2:$F$2241,3,FALSE)</f>
        <v>19</v>
      </c>
      <c r="N196">
        <f>VLOOKUP(B196,purchase_dataset!$B$2:$F$2241,5,FALSE)</f>
        <v>3</v>
      </c>
      <c r="O196" s="5">
        <v>38</v>
      </c>
      <c r="P196" s="4" t="str">
        <f t="shared" ref="P196:P259" si="6">IF(O196&lt;30,"30",IF(O196&lt;=50,"30-50","&gt;50"))</f>
        <v>30-50</v>
      </c>
      <c r="Q196" s="4">
        <f>M196+N196</f>
        <v>22</v>
      </c>
      <c r="U196" s="28" t="str" cm="1">
        <f t="array" ref="U196">_xlfn.IFS(F196&lt;30000,"30k",F196&lt;=50000,"30k-50k",F196&lt;=75000,"50k-75k",F196&lt;=100000,"75k-100k",F196&gt;100000,"100k")</f>
        <v>30k-50k</v>
      </c>
      <c r="W196" s="1">
        <f t="shared" ref="W196:W259" si="7">2026-YEAR(I196)</f>
        <v>13</v>
      </c>
    </row>
    <row r="197" spans="1:23" x14ac:dyDescent="0.35">
      <c r="A197">
        <v>194</v>
      </c>
      <c r="B197">
        <v>326</v>
      </c>
      <c r="C197">
        <v>1973</v>
      </c>
      <c r="D197" s="1" t="s">
        <v>10</v>
      </c>
      <c r="E197" s="1" t="s">
        <v>14</v>
      </c>
      <c r="F197">
        <v>51148</v>
      </c>
      <c r="G197">
        <v>1</v>
      </c>
      <c r="H197" s="2">
        <v>1</v>
      </c>
      <c r="I197" s="2">
        <v>41323</v>
      </c>
      <c r="J197">
        <v>38</v>
      </c>
      <c r="K197">
        <f>VLOOKUP(B197,purchase_dataset!$B$2:$F$2241,2,FALSE)</f>
        <v>6</v>
      </c>
      <c r="L197">
        <f>VLOOKUP(B197,purchase_dataset!$B$2:$F$2241,3,FALSE)</f>
        <v>9</v>
      </c>
      <c r="M197">
        <f>VLOOKUP(B197,purchase_dataset!$B$2:$F$2241,3,FALSE)</f>
        <v>9</v>
      </c>
      <c r="N197">
        <f>VLOOKUP(B197,purchase_dataset!$B$2:$F$2241,5,FALSE)</f>
        <v>6</v>
      </c>
      <c r="O197" s="5">
        <v>53</v>
      </c>
      <c r="P197" s="4" t="str">
        <f t="shared" si="6"/>
        <v>&gt;50</v>
      </c>
      <c r="Q197" s="4">
        <f>M197+N197</f>
        <v>15</v>
      </c>
      <c r="U197" s="28" t="str" cm="1">
        <f t="array" ref="U197">_xlfn.IFS(F197&lt;30000,"30k",F197&lt;=50000,"30k-50k",F197&lt;=75000,"50k-75k",F197&lt;=100000,"75k-100k",F197&gt;100000,"100k")</f>
        <v>50k-75k</v>
      </c>
      <c r="W197" s="1">
        <f t="shared" si="7"/>
        <v>13</v>
      </c>
    </row>
    <row r="198" spans="1:23" x14ac:dyDescent="0.35">
      <c r="A198">
        <v>195</v>
      </c>
      <c r="B198">
        <v>7224</v>
      </c>
      <c r="C198">
        <v>1977</v>
      </c>
      <c r="D198" s="1" t="s">
        <v>10</v>
      </c>
      <c r="E198" s="1" t="s">
        <v>14</v>
      </c>
      <c r="F198">
        <v>31353</v>
      </c>
      <c r="G198">
        <v>1</v>
      </c>
      <c r="H198" s="2">
        <v>1</v>
      </c>
      <c r="I198" s="2">
        <v>41637</v>
      </c>
      <c r="J198">
        <v>24</v>
      </c>
      <c r="K198">
        <f>VLOOKUP(B198,purchase_dataset!$B$2:$F$2241,2,FALSE)</f>
        <v>0</v>
      </c>
      <c r="L198">
        <f>VLOOKUP(B198,purchase_dataset!$B$2:$F$2241,3,FALSE)</f>
        <v>1</v>
      </c>
      <c r="M198">
        <f>VLOOKUP(B198,purchase_dataset!$B$2:$F$2241,3,FALSE)</f>
        <v>1</v>
      </c>
      <c r="N198">
        <f>VLOOKUP(B198,purchase_dataset!$B$2:$F$2241,5,FALSE)</f>
        <v>2</v>
      </c>
      <c r="O198" s="5">
        <v>49</v>
      </c>
      <c r="P198" s="4" t="str">
        <f t="shared" si="6"/>
        <v>30-50</v>
      </c>
      <c r="Q198" s="4">
        <f>M198+N198</f>
        <v>3</v>
      </c>
      <c r="U198" s="28" t="str" cm="1">
        <f t="array" ref="U198">_xlfn.IFS(F198&lt;30000,"30k",F198&lt;=50000,"30k-50k",F198&lt;=75000,"50k-75k",F198&lt;=100000,"75k-100k",F198&gt;100000,"100k")</f>
        <v>30k-50k</v>
      </c>
      <c r="W198" s="1">
        <f t="shared" si="7"/>
        <v>13</v>
      </c>
    </row>
    <row r="199" spans="1:23" x14ac:dyDescent="0.35">
      <c r="A199">
        <v>196</v>
      </c>
      <c r="B199">
        <v>6999</v>
      </c>
      <c r="C199">
        <v>1980</v>
      </c>
      <c r="D199" s="1" t="s">
        <v>15</v>
      </c>
      <c r="E199" s="1" t="s">
        <v>14</v>
      </c>
      <c r="F199">
        <v>69661</v>
      </c>
      <c r="G199">
        <v>0</v>
      </c>
      <c r="H199" s="2">
        <v>0</v>
      </c>
      <c r="I199" s="2">
        <v>41772</v>
      </c>
      <c r="J199">
        <v>80</v>
      </c>
      <c r="K199">
        <f>VLOOKUP(B199,purchase_dataset!$B$2:$F$2241,2,FALSE)</f>
        <v>16</v>
      </c>
      <c r="L199">
        <f>VLOOKUP(B199,purchase_dataset!$B$2:$F$2241,3,FALSE)</f>
        <v>16</v>
      </c>
      <c r="M199">
        <f>VLOOKUP(B199,purchase_dataset!$B$2:$F$2241,3,FALSE)</f>
        <v>16</v>
      </c>
      <c r="N199">
        <f>VLOOKUP(B199,purchase_dataset!$B$2:$F$2241,5,FALSE)</f>
        <v>12</v>
      </c>
      <c r="O199" s="5">
        <v>46</v>
      </c>
      <c r="P199" s="4" t="str">
        <f t="shared" si="6"/>
        <v>30-50</v>
      </c>
      <c r="Q199" s="4">
        <f>M199+N199</f>
        <v>28</v>
      </c>
      <c r="U199" s="28" t="str" cm="1">
        <f t="array" ref="U199">_xlfn.IFS(F199&lt;30000,"30k",F199&lt;=50000,"30k-50k",F199&lt;=75000,"50k-75k",F199&lt;=100000,"75k-100k",F199&gt;100000,"100k")</f>
        <v>50k-75k</v>
      </c>
      <c r="W199" s="1">
        <f t="shared" si="7"/>
        <v>12</v>
      </c>
    </row>
    <row r="200" spans="1:23" x14ac:dyDescent="0.35">
      <c r="A200">
        <v>197</v>
      </c>
      <c r="B200">
        <v>9938</v>
      </c>
      <c r="C200">
        <v>1954</v>
      </c>
      <c r="D200" s="1" t="s">
        <v>10</v>
      </c>
      <c r="E200" s="1" t="s">
        <v>14</v>
      </c>
      <c r="F200">
        <v>80067</v>
      </c>
      <c r="G200">
        <v>0</v>
      </c>
      <c r="H200" s="2">
        <v>0</v>
      </c>
      <c r="I200" s="2">
        <v>41536</v>
      </c>
      <c r="J200">
        <v>82</v>
      </c>
      <c r="K200">
        <f>VLOOKUP(B200,purchase_dataset!$B$2:$F$2241,2,FALSE)</f>
        <v>17</v>
      </c>
      <c r="L200">
        <f>VLOOKUP(B200,purchase_dataset!$B$2:$F$2241,3,FALSE)</f>
        <v>173</v>
      </c>
      <c r="M200">
        <f>VLOOKUP(B200,purchase_dataset!$B$2:$F$2241,3,FALSE)</f>
        <v>173</v>
      </c>
      <c r="N200">
        <f>VLOOKUP(B200,purchase_dataset!$B$2:$F$2241,5,FALSE)</f>
        <v>6</v>
      </c>
      <c r="O200" s="5">
        <v>72</v>
      </c>
      <c r="P200" s="4" t="str">
        <f t="shared" si="6"/>
        <v>&gt;50</v>
      </c>
      <c r="Q200" s="4">
        <f>M200+N200</f>
        <v>179</v>
      </c>
      <c r="U200" s="28" t="str" cm="1">
        <f t="array" ref="U200">_xlfn.IFS(F200&lt;30000,"30k",F200&lt;=50000,"30k-50k",F200&lt;=75000,"50k-75k",F200&lt;=100000,"75k-100k",F200&gt;100000,"100k")</f>
        <v>75k-100k</v>
      </c>
      <c r="W200" s="1">
        <f t="shared" si="7"/>
        <v>13</v>
      </c>
    </row>
    <row r="201" spans="1:23" x14ac:dyDescent="0.35">
      <c r="A201">
        <v>198</v>
      </c>
      <c r="B201">
        <v>6422</v>
      </c>
      <c r="C201">
        <v>1954</v>
      </c>
      <c r="D201" s="1" t="s">
        <v>10</v>
      </c>
      <c r="E201" s="1" t="s">
        <v>14</v>
      </c>
      <c r="F201">
        <v>86718</v>
      </c>
      <c r="G201">
        <v>0</v>
      </c>
      <c r="H201" s="2">
        <v>0</v>
      </c>
      <c r="I201" s="2">
        <v>41291</v>
      </c>
      <c r="J201">
        <v>20</v>
      </c>
      <c r="K201">
        <f>VLOOKUP(B201,purchase_dataset!$B$2:$F$2241,2,FALSE)</f>
        <v>189</v>
      </c>
      <c r="L201">
        <f>VLOOKUP(B201,purchase_dataset!$B$2:$F$2241,3,FALSE)</f>
        <v>33</v>
      </c>
      <c r="M201">
        <f>VLOOKUP(B201,purchase_dataset!$B$2:$F$2241,3,FALSE)</f>
        <v>33</v>
      </c>
      <c r="N201">
        <f>VLOOKUP(B201,purchase_dataset!$B$2:$F$2241,5,FALSE)</f>
        <v>5</v>
      </c>
      <c r="O201" s="5">
        <v>72</v>
      </c>
      <c r="P201" s="4" t="str">
        <f t="shared" si="6"/>
        <v>&gt;50</v>
      </c>
      <c r="Q201" s="4">
        <f>M201+N201</f>
        <v>38</v>
      </c>
      <c r="U201" s="28" t="str" cm="1">
        <f t="array" ref="U201">_xlfn.IFS(F201&lt;30000,"30k",F201&lt;=50000,"30k-50k",F201&lt;=75000,"50k-75k",F201&lt;=100000,"75k-100k",F201&gt;100000,"100k")</f>
        <v>75k-100k</v>
      </c>
      <c r="W201" s="1">
        <f t="shared" si="7"/>
        <v>13</v>
      </c>
    </row>
    <row r="202" spans="1:23" x14ac:dyDescent="0.35">
      <c r="A202">
        <v>199</v>
      </c>
      <c r="B202">
        <v>3182</v>
      </c>
      <c r="C202">
        <v>1973</v>
      </c>
      <c r="D202" s="1" t="s">
        <v>13</v>
      </c>
      <c r="E202" s="1" t="s">
        <v>11</v>
      </c>
      <c r="F202">
        <v>46854</v>
      </c>
      <c r="G202">
        <v>1</v>
      </c>
      <c r="H202" s="2">
        <v>1</v>
      </c>
      <c r="I202" s="2">
        <v>41729</v>
      </c>
      <c r="J202">
        <v>81</v>
      </c>
      <c r="K202">
        <f>VLOOKUP(B202,purchase_dataset!$B$2:$F$2241,2,FALSE)</f>
        <v>1</v>
      </c>
      <c r="L202">
        <f>VLOOKUP(B202,purchase_dataset!$B$2:$F$2241,3,FALSE)</f>
        <v>1</v>
      </c>
      <c r="M202">
        <f>VLOOKUP(B202,purchase_dataset!$B$2:$F$2241,3,FALSE)</f>
        <v>1</v>
      </c>
      <c r="N202">
        <f>VLOOKUP(B202,purchase_dataset!$B$2:$F$2241,5,FALSE)</f>
        <v>3</v>
      </c>
      <c r="O202" s="5">
        <v>53</v>
      </c>
      <c r="P202" s="4" t="str">
        <f t="shared" si="6"/>
        <v>&gt;50</v>
      </c>
      <c r="Q202" s="4">
        <f>M202+N202</f>
        <v>4</v>
      </c>
      <c r="U202" s="28" t="str" cm="1">
        <f t="array" ref="U202">_xlfn.IFS(F202&lt;30000,"30k",F202&lt;=50000,"30k-50k",F202&lt;=75000,"50k-75k",F202&lt;=100000,"75k-100k",F202&gt;100000,"100k")</f>
        <v>30k-50k</v>
      </c>
      <c r="W202" s="1">
        <f t="shared" si="7"/>
        <v>12</v>
      </c>
    </row>
    <row r="203" spans="1:23" x14ac:dyDescent="0.35">
      <c r="A203">
        <v>200</v>
      </c>
      <c r="B203">
        <v>7300</v>
      </c>
      <c r="C203">
        <v>1952</v>
      </c>
      <c r="D203" s="1" t="s">
        <v>10</v>
      </c>
      <c r="E203" s="1" t="s">
        <v>16</v>
      </c>
      <c r="F203">
        <v>69142</v>
      </c>
      <c r="G203">
        <v>0</v>
      </c>
      <c r="H203" s="2">
        <v>1</v>
      </c>
      <c r="I203" s="2">
        <v>41819</v>
      </c>
      <c r="J203">
        <v>50</v>
      </c>
      <c r="K203">
        <f>VLOOKUP(B203,purchase_dataset!$B$2:$F$2241,2,FALSE)</f>
        <v>4</v>
      </c>
      <c r="L203">
        <f>VLOOKUP(B203,purchase_dataset!$B$2:$F$2241,3,FALSE)</f>
        <v>4</v>
      </c>
      <c r="M203">
        <f>VLOOKUP(B203,purchase_dataset!$B$2:$F$2241,3,FALSE)</f>
        <v>4</v>
      </c>
      <c r="N203">
        <f>VLOOKUP(B203,purchase_dataset!$B$2:$F$2241,5,FALSE)</f>
        <v>7</v>
      </c>
      <c r="O203" s="5">
        <v>74</v>
      </c>
      <c r="P203" s="4" t="str">
        <f t="shared" si="6"/>
        <v>&gt;50</v>
      </c>
      <c r="Q203" s="4">
        <f>M203+N203</f>
        <v>11</v>
      </c>
      <c r="U203" s="28" t="str" cm="1">
        <f t="array" ref="U203">_xlfn.IFS(F203&lt;30000,"30k",F203&lt;=50000,"30k-50k",F203&lt;=75000,"50k-75k",F203&lt;=100000,"75k-100k",F203&gt;100000,"100k")</f>
        <v>50k-75k</v>
      </c>
      <c r="W203" s="1">
        <f t="shared" si="7"/>
        <v>12</v>
      </c>
    </row>
    <row r="204" spans="1:23" x14ac:dyDescent="0.35">
      <c r="A204">
        <v>201</v>
      </c>
      <c r="B204">
        <v>10424</v>
      </c>
      <c r="C204">
        <v>1968</v>
      </c>
      <c r="D204" s="1" t="s">
        <v>10</v>
      </c>
      <c r="E204" s="1" t="s">
        <v>11</v>
      </c>
      <c r="F204">
        <v>75922</v>
      </c>
      <c r="G204">
        <v>0</v>
      </c>
      <c r="H204" s="2">
        <v>0</v>
      </c>
      <c r="I204" s="2">
        <v>41617</v>
      </c>
      <c r="J204">
        <v>60</v>
      </c>
      <c r="K204">
        <f>VLOOKUP(B204,purchase_dataset!$B$2:$F$2241,2,FALSE)</f>
        <v>138</v>
      </c>
      <c r="L204">
        <f>VLOOKUP(B204,purchase_dataset!$B$2:$F$2241,3,FALSE)</f>
        <v>23</v>
      </c>
      <c r="M204">
        <f>VLOOKUP(B204,purchase_dataset!$B$2:$F$2241,3,FALSE)</f>
        <v>23</v>
      </c>
      <c r="N204">
        <f>VLOOKUP(B204,purchase_dataset!$B$2:$F$2241,5,FALSE)</f>
        <v>9</v>
      </c>
      <c r="O204" s="5">
        <v>58</v>
      </c>
      <c r="P204" s="4" t="str">
        <f t="shared" si="6"/>
        <v>&gt;50</v>
      </c>
      <c r="Q204" s="4">
        <f>M204+N204</f>
        <v>32</v>
      </c>
      <c r="U204" s="28" t="str" cm="1">
        <f t="array" ref="U204">_xlfn.IFS(F204&lt;30000,"30k",F204&lt;=50000,"30k-50k",F204&lt;=75000,"50k-75k",F204&lt;=100000,"75k-100k",F204&gt;100000,"100k")</f>
        <v>75k-100k</v>
      </c>
      <c r="W204" s="1">
        <f t="shared" si="7"/>
        <v>13</v>
      </c>
    </row>
    <row r="205" spans="1:23" x14ac:dyDescent="0.35">
      <c r="A205">
        <v>202</v>
      </c>
      <c r="B205">
        <v>8727</v>
      </c>
      <c r="C205">
        <v>1978</v>
      </c>
      <c r="D205" s="1" t="s">
        <v>10</v>
      </c>
      <c r="E205" s="1" t="s">
        <v>16</v>
      </c>
      <c r="F205">
        <v>63693</v>
      </c>
      <c r="G205">
        <v>0</v>
      </c>
      <c r="H205" s="2">
        <v>1</v>
      </c>
      <c r="I205" s="2">
        <v>41561</v>
      </c>
      <c r="J205">
        <v>63</v>
      </c>
      <c r="K205">
        <f>VLOOKUP(B205,purchase_dataset!$B$2:$F$2241,2,FALSE)</f>
        <v>43</v>
      </c>
      <c r="L205">
        <f>VLOOKUP(B205,purchase_dataset!$B$2:$F$2241,3,FALSE)</f>
        <v>87</v>
      </c>
      <c r="M205">
        <f>VLOOKUP(B205,purchase_dataset!$B$2:$F$2241,3,FALSE)</f>
        <v>87</v>
      </c>
      <c r="N205">
        <f>VLOOKUP(B205,purchase_dataset!$B$2:$F$2241,5,FALSE)</f>
        <v>9</v>
      </c>
      <c r="O205" s="5">
        <v>48</v>
      </c>
      <c r="P205" s="4" t="str">
        <f t="shared" si="6"/>
        <v>30-50</v>
      </c>
      <c r="Q205" s="4">
        <f>M205+N205</f>
        <v>96</v>
      </c>
      <c r="U205" s="28" t="str" cm="1">
        <f t="array" ref="U205">_xlfn.IFS(F205&lt;30000,"30k",F205&lt;=50000,"30k-50k",F205&lt;=75000,"50k-75k",F205&lt;=100000,"75k-100k",F205&gt;100000,"100k")</f>
        <v>50k-75k</v>
      </c>
      <c r="W205" s="1">
        <f t="shared" si="7"/>
        <v>13</v>
      </c>
    </row>
    <row r="206" spans="1:23" x14ac:dyDescent="0.35">
      <c r="A206">
        <v>203</v>
      </c>
      <c r="B206">
        <v>2798</v>
      </c>
      <c r="C206">
        <v>1977</v>
      </c>
      <c r="D206" s="1" t="s">
        <v>13</v>
      </c>
      <c r="E206" s="1" t="s">
        <v>12</v>
      </c>
      <c r="F206">
        <v>102160</v>
      </c>
      <c r="G206">
        <v>0</v>
      </c>
      <c r="H206" s="2">
        <v>0</v>
      </c>
      <c r="I206" s="2">
        <v>41215</v>
      </c>
      <c r="J206">
        <v>54</v>
      </c>
      <c r="K206">
        <f>VLOOKUP(B206,purchase_dataset!$B$2:$F$2241,2,FALSE)</f>
        <v>29</v>
      </c>
      <c r="L206">
        <f>VLOOKUP(B206,purchase_dataset!$B$2:$F$2241,3,FALSE)</f>
        <v>176</v>
      </c>
      <c r="M206">
        <f>VLOOKUP(B206,purchase_dataset!$B$2:$F$2241,3,FALSE)</f>
        <v>176</v>
      </c>
      <c r="N206">
        <f>VLOOKUP(B206,purchase_dataset!$B$2:$F$2241,5,FALSE)</f>
        <v>10</v>
      </c>
      <c r="O206" s="5">
        <v>49</v>
      </c>
      <c r="P206" s="4" t="str">
        <f t="shared" si="6"/>
        <v>30-50</v>
      </c>
      <c r="Q206" s="4">
        <f>M206+N206</f>
        <v>186</v>
      </c>
      <c r="U206" s="28" t="str" cm="1">
        <f t="array" ref="U206">_xlfn.IFS(F206&lt;30000,"30k",F206&lt;=50000,"30k-50k",F206&lt;=75000,"50k-75k",F206&lt;=100000,"75k-100k",F206&gt;100000,"100k")</f>
        <v>100k</v>
      </c>
      <c r="W206" s="1">
        <f t="shared" si="7"/>
        <v>14</v>
      </c>
    </row>
    <row r="207" spans="1:23" x14ac:dyDescent="0.35">
      <c r="A207">
        <v>204</v>
      </c>
      <c r="B207">
        <v>1030</v>
      </c>
      <c r="C207">
        <v>1965</v>
      </c>
      <c r="D207" s="1" t="s">
        <v>13</v>
      </c>
      <c r="E207" s="1" t="s">
        <v>11</v>
      </c>
      <c r="F207">
        <v>40637</v>
      </c>
      <c r="G207">
        <v>1</v>
      </c>
      <c r="H207" s="2">
        <v>1</v>
      </c>
      <c r="I207" s="2">
        <v>41472</v>
      </c>
      <c r="J207">
        <v>72</v>
      </c>
      <c r="K207">
        <f>VLOOKUP(B207,purchase_dataset!$B$2:$F$2241,2,FALSE)</f>
        <v>0</v>
      </c>
      <c r="L207">
        <f>VLOOKUP(B207,purchase_dataset!$B$2:$F$2241,3,FALSE)</f>
        <v>0</v>
      </c>
      <c r="M207">
        <f>VLOOKUP(B207,purchase_dataset!$B$2:$F$2241,3,FALSE)</f>
        <v>0</v>
      </c>
      <c r="N207">
        <f>VLOOKUP(B207,purchase_dataset!$B$2:$F$2241,5,FALSE)</f>
        <v>3</v>
      </c>
      <c r="O207" s="5">
        <v>61</v>
      </c>
      <c r="P207" s="4" t="str">
        <f t="shared" si="6"/>
        <v>&gt;50</v>
      </c>
      <c r="Q207" s="4">
        <f>M207+N207</f>
        <v>3</v>
      </c>
      <c r="U207" s="28" t="str" cm="1">
        <f t="array" ref="U207">_xlfn.IFS(F207&lt;30000,"30k",F207&lt;=50000,"30k-50k",F207&lt;=75000,"50k-75k",F207&lt;=100000,"75k-100k",F207&gt;100000,"100k")</f>
        <v>30k-50k</v>
      </c>
      <c r="W207" s="1">
        <f t="shared" si="7"/>
        <v>13</v>
      </c>
    </row>
    <row r="208" spans="1:23" x14ac:dyDescent="0.35">
      <c r="A208">
        <v>205</v>
      </c>
      <c r="B208">
        <v>624</v>
      </c>
      <c r="C208">
        <v>1984</v>
      </c>
      <c r="D208" s="1" t="s">
        <v>15</v>
      </c>
      <c r="E208" s="1" t="s">
        <v>11</v>
      </c>
      <c r="F208">
        <v>18890</v>
      </c>
      <c r="G208">
        <v>0</v>
      </c>
      <c r="H208" s="2">
        <v>0</v>
      </c>
      <c r="I208" s="2">
        <v>41223</v>
      </c>
      <c r="J208">
        <v>5</v>
      </c>
      <c r="K208">
        <f>VLOOKUP(B208,purchase_dataset!$B$2:$F$2241,2,FALSE)</f>
        <v>4</v>
      </c>
      <c r="L208">
        <f>VLOOKUP(B208,purchase_dataset!$B$2:$F$2241,3,FALSE)</f>
        <v>2</v>
      </c>
      <c r="M208">
        <f>VLOOKUP(B208,purchase_dataset!$B$2:$F$2241,3,FALSE)</f>
        <v>2</v>
      </c>
      <c r="N208">
        <f>VLOOKUP(B208,purchase_dataset!$B$2:$F$2241,5,FALSE)</f>
        <v>2</v>
      </c>
      <c r="O208" s="5">
        <v>42</v>
      </c>
      <c r="P208" s="4" t="str">
        <f t="shared" si="6"/>
        <v>30-50</v>
      </c>
      <c r="Q208" s="4">
        <f>M208+N208</f>
        <v>4</v>
      </c>
      <c r="U208" s="28" t="str" cm="1">
        <f t="array" ref="U208">_xlfn.IFS(F208&lt;30000,"30k",F208&lt;=50000,"30k-50k",F208&lt;=75000,"50k-75k",F208&lt;=100000,"75k-100k",F208&gt;100000,"100k")</f>
        <v>30k</v>
      </c>
      <c r="W208" s="1">
        <f t="shared" si="7"/>
        <v>14</v>
      </c>
    </row>
    <row r="209" spans="1:23" x14ac:dyDescent="0.35">
      <c r="A209">
        <v>206</v>
      </c>
      <c r="B209">
        <v>5176</v>
      </c>
      <c r="C209">
        <v>1988</v>
      </c>
      <c r="D209" s="1" t="s">
        <v>10</v>
      </c>
      <c r="E209" s="1" t="s">
        <v>12</v>
      </c>
      <c r="F209">
        <v>29604</v>
      </c>
      <c r="G209">
        <v>1</v>
      </c>
      <c r="H209" s="2">
        <v>0</v>
      </c>
      <c r="I209" s="2">
        <v>41616</v>
      </c>
      <c r="J209">
        <v>88</v>
      </c>
      <c r="K209">
        <f>VLOOKUP(B209,purchase_dataset!$B$2:$F$2241,2,FALSE)</f>
        <v>6</v>
      </c>
      <c r="L209">
        <f>VLOOKUP(B209,purchase_dataset!$B$2:$F$2241,3,FALSE)</f>
        <v>6</v>
      </c>
      <c r="M209">
        <f>VLOOKUP(B209,purchase_dataset!$B$2:$F$2241,3,FALSE)</f>
        <v>6</v>
      </c>
      <c r="N209">
        <f>VLOOKUP(B209,purchase_dataset!$B$2:$F$2241,5,FALSE)</f>
        <v>3</v>
      </c>
      <c r="O209" s="5">
        <v>38</v>
      </c>
      <c r="P209" s="4" t="str">
        <f t="shared" si="6"/>
        <v>30-50</v>
      </c>
      <c r="Q209" s="4">
        <f>M209+N209</f>
        <v>9</v>
      </c>
      <c r="U209" s="28" t="str" cm="1">
        <f t="array" ref="U209">_xlfn.IFS(F209&lt;30000,"30k",F209&lt;=50000,"30k-50k",F209&lt;=75000,"50k-75k",F209&lt;=100000,"75k-100k",F209&gt;100000,"100k")</f>
        <v>30k</v>
      </c>
      <c r="W209" s="1">
        <f t="shared" si="7"/>
        <v>13</v>
      </c>
    </row>
    <row r="210" spans="1:23" x14ac:dyDescent="0.35">
      <c r="A210">
        <v>207</v>
      </c>
      <c r="B210">
        <v>5552</v>
      </c>
      <c r="C210">
        <v>1963</v>
      </c>
      <c r="D210" s="1" t="s">
        <v>15</v>
      </c>
      <c r="E210" s="1" t="s">
        <v>16</v>
      </c>
      <c r="F210">
        <v>48721</v>
      </c>
      <c r="G210">
        <v>1</v>
      </c>
      <c r="H210" s="2">
        <v>1</v>
      </c>
      <c r="I210" s="2">
        <v>41407</v>
      </c>
      <c r="J210">
        <v>50</v>
      </c>
      <c r="K210">
        <f>VLOOKUP(B210,purchase_dataset!$B$2:$F$2241,2,FALSE)</f>
        <v>18</v>
      </c>
      <c r="L210">
        <f>VLOOKUP(B210,purchase_dataset!$B$2:$F$2241,3,FALSE)</f>
        <v>13</v>
      </c>
      <c r="M210">
        <f>VLOOKUP(B210,purchase_dataset!$B$2:$F$2241,3,FALSE)</f>
        <v>13</v>
      </c>
      <c r="N210">
        <f>VLOOKUP(B210,purchase_dataset!$B$2:$F$2241,5,FALSE)</f>
        <v>5</v>
      </c>
      <c r="O210" s="5">
        <v>63</v>
      </c>
      <c r="P210" s="4" t="str">
        <f t="shared" si="6"/>
        <v>&gt;50</v>
      </c>
      <c r="Q210" s="4">
        <f>M210+N210</f>
        <v>18</v>
      </c>
      <c r="U210" s="28" t="str" cm="1">
        <f t="array" ref="U210">_xlfn.IFS(F210&lt;30000,"30k",F210&lt;=50000,"30k-50k",F210&lt;=75000,"50k-75k",F210&lt;=100000,"75k-100k",F210&gt;100000,"100k")</f>
        <v>30k-50k</v>
      </c>
      <c r="W210" s="1">
        <f t="shared" si="7"/>
        <v>13</v>
      </c>
    </row>
    <row r="211" spans="1:23" x14ac:dyDescent="0.35">
      <c r="A211">
        <v>208</v>
      </c>
      <c r="B211">
        <v>868</v>
      </c>
      <c r="C211">
        <v>1966</v>
      </c>
      <c r="D211" s="1" t="s">
        <v>10</v>
      </c>
      <c r="E211" s="1" t="s">
        <v>14</v>
      </c>
      <c r="F211">
        <v>44794</v>
      </c>
      <c r="G211">
        <v>0</v>
      </c>
      <c r="H211" s="2">
        <v>1</v>
      </c>
      <c r="I211" s="2">
        <v>41798</v>
      </c>
      <c r="J211">
        <v>99</v>
      </c>
      <c r="K211">
        <f>VLOOKUP(B211,purchase_dataset!$B$2:$F$2241,2,FALSE)</f>
        <v>0</v>
      </c>
      <c r="L211">
        <f>VLOOKUP(B211,purchase_dataset!$B$2:$F$2241,3,FALSE)</f>
        <v>0</v>
      </c>
      <c r="M211">
        <f>VLOOKUP(B211,purchase_dataset!$B$2:$F$2241,3,FALSE)</f>
        <v>0</v>
      </c>
      <c r="N211">
        <f>VLOOKUP(B211,purchase_dataset!$B$2:$F$2241,5,FALSE)</f>
        <v>3</v>
      </c>
      <c r="O211" s="5">
        <v>60</v>
      </c>
      <c r="P211" s="4" t="str">
        <f t="shared" si="6"/>
        <v>&gt;50</v>
      </c>
      <c r="Q211" s="4">
        <f>M211+N211</f>
        <v>3</v>
      </c>
      <c r="U211" s="28" t="str" cm="1">
        <f t="array" ref="U211">_xlfn.IFS(F211&lt;30000,"30k",F211&lt;=50000,"30k-50k",F211&lt;=75000,"50k-75k",F211&lt;=100000,"75k-100k",F211&gt;100000,"100k")</f>
        <v>30k-50k</v>
      </c>
      <c r="W211" s="1">
        <f t="shared" si="7"/>
        <v>12</v>
      </c>
    </row>
    <row r="212" spans="1:23" x14ac:dyDescent="0.35">
      <c r="A212">
        <v>209</v>
      </c>
      <c r="B212">
        <v>380</v>
      </c>
      <c r="C212">
        <v>1954</v>
      </c>
      <c r="D212" s="1" t="s">
        <v>10</v>
      </c>
      <c r="E212" s="1" t="s">
        <v>16</v>
      </c>
      <c r="F212">
        <v>64497</v>
      </c>
      <c r="G212">
        <v>0</v>
      </c>
      <c r="H212" s="2">
        <v>1</v>
      </c>
      <c r="I212" s="2">
        <v>41162</v>
      </c>
      <c r="J212">
        <v>17</v>
      </c>
      <c r="K212">
        <f>VLOOKUP(B212,purchase_dataset!$B$2:$F$2241,2,FALSE)</f>
        <v>48</v>
      </c>
      <c r="L212">
        <f>VLOOKUP(B212,purchase_dataset!$B$2:$F$2241,3,FALSE)</f>
        <v>32</v>
      </c>
      <c r="M212">
        <f>VLOOKUP(B212,purchase_dataset!$B$2:$F$2241,3,FALSE)</f>
        <v>32</v>
      </c>
      <c r="N212">
        <f>VLOOKUP(B212,purchase_dataset!$B$2:$F$2241,5,FALSE)</f>
        <v>9</v>
      </c>
      <c r="O212" s="5">
        <v>72</v>
      </c>
      <c r="P212" s="4" t="str">
        <f t="shared" si="6"/>
        <v>&gt;50</v>
      </c>
      <c r="Q212" s="4">
        <f>M212+N212</f>
        <v>41</v>
      </c>
      <c r="U212" s="28" t="str" cm="1">
        <f t="array" ref="U212">_xlfn.IFS(F212&lt;30000,"30k",F212&lt;=50000,"30k-50k",F212&lt;=75000,"50k-75k",F212&lt;=100000,"75k-100k",F212&gt;100000,"100k")</f>
        <v>50k-75k</v>
      </c>
      <c r="W212" s="1">
        <f t="shared" si="7"/>
        <v>14</v>
      </c>
    </row>
    <row r="213" spans="1:23" x14ac:dyDescent="0.35">
      <c r="A213">
        <v>210</v>
      </c>
      <c r="B213">
        <v>2677</v>
      </c>
      <c r="C213">
        <v>1956</v>
      </c>
      <c r="D213" s="1" t="s">
        <v>10</v>
      </c>
      <c r="E213" s="1" t="s">
        <v>12</v>
      </c>
      <c r="F213">
        <v>46097</v>
      </c>
      <c r="G213">
        <v>0</v>
      </c>
      <c r="H213" s="2">
        <v>1</v>
      </c>
      <c r="I213" s="2">
        <v>41364</v>
      </c>
      <c r="J213">
        <v>11</v>
      </c>
      <c r="K213">
        <f>VLOOKUP(B213,purchase_dataset!$B$2:$F$2241,2,FALSE)</f>
        <v>24</v>
      </c>
      <c r="L213">
        <f>VLOOKUP(B213,purchase_dataset!$B$2:$F$2241,3,FALSE)</f>
        <v>4</v>
      </c>
      <c r="M213">
        <f>VLOOKUP(B213,purchase_dataset!$B$2:$F$2241,3,FALSE)</f>
        <v>4</v>
      </c>
      <c r="N213">
        <f>VLOOKUP(B213,purchase_dataset!$B$2:$F$2241,5,FALSE)</f>
        <v>6</v>
      </c>
      <c r="O213" s="5">
        <v>70</v>
      </c>
      <c r="P213" s="4" t="str">
        <f t="shared" si="6"/>
        <v>&gt;50</v>
      </c>
      <c r="Q213" s="4">
        <f>M213+N213</f>
        <v>10</v>
      </c>
      <c r="U213" s="28" t="str" cm="1">
        <f t="array" ref="U213">_xlfn.IFS(F213&lt;30000,"30k",F213&lt;=50000,"30k-50k",F213&lt;=75000,"50k-75k",F213&lt;=100000,"75k-100k",F213&gt;100000,"100k")</f>
        <v>30k-50k</v>
      </c>
      <c r="W213" s="1">
        <f t="shared" si="7"/>
        <v>13</v>
      </c>
    </row>
    <row r="214" spans="1:23" x14ac:dyDescent="0.35">
      <c r="A214">
        <v>211</v>
      </c>
      <c r="B214">
        <v>6521</v>
      </c>
      <c r="C214">
        <v>1954</v>
      </c>
      <c r="D214" s="1" t="s">
        <v>10</v>
      </c>
      <c r="E214" s="1" t="s">
        <v>12</v>
      </c>
      <c r="F214">
        <v>77972</v>
      </c>
      <c r="G214">
        <v>0</v>
      </c>
      <c r="H214" s="2">
        <v>0</v>
      </c>
      <c r="I214" s="2">
        <v>41716</v>
      </c>
      <c r="J214">
        <v>18</v>
      </c>
      <c r="K214">
        <f>VLOOKUP(B214,purchase_dataset!$B$2:$F$2241,2,FALSE)</f>
        <v>22</v>
      </c>
      <c r="L214">
        <f>VLOOKUP(B214,purchase_dataset!$B$2:$F$2241,3,FALSE)</f>
        <v>102</v>
      </c>
      <c r="M214">
        <f>VLOOKUP(B214,purchase_dataset!$B$2:$F$2241,3,FALSE)</f>
        <v>102</v>
      </c>
      <c r="N214">
        <f>VLOOKUP(B214,purchase_dataset!$B$2:$F$2241,5,FALSE)</f>
        <v>9</v>
      </c>
      <c r="O214" s="5">
        <v>72</v>
      </c>
      <c r="P214" s="4" t="str">
        <f t="shared" si="6"/>
        <v>&gt;50</v>
      </c>
      <c r="Q214" s="4">
        <f>M214+N214</f>
        <v>111</v>
      </c>
      <c r="U214" s="28" t="str" cm="1">
        <f t="array" ref="U214">_xlfn.IFS(F214&lt;30000,"30k",F214&lt;=50000,"30k-50k",F214&lt;=75000,"50k-75k",F214&lt;=100000,"75k-100k",F214&gt;100000,"100k")</f>
        <v>75k-100k</v>
      </c>
      <c r="W214" s="1">
        <f t="shared" si="7"/>
        <v>12</v>
      </c>
    </row>
    <row r="215" spans="1:23" x14ac:dyDescent="0.35">
      <c r="A215">
        <v>212</v>
      </c>
      <c r="B215">
        <v>6927</v>
      </c>
      <c r="C215">
        <v>1968</v>
      </c>
      <c r="D215" s="1" t="s">
        <v>13</v>
      </c>
      <c r="E215" s="1" t="s">
        <v>14</v>
      </c>
      <c r="F215">
        <v>44377</v>
      </c>
      <c r="G215">
        <v>1</v>
      </c>
      <c r="H215" s="2">
        <v>1</v>
      </c>
      <c r="I215" s="2">
        <v>41187</v>
      </c>
      <c r="J215">
        <v>70</v>
      </c>
      <c r="K215">
        <f>VLOOKUP(B215,purchase_dataset!$B$2:$F$2241,2,FALSE)</f>
        <v>0</v>
      </c>
      <c r="L215">
        <f>VLOOKUP(B215,purchase_dataset!$B$2:$F$2241,3,FALSE)</f>
        <v>0</v>
      </c>
      <c r="M215">
        <f>VLOOKUP(B215,purchase_dataset!$B$2:$F$2241,3,FALSE)</f>
        <v>0</v>
      </c>
      <c r="N215">
        <f>VLOOKUP(B215,purchase_dataset!$B$2:$F$2241,5,FALSE)</f>
        <v>5</v>
      </c>
      <c r="O215" s="5">
        <v>58</v>
      </c>
      <c r="P215" s="4" t="str">
        <f t="shared" si="6"/>
        <v>&gt;50</v>
      </c>
      <c r="Q215" s="4">
        <f>M215+N215</f>
        <v>5</v>
      </c>
      <c r="U215" s="28" t="str" cm="1">
        <f t="array" ref="U215">_xlfn.IFS(F215&lt;30000,"30k",F215&lt;=50000,"30k-50k",F215&lt;=75000,"50k-75k",F215&lt;=100000,"75k-100k",F215&gt;100000,"100k")</f>
        <v>30k-50k</v>
      </c>
      <c r="W215" s="1">
        <f t="shared" si="7"/>
        <v>14</v>
      </c>
    </row>
    <row r="216" spans="1:23" x14ac:dyDescent="0.35">
      <c r="A216">
        <v>213</v>
      </c>
      <c r="B216">
        <v>2877</v>
      </c>
      <c r="C216">
        <v>1974</v>
      </c>
      <c r="D216" s="1" t="s">
        <v>15</v>
      </c>
      <c r="E216" s="1" t="s">
        <v>12</v>
      </c>
      <c r="F216">
        <v>46014</v>
      </c>
      <c r="G216">
        <v>1</v>
      </c>
      <c r="H216" s="2">
        <v>1</v>
      </c>
      <c r="I216" s="2">
        <v>41295</v>
      </c>
      <c r="J216">
        <v>21</v>
      </c>
      <c r="K216">
        <f>VLOOKUP(B216,purchase_dataset!$B$2:$F$2241,2,FALSE)</f>
        <v>0</v>
      </c>
      <c r="L216">
        <f>VLOOKUP(B216,purchase_dataset!$B$2:$F$2241,3,FALSE)</f>
        <v>9</v>
      </c>
      <c r="M216">
        <f>VLOOKUP(B216,purchase_dataset!$B$2:$F$2241,3,FALSE)</f>
        <v>9</v>
      </c>
      <c r="N216">
        <f>VLOOKUP(B216,purchase_dataset!$B$2:$F$2241,5,FALSE)</f>
        <v>8</v>
      </c>
      <c r="O216" s="5">
        <v>52</v>
      </c>
      <c r="P216" s="4" t="str">
        <f t="shared" si="6"/>
        <v>&gt;50</v>
      </c>
      <c r="Q216" s="4">
        <f>M216+N216</f>
        <v>17</v>
      </c>
      <c r="U216" s="28" t="str" cm="1">
        <f t="array" ref="U216">_xlfn.IFS(F216&lt;30000,"30k",F216&lt;=50000,"30k-50k",F216&lt;=75000,"50k-75k",F216&lt;=100000,"75k-100k",F216&gt;100000,"100k")</f>
        <v>30k-50k</v>
      </c>
      <c r="W216" s="1">
        <f t="shared" si="7"/>
        <v>13</v>
      </c>
    </row>
    <row r="217" spans="1:23" x14ac:dyDescent="0.35">
      <c r="A217">
        <v>214</v>
      </c>
      <c r="B217">
        <v>0</v>
      </c>
      <c r="C217">
        <v>1985</v>
      </c>
      <c r="D217" s="1" t="s">
        <v>10</v>
      </c>
      <c r="E217" s="1" t="s">
        <v>14</v>
      </c>
      <c r="F217">
        <v>70951</v>
      </c>
      <c r="G217">
        <v>0</v>
      </c>
      <c r="H217" s="2">
        <v>0</v>
      </c>
      <c r="I217" s="2">
        <v>41398</v>
      </c>
      <c r="J217">
        <v>66</v>
      </c>
      <c r="K217">
        <f>VLOOKUP(B217,purchase_dataset!$B$2:$F$2241,2,FALSE)</f>
        <v>10</v>
      </c>
      <c r="L217">
        <f>VLOOKUP(B217,purchase_dataset!$B$2:$F$2241,3,FALSE)</f>
        <v>87</v>
      </c>
      <c r="M217">
        <f>VLOOKUP(B217,purchase_dataset!$B$2:$F$2241,3,FALSE)</f>
        <v>87</v>
      </c>
      <c r="N217">
        <f>VLOOKUP(B217,purchase_dataset!$B$2:$F$2241,5,FALSE)</f>
        <v>9</v>
      </c>
      <c r="O217" s="5">
        <v>41</v>
      </c>
      <c r="P217" s="4" t="str">
        <f t="shared" si="6"/>
        <v>30-50</v>
      </c>
      <c r="Q217" s="4">
        <f>M217+N217</f>
        <v>96</v>
      </c>
      <c r="U217" s="28" t="str" cm="1">
        <f t="array" ref="U217">_xlfn.IFS(F217&lt;30000,"30k",F217&lt;=50000,"30k-50k",F217&lt;=75000,"50k-75k",F217&lt;=100000,"75k-100k",F217&gt;100000,"100k")</f>
        <v>50k-75k</v>
      </c>
      <c r="W217" s="1">
        <f t="shared" si="7"/>
        <v>13</v>
      </c>
    </row>
    <row r="218" spans="1:23" x14ac:dyDescent="0.35">
      <c r="A218">
        <v>215</v>
      </c>
      <c r="B218">
        <v>1584</v>
      </c>
      <c r="C218">
        <v>1977</v>
      </c>
      <c r="D218" s="1" t="s">
        <v>10</v>
      </c>
      <c r="E218" s="1" t="s">
        <v>14</v>
      </c>
      <c r="F218">
        <v>41443</v>
      </c>
      <c r="G218">
        <v>1</v>
      </c>
      <c r="H218" s="2">
        <v>0</v>
      </c>
      <c r="I218" s="2">
        <v>41730</v>
      </c>
      <c r="J218">
        <v>79</v>
      </c>
      <c r="K218">
        <f>VLOOKUP(B218,purchase_dataset!$B$2:$F$2241,2,FALSE)</f>
        <v>7</v>
      </c>
      <c r="L218">
        <f>VLOOKUP(B218,purchase_dataset!$B$2:$F$2241,3,FALSE)</f>
        <v>19</v>
      </c>
      <c r="M218">
        <f>VLOOKUP(B218,purchase_dataset!$B$2:$F$2241,3,FALSE)</f>
        <v>19</v>
      </c>
      <c r="N218">
        <f>VLOOKUP(B218,purchase_dataset!$B$2:$F$2241,5,FALSE)</f>
        <v>5</v>
      </c>
      <c r="O218" s="5">
        <v>49</v>
      </c>
      <c r="P218" s="4" t="str">
        <f t="shared" si="6"/>
        <v>30-50</v>
      </c>
      <c r="Q218" s="4">
        <f>M218+N218</f>
        <v>24</v>
      </c>
      <c r="U218" s="28" t="str" cm="1">
        <f t="array" ref="U218">_xlfn.IFS(F218&lt;30000,"30k",F218&lt;=50000,"30k-50k",F218&lt;=75000,"50k-75k",F218&lt;=100000,"75k-100k",F218&gt;100000,"100k")</f>
        <v>30k-50k</v>
      </c>
      <c r="W218" s="1">
        <f t="shared" si="7"/>
        <v>12</v>
      </c>
    </row>
    <row r="219" spans="1:23" x14ac:dyDescent="0.35">
      <c r="A219">
        <v>216</v>
      </c>
      <c r="B219">
        <v>7264</v>
      </c>
      <c r="C219">
        <v>1978</v>
      </c>
      <c r="D219" s="1" t="s">
        <v>18</v>
      </c>
      <c r="E219" s="1" t="s">
        <v>11</v>
      </c>
      <c r="F219">
        <v>52195</v>
      </c>
      <c r="G219">
        <v>2</v>
      </c>
      <c r="H219" s="2">
        <v>1</v>
      </c>
      <c r="I219" s="2">
        <v>41771</v>
      </c>
      <c r="J219">
        <v>2</v>
      </c>
      <c r="K219">
        <f>VLOOKUP(B219,purchase_dataset!$B$2:$F$2241,2,FALSE)</f>
        <v>0</v>
      </c>
      <c r="L219">
        <f>VLOOKUP(B219,purchase_dataset!$B$2:$F$2241,3,FALSE)</f>
        <v>0</v>
      </c>
      <c r="M219">
        <f>VLOOKUP(B219,purchase_dataset!$B$2:$F$2241,3,FALSE)</f>
        <v>0</v>
      </c>
      <c r="N219">
        <f>VLOOKUP(B219,purchase_dataset!$B$2:$F$2241,5,FALSE)</f>
        <v>2</v>
      </c>
      <c r="O219" s="5">
        <v>48</v>
      </c>
      <c r="P219" s="4" t="str">
        <f t="shared" si="6"/>
        <v>30-50</v>
      </c>
      <c r="Q219" s="4">
        <f>M219+N219</f>
        <v>2</v>
      </c>
      <c r="U219" s="28" t="str" cm="1">
        <f t="array" ref="U219">_xlfn.IFS(F219&lt;30000,"30k",F219&lt;=50000,"30k-50k",F219&lt;=75000,"50k-75k",F219&lt;=100000,"75k-100k",F219&gt;100000,"100k")</f>
        <v>50k-75k</v>
      </c>
      <c r="W219" s="1">
        <f t="shared" si="7"/>
        <v>12</v>
      </c>
    </row>
    <row r="220" spans="1:23" x14ac:dyDescent="0.35">
      <c r="A220">
        <v>217</v>
      </c>
      <c r="B220">
        <v>6274</v>
      </c>
      <c r="C220">
        <v>1948</v>
      </c>
      <c r="D220" s="1" t="s">
        <v>15</v>
      </c>
      <c r="E220" s="1" t="s">
        <v>14</v>
      </c>
      <c r="F220">
        <v>83790</v>
      </c>
      <c r="G220">
        <v>0</v>
      </c>
      <c r="H220" s="2">
        <v>0</v>
      </c>
      <c r="I220" s="2">
        <v>41593</v>
      </c>
      <c r="J220">
        <v>81</v>
      </c>
      <c r="K220">
        <f>VLOOKUP(B220,purchase_dataset!$B$2:$F$2241,2,FALSE)</f>
        <v>16</v>
      </c>
      <c r="L220">
        <f>VLOOKUP(B220,purchase_dataset!$B$2:$F$2241,3,FALSE)</f>
        <v>48</v>
      </c>
      <c r="M220">
        <f>VLOOKUP(B220,purchase_dataset!$B$2:$F$2241,3,FALSE)</f>
        <v>48</v>
      </c>
      <c r="N220">
        <f>VLOOKUP(B220,purchase_dataset!$B$2:$F$2241,5,FALSE)</f>
        <v>6</v>
      </c>
      <c r="O220" s="5">
        <v>78</v>
      </c>
      <c r="P220" s="4" t="str">
        <f t="shared" si="6"/>
        <v>&gt;50</v>
      </c>
      <c r="Q220" s="4">
        <f>M220+N220</f>
        <v>54</v>
      </c>
      <c r="U220" s="28" t="str" cm="1">
        <f t="array" ref="U220">_xlfn.IFS(F220&lt;30000,"30k",F220&lt;=50000,"30k-50k",F220&lt;=75000,"50k-75k",F220&lt;=100000,"75k-100k",F220&gt;100000,"100k")</f>
        <v>75k-100k</v>
      </c>
      <c r="W220" s="1">
        <f t="shared" si="7"/>
        <v>13</v>
      </c>
    </row>
    <row r="221" spans="1:23" x14ac:dyDescent="0.35">
      <c r="A221">
        <v>218</v>
      </c>
      <c r="B221">
        <v>1377</v>
      </c>
      <c r="C221">
        <v>1954</v>
      </c>
      <c r="D221" s="1" t="s">
        <v>15</v>
      </c>
      <c r="E221" s="1" t="s">
        <v>19</v>
      </c>
      <c r="F221">
        <v>44551</v>
      </c>
      <c r="G221">
        <v>0</v>
      </c>
      <c r="H221" s="2">
        <v>1</v>
      </c>
      <c r="I221" s="2">
        <v>41517</v>
      </c>
      <c r="J221">
        <v>24</v>
      </c>
      <c r="K221">
        <f>VLOOKUP(B221,purchase_dataset!$B$2:$F$2241,2,FALSE)</f>
        <v>4</v>
      </c>
      <c r="L221">
        <f>VLOOKUP(B221,purchase_dataset!$B$2:$F$2241,3,FALSE)</f>
        <v>0</v>
      </c>
      <c r="M221">
        <f>VLOOKUP(B221,purchase_dataset!$B$2:$F$2241,3,FALSE)</f>
        <v>0</v>
      </c>
      <c r="N221">
        <f>VLOOKUP(B221,purchase_dataset!$B$2:$F$2241,5,FALSE)</f>
        <v>5</v>
      </c>
      <c r="O221" s="5">
        <v>72</v>
      </c>
      <c r="P221" s="4" t="str">
        <f t="shared" si="6"/>
        <v>&gt;50</v>
      </c>
      <c r="Q221" s="4">
        <f>M221+N221</f>
        <v>5</v>
      </c>
      <c r="U221" s="28" t="str" cm="1">
        <f t="array" ref="U221">_xlfn.IFS(F221&lt;30000,"30k",F221&lt;=50000,"30k-50k",F221&lt;=75000,"50k-75k",F221&lt;=100000,"75k-100k",F221&gt;100000,"100k")</f>
        <v>30k-50k</v>
      </c>
      <c r="W221" s="1">
        <f t="shared" si="7"/>
        <v>13</v>
      </c>
    </row>
    <row r="222" spans="1:23" x14ac:dyDescent="0.35">
      <c r="A222">
        <v>219</v>
      </c>
      <c r="B222">
        <v>454</v>
      </c>
      <c r="C222">
        <v>1980</v>
      </c>
      <c r="D222" s="1" t="s">
        <v>10</v>
      </c>
      <c r="E222" s="1" t="s">
        <v>12</v>
      </c>
      <c r="F222">
        <v>69508</v>
      </c>
      <c r="G222">
        <v>1</v>
      </c>
      <c r="H222" s="2">
        <v>0</v>
      </c>
      <c r="I222" s="2">
        <v>41227</v>
      </c>
      <c r="J222">
        <v>48</v>
      </c>
      <c r="K222">
        <f>VLOOKUP(B222,purchase_dataset!$B$2:$F$2241,2,FALSE)</f>
        <v>32</v>
      </c>
      <c r="L222">
        <f>VLOOKUP(B222,purchase_dataset!$B$2:$F$2241,3,FALSE)</f>
        <v>32</v>
      </c>
      <c r="M222">
        <f>VLOOKUP(B222,purchase_dataset!$B$2:$F$2241,3,FALSE)</f>
        <v>32</v>
      </c>
      <c r="N222">
        <f>VLOOKUP(B222,purchase_dataset!$B$2:$F$2241,5,FALSE)</f>
        <v>11</v>
      </c>
      <c r="O222" s="5">
        <v>46</v>
      </c>
      <c r="P222" s="4" t="str">
        <f t="shared" si="6"/>
        <v>30-50</v>
      </c>
      <c r="Q222" s="4">
        <f>M222+N222</f>
        <v>43</v>
      </c>
      <c r="U222" s="28" t="str" cm="1">
        <f t="array" ref="U222">_xlfn.IFS(F222&lt;30000,"30k",F222&lt;=50000,"30k-50k",F222&lt;=75000,"50k-75k",F222&lt;=100000,"75k-100k",F222&gt;100000,"100k")</f>
        <v>50k-75k</v>
      </c>
      <c r="W222" s="1">
        <f t="shared" si="7"/>
        <v>14</v>
      </c>
    </row>
    <row r="223" spans="1:23" x14ac:dyDescent="0.35">
      <c r="A223">
        <v>220</v>
      </c>
      <c r="B223">
        <v>1755</v>
      </c>
      <c r="C223">
        <v>1988</v>
      </c>
      <c r="D223" s="1" t="s">
        <v>18</v>
      </c>
      <c r="E223" s="1" t="s">
        <v>12</v>
      </c>
      <c r="F223">
        <v>45204</v>
      </c>
      <c r="G223">
        <v>1</v>
      </c>
      <c r="H223" s="2">
        <v>0</v>
      </c>
      <c r="I223" s="2">
        <v>41740</v>
      </c>
      <c r="J223">
        <v>93</v>
      </c>
      <c r="K223">
        <f>VLOOKUP(B223,purchase_dataset!$B$2:$F$2241,2,FALSE)</f>
        <v>11</v>
      </c>
      <c r="L223">
        <f>VLOOKUP(B223,purchase_dataset!$B$2:$F$2241,3,FALSE)</f>
        <v>1</v>
      </c>
      <c r="M223">
        <f>VLOOKUP(B223,purchase_dataset!$B$2:$F$2241,3,FALSE)</f>
        <v>1</v>
      </c>
      <c r="N223">
        <f>VLOOKUP(B223,purchase_dataset!$B$2:$F$2241,5,FALSE)</f>
        <v>4</v>
      </c>
      <c r="O223" s="5">
        <v>38</v>
      </c>
      <c r="P223" s="4" t="str">
        <f t="shared" si="6"/>
        <v>30-50</v>
      </c>
      <c r="Q223" s="4">
        <f>M223+N223</f>
        <v>5</v>
      </c>
      <c r="U223" s="28" t="str" cm="1">
        <f t="array" ref="U223">_xlfn.IFS(F223&lt;30000,"30k",F223&lt;=50000,"30k-50k",F223&lt;=75000,"50k-75k",F223&lt;=100000,"75k-100k",F223&gt;100000,"100k")</f>
        <v>30k-50k</v>
      </c>
      <c r="W223" s="1">
        <f t="shared" si="7"/>
        <v>12</v>
      </c>
    </row>
    <row r="224" spans="1:23" x14ac:dyDescent="0.35">
      <c r="A224">
        <v>221</v>
      </c>
      <c r="B224">
        <v>2075</v>
      </c>
      <c r="C224">
        <v>1969</v>
      </c>
      <c r="D224" s="1" t="s">
        <v>10</v>
      </c>
      <c r="E224" s="1" t="s">
        <v>14</v>
      </c>
      <c r="F224">
        <v>72460</v>
      </c>
      <c r="G224">
        <v>0</v>
      </c>
      <c r="H224" s="2">
        <v>0</v>
      </c>
      <c r="I224" s="2">
        <v>41592</v>
      </c>
      <c r="J224">
        <v>56</v>
      </c>
      <c r="K224">
        <f>VLOOKUP(B224,purchase_dataset!$B$2:$F$2241,2,FALSE)</f>
        <v>10</v>
      </c>
      <c r="L224">
        <f>VLOOKUP(B224,purchase_dataset!$B$2:$F$2241,3,FALSE)</f>
        <v>30</v>
      </c>
      <c r="M224">
        <f>VLOOKUP(B224,purchase_dataset!$B$2:$F$2241,3,FALSE)</f>
        <v>30</v>
      </c>
      <c r="N224">
        <f>VLOOKUP(B224,purchase_dataset!$B$2:$F$2241,5,FALSE)</f>
        <v>7</v>
      </c>
      <c r="O224" s="5">
        <v>57</v>
      </c>
      <c r="P224" s="4" t="str">
        <f t="shared" si="6"/>
        <v>&gt;50</v>
      </c>
      <c r="Q224" s="4">
        <f>M224+N224</f>
        <v>37</v>
      </c>
      <c r="U224" s="28" t="str" cm="1">
        <f t="array" ref="U224">_xlfn.IFS(F224&lt;30000,"30k",F224&lt;=50000,"30k-50k",F224&lt;=75000,"50k-75k",F224&lt;=100000,"75k-100k",F224&gt;100000,"100k")</f>
        <v>50k-75k</v>
      </c>
      <c r="W224" s="1">
        <f t="shared" si="7"/>
        <v>13</v>
      </c>
    </row>
    <row r="225" spans="1:23" x14ac:dyDescent="0.35">
      <c r="A225">
        <v>222</v>
      </c>
      <c r="B225">
        <v>4785</v>
      </c>
      <c r="C225">
        <v>1970</v>
      </c>
      <c r="D225" s="1" t="s">
        <v>13</v>
      </c>
      <c r="E225" s="1" t="s">
        <v>12</v>
      </c>
      <c r="F225">
        <v>77622</v>
      </c>
      <c r="G225">
        <v>0</v>
      </c>
      <c r="H225" s="2">
        <v>2</v>
      </c>
      <c r="I225" s="2">
        <v>41743</v>
      </c>
      <c r="J225">
        <v>3</v>
      </c>
      <c r="K225">
        <f>VLOOKUP(B225,purchase_dataset!$B$2:$F$2241,2,FALSE)</f>
        <v>7</v>
      </c>
      <c r="L225">
        <f>VLOOKUP(B225,purchase_dataset!$B$2:$F$2241,3,FALSE)</f>
        <v>0</v>
      </c>
      <c r="M225">
        <f>VLOOKUP(B225,purchase_dataset!$B$2:$F$2241,3,FALSE)</f>
        <v>0</v>
      </c>
      <c r="N225">
        <f>VLOOKUP(B225,purchase_dataset!$B$2:$F$2241,5,FALSE)</f>
        <v>11</v>
      </c>
      <c r="O225" s="5">
        <v>56</v>
      </c>
      <c r="P225" s="4" t="str">
        <f t="shared" si="6"/>
        <v>&gt;50</v>
      </c>
      <c r="Q225" s="4">
        <f>M225+N225</f>
        <v>11</v>
      </c>
      <c r="U225" s="28" t="str" cm="1">
        <f t="array" ref="U225">_xlfn.IFS(F225&lt;30000,"30k",F225&lt;=50000,"30k-50k",F225&lt;=75000,"50k-75k",F225&lt;=100000,"75k-100k",F225&gt;100000,"100k")</f>
        <v>75k-100k</v>
      </c>
      <c r="W225" s="1">
        <f t="shared" si="7"/>
        <v>12</v>
      </c>
    </row>
    <row r="226" spans="1:23" x14ac:dyDescent="0.35">
      <c r="A226">
        <v>223</v>
      </c>
      <c r="B226">
        <v>9076</v>
      </c>
      <c r="C226">
        <v>1980</v>
      </c>
      <c r="D226" s="1" t="s">
        <v>13</v>
      </c>
      <c r="E226" s="1" t="s">
        <v>14</v>
      </c>
      <c r="F226">
        <v>30732</v>
      </c>
      <c r="G226">
        <v>1</v>
      </c>
      <c r="H226" s="2">
        <v>0</v>
      </c>
      <c r="I226" s="2">
        <v>41279</v>
      </c>
      <c r="J226">
        <v>44</v>
      </c>
      <c r="K226">
        <f>VLOOKUP(B226,purchase_dataset!$B$2:$F$2241,2,FALSE)</f>
        <v>1</v>
      </c>
      <c r="L226">
        <f>VLOOKUP(B226,purchase_dataset!$B$2:$F$2241,3,FALSE)</f>
        <v>1</v>
      </c>
      <c r="M226">
        <f>VLOOKUP(B226,purchase_dataset!$B$2:$F$2241,3,FALSE)</f>
        <v>1</v>
      </c>
      <c r="N226">
        <f>VLOOKUP(B226,purchase_dataset!$B$2:$F$2241,5,FALSE)</f>
        <v>4</v>
      </c>
      <c r="O226" s="5">
        <v>46</v>
      </c>
      <c r="P226" s="4" t="str">
        <f t="shared" si="6"/>
        <v>30-50</v>
      </c>
      <c r="Q226" s="4">
        <f>M226+N226</f>
        <v>5</v>
      </c>
      <c r="U226" s="28" t="str" cm="1">
        <f t="array" ref="U226">_xlfn.IFS(F226&lt;30000,"30k",F226&lt;=50000,"30k-50k",F226&lt;=75000,"50k-75k",F226&lt;=100000,"75k-100k",F226&gt;100000,"100k")</f>
        <v>30k-50k</v>
      </c>
      <c r="W226" s="1">
        <f t="shared" si="7"/>
        <v>13</v>
      </c>
    </row>
    <row r="227" spans="1:23" x14ac:dyDescent="0.35">
      <c r="A227">
        <v>224</v>
      </c>
      <c r="B227">
        <v>7079</v>
      </c>
      <c r="C227">
        <v>1962</v>
      </c>
      <c r="D227" s="1" t="s">
        <v>10</v>
      </c>
      <c r="E227" s="1" t="s">
        <v>16</v>
      </c>
      <c r="F227">
        <v>63887</v>
      </c>
      <c r="G227">
        <v>0</v>
      </c>
      <c r="H227" s="2">
        <v>1</v>
      </c>
      <c r="I227" s="2">
        <v>41160</v>
      </c>
      <c r="J227">
        <v>38</v>
      </c>
      <c r="K227">
        <f>VLOOKUP(B227,purchase_dataset!$B$2:$F$2241,2,FALSE)</f>
        <v>23</v>
      </c>
      <c r="L227">
        <f>VLOOKUP(B227,purchase_dataset!$B$2:$F$2241,3,FALSE)</f>
        <v>11</v>
      </c>
      <c r="M227">
        <f>VLOOKUP(B227,purchase_dataset!$B$2:$F$2241,3,FALSE)</f>
        <v>11</v>
      </c>
      <c r="N227">
        <f>VLOOKUP(B227,purchase_dataset!$B$2:$F$2241,5,FALSE)</f>
        <v>12</v>
      </c>
      <c r="O227" s="5">
        <v>64</v>
      </c>
      <c r="P227" s="4" t="str">
        <f t="shared" si="6"/>
        <v>&gt;50</v>
      </c>
      <c r="Q227" s="4">
        <f>M227+N227</f>
        <v>23</v>
      </c>
      <c r="U227" s="28" t="str" cm="1">
        <f t="array" ref="U227">_xlfn.IFS(F227&lt;30000,"30k",F227&lt;=50000,"30k-50k",F227&lt;=75000,"50k-75k",F227&lt;=100000,"75k-100k",F227&gt;100000,"100k")</f>
        <v>50k-75k</v>
      </c>
      <c r="W227" s="1">
        <f t="shared" si="7"/>
        <v>14</v>
      </c>
    </row>
    <row r="228" spans="1:23" x14ac:dyDescent="0.35">
      <c r="A228">
        <v>225</v>
      </c>
      <c r="B228">
        <v>4653</v>
      </c>
      <c r="C228">
        <v>1978</v>
      </c>
      <c r="D228" s="1" t="s">
        <v>10</v>
      </c>
      <c r="E228" s="1" t="s">
        <v>12</v>
      </c>
      <c r="F228">
        <v>42011</v>
      </c>
      <c r="G228">
        <v>1</v>
      </c>
      <c r="H228" s="2">
        <v>0</v>
      </c>
      <c r="I228" s="2">
        <v>41359</v>
      </c>
      <c r="J228">
        <v>46</v>
      </c>
      <c r="K228">
        <f>VLOOKUP(B228,purchase_dataset!$B$2:$F$2241,2,FALSE)</f>
        <v>0</v>
      </c>
      <c r="L228">
        <f>VLOOKUP(B228,purchase_dataset!$B$2:$F$2241,3,FALSE)</f>
        <v>1</v>
      </c>
      <c r="M228">
        <f>VLOOKUP(B228,purchase_dataset!$B$2:$F$2241,3,FALSE)</f>
        <v>1</v>
      </c>
      <c r="N228">
        <f>VLOOKUP(B228,purchase_dataset!$B$2:$F$2241,5,FALSE)</f>
        <v>4</v>
      </c>
      <c r="O228" s="5">
        <v>48</v>
      </c>
      <c r="P228" s="4" t="str">
        <f t="shared" si="6"/>
        <v>30-50</v>
      </c>
      <c r="Q228" s="4">
        <f>M228+N228</f>
        <v>5</v>
      </c>
      <c r="U228" s="28" t="str" cm="1">
        <f t="array" ref="U228">_xlfn.IFS(F228&lt;30000,"30k",F228&lt;=50000,"30k-50k",F228&lt;=75000,"50k-75k",F228&lt;=100000,"75k-100k",F228&gt;100000,"100k")</f>
        <v>30k-50k</v>
      </c>
      <c r="W228" s="1">
        <f t="shared" si="7"/>
        <v>13</v>
      </c>
    </row>
    <row r="229" spans="1:23" x14ac:dyDescent="0.35">
      <c r="A229">
        <v>226</v>
      </c>
      <c r="B229">
        <v>7375</v>
      </c>
      <c r="C229">
        <v>1976</v>
      </c>
      <c r="D229" s="1" t="s">
        <v>10</v>
      </c>
      <c r="E229" s="1" t="s">
        <v>12</v>
      </c>
      <c r="F229">
        <v>51369</v>
      </c>
      <c r="G229">
        <v>0</v>
      </c>
      <c r="H229" s="2">
        <v>1</v>
      </c>
      <c r="I229" s="2">
        <v>41207</v>
      </c>
      <c r="J229">
        <v>84</v>
      </c>
      <c r="K229">
        <f>VLOOKUP(B229,purchase_dataset!$B$2:$F$2241,2,FALSE)</f>
        <v>7</v>
      </c>
      <c r="L229">
        <f>VLOOKUP(B229,purchase_dataset!$B$2:$F$2241,3,FALSE)</f>
        <v>11</v>
      </c>
      <c r="M229">
        <f>VLOOKUP(B229,purchase_dataset!$B$2:$F$2241,3,FALSE)</f>
        <v>11</v>
      </c>
      <c r="N229">
        <f>VLOOKUP(B229,purchase_dataset!$B$2:$F$2241,5,FALSE)</f>
        <v>4</v>
      </c>
      <c r="O229" s="5">
        <v>50</v>
      </c>
      <c r="P229" s="4" t="str">
        <f t="shared" si="6"/>
        <v>30-50</v>
      </c>
      <c r="Q229" s="4">
        <f>M229+N229</f>
        <v>15</v>
      </c>
      <c r="U229" s="28" t="str" cm="1">
        <f t="array" ref="U229">_xlfn.IFS(F229&lt;30000,"30k",F229&lt;=50000,"30k-50k",F229&lt;=75000,"50k-75k",F229&lt;=100000,"75k-100k",F229&gt;100000,"100k")</f>
        <v>50k-75k</v>
      </c>
      <c r="W229" s="1">
        <f t="shared" si="7"/>
        <v>14</v>
      </c>
    </row>
    <row r="230" spans="1:23" x14ac:dyDescent="0.35">
      <c r="A230">
        <v>227</v>
      </c>
      <c r="B230">
        <v>709</v>
      </c>
      <c r="C230">
        <v>1952</v>
      </c>
      <c r="D230" s="1" t="s">
        <v>10</v>
      </c>
      <c r="E230" s="1" t="s">
        <v>16</v>
      </c>
      <c r="F230">
        <v>51537</v>
      </c>
      <c r="G230">
        <v>0</v>
      </c>
      <c r="H230" s="2">
        <v>1</v>
      </c>
      <c r="I230" s="2">
        <v>41252</v>
      </c>
      <c r="J230">
        <v>27</v>
      </c>
      <c r="K230">
        <f>VLOOKUP(B230,purchase_dataset!$B$2:$F$2241,2,FALSE)</f>
        <v>20</v>
      </c>
      <c r="L230">
        <f>VLOOKUP(B230,purchase_dataset!$B$2:$F$2241,3,FALSE)</f>
        <v>0</v>
      </c>
      <c r="M230">
        <f>VLOOKUP(B230,purchase_dataset!$B$2:$F$2241,3,FALSE)</f>
        <v>0</v>
      </c>
      <c r="N230">
        <f>VLOOKUP(B230,purchase_dataset!$B$2:$F$2241,5,FALSE)</f>
        <v>11</v>
      </c>
      <c r="O230" s="5">
        <v>74</v>
      </c>
      <c r="P230" s="4" t="str">
        <f t="shared" si="6"/>
        <v>&gt;50</v>
      </c>
      <c r="Q230" s="4">
        <f>M230+N230</f>
        <v>11</v>
      </c>
      <c r="U230" s="28" t="str" cm="1">
        <f t="array" ref="U230">_xlfn.IFS(F230&lt;30000,"30k",F230&lt;=50000,"30k-50k",F230&lt;=75000,"50k-75k",F230&lt;=100000,"75k-100k",F230&gt;100000,"100k")</f>
        <v>50k-75k</v>
      </c>
      <c r="W230" s="1">
        <f t="shared" si="7"/>
        <v>14</v>
      </c>
    </row>
    <row r="231" spans="1:23" x14ac:dyDescent="0.35">
      <c r="A231">
        <v>228</v>
      </c>
      <c r="B231">
        <v>460</v>
      </c>
      <c r="C231">
        <v>1972</v>
      </c>
      <c r="D231" s="1" t="s">
        <v>13</v>
      </c>
      <c r="E231" s="1" t="s">
        <v>14</v>
      </c>
      <c r="F231">
        <v>79930</v>
      </c>
      <c r="G231">
        <v>0</v>
      </c>
      <c r="H231" s="2">
        <v>0</v>
      </c>
      <c r="I231" s="2">
        <v>41129</v>
      </c>
      <c r="J231">
        <v>72</v>
      </c>
      <c r="K231">
        <f>VLOOKUP(B231,purchase_dataset!$B$2:$F$2241,2,FALSE)</f>
        <v>86</v>
      </c>
      <c r="L231">
        <f>VLOOKUP(B231,purchase_dataset!$B$2:$F$2241,3,FALSE)</f>
        <v>51</v>
      </c>
      <c r="M231">
        <f>VLOOKUP(B231,purchase_dataset!$B$2:$F$2241,3,FALSE)</f>
        <v>51</v>
      </c>
      <c r="N231">
        <f>VLOOKUP(B231,purchase_dataset!$B$2:$F$2241,5,FALSE)</f>
        <v>8</v>
      </c>
      <c r="O231" s="5">
        <v>54</v>
      </c>
      <c r="P231" s="4" t="str">
        <f t="shared" si="6"/>
        <v>&gt;50</v>
      </c>
      <c r="Q231" s="4">
        <f>M231+N231</f>
        <v>59</v>
      </c>
      <c r="U231" s="28" t="str" cm="1">
        <f t="array" ref="U231">_xlfn.IFS(F231&lt;30000,"30k",F231&lt;=50000,"30k-50k",F231&lt;=75000,"50k-75k",F231&lt;=100000,"75k-100k",F231&gt;100000,"100k")</f>
        <v>75k-100k</v>
      </c>
      <c r="W231" s="1">
        <f t="shared" si="7"/>
        <v>14</v>
      </c>
    </row>
    <row r="232" spans="1:23" x14ac:dyDescent="0.35">
      <c r="A232">
        <v>229</v>
      </c>
      <c r="B232">
        <v>3726</v>
      </c>
      <c r="C232">
        <v>1986</v>
      </c>
      <c r="D232" s="1" t="s">
        <v>13</v>
      </c>
      <c r="E232" s="1" t="s">
        <v>12</v>
      </c>
      <c r="F232">
        <v>34320</v>
      </c>
      <c r="G232">
        <v>1</v>
      </c>
      <c r="H232" s="2">
        <v>0</v>
      </c>
      <c r="I232" s="2">
        <v>41686</v>
      </c>
      <c r="J232">
        <v>66</v>
      </c>
      <c r="K232">
        <f>VLOOKUP(B232,purchase_dataset!$B$2:$F$2241,2,FALSE)</f>
        <v>1</v>
      </c>
      <c r="L232">
        <f>VLOOKUP(B232,purchase_dataset!$B$2:$F$2241,3,FALSE)</f>
        <v>0</v>
      </c>
      <c r="M232">
        <f>VLOOKUP(B232,purchase_dataset!$B$2:$F$2241,3,FALSE)</f>
        <v>0</v>
      </c>
      <c r="N232">
        <f>VLOOKUP(B232,purchase_dataset!$B$2:$F$2241,5,FALSE)</f>
        <v>2</v>
      </c>
      <c r="O232" s="5">
        <v>40</v>
      </c>
      <c r="P232" s="4" t="str">
        <f t="shared" si="6"/>
        <v>30-50</v>
      </c>
      <c r="Q232" s="4">
        <f>M232+N232</f>
        <v>2</v>
      </c>
      <c r="U232" s="28" t="str" cm="1">
        <f t="array" ref="U232">_xlfn.IFS(F232&lt;30000,"30k",F232&lt;=50000,"30k-50k",F232&lt;=75000,"50k-75k",F232&lt;=100000,"75k-100k",F232&gt;100000,"100k")</f>
        <v>30k-50k</v>
      </c>
      <c r="W232" s="1">
        <f t="shared" si="7"/>
        <v>12</v>
      </c>
    </row>
    <row r="233" spans="1:23" x14ac:dyDescent="0.35">
      <c r="A233">
        <v>230</v>
      </c>
      <c r="B233">
        <v>6798</v>
      </c>
      <c r="C233">
        <v>1966</v>
      </c>
      <c r="D233" s="1" t="s">
        <v>10</v>
      </c>
      <c r="E233" s="1" t="s">
        <v>11</v>
      </c>
      <c r="F233">
        <v>37070</v>
      </c>
      <c r="G233">
        <v>1</v>
      </c>
      <c r="H233" s="2">
        <v>1</v>
      </c>
      <c r="I233" s="2">
        <v>41353</v>
      </c>
      <c r="J233">
        <v>30</v>
      </c>
      <c r="K233">
        <f>VLOOKUP(B233,purchase_dataset!$B$2:$F$2241,2,FALSE)</f>
        <v>7</v>
      </c>
      <c r="L233">
        <f>VLOOKUP(B233,purchase_dataset!$B$2:$F$2241,3,FALSE)</f>
        <v>15</v>
      </c>
      <c r="M233">
        <f>VLOOKUP(B233,purchase_dataset!$B$2:$F$2241,3,FALSE)</f>
        <v>15</v>
      </c>
      <c r="N233">
        <f>VLOOKUP(B233,purchase_dataset!$B$2:$F$2241,5,FALSE)</f>
        <v>8</v>
      </c>
      <c r="O233" s="5">
        <v>60</v>
      </c>
      <c r="P233" s="4" t="str">
        <f t="shared" si="6"/>
        <v>&gt;50</v>
      </c>
      <c r="Q233" s="4">
        <f>M233+N233</f>
        <v>23</v>
      </c>
      <c r="U233" s="28" t="str" cm="1">
        <f t="array" ref="U233">_xlfn.IFS(F233&lt;30000,"30k",F233&lt;=50000,"30k-50k",F233&lt;=75000,"50k-75k",F233&lt;=100000,"75k-100k",F233&gt;100000,"100k")</f>
        <v>30k-50k</v>
      </c>
      <c r="W233" s="1">
        <f t="shared" si="7"/>
        <v>13</v>
      </c>
    </row>
    <row r="234" spans="1:23" x14ac:dyDescent="0.35">
      <c r="A234">
        <v>231</v>
      </c>
      <c r="B234">
        <v>5341</v>
      </c>
      <c r="C234">
        <v>1962</v>
      </c>
      <c r="D234" s="1" t="s">
        <v>18</v>
      </c>
      <c r="E234" s="1" t="s">
        <v>16</v>
      </c>
      <c r="F234">
        <v>81975</v>
      </c>
      <c r="G234">
        <v>0</v>
      </c>
      <c r="H234" s="2">
        <v>1</v>
      </c>
      <c r="I234" s="2">
        <v>41279</v>
      </c>
      <c r="J234">
        <v>2</v>
      </c>
      <c r="K234">
        <f>VLOOKUP(B234,purchase_dataset!$B$2:$F$2241,2,FALSE)</f>
        <v>76</v>
      </c>
      <c r="L234">
        <f>VLOOKUP(B234,purchase_dataset!$B$2:$F$2241,3,FALSE)</f>
        <v>138</v>
      </c>
      <c r="M234">
        <f>VLOOKUP(B234,purchase_dataset!$B$2:$F$2241,3,FALSE)</f>
        <v>138</v>
      </c>
      <c r="N234">
        <f>VLOOKUP(B234,purchase_dataset!$B$2:$F$2241,5,FALSE)</f>
        <v>4</v>
      </c>
      <c r="O234" s="5">
        <v>64</v>
      </c>
      <c r="P234" s="4" t="str">
        <f t="shared" si="6"/>
        <v>&gt;50</v>
      </c>
      <c r="Q234" s="4">
        <f>M234+N234</f>
        <v>142</v>
      </c>
      <c r="U234" s="28" t="str" cm="1">
        <f t="array" ref="U234">_xlfn.IFS(F234&lt;30000,"30k",F234&lt;=50000,"30k-50k",F234&lt;=75000,"50k-75k",F234&lt;=100000,"75k-100k",F234&gt;100000,"100k")</f>
        <v>75k-100k</v>
      </c>
      <c r="W234" s="1">
        <f t="shared" si="7"/>
        <v>13</v>
      </c>
    </row>
    <row r="235" spans="1:23" x14ac:dyDescent="0.35">
      <c r="A235">
        <v>232</v>
      </c>
      <c r="B235">
        <v>1606</v>
      </c>
      <c r="C235">
        <v>1971</v>
      </c>
      <c r="D235" s="1" t="s">
        <v>10</v>
      </c>
      <c r="E235" s="1" t="s">
        <v>12</v>
      </c>
      <c r="F235">
        <v>38590</v>
      </c>
      <c r="G235">
        <v>1</v>
      </c>
      <c r="H235" s="2">
        <v>0</v>
      </c>
      <c r="I235" s="2">
        <v>41409</v>
      </c>
      <c r="J235">
        <v>65</v>
      </c>
      <c r="K235">
        <f>VLOOKUP(B235,purchase_dataset!$B$2:$F$2241,2,FALSE)</f>
        <v>1</v>
      </c>
      <c r="L235">
        <f>VLOOKUP(B235,purchase_dataset!$B$2:$F$2241,3,FALSE)</f>
        <v>3</v>
      </c>
      <c r="M235">
        <f>VLOOKUP(B235,purchase_dataset!$B$2:$F$2241,3,FALSE)</f>
        <v>3</v>
      </c>
      <c r="N235">
        <f>VLOOKUP(B235,purchase_dataset!$B$2:$F$2241,5,FALSE)</f>
        <v>2</v>
      </c>
      <c r="O235" s="5">
        <v>55</v>
      </c>
      <c r="P235" s="4" t="str">
        <f t="shared" si="6"/>
        <v>&gt;50</v>
      </c>
      <c r="Q235" s="4">
        <f>M235+N235</f>
        <v>5</v>
      </c>
      <c r="U235" s="28" t="str" cm="1">
        <f t="array" ref="U235">_xlfn.IFS(F235&lt;30000,"30k",F235&lt;=50000,"30k-50k",F235&lt;=75000,"50k-75k",F235&lt;=100000,"75k-100k",F235&gt;100000,"100k")</f>
        <v>30k-50k</v>
      </c>
      <c r="W235" s="1">
        <f t="shared" si="7"/>
        <v>13</v>
      </c>
    </row>
    <row r="236" spans="1:23" x14ac:dyDescent="0.35">
      <c r="A236">
        <v>233</v>
      </c>
      <c r="B236">
        <v>9617</v>
      </c>
      <c r="C236">
        <v>1951</v>
      </c>
      <c r="D236" s="1" t="s">
        <v>10</v>
      </c>
      <c r="E236" s="1" t="s">
        <v>11</v>
      </c>
      <c r="F236">
        <v>15033</v>
      </c>
      <c r="G236">
        <v>0</v>
      </c>
      <c r="H236" s="2">
        <v>0</v>
      </c>
      <c r="I236" s="2">
        <v>41745</v>
      </c>
      <c r="J236">
        <v>37</v>
      </c>
      <c r="K236">
        <f>VLOOKUP(B236,purchase_dataset!$B$2:$F$2241,2,FALSE)</f>
        <v>4</v>
      </c>
      <c r="L236">
        <f>VLOOKUP(B236,purchase_dataset!$B$2:$F$2241,3,FALSE)</f>
        <v>0</v>
      </c>
      <c r="M236">
        <f>VLOOKUP(B236,purchase_dataset!$B$2:$F$2241,3,FALSE)</f>
        <v>0</v>
      </c>
      <c r="N236">
        <f>VLOOKUP(B236,purchase_dataset!$B$2:$F$2241,5,FALSE)</f>
        <v>3</v>
      </c>
      <c r="O236" s="5">
        <v>75</v>
      </c>
      <c r="P236" s="4" t="str">
        <f t="shared" si="6"/>
        <v>&gt;50</v>
      </c>
      <c r="Q236" s="4">
        <f>M236+N236</f>
        <v>3</v>
      </c>
      <c r="U236" s="28" t="str" cm="1">
        <f t="array" ref="U236">_xlfn.IFS(F236&lt;30000,"30k",F236&lt;=50000,"30k-50k",F236&lt;=75000,"50k-75k",F236&lt;=100000,"75k-100k",F236&gt;100000,"100k")</f>
        <v>30k</v>
      </c>
      <c r="W236" s="1">
        <f t="shared" si="7"/>
        <v>12</v>
      </c>
    </row>
    <row r="237" spans="1:23" x14ac:dyDescent="0.35">
      <c r="A237">
        <v>234</v>
      </c>
      <c r="B237">
        <v>3233</v>
      </c>
      <c r="C237">
        <v>1965</v>
      </c>
      <c r="D237" s="1" t="s">
        <v>13</v>
      </c>
      <c r="E237" s="1" t="s">
        <v>14</v>
      </c>
      <c r="F237">
        <v>62745</v>
      </c>
      <c r="G237">
        <v>0</v>
      </c>
      <c r="H237" s="2">
        <v>1</v>
      </c>
      <c r="I237" s="2">
        <v>41356</v>
      </c>
      <c r="J237">
        <v>89</v>
      </c>
      <c r="K237">
        <f>VLOOKUP(B237,purchase_dataset!$B$2:$F$2241,2,FALSE)</f>
        <v>21</v>
      </c>
      <c r="L237">
        <f>VLOOKUP(B237,purchase_dataset!$B$2:$F$2241,3,FALSE)</f>
        <v>10</v>
      </c>
      <c r="M237">
        <f>VLOOKUP(B237,purchase_dataset!$B$2:$F$2241,3,FALSE)</f>
        <v>10</v>
      </c>
      <c r="N237">
        <f>VLOOKUP(B237,purchase_dataset!$B$2:$F$2241,5,FALSE)</f>
        <v>11</v>
      </c>
      <c r="O237" s="5">
        <v>61</v>
      </c>
      <c r="P237" s="4" t="str">
        <f t="shared" si="6"/>
        <v>&gt;50</v>
      </c>
      <c r="Q237" s="4">
        <f>M237+N237</f>
        <v>21</v>
      </c>
      <c r="U237" s="28" t="str" cm="1">
        <f t="array" ref="U237">_xlfn.IFS(F237&lt;30000,"30k",F237&lt;=50000,"30k-50k",F237&lt;=75000,"50k-75k",F237&lt;=100000,"75k-100k",F237&gt;100000,"100k")</f>
        <v>50k-75k</v>
      </c>
      <c r="W237" s="1">
        <f t="shared" si="7"/>
        <v>13</v>
      </c>
    </row>
    <row r="238" spans="1:23" x14ac:dyDescent="0.35">
      <c r="A238">
        <v>235</v>
      </c>
      <c r="B238">
        <v>89</v>
      </c>
      <c r="C238">
        <v>1975</v>
      </c>
      <c r="D238" s="1" t="s">
        <v>18</v>
      </c>
      <c r="E238" s="1" t="s">
        <v>14</v>
      </c>
      <c r="F238">
        <v>22212</v>
      </c>
      <c r="G238">
        <v>1</v>
      </c>
      <c r="H238" s="2">
        <v>0</v>
      </c>
      <c r="I238" s="2">
        <v>41617</v>
      </c>
      <c r="J238">
        <v>49</v>
      </c>
      <c r="K238">
        <f>VLOOKUP(B238,purchase_dataset!$B$2:$F$2241,2,FALSE)</f>
        <v>9</v>
      </c>
      <c r="L238">
        <f>VLOOKUP(B238,purchase_dataset!$B$2:$F$2241,3,FALSE)</f>
        <v>8</v>
      </c>
      <c r="M238">
        <f>VLOOKUP(B238,purchase_dataset!$B$2:$F$2241,3,FALSE)</f>
        <v>8</v>
      </c>
      <c r="N238">
        <f>VLOOKUP(B238,purchase_dataset!$B$2:$F$2241,5,FALSE)</f>
        <v>4</v>
      </c>
      <c r="O238" s="5">
        <v>51</v>
      </c>
      <c r="P238" s="4" t="str">
        <f t="shared" si="6"/>
        <v>&gt;50</v>
      </c>
      <c r="Q238" s="4">
        <f>M238+N238</f>
        <v>12</v>
      </c>
      <c r="U238" s="28" t="str" cm="1">
        <f t="array" ref="U238">_xlfn.IFS(F238&lt;30000,"30k",F238&lt;=50000,"30k-50k",F238&lt;=75000,"50k-75k",F238&lt;=100000,"75k-100k",F238&gt;100000,"100k")</f>
        <v>30k</v>
      </c>
      <c r="W238" s="1">
        <f t="shared" si="7"/>
        <v>13</v>
      </c>
    </row>
    <row r="239" spans="1:23" x14ac:dyDescent="0.35">
      <c r="A239">
        <v>236</v>
      </c>
      <c r="B239">
        <v>2936</v>
      </c>
      <c r="C239">
        <v>1982</v>
      </c>
      <c r="D239" s="1" t="s">
        <v>15</v>
      </c>
      <c r="E239" s="1" t="s">
        <v>12</v>
      </c>
      <c r="F239">
        <v>23661</v>
      </c>
      <c r="G239">
        <v>1</v>
      </c>
      <c r="H239" s="2">
        <v>0</v>
      </c>
      <c r="I239" s="2">
        <v>41612</v>
      </c>
      <c r="J239">
        <v>46</v>
      </c>
      <c r="K239">
        <f>VLOOKUP(B239,purchase_dataset!$B$2:$F$2241,2,FALSE)</f>
        <v>0</v>
      </c>
      <c r="L239">
        <f>VLOOKUP(B239,purchase_dataset!$B$2:$F$2241,3,FALSE)</f>
        <v>0</v>
      </c>
      <c r="M239">
        <f>VLOOKUP(B239,purchase_dataset!$B$2:$F$2241,3,FALSE)</f>
        <v>0</v>
      </c>
      <c r="N239">
        <f>VLOOKUP(B239,purchase_dataset!$B$2:$F$2241,5,FALSE)</f>
        <v>3</v>
      </c>
      <c r="O239" s="5">
        <v>44</v>
      </c>
      <c r="P239" s="4" t="str">
        <f t="shared" si="6"/>
        <v>30-50</v>
      </c>
      <c r="Q239" s="4">
        <f>M239+N239</f>
        <v>3</v>
      </c>
      <c r="U239" s="28" t="str" cm="1">
        <f t="array" ref="U239">_xlfn.IFS(F239&lt;30000,"30k",F239&lt;=50000,"30k-50k",F239&lt;=75000,"50k-75k",F239&lt;=100000,"75k-100k",F239&gt;100000,"100k")</f>
        <v>30k</v>
      </c>
      <c r="W239" s="1">
        <f t="shared" si="7"/>
        <v>13</v>
      </c>
    </row>
    <row r="240" spans="1:23" x14ac:dyDescent="0.35">
      <c r="A240">
        <v>237</v>
      </c>
      <c r="B240">
        <v>9449</v>
      </c>
      <c r="C240">
        <v>1958</v>
      </c>
      <c r="D240" s="1" t="s">
        <v>13</v>
      </c>
      <c r="E240" s="1" t="s">
        <v>11</v>
      </c>
      <c r="F240">
        <v>79761</v>
      </c>
      <c r="G240">
        <v>0</v>
      </c>
      <c r="H240" s="2">
        <v>1</v>
      </c>
      <c r="I240" s="2">
        <v>41551</v>
      </c>
      <c r="J240">
        <v>32</v>
      </c>
      <c r="K240">
        <f>VLOOKUP(B240,purchase_dataset!$B$2:$F$2241,2,FALSE)</f>
        <v>5</v>
      </c>
      <c r="L240">
        <f>VLOOKUP(B240,purchase_dataset!$B$2:$F$2241,3,FALSE)</f>
        <v>35</v>
      </c>
      <c r="M240">
        <f>VLOOKUP(B240,purchase_dataset!$B$2:$F$2241,3,FALSE)</f>
        <v>35</v>
      </c>
      <c r="N240">
        <f>VLOOKUP(B240,purchase_dataset!$B$2:$F$2241,5,FALSE)</f>
        <v>11</v>
      </c>
      <c r="O240" s="5">
        <v>68</v>
      </c>
      <c r="P240" s="4" t="str">
        <f t="shared" si="6"/>
        <v>&gt;50</v>
      </c>
      <c r="Q240" s="4">
        <f>M240+N240</f>
        <v>46</v>
      </c>
      <c r="U240" s="28" t="str" cm="1">
        <f t="array" ref="U240">_xlfn.IFS(F240&lt;30000,"30k",F240&lt;=50000,"30k-50k",F240&lt;=75000,"50k-75k",F240&lt;=100000,"75k-100k",F240&gt;100000,"100k")</f>
        <v>75k-100k</v>
      </c>
      <c r="W240" s="1">
        <f t="shared" si="7"/>
        <v>13</v>
      </c>
    </row>
    <row r="241" spans="1:23" x14ac:dyDescent="0.35">
      <c r="A241">
        <v>238</v>
      </c>
      <c r="B241">
        <v>7297</v>
      </c>
      <c r="C241">
        <v>1973</v>
      </c>
      <c r="D241" s="1" t="s">
        <v>10</v>
      </c>
      <c r="E241" s="1" t="s">
        <v>11</v>
      </c>
      <c r="F241">
        <v>7500</v>
      </c>
      <c r="G241">
        <v>1</v>
      </c>
      <c r="H241" s="2">
        <v>0</v>
      </c>
      <c r="I241" s="2">
        <v>41634</v>
      </c>
      <c r="J241">
        <v>54</v>
      </c>
      <c r="K241">
        <f>VLOOKUP(B241,purchase_dataset!$B$2:$F$2241,2,FALSE)</f>
        <v>3</v>
      </c>
      <c r="L241">
        <f>VLOOKUP(B241,purchase_dataset!$B$2:$F$2241,3,FALSE)</f>
        <v>7</v>
      </c>
      <c r="M241">
        <f>VLOOKUP(B241,purchase_dataset!$B$2:$F$2241,3,FALSE)</f>
        <v>7</v>
      </c>
      <c r="N241">
        <f>VLOOKUP(B241,purchase_dataset!$B$2:$F$2241,5,FALSE)</f>
        <v>3</v>
      </c>
      <c r="O241" s="5">
        <v>53</v>
      </c>
      <c r="P241" s="4" t="str">
        <f t="shared" si="6"/>
        <v>&gt;50</v>
      </c>
      <c r="Q241" s="4">
        <f>M241+N241</f>
        <v>10</v>
      </c>
      <c r="U241" s="28" t="str" cm="1">
        <f t="array" ref="U241">_xlfn.IFS(F241&lt;30000,"30k",F241&lt;=50000,"30k-50k",F241&lt;=75000,"50k-75k",F241&lt;=100000,"75k-100k",F241&gt;100000,"100k")</f>
        <v>30k</v>
      </c>
      <c r="W241" s="1">
        <f t="shared" si="7"/>
        <v>13</v>
      </c>
    </row>
    <row r="242" spans="1:23" x14ac:dyDescent="0.35">
      <c r="A242">
        <v>239</v>
      </c>
      <c r="B242">
        <v>11004</v>
      </c>
      <c r="C242">
        <v>1893</v>
      </c>
      <c r="D242" s="1" t="s">
        <v>18</v>
      </c>
      <c r="E242" s="1" t="s">
        <v>11</v>
      </c>
      <c r="F242">
        <v>60182</v>
      </c>
      <c r="G242">
        <v>0</v>
      </c>
      <c r="H242" s="2">
        <v>1</v>
      </c>
      <c r="I242" s="2">
        <v>41776</v>
      </c>
      <c r="J242">
        <v>23</v>
      </c>
      <c r="K242">
        <f>VLOOKUP(B242,purchase_dataset!$B$2:$F$2241,2,FALSE)</f>
        <v>0</v>
      </c>
      <c r="L242">
        <f>VLOOKUP(B242,purchase_dataset!$B$2:$F$2241,3,FALSE)</f>
        <v>0</v>
      </c>
      <c r="M242">
        <f>VLOOKUP(B242,purchase_dataset!$B$2:$F$2241,3,FALSE)</f>
        <v>0</v>
      </c>
      <c r="N242">
        <f>VLOOKUP(B242,purchase_dataset!$B$2:$F$2241,5,FALSE)</f>
        <v>2</v>
      </c>
      <c r="O242" s="5">
        <v>133</v>
      </c>
      <c r="P242" s="4" t="str">
        <f t="shared" si="6"/>
        <v>&gt;50</v>
      </c>
      <c r="Q242" s="4">
        <f>M242+N242</f>
        <v>2</v>
      </c>
      <c r="U242" s="28" t="str" cm="1">
        <f t="array" ref="U242">_xlfn.IFS(F242&lt;30000,"30k",F242&lt;=50000,"30k-50k",F242&lt;=75000,"50k-75k",F242&lt;=100000,"75k-100k",F242&gt;100000,"100k")</f>
        <v>50k-75k</v>
      </c>
      <c r="W242" s="1">
        <f t="shared" si="7"/>
        <v>12</v>
      </c>
    </row>
    <row r="243" spans="1:23" x14ac:dyDescent="0.35">
      <c r="A243">
        <v>240</v>
      </c>
      <c r="B243">
        <v>313</v>
      </c>
      <c r="C243">
        <v>1968</v>
      </c>
      <c r="D243" s="1" t="s">
        <v>10</v>
      </c>
      <c r="E243" s="1" t="s">
        <v>19</v>
      </c>
      <c r="F243">
        <v>73455</v>
      </c>
      <c r="G243">
        <v>0</v>
      </c>
      <c r="H243" s="2">
        <v>0</v>
      </c>
      <c r="I243" s="2">
        <v>41575</v>
      </c>
      <c r="J243">
        <v>98</v>
      </c>
      <c r="K243">
        <f>VLOOKUP(B243,purchase_dataset!$B$2:$F$2241,2,FALSE)</f>
        <v>61</v>
      </c>
      <c r="L243">
        <f>VLOOKUP(B243,purchase_dataset!$B$2:$F$2241,3,FALSE)</f>
        <v>163</v>
      </c>
      <c r="M243">
        <f>VLOOKUP(B243,purchase_dataset!$B$2:$F$2241,3,FALSE)</f>
        <v>163</v>
      </c>
      <c r="N243">
        <f>VLOOKUP(B243,purchase_dataset!$B$2:$F$2241,5,FALSE)</f>
        <v>10</v>
      </c>
      <c r="O243" s="5">
        <v>58</v>
      </c>
      <c r="P243" s="4" t="str">
        <f t="shared" si="6"/>
        <v>&gt;50</v>
      </c>
      <c r="Q243" s="4">
        <f>M243+N243</f>
        <v>173</v>
      </c>
      <c r="U243" s="28" t="str" cm="1">
        <f t="array" ref="U243">_xlfn.IFS(F243&lt;30000,"30k",F243&lt;=50000,"30k-50k",F243&lt;=75000,"50k-75k",F243&lt;=100000,"75k-100k",F243&gt;100000,"100k")</f>
        <v>50k-75k</v>
      </c>
      <c r="W243" s="1">
        <f t="shared" si="7"/>
        <v>13</v>
      </c>
    </row>
    <row r="244" spans="1:23" x14ac:dyDescent="0.35">
      <c r="A244">
        <v>241</v>
      </c>
      <c r="B244">
        <v>9940</v>
      </c>
      <c r="C244">
        <v>1958</v>
      </c>
      <c r="D244" s="1" t="s">
        <v>10</v>
      </c>
      <c r="E244" s="1" t="s">
        <v>12</v>
      </c>
      <c r="F244">
        <v>64961</v>
      </c>
      <c r="G244">
        <v>0</v>
      </c>
      <c r="H244" s="2">
        <v>1</v>
      </c>
      <c r="I244" s="2">
        <v>41266</v>
      </c>
      <c r="J244">
        <v>97</v>
      </c>
      <c r="K244">
        <f>VLOOKUP(B244,purchase_dataset!$B$2:$F$2241,2,FALSE)</f>
        <v>114</v>
      </c>
      <c r="L244">
        <f>VLOOKUP(B244,purchase_dataset!$B$2:$F$2241,3,FALSE)</f>
        <v>124</v>
      </c>
      <c r="M244">
        <f>VLOOKUP(B244,purchase_dataset!$B$2:$F$2241,3,FALSE)</f>
        <v>124</v>
      </c>
      <c r="N244">
        <f>VLOOKUP(B244,purchase_dataset!$B$2:$F$2241,5,FALSE)</f>
        <v>4</v>
      </c>
      <c r="O244" s="5">
        <v>68</v>
      </c>
      <c r="P244" s="4" t="str">
        <f t="shared" si="6"/>
        <v>&gt;50</v>
      </c>
      <c r="Q244" s="4">
        <f>M244+N244</f>
        <v>128</v>
      </c>
      <c r="U244" s="28" t="str" cm="1">
        <f t="array" ref="U244">_xlfn.IFS(F244&lt;30000,"30k",F244&lt;=50000,"30k-50k",F244&lt;=75000,"50k-75k",F244&lt;=100000,"75k-100k",F244&gt;100000,"100k")</f>
        <v>50k-75k</v>
      </c>
      <c r="W244" s="1">
        <f t="shared" si="7"/>
        <v>14</v>
      </c>
    </row>
    <row r="245" spans="1:23" x14ac:dyDescent="0.35">
      <c r="A245">
        <v>242</v>
      </c>
      <c r="B245">
        <v>10735</v>
      </c>
      <c r="C245">
        <v>1971</v>
      </c>
      <c r="D245" s="1" t="s">
        <v>10</v>
      </c>
      <c r="E245" s="1" t="s">
        <v>11</v>
      </c>
      <c r="F245">
        <v>22804</v>
      </c>
      <c r="G245">
        <v>1</v>
      </c>
      <c r="H245" s="2">
        <v>0</v>
      </c>
      <c r="I245" s="2">
        <v>41486</v>
      </c>
      <c r="J245">
        <v>75</v>
      </c>
      <c r="K245">
        <f>VLOOKUP(B245,purchase_dataset!$B$2:$F$2241,2,FALSE)</f>
        <v>1</v>
      </c>
      <c r="L245">
        <f>VLOOKUP(B245,purchase_dataset!$B$2:$F$2241,3,FALSE)</f>
        <v>1</v>
      </c>
      <c r="M245">
        <f>VLOOKUP(B245,purchase_dataset!$B$2:$F$2241,3,FALSE)</f>
        <v>1</v>
      </c>
      <c r="N245">
        <f>VLOOKUP(B245,purchase_dataset!$B$2:$F$2241,5,FALSE)</f>
        <v>2</v>
      </c>
      <c r="O245" s="5">
        <v>55</v>
      </c>
      <c r="P245" s="4" t="str">
        <f t="shared" si="6"/>
        <v>&gt;50</v>
      </c>
      <c r="Q245" s="4">
        <f>M245+N245</f>
        <v>3</v>
      </c>
      <c r="U245" s="28" t="str" cm="1">
        <f t="array" ref="U245">_xlfn.IFS(F245&lt;30000,"30k",F245&lt;=50000,"30k-50k",F245&lt;=75000,"50k-75k",F245&lt;=100000,"75k-100k",F245&gt;100000,"100k")</f>
        <v>30k</v>
      </c>
      <c r="W245" s="1">
        <f t="shared" si="7"/>
        <v>13</v>
      </c>
    </row>
    <row r="246" spans="1:23" x14ac:dyDescent="0.35">
      <c r="A246">
        <v>243</v>
      </c>
      <c r="B246">
        <v>9529</v>
      </c>
      <c r="C246">
        <v>1990</v>
      </c>
      <c r="D246" s="1" t="s">
        <v>10</v>
      </c>
      <c r="E246" s="1" t="s">
        <v>14</v>
      </c>
      <c r="F246">
        <v>73687</v>
      </c>
      <c r="G246">
        <v>0</v>
      </c>
      <c r="H246" s="2">
        <v>0</v>
      </c>
      <c r="I246" s="2">
        <v>41606</v>
      </c>
      <c r="J246">
        <v>8</v>
      </c>
      <c r="K246">
        <f>VLOOKUP(B246,purchase_dataset!$B$2:$F$2241,2,FALSE)</f>
        <v>153</v>
      </c>
      <c r="L246">
        <f>VLOOKUP(B246,purchase_dataset!$B$2:$F$2241,3,FALSE)</f>
        <v>13</v>
      </c>
      <c r="M246">
        <f>VLOOKUP(B246,purchase_dataset!$B$2:$F$2241,3,FALSE)</f>
        <v>13</v>
      </c>
      <c r="N246">
        <f>VLOOKUP(B246,purchase_dataset!$B$2:$F$2241,5,FALSE)</f>
        <v>9</v>
      </c>
      <c r="O246" s="5">
        <v>36</v>
      </c>
      <c r="P246" s="4" t="str">
        <f t="shared" si="6"/>
        <v>30-50</v>
      </c>
      <c r="Q246" s="4">
        <f>M246+N246</f>
        <v>22</v>
      </c>
      <c r="U246" s="28" t="str" cm="1">
        <f t="array" ref="U246">_xlfn.IFS(F246&lt;30000,"30k",F246&lt;=50000,"30k-50k",F246&lt;=75000,"50k-75k",F246&lt;=100000,"75k-100k",F246&gt;100000,"100k")</f>
        <v>50k-75k</v>
      </c>
      <c r="W246" s="1">
        <f t="shared" si="7"/>
        <v>13</v>
      </c>
    </row>
    <row r="247" spans="1:23" x14ac:dyDescent="0.35">
      <c r="A247">
        <v>244</v>
      </c>
      <c r="B247">
        <v>6439</v>
      </c>
      <c r="C247">
        <v>1958</v>
      </c>
      <c r="D247" s="1" t="s">
        <v>10</v>
      </c>
      <c r="E247" s="1" t="s">
        <v>14</v>
      </c>
      <c r="F247">
        <v>61074</v>
      </c>
      <c r="G247">
        <v>0</v>
      </c>
      <c r="H247" s="2">
        <v>1</v>
      </c>
      <c r="I247" s="2">
        <v>41138</v>
      </c>
      <c r="J247">
        <v>37</v>
      </c>
      <c r="K247">
        <f>VLOOKUP(B247,purchase_dataset!$B$2:$F$2241,2,FALSE)</f>
        <v>0</v>
      </c>
      <c r="L247">
        <f>VLOOKUP(B247,purchase_dataset!$B$2:$F$2241,3,FALSE)</f>
        <v>28</v>
      </c>
      <c r="M247">
        <f>VLOOKUP(B247,purchase_dataset!$B$2:$F$2241,3,FALSE)</f>
        <v>28</v>
      </c>
      <c r="N247">
        <f>VLOOKUP(B247,purchase_dataset!$B$2:$F$2241,5,FALSE)</f>
        <v>8</v>
      </c>
      <c r="O247" s="5">
        <v>68</v>
      </c>
      <c r="P247" s="4" t="str">
        <f t="shared" si="6"/>
        <v>&gt;50</v>
      </c>
      <c r="Q247" s="4">
        <f>M247+N247</f>
        <v>36</v>
      </c>
      <c r="U247" s="28" t="str" cm="1">
        <f t="array" ref="U247">_xlfn.IFS(F247&lt;30000,"30k",F247&lt;=50000,"30k-50k",F247&lt;=75000,"50k-75k",F247&lt;=100000,"75k-100k",F247&gt;100000,"100k")</f>
        <v>50k-75k</v>
      </c>
      <c r="W247" s="1">
        <f t="shared" si="7"/>
        <v>14</v>
      </c>
    </row>
    <row r="248" spans="1:23" x14ac:dyDescent="0.35">
      <c r="A248">
        <v>245</v>
      </c>
      <c r="B248">
        <v>7411</v>
      </c>
      <c r="C248">
        <v>1964</v>
      </c>
      <c r="D248" s="1" t="s">
        <v>13</v>
      </c>
      <c r="E248" s="1" t="s">
        <v>14</v>
      </c>
      <c r="F248">
        <v>31686</v>
      </c>
      <c r="G248">
        <v>1</v>
      </c>
      <c r="H248" s="2">
        <v>1</v>
      </c>
      <c r="I248" s="2">
        <v>41795</v>
      </c>
      <c r="J248">
        <v>31</v>
      </c>
      <c r="K248">
        <f>VLOOKUP(B248,purchase_dataset!$B$2:$F$2241,2,FALSE)</f>
        <v>0</v>
      </c>
      <c r="L248">
        <f>VLOOKUP(B248,purchase_dataset!$B$2:$F$2241,3,FALSE)</f>
        <v>0</v>
      </c>
      <c r="M248">
        <f>VLOOKUP(B248,purchase_dataset!$B$2:$F$2241,3,FALSE)</f>
        <v>0</v>
      </c>
      <c r="N248">
        <f>VLOOKUP(B248,purchase_dataset!$B$2:$F$2241,5,FALSE)</f>
        <v>3</v>
      </c>
      <c r="O248" s="5">
        <v>62</v>
      </c>
      <c r="P248" s="4" t="str">
        <f t="shared" si="6"/>
        <v>&gt;50</v>
      </c>
      <c r="Q248" s="4">
        <f>M248+N248</f>
        <v>3</v>
      </c>
      <c r="U248" s="28" t="str" cm="1">
        <f t="array" ref="U248">_xlfn.IFS(F248&lt;30000,"30k",F248&lt;=50000,"30k-50k",F248&lt;=75000,"50k-75k",F248&lt;=100000,"75k-100k",F248&gt;100000,"100k")</f>
        <v>30k-50k</v>
      </c>
      <c r="W248" s="1">
        <f t="shared" si="7"/>
        <v>12</v>
      </c>
    </row>
    <row r="249" spans="1:23" x14ac:dyDescent="0.35">
      <c r="A249">
        <v>246</v>
      </c>
      <c r="B249">
        <v>2176</v>
      </c>
      <c r="C249">
        <v>1972</v>
      </c>
      <c r="D249" s="1" t="s">
        <v>10</v>
      </c>
      <c r="E249" s="1" t="s">
        <v>14</v>
      </c>
      <c r="F249">
        <v>80134</v>
      </c>
      <c r="G249">
        <v>1</v>
      </c>
      <c r="H249" s="2">
        <v>0</v>
      </c>
      <c r="I249" s="2">
        <v>41414</v>
      </c>
      <c r="J249">
        <v>40</v>
      </c>
      <c r="K249">
        <f>VLOOKUP(B249,purchase_dataset!$B$2:$F$2241,2,FALSE)</f>
        <v>16</v>
      </c>
      <c r="L249">
        <f>VLOOKUP(B249,purchase_dataset!$B$2:$F$2241,3,FALSE)</f>
        <v>0</v>
      </c>
      <c r="M249">
        <f>VLOOKUP(B249,purchase_dataset!$B$2:$F$2241,3,FALSE)</f>
        <v>0</v>
      </c>
      <c r="N249">
        <f>VLOOKUP(B249,purchase_dataset!$B$2:$F$2241,5,FALSE)</f>
        <v>6</v>
      </c>
      <c r="O249" s="5">
        <v>54</v>
      </c>
      <c r="P249" s="4" t="str">
        <f t="shared" si="6"/>
        <v>&gt;50</v>
      </c>
      <c r="Q249" s="4">
        <f>M249+N249</f>
        <v>6</v>
      </c>
      <c r="U249" s="28" t="str" cm="1">
        <f t="array" ref="U249">_xlfn.IFS(F249&lt;30000,"30k",F249&lt;=50000,"30k-50k",F249&lt;=75000,"50k-75k",F249&lt;=100000,"75k-100k",F249&gt;100000,"100k")</f>
        <v>75k-100k</v>
      </c>
      <c r="W249" s="1">
        <f t="shared" si="7"/>
        <v>13</v>
      </c>
    </row>
    <row r="250" spans="1:23" x14ac:dyDescent="0.35">
      <c r="A250">
        <v>247</v>
      </c>
      <c r="B250">
        <v>9265</v>
      </c>
      <c r="C250">
        <v>1953</v>
      </c>
      <c r="D250" s="1" t="s">
        <v>10</v>
      </c>
      <c r="E250" s="1" t="s">
        <v>14</v>
      </c>
      <c r="F250">
        <v>75027</v>
      </c>
      <c r="G250">
        <v>0</v>
      </c>
      <c r="H250" s="2">
        <v>1</v>
      </c>
      <c r="I250" s="2">
        <v>41283</v>
      </c>
      <c r="J250">
        <v>74</v>
      </c>
      <c r="K250">
        <f>VLOOKUP(B250,purchase_dataset!$B$2:$F$2241,2,FALSE)</f>
        <v>64</v>
      </c>
      <c r="L250">
        <f>VLOOKUP(B250,purchase_dataset!$B$2:$F$2241,3,FALSE)</f>
        <v>12</v>
      </c>
      <c r="M250">
        <f>VLOOKUP(B250,purchase_dataset!$B$2:$F$2241,3,FALSE)</f>
        <v>12</v>
      </c>
      <c r="N250">
        <f>VLOOKUP(B250,purchase_dataset!$B$2:$F$2241,5,FALSE)</f>
        <v>6</v>
      </c>
      <c r="O250" s="5">
        <v>73</v>
      </c>
      <c r="P250" s="4" t="str">
        <f t="shared" si="6"/>
        <v>&gt;50</v>
      </c>
      <c r="Q250" s="4">
        <f>M250+N250</f>
        <v>18</v>
      </c>
      <c r="U250" s="28" t="str" cm="1">
        <f t="array" ref="U250">_xlfn.IFS(F250&lt;30000,"30k",F250&lt;=50000,"30k-50k",F250&lt;=75000,"50k-75k",F250&lt;=100000,"75k-100k",F250&gt;100000,"100k")</f>
        <v>75k-100k</v>
      </c>
      <c r="W250" s="1">
        <f t="shared" si="7"/>
        <v>13</v>
      </c>
    </row>
    <row r="251" spans="1:23" x14ac:dyDescent="0.35">
      <c r="A251">
        <v>248</v>
      </c>
      <c r="B251">
        <v>8867</v>
      </c>
      <c r="C251">
        <v>1988</v>
      </c>
      <c r="D251" s="1" t="s">
        <v>13</v>
      </c>
      <c r="E251" s="1" t="s">
        <v>14</v>
      </c>
      <c r="F251">
        <v>67546</v>
      </c>
      <c r="G251">
        <v>0</v>
      </c>
      <c r="H251" s="2">
        <v>0</v>
      </c>
      <c r="I251" s="2">
        <v>41152</v>
      </c>
      <c r="J251">
        <v>90</v>
      </c>
      <c r="K251">
        <f>VLOOKUP(B251,purchase_dataset!$B$2:$F$2241,2,FALSE)</f>
        <v>134</v>
      </c>
      <c r="L251">
        <f>VLOOKUP(B251,purchase_dataset!$B$2:$F$2241,3,FALSE)</f>
        <v>38</v>
      </c>
      <c r="M251">
        <f>VLOOKUP(B251,purchase_dataset!$B$2:$F$2241,3,FALSE)</f>
        <v>38</v>
      </c>
      <c r="N251">
        <f>VLOOKUP(B251,purchase_dataset!$B$2:$F$2241,5,FALSE)</f>
        <v>5</v>
      </c>
      <c r="O251" s="5">
        <v>38</v>
      </c>
      <c r="P251" s="4" t="str">
        <f t="shared" si="6"/>
        <v>30-50</v>
      </c>
      <c r="Q251" s="4">
        <f>M251+N251</f>
        <v>43</v>
      </c>
      <c r="U251" s="28" t="str" cm="1">
        <f t="array" ref="U251">_xlfn.IFS(F251&lt;30000,"30k",F251&lt;=50000,"30k-50k",F251&lt;=75000,"50k-75k",F251&lt;=100000,"75k-100k",F251&gt;100000,"100k")</f>
        <v>50k-75k</v>
      </c>
      <c r="W251" s="1">
        <f t="shared" si="7"/>
        <v>14</v>
      </c>
    </row>
    <row r="252" spans="1:23" x14ac:dyDescent="0.35">
      <c r="A252">
        <v>249</v>
      </c>
      <c r="B252">
        <v>8932</v>
      </c>
      <c r="C252">
        <v>1969</v>
      </c>
      <c r="D252" s="1" t="s">
        <v>15</v>
      </c>
      <c r="E252" s="1" t="s">
        <v>12</v>
      </c>
      <c r="F252">
        <v>65176</v>
      </c>
      <c r="G252">
        <v>0</v>
      </c>
      <c r="H252" s="2">
        <v>1</v>
      </c>
      <c r="I252" s="2">
        <v>41211</v>
      </c>
      <c r="J252">
        <v>57</v>
      </c>
      <c r="K252">
        <f>VLOOKUP(B252,purchase_dataset!$B$2:$F$2241,2,FALSE)</f>
        <v>28</v>
      </c>
      <c r="L252">
        <f>VLOOKUP(B252,purchase_dataset!$B$2:$F$2241,3,FALSE)</f>
        <v>70</v>
      </c>
      <c r="M252">
        <f>VLOOKUP(B252,purchase_dataset!$B$2:$F$2241,3,FALSE)</f>
        <v>70</v>
      </c>
      <c r="N252">
        <f>VLOOKUP(B252,purchase_dataset!$B$2:$F$2241,5,FALSE)</f>
        <v>6</v>
      </c>
      <c r="O252" s="5">
        <v>57</v>
      </c>
      <c r="P252" s="4" t="str">
        <f t="shared" si="6"/>
        <v>&gt;50</v>
      </c>
      <c r="Q252" s="4">
        <f>M252+N252</f>
        <v>76</v>
      </c>
      <c r="U252" s="28" t="str" cm="1">
        <f t="array" ref="U252">_xlfn.IFS(F252&lt;30000,"30k",F252&lt;=50000,"30k-50k",F252&lt;=75000,"50k-75k",F252&lt;=100000,"75k-100k",F252&gt;100000,"100k")</f>
        <v>50k-75k</v>
      </c>
      <c r="W252" s="1">
        <f t="shared" si="7"/>
        <v>14</v>
      </c>
    </row>
    <row r="253" spans="1:23" x14ac:dyDescent="0.35">
      <c r="A253">
        <v>250</v>
      </c>
      <c r="B253">
        <v>10236</v>
      </c>
      <c r="C253">
        <v>1975</v>
      </c>
      <c r="D253" s="1" t="s">
        <v>15</v>
      </c>
      <c r="E253" s="1" t="s">
        <v>11</v>
      </c>
      <c r="F253">
        <v>31160</v>
      </c>
      <c r="G253">
        <v>1</v>
      </c>
      <c r="H253" s="2">
        <v>0</v>
      </c>
      <c r="I253" s="2">
        <v>41533</v>
      </c>
      <c r="J253">
        <v>59</v>
      </c>
      <c r="K253">
        <f>VLOOKUP(B253,purchase_dataset!$B$2:$F$2241,2,FALSE)</f>
        <v>3</v>
      </c>
      <c r="L253">
        <f>VLOOKUP(B253,purchase_dataset!$B$2:$F$2241,3,FALSE)</f>
        <v>1</v>
      </c>
      <c r="M253">
        <f>VLOOKUP(B253,purchase_dataset!$B$2:$F$2241,3,FALSE)</f>
        <v>1</v>
      </c>
      <c r="N253">
        <f>VLOOKUP(B253,purchase_dataset!$B$2:$F$2241,5,FALSE)</f>
        <v>3</v>
      </c>
      <c r="O253" s="5">
        <v>51</v>
      </c>
      <c r="P253" s="4" t="str">
        <f t="shared" si="6"/>
        <v>&gt;50</v>
      </c>
      <c r="Q253" s="4">
        <f>M253+N253</f>
        <v>4</v>
      </c>
      <c r="U253" s="28" t="str" cm="1">
        <f t="array" ref="U253">_xlfn.IFS(F253&lt;30000,"30k",F253&lt;=50000,"30k-50k",F253&lt;=75000,"50k-75k",F253&lt;=100000,"75k-100k",F253&gt;100000,"100k")</f>
        <v>30k-50k</v>
      </c>
      <c r="W253" s="1">
        <f t="shared" si="7"/>
        <v>13</v>
      </c>
    </row>
    <row r="254" spans="1:23" x14ac:dyDescent="0.35">
      <c r="A254">
        <v>251</v>
      </c>
      <c r="B254">
        <v>6340</v>
      </c>
      <c r="C254">
        <v>1985</v>
      </c>
      <c r="D254" s="1" t="s">
        <v>10</v>
      </c>
      <c r="E254" s="1" t="s">
        <v>11</v>
      </c>
      <c r="F254">
        <v>29938</v>
      </c>
      <c r="G254">
        <v>1</v>
      </c>
      <c r="H254" s="2">
        <v>0</v>
      </c>
      <c r="I254" s="2">
        <v>41574</v>
      </c>
      <c r="J254">
        <v>52</v>
      </c>
      <c r="K254">
        <f>VLOOKUP(B254,purchase_dataset!$B$2:$F$2241,2,FALSE)</f>
        <v>3</v>
      </c>
      <c r="L254">
        <f>VLOOKUP(B254,purchase_dataset!$B$2:$F$2241,3,FALSE)</f>
        <v>2</v>
      </c>
      <c r="M254">
        <f>VLOOKUP(B254,purchase_dataset!$B$2:$F$2241,3,FALSE)</f>
        <v>2</v>
      </c>
      <c r="N254">
        <f>VLOOKUP(B254,purchase_dataset!$B$2:$F$2241,5,FALSE)</f>
        <v>3</v>
      </c>
      <c r="O254" s="5">
        <v>41</v>
      </c>
      <c r="P254" s="4" t="str">
        <f t="shared" si="6"/>
        <v>30-50</v>
      </c>
      <c r="Q254" s="4">
        <f>M254+N254</f>
        <v>5</v>
      </c>
      <c r="U254" s="28" t="str" cm="1">
        <f t="array" ref="U254">_xlfn.IFS(F254&lt;30000,"30k",F254&lt;=50000,"30k-50k",F254&lt;=75000,"50k-75k",F254&lt;=100000,"75k-100k",F254&gt;100000,"100k")</f>
        <v>30k</v>
      </c>
      <c r="W254" s="1">
        <f t="shared" si="7"/>
        <v>13</v>
      </c>
    </row>
    <row r="255" spans="1:23" x14ac:dyDescent="0.35">
      <c r="A255">
        <v>252</v>
      </c>
      <c r="B255">
        <v>10089</v>
      </c>
      <c r="C255">
        <v>1974</v>
      </c>
      <c r="D255" s="1" t="s">
        <v>10</v>
      </c>
      <c r="E255" s="1" t="s">
        <v>16</v>
      </c>
      <c r="F255">
        <v>102692</v>
      </c>
      <c r="G255">
        <v>0</v>
      </c>
      <c r="H255" s="2">
        <v>0</v>
      </c>
      <c r="I255" s="2">
        <v>41369</v>
      </c>
      <c r="J255">
        <v>5</v>
      </c>
      <c r="K255">
        <f>VLOOKUP(B255,purchase_dataset!$B$2:$F$2241,2,FALSE)</f>
        <v>148</v>
      </c>
      <c r="L255">
        <f>VLOOKUP(B255,purchase_dataset!$B$2:$F$2241,3,FALSE)</f>
        <v>172</v>
      </c>
      <c r="M255">
        <f>VLOOKUP(B255,purchase_dataset!$B$2:$F$2241,3,FALSE)</f>
        <v>172</v>
      </c>
      <c r="N255">
        <f>VLOOKUP(B255,purchase_dataset!$B$2:$F$2241,5,FALSE)</f>
        <v>13</v>
      </c>
      <c r="O255" s="5">
        <v>52</v>
      </c>
      <c r="P255" s="4" t="str">
        <f t="shared" si="6"/>
        <v>&gt;50</v>
      </c>
      <c r="Q255" s="4">
        <f>M255+N255</f>
        <v>185</v>
      </c>
      <c r="U255" s="28" t="str" cm="1">
        <f t="array" ref="U255">_xlfn.IFS(F255&lt;30000,"30k",F255&lt;=50000,"30k-50k",F255&lt;=75000,"50k-75k",F255&lt;=100000,"75k-100k",F255&gt;100000,"100k")</f>
        <v>100k</v>
      </c>
      <c r="W255" s="1">
        <f t="shared" si="7"/>
        <v>13</v>
      </c>
    </row>
    <row r="256" spans="1:23" x14ac:dyDescent="0.35">
      <c r="A256">
        <v>253</v>
      </c>
      <c r="B256">
        <v>2227</v>
      </c>
      <c r="C256">
        <v>1958</v>
      </c>
      <c r="D256" s="1" t="s">
        <v>18</v>
      </c>
      <c r="E256" s="1" t="s">
        <v>12</v>
      </c>
      <c r="F256">
        <v>26490</v>
      </c>
      <c r="G256">
        <v>0</v>
      </c>
      <c r="H256" s="2">
        <v>0</v>
      </c>
      <c r="I256" s="2">
        <v>41174</v>
      </c>
      <c r="J256">
        <v>92</v>
      </c>
      <c r="K256">
        <f>VLOOKUP(B256,purchase_dataset!$B$2:$F$2241,2,FALSE)</f>
        <v>47</v>
      </c>
      <c r="L256">
        <f>VLOOKUP(B256,purchase_dataset!$B$2:$F$2241,3,FALSE)</f>
        <v>20</v>
      </c>
      <c r="M256">
        <f>VLOOKUP(B256,purchase_dataset!$B$2:$F$2241,3,FALSE)</f>
        <v>20</v>
      </c>
      <c r="N256">
        <f>VLOOKUP(B256,purchase_dataset!$B$2:$F$2241,5,FALSE)</f>
        <v>5</v>
      </c>
      <c r="O256" s="5">
        <v>68</v>
      </c>
      <c r="P256" s="4" t="str">
        <f t="shared" si="6"/>
        <v>&gt;50</v>
      </c>
      <c r="Q256" s="4">
        <f>M256+N256</f>
        <v>25</v>
      </c>
      <c r="U256" s="28" t="str" cm="1">
        <f t="array" ref="U256">_xlfn.IFS(F256&lt;30000,"30k",F256&lt;=50000,"30k-50k",F256&lt;=75000,"50k-75k",F256&lt;=100000,"75k-100k",F256&gt;100000,"100k")</f>
        <v>30k</v>
      </c>
      <c r="W256" s="1">
        <f t="shared" si="7"/>
        <v>14</v>
      </c>
    </row>
    <row r="257" spans="1:23" x14ac:dyDescent="0.35">
      <c r="A257">
        <v>254</v>
      </c>
      <c r="B257">
        <v>10992</v>
      </c>
      <c r="C257">
        <v>1967</v>
      </c>
      <c r="D257" s="1" t="s">
        <v>10</v>
      </c>
      <c r="E257" s="1" t="s">
        <v>12</v>
      </c>
      <c r="F257">
        <v>75702</v>
      </c>
      <c r="G257">
        <v>1</v>
      </c>
      <c r="H257" s="2">
        <v>1</v>
      </c>
      <c r="I257" s="2">
        <v>41150</v>
      </c>
      <c r="J257">
        <v>77</v>
      </c>
      <c r="K257">
        <f>VLOOKUP(B257,purchase_dataset!$B$2:$F$2241,2,FALSE)</f>
        <v>28</v>
      </c>
      <c r="L257">
        <f>VLOOKUP(B257,purchase_dataset!$B$2:$F$2241,3,FALSE)</f>
        <v>42</v>
      </c>
      <c r="M257">
        <f>VLOOKUP(B257,purchase_dataset!$B$2:$F$2241,3,FALSE)</f>
        <v>42</v>
      </c>
      <c r="N257">
        <f>VLOOKUP(B257,purchase_dataset!$B$2:$F$2241,5,FALSE)</f>
        <v>11</v>
      </c>
      <c r="O257" s="5">
        <v>59</v>
      </c>
      <c r="P257" s="4" t="str">
        <f t="shared" si="6"/>
        <v>&gt;50</v>
      </c>
      <c r="Q257" s="4">
        <f>M257+N257</f>
        <v>53</v>
      </c>
      <c r="U257" s="28" t="str" cm="1">
        <f t="array" ref="U257">_xlfn.IFS(F257&lt;30000,"30k",F257&lt;=50000,"30k-50k",F257&lt;=75000,"50k-75k",F257&lt;=100000,"75k-100k",F257&gt;100000,"100k")</f>
        <v>75k-100k</v>
      </c>
      <c r="W257" s="1">
        <f t="shared" si="7"/>
        <v>14</v>
      </c>
    </row>
    <row r="258" spans="1:23" x14ac:dyDescent="0.35">
      <c r="A258">
        <v>255</v>
      </c>
      <c r="B258">
        <v>5304</v>
      </c>
      <c r="C258">
        <v>1974</v>
      </c>
      <c r="D258" s="1" t="s">
        <v>13</v>
      </c>
      <c r="E258" s="1" t="s">
        <v>11</v>
      </c>
      <c r="F258">
        <v>30899</v>
      </c>
      <c r="G258">
        <v>1</v>
      </c>
      <c r="H258" s="2">
        <v>0</v>
      </c>
      <c r="I258" s="2">
        <v>41195</v>
      </c>
      <c r="J258">
        <v>35</v>
      </c>
      <c r="K258">
        <f>VLOOKUP(B258,purchase_dataset!$B$2:$F$2241,2,FALSE)</f>
        <v>0</v>
      </c>
      <c r="L258">
        <f>VLOOKUP(B258,purchase_dataset!$B$2:$F$2241,3,FALSE)</f>
        <v>0</v>
      </c>
      <c r="M258">
        <f>VLOOKUP(B258,purchase_dataset!$B$2:$F$2241,3,FALSE)</f>
        <v>0</v>
      </c>
      <c r="N258">
        <f>VLOOKUP(B258,purchase_dataset!$B$2:$F$2241,5,FALSE)</f>
        <v>3</v>
      </c>
      <c r="O258" s="5">
        <v>52</v>
      </c>
      <c r="P258" s="4" t="str">
        <f t="shared" si="6"/>
        <v>&gt;50</v>
      </c>
      <c r="Q258" s="4">
        <f>M258+N258</f>
        <v>3</v>
      </c>
      <c r="U258" s="28" t="str" cm="1">
        <f t="array" ref="U258">_xlfn.IFS(F258&lt;30000,"30k",F258&lt;=50000,"30k-50k",F258&lt;=75000,"50k-75k",F258&lt;=100000,"75k-100k",F258&gt;100000,"100k")</f>
        <v>30k-50k</v>
      </c>
      <c r="W258" s="1">
        <f t="shared" si="7"/>
        <v>14</v>
      </c>
    </row>
    <row r="259" spans="1:23" x14ac:dyDescent="0.35">
      <c r="A259">
        <v>256</v>
      </c>
      <c r="B259">
        <v>309</v>
      </c>
      <c r="C259">
        <v>1961</v>
      </c>
      <c r="D259" s="1" t="s">
        <v>13</v>
      </c>
      <c r="E259" s="1" t="s">
        <v>12</v>
      </c>
      <c r="F259">
        <v>63342</v>
      </c>
      <c r="G259">
        <v>0</v>
      </c>
      <c r="H259" s="2">
        <v>1</v>
      </c>
      <c r="I259" s="2">
        <v>41198</v>
      </c>
      <c r="J259">
        <v>48</v>
      </c>
      <c r="K259">
        <f>VLOOKUP(B259,purchase_dataset!$B$2:$F$2241,2,FALSE)</f>
        <v>21</v>
      </c>
      <c r="L259">
        <f>VLOOKUP(B259,purchase_dataset!$B$2:$F$2241,3,FALSE)</f>
        <v>10</v>
      </c>
      <c r="M259">
        <f>VLOOKUP(B259,purchase_dataset!$B$2:$F$2241,3,FALSE)</f>
        <v>10</v>
      </c>
      <c r="N259">
        <f>VLOOKUP(B259,purchase_dataset!$B$2:$F$2241,5,FALSE)</f>
        <v>5</v>
      </c>
      <c r="O259" s="5">
        <v>65</v>
      </c>
      <c r="P259" s="4" t="str">
        <f t="shared" si="6"/>
        <v>&gt;50</v>
      </c>
      <c r="Q259" s="4">
        <f>M259+N259</f>
        <v>15</v>
      </c>
      <c r="U259" s="28" t="str" cm="1">
        <f t="array" ref="U259">_xlfn.IFS(F259&lt;30000,"30k",F259&lt;=50000,"30k-50k",F259&lt;=75000,"50k-75k",F259&lt;=100000,"75k-100k",F259&gt;100000,"100k")</f>
        <v>50k-75k</v>
      </c>
      <c r="W259" s="1">
        <f t="shared" si="7"/>
        <v>14</v>
      </c>
    </row>
    <row r="260" spans="1:23" x14ac:dyDescent="0.35">
      <c r="A260">
        <v>257</v>
      </c>
      <c r="B260">
        <v>3406</v>
      </c>
      <c r="C260">
        <v>1964</v>
      </c>
      <c r="D260" s="1" t="s">
        <v>10</v>
      </c>
      <c r="E260" s="1" t="s">
        <v>11</v>
      </c>
      <c r="F260">
        <v>45989</v>
      </c>
      <c r="G260">
        <v>0</v>
      </c>
      <c r="H260" s="2">
        <v>1</v>
      </c>
      <c r="I260" s="2">
        <v>41204</v>
      </c>
      <c r="J260">
        <v>97</v>
      </c>
      <c r="K260">
        <f>VLOOKUP(B260,purchase_dataset!$B$2:$F$2241,2,FALSE)</f>
        <v>33</v>
      </c>
      <c r="L260">
        <f>VLOOKUP(B260,purchase_dataset!$B$2:$F$2241,3,FALSE)</f>
        <v>24</v>
      </c>
      <c r="M260">
        <f>VLOOKUP(B260,purchase_dataset!$B$2:$F$2241,3,FALSE)</f>
        <v>24</v>
      </c>
      <c r="N260">
        <f>VLOOKUP(B260,purchase_dataset!$B$2:$F$2241,5,FALSE)</f>
        <v>7</v>
      </c>
      <c r="O260" s="5">
        <v>62</v>
      </c>
      <c r="P260" s="4" t="str">
        <f t="shared" ref="P260:P323" si="8">IF(O260&lt;30,"30",IF(O260&lt;=50,"30-50","&gt;50"))</f>
        <v>&gt;50</v>
      </c>
      <c r="Q260" s="4">
        <f>M260+N260</f>
        <v>31</v>
      </c>
      <c r="U260" s="28" t="str" cm="1">
        <f t="array" ref="U260">_xlfn.IFS(F260&lt;30000,"30k",F260&lt;=50000,"30k-50k",F260&lt;=75000,"50k-75k",F260&lt;=100000,"75k-100k",F260&gt;100000,"100k")</f>
        <v>30k-50k</v>
      </c>
      <c r="W260" s="1">
        <f t="shared" ref="W260:W323" si="9">2026-YEAR(I260)</f>
        <v>14</v>
      </c>
    </row>
    <row r="261" spans="1:23" x14ac:dyDescent="0.35">
      <c r="A261">
        <v>258</v>
      </c>
      <c r="B261">
        <v>2661</v>
      </c>
      <c r="C261">
        <v>1964</v>
      </c>
      <c r="D261" s="1" t="s">
        <v>10</v>
      </c>
      <c r="E261" s="1" t="s">
        <v>11</v>
      </c>
      <c r="F261">
        <v>18701</v>
      </c>
      <c r="G261">
        <v>1</v>
      </c>
      <c r="H261" s="2">
        <v>1</v>
      </c>
      <c r="I261" s="2">
        <v>41429</v>
      </c>
      <c r="J261">
        <v>95</v>
      </c>
      <c r="K261">
        <f>VLOOKUP(B261,purchase_dataset!$B$2:$F$2241,2,FALSE)</f>
        <v>4</v>
      </c>
      <c r="L261">
        <f>VLOOKUP(B261,purchase_dataset!$B$2:$F$2241,3,FALSE)</f>
        <v>6</v>
      </c>
      <c r="M261">
        <f>VLOOKUP(B261,purchase_dataset!$B$2:$F$2241,3,FALSE)</f>
        <v>6</v>
      </c>
      <c r="N261">
        <f>VLOOKUP(B261,purchase_dataset!$B$2:$F$2241,5,FALSE)</f>
        <v>4</v>
      </c>
      <c r="O261" s="5">
        <v>62</v>
      </c>
      <c r="P261" s="4" t="str">
        <f t="shared" si="8"/>
        <v>&gt;50</v>
      </c>
      <c r="Q261" s="4">
        <f>M261+N261</f>
        <v>10</v>
      </c>
      <c r="U261" s="28" t="str" cm="1">
        <f t="array" ref="U261">_xlfn.IFS(F261&lt;30000,"30k",F261&lt;=50000,"30k-50k",F261&lt;=75000,"50k-75k",F261&lt;=100000,"75k-100k",F261&gt;100000,"100k")</f>
        <v>30k</v>
      </c>
      <c r="W261" s="1">
        <f t="shared" si="9"/>
        <v>13</v>
      </c>
    </row>
    <row r="262" spans="1:23" x14ac:dyDescent="0.35">
      <c r="A262">
        <v>259</v>
      </c>
      <c r="B262">
        <v>3153</v>
      </c>
      <c r="C262">
        <v>1957</v>
      </c>
      <c r="D262" s="1" t="s">
        <v>13</v>
      </c>
      <c r="E262" s="1" t="s">
        <v>11</v>
      </c>
      <c r="F262">
        <v>40737</v>
      </c>
      <c r="G262">
        <v>2</v>
      </c>
      <c r="H262" s="2">
        <v>1</v>
      </c>
      <c r="I262" s="2">
        <v>41616</v>
      </c>
      <c r="J262">
        <v>24</v>
      </c>
      <c r="K262">
        <f>VLOOKUP(B262,purchase_dataset!$B$2:$F$2241,2,FALSE)</f>
        <v>0</v>
      </c>
      <c r="L262">
        <f>VLOOKUP(B262,purchase_dataset!$B$2:$F$2241,3,FALSE)</f>
        <v>0</v>
      </c>
      <c r="M262">
        <f>VLOOKUP(B262,purchase_dataset!$B$2:$F$2241,3,FALSE)</f>
        <v>0</v>
      </c>
      <c r="N262">
        <f>VLOOKUP(B262,purchase_dataset!$B$2:$F$2241,5,FALSE)</f>
        <v>2</v>
      </c>
      <c r="O262" s="5">
        <v>69</v>
      </c>
      <c r="P262" s="4" t="str">
        <f t="shared" si="8"/>
        <v>&gt;50</v>
      </c>
      <c r="Q262" s="4">
        <f>M262+N262</f>
        <v>2</v>
      </c>
      <c r="U262" s="28" t="str" cm="1">
        <f t="array" ref="U262">_xlfn.IFS(F262&lt;30000,"30k",F262&lt;=50000,"30k-50k",F262&lt;=75000,"50k-75k",F262&lt;=100000,"75k-100k",F262&gt;100000,"100k")</f>
        <v>30k-50k</v>
      </c>
      <c r="W262" s="1">
        <f t="shared" si="9"/>
        <v>13</v>
      </c>
    </row>
    <row r="263" spans="1:23" x14ac:dyDescent="0.35">
      <c r="A263">
        <v>260</v>
      </c>
      <c r="B263">
        <v>10264</v>
      </c>
      <c r="C263">
        <v>1979</v>
      </c>
      <c r="D263" s="1" t="s">
        <v>10</v>
      </c>
      <c r="E263" s="1" t="s">
        <v>16</v>
      </c>
      <c r="F263">
        <v>15287</v>
      </c>
      <c r="G263">
        <v>1</v>
      </c>
      <c r="H263" s="2">
        <v>0</v>
      </c>
      <c r="I263" s="2">
        <v>41192</v>
      </c>
      <c r="J263">
        <v>60</v>
      </c>
      <c r="K263">
        <f>VLOOKUP(B263,purchase_dataset!$B$2:$F$2241,2,FALSE)</f>
        <v>2</v>
      </c>
      <c r="L263">
        <f>VLOOKUP(B263,purchase_dataset!$B$2:$F$2241,3,FALSE)</f>
        <v>3</v>
      </c>
      <c r="M263">
        <f>VLOOKUP(B263,purchase_dataset!$B$2:$F$2241,3,FALSE)</f>
        <v>3</v>
      </c>
      <c r="N263">
        <f>VLOOKUP(B263,purchase_dataset!$B$2:$F$2241,5,FALSE)</f>
        <v>2</v>
      </c>
      <c r="O263" s="5">
        <v>47</v>
      </c>
      <c r="P263" s="4" t="str">
        <f t="shared" si="8"/>
        <v>30-50</v>
      </c>
      <c r="Q263" s="4">
        <f>M263+N263</f>
        <v>5</v>
      </c>
      <c r="U263" s="28" t="str" cm="1">
        <f t="array" ref="U263">_xlfn.IFS(F263&lt;30000,"30k",F263&lt;=50000,"30k-50k",F263&lt;=75000,"50k-75k",F263&lt;=100000,"75k-100k",F263&gt;100000,"100k")</f>
        <v>30k</v>
      </c>
      <c r="W263" s="1">
        <f t="shared" si="9"/>
        <v>14</v>
      </c>
    </row>
    <row r="264" spans="1:23" x14ac:dyDescent="0.35">
      <c r="A264">
        <v>261</v>
      </c>
      <c r="B264">
        <v>1184</v>
      </c>
      <c r="C264">
        <v>1968</v>
      </c>
      <c r="D264" s="1" t="s">
        <v>13</v>
      </c>
      <c r="E264" s="1" t="s">
        <v>16</v>
      </c>
      <c r="F264">
        <v>69674</v>
      </c>
      <c r="G264">
        <v>0</v>
      </c>
      <c r="H264" s="2">
        <v>2</v>
      </c>
      <c r="I264" s="2">
        <v>41416</v>
      </c>
      <c r="J264">
        <v>46</v>
      </c>
      <c r="K264">
        <f>VLOOKUP(B264,purchase_dataset!$B$2:$F$2241,2,FALSE)</f>
        <v>41</v>
      </c>
      <c r="L264">
        <f>VLOOKUP(B264,purchase_dataset!$B$2:$F$2241,3,FALSE)</f>
        <v>0</v>
      </c>
      <c r="M264">
        <f>VLOOKUP(B264,purchase_dataset!$B$2:$F$2241,3,FALSE)</f>
        <v>0</v>
      </c>
      <c r="N264">
        <f>VLOOKUP(B264,purchase_dataset!$B$2:$F$2241,5,FALSE)</f>
        <v>10</v>
      </c>
      <c r="O264" s="5">
        <v>58</v>
      </c>
      <c r="P264" s="4" t="str">
        <f t="shared" si="8"/>
        <v>&gt;50</v>
      </c>
      <c r="Q264" s="4">
        <f>M264+N264</f>
        <v>10</v>
      </c>
      <c r="U264" s="28" t="str" cm="1">
        <f t="array" ref="U264">_xlfn.IFS(F264&lt;30000,"30k",F264&lt;=50000,"30k-50k",F264&lt;=75000,"50k-75k",F264&lt;=100000,"75k-100k",F264&gt;100000,"100k")</f>
        <v>50k-75k</v>
      </c>
      <c r="W264" s="1">
        <f t="shared" si="9"/>
        <v>13</v>
      </c>
    </row>
    <row r="265" spans="1:23" x14ac:dyDescent="0.35">
      <c r="A265">
        <v>262</v>
      </c>
      <c r="B265">
        <v>4200</v>
      </c>
      <c r="C265">
        <v>1970</v>
      </c>
      <c r="D265" s="1" t="s">
        <v>15</v>
      </c>
      <c r="E265" s="1" t="s">
        <v>14</v>
      </c>
      <c r="F265">
        <v>44159</v>
      </c>
      <c r="G265">
        <v>1</v>
      </c>
      <c r="H265" s="2">
        <v>0</v>
      </c>
      <c r="I265" s="2">
        <v>41807</v>
      </c>
      <c r="J265">
        <v>85</v>
      </c>
      <c r="K265">
        <f>VLOOKUP(B265,purchase_dataset!$B$2:$F$2241,2,FALSE)</f>
        <v>2</v>
      </c>
      <c r="L265">
        <f>VLOOKUP(B265,purchase_dataset!$B$2:$F$2241,3,FALSE)</f>
        <v>13</v>
      </c>
      <c r="M265">
        <f>VLOOKUP(B265,purchase_dataset!$B$2:$F$2241,3,FALSE)</f>
        <v>13</v>
      </c>
      <c r="N265">
        <f>VLOOKUP(B265,purchase_dataset!$B$2:$F$2241,5,FALSE)</f>
        <v>6</v>
      </c>
      <c r="O265" s="5">
        <v>56</v>
      </c>
      <c r="P265" s="4" t="str">
        <f t="shared" si="8"/>
        <v>&gt;50</v>
      </c>
      <c r="Q265" s="4">
        <f>M265+N265</f>
        <v>19</v>
      </c>
      <c r="U265" s="28" t="str" cm="1">
        <f t="array" ref="U265">_xlfn.IFS(F265&lt;30000,"30k",F265&lt;=50000,"30k-50k",F265&lt;=75000,"50k-75k",F265&lt;=100000,"75k-100k",F265&gt;100000,"100k")</f>
        <v>30k-50k</v>
      </c>
      <c r="W265" s="1">
        <f t="shared" si="9"/>
        <v>12</v>
      </c>
    </row>
    <row r="266" spans="1:23" x14ac:dyDescent="0.35">
      <c r="A266">
        <v>263</v>
      </c>
      <c r="B266">
        <v>9396</v>
      </c>
      <c r="C266">
        <v>1978</v>
      </c>
      <c r="D266" s="1" t="s">
        <v>13</v>
      </c>
      <c r="E266" s="1" t="s">
        <v>14</v>
      </c>
      <c r="F266">
        <v>37717</v>
      </c>
      <c r="G266">
        <v>1</v>
      </c>
      <c r="H266" s="2">
        <v>0</v>
      </c>
      <c r="I266" s="2">
        <v>41236</v>
      </c>
      <c r="J266">
        <v>31</v>
      </c>
      <c r="K266">
        <f>VLOOKUP(B266,purchase_dataset!$B$2:$F$2241,2,FALSE)</f>
        <v>0</v>
      </c>
      <c r="L266">
        <f>VLOOKUP(B266,purchase_dataset!$B$2:$F$2241,3,FALSE)</f>
        <v>1</v>
      </c>
      <c r="M266">
        <f>VLOOKUP(B266,purchase_dataset!$B$2:$F$2241,3,FALSE)</f>
        <v>1</v>
      </c>
      <c r="N266">
        <f>VLOOKUP(B266,purchase_dataset!$B$2:$F$2241,5,FALSE)</f>
        <v>2</v>
      </c>
      <c r="O266" s="5">
        <v>48</v>
      </c>
      <c r="P266" s="4" t="str">
        <f t="shared" si="8"/>
        <v>30-50</v>
      </c>
      <c r="Q266" s="4">
        <f>M266+N266</f>
        <v>3</v>
      </c>
      <c r="U266" s="28" t="str" cm="1">
        <f t="array" ref="U266">_xlfn.IFS(F266&lt;30000,"30k",F266&lt;=50000,"30k-50k",F266&lt;=75000,"50k-75k",F266&lt;=100000,"75k-100k",F266&gt;100000,"100k")</f>
        <v>30k-50k</v>
      </c>
      <c r="W266" s="1">
        <f t="shared" si="9"/>
        <v>14</v>
      </c>
    </row>
    <row r="267" spans="1:23" x14ac:dyDescent="0.35">
      <c r="A267">
        <v>264</v>
      </c>
      <c r="B267">
        <v>2387</v>
      </c>
      <c r="C267">
        <v>1952</v>
      </c>
      <c r="D267" s="1" t="s">
        <v>15</v>
      </c>
      <c r="E267" s="1" t="s">
        <v>12</v>
      </c>
      <c r="F267">
        <v>43776</v>
      </c>
      <c r="G267">
        <v>1</v>
      </c>
      <c r="H267" s="2">
        <v>1</v>
      </c>
      <c r="I267" s="2">
        <v>41308</v>
      </c>
      <c r="J267">
        <v>9</v>
      </c>
      <c r="K267">
        <f>VLOOKUP(B267,purchase_dataset!$B$2:$F$2241,2,FALSE)</f>
        <v>2</v>
      </c>
      <c r="L267">
        <f>VLOOKUP(B267,purchase_dataset!$B$2:$F$2241,3,FALSE)</f>
        <v>2</v>
      </c>
      <c r="M267">
        <f>VLOOKUP(B267,purchase_dataset!$B$2:$F$2241,3,FALSE)</f>
        <v>2</v>
      </c>
      <c r="N267">
        <f>VLOOKUP(B267,purchase_dataset!$B$2:$F$2241,5,FALSE)</f>
        <v>4</v>
      </c>
      <c r="O267" s="5">
        <v>74</v>
      </c>
      <c r="P267" s="4" t="str">
        <f t="shared" si="8"/>
        <v>&gt;50</v>
      </c>
      <c r="Q267" s="4">
        <f>M267+N267</f>
        <v>6</v>
      </c>
      <c r="U267" s="28" t="str" cm="1">
        <f t="array" ref="U267">_xlfn.IFS(F267&lt;30000,"30k",F267&lt;=50000,"30k-50k",F267&lt;=75000,"50k-75k",F267&lt;=100000,"75k-100k",F267&gt;100000,"100k")</f>
        <v>30k-50k</v>
      </c>
      <c r="W267" s="1">
        <f t="shared" si="9"/>
        <v>13</v>
      </c>
    </row>
    <row r="268" spans="1:23" x14ac:dyDescent="0.35">
      <c r="A268">
        <v>265</v>
      </c>
      <c r="B268">
        <v>6690</v>
      </c>
      <c r="C268">
        <v>1966</v>
      </c>
      <c r="D268" s="1" t="s">
        <v>15</v>
      </c>
      <c r="E268" s="1" t="s">
        <v>14</v>
      </c>
      <c r="F268">
        <v>38179</v>
      </c>
      <c r="G268">
        <v>1</v>
      </c>
      <c r="H268" s="2">
        <v>1</v>
      </c>
      <c r="I268" s="2">
        <v>41347</v>
      </c>
      <c r="J268">
        <v>30</v>
      </c>
      <c r="K268">
        <f>VLOOKUP(B268,purchase_dataset!$B$2:$F$2241,2,FALSE)</f>
        <v>4</v>
      </c>
      <c r="L268">
        <f>VLOOKUP(B268,purchase_dataset!$B$2:$F$2241,3,FALSE)</f>
        <v>2</v>
      </c>
      <c r="M268">
        <f>VLOOKUP(B268,purchase_dataset!$B$2:$F$2241,3,FALSE)</f>
        <v>2</v>
      </c>
      <c r="N268">
        <f>VLOOKUP(B268,purchase_dataset!$B$2:$F$2241,5,FALSE)</f>
        <v>3</v>
      </c>
      <c r="O268" s="5">
        <v>60</v>
      </c>
      <c r="P268" s="4" t="str">
        <f t="shared" si="8"/>
        <v>&gt;50</v>
      </c>
      <c r="Q268" s="4">
        <f>M268+N268</f>
        <v>5</v>
      </c>
      <c r="U268" s="28" t="str" cm="1">
        <f t="array" ref="U268">_xlfn.IFS(F268&lt;30000,"30k",F268&lt;=50000,"30k-50k",F268&lt;=75000,"50k-75k",F268&lt;=100000,"75k-100k",F268&gt;100000,"100k")</f>
        <v>30k-50k</v>
      </c>
      <c r="W268" s="1">
        <f t="shared" si="9"/>
        <v>13</v>
      </c>
    </row>
    <row r="269" spans="1:23" x14ac:dyDescent="0.35">
      <c r="A269">
        <v>266</v>
      </c>
      <c r="B269">
        <v>1225</v>
      </c>
      <c r="C269">
        <v>1963</v>
      </c>
      <c r="D269" s="1" t="s">
        <v>10</v>
      </c>
      <c r="E269" s="1" t="s">
        <v>14</v>
      </c>
      <c r="F269">
        <v>80124</v>
      </c>
      <c r="G269">
        <v>0</v>
      </c>
      <c r="H269" s="2">
        <v>0</v>
      </c>
      <c r="I269" s="2">
        <v>41816</v>
      </c>
      <c r="J269">
        <v>47</v>
      </c>
      <c r="K269">
        <f>VLOOKUP(B269,purchase_dataset!$B$2:$F$2241,2,FALSE)</f>
        <v>84</v>
      </c>
      <c r="L269">
        <f>VLOOKUP(B269,purchase_dataset!$B$2:$F$2241,3,FALSE)</f>
        <v>84</v>
      </c>
      <c r="M269">
        <f>VLOOKUP(B269,purchase_dataset!$B$2:$F$2241,3,FALSE)</f>
        <v>84</v>
      </c>
      <c r="N269">
        <f>VLOOKUP(B269,purchase_dataset!$B$2:$F$2241,5,FALSE)</f>
        <v>8</v>
      </c>
      <c r="O269" s="5">
        <v>63</v>
      </c>
      <c r="P269" s="4" t="str">
        <f t="shared" si="8"/>
        <v>&gt;50</v>
      </c>
      <c r="Q269" s="4">
        <f>M269+N269</f>
        <v>92</v>
      </c>
      <c r="U269" s="28" t="str" cm="1">
        <f t="array" ref="U269">_xlfn.IFS(F269&lt;30000,"30k",F269&lt;=50000,"30k-50k",F269&lt;=75000,"50k-75k",F269&lt;=100000,"75k-100k",F269&gt;100000,"100k")</f>
        <v>75k-100k</v>
      </c>
      <c r="W269" s="1">
        <f t="shared" si="9"/>
        <v>12</v>
      </c>
    </row>
    <row r="270" spans="1:23" x14ac:dyDescent="0.35">
      <c r="A270">
        <v>267</v>
      </c>
      <c r="B270">
        <v>9703</v>
      </c>
      <c r="C270">
        <v>1970</v>
      </c>
      <c r="D270" s="1" t="s">
        <v>13</v>
      </c>
      <c r="E270" s="1" t="s">
        <v>14</v>
      </c>
      <c r="F270">
        <v>38097</v>
      </c>
      <c r="G270">
        <v>1</v>
      </c>
      <c r="H270" s="2">
        <v>1</v>
      </c>
      <c r="I270" s="2">
        <v>41197</v>
      </c>
      <c r="J270">
        <v>70</v>
      </c>
      <c r="K270">
        <f>VLOOKUP(B270,purchase_dataset!$B$2:$F$2241,2,FALSE)</f>
        <v>2</v>
      </c>
      <c r="L270">
        <f>VLOOKUP(B270,purchase_dataset!$B$2:$F$2241,3,FALSE)</f>
        <v>1</v>
      </c>
      <c r="M270">
        <f>VLOOKUP(B270,purchase_dataset!$B$2:$F$2241,3,FALSE)</f>
        <v>1</v>
      </c>
      <c r="N270">
        <f>VLOOKUP(B270,purchase_dataset!$B$2:$F$2241,5,FALSE)</f>
        <v>2</v>
      </c>
      <c r="O270" s="5">
        <v>56</v>
      </c>
      <c r="P270" s="4" t="str">
        <f t="shared" si="8"/>
        <v>&gt;50</v>
      </c>
      <c r="Q270" s="4">
        <f>M270+N270</f>
        <v>3</v>
      </c>
      <c r="U270" s="28" t="str" cm="1">
        <f t="array" ref="U270">_xlfn.IFS(F270&lt;30000,"30k",F270&lt;=50000,"30k-50k",F270&lt;=75000,"50k-75k",F270&lt;=100000,"75k-100k",F270&gt;100000,"100k")</f>
        <v>30k-50k</v>
      </c>
      <c r="W270" s="1">
        <f t="shared" si="9"/>
        <v>14</v>
      </c>
    </row>
    <row r="271" spans="1:23" x14ac:dyDescent="0.35">
      <c r="A271">
        <v>268</v>
      </c>
      <c r="B271">
        <v>291</v>
      </c>
      <c r="C271">
        <v>1970</v>
      </c>
      <c r="D271" s="1" t="s">
        <v>10</v>
      </c>
      <c r="E271" s="1" t="s">
        <v>14</v>
      </c>
      <c r="F271">
        <v>72940</v>
      </c>
      <c r="G271">
        <v>0</v>
      </c>
      <c r="H271" s="2">
        <v>0</v>
      </c>
      <c r="I271" s="2">
        <v>41444</v>
      </c>
      <c r="J271">
        <v>13</v>
      </c>
      <c r="K271">
        <f>VLOOKUP(B271,purchase_dataset!$B$2:$F$2241,2,FALSE)</f>
        <v>74</v>
      </c>
      <c r="L271">
        <f>VLOOKUP(B271,purchase_dataset!$B$2:$F$2241,3,FALSE)</f>
        <v>149</v>
      </c>
      <c r="M271">
        <f>VLOOKUP(B271,purchase_dataset!$B$2:$F$2241,3,FALSE)</f>
        <v>149</v>
      </c>
      <c r="N271">
        <f>VLOOKUP(B271,purchase_dataset!$B$2:$F$2241,5,FALSE)</f>
        <v>6</v>
      </c>
      <c r="O271" s="5">
        <v>56</v>
      </c>
      <c r="P271" s="4" t="str">
        <f t="shared" si="8"/>
        <v>&gt;50</v>
      </c>
      <c r="Q271" s="4">
        <f>M271+N271</f>
        <v>155</v>
      </c>
      <c r="U271" s="28" t="str" cm="1">
        <f t="array" ref="U271">_xlfn.IFS(F271&lt;30000,"30k",F271&lt;=50000,"30k-50k",F271&lt;=75000,"50k-75k",F271&lt;=100000,"75k-100k",F271&gt;100000,"100k")</f>
        <v>50k-75k</v>
      </c>
      <c r="W271" s="1">
        <f t="shared" si="9"/>
        <v>13</v>
      </c>
    </row>
    <row r="272" spans="1:23" x14ac:dyDescent="0.35">
      <c r="A272">
        <v>269</v>
      </c>
      <c r="B272">
        <v>4557</v>
      </c>
      <c r="C272">
        <v>1970</v>
      </c>
      <c r="D272" s="1" t="s">
        <v>10</v>
      </c>
      <c r="E272" s="1" t="s">
        <v>12</v>
      </c>
      <c r="F272">
        <v>22070</v>
      </c>
      <c r="G272">
        <v>1</v>
      </c>
      <c r="H272" s="2">
        <v>0</v>
      </c>
      <c r="I272" s="2">
        <v>41551</v>
      </c>
      <c r="J272">
        <v>11</v>
      </c>
      <c r="K272">
        <f>VLOOKUP(B272,purchase_dataset!$B$2:$F$2241,2,FALSE)</f>
        <v>7</v>
      </c>
      <c r="L272">
        <f>VLOOKUP(B272,purchase_dataset!$B$2:$F$2241,3,FALSE)</f>
        <v>2</v>
      </c>
      <c r="M272">
        <f>VLOOKUP(B272,purchase_dataset!$B$2:$F$2241,3,FALSE)</f>
        <v>2</v>
      </c>
      <c r="N272">
        <f>VLOOKUP(B272,purchase_dataset!$B$2:$F$2241,5,FALSE)</f>
        <v>2</v>
      </c>
      <c r="O272" s="5">
        <v>56</v>
      </c>
      <c r="P272" s="4" t="str">
        <f t="shared" si="8"/>
        <v>&gt;50</v>
      </c>
      <c r="Q272" s="4">
        <f>M272+N272</f>
        <v>4</v>
      </c>
      <c r="U272" s="28" t="str" cm="1">
        <f t="array" ref="U272">_xlfn.IFS(F272&lt;30000,"30k",F272&lt;=50000,"30k-50k",F272&lt;=75000,"50k-75k",F272&lt;=100000,"75k-100k",F272&gt;100000,"100k")</f>
        <v>30k</v>
      </c>
      <c r="W272" s="1">
        <f t="shared" si="9"/>
        <v>13</v>
      </c>
    </row>
    <row r="273" spans="1:23" x14ac:dyDescent="0.35">
      <c r="A273">
        <v>270</v>
      </c>
      <c r="B273">
        <v>2379</v>
      </c>
      <c r="C273">
        <v>1953</v>
      </c>
      <c r="D273" s="1" t="s">
        <v>10</v>
      </c>
      <c r="E273" s="1" t="s">
        <v>11</v>
      </c>
      <c r="F273">
        <v>69267</v>
      </c>
      <c r="G273">
        <v>0</v>
      </c>
      <c r="H273" s="2">
        <v>0</v>
      </c>
      <c r="I273" s="2">
        <v>41174</v>
      </c>
      <c r="J273">
        <v>31</v>
      </c>
      <c r="K273">
        <f>VLOOKUP(B273,purchase_dataset!$B$2:$F$2241,2,FALSE)</f>
        <v>44</v>
      </c>
      <c r="L273">
        <f>VLOOKUP(B273,purchase_dataset!$B$2:$F$2241,3,FALSE)</f>
        <v>73</v>
      </c>
      <c r="M273">
        <f>VLOOKUP(B273,purchase_dataset!$B$2:$F$2241,3,FALSE)</f>
        <v>73</v>
      </c>
      <c r="N273">
        <f>VLOOKUP(B273,purchase_dataset!$B$2:$F$2241,5,FALSE)</f>
        <v>5</v>
      </c>
      <c r="O273" s="5">
        <v>73</v>
      </c>
      <c r="P273" s="4" t="str">
        <f t="shared" si="8"/>
        <v>&gt;50</v>
      </c>
      <c r="Q273" s="4">
        <f>M273+N273</f>
        <v>78</v>
      </c>
      <c r="U273" s="28" t="str" cm="1">
        <f t="array" ref="U273">_xlfn.IFS(F273&lt;30000,"30k",F273&lt;=50000,"30k-50k",F273&lt;=75000,"50k-75k",F273&lt;=100000,"75k-100k",F273&gt;100000,"100k")</f>
        <v>50k-75k</v>
      </c>
      <c r="W273" s="1">
        <f t="shared" si="9"/>
        <v>14</v>
      </c>
    </row>
    <row r="274" spans="1:23" x14ac:dyDescent="0.35">
      <c r="A274">
        <v>271</v>
      </c>
      <c r="B274">
        <v>5726</v>
      </c>
      <c r="C274">
        <v>1983</v>
      </c>
      <c r="D274" s="1" t="s">
        <v>15</v>
      </c>
      <c r="E274" s="1" t="s">
        <v>11</v>
      </c>
      <c r="F274">
        <v>31788</v>
      </c>
      <c r="G274">
        <v>1</v>
      </c>
      <c r="H274" s="2">
        <v>0</v>
      </c>
      <c r="I274" s="2">
        <v>41718</v>
      </c>
      <c r="J274">
        <v>15</v>
      </c>
      <c r="K274">
        <f>VLOOKUP(B274,purchase_dataset!$B$2:$F$2241,2,FALSE)</f>
        <v>7</v>
      </c>
      <c r="L274">
        <f>VLOOKUP(B274,purchase_dataset!$B$2:$F$2241,3,FALSE)</f>
        <v>8</v>
      </c>
      <c r="M274">
        <f>VLOOKUP(B274,purchase_dataset!$B$2:$F$2241,3,FALSE)</f>
        <v>8</v>
      </c>
      <c r="N274">
        <f>VLOOKUP(B274,purchase_dataset!$B$2:$F$2241,5,FALSE)</f>
        <v>4</v>
      </c>
      <c r="O274" s="5">
        <v>43</v>
      </c>
      <c r="P274" s="4" t="str">
        <f t="shared" si="8"/>
        <v>30-50</v>
      </c>
      <c r="Q274" s="4">
        <f>M274+N274</f>
        <v>12</v>
      </c>
      <c r="U274" s="28" t="str" cm="1">
        <f t="array" ref="U274">_xlfn.IFS(F274&lt;30000,"30k",F274&lt;=50000,"30k-50k",F274&lt;=75000,"50k-75k",F274&lt;=100000,"75k-100k",F274&gt;100000,"100k")</f>
        <v>30k-50k</v>
      </c>
      <c r="W274" s="1">
        <f t="shared" si="9"/>
        <v>12</v>
      </c>
    </row>
    <row r="275" spans="1:23" x14ac:dyDescent="0.35">
      <c r="A275">
        <v>272</v>
      </c>
      <c r="B275">
        <v>3066</v>
      </c>
      <c r="C275">
        <v>1975</v>
      </c>
      <c r="D275" s="1" t="s">
        <v>13</v>
      </c>
      <c r="E275" s="1" t="s">
        <v>12</v>
      </c>
      <c r="F275">
        <v>61905</v>
      </c>
      <c r="G275">
        <v>0</v>
      </c>
      <c r="H275" s="2">
        <v>1</v>
      </c>
      <c r="I275" s="2">
        <v>41674</v>
      </c>
      <c r="J275">
        <v>2</v>
      </c>
      <c r="K275">
        <f>VLOOKUP(B275,purchase_dataset!$B$2:$F$2241,2,FALSE)</f>
        <v>0</v>
      </c>
      <c r="L275">
        <f>VLOOKUP(B275,purchase_dataset!$B$2:$F$2241,3,FALSE)</f>
        <v>2</v>
      </c>
      <c r="M275">
        <f>VLOOKUP(B275,purchase_dataset!$B$2:$F$2241,3,FALSE)</f>
        <v>2</v>
      </c>
      <c r="N275">
        <f>VLOOKUP(B275,purchase_dataset!$B$2:$F$2241,5,FALSE)</f>
        <v>4</v>
      </c>
      <c r="O275" s="5">
        <v>51</v>
      </c>
      <c r="P275" s="4" t="str">
        <f t="shared" si="8"/>
        <v>&gt;50</v>
      </c>
      <c r="Q275" s="4">
        <f>M275+N275</f>
        <v>6</v>
      </c>
      <c r="U275" s="28" t="str" cm="1">
        <f t="array" ref="U275">_xlfn.IFS(F275&lt;30000,"30k",F275&lt;=50000,"30k-50k",F275&lt;=75000,"50k-75k",F275&lt;=100000,"75k-100k",F275&gt;100000,"100k")</f>
        <v>50k-75k</v>
      </c>
      <c r="W275" s="1">
        <f t="shared" si="9"/>
        <v>12</v>
      </c>
    </row>
    <row r="276" spans="1:23" x14ac:dyDescent="0.35">
      <c r="A276">
        <v>273</v>
      </c>
      <c r="B276">
        <v>6336</v>
      </c>
      <c r="C276">
        <v>1960</v>
      </c>
      <c r="D276" s="1" t="s">
        <v>10</v>
      </c>
      <c r="E276" s="1" t="s">
        <v>14</v>
      </c>
      <c r="F276">
        <v>29315</v>
      </c>
      <c r="G276">
        <v>1</v>
      </c>
      <c r="H276" s="2">
        <v>1</v>
      </c>
      <c r="I276" s="2">
        <v>41735</v>
      </c>
      <c r="J276">
        <v>55</v>
      </c>
      <c r="K276">
        <f>VLOOKUP(B276,purchase_dataset!$B$2:$F$2241,2,FALSE)</f>
        <v>2</v>
      </c>
      <c r="L276">
        <f>VLOOKUP(B276,purchase_dataset!$B$2:$F$2241,3,FALSE)</f>
        <v>7</v>
      </c>
      <c r="M276">
        <f>VLOOKUP(B276,purchase_dataset!$B$2:$F$2241,3,FALSE)</f>
        <v>7</v>
      </c>
      <c r="N276">
        <f>VLOOKUP(B276,purchase_dataset!$B$2:$F$2241,5,FALSE)</f>
        <v>4</v>
      </c>
      <c r="O276" s="5">
        <v>66</v>
      </c>
      <c r="P276" s="4" t="str">
        <f t="shared" si="8"/>
        <v>&gt;50</v>
      </c>
      <c r="Q276" s="4">
        <f>M276+N276</f>
        <v>11</v>
      </c>
      <c r="U276" s="28" t="str" cm="1">
        <f t="array" ref="U276">_xlfn.IFS(F276&lt;30000,"30k",F276&lt;=50000,"30k-50k",F276&lt;=75000,"50k-75k",F276&lt;=100000,"75k-100k",F276&gt;100000,"100k")</f>
        <v>30k</v>
      </c>
      <c r="W276" s="1">
        <f t="shared" si="9"/>
        <v>12</v>
      </c>
    </row>
    <row r="277" spans="1:23" x14ac:dyDescent="0.35">
      <c r="A277">
        <v>274</v>
      </c>
      <c r="B277">
        <v>10967</v>
      </c>
      <c r="C277">
        <v>1963</v>
      </c>
      <c r="D277" s="1" t="s">
        <v>10</v>
      </c>
      <c r="E277" s="1" t="s">
        <v>16</v>
      </c>
      <c r="F277">
        <v>33378</v>
      </c>
      <c r="G277">
        <v>1</v>
      </c>
      <c r="H277" s="2">
        <v>1</v>
      </c>
      <c r="I277" s="2">
        <v>41311</v>
      </c>
      <c r="J277">
        <v>38</v>
      </c>
      <c r="K277">
        <f>VLOOKUP(B277,purchase_dataset!$B$2:$F$2241,2,FALSE)</f>
        <v>6</v>
      </c>
      <c r="L277">
        <f>VLOOKUP(B277,purchase_dataset!$B$2:$F$2241,3,FALSE)</f>
        <v>7</v>
      </c>
      <c r="M277">
        <f>VLOOKUP(B277,purchase_dataset!$B$2:$F$2241,3,FALSE)</f>
        <v>7</v>
      </c>
      <c r="N277">
        <f>VLOOKUP(B277,purchase_dataset!$B$2:$F$2241,5,FALSE)</f>
        <v>4</v>
      </c>
      <c r="O277" s="5">
        <v>63</v>
      </c>
      <c r="P277" s="4" t="str">
        <f t="shared" si="8"/>
        <v>&gt;50</v>
      </c>
      <c r="Q277" s="4">
        <f>M277+N277</f>
        <v>11</v>
      </c>
      <c r="U277" s="28" t="str" cm="1">
        <f t="array" ref="U277">_xlfn.IFS(F277&lt;30000,"30k",F277&lt;=50000,"30k-50k",F277&lt;=75000,"50k-75k",F277&lt;=100000,"75k-100k",F277&gt;100000,"100k")</f>
        <v>30k-50k</v>
      </c>
      <c r="W277" s="1">
        <f t="shared" si="9"/>
        <v>13</v>
      </c>
    </row>
    <row r="278" spans="1:23" x14ac:dyDescent="0.35">
      <c r="A278">
        <v>275</v>
      </c>
      <c r="B278">
        <v>2304</v>
      </c>
      <c r="C278">
        <v>1963</v>
      </c>
      <c r="D278" s="1" t="s">
        <v>13</v>
      </c>
      <c r="E278" s="1" t="s">
        <v>12</v>
      </c>
      <c r="F278">
        <v>66313</v>
      </c>
      <c r="G278">
        <v>0</v>
      </c>
      <c r="H278" s="2">
        <v>1</v>
      </c>
      <c r="I278" s="2">
        <v>41533</v>
      </c>
      <c r="J278">
        <v>86</v>
      </c>
      <c r="K278">
        <f>VLOOKUP(B278,purchase_dataset!$B$2:$F$2241,2,FALSE)</f>
        <v>7</v>
      </c>
      <c r="L278">
        <f>VLOOKUP(B278,purchase_dataset!$B$2:$F$2241,3,FALSE)</f>
        <v>22</v>
      </c>
      <c r="M278">
        <f>VLOOKUP(B278,purchase_dataset!$B$2:$F$2241,3,FALSE)</f>
        <v>22</v>
      </c>
      <c r="N278">
        <f>VLOOKUP(B278,purchase_dataset!$B$2:$F$2241,5,FALSE)</f>
        <v>12</v>
      </c>
      <c r="O278" s="5">
        <v>63</v>
      </c>
      <c r="P278" s="4" t="str">
        <f t="shared" si="8"/>
        <v>&gt;50</v>
      </c>
      <c r="Q278" s="4">
        <f>M278+N278</f>
        <v>34</v>
      </c>
      <c r="U278" s="28" t="str" cm="1">
        <f t="array" ref="U278">_xlfn.IFS(F278&lt;30000,"30k",F278&lt;=50000,"30k-50k",F278&lt;=75000,"50k-75k",F278&lt;=100000,"75k-100k",F278&gt;100000,"100k")</f>
        <v>50k-75k</v>
      </c>
      <c r="W278" s="1">
        <f t="shared" si="9"/>
        <v>13</v>
      </c>
    </row>
    <row r="279" spans="1:23" x14ac:dyDescent="0.35">
      <c r="A279">
        <v>276</v>
      </c>
      <c r="B279">
        <v>3445</v>
      </c>
      <c r="C279">
        <v>1956</v>
      </c>
      <c r="D279" s="1" t="s">
        <v>10</v>
      </c>
      <c r="E279" s="1" t="s">
        <v>11</v>
      </c>
      <c r="F279">
        <v>60714</v>
      </c>
      <c r="G279">
        <v>0</v>
      </c>
      <c r="H279" s="2">
        <v>0</v>
      </c>
      <c r="I279" s="2">
        <v>41291</v>
      </c>
      <c r="J279">
        <v>56</v>
      </c>
      <c r="K279">
        <f>VLOOKUP(B279,purchase_dataset!$B$2:$F$2241,2,FALSE)</f>
        <v>162</v>
      </c>
      <c r="L279">
        <f>VLOOKUP(B279,purchase_dataset!$B$2:$F$2241,3,FALSE)</f>
        <v>92</v>
      </c>
      <c r="M279">
        <f>VLOOKUP(B279,purchase_dataset!$B$2:$F$2241,3,FALSE)</f>
        <v>92</v>
      </c>
      <c r="N279">
        <f>VLOOKUP(B279,purchase_dataset!$B$2:$F$2241,5,FALSE)</f>
        <v>10</v>
      </c>
      <c r="O279" s="5">
        <v>70</v>
      </c>
      <c r="P279" s="4" t="str">
        <f t="shared" si="8"/>
        <v>&gt;50</v>
      </c>
      <c r="Q279" s="4">
        <f>M279+N279</f>
        <v>102</v>
      </c>
      <c r="U279" s="28" t="str" cm="1">
        <f t="array" ref="U279">_xlfn.IFS(F279&lt;30000,"30k",F279&lt;=50000,"30k-50k",F279&lt;=75000,"50k-75k",F279&lt;=100000,"75k-100k",F279&gt;100000,"100k")</f>
        <v>50k-75k</v>
      </c>
      <c r="W279" s="1">
        <f t="shared" si="9"/>
        <v>13</v>
      </c>
    </row>
    <row r="280" spans="1:23" x14ac:dyDescent="0.35">
      <c r="A280">
        <v>277</v>
      </c>
      <c r="B280">
        <v>7828</v>
      </c>
      <c r="C280">
        <v>1981</v>
      </c>
      <c r="D280" s="1" t="s">
        <v>15</v>
      </c>
      <c r="E280" s="1" t="s">
        <v>12</v>
      </c>
      <c r="F280">
        <v>77882</v>
      </c>
      <c r="G280">
        <v>0</v>
      </c>
      <c r="H280" s="2">
        <v>0</v>
      </c>
      <c r="I280" s="2">
        <v>41759</v>
      </c>
      <c r="J280">
        <v>29</v>
      </c>
      <c r="K280">
        <f>VLOOKUP(B280,purchase_dataset!$B$2:$F$2241,2,FALSE)</f>
        <v>129</v>
      </c>
      <c r="L280">
        <f>VLOOKUP(B280,purchase_dataset!$B$2:$F$2241,3,FALSE)</f>
        <v>22</v>
      </c>
      <c r="M280">
        <f>VLOOKUP(B280,purchase_dataset!$B$2:$F$2241,3,FALSE)</f>
        <v>22</v>
      </c>
      <c r="N280">
        <f>VLOOKUP(B280,purchase_dataset!$B$2:$F$2241,5,FALSE)</f>
        <v>5</v>
      </c>
      <c r="O280" s="5">
        <v>45</v>
      </c>
      <c r="P280" s="4" t="str">
        <f t="shared" si="8"/>
        <v>30-50</v>
      </c>
      <c r="Q280" s="4">
        <f>M280+N280</f>
        <v>27</v>
      </c>
      <c r="U280" s="28" t="str" cm="1">
        <f t="array" ref="U280">_xlfn.IFS(F280&lt;30000,"30k",F280&lt;=50000,"30k-50k",F280&lt;=75000,"50k-75k",F280&lt;=100000,"75k-100k",F280&gt;100000,"100k")</f>
        <v>75k-100k</v>
      </c>
      <c r="W280" s="1">
        <f t="shared" si="9"/>
        <v>12</v>
      </c>
    </row>
    <row r="281" spans="1:23" x14ac:dyDescent="0.35">
      <c r="A281">
        <v>278</v>
      </c>
      <c r="B281">
        <v>3762</v>
      </c>
      <c r="C281">
        <v>1986</v>
      </c>
      <c r="D281" s="1" t="s">
        <v>13</v>
      </c>
      <c r="E281" s="1" t="s">
        <v>11</v>
      </c>
      <c r="F281">
        <v>69867</v>
      </c>
      <c r="G281">
        <v>0</v>
      </c>
      <c r="H281" s="2">
        <v>0</v>
      </c>
      <c r="I281" s="2">
        <v>41366</v>
      </c>
      <c r="J281">
        <v>30</v>
      </c>
      <c r="K281">
        <f>VLOOKUP(B281,purchase_dataset!$B$2:$F$2241,2,FALSE)</f>
        <v>0</v>
      </c>
      <c r="L281">
        <f>VLOOKUP(B281,purchase_dataset!$B$2:$F$2241,3,FALSE)</f>
        <v>130</v>
      </c>
      <c r="M281">
        <f>VLOOKUP(B281,purchase_dataset!$B$2:$F$2241,3,FALSE)</f>
        <v>130</v>
      </c>
      <c r="N281">
        <f>VLOOKUP(B281,purchase_dataset!$B$2:$F$2241,5,FALSE)</f>
        <v>8</v>
      </c>
      <c r="O281" s="5">
        <v>40</v>
      </c>
      <c r="P281" s="4" t="str">
        <f t="shared" si="8"/>
        <v>30-50</v>
      </c>
      <c r="Q281" s="4">
        <f>M281+N281</f>
        <v>138</v>
      </c>
      <c r="U281" s="28" t="str" cm="1">
        <f t="array" ref="U281">_xlfn.IFS(F281&lt;30000,"30k",F281&lt;=50000,"30k-50k",F281&lt;=75000,"50k-75k",F281&lt;=100000,"75k-100k",F281&gt;100000,"100k")</f>
        <v>50k-75k</v>
      </c>
      <c r="W281" s="1">
        <f t="shared" si="9"/>
        <v>13</v>
      </c>
    </row>
    <row r="282" spans="1:23" x14ac:dyDescent="0.35">
      <c r="A282">
        <v>279</v>
      </c>
      <c r="B282">
        <v>4391</v>
      </c>
      <c r="C282">
        <v>1968</v>
      </c>
      <c r="D282" s="1" t="s">
        <v>15</v>
      </c>
      <c r="E282" s="1" t="s">
        <v>16</v>
      </c>
      <c r="F282">
        <v>63841</v>
      </c>
      <c r="G282">
        <v>0</v>
      </c>
      <c r="H282" s="2">
        <v>1</v>
      </c>
      <c r="I282" s="2">
        <v>41385</v>
      </c>
      <c r="J282">
        <v>64</v>
      </c>
      <c r="K282">
        <f>VLOOKUP(B282,purchase_dataset!$B$2:$F$2241,2,FALSE)</f>
        <v>15</v>
      </c>
      <c r="L282">
        <f>VLOOKUP(B282,purchase_dataset!$B$2:$F$2241,3,FALSE)</f>
        <v>7</v>
      </c>
      <c r="M282">
        <f>VLOOKUP(B282,purchase_dataset!$B$2:$F$2241,3,FALSE)</f>
        <v>7</v>
      </c>
      <c r="N282">
        <f>VLOOKUP(B282,purchase_dataset!$B$2:$F$2241,5,FALSE)</f>
        <v>9</v>
      </c>
      <c r="O282" s="5">
        <v>58</v>
      </c>
      <c r="P282" s="4" t="str">
        <f t="shared" si="8"/>
        <v>&gt;50</v>
      </c>
      <c r="Q282" s="4">
        <f>M282+N282</f>
        <v>16</v>
      </c>
      <c r="U282" s="28" t="str" cm="1">
        <f t="array" ref="U282">_xlfn.IFS(F282&lt;30000,"30k",F282&lt;=50000,"30k-50k",F282&lt;=75000,"50k-75k",F282&lt;=100000,"75k-100k",F282&gt;100000,"100k")</f>
        <v>50k-75k</v>
      </c>
      <c r="W282" s="1">
        <f t="shared" si="9"/>
        <v>13</v>
      </c>
    </row>
    <row r="283" spans="1:23" x14ac:dyDescent="0.35">
      <c r="A283">
        <v>280</v>
      </c>
      <c r="B283">
        <v>4669</v>
      </c>
      <c r="C283">
        <v>1981</v>
      </c>
      <c r="D283" s="1" t="s">
        <v>17</v>
      </c>
      <c r="E283" s="1" t="s">
        <v>14</v>
      </c>
      <c r="F283">
        <v>24480</v>
      </c>
      <c r="G283">
        <v>1</v>
      </c>
      <c r="H283" s="2">
        <v>0</v>
      </c>
      <c r="I283" s="2">
        <v>41316</v>
      </c>
      <c r="J283">
        <v>46</v>
      </c>
      <c r="K283">
        <f>VLOOKUP(B283,purchase_dataset!$B$2:$F$2241,2,FALSE)</f>
        <v>19</v>
      </c>
      <c r="L283">
        <f>VLOOKUP(B283,purchase_dataset!$B$2:$F$2241,3,FALSE)</f>
        <v>25</v>
      </c>
      <c r="M283">
        <f>VLOOKUP(B283,purchase_dataset!$B$2:$F$2241,3,FALSE)</f>
        <v>25</v>
      </c>
      <c r="N283">
        <f>VLOOKUP(B283,purchase_dataset!$B$2:$F$2241,5,FALSE)</f>
        <v>4</v>
      </c>
      <c r="O283" s="5">
        <v>45</v>
      </c>
      <c r="P283" s="4" t="str">
        <f t="shared" si="8"/>
        <v>30-50</v>
      </c>
      <c r="Q283" s="4">
        <f>M283+N283</f>
        <v>29</v>
      </c>
      <c r="U283" s="28" t="str" cm="1">
        <f t="array" ref="U283">_xlfn.IFS(F283&lt;30000,"30k",F283&lt;=50000,"30k-50k",F283&lt;=75000,"50k-75k",F283&lt;=100000,"75k-100k",F283&gt;100000,"100k")</f>
        <v>30k</v>
      </c>
      <c r="W283" s="1">
        <f t="shared" si="9"/>
        <v>13</v>
      </c>
    </row>
    <row r="284" spans="1:23" x14ac:dyDescent="0.35">
      <c r="A284">
        <v>281</v>
      </c>
      <c r="B284">
        <v>10144</v>
      </c>
      <c r="C284">
        <v>1976</v>
      </c>
      <c r="D284" s="1" t="s">
        <v>10</v>
      </c>
      <c r="E284" s="1" t="s">
        <v>12</v>
      </c>
      <c r="F284">
        <v>51369</v>
      </c>
      <c r="G284">
        <v>0</v>
      </c>
      <c r="H284" s="2">
        <v>1</v>
      </c>
      <c r="I284" s="2">
        <v>41207</v>
      </c>
      <c r="J284">
        <v>84</v>
      </c>
      <c r="K284">
        <f>VLOOKUP(B284,purchase_dataset!$B$2:$F$2241,2,FALSE)</f>
        <v>7</v>
      </c>
      <c r="L284">
        <f>VLOOKUP(B284,purchase_dataset!$B$2:$F$2241,3,FALSE)</f>
        <v>11</v>
      </c>
      <c r="M284">
        <f>VLOOKUP(B284,purchase_dataset!$B$2:$F$2241,3,FALSE)</f>
        <v>11</v>
      </c>
      <c r="N284">
        <f>VLOOKUP(B284,purchase_dataset!$B$2:$F$2241,5,FALSE)</f>
        <v>4</v>
      </c>
      <c r="O284" s="5">
        <v>50</v>
      </c>
      <c r="P284" s="4" t="str">
        <f t="shared" si="8"/>
        <v>30-50</v>
      </c>
      <c r="Q284" s="4">
        <f>M284+N284</f>
        <v>15</v>
      </c>
      <c r="U284" s="28" t="str" cm="1">
        <f t="array" ref="U284">_xlfn.IFS(F284&lt;30000,"30k",F284&lt;=50000,"30k-50k",F284&lt;=75000,"50k-75k",F284&lt;=100000,"75k-100k",F284&gt;100000,"100k")</f>
        <v>50k-75k</v>
      </c>
      <c r="W284" s="1">
        <f t="shared" si="9"/>
        <v>14</v>
      </c>
    </row>
    <row r="285" spans="1:23" x14ac:dyDescent="0.35">
      <c r="A285">
        <v>282</v>
      </c>
      <c r="B285">
        <v>8652</v>
      </c>
      <c r="C285">
        <v>1946</v>
      </c>
      <c r="D285" s="1" t="s">
        <v>10</v>
      </c>
      <c r="E285" s="1" t="s">
        <v>12</v>
      </c>
      <c r="F285">
        <v>37760</v>
      </c>
      <c r="G285">
        <v>0</v>
      </c>
      <c r="H285" s="2">
        <v>0</v>
      </c>
      <c r="I285" s="2">
        <v>41152</v>
      </c>
      <c r="J285">
        <v>20</v>
      </c>
      <c r="K285">
        <f>VLOOKUP(B285,purchase_dataset!$B$2:$F$2241,2,FALSE)</f>
        <v>5</v>
      </c>
      <c r="L285">
        <f>VLOOKUP(B285,purchase_dataset!$B$2:$F$2241,3,FALSE)</f>
        <v>12</v>
      </c>
      <c r="M285">
        <f>VLOOKUP(B285,purchase_dataset!$B$2:$F$2241,3,FALSE)</f>
        <v>12</v>
      </c>
      <c r="N285">
        <f>VLOOKUP(B285,purchase_dataset!$B$2:$F$2241,5,FALSE)</f>
        <v>6</v>
      </c>
      <c r="O285" s="5">
        <v>80</v>
      </c>
      <c r="P285" s="4" t="str">
        <f t="shared" si="8"/>
        <v>&gt;50</v>
      </c>
      <c r="Q285" s="4">
        <f>M285+N285</f>
        <v>18</v>
      </c>
      <c r="U285" s="28" t="str" cm="1">
        <f t="array" ref="U285">_xlfn.IFS(F285&lt;30000,"30k",F285&lt;=50000,"30k-50k",F285&lt;=75000,"50k-75k",F285&lt;=100000,"75k-100k",F285&gt;100000,"100k")</f>
        <v>30k-50k</v>
      </c>
      <c r="W285" s="1">
        <f t="shared" si="9"/>
        <v>14</v>
      </c>
    </row>
    <row r="286" spans="1:23" x14ac:dyDescent="0.35">
      <c r="A286">
        <v>283</v>
      </c>
      <c r="B286">
        <v>1672</v>
      </c>
      <c r="C286">
        <v>1974</v>
      </c>
      <c r="D286" s="1" t="s">
        <v>13</v>
      </c>
      <c r="E286" s="1" t="s">
        <v>12</v>
      </c>
      <c r="F286">
        <v>65640</v>
      </c>
      <c r="G286">
        <v>0</v>
      </c>
      <c r="H286" s="2">
        <v>1</v>
      </c>
      <c r="I286" s="2">
        <v>41699</v>
      </c>
      <c r="J286">
        <v>74</v>
      </c>
      <c r="K286">
        <f>VLOOKUP(B286,purchase_dataset!$B$2:$F$2241,2,FALSE)</f>
        <v>7</v>
      </c>
      <c r="L286">
        <f>VLOOKUP(B286,purchase_dataset!$B$2:$F$2241,3,FALSE)</f>
        <v>15</v>
      </c>
      <c r="M286">
        <f>VLOOKUP(B286,purchase_dataset!$B$2:$F$2241,3,FALSE)</f>
        <v>15</v>
      </c>
      <c r="N286">
        <f>VLOOKUP(B286,purchase_dataset!$B$2:$F$2241,5,FALSE)</f>
        <v>8</v>
      </c>
      <c r="O286" s="5">
        <v>52</v>
      </c>
      <c r="P286" s="4" t="str">
        <f t="shared" si="8"/>
        <v>&gt;50</v>
      </c>
      <c r="Q286" s="4">
        <f>M286+N286</f>
        <v>23</v>
      </c>
      <c r="U286" s="28" t="str" cm="1">
        <f t="array" ref="U286">_xlfn.IFS(F286&lt;30000,"30k",F286&lt;=50000,"30k-50k",F286&lt;=75000,"50k-75k",F286&lt;=100000,"75k-100k",F286&gt;100000,"100k")</f>
        <v>50k-75k</v>
      </c>
      <c r="W286" s="1">
        <f t="shared" si="9"/>
        <v>12</v>
      </c>
    </row>
    <row r="287" spans="1:23" x14ac:dyDescent="0.35">
      <c r="A287">
        <v>284</v>
      </c>
      <c r="B287">
        <v>8962</v>
      </c>
      <c r="C287">
        <v>1975</v>
      </c>
      <c r="D287" s="1" t="s">
        <v>15</v>
      </c>
      <c r="E287" s="1" t="s">
        <v>14</v>
      </c>
      <c r="F287">
        <v>44319</v>
      </c>
      <c r="G287">
        <v>1</v>
      </c>
      <c r="H287" s="2">
        <v>1</v>
      </c>
      <c r="I287" s="2">
        <v>41746</v>
      </c>
      <c r="J287">
        <v>18</v>
      </c>
      <c r="K287">
        <f>VLOOKUP(B287,purchase_dataset!$B$2:$F$2241,2,FALSE)</f>
        <v>0</v>
      </c>
      <c r="L287">
        <f>VLOOKUP(B287,purchase_dataset!$B$2:$F$2241,3,FALSE)</f>
        <v>0</v>
      </c>
      <c r="M287">
        <f>VLOOKUP(B287,purchase_dataset!$B$2:$F$2241,3,FALSE)</f>
        <v>0</v>
      </c>
      <c r="N287">
        <f>VLOOKUP(B287,purchase_dataset!$B$2:$F$2241,5,FALSE)</f>
        <v>3</v>
      </c>
      <c r="O287" s="5">
        <v>51</v>
      </c>
      <c r="P287" s="4" t="str">
        <f t="shared" si="8"/>
        <v>&gt;50</v>
      </c>
      <c r="Q287" s="4">
        <f>M287+N287</f>
        <v>3</v>
      </c>
      <c r="U287" s="28" t="str" cm="1">
        <f t="array" ref="U287">_xlfn.IFS(F287&lt;30000,"30k",F287&lt;=50000,"30k-50k",F287&lt;=75000,"50k-75k",F287&lt;=100000,"75k-100k",F287&gt;100000,"100k")</f>
        <v>30k-50k</v>
      </c>
      <c r="W287" s="1">
        <f t="shared" si="9"/>
        <v>12</v>
      </c>
    </row>
    <row r="288" spans="1:23" x14ac:dyDescent="0.35">
      <c r="A288">
        <v>285</v>
      </c>
      <c r="B288">
        <v>9974</v>
      </c>
      <c r="C288">
        <v>1974</v>
      </c>
      <c r="D288" s="1" t="s">
        <v>10</v>
      </c>
      <c r="E288" s="1" t="s">
        <v>14</v>
      </c>
      <c r="F288">
        <v>30631</v>
      </c>
      <c r="G288">
        <v>1</v>
      </c>
      <c r="H288" s="2">
        <v>0</v>
      </c>
      <c r="I288" s="2">
        <v>41467</v>
      </c>
      <c r="J288">
        <v>75</v>
      </c>
      <c r="K288">
        <f>VLOOKUP(B288,purchase_dataset!$B$2:$F$2241,2,FALSE)</f>
        <v>6</v>
      </c>
      <c r="L288">
        <f>VLOOKUP(B288,purchase_dataset!$B$2:$F$2241,3,FALSE)</f>
        <v>5</v>
      </c>
      <c r="M288">
        <f>VLOOKUP(B288,purchase_dataset!$B$2:$F$2241,3,FALSE)</f>
        <v>5</v>
      </c>
      <c r="N288">
        <f>VLOOKUP(B288,purchase_dataset!$B$2:$F$2241,5,FALSE)</f>
        <v>2</v>
      </c>
      <c r="O288" s="5">
        <v>52</v>
      </c>
      <c r="P288" s="4" t="str">
        <f t="shared" si="8"/>
        <v>&gt;50</v>
      </c>
      <c r="Q288" s="4">
        <f>M288+N288</f>
        <v>7</v>
      </c>
      <c r="U288" s="28" t="str" cm="1">
        <f t="array" ref="U288">_xlfn.IFS(F288&lt;30000,"30k",F288&lt;=50000,"30k-50k",F288&lt;=75000,"50k-75k",F288&lt;=100000,"75k-100k",F288&gt;100000,"100k")</f>
        <v>30k-50k</v>
      </c>
      <c r="W288" s="1">
        <f t="shared" si="9"/>
        <v>13</v>
      </c>
    </row>
    <row r="289" spans="1:23" x14ac:dyDescent="0.35">
      <c r="A289">
        <v>286</v>
      </c>
      <c r="B289">
        <v>10983</v>
      </c>
      <c r="C289">
        <v>1952</v>
      </c>
      <c r="D289" s="1" t="s">
        <v>10</v>
      </c>
      <c r="E289" s="1" t="s">
        <v>12</v>
      </c>
      <c r="F289">
        <v>75278</v>
      </c>
      <c r="G289">
        <v>0</v>
      </c>
      <c r="H289" s="2">
        <v>0</v>
      </c>
      <c r="I289" s="2">
        <v>41303</v>
      </c>
      <c r="J289">
        <v>17</v>
      </c>
      <c r="K289">
        <f>VLOOKUP(B289,purchase_dataset!$B$2:$F$2241,2,FALSE)</f>
        <v>98</v>
      </c>
      <c r="L289">
        <f>VLOOKUP(B289,purchase_dataset!$B$2:$F$2241,3,FALSE)</f>
        <v>74</v>
      </c>
      <c r="M289">
        <f>VLOOKUP(B289,purchase_dataset!$B$2:$F$2241,3,FALSE)</f>
        <v>74</v>
      </c>
      <c r="N289">
        <f>VLOOKUP(B289,purchase_dataset!$B$2:$F$2241,5,FALSE)</f>
        <v>13</v>
      </c>
      <c r="O289" s="5">
        <v>74</v>
      </c>
      <c r="P289" s="4" t="str">
        <f t="shared" si="8"/>
        <v>&gt;50</v>
      </c>
      <c r="Q289" s="4">
        <f>M289+N289</f>
        <v>87</v>
      </c>
      <c r="U289" s="28" t="str" cm="1">
        <f t="array" ref="U289">_xlfn.IFS(F289&lt;30000,"30k",F289&lt;=50000,"30k-50k",F289&lt;=75000,"50k-75k",F289&lt;=100000,"75k-100k",F289&gt;100000,"100k")</f>
        <v>75k-100k</v>
      </c>
      <c r="W289" s="1">
        <f t="shared" si="9"/>
        <v>13</v>
      </c>
    </row>
    <row r="290" spans="1:23" x14ac:dyDescent="0.35">
      <c r="A290">
        <v>287</v>
      </c>
      <c r="B290">
        <v>8148</v>
      </c>
      <c r="C290">
        <v>1956</v>
      </c>
      <c r="D290" s="1" t="s">
        <v>15</v>
      </c>
      <c r="E290" s="1" t="s">
        <v>12</v>
      </c>
      <c r="F290">
        <v>50898</v>
      </c>
      <c r="G290">
        <v>1</v>
      </c>
      <c r="H290" s="2">
        <v>1</v>
      </c>
      <c r="I290" s="2">
        <v>41282</v>
      </c>
      <c r="J290">
        <v>88</v>
      </c>
      <c r="K290">
        <f>VLOOKUP(B290,purchase_dataset!$B$2:$F$2241,2,FALSE)</f>
        <v>28</v>
      </c>
      <c r="L290">
        <f>VLOOKUP(B290,purchase_dataset!$B$2:$F$2241,3,FALSE)</f>
        <v>114</v>
      </c>
      <c r="M290">
        <f>VLOOKUP(B290,purchase_dataset!$B$2:$F$2241,3,FALSE)</f>
        <v>114</v>
      </c>
      <c r="N290">
        <f>VLOOKUP(B290,purchase_dataset!$B$2:$F$2241,5,FALSE)</f>
        <v>12</v>
      </c>
      <c r="O290" s="5">
        <v>70</v>
      </c>
      <c r="P290" s="4" t="str">
        <f t="shared" si="8"/>
        <v>&gt;50</v>
      </c>
      <c r="Q290" s="4">
        <f>M290+N290</f>
        <v>126</v>
      </c>
      <c r="U290" s="28" t="str" cm="1">
        <f t="array" ref="U290">_xlfn.IFS(F290&lt;30000,"30k",F290&lt;=50000,"30k-50k",F290&lt;=75000,"50k-75k",F290&lt;=100000,"75k-100k",F290&gt;100000,"100k")</f>
        <v>50k-75k</v>
      </c>
      <c r="W290" s="1">
        <f t="shared" si="9"/>
        <v>13</v>
      </c>
    </row>
    <row r="291" spans="1:23" x14ac:dyDescent="0.35">
      <c r="A291">
        <v>288</v>
      </c>
      <c r="B291">
        <v>10102</v>
      </c>
      <c r="C291">
        <v>1966</v>
      </c>
      <c r="D291" s="1" t="s">
        <v>10</v>
      </c>
      <c r="E291" s="1" t="s">
        <v>19</v>
      </c>
      <c r="F291">
        <v>79946</v>
      </c>
      <c r="G291">
        <v>0</v>
      </c>
      <c r="H291" s="2">
        <v>0</v>
      </c>
      <c r="I291" s="2">
        <v>41771</v>
      </c>
      <c r="J291">
        <v>19</v>
      </c>
      <c r="K291">
        <f>VLOOKUP(B291,purchase_dataset!$B$2:$F$2241,2,FALSE)</f>
        <v>183</v>
      </c>
      <c r="L291">
        <f>VLOOKUP(B291,purchase_dataset!$B$2:$F$2241,3,FALSE)</f>
        <v>141</v>
      </c>
      <c r="M291">
        <f>VLOOKUP(B291,purchase_dataset!$B$2:$F$2241,3,FALSE)</f>
        <v>141</v>
      </c>
      <c r="N291">
        <f>VLOOKUP(B291,purchase_dataset!$B$2:$F$2241,5,FALSE)</f>
        <v>5</v>
      </c>
      <c r="O291" s="5">
        <v>60</v>
      </c>
      <c r="P291" s="4" t="str">
        <f t="shared" si="8"/>
        <v>&gt;50</v>
      </c>
      <c r="Q291" s="4">
        <f>M291+N291</f>
        <v>146</v>
      </c>
      <c r="U291" s="28" t="str" cm="1">
        <f t="array" ref="U291">_xlfn.IFS(F291&lt;30000,"30k",F291&lt;=50000,"30k-50k",F291&lt;=75000,"50k-75k",F291&lt;=100000,"75k-100k",F291&gt;100000,"100k")</f>
        <v>75k-100k</v>
      </c>
      <c r="W291" s="1">
        <f t="shared" si="9"/>
        <v>12</v>
      </c>
    </row>
    <row r="292" spans="1:23" x14ac:dyDescent="0.35">
      <c r="A292">
        <v>289</v>
      </c>
      <c r="B292">
        <v>4697</v>
      </c>
      <c r="C292">
        <v>1949</v>
      </c>
      <c r="D292" s="1" t="s">
        <v>15</v>
      </c>
      <c r="E292" s="1" t="s">
        <v>16</v>
      </c>
      <c r="F292">
        <v>35416</v>
      </c>
      <c r="G292">
        <v>0</v>
      </c>
      <c r="H292" s="2">
        <v>0</v>
      </c>
      <c r="I292" s="2">
        <v>41438</v>
      </c>
      <c r="J292">
        <v>62</v>
      </c>
      <c r="K292">
        <f>VLOOKUP(B292,purchase_dataset!$B$2:$F$2241,2,FALSE)</f>
        <v>3</v>
      </c>
      <c r="L292">
        <f>VLOOKUP(B292,purchase_dataset!$B$2:$F$2241,3,FALSE)</f>
        <v>3</v>
      </c>
      <c r="M292">
        <f>VLOOKUP(B292,purchase_dataset!$B$2:$F$2241,3,FALSE)</f>
        <v>3</v>
      </c>
      <c r="N292">
        <f>VLOOKUP(B292,purchase_dataset!$B$2:$F$2241,5,FALSE)</f>
        <v>5</v>
      </c>
      <c r="O292" s="5">
        <v>77</v>
      </c>
      <c r="P292" s="4" t="str">
        <f t="shared" si="8"/>
        <v>&gt;50</v>
      </c>
      <c r="Q292" s="4">
        <f>M292+N292</f>
        <v>8</v>
      </c>
      <c r="U292" s="28" t="str" cm="1">
        <f t="array" ref="U292">_xlfn.IFS(F292&lt;30000,"30k",F292&lt;=50000,"30k-50k",F292&lt;=75000,"50k-75k",F292&lt;=100000,"75k-100k",F292&gt;100000,"100k")</f>
        <v>30k-50k</v>
      </c>
      <c r="W292" s="1">
        <f t="shared" si="9"/>
        <v>13</v>
      </c>
    </row>
    <row r="293" spans="1:23" x14ac:dyDescent="0.35">
      <c r="A293">
        <v>290</v>
      </c>
      <c r="B293">
        <v>9262</v>
      </c>
      <c r="C293">
        <v>1984</v>
      </c>
      <c r="D293" s="1" t="s">
        <v>18</v>
      </c>
      <c r="E293" s="1" t="s">
        <v>12</v>
      </c>
      <c r="F293">
        <v>32414</v>
      </c>
      <c r="G293">
        <v>0</v>
      </c>
      <c r="H293" s="2">
        <v>0</v>
      </c>
      <c r="I293" s="2">
        <v>41459</v>
      </c>
      <c r="J293">
        <v>11</v>
      </c>
      <c r="K293">
        <f>VLOOKUP(B293,purchase_dataset!$B$2:$F$2241,2,FALSE)</f>
        <v>6</v>
      </c>
      <c r="L293">
        <f>VLOOKUP(B293,purchase_dataset!$B$2:$F$2241,3,FALSE)</f>
        <v>9</v>
      </c>
      <c r="M293">
        <f>VLOOKUP(B293,purchase_dataset!$B$2:$F$2241,3,FALSE)</f>
        <v>9</v>
      </c>
      <c r="N293">
        <f>VLOOKUP(B293,purchase_dataset!$B$2:$F$2241,5,FALSE)</f>
        <v>3</v>
      </c>
      <c r="O293" s="5">
        <v>42</v>
      </c>
      <c r="P293" s="4" t="str">
        <f t="shared" si="8"/>
        <v>30-50</v>
      </c>
      <c r="Q293" s="4">
        <f>M293+N293</f>
        <v>12</v>
      </c>
      <c r="U293" s="28" t="str" cm="1">
        <f t="array" ref="U293">_xlfn.IFS(F293&lt;30000,"30k",F293&lt;=50000,"30k-50k",F293&lt;=75000,"50k-75k",F293&lt;=100000,"75k-100k",F293&gt;100000,"100k")</f>
        <v>30k-50k</v>
      </c>
      <c r="W293" s="1">
        <f t="shared" si="9"/>
        <v>13</v>
      </c>
    </row>
    <row r="294" spans="1:23" x14ac:dyDescent="0.35">
      <c r="A294">
        <v>291</v>
      </c>
      <c r="B294">
        <v>7254</v>
      </c>
      <c r="C294">
        <v>1969</v>
      </c>
      <c r="D294" s="1" t="s">
        <v>10</v>
      </c>
      <c r="E294" s="1" t="s">
        <v>12</v>
      </c>
      <c r="F294">
        <v>38361</v>
      </c>
      <c r="G294">
        <v>1</v>
      </c>
      <c r="H294" s="2">
        <v>0</v>
      </c>
      <c r="I294" s="2">
        <v>41635</v>
      </c>
      <c r="J294">
        <v>74</v>
      </c>
      <c r="K294">
        <f>VLOOKUP(B294,purchase_dataset!$B$2:$F$2241,2,FALSE)</f>
        <v>0</v>
      </c>
      <c r="L294">
        <f>VLOOKUP(B294,purchase_dataset!$B$2:$F$2241,3,FALSE)</f>
        <v>8</v>
      </c>
      <c r="M294">
        <f>VLOOKUP(B294,purchase_dataset!$B$2:$F$2241,3,FALSE)</f>
        <v>8</v>
      </c>
      <c r="N294">
        <f>VLOOKUP(B294,purchase_dataset!$B$2:$F$2241,5,FALSE)</f>
        <v>3</v>
      </c>
      <c r="O294" s="5">
        <v>57</v>
      </c>
      <c r="P294" s="4" t="str">
        <f t="shared" si="8"/>
        <v>&gt;50</v>
      </c>
      <c r="Q294" s="4">
        <f>M294+N294</f>
        <v>11</v>
      </c>
      <c r="U294" s="28" t="str" cm="1">
        <f t="array" ref="U294">_xlfn.IFS(F294&lt;30000,"30k",F294&lt;=50000,"30k-50k",F294&lt;=75000,"50k-75k",F294&lt;=100000,"75k-100k",F294&gt;100000,"100k")</f>
        <v>30k-50k</v>
      </c>
      <c r="W294" s="1">
        <f t="shared" si="9"/>
        <v>13</v>
      </c>
    </row>
    <row r="295" spans="1:23" x14ac:dyDescent="0.35">
      <c r="A295">
        <v>292</v>
      </c>
      <c r="B295">
        <v>4543</v>
      </c>
      <c r="C295">
        <v>1980</v>
      </c>
      <c r="D295" s="1" t="s">
        <v>10</v>
      </c>
      <c r="E295" s="1" t="s">
        <v>14</v>
      </c>
      <c r="F295">
        <v>82497</v>
      </c>
      <c r="G295">
        <v>0</v>
      </c>
      <c r="H295" s="2">
        <v>0</v>
      </c>
      <c r="I295" s="2">
        <v>41213</v>
      </c>
      <c r="J295">
        <v>32</v>
      </c>
      <c r="K295">
        <f>VLOOKUP(B295,purchase_dataset!$B$2:$F$2241,2,FALSE)</f>
        <v>129</v>
      </c>
      <c r="L295">
        <f>VLOOKUP(B295,purchase_dataset!$B$2:$F$2241,3,FALSE)</f>
        <v>21</v>
      </c>
      <c r="M295">
        <f>VLOOKUP(B295,purchase_dataset!$B$2:$F$2241,3,FALSE)</f>
        <v>21</v>
      </c>
      <c r="N295">
        <f>VLOOKUP(B295,purchase_dataset!$B$2:$F$2241,5,FALSE)</f>
        <v>9</v>
      </c>
      <c r="O295" s="5">
        <v>46</v>
      </c>
      <c r="P295" s="4" t="str">
        <f t="shared" si="8"/>
        <v>30-50</v>
      </c>
      <c r="Q295" s="4">
        <f>M295+N295</f>
        <v>30</v>
      </c>
      <c r="U295" s="28" t="str" cm="1">
        <f t="array" ref="U295">_xlfn.IFS(F295&lt;30000,"30k",F295&lt;=50000,"30k-50k",F295&lt;=75000,"50k-75k",F295&lt;=100000,"75k-100k",F295&gt;100000,"100k")</f>
        <v>75k-100k</v>
      </c>
      <c r="W295" s="1">
        <f t="shared" si="9"/>
        <v>14</v>
      </c>
    </row>
    <row r="296" spans="1:23" x14ac:dyDescent="0.35">
      <c r="A296">
        <v>293</v>
      </c>
      <c r="B296">
        <v>4927</v>
      </c>
      <c r="C296">
        <v>1971</v>
      </c>
      <c r="D296" s="1" t="s">
        <v>10</v>
      </c>
      <c r="E296" s="1" t="s">
        <v>12</v>
      </c>
      <c r="F296">
        <v>16626</v>
      </c>
      <c r="G296">
        <v>2</v>
      </c>
      <c r="H296" s="2">
        <v>0</v>
      </c>
      <c r="I296" s="2">
        <v>41654</v>
      </c>
      <c r="J296">
        <v>76</v>
      </c>
      <c r="K296">
        <f>VLOOKUP(B296,purchase_dataset!$B$2:$F$2241,2,FALSE)</f>
        <v>3</v>
      </c>
      <c r="L296">
        <f>VLOOKUP(B296,purchase_dataset!$B$2:$F$2241,3,FALSE)</f>
        <v>1</v>
      </c>
      <c r="M296">
        <f>VLOOKUP(B296,purchase_dataset!$B$2:$F$2241,3,FALSE)</f>
        <v>1</v>
      </c>
      <c r="N296">
        <f>VLOOKUP(B296,purchase_dataset!$B$2:$F$2241,5,FALSE)</f>
        <v>3</v>
      </c>
      <c r="O296" s="5">
        <v>55</v>
      </c>
      <c r="P296" s="4" t="str">
        <f t="shared" si="8"/>
        <v>&gt;50</v>
      </c>
      <c r="Q296" s="4">
        <f>M296+N296</f>
        <v>4</v>
      </c>
      <c r="U296" s="28" t="str" cm="1">
        <f t="array" ref="U296">_xlfn.IFS(F296&lt;30000,"30k",F296&lt;=50000,"30k-50k",F296&lt;=75000,"50k-75k",F296&lt;=100000,"75k-100k",F296&gt;100000,"100k")</f>
        <v>30k</v>
      </c>
      <c r="W296" s="1">
        <f t="shared" si="9"/>
        <v>12</v>
      </c>
    </row>
    <row r="297" spans="1:23" x14ac:dyDescent="0.35">
      <c r="A297">
        <v>294</v>
      </c>
      <c r="B297">
        <v>10451</v>
      </c>
      <c r="C297">
        <v>1965</v>
      </c>
      <c r="D297" s="1" t="s">
        <v>10</v>
      </c>
      <c r="E297" s="1" t="s">
        <v>12</v>
      </c>
      <c r="F297">
        <v>29672</v>
      </c>
      <c r="G297">
        <v>1</v>
      </c>
      <c r="H297" s="2">
        <v>1</v>
      </c>
      <c r="I297" s="2">
        <v>41345</v>
      </c>
      <c r="J297">
        <v>6</v>
      </c>
      <c r="K297">
        <f>VLOOKUP(B297,purchase_dataset!$B$2:$F$2241,2,FALSE)</f>
        <v>1</v>
      </c>
      <c r="L297">
        <f>VLOOKUP(B297,purchase_dataset!$B$2:$F$2241,3,FALSE)</f>
        <v>4</v>
      </c>
      <c r="M297">
        <f>VLOOKUP(B297,purchase_dataset!$B$2:$F$2241,3,FALSE)</f>
        <v>4</v>
      </c>
      <c r="N297">
        <f>VLOOKUP(B297,purchase_dataset!$B$2:$F$2241,5,FALSE)</f>
        <v>3</v>
      </c>
      <c r="O297" s="5">
        <v>61</v>
      </c>
      <c r="P297" s="4" t="str">
        <f t="shared" si="8"/>
        <v>&gt;50</v>
      </c>
      <c r="Q297" s="4">
        <f>M297+N297</f>
        <v>7</v>
      </c>
      <c r="U297" s="28" t="str" cm="1">
        <f t="array" ref="U297">_xlfn.IFS(F297&lt;30000,"30k",F297&lt;=50000,"30k-50k",F297&lt;=75000,"50k-75k",F297&lt;=100000,"75k-100k",F297&gt;100000,"100k")</f>
        <v>30k</v>
      </c>
      <c r="W297" s="1">
        <f t="shared" si="9"/>
        <v>13</v>
      </c>
    </row>
    <row r="298" spans="1:23" x14ac:dyDescent="0.35">
      <c r="A298">
        <v>295</v>
      </c>
      <c r="B298">
        <v>2926</v>
      </c>
      <c r="C298">
        <v>1952</v>
      </c>
      <c r="D298" s="1" t="s">
        <v>15</v>
      </c>
      <c r="E298" s="1" t="s">
        <v>12</v>
      </c>
      <c r="F298">
        <v>55951</v>
      </c>
      <c r="G298">
        <v>0</v>
      </c>
      <c r="H298" s="2">
        <v>1</v>
      </c>
      <c r="I298" s="2">
        <v>41144</v>
      </c>
      <c r="J298">
        <v>62</v>
      </c>
      <c r="K298">
        <f>VLOOKUP(B298,purchase_dataset!$B$2:$F$2241,2,FALSE)</f>
        <v>0</v>
      </c>
      <c r="L298">
        <f>VLOOKUP(B298,purchase_dataset!$B$2:$F$2241,3,FALSE)</f>
        <v>13</v>
      </c>
      <c r="M298">
        <f>VLOOKUP(B298,purchase_dataset!$B$2:$F$2241,3,FALSE)</f>
        <v>13</v>
      </c>
      <c r="N298">
        <f>VLOOKUP(B298,purchase_dataset!$B$2:$F$2241,5,FALSE)</f>
        <v>11</v>
      </c>
      <c r="O298" s="5">
        <v>74</v>
      </c>
      <c r="P298" s="4" t="str">
        <f t="shared" si="8"/>
        <v>&gt;50</v>
      </c>
      <c r="Q298" s="4">
        <f>M298+N298</f>
        <v>24</v>
      </c>
      <c r="U298" s="28" t="str" cm="1">
        <f t="array" ref="U298">_xlfn.IFS(F298&lt;30000,"30k",F298&lt;=50000,"30k-50k",F298&lt;=75000,"50k-75k",F298&lt;=100000,"75k-100k",F298&gt;100000,"100k")</f>
        <v>50k-75k</v>
      </c>
      <c r="W298" s="1">
        <f t="shared" si="9"/>
        <v>14</v>
      </c>
    </row>
    <row r="299" spans="1:23" x14ac:dyDescent="0.35">
      <c r="A299">
        <v>296</v>
      </c>
      <c r="B299">
        <v>2874</v>
      </c>
      <c r="C299">
        <v>1988</v>
      </c>
      <c r="D299" s="1" t="s">
        <v>18</v>
      </c>
      <c r="E299" s="1" t="s">
        <v>16</v>
      </c>
      <c r="F299">
        <v>35388</v>
      </c>
      <c r="G299">
        <v>1</v>
      </c>
      <c r="H299" s="2">
        <v>0</v>
      </c>
      <c r="I299" s="2">
        <v>41340</v>
      </c>
      <c r="J299">
        <v>20</v>
      </c>
      <c r="K299">
        <f>VLOOKUP(B299,purchase_dataset!$B$2:$F$2241,2,FALSE)</f>
        <v>4</v>
      </c>
      <c r="L299">
        <f>VLOOKUP(B299,purchase_dataset!$B$2:$F$2241,3,FALSE)</f>
        <v>3</v>
      </c>
      <c r="M299">
        <f>VLOOKUP(B299,purchase_dataset!$B$2:$F$2241,3,FALSE)</f>
        <v>3</v>
      </c>
      <c r="N299">
        <f>VLOOKUP(B299,purchase_dataset!$B$2:$F$2241,5,FALSE)</f>
        <v>3</v>
      </c>
      <c r="O299" s="5">
        <v>38</v>
      </c>
      <c r="P299" s="4" t="str">
        <f t="shared" si="8"/>
        <v>30-50</v>
      </c>
      <c r="Q299" s="4">
        <f>M299+N299</f>
        <v>6</v>
      </c>
      <c r="U299" s="28" t="str" cm="1">
        <f t="array" ref="U299">_xlfn.IFS(F299&lt;30000,"30k",F299&lt;=50000,"30k-50k",F299&lt;=75000,"50k-75k",F299&lt;=100000,"75k-100k",F299&gt;100000,"100k")</f>
        <v>30k-50k</v>
      </c>
      <c r="W299" s="1">
        <f t="shared" si="9"/>
        <v>13</v>
      </c>
    </row>
    <row r="300" spans="1:23" x14ac:dyDescent="0.35">
      <c r="A300">
        <v>297</v>
      </c>
      <c r="B300">
        <v>9738</v>
      </c>
      <c r="C300">
        <v>1986</v>
      </c>
      <c r="D300" s="1" t="s">
        <v>15</v>
      </c>
      <c r="E300" s="1" t="s">
        <v>12</v>
      </c>
      <c r="F300">
        <v>42386</v>
      </c>
      <c r="G300">
        <v>1</v>
      </c>
      <c r="H300" s="2">
        <v>0</v>
      </c>
      <c r="I300" s="2">
        <v>41287</v>
      </c>
      <c r="J300">
        <v>43</v>
      </c>
      <c r="K300">
        <f>VLOOKUP(B300,purchase_dataset!$B$2:$F$2241,2,FALSE)</f>
        <v>4</v>
      </c>
      <c r="L300">
        <f>VLOOKUP(B300,purchase_dataset!$B$2:$F$2241,3,FALSE)</f>
        <v>4</v>
      </c>
      <c r="M300">
        <f>VLOOKUP(B300,purchase_dataset!$B$2:$F$2241,3,FALSE)</f>
        <v>4</v>
      </c>
      <c r="N300">
        <f>VLOOKUP(B300,purchase_dataset!$B$2:$F$2241,5,FALSE)</f>
        <v>3</v>
      </c>
      <c r="O300" s="5">
        <v>40</v>
      </c>
      <c r="P300" s="4" t="str">
        <f t="shared" si="8"/>
        <v>30-50</v>
      </c>
      <c r="Q300" s="4">
        <f>M300+N300</f>
        <v>7</v>
      </c>
      <c r="U300" s="28" t="str" cm="1">
        <f t="array" ref="U300">_xlfn.IFS(F300&lt;30000,"30k",F300&lt;=50000,"30k-50k",F300&lt;=75000,"50k-75k",F300&lt;=100000,"75k-100k",F300&gt;100000,"100k")</f>
        <v>30k-50k</v>
      </c>
      <c r="W300" s="1">
        <f t="shared" si="9"/>
        <v>13</v>
      </c>
    </row>
    <row r="301" spans="1:23" x14ac:dyDescent="0.35">
      <c r="A301">
        <v>298</v>
      </c>
      <c r="B301">
        <v>7119</v>
      </c>
      <c r="C301">
        <v>1982</v>
      </c>
      <c r="D301" s="1" t="s">
        <v>10</v>
      </c>
      <c r="E301" s="1" t="s">
        <v>11</v>
      </c>
      <c r="F301">
        <v>68627</v>
      </c>
      <c r="G301">
        <v>0</v>
      </c>
      <c r="H301" s="2">
        <v>0</v>
      </c>
      <c r="I301" s="2">
        <v>41286</v>
      </c>
      <c r="J301">
        <v>45</v>
      </c>
      <c r="K301">
        <f>VLOOKUP(B301,purchase_dataset!$B$2:$F$2241,2,FALSE)</f>
        <v>15</v>
      </c>
      <c r="L301">
        <f>VLOOKUP(B301,purchase_dataset!$B$2:$F$2241,3,FALSE)</f>
        <v>54</v>
      </c>
      <c r="M301">
        <f>VLOOKUP(B301,purchase_dataset!$B$2:$F$2241,3,FALSE)</f>
        <v>54</v>
      </c>
      <c r="N301">
        <f>VLOOKUP(B301,purchase_dataset!$B$2:$F$2241,5,FALSE)</f>
        <v>6</v>
      </c>
      <c r="O301" s="5">
        <v>44</v>
      </c>
      <c r="P301" s="4" t="str">
        <f t="shared" si="8"/>
        <v>30-50</v>
      </c>
      <c r="Q301" s="4">
        <f>M301+N301</f>
        <v>60</v>
      </c>
      <c r="U301" s="28" t="str" cm="1">
        <f t="array" ref="U301">_xlfn.IFS(F301&lt;30000,"30k",F301&lt;=50000,"30k-50k",F301&lt;=75000,"50k-75k",F301&lt;=100000,"75k-100k",F301&gt;100000,"100k")</f>
        <v>50k-75k</v>
      </c>
      <c r="W301" s="1">
        <f t="shared" si="9"/>
        <v>13</v>
      </c>
    </row>
    <row r="302" spans="1:23" x14ac:dyDescent="0.35">
      <c r="A302">
        <v>299</v>
      </c>
      <c r="B302">
        <v>3924</v>
      </c>
      <c r="C302">
        <v>1965</v>
      </c>
      <c r="D302" s="1" t="s">
        <v>13</v>
      </c>
      <c r="E302" s="1" t="s">
        <v>16</v>
      </c>
      <c r="F302">
        <v>57912</v>
      </c>
      <c r="G302">
        <v>0</v>
      </c>
      <c r="H302" s="2">
        <v>1</v>
      </c>
      <c r="I302" s="2">
        <v>41715</v>
      </c>
      <c r="J302">
        <v>34</v>
      </c>
      <c r="K302">
        <f>VLOOKUP(B302,purchase_dataset!$B$2:$F$2241,2,FALSE)</f>
        <v>0</v>
      </c>
      <c r="L302">
        <f>VLOOKUP(B302,purchase_dataset!$B$2:$F$2241,3,FALSE)</f>
        <v>0</v>
      </c>
      <c r="M302">
        <f>VLOOKUP(B302,purchase_dataset!$B$2:$F$2241,3,FALSE)</f>
        <v>0</v>
      </c>
      <c r="N302">
        <f>VLOOKUP(B302,purchase_dataset!$B$2:$F$2241,5,FALSE)</f>
        <v>12</v>
      </c>
      <c r="O302" s="5">
        <v>61</v>
      </c>
      <c r="P302" s="4" t="str">
        <f t="shared" si="8"/>
        <v>&gt;50</v>
      </c>
      <c r="Q302" s="4">
        <f>M302+N302</f>
        <v>12</v>
      </c>
      <c r="U302" s="28" t="str" cm="1">
        <f t="array" ref="U302">_xlfn.IFS(F302&lt;30000,"30k",F302&lt;=50000,"30k-50k",F302&lt;=75000,"50k-75k",F302&lt;=100000,"75k-100k",F302&gt;100000,"100k")</f>
        <v>50k-75k</v>
      </c>
      <c r="W302" s="1">
        <f t="shared" si="9"/>
        <v>12</v>
      </c>
    </row>
    <row r="303" spans="1:23" x14ac:dyDescent="0.35">
      <c r="A303">
        <v>300</v>
      </c>
      <c r="B303">
        <v>5827</v>
      </c>
      <c r="C303">
        <v>1958</v>
      </c>
      <c r="D303" s="1" t="s">
        <v>10</v>
      </c>
      <c r="E303" s="1" t="s">
        <v>16</v>
      </c>
      <c r="F303">
        <v>35246</v>
      </c>
      <c r="G303">
        <v>1</v>
      </c>
      <c r="H303" s="2">
        <v>1</v>
      </c>
      <c r="I303" s="2">
        <v>41745</v>
      </c>
      <c r="J303">
        <v>53</v>
      </c>
      <c r="K303">
        <f>VLOOKUP(B303,purchase_dataset!$B$2:$F$2241,2,FALSE)</f>
        <v>0</v>
      </c>
      <c r="L303">
        <f>VLOOKUP(B303,purchase_dataset!$B$2:$F$2241,3,FALSE)</f>
        <v>2</v>
      </c>
      <c r="M303">
        <f>VLOOKUP(B303,purchase_dataset!$B$2:$F$2241,3,FALSE)</f>
        <v>2</v>
      </c>
      <c r="N303">
        <f>VLOOKUP(B303,purchase_dataset!$B$2:$F$2241,5,FALSE)</f>
        <v>3</v>
      </c>
      <c r="O303" s="5">
        <v>68</v>
      </c>
      <c r="P303" s="4" t="str">
        <f t="shared" si="8"/>
        <v>&gt;50</v>
      </c>
      <c r="Q303" s="4">
        <f>M303+N303</f>
        <v>5</v>
      </c>
      <c r="U303" s="28" t="str" cm="1">
        <f t="array" ref="U303">_xlfn.IFS(F303&lt;30000,"30k",F303&lt;=50000,"30k-50k",F303&lt;=75000,"50k-75k",F303&lt;=100000,"75k-100k",F303&gt;100000,"100k")</f>
        <v>30k-50k</v>
      </c>
      <c r="W303" s="1">
        <f t="shared" si="9"/>
        <v>12</v>
      </c>
    </row>
    <row r="304" spans="1:23" x14ac:dyDescent="0.35">
      <c r="A304">
        <v>301</v>
      </c>
      <c r="B304">
        <v>5596</v>
      </c>
      <c r="C304">
        <v>1956</v>
      </c>
      <c r="D304" s="1" t="s">
        <v>18</v>
      </c>
      <c r="E304" s="1" t="s">
        <v>12</v>
      </c>
      <c r="F304">
        <v>58821</v>
      </c>
      <c r="G304">
        <v>0</v>
      </c>
      <c r="H304" s="2">
        <v>1</v>
      </c>
      <c r="I304" s="2">
        <v>41559</v>
      </c>
      <c r="J304">
        <v>44</v>
      </c>
      <c r="K304">
        <f>VLOOKUP(B304,purchase_dataset!$B$2:$F$2241,2,FALSE)</f>
        <v>14</v>
      </c>
      <c r="L304">
        <f>VLOOKUP(B304,purchase_dataset!$B$2:$F$2241,3,FALSE)</f>
        <v>0</v>
      </c>
      <c r="M304">
        <f>VLOOKUP(B304,purchase_dataset!$B$2:$F$2241,3,FALSE)</f>
        <v>0</v>
      </c>
      <c r="N304">
        <f>VLOOKUP(B304,purchase_dataset!$B$2:$F$2241,5,FALSE)</f>
        <v>9</v>
      </c>
      <c r="O304" s="5">
        <v>70</v>
      </c>
      <c r="P304" s="4" t="str">
        <f t="shared" si="8"/>
        <v>&gt;50</v>
      </c>
      <c r="Q304" s="4">
        <f>M304+N304</f>
        <v>9</v>
      </c>
      <c r="U304" s="28" t="str" cm="1">
        <f t="array" ref="U304">_xlfn.IFS(F304&lt;30000,"30k",F304&lt;=50000,"30k-50k",F304&lt;=75000,"50k-75k",F304&lt;=100000,"75k-100k",F304&gt;100000,"100k")</f>
        <v>50k-75k</v>
      </c>
      <c r="W304" s="1">
        <f t="shared" si="9"/>
        <v>13</v>
      </c>
    </row>
    <row r="305" spans="1:23" x14ac:dyDescent="0.35">
      <c r="A305">
        <v>302</v>
      </c>
      <c r="B305">
        <v>10812</v>
      </c>
      <c r="C305">
        <v>1978</v>
      </c>
      <c r="D305" s="1" t="s">
        <v>13</v>
      </c>
      <c r="E305" s="1" t="s">
        <v>14</v>
      </c>
      <c r="F305">
        <v>46377</v>
      </c>
      <c r="G305">
        <v>1</v>
      </c>
      <c r="H305" s="2">
        <v>0</v>
      </c>
      <c r="I305" s="2">
        <v>41699</v>
      </c>
      <c r="J305">
        <v>89</v>
      </c>
      <c r="K305">
        <f>VLOOKUP(B305,purchase_dataset!$B$2:$F$2241,2,FALSE)</f>
        <v>0</v>
      </c>
      <c r="L305">
        <f>VLOOKUP(B305,purchase_dataset!$B$2:$F$2241,3,FALSE)</f>
        <v>3</v>
      </c>
      <c r="M305">
        <f>VLOOKUP(B305,purchase_dataset!$B$2:$F$2241,3,FALSE)</f>
        <v>3</v>
      </c>
      <c r="N305">
        <f>VLOOKUP(B305,purchase_dataset!$B$2:$F$2241,5,FALSE)</f>
        <v>3</v>
      </c>
      <c r="O305" s="5">
        <v>48</v>
      </c>
      <c r="P305" s="4" t="str">
        <f t="shared" si="8"/>
        <v>30-50</v>
      </c>
      <c r="Q305" s="4">
        <f>M305+N305</f>
        <v>6</v>
      </c>
      <c r="U305" s="28" t="str" cm="1">
        <f t="array" ref="U305">_xlfn.IFS(F305&lt;30000,"30k",F305&lt;=50000,"30k-50k",F305&lt;=75000,"50k-75k",F305&lt;=100000,"75k-100k",F305&gt;100000,"100k")</f>
        <v>30k-50k</v>
      </c>
      <c r="W305" s="1">
        <f t="shared" si="9"/>
        <v>12</v>
      </c>
    </row>
    <row r="306" spans="1:23" x14ac:dyDescent="0.35">
      <c r="A306">
        <v>303</v>
      </c>
      <c r="B306">
        <v>1717</v>
      </c>
      <c r="C306">
        <v>1988</v>
      </c>
      <c r="D306" s="1" t="s">
        <v>10</v>
      </c>
      <c r="E306" s="1" t="s">
        <v>11</v>
      </c>
      <c r="F306">
        <v>39747</v>
      </c>
      <c r="G306">
        <v>1</v>
      </c>
      <c r="H306" s="2">
        <v>0</v>
      </c>
      <c r="I306" s="2">
        <v>41742</v>
      </c>
      <c r="J306">
        <v>43</v>
      </c>
      <c r="K306">
        <f>VLOOKUP(B306,purchase_dataset!$B$2:$F$2241,2,FALSE)</f>
        <v>15</v>
      </c>
      <c r="L306">
        <f>VLOOKUP(B306,purchase_dataset!$B$2:$F$2241,3,FALSE)</f>
        <v>13</v>
      </c>
      <c r="M306">
        <f>VLOOKUP(B306,purchase_dataset!$B$2:$F$2241,3,FALSE)</f>
        <v>13</v>
      </c>
      <c r="N306">
        <f>VLOOKUP(B306,purchase_dataset!$B$2:$F$2241,5,FALSE)</f>
        <v>4</v>
      </c>
      <c r="O306" s="5">
        <v>38</v>
      </c>
      <c r="P306" s="4" t="str">
        <f t="shared" si="8"/>
        <v>30-50</v>
      </c>
      <c r="Q306" s="4">
        <f>M306+N306</f>
        <v>17</v>
      </c>
      <c r="U306" s="28" t="str" cm="1">
        <f t="array" ref="U306">_xlfn.IFS(F306&lt;30000,"30k",F306&lt;=50000,"30k-50k",F306&lt;=75000,"50k-75k",F306&lt;=100000,"75k-100k",F306&gt;100000,"100k")</f>
        <v>30k-50k</v>
      </c>
      <c r="W306" s="1">
        <f t="shared" si="9"/>
        <v>12</v>
      </c>
    </row>
    <row r="307" spans="1:23" x14ac:dyDescent="0.35">
      <c r="A307">
        <v>304</v>
      </c>
      <c r="B307">
        <v>9491</v>
      </c>
      <c r="C307">
        <v>1984</v>
      </c>
      <c r="D307" s="1" t="s">
        <v>10</v>
      </c>
      <c r="E307" s="1" t="s">
        <v>12</v>
      </c>
      <c r="F307">
        <v>23976</v>
      </c>
      <c r="G307">
        <v>1</v>
      </c>
      <c r="H307" s="2">
        <v>0</v>
      </c>
      <c r="I307" s="2">
        <v>41635</v>
      </c>
      <c r="J307">
        <v>68</v>
      </c>
      <c r="K307">
        <f>VLOOKUP(B307,purchase_dataset!$B$2:$F$2241,2,FALSE)</f>
        <v>1</v>
      </c>
      <c r="L307">
        <f>VLOOKUP(B307,purchase_dataset!$B$2:$F$2241,3,FALSE)</f>
        <v>3</v>
      </c>
      <c r="M307">
        <f>VLOOKUP(B307,purchase_dataset!$B$2:$F$2241,3,FALSE)</f>
        <v>3</v>
      </c>
      <c r="N307">
        <f>VLOOKUP(B307,purchase_dataset!$B$2:$F$2241,5,FALSE)</f>
        <v>3</v>
      </c>
      <c r="O307" s="5">
        <v>42</v>
      </c>
      <c r="P307" s="4" t="str">
        <f t="shared" si="8"/>
        <v>30-50</v>
      </c>
      <c r="Q307" s="4">
        <f>M307+N307</f>
        <v>6</v>
      </c>
      <c r="U307" s="28" t="str" cm="1">
        <f t="array" ref="U307">_xlfn.IFS(F307&lt;30000,"30k",F307&lt;=50000,"30k-50k",F307&lt;=75000,"50k-75k",F307&lt;=100000,"75k-100k",F307&gt;100000,"100k")</f>
        <v>30k</v>
      </c>
      <c r="W307" s="1">
        <f t="shared" si="9"/>
        <v>13</v>
      </c>
    </row>
    <row r="308" spans="1:23" x14ac:dyDescent="0.35">
      <c r="A308">
        <v>305</v>
      </c>
      <c r="B308">
        <v>9274</v>
      </c>
      <c r="C308">
        <v>1961</v>
      </c>
      <c r="D308" s="1" t="s">
        <v>15</v>
      </c>
      <c r="E308" s="1" t="s">
        <v>14</v>
      </c>
      <c r="F308">
        <v>80950</v>
      </c>
      <c r="G308">
        <v>0</v>
      </c>
      <c r="H308" s="2">
        <v>0</v>
      </c>
      <c r="I308" s="2">
        <v>41361</v>
      </c>
      <c r="J308">
        <v>44</v>
      </c>
      <c r="K308">
        <f>VLOOKUP(B308,purchase_dataset!$B$2:$F$2241,2,FALSE)</f>
        <v>147</v>
      </c>
      <c r="L308">
        <f>VLOOKUP(B308,purchase_dataset!$B$2:$F$2241,3,FALSE)</f>
        <v>147</v>
      </c>
      <c r="M308">
        <f>VLOOKUP(B308,purchase_dataset!$B$2:$F$2241,3,FALSE)</f>
        <v>147</v>
      </c>
      <c r="N308">
        <f>VLOOKUP(B308,purchase_dataset!$B$2:$F$2241,5,FALSE)</f>
        <v>9</v>
      </c>
      <c r="O308" s="5">
        <v>65</v>
      </c>
      <c r="P308" s="4" t="str">
        <f t="shared" si="8"/>
        <v>&gt;50</v>
      </c>
      <c r="Q308" s="4">
        <f>M308+N308</f>
        <v>156</v>
      </c>
      <c r="U308" s="28" t="str" cm="1">
        <f t="array" ref="U308">_xlfn.IFS(F308&lt;30000,"30k",F308&lt;=50000,"30k-50k",F308&lt;=75000,"50k-75k",F308&lt;=100000,"75k-100k",F308&gt;100000,"100k")</f>
        <v>75k-100k</v>
      </c>
      <c r="W308" s="1">
        <f t="shared" si="9"/>
        <v>13</v>
      </c>
    </row>
    <row r="309" spans="1:23" x14ac:dyDescent="0.35">
      <c r="A309">
        <v>306</v>
      </c>
      <c r="B309">
        <v>6609</v>
      </c>
      <c r="C309">
        <v>1966</v>
      </c>
      <c r="D309" s="1" t="s">
        <v>10</v>
      </c>
      <c r="E309" s="1" t="s">
        <v>19</v>
      </c>
      <c r="F309">
        <v>27038</v>
      </c>
      <c r="G309">
        <v>0</v>
      </c>
      <c r="H309" s="2">
        <v>0</v>
      </c>
      <c r="I309" s="2">
        <v>41170</v>
      </c>
      <c r="J309">
        <v>64</v>
      </c>
      <c r="K309">
        <f>VLOOKUP(B309,purchase_dataset!$B$2:$F$2241,2,FALSE)</f>
        <v>26</v>
      </c>
      <c r="L309">
        <f>VLOOKUP(B309,purchase_dataset!$B$2:$F$2241,3,FALSE)</f>
        <v>23</v>
      </c>
      <c r="M309">
        <f>VLOOKUP(B309,purchase_dataset!$B$2:$F$2241,3,FALSE)</f>
        <v>23</v>
      </c>
      <c r="N309">
        <f>VLOOKUP(B309,purchase_dataset!$B$2:$F$2241,5,FALSE)</f>
        <v>3</v>
      </c>
      <c r="O309" s="5">
        <v>60</v>
      </c>
      <c r="P309" s="4" t="str">
        <f t="shared" si="8"/>
        <v>&gt;50</v>
      </c>
      <c r="Q309" s="4">
        <f>M309+N309</f>
        <v>26</v>
      </c>
      <c r="U309" s="28" t="str" cm="1">
        <f t="array" ref="U309">_xlfn.IFS(F309&lt;30000,"30k",F309&lt;=50000,"30k-50k",F309&lt;=75000,"50k-75k",F309&lt;=100000,"75k-100k",F309&gt;100000,"100k")</f>
        <v>30k</v>
      </c>
      <c r="W309" s="1">
        <f t="shared" si="9"/>
        <v>14</v>
      </c>
    </row>
    <row r="310" spans="1:23" x14ac:dyDescent="0.35">
      <c r="A310">
        <v>307</v>
      </c>
      <c r="B310">
        <v>6963</v>
      </c>
      <c r="C310">
        <v>1947</v>
      </c>
      <c r="D310" s="1" t="s">
        <v>10</v>
      </c>
      <c r="E310" s="1" t="s">
        <v>11</v>
      </c>
      <c r="F310">
        <v>77457</v>
      </c>
      <c r="G310">
        <v>0</v>
      </c>
      <c r="H310" s="2">
        <v>0</v>
      </c>
      <c r="I310" s="2">
        <v>41703</v>
      </c>
      <c r="J310">
        <v>85</v>
      </c>
      <c r="K310">
        <f>VLOOKUP(B310,purchase_dataset!$B$2:$F$2241,2,FALSE)</f>
        <v>11</v>
      </c>
      <c r="L310">
        <f>VLOOKUP(B310,purchase_dataset!$B$2:$F$2241,3,FALSE)</f>
        <v>45</v>
      </c>
      <c r="M310">
        <f>VLOOKUP(B310,purchase_dataset!$B$2:$F$2241,3,FALSE)</f>
        <v>45</v>
      </c>
      <c r="N310">
        <f>VLOOKUP(B310,purchase_dataset!$B$2:$F$2241,5,FALSE)</f>
        <v>10</v>
      </c>
      <c r="O310" s="5">
        <v>79</v>
      </c>
      <c r="P310" s="4" t="str">
        <f t="shared" si="8"/>
        <v>&gt;50</v>
      </c>
      <c r="Q310" s="4">
        <f>M310+N310</f>
        <v>55</v>
      </c>
      <c r="U310" s="28" t="str" cm="1">
        <f t="array" ref="U310">_xlfn.IFS(F310&lt;30000,"30k",F310&lt;=50000,"30k-50k",F310&lt;=75000,"50k-75k",F310&lt;=100000,"75k-100k",F310&gt;100000,"100k")</f>
        <v>75k-100k</v>
      </c>
      <c r="W310" s="1">
        <f t="shared" si="9"/>
        <v>12</v>
      </c>
    </row>
    <row r="311" spans="1:23" x14ac:dyDescent="0.35">
      <c r="A311">
        <v>308</v>
      </c>
      <c r="B311">
        <v>4440</v>
      </c>
      <c r="C311">
        <v>1964</v>
      </c>
      <c r="D311" s="1" t="s">
        <v>15</v>
      </c>
      <c r="E311" s="1" t="s">
        <v>14</v>
      </c>
      <c r="F311">
        <v>64100</v>
      </c>
      <c r="G311">
        <v>0</v>
      </c>
      <c r="H311" s="2">
        <v>1</v>
      </c>
      <c r="I311" s="2">
        <v>41527</v>
      </c>
      <c r="J311">
        <v>93</v>
      </c>
      <c r="K311">
        <f>VLOOKUP(B311,purchase_dataset!$B$2:$F$2241,2,FALSE)</f>
        <v>0</v>
      </c>
      <c r="L311">
        <f>VLOOKUP(B311,purchase_dataset!$B$2:$F$2241,3,FALSE)</f>
        <v>0</v>
      </c>
      <c r="M311">
        <f>VLOOKUP(B311,purchase_dataset!$B$2:$F$2241,3,FALSE)</f>
        <v>0</v>
      </c>
      <c r="N311">
        <f>VLOOKUP(B311,purchase_dataset!$B$2:$F$2241,5,FALSE)</f>
        <v>6</v>
      </c>
      <c r="O311" s="5">
        <v>62</v>
      </c>
      <c r="P311" s="4" t="str">
        <f t="shared" si="8"/>
        <v>&gt;50</v>
      </c>
      <c r="Q311" s="4">
        <f>M311+N311</f>
        <v>6</v>
      </c>
      <c r="U311" s="28" t="str" cm="1">
        <f t="array" ref="U311">_xlfn.IFS(F311&lt;30000,"30k",F311&lt;=50000,"30k-50k",F311&lt;=75000,"50k-75k",F311&lt;=100000,"75k-100k",F311&gt;100000,"100k")</f>
        <v>50k-75k</v>
      </c>
      <c r="W311" s="1">
        <f t="shared" si="9"/>
        <v>13</v>
      </c>
    </row>
    <row r="312" spans="1:23" x14ac:dyDescent="0.35">
      <c r="A312">
        <v>309</v>
      </c>
      <c r="B312">
        <v>1379</v>
      </c>
      <c r="C312">
        <v>1992</v>
      </c>
      <c r="D312" s="1" t="s">
        <v>15</v>
      </c>
      <c r="E312" s="1" t="s">
        <v>12</v>
      </c>
      <c r="F312">
        <v>42670</v>
      </c>
      <c r="G312">
        <v>0</v>
      </c>
      <c r="H312" s="2">
        <v>0</v>
      </c>
      <c r="I312" s="2">
        <v>41391</v>
      </c>
      <c r="J312">
        <v>12</v>
      </c>
      <c r="K312">
        <f>VLOOKUP(B312,purchase_dataset!$B$2:$F$2241,2,FALSE)</f>
        <v>2</v>
      </c>
      <c r="L312">
        <f>VLOOKUP(B312,purchase_dataset!$B$2:$F$2241,3,FALSE)</f>
        <v>4</v>
      </c>
      <c r="M312">
        <f>VLOOKUP(B312,purchase_dataset!$B$2:$F$2241,3,FALSE)</f>
        <v>4</v>
      </c>
      <c r="N312">
        <f>VLOOKUP(B312,purchase_dataset!$B$2:$F$2241,5,FALSE)</f>
        <v>4</v>
      </c>
      <c r="O312" s="5">
        <v>34</v>
      </c>
      <c r="P312" s="4" t="str">
        <f t="shared" si="8"/>
        <v>30-50</v>
      </c>
      <c r="Q312" s="4">
        <f>M312+N312</f>
        <v>8</v>
      </c>
      <c r="U312" s="28" t="str" cm="1">
        <f t="array" ref="U312">_xlfn.IFS(F312&lt;30000,"30k",F312&lt;=50000,"30k-50k",F312&lt;=75000,"50k-75k",F312&lt;=100000,"75k-100k",F312&gt;100000,"100k")</f>
        <v>30k-50k</v>
      </c>
      <c r="W312" s="1">
        <f t="shared" si="9"/>
        <v>13</v>
      </c>
    </row>
    <row r="313" spans="1:23" x14ac:dyDescent="0.35">
      <c r="A313">
        <v>310</v>
      </c>
      <c r="B313">
        <v>10032</v>
      </c>
      <c r="C313">
        <v>1976</v>
      </c>
      <c r="D313" s="1" t="s">
        <v>10</v>
      </c>
      <c r="E313" s="1" t="s">
        <v>16</v>
      </c>
      <c r="F313">
        <v>12571</v>
      </c>
      <c r="G313">
        <v>1</v>
      </c>
      <c r="H313" s="2">
        <v>0</v>
      </c>
      <c r="I313" s="2">
        <v>41657</v>
      </c>
      <c r="J313">
        <v>86</v>
      </c>
      <c r="K313">
        <f>VLOOKUP(B313,purchase_dataset!$B$2:$F$2241,2,FALSE)</f>
        <v>5</v>
      </c>
      <c r="L313">
        <f>VLOOKUP(B313,purchase_dataset!$B$2:$F$2241,3,FALSE)</f>
        <v>12</v>
      </c>
      <c r="M313">
        <f>VLOOKUP(B313,purchase_dataset!$B$2:$F$2241,3,FALSE)</f>
        <v>12</v>
      </c>
      <c r="N313">
        <f>VLOOKUP(B313,purchase_dataset!$B$2:$F$2241,5,FALSE)</f>
        <v>3</v>
      </c>
      <c r="O313" s="5">
        <v>50</v>
      </c>
      <c r="P313" s="4" t="str">
        <f t="shared" si="8"/>
        <v>30-50</v>
      </c>
      <c r="Q313" s="4">
        <f>M313+N313</f>
        <v>15</v>
      </c>
      <c r="U313" s="28" t="str" cm="1">
        <f t="array" ref="U313">_xlfn.IFS(F313&lt;30000,"30k",F313&lt;=50000,"30k-50k",F313&lt;=75000,"50k-75k",F313&lt;=100000,"75k-100k",F313&gt;100000,"100k")</f>
        <v>30k</v>
      </c>
      <c r="W313" s="1">
        <f t="shared" si="9"/>
        <v>12</v>
      </c>
    </row>
    <row r="314" spans="1:23" x14ac:dyDescent="0.35">
      <c r="A314">
        <v>311</v>
      </c>
      <c r="B314">
        <v>2826</v>
      </c>
      <c r="C314">
        <v>1967</v>
      </c>
      <c r="D314" s="1" t="s">
        <v>10</v>
      </c>
      <c r="E314" s="1" t="s">
        <v>14</v>
      </c>
      <c r="F314">
        <v>22574</v>
      </c>
      <c r="G314">
        <v>2</v>
      </c>
      <c r="H314" s="2">
        <v>1</v>
      </c>
      <c r="I314" s="2">
        <v>41575</v>
      </c>
      <c r="J314">
        <v>28</v>
      </c>
      <c r="K314">
        <f>VLOOKUP(B314,purchase_dataset!$B$2:$F$2241,2,FALSE)</f>
        <v>0</v>
      </c>
      <c r="L314">
        <f>VLOOKUP(B314,purchase_dataset!$B$2:$F$2241,3,FALSE)</f>
        <v>0</v>
      </c>
      <c r="M314">
        <f>VLOOKUP(B314,purchase_dataset!$B$2:$F$2241,3,FALSE)</f>
        <v>0</v>
      </c>
      <c r="N314">
        <f>VLOOKUP(B314,purchase_dataset!$B$2:$F$2241,5,FALSE)</f>
        <v>3</v>
      </c>
      <c r="O314" s="5">
        <v>59</v>
      </c>
      <c r="P314" s="4" t="str">
        <f t="shared" si="8"/>
        <v>&gt;50</v>
      </c>
      <c r="Q314" s="4">
        <f>M314+N314</f>
        <v>3</v>
      </c>
      <c r="U314" s="28" t="str" cm="1">
        <f t="array" ref="U314">_xlfn.IFS(F314&lt;30000,"30k",F314&lt;=50000,"30k-50k",F314&lt;=75000,"50k-75k",F314&lt;=100000,"75k-100k",F314&gt;100000,"100k")</f>
        <v>30k</v>
      </c>
      <c r="W314" s="1">
        <f t="shared" si="9"/>
        <v>13</v>
      </c>
    </row>
    <row r="315" spans="1:23" x14ac:dyDescent="0.35">
      <c r="A315">
        <v>312</v>
      </c>
      <c r="B315">
        <v>2437</v>
      </c>
      <c r="C315">
        <v>1989</v>
      </c>
      <c r="D315" s="1" t="s">
        <v>10</v>
      </c>
      <c r="E315" s="1" t="s">
        <v>14</v>
      </c>
      <c r="G315">
        <v>0</v>
      </c>
      <c r="H315" s="2">
        <v>0</v>
      </c>
      <c r="I315" s="2">
        <v>41428</v>
      </c>
      <c r="J315">
        <v>69</v>
      </c>
      <c r="K315">
        <f>VLOOKUP(B315,purchase_dataset!$B$2:$F$2241,2,FALSE)</f>
        <v>138</v>
      </c>
      <c r="L315">
        <f>VLOOKUP(B315,purchase_dataset!$B$2:$F$2241,3,FALSE)</f>
        <v>30</v>
      </c>
      <c r="M315">
        <f>VLOOKUP(B315,purchase_dataset!$B$2:$F$2241,3,FALSE)</f>
        <v>30</v>
      </c>
      <c r="N315">
        <f>VLOOKUP(B315,purchase_dataset!$B$2:$F$2241,5,FALSE)</f>
        <v>12</v>
      </c>
      <c r="O315" s="5">
        <v>37</v>
      </c>
      <c r="P315" s="4" t="str">
        <f t="shared" si="8"/>
        <v>30-50</v>
      </c>
      <c r="Q315" s="4">
        <f>M315+N315</f>
        <v>42</v>
      </c>
      <c r="U315" s="28" t="str" cm="1">
        <f t="array" ref="U315">_xlfn.IFS(F315&lt;30000,"30k",F315&lt;=50000,"30k-50k",F315&lt;=75000,"50k-75k",F315&lt;=100000,"75k-100k",F315&gt;100000,"100k")</f>
        <v>30k</v>
      </c>
      <c r="W315" s="1">
        <f t="shared" si="9"/>
        <v>13</v>
      </c>
    </row>
    <row r="316" spans="1:23" x14ac:dyDescent="0.35">
      <c r="A316">
        <v>313</v>
      </c>
      <c r="B316">
        <v>6320</v>
      </c>
      <c r="C316">
        <v>1976</v>
      </c>
      <c r="D316" s="1" t="s">
        <v>15</v>
      </c>
      <c r="E316" s="1" t="s">
        <v>11</v>
      </c>
      <c r="F316">
        <v>70893</v>
      </c>
      <c r="G316">
        <v>0</v>
      </c>
      <c r="H316" s="2">
        <v>0</v>
      </c>
      <c r="I316" s="2">
        <v>41311</v>
      </c>
      <c r="J316">
        <v>42</v>
      </c>
      <c r="K316">
        <f>VLOOKUP(B316,purchase_dataset!$B$2:$F$2241,2,FALSE)</f>
        <v>44</v>
      </c>
      <c r="L316">
        <f>VLOOKUP(B316,purchase_dataset!$B$2:$F$2241,3,FALSE)</f>
        <v>44</v>
      </c>
      <c r="M316">
        <f>VLOOKUP(B316,purchase_dataset!$B$2:$F$2241,3,FALSE)</f>
        <v>44</v>
      </c>
      <c r="N316">
        <f>VLOOKUP(B316,purchase_dataset!$B$2:$F$2241,5,FALSE)</f>
        <v>10</v>
      </c>
      <c r="O316" s="5">
        <v>50</v>
      </c>
      <c r="P316" s="4" t="str">
        <f t="shared" si="8"/>
        <v>30-50</v>
      </c>
      <c r="Q316" s="4">
        <f>M316+N316</f>
        <v>54</v>
      </c>
      <c r="U316" s="28" t="str" cm="1">
        <f t="array" ref="U316">_xlfn.IFS(F316&lt;30000,"30k",F316&lt;=50000,"30k-50k",F316&lt;=75000,"50k-75k",F316&lt;=100000,"75k-100k",F316&gt;100000,"100k")</f>
        <v>50k-75k</v>
      </c>
      <c r="W316" s="1">
        <f t="shared" si="9"/>
        <v>13</v>
      </c>
    </row>
    <row r="317" spans="1:23" x14ac:dyDescent="0.35">
      <c r="A317">
        <v>314</v>
      </c>
      <c r="B317">
        <v>3050</v>
      </c>
      <c r="C317">
        <v>1966</v>
      </c>
      <c r="D317" s="1" t="s">
        <v>10</v>
      </c>
      <c r="E317" s="1" t="s">
        <v>14</v>
      </c>
      <c r="F317">
        <v>54198</v>
      </c>
      <c r="G317">
        <v>1</v>
      </c>
      <c r="H317" s="2">
        <v>1</v>
      </c>
      <c r="I317" s="2">
        <v>41625</v>
      </c>
      <c r="J317">
        <v>13</v>
      </c>
      <c r="K317">
        <f>VLOOKUP(B317,purchase_dataset!$B$2:$F$2241,2,FALSE)</f>
        <v>0</v>
      </c>
      <c r="L317">
        <f>VLOOKUP(B317,purchase_dataset!$B$2:$F$2241,3,FALSE)</f>
        <v>2</v>
      </c>
      <c r="M317">
        <f>VLOOKUP(B317,purchase_dataset!$B$2:$F$2241,3,FALSE)</f>
        <v>2</v>
      </c>
      <c r="N317">
        <f>VLOOKUP(B317,purchase_dataset!$B$2:$F$2241,5,FALSE)</f>
        <v>6</v>
      </c>
      <c r="O317" s="5">
        <v>60</v>
      </c>
      <c r="P317" s="4" t="str">
        <f t="shared" si="8"/>
        <v>&gt;50</v>
      </c>
      <c r="Q317" s="4">
        <f>M317+N317</f>
        <v>8</v>
      </c>
      <c r="U317" s="28" t="str" cm="1">
        <f t="array" ref="U317">_xlfn.IFS(F317&lt;30000,"30k",F317&lt;=50000,"30k-50k",F317&lt;=75000,"50k-75k",F317&lt;=100000,"75k-100k",F317&gt;100000,"100k")</f>
        <v>50k-75k</v>
      </c>
      <c r="W317" s="1">
        <f t="shared" si="9"/>
        <v>13</v>
      </c>
    </row>
    <row r="318" spans="1:23" x14ac:dyDescent="0.35">
      <c r="A318">
        <v>315</v>
      </c>
      <c r="B318">
        <v>231</v>
      </c>
      <c r="C318">
        <v>1956</v>
      </c>
      <c r="D318" s="1" t="s">
        <v>15</v>
      </c>
      <c r="E318" s="1" t="s">
        <v>12</v>
      </c>
      <c r="F318">
        <v>28839</v>
      </c>
      <c r="G318">
        <v>1</v>
      </c>
      <c r="H318" s="2">
        <v>1</v>
      </c>
      <c r="I318" s="2">
        <v>41709</v>
      </c>
      <c r="J318">
        <v>86</v>
      </c>
      <c r="K318">
        <f>VLOOKUP(B318,purchase_dataset!$B$2:$F$2241,2,FALSE)</f>
        <v>0</v>
      </c>
      <c r="L318">
        <f>VLOOKUP(B318,purchase_dataset!$B$2:$F$2241,3,FALSE)</f>
        <v>0</v>
      </c>
      <c r="M318">
        <f>VLOOKUP(B318,purchase_dataset!$B$2:$F$2241,3,FALSE)</f>
        <v>0</v>
      </c>
      <c r="N318">
        <f>VLOOKUP(B318,purchase_dataset!$B$2:$F$2241,5,FALSE)</f>
        <v>3</v>
      </c>
      <c r="O318" s="5">
        <v>70</v>
      </c>
      <c r="P318" s="4" t="str">
        <f t="shared" si="8"/>
        <v>&gt;50</v>
      </c>
      <c r="Q318" s="4">
        <f>M318+N318</f>
        <v>3</v>
      </c>
      <c r="U318" s="28" t="str" cm="1">
        <f t="array" ref="U318">_xlfn.IFS(F318&lt;30000,"30k",F318&lt;=50000,"30k-50k",F318&lt;=75000,"50k-75k",F318&lt;=100000,"75k-100k",F318&gt;100000,"100k")</f>
        <v>30k</v>
      </c>
      <c r="W318" s="1">
        <f t="shared" si="9"/>
        <v>12</v>
      </c>
    </row>
    <row r="319" spans="1:23" x14ac:dyDescent="0.35">
      <c r="A319">
        <v>316</v>
      </c>
      <c r="B319">
        <v>2392</v>
      </c>
      <c r="C319">
        <v>1972</v>
      </c>
      <c r="D319" s="1" t="s">
        <v>10</v>
      </c>
      <c r="E319" s="1" t="s">
        <v>14</v>
      </c>
      <c r="F319">
        <v>40321</v>
      </c>
      <c r="G319">
        <v>1</v>
      </c>
      <c r="H319" s="2">
        <v>1</v>
      </c>
      <c r="I319" s="2">
        <v>41484</v>
      </c>
      <c r="J319">
        <v>59</v>
      </c>
      <c r="K319">
        <f>VLOOKUP(B319,purchase_dataset!$B$2:$F$2241,2,FALSE)</f>
        <v>4</v>
      </c>
      <c r="L319">
        <f>VLOOKUP(B319,purchase_dataset!$B$2:$F$2241,3,FALSE)</f>
        <v>0</v>
      </c>
      <c r="M319">
        <f>VLOOKUP(B319,purchase_dataset!$B$2:$F$2241,3,FALSE)</f>
        <v>0</v>
      </c>
      <c r="N319">
        <f>VLOOKUP(B319,purchase_dataset!$B$2:$F$2241,5,FALSE)</f>
        <v>3</v>
      </c>
      <c r="O319" s="5">
        <v>54</v>
      </c>
      <c r="P319" s="4" t="str">
        <f t="shared" si="8"/>
        <v>&gt;50</v>
      </c>
      <c r="Q319" s="4">
        <f>M319+N319</f>
        <v>3</v>
      </c>
      <c r="U319" s="28" t="str" cm="1">
        <f t="array" ref="U319">_xlfn.IFS(F319&lt;30000,"30k",F319&lt;=50000,"30k-50k",F319&lt;=75000,"50k-75k",F319&lt;=100000,"75k-100k",F319&gt;100000,"100k")</f>
        <v>30k-50k</v>
      </c>
      <c r="W319" s="1">
        <f t="shared" si="9"/>
        <v>13</v>
      </c>
    </row>
    <row r="320" spans="1:23" x14ac:dyDescent="0.35">
      <c r="A320">
        <v>317</v>
      </c>
      <c r="B320">
        <v>9478</v>
      </c>
      <c r="C320">
        <v>1985</v>
      </c>
      <c r="D320" s="1" t="s">
        <v>10</v>
      </c>
      <c r="E320" s="1" t="s">
        <v>11</v>
      </c>
      <c r="F320">
        <v>66503</v>
      </c>
      <c r="G320">
        <v>1</v>
      </c>
      <c r="H320" s="2">
        <v>0</v>
      </c>
      <c r="I320" s="2">
        <v>41135</v>
      </c>
      <c r="J320">
        <v>30</v>
      </c>
      <c r="K320">
        <f>VLOOKUP(B320,purchase_dataset!$B$2:$F$2241,2,FALSE)</f>
        <v>64</v>
      </c>
      <c r="L320">
        <f>VLOOKUP(B320,purchase_dataset!$B$2:$F$2241,3,FALSE)</f>
        <v>3</v>
      </c>
      <c r="M320">
        <f>VLOOKUP(B320,purchase_dataset!$B$2:$F$2241,3,FALSE)</f>
        <v>3</v>
      </c>
      <c r="N320">
        <f>VLOOKUP(B320,purchase_dataset!$B$2:$F$2241,5,FALSE)</f>
        <v>6</v>
      </c>
      <c r="O320" s="5">
        <v>41</v>
      </c>
      <c r="P320" s="4" t="str">
        <f t="shared" si="8"/>
        <v>30-50</v>
      </c>
      <c r="Q320" s="4">
        <f>M320+N320</f>
        <v>9</v>
      </c>
      <c r="U320" s="28" t="str" cm="1">
        <f t="array" ref="U320">_xlfn.IFS(F320&lt;30000,"30k",F320&lt;=50000,"30k-50k",F320&lt;=75000,"50k-75k",F320&lt;=100000,"75k-100k",F320&gt;100000,"100k")</f>
        <v>50k-75k</v>
      </c>
      <c r="W320" s="1">
        <f t="shared" si="9"/>
        <v>14</v>
      </c>
    </row>
    <row r="321" spans="1:23" x14ac:dyDescent="0.35">
      <c r="A321">
        <v>318</v>
      </c>
      <c r="B321">
        <v>113</v>
      </c>
      <c r="C321">
        <v>1951</v>
      </c>
      <c r="D321" s="1" t="s">
        <v>10</v>
      </c>
      <c r="E321" s="1" t="s">
        <v>14</v>
      </c>
      <c r="F321">
        <v>30833</v>
      </c>
      <c r="G321">
        <v>1</v>
      </c>
      <c r="H321" s="2">
        <v>1</v>
      </c>
      <c r="I321" s="2">
        <v>41471</v>
      </c>
      <c r="J321">
        <v>33</v>
      </c>
      <c r="K321">
        <f>VLOOKUP(B321,purchase_dataset!$B$2:$F$2241,2,FALSE)</f>
        <v>0</v>
      </c>
      <c r="L321">
        <f>VLOOKUP(B321,purchase_dataset!$B$2:$F$2241,3,FALSE)</f>
        <v>1</v>
      </c>
      <c r="M321">
        <f>VLOOKUP(B321,purchase_dataset!$B$2:$F$2241,3,FALSE)</f>
        <v>1</v>
      </c>
      <c r="N321">
        <f>VLOOKUP(B321,purchase_dataset!$B$2:$F$2241,5,FALSE)</f>
        <v>3</v>
      </c>
      <c r="O321" s="5">
        <v>75</v>
      </c>
      <c r="P321" s="4" t="str">
        <f t="shared" si="8"/>
        <v>&gt;50</v>
      </c>
      <c r="Q321" s="4">
        <f>M321+N321</f>
        <v>4</v>
      </c>
      <c r="U321" s="28" t="str" cm="1">
        <f t="array" ref="U321">_xlfn.IFS(F321&lt;30000,"30k",F321&lt;=50000,"30k-50k",F321&lt;=75000,"50k-75k",F321&lt;=100000,"75k-100k",F321&gt;100000,"100k")</f>
        <v>30k-50k</v>
      </c>
      <c r="W321" s="1">
        <f t="shared" si="9"/>
        <v>13</v>
      </c>
    </row>
    <row r="322" spans="1:23" x14ac:dyDescent="0.35">
      <c r="A322">
        <v>319</v>
      </c>
      <c r="B322">
        <v>2863</v>
      </c>
      <c r="C322">
        <v>1970</v>
      </c>
      <c r="D322" s="1" t="s">
        <v>10</v>
      </c>
      <c r="E322" s="1" t="s">
        <v>11</v>
      </c>
      <c r="G322">
        <v>1</v>
      </c>
      <c r="H322" s="2">
        <v>2</v>
      </c>
      <c r="I322" s="2">
        <v>41509</v>
      </c>
      <c r="J322">
        <v>67</v>
      </c>
      <c r="K322">
        <f>VLOOKUP(B322,purchase_dataset!$B$2:$F$2241,2,FALSE)</f>
        <v>20</v>
      </c>
      <c r="L322">
        <f>VLOOKUP(B322,purchase_dataset!$B$2:$F$2241,3,FALSE)</f>
        <v>50</v>
      </c>
      <c r="M322">
        <f>VLOOKUP(B322,purchase_dataset!$B$2:$F$2241,3,FALSE)</f>
        <v>50</v>
      </c>
      <c r="N322">
        <f>VLOOKUP(B322,purchase_dataset!$B$2:$F$2241,5,FALSE)</f>
        <v>10</v>
      </c>
      <c r="O322" s="5">
        <v>56</v>
      </c>
      <c r="P322" s="4" t="str">
        <f t="shared" si="8"/>
        <v>&gt;50</v>
      </c>
      <c r="Q322" s="4">
        <f>M322+N322</f>
        <v>60</v>
      </c>
      <c r="U322" s="28" t="str" cm="1">
        <f t="array" ref="U322">_xlfn.IFS(F322&lt;30000,"30k",F322&lt;=50000,"30k-50k",F322&lt;=75000,"50k-75k",F322&lt;=100000,"75k-100k",F322&gt;100000,"100k")</f>
        <v>30k</v>
      </c>
      <c r="W322" s="1">
        <f t="shared" si="9"/>
        <v>13</v>
      </c>
    </row>
    <row r="323" spans="1:23" x14ac:dyDescent="0.35">
      <c r="A323">
        <v>320</v>
      </c>
      <c r="B323">
        <v>1802</v>
      </c>
      <c r="C323">
        <v>1971</v>
      </c>
      <c r="D323" s="1" t="s">
        <v>10</v>
      </c>
      <c r="E323" s="1" t="s">
        <v>14</v>
      </c>
      <c r="F323">
        <v>64795</v>
      </c>
      <c r="G323">
        <v>0</v>
      </c>
      <c r="H323" s="2">
        <v>1</v>
      </c>
      <c r="I323" s="2">
        <v>41291</v>
      </c>
      <c r="J323">
        <v>23</v>
      </c>
      <c r="K323">
        <f>VLOOKUP(B323,purchase_dataset!$B$2:$F$2241,2,FALSE)</f>
        <v>5</v>
      </c>
      <c r="L323">
        <f>VLOOKUP(B323,purchase_dataset!$B$2:$F$2241,3,FALSE)</f>
        <v>29</v>
      </c>
      <c r="M323">
        <f>VLOOKUP(B323,purchase_dataset!$B$2:$F$2241,3,FALSE)</f>
        <v>29</v>
      </c>
      <c r="N323">
        <f>VLOOKUP(B323,purchase_dataset!$B$2:$F$2241,5,FALSE)</f>
        <v>12</v>
      </c>
      <c r="O323" s="5">
        <v>55</v>
      </c>
      <c r="P323" s="4" t="str">
        <f t="shared" si="8"/>
        <v>&gt;50</v>
      </c>
      <c r="Q323" s="4">
        <f>M323+N323</f>
        <v>41</v>
      </c>
      <c r="U323" s="28" t="str" cm="1">
        <f t="array" ref="U323">_xlfn.IFS(F323&lt;30000,"30k",F323&lt;=50000,"30k-50k",F323&lt;=75000,"50k-75k",F323&lt;=100000,"75k-100k",F323&gt;100000,"100k")</f>
        <v>50k-75k</v>
      </c>
      <c r="W323" s="1">
        <f t="shared" si="9"/>
        <v>13</v>
      </c>
    </row>
    <row r="324" spans="1:23" x14ac:dyDescent="0.35">
      <c r="A324">
        <v>321</v>
      </c>
      <c r="B324">
        <v>520</v>
      </c>
      <c r="C324">
        <v>1974</v>
      </c>
      <c r="D324" s="1" t="s">
        <v>10</v>
      </c>
      <c r="E324" s="1" t="s">
        <v>14</v>
      </c>
      <c r="F324">
        <v>34421</v>
      </c>
      <c r="G324">
        <v>1</v>
      </c>
      <c r="H324" s="2">
        <v>0</v>
      </c>
      <c r="I324" s="2">
        <v>41456</v>
      </c>
      <c r="J324">
        <v>81</v>
      </c>
      <c r="K324">
        <f>VLOOKUP(B324,purchase_dataset!$B$2:$F$2241,2,FALSE)</f>
        <v>3</v>
      </c>
      <c r="L324">
        <f>VLOOKUP(B324,purchase_dataset!$B$2:$F$2241,3,FALSE)</f>
        <v>2</v>
      </c>
      <c r="M324">
        <f>VLOOKUP(B324,purchase_dataset!$B$2:$F$2241,3,FALSE)</f>
        <v>2</v>
      </c>
      <c r="N324">
        <f>VLOOKUP(B324,purchase_dataset!$B$2:$F$2241,5,FALSE)</f>
        <v>2</v>
      </c>
      <c r="O324" s="5">
        <v>52</v>
      </c>
      <c r="P324" s="4" t="str">
        <f t="shared" ref="P324:P387" si="10">IF(O324&lt;30,"30",IF(O324&lt;=50,"30-50","&gt;50"))</f>
        <v>&gt;50</v>
      </c>
      <c r="Q324" s="4">
        <f>M324+N324</f>
        <v>4</v>
      </c>
      <c r="U324" s="28" t="str" cm="1">
        <f t="array" ref="U324">_xlfn.IFS(F324&lt;30000,"30k",F324&lt;=50000,"30k-50k",F324&lt;=75000,"50k-75k",F324&lt;=100000,"75k-100k",F324&gt;100000,"100k")</f>
        <v>30k-50k</v>
      </c>
      <c r="W324" s="1">
        <f t="shared" ref="W324:W387" si="11">2026-YEAR(I324)</f>
        <v>13</v>
      </c>
    </row>
    <row r="325" spans="1:23" x14ac:dyDescent="0.35">
      <c r="A325">
        <v>322</v>
      </c>
      <c r="B325">
        <v>8275</v>
      </c>
      <c r="C325">
        <v>1965</v>
      </c>
      <c r="D325" s="1" t="s">
        <v>13</v>
      </c>
      <c r="E325" s="1" t="s">
        <v>16</v>
      </c>
      <c r="F325">
        <v>47025</v>
      </c>
      <c r="G325">
        <v>1</v>
      </c>
      <c r="H325" s="2">
        <v>1</v>
      </c>
      <c r="I325" s="2">
        <v>41679</v>
      </c>
      <c r="J325">
        <v>6</v>
      </c>
      <c r="K325">
        <f>VLOOKUP(B325,purchase_dataset!$B$2:$F$2241,2,FALSE)</f>
        <v>0</v>
      </c>
      <c r="L325">
        <f>VLOOKUP(B325,purchase_dataset!$B$2:$F$2241,3,FALSE)</f>
        <v>0</v>
      </c>
      <c r="M325">
        <f>VLOOKUP(B325,purchase_dataset!$B$2:$F$2241,3,FALSE)</f>
        <v>0</v>
      </c>
      <c r="N325">
        <f>VLOOKUP(B325,purchase_dataset!$B$2:$F$2241,5,FALSE)</f>
        <v>2</v>
      </c>
      <c r="O325" s="5">
        <v>61</v>
      </c>
      <c r="P325" s="4" t="str">
        <f t="shared" si="10"/>
        <v>&gt;50</v>
      </c>
      <c r="Q325" s="4">
        <f>M325+N325</f>
        <v>2</v>
      </c>
      <c r="U325" s="28" t="str" cm="1">
        <f t="array" ref="U325">_xlfn.IFS(F325&lt;30000,"30k",F325&lt;=50000,"30k-50k",F325&lt;=75000,"50k-75k",F325&lt;=100000,"75k-100k",F325&gt;100000,"100k")</f>
        <v>30k-50k</v>
      </c>
      <c r="W325" s="1">
        <f t="shared" si="11"/>
        <v>12</v>
      </c>
    </row>
    <row r="326" spans="1:23" x14ac:dyDescent="0.35">
      <c r="A326">
        <v>323</v>
      </c>
      <c r="B326">
        <v>9750</v>
      </c>
      <c r="C326">
        <v>1961</v>
      </c>
      <c r="D326" s="1" t="s">
        <v>13</v>
      </c>
      <c r="E326" s="1" t="s">
        <v>16</v>
      </c>
      <c r="F326">
        <v>64325</v>
      </c>
      <c r="G326">
        <v>0</v>
      </c>
      <c r="H326" s="2">
        <v>1</v>
      </c>
      <c r="I326" s="2">
        <v>41312</v>
      </c>
      <c r="J326">
        <v>41</v>
      </c>
      <c r="K326">
        <f>VLOOKUP(B326,purchase_dataset!$B$2:$F$2241,2,FALSE)</f>
        <v>60</v>
      </c>
      <c r="L326">
        <f>VLOOKUP(B326,purchase_dataset!$B$2:$F$2241,3,FALSE)</f>
        <v>12</v>
      </c>
      <c r="M326">
        <f>VLOOKUP(B326,purchase_dataset!$B$2:$F$2241,3,FALSE)</f>
        <v>12</v>
      </c>
      <c r="N326">
        <f>VLOOKUP(B326,purchase_dataset!$B$2:$F$2241,5,FALSE)</f>
        <v>5</v>
      </c>
      <c r="O326" s="5">
        <v>65</v>
      </c>
      <c r="P326" s="4" t="str">
        <f t="shared" si="10"/>
        <v>&gt;50</v>
      </c>
      <c r="Q326" s="4">
        <f>M326+N326</f>
        <v>17</v>
      </c>
      <c r="U326" s="28" t="str" cm="1">
        <f t="array" ref="U326">_xlfn.IFS(F326&lt;30000,"30k",F326&lt;=50000,"30k-50k",F326&lt;=75000,"50k-75k",F326&lt;=100000,"75k-100k",F326&gt;100000,"100k")</f>
        <v>50k-75k</v>
      </c>
      <c r="W326" s="1">
        <f t="shared" si="11"/>
        <v>13</v>
      </c>
    </row>
    <row r="327" spans="1:23" x14ac:dyDescent="0.35">
      <c r="A327">
        <v>324</v>
      </c>
      <c r="B327">
        <v>2607</v>
      </c>
      <c r="C327">
        <v>1953</v>
      </c>
      <c r="D327" s="1" t="s">
        <v>10</v>
      </c>
      <c r="E327" s="1" t="s">
        <v>11</v>
      </c>
      <c r="F327">
        <v>40464</v>
      </c>
      <c r="G327">
        <v>0</v>
      </c>
      <c r="H327" s="2">
        <v>1</v>
      </c>
      <c r="I327" s="2">
        <v>41285</v>
      </c>
      <c r="J327">
        <v>78</v>
      </c>
      <c r="K327">
        <f>VLOOKUP(B327,purchase_dataset!$B$2:$F$2241,2,FALSE)</f>
        <v>17</v>
      </c>
      <c r="L327">
        <f>VLOOKUP(B327,purchase_dataset!$B$2:$F$2241,3,FALSE)</f>
        <v>23</v>
      </c>
      <c r="M327">
        <f>VLOOKUP(B327,purchase_dataset!$B$2:$F$2241,3,FALSE)</f>
        <v>23</v>
      </c>
      <c r="N327">
        <f>VLOOKUP(B327,purchase_dataset!$B$2:$F$2241,5,FALSE)</f>
        <v>8</v>
      </c>
      <c r="O327" s="5">
        <v>73</v>
      </c>
      <c r="P327" s="4" t="str">
        <f t="shared" si="10"/>
        <v>&gt;50</v>
      </c>
      <c r="Q327" s="4">
        <f>M327+N327</f>
        <v>31</v>
      </c>
      <c r="U327" s="28" t="str" cm="1">
        <f t="array" ref="U327">_xlfn.IFS(F327&lt;30000,"30k",F327&lt;=50000,"30k-50k",F327&lt;=75000,"50k-75k",F327&lt;=100000,"75k-100k",F327&gt;100000,"100k")</f>
        <v>30k-50k</v>
      </c>
      <c r="W327" s="1">
        <f t="shared" si="11"/>
        <v>13</v>
      </c>
    </row>
    <row r="328" spans="1:23" x14ac:dyDescent="0.35">
      <c r="A328">
        <v>325</v>
      </c>
      <c r="B328">
        <v>7214</v>
      </c>
      <c r="C328">
        <v>1957</v>
      </c>
      <c r="D328" s="1" t="s">
        <v>10</v>
      </c>
      <c r="E328" s="1" t="s">
        <v>14</v>
      </c>
      <c r="F328">
        <v>62187</v>
      </c>
      <c r="G328">
        <v>0</v>
      </c>
      <c r="H328" s="2">
        <v>0</v>
      </c>
      <c r="I328" s="2">
        <v>41460</v>
      </c>
      <c r="J328">
        <v>49</v>
      </c>
      <c r="K328">
        <f>VLOOKUP(B328,purchase_dataset!$B$2:$F$2241,2,FALSE)</f>
        <v>0</v>
      </c>
      <c r="L328">
        <f>VLOOKUP(B328,purchase_dataset!$B$2:$F$2241,3,FALSE)</f>
        <v>45</v>
      </c>
      <c r="M328">
        <f>VLOOKUP(B328,purchase_dataset!$B$2:$F$2241,3,FALSE)</f>
        <v>45</v>
      </c>
      <c r="N328">
        <f>VLOOKUP(B328,purchase_dataset!$B$2:$F$2241,5,FALSE)</f>
        <v>5</v>
      </c>
      <c r="O328" s="5">
        <v>69</v>
      </c>
      <c r="P328" s="4" t="str">
        <f t="shared" si="10"/>
        <v>&gt;50</v>
      </c>
      <c r="Q328" s="4">
        <f>M328+N328</f>
        <v>50</v>
      </c>
      <c r="U328" s="28" t="str" cm="1">
        <f t="array" ref="U328">_xlfn.IFS(F328&lt;30000,"30k",F328&lt;=50000,"30k-50k",F328&lt;=75000,"50k-75k",F328&lt;=100000,"75k-100k",F328&gt;100000,"100k")</f>
        <v>50k-75k</v>
      </c>
      <c r="W328" s="1">
        <f t="shared" si="11"/>
        <v>13</v>
      </c>
    </row>
    <row r="329" spans="1:23" x14ac:dyDescent="0.35">
      <c r="A329">
        <v>326</v>
      </c>
      <c r="B329">
        <v>5835</v>
      </c>
      <c r="C329">
        <v>1976</v>
      </c>
      <c r="D329" s="1" t="s">
        <v>13</v>
      </c>
      <c r="E329" s="1" t="s">
        <v>16</v>
      </c>
      <c r="F329">
        <v>14849</v>
      </c>
      <c r="G329">
        <v>1</v>
      </c>
      <c r="H329" s="2">
        <v>0</v>
      </c>
      <c r="I329" s="2">
        <v>41457</v>
      </c>
      <c r="J329">
        <v>39</v>
      </c>
      <c r="K329">
        <f>VLOOKUP(B329,purchase_dataset!$B$2:$F$2241,2,FALSE)</f>
        <v>2</v>
      </c>
      <c r="L329">
        <f>VLOOKUP(B329,purchase_dataset!$B$2:$F$2241,3,FALSE)</f>
        <v>2</v>
      </c>
      <c r="M329">
        <f>VLOOKUP(B329,purchase_dataset!$B$2:$F$2241,3,FALSE)</f>
        <v>2</v>
      </c>
      <c r="N329">
        <f>VLOOKUP(B329,purchase_dataset!$B$2:$F$2241,5,FALSE)</f>
        <v>4</v>
      </c>
      <c r="O329" s="5">
        <v>50</v>
      </c>
      <c r="P329" s="4" t="str">
        <f t="shared" si="10"/>
        <v>30-50</v>
      </c>
      <c r="Q329" s="4">
        <f>M329+N329</f>
        <v>6</v>
      </c>
      <c r="U329" s="28" t="str" cm="1">
        <f t="array" ref="U329">_xlfn.IFS(F329&lt;30000,"30k",F329&lt;=50000,"30k-50k",F329&lt;=75000,"50k-75k",F329&lt;=100000,"75k-100k",F329&gt;100000,"100k")</f>
        <v>30k</v>
      </c>
      <c r="W329" s="1">
        <f t="shared" si="11"/>
        <v>13</v>
      </c>
    </row>
    <row r="330" spans="1:23" x14ac:dyDescent="0.35">
      <c r="A330">
        <v>327</v>
      </c>
      <c r="B330">
        <v>3896</v>
      </c>
      <c r="C330">
        <v>1984</v>
      </c>
      <c r="D330" s="1" t="s">
        <v>10</v>
      </c>
      <c r="E330" s="1" t="s">
        <v>14</v>
      </c>
      <c r="F330">
        <v>27255</v>
      </c>
      <c r="G330">
        <v>1</v>
      </c>
      <c r="H330" s="2">
        <v>0</v>
      </c>
      <c r="I330" s="2">
        <v>41585</v>
      </c>
      <c r="J330">
        <v>3</v>
      </c>
      <c r="K330">
        <f>VLOOKUP(B330,purchase_dataset!$B$2:$F$2241,2,FALSE)</f>
        <v>1</v>
      </c>
      <c r="L330">
        <f>VLOOKUP(B330,purchase_dataset!$B$2:$F$2241,3,FALSE)</f>
        <v>1</v>
      </c>
      <c r="M330">
        <f>VLOOKUP(B330,purchase_dataset!$B$2:$F$2241,3,FALSE)</f>
        <v>1</v>
      </c>
      <c r="N330">
        <f>VLOOKUP(B330,purchase_dataset!$B$2:$F$2241,5,FALSE)</f>
        <v>3</v>
      </c>
      <c r="O330" s="5">
        <v>42</v>
      </c>
      <c r="P330" s="4" t="str">
        <f t="shared" si="10"/>
        <v>30-50</v>
      </c>
      <c r="Q330" s="4">
        <f>M330+N330</f>
        <v>4</v>
      </c>
      <c r="U330" s="28" t="str" cm="1">
        <f t="array" ref="U330">_xlfn.IFS(F330&lt;30000,"30k",F330&lt;=50000,"30k-50k",F330&lt;=75000,"50k-75k",F330&lt;=100000,"75k-100k",F330&gt;100000,"100k")</f>
        <v>30k</v>
      </c>
      <c r="W330" s="1">
        <f t="shared" si="11"/>
        <v>13</v>
      </c>
    </row>
    <row r="331" spans="1:23" x14ac:dyDescent="0.35">
      <c r="A331">
        <v>328</v>
      </c>
      <c r="B331">
        <v>10350</v>
      </c>
      <c r="C331">
        <v>1950</v>
      </c>
      <c r="D331" s="1" t="s">
        <v>13</v>
      </c>
      <c r="E331" s="1" t="s">
        <v>14</v>
      </c>
      <c r="F331">
        <v>54432</v>
      </c>
      <c r="G331">
        <v>2</v>
      </c>
      <c r="H331" s="2">
        <v>1</v>
      </c>
      <c r="I331" s="2">
        <v>41403</v>
      </c>
      <c r="J331">
        <v>37</v>
      </c>
      <c r="K331">
        <f>VLOOKUP(B331,purchase_dataset!$B$2:$F$2241,2,FALSE)</f>
        <v>0</v>
      </c>
      <c r="L331">
        <f>VLOOKUP(B331,purchase_dataset!$B$2:$F$2241,3,FALSE)</f>
        <v>0</v>
      </c>
      <c r="M331">
        <f>VLOOKUP(B331,purchase_dataset!$B$2:$F$2241,3,FALSE)</f>
        <v>0</v>
      </c>
      <c r="N331">
        <f>VLOOKUP(B331,purchase_dataset!$B$2:$F$2241,5,FALSE)</f>
        <v>3</v>
      </c>
      <c r="O331" s="5">
        <v>76</v>
      </c>
      <c r="P331" s="4" t="str">
        <f t="shared" si="10"/>
        <v>&gt;50</v>
      </c>
      <c r="Q331" s="4">
        <f>M331+N331</f>
        <v>3</v>
      </c>
      <c r="U331" s="28" t="str" cm="1">
        <f t="array" ref="U331">_xlfn.IFS(F331&lt;30000,"30k",F331&lt;=50000,"30k-50k",F331&lt;=75000,"50k-75k",F331&lt;=100000,"75k-100k",F331&gt;100000,"100k")</f>
        <v>50k-75k</v>
      </c>
      <c r="W331" s="1">
        <f t="shared" si="11"/>
        <v>13</v>
      </c>
    </row>
    <row r="332" spans="1:23" x14ac:dyDescent="0.35">
      <c r="A332">
        <v>329</v>
      </c>
      <c r="B332">
        <v>7786</v>
      </c>
      <c r="C332">
        <v>1986</v>
      </c>
      <c r="D332" s="1" t="s">
        <v>13</v>
      </c>
      <c r="E332" s="1" t="s">
        <v>11</v>
      </c>
      <c r="F332">
        <v>29999</v>
      </c>
      <c r="G332">
        <v>1</v>
      </c>
      <c r="H332" s="2">
        <v>0</v>
      </c>
      <c r="I332" s="2">
        <v>41318</v>
      </c>
      <c r="J332">
        <v>22</v>
      </c>
      <c r="K332">
        <f>VLOOKUP(B332,purchase_dataset!$B$2:$F$2241,2,FALSE)</f>
        <v>7</v>
      </c>
      <c r="L332">
        <f>VLOOKUP(B332,purchase_dataset!$B$2:$F$2241,3,FALSE)</f>
        <v>5</v>
      </c>
      <c r="M332">
        <f>VLOOKUP(B332,purchase_dataset!$B$2:$F$2241,3,FALSE)</f>
        <v>5</v>
      </c>
      <c r="N332">
        <f>VLOOKUP(B332,purchase_dataset!$B$2:$F$2241,5,FALSE)</f>
        <v>4</v>
      </c>
      <c r="O332" s="5">
        <v>40</v>
      </c>
      <c r="P332" s="4" t="str">
        <f t="shared" si="10"/>
        <v>30-50</v>
      </c>
      <c r="Q332" s="4">
        <f>M332+N332</f>
        <v>9</v>
      </c>
      <c r="U332" s="28" t="str" cm="1">
        <f t="array" ref="U332">_xlfn.IFS(F332&lt;30000,"30k",F332&lt;=50000,"30k-50k",F332&lt;=75000,"50k-75k",F332&lt;=100000,"75k-100k",F332&gt;100000,"100k")</f>
        <v>30k</v>
      </c>
      <c r="W332" s="1">
        <f t="shared" si="11"/>
        <v>13</v>
      </c>
    </row>
    <row r="333" spans="1:23" x14ac:dyDescent="0.35">
      <c r="A333">
        <v>330</v>
      </c>
      <c r="B333">
        <v>2861</v>
      </c>
      <c r="C333">
        <v>1983</v>
      </c>
      <c r="D333" s="1" t="s">
        <v>10</v>
      </c>
      <c r="E333" s="1" t="s">
        <v>11</v>
      </c>
      <c r="F333">
        <v>24072</v>
      </c>
      <c r="G333">
        <v>1</v>
      </c>
      <c r="H333" s="2">
        <v>0</v>
      </c>
      <c r="I333" s="2">
        <v>41380</v>
      </c>
      <c r="J333">
        <v>79</v>
      </c>
      <c r="K333">
        <f>VLOOKUP(B333,purchase_dataset!$B$2:$F$2241,2,FALSE)</f>
        <v>1</v>
      </c>
      <c r="L333">
        <f>VLOOKUP(B333,purchase_dataset!$B$2:$F$2241,3,FALSE)</f>
        <v>0</v>
      </c>
      <c r="M333">
        <f>VLOOKUP(B333,purchase_dataset!$B$2:$F$2241,3,FALSE)</f>
        <v>0</v>
      </c>
      <c r="N333">
        <f>VLOOKUP(B333,purchase_dataset!$B$2:$F$2241,5,FALSE)</f>
        <v>2</v>
      </c>
      <c r="O333" s="5">
        <v>43</v>
      </c>
      <c r="P333" s="4" t="str">
        <f t="shared" si="10"/>
        <v>30-50</v>
      </c>
      <c r="Q333" s="4">
        <f>M333+N333</f>
        <v>2</v>
      </c>
      <c r="U333" s="28" t="str" cm="1">
        <f t="array" ref="U333">_xlfn.IFS(F333&lt;30000,"30k",F333&lt;=50000,"30k-50k",F333&lt;=75000,"50k-75k",F333&lt;=100000,"75k-100k",F333&gt;100000,"100k")</f>
        <v>30k</v>
      </c>
      <c r="W333" s="1">
        <f t="shared" si="11"/>
        <v>13</v>
      </c>
    </row>
    <row r="334" spans="1:23" x14ac:dyDescent="0.35">
      <c r="A334">
        <v>331</v>
      </c>
      <c r="B334">
        <v>663</v>
      </c>
      <c r="C334">
        <v>1989</v>
      </c>
      <c r="D334" s="1" t="s">
        <v>13</v>
      </c>
      <c r="E334" s="1" t="s">
        <v>11</v>
      </c>
      <c r="F334">
        <v>33996</v>
      </c>
      <c r="G334">
        <v>0</v>
      </c>
      <c r="H334" s="2">
        <v>0</v>
      </c>
      <c r="I334" s="2">
        <v>41528</v>
      </c>
      <c r="J334">
        <v>46</v>
      </c>
      <c r="K334">
        <f>VLOOKUP(B334,purchase_dataset!$B$2:$F$2241,2,FALSE)</f>
        <v>2</v>
      </c>
      <c r="L334">
        <f>VLOOKUP(B334,purchase_dataset!$B$2:$F$2241,3,FALSE)</f>
        <v>0</v>
      </c>
      <c r="M334">
        <f>VLOOKUP(B334,purchase_dataset!$B$2:$F$2241,3,FALSE)</f>
        <v>0</v>
      </c>
      <c r="N334">
        <f>VLOOKUP(B334,purchase_dataset!$B$2:$F$2241,5,FALSE)</f>
        <v>3</v>
      </c>
      <c r="O334" s="5">
        <v>37</v>
      </c>
      <c r="P334" s="4" t="str">
        <f t="shared" si="10"/>
        <v>30-50</v>
      </c>
      <c r="Q334" s="4">
        <f>M334+N334</f>
        <v>3</v>
      </c>
      <c r="U334" s="28" t="str" cm="1">
        <f t="array" ref="U334">_xlfn.IFS(F334&lt;30000,"30k",F334&lt;=50000,"30k-50k",F334&lt;=75000,"50k-75k",F334&lt;=100000,"75k-100k",F334&gt;100000,"100k")</f>
        <v>30k-50k</v>
      </c>
      <c r="W334" s="1">
        <f t="shared" si="11"/>
        <v>13</v>
      </c>
    </row>
    <row r="335" spans="1:23" x14ac:dyDescent="0.35">
      <c r="A335">
        <v>332</v>
      </c>
      <c r="B335">
        <v>10675</v>
      </c>
      <c r="C335">
        <v>1956</v>
      </c>
      <c r="D335" s="1" t="s">
        <v>13</v>
      </c>
      <c r="E335" s="1" t="s">
        <v>14</v>
      </c>
      <c r="F335">
        <v>66334</v>
      </c>
      <c r="G335">
        <v>0</v>
      </c>
      <c r="H335" s="2">
        <v>1</v>
      </c>
      <c r="I335" s="2">
        <v>41367</v>
      </c>
      <c r="J335">
        <v>82</v>
      </c>
      <c r="K335">
        <f>VLOOKUP(B335,purchase_dataset!$B$2:$F$2241,2,FALSE)</f>
        <v>11</v>
      </c>
      <c r="L335">
        <f>VLOOKUP(B335,purchase_dataset!$B$2:$F$2241,3,FALSE)</f>
        <v>0</v>
      </c>
      <c r="M335">
        <f>VLOOKUP(B335,purchase_dataset!$B$2:$F$2241,3,FALSE)</f>
        <v>0</v>
      </c>
      <c r="N335">
        <f>VLOOKUP(B335,purchase_dataset!$B$2:$F$2241,5,FALSE)</f>
        <v>5</v>
      </c>
      <c r="O335" s="5">
        <v>70</v>
      </c>
      <c r="P335" s="4" t="str">
        <f t="shared" si="10"/>
        <v>&gt;50</v>
      </c>
      <c r="Q335" s="4">
        <f>M335+N335</f>
        <v>5</v>
      </c>
      <c r="U335" s="28" t="str" cm="1">
        <f t="array" ref="U335">_xlfn.IFS(F335&lt;30000,"30k",F335&lt;=50000,"30k-50k",F335&lt;=75000,"50k-75k",F335&lt;=100000,"75k-100k",F335&gt;100000,"100k")</f>
        <v>50k-75k</v>
      </c>
      <c r="W335" s="1">
        <f t="shared" si="11"/>
        <v>13</v>
      </c>
    </row>
    <row r="336" spans="1:23" x14ac:dyDescent="0.35">
      <c r="A336">
        <v>333</v>
      </c>
      <c r="B336">
        <v>2521</v>
      </c>
      <c r="C336">
        <v>1971</v>
      </c>
      <c r="D336" s="1" t="s">
        <v>15</v>
      </c>
      <c r="E336" s="1" t="s">
        <v>14</v>
      </c>
      <c r="F336">
        <v>35178</v>
      </c>
      <c r="G336">
        <v>1</v>
      </c>
      <c r="H336" s="2">
        <v>0</v>
      </c>
      <c r="I336" s="2">
        <v>41284</v>
      </c>
      <c r="J336">
        <v>10</v>
      </c>
      <c r="K336">
        <f>VLOOKUP(B336,purchase_dataset!$B$2:$F$2241,2,FALSE)</f>
        <v>1</v>
      </c>
      <c r="L336">
        <f>VLOOKUP(B336,purchase_dataset!$B$2:$F$2241,3,FALSE)</f>
        <v>2</v>
      </c>
      <c r="M336">
        <f>VLOOKUP(B336,purchase_dataset!$B$2:$F$2241,3,FALSE)</f>
        <v>2</v>
      </c>
      <c r="N336">
        <f>VLOOKUP(B336,purchase_dataset!$B$2:$F$2241,5,FALSE)</f>
        <v>2</v>
      </c>
      <c r="O336" s="5">
        <v>55</v>
      </c>
      <c r="P336" s="4" t="str">
        <f t="shared" si="10"/>
        <v>&gt;50</v>
      </c>
      <c r="Q336" s="4">
        <f>M336+N336</f>
        <v>4</v>
      </c>
      <c r="U336" s="28" t="str" cm="1">
        <f t="array" ref="U336">_xlfn.IFS(F336&lt;30000,"30k",F336&lt;=50000,"30k-50k",F336&lt;=75000,"50k-75k",F336&lt;=100000,"75k-100k",F336&gt;100000,"100k")</f>
        <v>30k-50k</v>
      </c>
      <c r="W336" s="1">
        <f t="shared" si="11"/>
        <v>13</v>
      </c>
    </row>
    <row r="337" spans="1:23" x14ac:dyDescent="0.35">
      <c r="A337">
        <v>334</v>
      </c>
      <c r="B337">
        <v>9592</v>
      </c>
      <c r="C337">
        <v>1983</v>
      </c>
      <c r="D337" s="1" t="s">
        <v>10</v>
      </c>
      <c r="E337" s="1" t="s">
        <v>12</v>
      </c>
      <c r="F337">
        <v>22010</v>
      </c>
      <c r="G337">
        <v>1</v>
      </c>
      <c r="H337" s="2">
        <v>0</v>
      </c>
      <c r="I337" s="2">
        <v>41455</v>
      </c>
      <c r="J337">
        <v>51</v>
      </c>
      <c r="K337">
        <f>VLOOKUP(B337,purchase_dataset!$B$2:$F$2241,2,FALSE)</f>
        <v>2</v>
      </c>
      <c r="L337">
        <f>VLOOKUP(B337,purchase_dataset!$B$2:$F$2241,3,FALSE)</f>
        <v>0</v>
      </c>
      <c r="M337">
        <f>VLOOKUP(B337,purchase_dataset!$B$2:$F$2241,3,FALSE)</f>
        <v>0</v>
      </c>
      <c r="N337">
        <f>VLOOKUP(B337,purchase_dataset!$B$2:$F$2241,5,FALSE)</f>
        <v>3</v>
      </c>
      <c r="O337" s="5">
        <v>43</v>
      </c>
      <c r="P337" s="4" t="str">
        <f t="shared" si="10"/>
        <v>30-50</v>
      </c>
      <c r="Q337" s="4">
        <f>M337+N337</f>
        <v>3</v>
      </c>
      <c r="U337" s="28" t="str" cm="1">
        <f t="array" ref="U337">_xlfn.IFS(F337&lt;30000,"30k",F337&lt;=50000,"30k-50k",F337&lt;=75000,"50k-75k",F337&lt;=100000,"75k-100k",F337&gt;100000,"100k")</f>
        <v>30k</v>
      </c>
      <c r="W337" s="1">
        <f t="shared" si="11"/>
        <v>13</v>
      </c>
    </row>
    <row r="338" spans="1:23" x14ac:dyDescent="0.35">
      <c r="A338">
        <v>335</v>
      </c>
      <c r="B338">
        <v>10151</v>
      </c>
      <c r="C338">
        <v>1960</v>
      </c>
      <c r="D338" s="1" t="s">
        <v>10</v>
      </c>
      <c r="E338" s="1" t="s">
        <v>16</v>
      </c>
      <c r="F338">
        <v>62204</v>
      </c>
      <c r="G338">
        <v>0</v>
      </c>
      <c r="H338" s="2">
        <v>2</v>
      </c>
      <c r="I338" s="2">
        <v>41164</v>
      </c>
      <c r="J338">
        <v>38</v>
      </c>
      <c r="K338">
        <f>VLOOKUP(B338,purchase_dataset!$B$2:$F$2241,2,FALSE)</f>
        <v>46</v>
      </c>
      <c r="L338">
        <f>VLOOKUP(B338,purchase_dataset!$B$2:$F$2241,3,FALSE)</f>
        <v>46</v>
      </c>
      <c r="M338">
        <f>VLOOKUP(B338,purchase_dataset!$B$2:$F$2241,3,FALSE)</f>
        <v>46</v>
      </c>
      <c r="N338">
        <f>VLOOKUP(B338,purchase_dataset!$B$2:$F$2241,5,FALSE)</f>
        <v>12</v>
      </c>
      <c r="O338" s="5">
        <v>66</v>
      </c>
      <c r="P338" s="4" t="str">
        <f t="shared" si="10"/>
        <v>&gt;50</v>
      </c>
      <c r="Q338" s="4">
        <f>M338+N338</f>
        <v>58</v>
      </c>
      <c r="U338" s="28" t="str" cm="1">
        <f t="array" ref="U338">_xlfn.IFS(F338&lt;30000,"30k",F338&lt;=50000,"30k-50k",F338&lt;=75000,"50k-75k",F338&lt;=100000,"75k-100k",F338&gt;100000,"100k")</f>
        <v>50k-75k</v>
      </c>
      <c r="W338" s="1">
        <f t="shared" si="11"/>
        <v>14</v>
      </c>
    </row>
    <row r="339" spans="1:23" x14ac:dyDescent="0.35">
      <c r="A339">
        <v>336</v>
      </c>
      <c r="B339">
        <v>7381</v>
      </c>
      <c r="C339">
        <v>1968</v>
      </c>
      <c r="D339" s="1" t="s">
        <v>10</v>
      </c>
      <c r="E339" s="1" t="s">
        <v>16</v>
      </c>
      <c r="F339">
        <v>75693</v>
      </c>
      <c r="G339">
        <v>0</v>
      </c>
      <c r="H339" s="2">
        <v>0</v>
      </c>
      <c r="I339" s="2">
        <v>41249</v>
      </c>
      <c r="J339">
        <v>10</v>
      </c>
      <c r="K339">
        <f>VLOOKUP(B339,purchase_dataset!$B$2:$F$2241,2,FALSE)</f>
        <v>153</v>
      </c>
      <c r="L339">
        <f>VLOOKUP(B339,purchase_dataset!$B$2:$F$2241,3,FALSE)</f>
        <v>97</v>
      </c>
      <c r="M339">
        <f>VLOOKUP(B339,purchase_dataset!$B$2:$F$2241,3,FALSE)</f>
        <v>97</v>
      </c>
      <c r="N339">
        <f>VLOOKUP(B339,purchase_dataset!$B$2:$F$2241,5,FALSE)</f>
        <v>6</v>
      </c>
      <c r="O339" s="5">
        <v>58</v>
      </c>
      <c r="P339" s="4" t="str">
        <f t="shared" si="10"/>
        <v>&gt;50</v>
      </c>
      <c r="Q339" s="4">
        <f>M339+N339</f>
        <v>103</v>
      </c>
      <c r="U339" s="28" t="str" cm="1">
        <f t="array" ref="U339">_xlfn.IFS(F339&lt;30000,"30k",F339&lt;=50000,"30k-50k",F339&lt;=75000,"50k-75k",F339&lt;=100000,"75k-100k",F339&gt;100000,"100k")</f>
        <v>75k-100k</v>
      </c>
      <c r="W339" s="1">
        <f t="shared" si="11"/>
        <v>14</v>
      </c>
    </row>
    <row r="340" spans="1:23" x14ac:dyDescent="0.35">
      <c r="A340">
        <v>337</v>
      </c>
      <c r="B340">
        <v>4099</v>
      </c>
      <c r="C340">
        <v>1972</v>
      </c>
      <c r="D340" s="1" t="s">
        <v>10</v>
      </c>
      <c r="E340" s="1" t="s">
        <v>14</v>
      </c>
      <c r="F340">
        <v>30675</v>
      </c>
      <c r="G340">
        <v>1</v>
      </c>
      <c r="H340" s="2">
        <v>0</v>
      </c>
      <c r="I340" s="2">
        <v>41225</v>
      </c>
      <c r="J340">
        <v>14</v>
      </c>
      <c r="K340">
        <f>VLOOKUP(B340,purchase_dataset!$B$2:$F$2241,2,FALSE)</f>
        <v>2</v>
      </c>
      <c r="L340">
        <f>VLOOKUP(B340,purchase_dataset!$B$2:$F$2241,3,FALSE)</f>
        <v>2</v>
      </c>
      <c r="M340">
        <f>VLOOKUP(B340,purchase_dataset!$B$2:$F$2241,3,FALSE)</f>
        <v>2</v>
      </c>
      <c r="N340">
        <f>VLOOKUP(B340,purchase_dataset!$B$2:$F$2241,5,FALSE)</f>
        <v>3</v>
      </c>
      <c r="O340" s="5">
        <v>54</v>
      </c>
      <c r="P340" s="4" t="str">
        <f t="shared" si="10"/>
        <v>&gt;50</v>
      </c>
      <c r="Q340" s="4">
        <f>M340+N340</f>
        <v>5</v>
      </c>
      <c r="U340" s="28" t="str" cm="1">
        <f t="array" ref="U340">_xlfn.IFS(F340&lt;30000,"30k",F340&lt;=50000,"30k-50k",F340&lt;=75000,"50k-75k",F340&lt;=100000,"75k-100k",F340&gt;100000,"100k")</f>
        <v>30k-50k</v>
      </c>
      <c r="W340" s="1">
        <f t="shared" si="11"/>
        <v>14</v>
      </c>
    </row>
    <row r="341" spans="1:23" x14ac:dyDescent="0.35">
      <c r="A341">
        <v>338</v>
      </c>
      <c r="B341">
        <v>9560</v>
      </c>
      <c r="C341">
        <v>1965</v>
      </c>
      <c r="D341" s="1" t="s">
        <v>10</v>
      </c>
      <c r="E341" s="1" t="s">
        <v>12</v>
      </c>
      <c r="F341">
        <v>83003</v>
      </c>
      <c r="G341">
        <v>0</v>
      </c>
      <c r="H341" s="2">
        <v>0</v>
      </c>
      <c r="I341" s="2">
        <v>41336</v>
      </c>
      <c r="J341">
        <v>18</v>
      </c>
      <c r="K341">
        <f>VLOOKUP(B341,purchase_dataset!$B$2:$F$2241,2,FALSE)</f>
        <v>61</v>
      </c>
      <c r="L341">
        <f>VLOOKUP(B341,purchase_dataset!$B$2:$F$2241,3,FALSE)</f>
        <v>25</v>
      </c>
      <c r="M341">
        <f>VLOOKUP(B341,purchase_dataset!$B$2:$F$2241,3,FALSE)</f>
        <v>25</v>
      </c>
      <c r="N341">
        <f>VLOOKUP(B341,purchase_dataset!$B$2:$F$2241,5,FALSE)</f>
        <v>8</v>
      </c>
      <c r="O341" s="5">
        <v>61</v>
      </c>
      <c r="P341" s="4" t="str">
        <f t="shared" si="10"/>
        <v>&gt;50</v>
      </c>
      <c r="Q341" s="4">
        <f>M341+N341</f>
        <v>33</v>
      </c>
      <c r="U341" s="28" t="str" cm="1">
        <f t="array" ref="U341">_xlfn.IFS(F341&lt;30000,"30k",F341&lt;=50000,"30k-50k",F341&lt;=75000,"50k-75k",F341&lt;=100000,"75k-100k",F341&gt;100000,"100k")</f>
        <v>75k-100k</v>
      </c>
      <c r="W341" s="1">
        <f t="shared" si="11"/>
        <v>13</v>
      </c>
    </row>
    <row r="342" spans="1:23" x14ac:dyDescent="0.35">
      <c r="A342">
        <v>339</v>
      </c>
      <c r="B342">
        <v>1150</v>
      </c>
      <c r="C342">
        <v>1899</v>
      </c>
      <c r="D342" s="1" t="s">
        <v>13</v>
      </c>
      <c r="E342" s="1" t="s">
        <v>12</v>
      </c>
      <c r="F342">
        <v>83532</v>
      </c>
      <c r="G342">
        <v>0</v>
      </c>
      <c r="H342" s="2">
        <v>0</v>
      </c>
      <c r="I342" s="2">
        <v>41543</v>
      </c>
      <c r="J342">
        <v>36</v>
      </c>
      <c r="K342">
        <f>VLOOKUP(B342,purchase_dataset!$B$2:$F$2241,2,FALSE)</f>
        <v>144</v>
      </c>
      <c r="L342">
        <f>VLOOKUP(B342,purchase_dataset!$B$2:$F$2241,3,FALSE)</f>
        <v>64</v>
      </c>
      <c r="M342">
        <f>VLOOKUP(B342,purchase_dataset!$B$2:$F$2241,3,FALSE)</f>
        <v>64</v>
      </c>
      <c r="N342">
        <f>VLOOKUP(B342,purchase_dataset!$B$2:$F$2241,5,FALSE)</f>
        <v>4</v>
      </c>
      <c r="O342" s="5">
        <v>127</v>
      </c>
      <c r="P342" s="4" t="str">
        <f t="shared" si="10"/>
        <v>&gt;50</v>
      </c>
      <c r="Q342" s="4">
        <f>M342+N342</f>
        <v>68</v>
      </c>
      <c r="U342" s="28" t="str" cm="1">
        <f t="array" ref="U342">_xlfn.IFS(F342&lt;30000,"30k",F342&lt;=50000,"30k-50k",F342&lt;=75000,"50k-75k",F342&lt;=100000,"75k-100k",F342&gt;100000,"100k")</f>
        <v>75k-100k</v>
      </c>
      <c r="W342" s="1">
        <f t="shared" si="11"/>
        <v>13</v>
      </c>
    </row>
    <row r="343" spans="1:23" x14ac:dyDescent="0.35">
      <c r="A343">
        <v>340</v>
      </c>
      <c r="B343">
        <v>10172</v>
      </c>
      <c r="C343">
        <v>1988</v>
      </c>
      <c r="D343" s="1" t="s">
        <v>10</v>
      </c>
      <c r="E343" s="1" t="s">
        <v>11</v>
      </c>
      <c r="F343">
        <v>68655</v>
      </c>
      <c r="G343">
        <v>0</v>
      </c>
      <c r="H343" s="2">
        <v>0</v>
      </c>
      <c r="I343" s="2">
        <v>41131</v>
      </c>
      <c r="J343">
        <v>95</v>
      </c>
      <c r="K343">
        <f>VLOOKUP(B343,purchase_dataset!$B$2:$F$2241,2,FALSE)</f>
        <v>19</v>
      </c>
      <c r="L343">
        <f>VLOOKUP(B343,purchase_dataset!$B$2:$F$2241,3,FALSE)</f>
        <v>118</v>
      </c>
      <c r="M343">
        <f>VLOOKUP(B343,purchase_dataset!$B$2:$F$2241,3,FALSE)</f>
        <v>118</v>
      </c>
      <c r="N343">
        <f>VLOOKUP(B343,purchase_dataset!$B$2:$F$2241,5,FALSE)</f>
        <v>11</v>
      </c>
      <c r="O343" s="5">
        <v>38</v>
      </c>
      <c r="P343" s="4" t="str">
        <f t="shared" si="10"/>
        <v>30-50</v>
      </c>
      <c r="Q343" s="4">
        <f>M343+N343</f>
        <v>129</v>
      </c>
      <c r="U343" s="28" t="str" cm="1">
        <f t="array" ref="U343">_xlfn.IFS(F343&lt;30000,"30k",F343&lt;=50000,"30k-50k",F343&lt;=75000,"50k-75k",F343&lt;=100000,"75k-100k",F343&gt;100000,"100k")</f>
        <v>50k-75k</v>
      </c>
      <c r="W343" s="1">
        <f t="shared" si="11"/>
        <v>14</v>
      </c>
    </row>
    <row r="344" spans="1:23" x14ac:dyDescent="0.35">
      <c r="A344">
        <v>341</v>
      </c>
      <c r="B344">
        <v>11191</v>
      </c>
      <c r="C344">
        <v>1986</v>
      </c>
      <c r="D344" s="1" t="s">
        <v>10</v>
      </c>
      <c r="E344" s="1" t="s">
        <v>16</v>
      </c>
      <c r="F344">
        <v>41411</v>
      </c>
      <c r="G344">
        <v>0</v>
      </c>
      <c r="H344" s="2">
        <v>0</v>
      </c>
      <c r="I344" s="2">
        <v>41615</v>
      </c>
      <c r="J344">
        <v>11</v>
      </c>
      <c r="K344">
        <f>VLOOKUP(B344,purchase_dataset!$B$2:$F$2241,2,FALSE)</f>
        <v>32</v>
      </c>
      <c r="L344">
        <f>VLOOKUP(B344,purchase_dataset!$B$2:$F$2241,3,FALSE)</f>
        <v>3</v>
      </c>
      <c r="M344">
        <f>VLOOKUP(B344,purchase_dataset!$B$2:$F$2241,3,FALSE)</f>
        <v>3</v>
      </c>
      <c r="N344">
        <f>VLOOKUP(B344,purchase_dataset!$B$2:$F$2241,5,FALSE)</f>
        <v>4</v>
      </c>
      <c r="O344" s="5">
        <v>40</v>
      </c>
      <c r="P344" s="4" t="str">
        <f t="shared" si="10"/>
        <v>30-50</v>
      </c>
      <c r="Q344" s="4">
        <f>M344+N344</f>
        <v>7</v>
      </c>
      <c r="U344" s="28" t="str" cm="1">
        <f t="array" ref="U344">_xlfn.IFS(F344&lt;30000,"30k",F344&lt;=50000,"30k-50k",F344&lt;=75000,"50k-75k",F344&lt;=100000,"75k-100k",F344&gt;100000,"100k")</f>
        <v>30k-50k</v>
      </c>
      <c r="W344" s="1">
        <f t="shared" si="11"/>
        <v>13</v>
      </c>
    </row>
    <row r="345" spans="1:23" x14ac:dyDescent="0.35">
      <c r="A345">
        <v>342</v>
      </c>
      <c r="B345">
        <v>9707</v>
      </c>
      <c r="C345">
        <v>1969</v>
      </c>
      <c r="D345" s="1" t="s">
        <v>13</v>
      </c>
      <c r="E345" s="1" t="s">
        <v>14</v>
      </c>
      <c r="F345">
        <v>55212</v>
      </c>
      <c r="G345">
        <v>0</v>
      </c>
      <c r="H345" s="2">
        <v>1</v>
      </c>
      <c r="I345" s="2">
        <v>41236</v>
      </c>
      <c r="J345">
        <v>65</v>
      </c>
      <c r="K345">
        <f>VLOOKUP(B345,purchase_dataset!$B$2:$F$2241,2,FALSE)</f>
        <v>0</v>
      </c>
      <c r="L345">
        <f>VLOOKUP(B345,purchase_dataset!$B$2:$F$2241,3,FALSE)</f>
        <v>0</v>
      </c>
      <c r="M345">
        <f>VLOOKUP(B345,purchase_dataset!$B$2:$F$2241,3,FALSE)</f>
        <v>0</v>
      </c>
      <c r="N345">
        <f>VLOOKUP(B345,purchase_dataset!$B$2:$F$2241,5,FALSE)</f>
        <v>11</v>
      </c>
      <c r="O345" s="5">
        <v>57</v>
      </c>
      <c r="P345" s="4" t="str">
        <f t="shared" si="10"/>
        <v>&gt;50</v>
      </c>
      <c r="Q345" s="4">
        <f>M345+N345</f>
        <v>11</v>
      </c>
      <c r="U345" s="28" t="str" cm="1">
        <f t="array" ref="U345">_xlfn.IFS(F345&lt;30000,"30k",F345&lt;=50000,"30k-50k",F345&lt;=75000,"50k-75k",F345&lt;=100000,"75k-100k",F345&gt;100000,"100k")</f>
        <v>50k-75k</v>
      </c>
      <c r="W345" s="1">
        <f t="shared" si="11"/>
        <v>14</v>
      </c>
    </row>
    <row r="346" spans="1:23" x14ac:dyDescent="0.35">
      <c r="A346">
        <v>343</v>
      </c>
      <c r="B346">
        <v>6245</v>
      </c>
      <c r="C346">
        <v>1950</v>
      </c>
      <c r="D346" s="1" t="s">
        <v>13</v>
      </c>
      <c r="E346" s="1" t="s">
        <v>12</v>
      </c>
      <c r="F346">
        <v>59292</v>
      </c>
      <c r="G346">
        <v>0</v>
      </c>
      <c r="H346" s="2">
        <v>1</v>
      </c>
      <c r="I346" s="2">
        <v>41438</v>
      </c>
      <c r="J346">
        <v>71</v>
      </c>
      <c r="K346">
        <f>VLOOKUP(B346,purchase_dataset!$B$2:$F$2241,2,FALSE)</f>
        <v>14</v>
      </c>
      <c r="L346">
        <f>VLOOKUP(B346,purchase_dataset!$B$2:$F$2241,3,FALSE)</f>
        <v>14</v>
      </c>
      <c r="M346">
        <f>VLOOKUP(B346,purchase_dataset!$B$2:$F$2241,3,FALSE)</f>
        <v>14</v>
      </c>
      <c r="N346">
        <f>VLOOKUP(B346,purchase_dataset!$B$2:$F$2241,5,FALSE)</f>
        <v>8</v>
      </c>
      <c r="O346" s="5">
        <v>76</v>
      </c>
      <c r="P346" s="4" t="str">
        <f t="shared" si="10"/>
        <v>&gt;50</v>
      </c>
      <c r="Q346" s="4">
        <f>M346+N346</f>
        <v>22</v>
      </c>
      <c r="U346" s="28" t="str" cm="1">
        <f t="array" ref="U346">_xlfn.IFS(F346&lt;30000,"30k",F346&lt;=50000,"30k-50k",F346&lt;=75000,"50k-75k",F346&lt;=100000,"75k-100k",F346&gt;100000,"100k")</f>
        <v>50k-75k</v>
      </c>
      <c r="W346" s="1">
        <f t="shared" si="11"/>
        <v>13</v>
      </c>
    </row>
    <row r="347" spans="1:23" x14ac:dyDescent="0.35">
      <c r="A347">
        <v>344</v>
      </c>
      <c r="B347">
        <v>8234</v>
      </c>
      <c r="C347">
        <v>1973</v>
      </c>
      <c r="D347" s="1" t="s">
        <v>17</v>
      </c>
      <c r="E347" s="1" t="s">
        <v>12</v>
      </c>
      <c r="F347">
        <v>27190</v>
      </c>
      <c r="G347">
        <v>1</v>
      </c>
      <c r="H347" s="2">
        <v>0</v>
      </c>
      <c r="I347" s="2">
        <v>41501</v>
      </c>
      <c r="J347">
        <v>13</v>
      </c>
      <c r="K347">
        <f>VLOOKUP(B347,purchase_dataset!$B$2:$F$2241,2,FALSE)</f>
        <v>6</v>
      </c>
      <c r="L347">
        <f>VLOOKUP(B347,purchase_dataset!$B$2:$F$2241,3,FALSE)</f>
        <v>1</v>
      </c>
      <c r="M347">
        <f>VLOOKUP(B347,purchase_dataset!$B$2:$F$2241,3,FALSE)</f>
        <v>1</v>
      </c>
      <c r="N347">
        <f>VLOOKUP(B347,purchase_dataset!$B$2:$F$2241,5,FALSE)</f>
        <v>2</v>
      </c>
      <c r="O347" s="5">
        <v>53</v>
      </c>
      <c r="P347" s="4" t="str">
        <f t="shared" si="10"/>
        <v>&gt;50</v>
      </c>
      <c r="Q347" s="4">
        <f>M347+N347</f>
        <v>3</v>
      </c>
      <c r="U347" s="28" t="str" cm="1">
        <f t="array" ref="U347">_xlfn.IFS(F347&lt;30000,"30k",F347&lt;=50000,"30k-50k",F347&lt;=75000,"50k-75k",F347&lt;=100000,"75k-100k",F347&gt;100000,"100k")</f>
        <v>30k</v>
      </c>
      <c r="W347" s="1">
        <f t="shared" si="11"/>
        <v>13</v>
      </c>
    </row>
    <row r="348" spans="1:23" x14ac:dyDescent="0.35">
      <c r="A348">
        <v>345</v>
      </c>
      <c r="B348">
        <v>1411</v>
      </c>
      <c r="C348">
        <v>1952</v>
      </c>
      <c r="D348" s="1" t="s">
        <v>10</v>
      </c>
      <c r="E348" s="1" t="s">
        <v>16</v>
      </c>
      <c r="F348">
        <v>82623</v>
      </c>
      <c r="G348">
        <v>0</v>
      </c>
      <c r="H348" s="2">
        <v>0</v>
      </c>
      <c r="I348" s="2">
        <v>41588</v>
      </c>
      <c r="J348">
        <v>58</v>
      </c>
      <c r="K348">
        <f>VLOOKUP(B348,purchase_dataset!$B$2:$F$2241,2,FALSE)</f>
        <v>34</v>
      </c>
      <c r="L348">
        <f>VLOOKUP(B348,purchase_dataset!$B$2:$F$2241,3,FALSE)</f>
        <v>153</v>
      </c>
      <c r="M348">
        <f>VLOOKUP(B348,purchase_dataset!$B$2:$F$2241,3,FALSE)</f>
        <v>153</v>
      </c>
      <c r="N348">
        <f>VLOOKUP(B348,purchase_dataset!$B$2:$F$2241,5,FALSE)</f>
        <v>4</v>
      </c>
      <c r="O348" s="5">
        <v>74</v>
      </c>
      <c r="P348" s="4" t="str">
        <f t="shared" si="10"/>
        <v>&gt;50</v>
      </c>
      <c r="Q348" s="4">
        <f>M348+N348</f>
        <v>157</v>
      </c>
      <c r="U348" s="28" t="str" cm="1">
        <f t="array" ref="U348">_xlfn.IFS(F348&lt;30000,"30k",F348&lt;=50000,"30k-50k",F348&lt;=75000,"50k-75k",F348&lt;=100000,"75k-100k",F348&gt;100000,"100k")</f>
        <v>75k-100k</v>
      </c>
      <c r="W348" s="1">
        <f t="shared" si="11"/>
        <v>13</v>
      </c>
    </row>
    <row r="349" spans="1:23" x14ac:dyDescent="0.35">
      <c r="A349">
        <v>346</v>
      </c>
      <c r="B349">
        <v>8553</v>
      </c>
      <c r="C349">
        <v>1965</v>
      </c>
      <c r="D349" s="1" t="s">
        <v>10</v>
      </c>
      <c r="E349" s="1" t="s">
        <v>14</v>
      </c>
      <c r="F349">
        <v>44300</v>
      </c>
      <c r="G349">
        <v>1</v>
      </c>
      <c r="H349" s="2">
        <v>1</v>
      </c>
      <c r="I349" s="2">
        <v>41448</v>
      </c>
      <c r="J349">
        <v>65</v>
      </c>
      <c r="K349">
        <f>VLOOKUP(B349,purchase_dataset!$B$2:$F$2241,2,FALSE)</f>
        <v>0</v>
      </c>
      <c r="L349">
        <f>VLOOKUP(B349,purchase_dataset!$B$2:$F$2241,3,FALSE)</f>
        <v>0</v>
      </c>
      <c r="M349">
        <f>VLOOKUP(B349,purchase_dataset!$B$2:$F$2241,3,FALSE)</f>
        <v>0</v>
      </c>
      <c r="N349">
        <f>VLOOKUP(B349,purchase_dataset!$B$2:$F$2241,5,FALSE)</f>
        <v>3</v>
      </c>
      <c r="O349" s="5">
        <v>61</v>
      </c>
      <c r="P349" s="4" t="str">
        <f t="shared" si="10"/>
        <v>&gt;50</v>
      </c>
      <c r="Q349" s="4">
        <f>M349+N349</f>
        <v>3</v>
      </c>
      <c r="U349" s="28" t="str" cm="1">
        <f t="array" ref="U349">_xlfn.IFS(F349&lt;30000,"30k",F349&lt;=50000,"30k-50k",F349&lt;=75000,"50k-75k",F349&lt;=100000,"75k-100k",F349&gt;100000,"100k")</f>
        <v>30k-50k</v>
      </c>
      <c r="W349" s="1">
        <f t="shared" si="11"/>
        <v>13</v>
      </c>
    </row>
    <row r="350" spans="1:23" x14ac:dyDescent="0.35">
      <c r="A350">
        <v>347</v>
      </c>
      <c r="B350">
        <v>1826</v>
      </c>
      <c r="C350">
        <v>1970</v>
      </c>
      <c r="D350" s="1" t="s">
        <v>10</v>
      </c>
      <c r="E350" s="1" t="s">
        <v>16</v>
      </c>
      <c r="F350">
        <v>84835</v>
      </c>
      <c r="G350">
        <v>0</v>
      </c>
      <c r="H350" s="2">
        <v>0</v>
      </c>
      <c r="I350" s="2">
        <v>41806</v>
      </c>
      <c r="J350">
        <v>0</v>
      </c>
      <c r="K350">
        <f>VLOOKUP(B350,purchase_dataset!$B$2:$F$2241,2,FALSE)</f>
        <v>104</v>
      </c>
      <c r="L350">
        <f>VLOOKUP(B350,purchase_dataset!$B$2:$F$2241,3,FALSE)</f>
        <v>189</v>
      </c>
      <c r="M350">
        <f>VLOOKUP(B350,purchase_dataset!$B$2:$F$2241,3,FALSE)</f>
        <v>189</v>
      </c>
      <c r="N350">
        <f>VLOOKUP(B350,purchase_dataset!$B$2:$F$2241,5,FALSE)</f>
        <v>6</v>
      </c>
      <c r="O350" s="5">
        <v>56</v>
      </c>
      <c r="P350" s="4" t="str">
        <f t="shared" si="10"/>
        <v>&gt;50</v>
      </c>
      <c r="Q350" s="4">
        <f>M350+N350</f>
        <v>195</v>
      </c>
      <c r="U350" s="28" t="str" cm="1">
        <f t="array" ref="U350">_xlfn.IFS(F350&lt;30000,"30k",F350&lt;=50000,"30k-50k",F350&lt;=75000,"50k-75k",F350&lt;=100000,"75k-100k",F350&gt;100000,"100k")</f>
        <v>75k-100k</v>
      </c>
      <c r="W350" s="1">
        <f t="shared" si="11"/>
        <v>12</v>
      </c>
    </row>
    <row r="351" spans="1:23" x14ac:dyDescent="0.35">
      <c r="A351">
        <v>348</v>
      </c>
      <c r="B351">
        <v>8842</v>
      </c>
      <c r="C351">
        <v>1971</v>
      </c>
      <c r="D351" s="1" t="s">
        <v>10</v>
      </c>
      <c r="E351" s="1" t="s">
        <v>19</v>
      </c>
      <c r="F351">
        <v>30372</v>
      </c>
      <c r="G351">
        <v>1</v>
      </c>
      <c r="H351" s="2">
        <v>1</v>
      </c>
      <c r="I351" s="2">
        <v>41268</v>
      </c>
      <c r="J351">
        <v>33</v>
      </c>
      <c r="K351">
        <f>VLOOKUP(B351,purchase_dataset!$B$2:$F$2241,2,FALSE)</f>
        <v>0</v>
      </c>
      <c r="L351">
        <f>VLOOKUP(B351,purchase_dataset!$B$2:$F$2241,3,FALSE)</f>
        <v>3</v>
      </c>
      <c r="M351">
        <f>VLOOKUP(B351,purchase_dataset!$B$2:$F$2241,3,FALSE)</f>
        <v>3</v>
      </c>
      <c r="N351">
        <f>VLOOKUP(B351,purchase_dataset!$B$2:$F$2241,5,FALSE)</f>
        <v>3</v>
      </c>
      <c r="O351" s="5">
        <v>55</v>
      </c>
      <c r="P351" s="4" t="str">
        <f t="shared" si="10"/>
        <v>&gt;50</v>
      </c>
      <c r="Q351" s="4">
        <f>M351+N351</f>
        <v>6</v>
      </c>
      <c r="U351" s="28" t="str" cm="1">
        <f t="array" ref="U351">_xlfn.IFS(F351&lt;30000,"30k",F351&lt;=50000,"30k-50k",F351&lt;=75000,"50k-75k",F351&lt;=100000,"75k-100k",F351&gt;100000,"100k")</f>
        <v>30k-50k</v>
      </c>
      <c r="W351" s="1">
        <f t="shared" si="11"/>
        <v>14</v>
      </c>
    </row>
    <row r="352" spans="1:23" x14ac:dyDescent="0.35">
      <c r="A352">
        <v>349</v>
      </c>
      <c r="B352">
        <v>11030</v>
      </c>
      <c r="C352">
        <v>1976</v>
      </c>
      <c r="D352" s="1" t="s">
        <v>15</v>
      </c>
      <c r="E352" s="1" t="s">
        <v>14</v>
      </c>
      <c r="F352">
        <v>33181</v>
      </c>
      <c r="G352">
        <v>1</v>
      </c>
      <c r="H352" s="2">
        <v>0</v>
      </c>
      <c r="I352" s="2">
        <v>41642</v>
      </c>
      <c r="J352">
        <v>90</v>
      </c>
      <c r="K352">
        <f>VLOOKUP(B352,purchase_dataset!$B$2:$F$2241,2,FALSE)</f>
        <v>0</v>
      </c>
      <c r="L352">
        <f>VLOOKUP(B352,purchase_dataset!$B$2:$F$2241,3,FALSE)</f>
        <v>0</v>
      </c>
      <c r="M352">
        <f>VLOOKUP(B352,purchase_dataset!$B$2:$F$2241,3,FALSE)</f>
        <v>0</v>
      </c>
      <c r="N352">
        <f>VLOOKUP(B352,purchase_dataset!$B$2:$F$2241,5,FALSE)</f>
        <v>2</v>
      </c>
      <c r="O352" s="5">
        <v>50</v>
      </c>
      <c r="P352" s="4" t="str">
        <f t="shared" si="10"/>
        <v>30-50</v>
      </c>
      <c r="Q352" s="4">
        <f>M352+N352</f>
        <v>2</v>
      </c>
      <c r="U352" s="28" t="str" cm="1">
        <f t="array" ref="U352">_xlfn.IFS(F352&lt;30000,"30k",F352&lt;=50000,"30k-50k",F352&lt;=75000,"50k-75k",F352&lt;=100000,"75k-100k",F352&gt;100000,"100k")</f>
        <v>30k-50k</v>
      </c>
      <c r="W352" s="1">
        <f t="shared" si="11"/>
        <v>12</v>
      </c>
    </row>
    <row r="353" spans="1:23" x14ac:dyDescent="0.35">
      <c r="A353">
        <v>350</v>
      </c>
      <c r="B353">
        <v>2579</v>
      </c>
      <c r="C353">
        <v>1957</v>
      </c>
      <c r="D353" s="1" t="s">
        <v>10</v>
      </c>
      <c r="E353" s="1" t="s">
        <v>14</v>
      </c>
      <c r="F353">
        <v>71113</v>
      </c>
      <c r="G353">
        <v>0</v>
      </c>
      <c r="H353" s="2">
        <v>1</v>
      </c>
      <c r="I353" s="2">
        <v>41625</v>
      </c>
      <c r="J353">
        <v>95</v>
      </c>
      <c r="K353">
        <f>VLOOKUP(B353,purchase_dataset!$B$2:$F$2241,2,FALSE)</f>
        <v>33</v>
      </c>
      <c r="L353">
        <f>VLOOKUP(B353,purchase_dataset!$B$2:$F$2241,3,FALSE)</f>
        <v>33</v>
      </c>
      <c r="M353">
        <f>VLOOKUP(B353,purchase_dataset!$B$2:$F$2241,3,FALSE)</f>
        <v>33</v>
      </c>
      <c r="N353">
        <f>VLOOKUP(B353,purchase_dataset!$B$2:$F$2241,5,FALSE)</f>
        <v>9</v>
      </c>
      <c r="O353" s="5">
        <v>69</v>
      </c>
      <c r="P353" s="4" t="str">
        <f t="shared" si="10"/>
        <v>&gt;50</v>
      </c>
      <c r="Q353" s="4">
        <f>M353+N353</f>
        <v>42</v>
      </c>
      <c r="U353" s="28" t="str" cm="1">
        <f t="array" ref="U353">_xlfn.IFS(F353&lt;30000,"30k",F353&lt;=50000,"30k-50k",F353&lt;=75000,"50k-75k",F353&lt;=100000,"75k-100k",F353&gt;100000,"100k")</f>
        <v>50k-75k</v>
      </c>
      <c r="W353" s="1">
        <f t="shared" si="11"/>
        <v>13</v>
      </c>
    </row>
    <row r="354" spans="1:23" x14ac:dyDescent="0.35">
      <c r="A354">
        <v>351</v>
      </c>
      <c r="B354">
        <v>175</v>
      </c>
      <c r="C354">
        <v>1986</v>
      </c>
      <c r="D354" s="1" t="s">
        <v>10</v>
      </c>
      <c r="E354" s="1" t="s">
        <v>14</v>
      </c>
      <c r="F354">
        <v>71952</v>
      </c>
      <c r="G354">
        <v>1</v>
      </c>
      <c r="H354" s="2">
        <v>0</v>
      </c>
      <c r="I354" s="2">
        <v>41284</v>
      </c>
      <c r="J354">
        <v>93</v>
      </c>
      <c r="K354">
        <f>VLOOKUP(B354,purchase_dataset!$B$2:$F$2241,2,FALSE)</f>
        <v>80</v>
      </c>
      <c r="L354">
        <f>VLOOKUP(B354,purchase_dataset!$B$2:$F$2241,3,FALSE)</f>
        <v>107</v>
      </c>
      <c r="M354">
        <f>VLOOKUP(B354,purchase_dataset!$B$2:$F$2241,3,FALSE)</f>
        <v>107</v>
      </c>
      <c r="N354">
        <f>VLOOKUP(B354,purchase_dataset!$B$2:$F$2241,5,FALSE)</f>
        <v>8</v>
      </c>
      <c r="O354" s="5">
        <v>40</v>
      </c>
      <c r="P354" s="4" t="str">
        <f t="shared" si="10"/>
        <v>30-50</v>
      </c>
      <c r="Q354" s="4">
        <f>M354+N354</f>
        <v>115</v>
      </c>
      <c r="U354" s="28" t="str" cm="1">
        <f t="array" ref="U354">_xlfn.IFS(F354&lt;30000,"30k",F354&lt;=50000,"30k-50k",F354&lt;=75000,"50k-75k",F354&lt;=100000,"75k-100k",F354&gt;100000,"100k")</f>
        <v>50k-75k</v>
      </c>
      <c r="W354" s="1">
        <f t="shared" si="11"/>
        <v>13</v>
      </c>
    </row>
    <row r="355" spans="1:23" x14ac:dyDescent="0.35">
      <c r="A355">
        <v>352</v>
      </c>
      <c r="B355">
        <v>9185</v>
      </c>
      <c r="C355">
        <v>1966</v>
      </c>
      <c r="D355" s="1" t="s">
        <v>13</v>
      </c>
      <c r="E355" s="1" t="s">
        <v>11</v>
      </c>
      <c r="F355">
        <v>69759</v>
      </c>
      <c r="G355">
        <v>0</v>
      </c>
      <c r="H355" s="2">
        <v>0</v>
      </c>
      <c r="I355" s="2">
        <v>41575</v>
      </c>
      <c r="J355">
        <v>38</v>
      </c>
      <c r="K355">
        <f>VLOOKUP(B355,purchase_dataset!$B$2:$F$2241,2,FALSE)</f>
        <v>20</v>
      </c>
      <c r="L355">
        <f>VLOOKUP(B355,purchase_dataset!$B$2:$F$2241,3,FALSE)</f>
        <v>30</v>
      </c>
      <c r="M355">
        <f>VLOOKUP(B355,purchase_dataset!$B$2:$F$2241,3,FALSE)</f>
        <v>30</v>
      </c>
      <c r="N355">
        <f>VLOOKUP(B355,purchase_dataset!$B$2:$F$2241,5,FALSE)</f>
        <v>5</v>
      </c>
      <c r="O355" s="5">
        <v>60</v>
      </c>
      <c r="P355" s="4" t="str">
        <f t="shared" si="10"/>
        <v>&gt;50</v>
      </c>
      <c r="Q355" s="4">
        <f>M355+N355</f>
        <v>35</v>
      </c>
      <c r="U355" s="28" t="str" cm="1">
        <f t="array" ref="U355">_xlfn.IFS(F355&lt;30000,"30k",F355&lt;=50000,"30k-50k",F355&lt;=75000,"50k-75k",F355&lt;=100000,"75k-100k",F355&gt;100000,"100k")</f>
        <v>50k-75k</v>
      </c>
      <c r="W355" s="1">
        <f t="shared" si="11"/>
        <v>13</v>
      </c>
    </row>
    <row r="356" spans="1:23" x14ac:dyDescent="0.35">
      <c r="A356">
        <v>353</v>
      </c>
      <c r="B356">
        <v>11056</v>
      </c>
      <c r="C356">
        <v>1974</v>
      </c>
      <c r="D356" s="1" t="s">
        <v>10</v>
      </c>
      <c r="E356" s="1" t="s">
        <v>14</v>
      </c>
      <c r="F356">
        <v>72099</v>
      </c>
      <c r="G356">
        <v>0</v>
      </c>
      <c r="H356" s="2">
        <v>0</v>
      </c>
      <c r="I356" s="2">
        <v>41209</v>
      </c>
      <c r="J356">
        <v>18</v>
      </c>
      <c r="K356">
        <f>VLOOKUP(B356,purchase_dataset!$B$2:$F$2241,2,FALSE)</f>
        <v>91</v>
      </c>
      <c r="L356">
        <f>VLOOKUP(B356,purchase_dataset!$B$2:$F$2241,3,FALSE)</f>
        <v>0</v>
      </c>
      <c r="M356">
        <f>VLOOKUP(B356,purchase_dataset!$B$2:$F$2241,3,FALSE)</f>
        <v>0</v>
      </c>
      <c r="N356">
        <f>VLOOKUP(B356,purchase_dataset!$B$2:$F$2241,5,FALSE)</f>
        <v>10</v>
      </c>
      <c r="O356" s="5">
        <v>52</v>
      </c>
      <c r="P356" s="4" t="str">
        <f t="shared" si="10"/>
        <v>&gt;50</v>
      </c>
      <c r="Q356" s="4">
        <f>M356+N356</f>
        <v>10</v>
      </c>
      <c r="U356" s="28" t="str" cm="1">
        <f t="array" ref="U356">_xlfn.IFS(F356&lt;30000,"30k",F356&lt;=50000,"30k-50k",F356&lt;=75000,"50k-75k",F356&lt;=100000,"75k-100k",F356&gt;100000,"100k")</f>
        <v>50k-75k</v>
      </c>
      <c r="W356" s="1">
        <f t="shared" si="11"/>
        <v>14</v>
      </c>
    </row>
    <row r="357" spans="1:23" x14ac:dyDescent="0.35">
      <c r="A357">
        <v>354</v>
      </c>
      <c r="B357">
        <v>9365</v>
      </c>
      <c r="C357">
        <v>1976</v>
      </c>
      <c r="D357" s="1" t="s">
        <v>13</v>
      </c>
      <c r="E357" s="1" t="s">
        <v>11</v>
      </c>
      <c r="F357">
        <v>60000</v>
      </c>
      <c r="G357">
        <v>0</v>
      </c>
      <c r="H357" s="2">
        <v>1</v>
      </c>
      <c r="I357" s="2">
        <v>41265</v>
      </c>
      <c r="J357">
        <v>57</v>
      </c>
      <c r="K357">
        <f>VLOOKUP(B357,purchase_dataset!$B$2:$F$2241,2,FALSE)</f>
        <v>0</v>
      </c>
      <c r="L357">
        <f>VLOOKUP(B357,purchase_dataset!$B$2:$F$2241,3,FALSE)</f>
        <v>0</v>
      </c>
      <c r="M357">
        <f>VLOOKUP(B357,purchase_dataset!$B$2:$F$2241,3,FALSE)</f>
        <v>0</v>
      </c>
      <c r="N357">
        <f>VLOOKUP(B357,purchase_dataset!$B$2:$F$2241,5,FALSE)</f>
        <v>5</v>
      </c>
      <c r="O357" s="5">
        <v>50</v>
      </c>
      <c r="P357" s="4" t="str">
        <f t="shared" si="10"/>
        <v>30-50</v>
      </c>
      <c r="Q357" s="4">
        <f>M357+N357</f>
        <v>5</v>
      </c>
      <c r="U357" s="28" t="str" cm="1">
        <f t="array" ref="U357">_xlfn.IFS(F357&lt;30000,"30k",F357&lt;=50000,"30k-50k",F357&lt;=75000,"50k-75k",F357&lt;=100000,"75k-100k",F357&gt;100000,"100k")</f>
        <v>50k-75k</v>
      </c>
      <c r="W357" s="1">
        <f t="shared" si="11"/>
        <v>14</v>
      </c>
    </row>
    <row r="358" spans="1:23" x14ac:dyDescent="0.35">
      <c r="A358">
        <v>355</v>
      </c>
      <c r="B358">
        <v>6201</v>
      </c>
      <c r="C358">
        <v>1978</v>
      </c>
      <c r="D358" s="1" t="s">
        <v>10</v>
      </c>
      <c r="E358" s="1" t="s">
        <v>11</v>
      </c>
      <c r="F358">
        <v>38643</v>
      </c>
      <c r="G358">
        <v>1</v>
      </c>
      <c r="H358" s="2">
        <v>1</v>
      </c>
      <c r="I358" s="2">
        <v>41607</v>
      </c>
      <c r="J358">
        <v>45</v>
      </c>
      <c r="K358">
        <f>VLOOKUP(B358,purchase_dataset!$B$2:$F$2241,2,FALSE)</f>
        <v>2</v>
      </c>
      <c r="L358">
        <f>VLOOKUP(B358,purchase_dataset!$B$2:$F$2241,3,FALSE)</f>
        <v>1</v>
      </c>
      <c r="M358">
        <f>VLOOKUP(B358,purchase_dataset!$B$2:$F$2241,3,FALSE)</f>
        <v>1</v>
      </c>
      <c r="N358">
        <f>VLOOKUP(B358,purchase_dataset!$B$2:$F$2241,5,FALSE)</f>
        <v>3</v>
      </c>
      <c r="O358" s="5">
        <v>48</v>
      </c>
      <c r="P358" s="4" t="str">
        <f t="shared" si="10"/>
        <v>30-50</v>
      </c>
      <c r="Q358" s="4">
        <f>M358+N358</f>
        <v>4</v>
      </c>
      <c r="U358" s="28" t="str" cm="1">
        <f t="array" ref="U358">_xlfn.IFS(F358&lt;30000,"30k",F358&lt;=50000,"30k-50k",F358&lt;=75000,"50k-75k",F358&lt;=100000,"75k-100k",F358&gt;100000,"100k")</f>
        <v>30k-50k</v>
      </c>
      <c r="W358" s="1">
        <f t="shared" si="11"/>
        <v>13</v>
      </c>
    </row>
    <row r="359" spans="1:23" x14ac:dyDescent="0.35">
      <c r="A359">
        <v>356</v>
      </c>
      <c r="B359">
        <v>2061</v>
      </c>
      <c r="C359">
        <v>1955</v>
      </c>
      <c r="D359" s="1" t="s">
        <v>10</v>
      </c>
      <c r="E359" s="1" t="s">
        <v>14</v>
      </c>
      <c r="F359">
        <v>50737</v>
      </c>
      <c r="G359">
        <v>0</v>
      </c>
      <c r="H359" s="2">
        <v>1</v>
      </c>
      <c r="I359" s="2">
        <v>41405</v>
      </c>
      <c r="J359">
        <v>61</v>
      </c>
      <c r="K359">
        <f>VLOOKUP(B359,purchase_dataset!$B$2:$F$2241,2,FALSE)</f>
        <v>0</v>
      </c>
      <c r="L359">
        <f>VLOOKUP(B359,purchase_dataset!$B$2:$F$2241,3,FALSE)</f>
        <v>0</v>
      </c>
      <c r="M359">
        <f>VLOOKUP(B359,purchase_dataset!$B$2:$F$2241,3,FALSE)</f>
        <v>0</v>
      </c>
      <c r="N359">
        <f>VLOOKUP(B359,purchase_dataset!$B$2:$F$2241,5,FALSE)</f>
        <v>4</v>
      </c>
      <c r="O359" s="5">
        <v>71</v>
      </c>
      <c r="P359" s="4" t="str">
        <f t="shared" si="10"/>
        <v>&gt;50</v>
      </c>
      <c r="Q359" s="4">
        <f>M359+N359</f>
        <v>4</v>
      </c>
      <c r="U359" s="28" t="str" cm="1">
        <f t="array" ref="U359">_xlfn.IFS(F359&lt;30000,"30k",F359&lt;=50000,"30k-50k",F359&lt;=75000,"50k-75k",F359&lt;=100000,"75k-100k",F359&gt;100000,"100k")</f>
        <v>50k-75k</v>
      </c>
      <c r="W359" s="1">
        <f t="shared" si="11"/>
        <v>13</v>
      </c>
    </row>
    <row r="360" spans="1:23" x14ac:dyDescent="0.35">
      <c r="A360">
        <v>357</v>
      </c>
      <c r="B360">
        <v>6184</v>
      </c>
      <c r="C360">
        <v>1969</v>
      </c>
      <c r="D360" s="1" t="s">
        <v>13</v>
      </c>
      <c r="E360" s="1" t="s">
        <v>14</v>
      </c>
      <c r="F360">
        <v>68462</v>
      </c>
      <c r="G360">
        <v>0</v>
      </c>
      <c r="H360" s="2">
        <v>0</v>
      </c>
      <c r="I360" s="2">
        <v>41255</v>
      </c>
      <c r="J360">
        <v>6</v>
      </c>
      <c r="K360">
        <f>VLOOKUP(B360,purchase_dataset!$B$2:$F$2241,2,FALSE)</f>
        <v>64</v>
      </c>
      <c r="L360">
        <f>VLOOKUP(B360,purchase_dataset!$B$2:$F$2241,3,FALSE)</f>
        <v>128</v>
      </c>
      <c r="M360">
        <f>VLOOKUP(B360,purchase_dataset!$B$2:$F$2241,3,FALSE)</f>
        <v>128</v>
      </c>
      <c r="N360">
        <f>VLOOKUP(B360,purchase_dataset!$B$2:$F$2241,5,FALSE)</f>
        <v>8</v>
      </c>
      <c r="O360" s="5">
        <v>57</v>
      </c>
      <c r="P360" s="4" t="str">
        <f t="shared" si="10"/>
        <v>&gt;50</v>
      </c>
      <c r="Q360" s="4">
        <f>M360+N360</f>
        <v>136</v>
      </c>
      <c r="U360" s="28" t="str" cm="1">
        <f t="array" ref="U360">_xlfn.IFS(F360&lt;30000,"30k",F360&lt;=50000,"30k-50k",F360&lt;=75000,"50k-75k",F360&lt;=100000,"75k-100k",F360&gt;100000,"100k")</f>
        <v>50k-75k</v>
      </c>
      <c r="W360" s="1">
        <f t="shared" si="11"/>
        <v>14</v>
      </c>
    </row>
    <row r="361" spans="1:23" x14ac:dyDescent="0.35">
      <c r="A361">
        <v>358</v>
      </c>
      <c r="B361">
        <v>6142</v>
      </c>
      <c r="C361">
        <v>1943</v>
      </c>
      <c r="D361" s="1" t="s">
        <v>15</v>
      </c>
      <c r="E361" s="1" t="s">
        <v>14</v>
      </c>
      <c r="F361">
        <v>65073</v>
      </c>
      <c r="G361">
        <v>0</v>
      </c>
      <c r="H361" s="2">
        <v>0</v>
      </c>
      <c r="I361" s="2">
        <v>41506</v>
      </c>
      <c r="J361">
        <v>65</v>
      </c>
      <c r="K361">
        <f>VLOOKUP(B361,purchase_dataset!$B$2:$F$2241,2,FALSE)</f>
        <v>17</v>
      </c>
      <c r="L361">
        <f>VLOOKUP(B361,purchase_dataset!$B$2:$F$2241,3,FALSE)</f>
        <v>0</v>
      </c>
      <c r="M361">
        <f>VLOOKUP(B361,purchase_dataset!$B$2:$F$2241,3,FALSE)</f>
        <v>0</v>
      </c>
      <c r="N361">
        <f>VLOOKUP(B361,purchase_dataset!$B$2:$F$2241,5,FALSE)</f>
        <v>5</v>
      </c>
      <c r="O361" s="5">
        <v>83</v>
      </c>
      <c r="P361" s="4" t="str">
        <f t="shared" si="10"/>
        <v>&gt;50</v>
      </c>
      <c r="Q361" s="4">
        <f>M361+N361</f>
        <v>5</v>
      </c>
      <c r="U361" s="28" t="str" cm="1">
        <f t="array" ref="U361">_xlfn.IFS(F361&lt;30000,"30k",F361&lt;=50000,"30k-50k",F361&lt;=75000,"50k-75k",F361&lt;=100000,"75k-100k",F361&gt;100000,"100k")</f>
        <v>50k-75k</v>
      </c>
      <c r="W361" s="1">
        <f t="shared" si="11"/>
        <v>13</v>
      </c>
    </row>
    <row r="362" spans="1:23" x14ac:dyDescent="0.35">
      <c r="A362">
        <v>359</v>
      </c>
      <c r="B362">
        <v>4107</v>
      </c>
      <c r="C362">
        <v>1948</v>
      </c>
      <c r="D362" s="1" t="s">
        <v>13</v>
      </c>
      <c r="E362" s="1" t="s">
        <v>12</v>
      </c>
      <c r="F362">
        <v>46681</v>
      </c>
      <c r="G362">
        <v>0</v>
      </c>
      <c r="H362" s="2">
        <v>2</v>
      </c>
      <c r="I362" s="2">
        <v>41555</v>
      </c>
      <c r="J362">
        <v>52</v>
      </c>
      <c r="K362">
        <f>VLOOKUP(B362,purchase_dataset!$B$2:$F$2241,2,FALSE)</f>
        <v>15</v>
      </c>
      <c r="L362">
        <f>VLOOKUP(B362,purchase_dataset!$B$2:$F$2241,3,FALSE)</f>
        <v>19</v>
      </c>
      <c r="M362">
        <f>VLOOKUP(B362,purchase_dataset!$B$2:$F$2241,3,FALSE)</f>
        <v>19</v>
      </c>
      <c r="N362">
        <f>VLOOKUP(B362,purchase_dataset!$B$2:$F$2241,5,FALSE)</f>
        <v>4</v>
      </c>
      <c r="O362" s="5">
        <v>78</v>
      </c>
      <c r="P362" s="4" t="str">
        <f t="shared" si="10"/>
        <v>&gt;50</v>
      </c>
      <c r="Q362" s="4">
        <f>M362+N362</f>
        <v>23</v>
      </c>
      <c r="U362" s="28" t="str" cm="1">
        <f t="array" ref="U362">_xlfn.IFS(F362&lt;30000,"30k",F362&lt;=50000,"30k-50k",F362&lt;=75000,"50k-75k",F362&lt;=100000,"75k-100k",F362&gt;100000,"100k")</f>
        <v>30k-50k</v>
      </c>
      <c r="W362" s="1">
        <f t="shared" si="11"/>
        <v>13</v>
      </c>
    </row>
    <row r="363" spans="1:23" x14ac:dyDescent="0.35">
      <c r="A363">
        <v>360</v>
      </c>
      <c r="B363">
        <v>7274</v>
      </c>
      <c r="C363">
        <v>1957</v>
      </c>
      <c r="D363" s="1" t="s">
        <v>10</v>
      </c>
      <c r="E363" s="1" t="s">
        <v>14</v>
      </c>
      <c r="F363">
        <v>78618</v>
      </c>
      <c r="G363">
        <v>0</v>
      </c>
      <c r="H363" s="2">
        <v>0</v>
      </c>
      <c r="I363" s="2">
        <v>41180</v>
      </c>
      <c r="J363">
        <v>87</v>
      </c>
      <c r="K363">
        <f>VLOOKUP(B363,purchase_dataset!$B$2:$F$2241,2,FALSE)</f>
        <v>163</v>
      </c>
      <c r="L363">
        <f>VLOOKUP(B363,purchase_dataset!$B$2:$F$2241,3,FALSE)</f>
        <v>163</v>
      </c>
      <c r="M363">
        <f>VLOOKUP(B363,purchase_dataset!$B$2:$F$2241,3,FALSE)</f>
        <v>163</v>
      </c>
      <c r="N363">
        <f>VLOOKUP(B363,purchase_dataset!$B$2:$F$2241,5,FALSE)</f>
        <v>10</v>
      </c>
      <c r="O363" s="5">
        <v>69</v>
      </c>
      <c r="P363" s="4" t="str">
        <f t="shared" si="10"/>
        <v>&gt;50</v>
      </c>
      <c r="Q363" s="4">
        <f>M363+N363</f>
        <v>173</v>
      </c>
      <c r="U363" s="28" t="str" cm="1">
        <f t="array" ref="U363">_xlfn.IFS(F363&lt;30000,"30k",F363&lt;=50000,"30k-50k",F363&lt;=75000,"50k-75k",F363&lt;=100000,"75k-100k",F363&gt;100000,"100k")</f>
        <v>75k-100k</v>
      </c>
      <c r="W363" s="1">
        <f t="shared" si="11"/>
        <v>14</v>
      </c>
    </row>
    <row r="364" spans="1:23" x14ac:dyDescent="0.35">
      <c r="A364">
        <v>361</v>
      </c>
      <c r="B364">
        <v>9336</v>
      </c>
      <c r="C364">
        <v>1969</v>
      </c>
      <c r="D364" s="1" t="s">
        <v>13</v>
      </c>
      <c r="E364" s="1" t="s">
        <v>19</v>
      </c>
      <c r="F364">
        <v>62187</v>
      </c>
      <c r="G364">
        <v>0</v>
      </c>
      <c r="H364" s="2">
        <v>1</v>
      </c>
      <c r="I364" s="2">
        <v>41720</v>
      </c>
      <c r="J364">
        <v>38</v>
      </c>
      <c r="K364">
        <f>VLOOKUP(B364,purchase_dataset!$B$2:$F$2241,2,FALSE)</f>
        <v>0</v>
      </c>
      <c r="L364">
        <f>VLOOKUP(B364,purchase_dataset!$B$2:$F$2241,3,FALSE)</f>
        <v>0</v>
      </c>
      <c r="M364">
        <f>VLOOKUP(B364,purchase_dataset!$B$2:$F$2241,3,FALSE)</f>
        <v>0</v>
      </c>
      <c r="N364">
        <f>VLOOKUP(B364,purchase_dataset!$B$2:$F$2241,5,FALSE)</f>
        <v>10</v>
      </c>
      <c r="O364" s="5">
        <v>57</v>
      </c>
      <c r="P364" s="4" t="str">
        <f t="shared" si="10"/>
        <v>&gt;50</v>
      </c>
      <c r="Q364" s="4">
        <f>M364+N364</f>
        <v>10</v>
      </c>
      <c r="U364" s="28" t="str" cm="1">
        <f t="array" ref="U364">_xlfn.IFS(F364&lt;30000,"30k",F364&lt;=50000,"30k-50k",F364&lt;=75000,"50k-75k",F364&lt;=100000,"75k-100k",F364&gt;100000,"100k")</f>
        <v>50k-75k</v>
      </c>
      <c r="W364" s="1">
        <f t="shared" si="11"/>
        <v>12</v>
      </c>
    </row>
    <row r="365" spans="1:23" x14ac:dyDescent="0.35">
      <c r="A365">
        <v>362</v>
      </c>
      <c r="B365">
        <v>2958</v>
      </c>
      <c r="C365">
        <v>1978</v>
      </c>
      <c r="D365" s="1" t="s">
        <v>10</v>
      </c>
      <c r="E365" s="1" t="s">
        <v>14</v>
      </c>
      <c r="F365">
        <v>28442</v>
      </c>
      <c r="G365">
        <v>2</v>
      </c>
      <c r="H365" s="2">
        <v>0</v>
      </c>
      <c r="I365" s="2">
        <v>41694</v>
      </c>
      <c r="J365">
        <v>53</v>
      </c>
      <c r="K365">
        <f>VLOOKUP(B365,purchase_dataset!$B$2:$F$2241,2,FALSE)</f>
        <v>3</v>
      </c>
      <c r="L365">
        <f>VLOOKUP(B365,purchase_dataset!$B$2:$F$2241,3,FALSE)</f>
        <v>8</v>
      </c>
      <c r="M365">
        <f>VLOOKUP(B365,purchase_dataset!$B$2:$F$2241,3,FALSE)</f>
        <v>8</v>
      </c>
      <c r="N365">
        <f>VLOOKUP(B365,purchase_dataset!$B$2:$F$2241,5,FALSE)</f>
        <v>4</v>
      </c>
      <c r="O365" s="5">
        <v>48</v>
      </c>
      <c r="P365" s="4" t="str">
        <f t="shared" si="10"/>
        <v>30-50</v>
      </c>
      <c r="Q365" s="4">
        <f>M365+N365</f>
        <v>12</v>
      </c>
      <c r="U365" s="28" t="str" cm="1">
        <f t="array" ref="U365">_xlfn.IFS(F365&lt;30000,"30k",F365&lt;=50000,"30k-50k",F365&lt;=75000,"50k-75k",F365&lt;=100000,"75k-100k",F365&gt;100000,"100k")</f>
        <v>30k</v>
      </c>
      <c r="W365" s="1">
        <f t="shared" si="11"/>
        <v>12</v>
      </c>
    </row>
    <row r="366" spans="1:23" x14ac:dyDescent="0.35">
      <c r="A366">
        <v>363</v>
      </c>
      <c r="B366">
        <v>933</v>
      </c>
      <c r="C366">
        <v>1978</v>
      </c>
      <c r="D366" s="1" t="s">
        <v>13</v>
      </c>
      <c r="E366" s="1" t="s">
        <v>14</v>
      </c>
      <c r="F366">
        <v>37717</v>
      </c>
      <c r="G366">
        <v>1</v>
      </c>
      <c r="H366" s="2">
        <v>0</v>
      </c>
      <c r="I366" s="2">
        <v>41236</v>
      </c>
      <c r="J366">
        <v>31</v>
      </c>
      <c r="K366">
        <f>VLOOKUP(B366,purchase_dataset!$B$2:$F$2241,2,FALSE)</f>
        <v>0</v>
      </c>
      <c r="L366">
        <f>VLOOKUP(B366,purchase_dataset!$B$2:$F$2241,3,FALSE)</f>
        <v>1</v>
      </c>
      <c r="M366">
        <f>VLOOKUP(B366,purchase_dataset!$B$2:$F$2241,3,FALSE)</f>
        <v>1</v>
      </c>
      <c r="N366">
        <f>VLOOKUP(B366,purchase_dataset!$B$2:$F$2241,5,FALSE)</f>
        <v>2</v>
      </c>
      <c r="O366" s="5">
        <v>48</v>
      </c>
      <c r="P366" s="4" t="str">
        <f t="shared" si="10"/>
        <v>30-50</v>
      </c>
      <c r="Q366" s="4">
        <f>M366+N366</f>
        <v>3</v>
      </c>
      <c r="U366" s="28" t="str" cm="1">
        <f t="array" ref="U366">_xlfn.IFS(F366&lt;30000,"30k",F366&lt;=50000,"30k-50k",F366&lt;=75000,"50k-75k",F366&lt;=100000,"75k-100k",F366&gt;100000,"100k")</f>
        <v>30k-50k</v>
      </c>
      <c r="W366" s="1">
        <f t="shared" si="11"/>
        <v>14</v>
      </c>
    </row>
    <row r="367" spans="1:23" x14ac:dyDescent="0.35">
      <c r="A367">
        <v>364</v>
      </c>
      <c r="B367">
        <v>5837</v>
      </c>
      <c r="C367">
        <v>1967</v>
      </c>
      <c r="D367" s="1" t="s">
        <v>10</v>
      </c>
      <c r="E367" s="1" t="s">
        <v>14</v>
      </c>
      <c r="F367">
        <v>51479</v>
      </c>
      <c r="G367">
        <v>1</v>
      </c>
      <c r="H367" s="2">
        <v>1</v>
      </c>
      <c r="I367" s="2">
        <v>41271</v>
      </c>
      <c r="J367">
        <v>67</v>
      </c>
      <c r="K367">
        <f>VLOOKUP(B367,purchase_dataset!$B$2:$F$2241,2,FALSE)</f>
        <v>8</v>
      </c>
      <c r="L367">
        <f>VLOOKUP(B367,purchase_dataset!$B$2:$F$2241,3,FALSE)</f>
        <v>8</v>
      </c>
      <c r="M367">
        <f>VLOOKUP(B367,purchase_dataset!$B$2:$F$2241,3,FALSE)</f>
        <v>8</v>
      </c>
      <c r="N367">
        <f>VLOOKUP(B367,purchase_dataset!$B$2:$F$2241,5,FALSE)</f>
        <v>6</v>
      </c>
      <c r="O367" s="5">
        <v>59</v>
      </c>
      <c r="P367" s="4" t="str">
        <f t="shared" si="10"/>
        <v>&gt;50</v>
      </c>
      <c r="Q367" s="4">
        <f>M367+N367</f>
        <v>14</v>
      </c>
      <c r="U367" s="28" t="str" cm="1">
        <f t="array" ref="U367">_xlfn.IFS(F367&lt;30000,"30k",F367&lt;=50000,"30k-50k",F367&lt;=75000,"50k-75k",F367&lt;=100000,"75k-100k",F367&gt;100000,"100k")</f>
        <v>50k-75k</v>
      </c>
      <c r="W367" s="1">
        <f t="shared" si="11"/>
        <v>14</v>
      </c>
    </row>
    <row r="368" spans="1:23" x14ac:dyDescent="0.35">
      <c r="A368">
        <v>365</v>
      </c>
      <c r="B368">
        <v>10704</v>
      </c>
      <c r="C368">
        <v>1969</v>
      </c>
      <c r="D368" s="1" t="s">
        <v>10</v>
      </c>
      <c r="E368" s="1" t="s">
        <v>11</v>
      </c>
      <c r="F368">
        <v>54803</v>
      </c>
      <c r="G368">
        <v>0</v>
      </c>
      <c r="H368" s="2">
        <v>1</v>
      </c>
      <c r="I368" s="2">
        <v>41142</v>
      </c>
      <c r="J368">
        <v>65</v>
      </c>
      <c r="K368">
        <f>VLOOKUP(B368,purchase_dataset!$B$2:$F$2241,2,FALSE)</f>
        <v>0</v>
      </c>
      <c r="L368">
        <f>VLOOKUP(B368,purchase_dataset!$B$2:$F$2241,3,FALSE)</f>
        <v>27</v>
      </c>
      <c r="M368">
        <f>VLOOKUP(B368,purchase_dataset!$B$2:$F$2241,3,FALSE)</f>
        <v>27</v>
      </c>
      <c r="N368">
        <f>VLOOKUP(B368,purchase_dataset!$B$2:$F$2241,5,FALSE)</f>
        <v>9</v>
      </c>
      <c r="O368" s="5">
        <v>57</v>
      </c>
      <c r="P368" s="4" t="str">
        <f t="shared" si="10"/>
        <v>&gt;50</v>
      </c>
      <c r="Q368" s="4">
        <f>M368+N368</f>
        <v>36</v>
      </c>
      <c r="U368" s="28" t="str" cm="1">
        <f t="array" ref="U368">_xlfn.IFS(F368&lt;30000,"30k",F368&lt;=50000,"30k-50k",F368&lt;=75000,"50k-75k",F368&lt;=100000,"75k-100k",F368&gt;100000,"100k")</f>
        <v>50k-75k</v>
      </c>
      <c r="W368" s="1">
        <f t="shared" si="11"/>
        <v>14</v>
      </c>
    </row>
    <row r="369" spans="1:23" x14ac:dyDescent="0.35">
      <c r="A369">
        <v>366</v>
      </c>
      <c r="B369">
        <v>5125</v>
      </c>
      <c r="C369">
        <v>1960</v>
      </c>
      <c r="D369" s="1" t="s">
        <v>10</v>
      </c>
      <c r="E369" s="1" t="s">
        <v>14</v>
      </c>
      <c r="F369">
        <v>79530</v>
      </c>
      <c r="G369">
        <v>0</v>
      </c>
      <c r="H369" s="2">
        <v>0</v>
      </c>
      <c r="I369" s="2">
        <v>41411</v>
      </c>
      <c r="J369">
        <v>64</v>
      </c>
      <c r="K369">
        <f>VLOOKUP(B369,purchase_dataset!$B$2:$F$2241,2,FALSE)</f>
        <v>0</v>
      </c>
      <c r="L369">
        <f>VLOOKUP(B369,purchase_dataset!$B$2:$F$2241,3,FALSE)</f>
        <v>42</v>
      </c>
      <c r="M369">
        <f>VLOOKUP(B369,purchase_dataset!$B$2:$F$2241,3,FALSE)</f>
        <v>42</v>
      </c>
      <c r="N369">
        <f>VLOOKUP(B369,purchase_dataset!$B$2:$F$2241,5,FALSE)</f>
        <v>11</v>
      </c>
      <c r="O369" s="5">
        <v>66</v>
      </c>
      <c r="P369" s="4" t="str">
        <f t="shared" si="10"/>
        <v>&gt;50</v>
      </c>
      <c r="Q369" s="4">
        <f>M369+N369</f>
        <v>53</v>
      </c>
      <c r="U369" s="28" t="str" cm="1">
        <f t="array" ref="U369">_xlfn.IFS(F369&lt;30000,"30k",F369&lt;=50000,"30k-50k",F369&lt;=75000,"50k-75k",F369&lt;=100000,"75k-100k",F369&gt;100000,"100k")</f>
        <v>75k-100k</v>
      </c>
      <c r="W369" s="1">
        <f t="shared" si="11"/>
        <v>13</v>
      </c>
    </row>
    <row r="370" spans="1:23" x14ac:dyDescent="0.35">
      <c r="A370">
        <v>367</v>
      </c>
      <c r="B370">
        <v>4432</v>
      </c>
      <c r="C370">
        <v>1976</v>
      </c>
      <c r="D370" s="1" t="s">
        <v>10</v>
      </c>
      <c r="E370" s="1" t="s">
        <v>16</v>
      </c>
      <c r="F370">
        <v>31615</v>
      </c>
      <c r="G370">
        <v>1</v>
      </c>
      <c r="H370" s="2">
        <v>0</v>
      </c>
      <c r="I370" s="2">
        <v>41349</v>
      </c>
      <c r="J370">
        <v>82</v>
      </c>
      <c r="K370">
        <f>VLOOKUP(B370,purchase_dataset!$B$2:$F$2241,2,FALSE)</f>
        <v>3</v>
      </c>
      <c r="L370">
        <f>VLOOKUP(B370,purchase_dataset!$B$2:$F$2241,3,FALSE)</f>
        <v>11</v>
      </c>
      <c r="M370">
        <f>VLOOKUP(B370,purchase_dataset!$B$2:$F$2241,3,FALSE)</f>
        <v>11</v>
      </c>
      <c r="N370">
        <f>VLOOKUP(B370,purchase_dataset!$B$2:$F$2241,5,FALSE)</f>
        <v>3</v>
      </c>
      <c r="O370" s="5">
        <v>50</v>
      </c>
      <c r="P370" s="4" t="str">
        <f t="shared" si="10"/>
        <v>30-50</v>
      </c>
      <c r="Q370" s="4">
        <f>M370+N370</f>
        <v>14</v>
      </c>
      <c r="U370" s="28" t="str" cm="1">
        <f t="array" ref="U370">_xlfn.IFS(F370&lt;30000,"30k",F370&lt;=50000,"30k-50k",F370&lt;=75000,"50k-75k",F370&lt;=100000,"75k-100k",F370&gt;100000,"100k")</f>
        <v>30k-50k</v>
      </c>
      <c r="W370" s="1">
        <f t="shared" si="11"/>
        <v>13</v>
      </c>
    </row>
    <row r="371" spans="1:23" x14ac:dyDescent="0.35">
      <c r="A371">
        <v>368</v>
      </c>
      <c r="B371">
        <v>5955</v>
      </c>
      <c r="C371">
        <v>1962</v>
      </c>
      <c r="D371" s="1" t="s">
        <v>10</v>
      </c>
      <c r="E371" s="1" t="s">
        <v>12</v>
      </c>
      <c r="F371">
        <v>72025</v>
      </c>
      <c r="G371">
        <v>0</v>
      </c>
      <c r="H371" s="2">
        <v>0</v>
      </c>
      <c r="I371" s="2">
        <v>41230</v>
      </c>
      <c r="J371">
        <v>27</v>
      </c>
      <c r="K371">
        <f>VLOOKUP(B371,purchase_dataset!$B$2:$F$2241,2,FALSE)</f>
        <v>33</v>
      </c>
      <c r="L371">
        <f>VLOOKUP(B371,purchase_dataset!$B$2:$F$2241,3,FALSE)</f>
        <v>133</v>
      </c>
      <c r="M371">
        <f>VLOOKUP(B371,purchase_dataset!$B$2:$F$2241,3,FALSE)</f>
        <v>133</v>
      </c>
      <c r="N371">
        <f>VLOOKUP(B371,purchase_dataset!$B$2:$F$2241,5,FALSE)</f>
        <v>8</v>
      </c>
      <c r="O371" s="5">
        <v>64</v>
      </c>
      <c r="P371" s="4" t="str">
        <f t="shared" si="10"/>
        <v>&gt;50</v>
      </c>
      <c r="Q371" s="4">
        <f>M371+N371</f>
        <v>141</v>
      </c>
      <c r="U371" s="28" t="str" cm="1">
        <f t="array" ref="U371">_xlfn.IFS(F371&lt;30000,"30k",F371&lt;=50000,"30k-50k",F371&lt;=75000,"50k-75k",F371&lt;=100000,"75k-100k",F371&gt;100000,"100k")</f>
        <v>50k-75k</v>
      </c>
      <c r="W371" s="1">
        <f t="shared" si="11"/>
        <v>14</v>
      </c>
    </row>
    <row r="372" spans="1:23" x14ac:dyDescent="0.35">
      <c r="A372">
        <v>369</v>
      </c>
      <c r="B372">
        <v>2928</v>
      </c>
      <c r="C372">
        <v>1975</v>
      </c>
      <c r="D372" s="1" t="s">
        <v>13</v>
      </c>
      <c r="E372" s="1" t="s">
        <v>11</v>
      </c>
      <c r="F372">
        <v>52614</v>
      </c>
      <c r="G372">
        <v>0</v>
      </c>
      <c r="H372" s="2">
        <v>1</v>
      </c>
      <c r="I372" s="2">
        <v>41244</v>
      </c>
      <c r="J372">
        <v>63</v>
      </c>
      <c r="K372">
        <f>VLOOKUP(B372,purchase_dataset!$B$2:$F$2241,2,FALSE)</f>
        <v>0</v>
      </c>
      <c r="L372">
        <f>VLOOKUP(B372,purchase_dataset!$B$2:$F$2241,3,FALSE)</f>
        <v>9</v>
      </c>
      <c r="M372">
        <f>VLOOKUP(B372,purchase_dataset!$B$2:$F$2241,3,FALSE)</f>
        <v>9</v>
      </c>
      <c r="N372">
        <f>VLOOKUP(B372,purchase_dataset!$B$2:$F$2241,5,FALSE)</f>
        <v>8</v>
      </c>
      <c r="O372" s="5">
        <v>51</v>
      </c>
      <c r="P372" s="4" t="str">
        <f t="shared" si="10"/>
        <v>&gt;50</v>
      </c>
      <c r="Q372" s="4">
        <f>M372+N372</f>
        <v>17</v>
      </c>
      <c r="U372" s="28" t="str" cm="1">
        <f t="array" ref="U372">_xlfn.IFS(F372&lt;30000,"30k",F372&lt;=50000,"30k-50k",F372&lt;=75000,"50k-75k",F372&lt;=100000,"75k-100k",F372&gt;100000,"100k")</f>
        <v>50k-75k</v>
      </c>
      <c r="W372" s="1">
        <f t="shared" si="11"/>
        <v>14</v>
      </c>
    </row>
    <row r="373" spans="1:23" x14ac:dyDescent="0.35">
      <c r="A373">
        <v>370</v>
      </c>
      <c r="B373">
        <v>5680</v>
      </c>
      <c r="C373">
        <v>1984</v>
      </c>
      <c r="D373" s="1" t="s">
        <v>18</v>
      </c>
      <c r="E373" s="1" t="s">
        <v>14</v>
      </c>
      <c r="F373">
        <v>35684</v>
      </c>
      <c r="G373">
        <v>1</v>
      </c>
      <c r="H373" s="2">
        <v>0</v>
      </c>
      <c r="I373" s="2">
        <v>41751</v>
      </c>
      <c r="J373">
        <v>66</v>
      </c>
      <c r="K373">
        <f>VLOOKUP(B373,purchase_dataset!$B$2:$F$2241,2,FALSE)</f>
        <v>4</v>
      </c>
      <c r="L373">
        <f>VLOOKUP(B373,purchase_dataset!$B$2:$F$2241,3,FALSE)</f>
        <v>6</v>
      </c>
      <c r="M373">
        <f>VLOOKUP(B373,purchase_dataset!$B$2:$F$2241,3,FALSE)</f>
        <v>6</v>
      </c>
      <c r="N373">
        <f>VLOOKUP(B373,purchase_dataset!$B$2:$F$2241,5,FALSE)</f>
        <v>3</v>
      </c>
      <c r="O373" s="5">
        <v>42</v>
      </c>
      <c r="P373" s="4" t="str">
        <f t="shared" si="10"/>
        <v>30-50</v>
      </c>
      <c r="Q373" s="4">
        <f>M373+N373</f>
        <v>9</v>
      </c>
      <c r="U373" s="28" t="str" cm="1">
        <f t="array" ref="U373">_xlfn.IFS(F373&lt;30000,"30k",F373&lt;=50000,"30k-50k",F373&lt;=75000,"50k-75k",F373&lt;=100000,"75k-100k",F373&gt;100000,"100k")</f>
        <v>30k-50k</v>
      </c>
      <c r="W373" s="1">
        <f t="shared" si="11"/>
        <v>12</v>
      </c>
    </row>
    <row r="374" spans="1:23" x14ac:dyDescent="0.35">
      <c r="A374">
        <v>371</v>
      </c>
      <c r="B374">
        <v>10313</v>
      </c>
      <c r="C374">
        <v>1975</v>
      </c>
      <c r="D374" s="1" t="s">
        <v>10</v>
      </c>
      <c r="E374" s="1" t="s">
        <v>14</v>
      </c>
      <c r="F374">
        <v>48178</v>
      </c>
      <c r="G374">
        <v>1</v>
      </c>
      <c r="H374" s="2">
        <v>1</v>
      </c>
      <c r="I374" s="2">
        <v>41210</v>
      </c>
      <c r="J374">
        <v>69</v>
      </c>
      <c r="K374">
        <f>VLOOKUP(B374,purchase_dataset!$B$2:$F$2241,2,FALSE)</f>
        <v>4</v>
      </c>
      <c r="L374">
        <f>VLOOKUP(B374,purchase_dataset!$B$2:$F$2241,3,FALSE)</f>
        <v>2</v>
      </c>
      <c r="M374">
        <f>VLOOKUP(B374,purchase_dataset!$B$2:$F$2241,3,FALSE)</f>
        <v>2</v>
      </c>
      <c r="N374">
        <f>VLOOKUP(B374,purchase_dataset!$B$2:$F$2241,5,FALSE)</f>
        <v>4</v>
      </c>
      <c r="O374" s="5">
        <v>51</v>
      </c>
      <c r="P374" s="4" t="str">
        <f t="shared" si="10"/>
        <v>&gt;50</v>
      </c>
      <c r="Q374" s="4">
        <f>M374+N374</f>
        <v>6</v>
      </c>
      <c r="U374" s="28" t="str" cm="1">
        <f t="array" ref="U374">_xlfn.IFS(F374&lt;30000,"30k",F374&lt;=50000,"30k-50k",F374&lt;=75000,"50k-75k",F374&lt;=100000,"75k-100k",F374&gt;100000,"100k")</f>
        <v>30k-50k</v>
      </c>
      <c r="W374" s="1">
        <f t="shared" si="11"/>
        <v>14</v>
      </c>
    </row>
    <row r="375" spans="1:23" x14ac:dyDescent="0.35">
      <c r="A375">
        <v>372</v>
      </c>
      <c r="B375">
        <v>2557</v>
      </c>
      <c r="C375">
        <v>1970</v>
      </c>
      <c r="D375" s="1" t="s">
        <v>15</v>
      </c>
      <c r="E375" s="1" t="s">
        <v>11</v>
      </c>
      <c r="F375">
        <v>29548</v>
      </c>
      <c r="G375">
        <v>1</v>
      </c>
      <c r="H375" s="2">
        <v>0</v>
      </c>
      <c r="I375" s="2">
        <v>41515</v>
      </c>
      <c r="J375">
        <v>52</v>
      </c>
      <c r="K375">
        <f>VLOOKUP(B375,purchase_dataset!$B$2:$F$2241,2,FALSE)</f>
        <v>1</v>
      </c>
      <c r="L375">
        <f>VLOOKUP(B375,purchase_dataset!$B$2:$F$2241,3,FALSE)</f>
        <v>1</v>
      </c>
      <c r="M375">
        <f>VLOOKUP(B375,purchase_dataset!$B$2:$F$2241,3,FALSE)</f>
        <v>1</v>
      </c>
      <c r="N375">
        <f>VLOOKUP(B375,purchase_dataset!$B$2:$F$2241,5,FALSE)</f>
        <v>2</v>
      </c>
      <c r="O375" s="5">
        <v>56</v>
      </c>
      <c r="P375" s="4" t="str">
        <f t="shared" si="10"/>
        <v>&gt;50</v>
      </c>
      <c r="Q375" s="4">
        <f>M375+N375</f>
        <v>3</v>
      </c>
      <c r="U375" s="28" t="str" cm="1">
        <f t="array" ref="U375">_xlfn.IFS(F375&lt;30000,"30k",F375&lt;=50000,"30k-50k",F375&lt;=75000,"50k-75k",F375&lt;=100000,"75k-100k",F375&gt;100000,"100k")</f>
        <v>30k</v>
      </c>
      <c r="W375" s="1">
        <f t="shared" si="11"/>
        <v>13</v>
      </c>
    </row>
    <row r="376" spans="1:23" x14ac:dyDescent="0.35">
      <c r="A376">
        <v>373</v>
      </c>
      <c r="B376">
        <v>1245</v>
      </c>
      <c r="C376">
        <v>1966</v>
      </c>
      <c r="D376" s="1" t="s">
        <v>10</v>
      </c>
      <c r="E376" s="1" t="s">
        <v>11</v>
      </c>
      <c r="F376">
        <v>63810</v>
      </c>
      <c r="G376">
        <v>0</v>
      </c>
      <c r="H376" s="2">
        <v>1</v>
      </c>
      <c r="I376" s="2">
        <v>41224</v>
      </c>
      <c r="J376">
        <v>45</v>
      </c>
      <c r="K376">
        <f>VLOOKUP(B376,purchase_dataset!$B$2:$F$2241,2,FALSE)</f>
        <v>12</v>
      </c>
      <c r="L376">
        <f>VLOOKUP(B376,purchase_dataset!$B$2:$F$2241,3,FALSE)</f>
        <v>12</v>
      </c>
      <c r="M376">
        <f>VLOOKUP(B376,purchase_dataset!$B$2:$F$2241,3,FALSE)</f>
        <v>12</v>
      </c>
      <c r="N376">
        <f>VLOOKUP(B376,purchase_dataset!$B$2:$F$2241,5,FALSE)</f>
        <v>12</v>
      </c>
      <c r="O376" s="5">
        <v>60</v>
      </c>
      <c r="P376" s="4" t="str">
        <f t="shared" si="10"/>
        <v>&gt;50</v>
      </c>
      <c r="Q376" s="4">
        <f>M376+N376</f>
        <v>24</v>
      </c>
      <c r="U376" s="28" t="str" cm="1">
        <f t="array" ref="U376">_xlfn.IFS(F376&lt;30000,"30k",F376&lt;=50000,"30k-50k",F376&lt;=75000,"50k-75k",F376&lt;=100000,"75k-100k",F376&gt;100000,"100k")</f>
        <v>50k-75k</v>
      </c>
      <c r="W376" s="1">
        <f t="shared" si="11"/>
        <v>14</v>
      </c>
    </row>
    <row r="377" spans="1:23" x14ac:dyDescent="0.35">
      <c r="A377">
        <v>374</v>
      </c>
      <c r="B377">
        <v>1519</v>
      </c>
      <c r="C377">
        <v>1972</v>
      </c>
      <c r="D377" s="1" t="s">
        <v>13</v>
      </c>
      <c r="E377" s="1" t="s">
        <v>11</v>
      </c>
      <c r="F377">
        <v>38578</v>
      </c>
      <c r="G377">
        <v>1</v>
      </c>
      <c r="H377" s="2">
        <v>1</v>
      </c>
      <c r="I377" s="2">
        <v>41447</v>
      </c>
      <c r="J377">
        <v>2</v>
      </c>
      <c r="K377">
        <f>VLOOKUP(B377,purchase_dataset!$B$2:$F$2241,2,FALSE)</f>
        <v>4</v>
      </c>
      <c r="L377">
        <f>VLOOKUP(B377,purchase_dataset!$B$2:$F$2241,3,FALSE)</f>
        <v>3</v>
      </c>
      <c r="M377">
        <f>VLOOKUP(B377,purchase_dataset!$B$2:$F$2241,3,FALSE)</f>
        <v>3</v>
      </c>
      <c r="N377">
        <f>VLOOKUP(B377,purchase_dataset!$B$2:$F$2241,5,FALSE)</f>
        <v>3</v>
      </c>
      <c r="O377" s="5">
        <v>54</v>
      </c>
      <c r="P377" s="4" t="str">
        <f t="shared" si="10"/>
        <v>&gt;50</v>
      </c>
      <c r="Q377" s="4">
        <f>M377+N377</f>
        <v>6</v>
      </c>
      <c r="U377" s="28" t="str" cm="1">
        <f t="array" ref="U377">_xlfn.IFS(F377&lt;30000,"30k",F377&lt;=50000,"30k-50k",F377&lt;=75000,"50k-75k",F377&lt;=100000,"75k-100k",F377&gt;100000,"100k")</f>
        <v>30k-50k</v>
      </c>
      <c r="W377" s="1">
        <f t="shared" si="11"/>
        <v>13</v>
      </c>
    </row>
    <row r="378" spans="1:23" x14ac:dyDescent="0.35">
      <c r="A378">
        <v>375</v>
      </c>
      <c r="B378">
        <v>10703</v>
      </c>
      <c r="C378">
        <v>1975</v>
      </c>
      <c r="D378" s="1" t="s">
        <v>15</v>
      </c>
      <c r="E378" s="1" t="s">
        <v>11</v>
      </c>
      <c r="F378">
        <v>46098</v>
      </c>
      <c r="G378">
        <v>1</v>
      </c>
      <c r="H378" s="2">
        <v>1</v>
      </c>
      <c r="I378" s="2">
        <v>41139</v>
      </c>
      <c r="J378">
        <v>86</v>
      </c>
      <c r="K378">
        <f>VLOOKUP(B378,purchase_dataset!$B$2:$F$2241,2,FALSE)</f>
        <v>0</v>
      </c>
      <c r="L378">
        <f>VLOOKUP(B378,purchase_dataset!$B$2:$F$2241,3,FALSE)</f>
        <v>0</v>
      </c>
      <c r="M378">
        <f>VLOOKUP(B378,purchase_dataset!$B$2:$F$2241,3,FALSE)</f>
        <v>0</v>
      </c>
      <c r="N378">
        <f>VLOOKUP(B378,purchase_dataset!$B$2:$F$2241,5,FALSE)</f>
        <v>2</v>
      </c>
      <c r="O378" s="5">
        <v>51</v>
      </c>
      <c r="P378" s="4" t="str">
        <f t="shared" si="10"/>
        <v>&gt;50</v>
      </c>
      <c r="Q378" s="4">
        <f>M378+N378</f>
        <v>2</v>
      </c>
      <c r="U378" s="28" t="str" cm="1">
        <f t="array" ref="U378">_xlfn.IFS(F378&lt;30000,"30k",F378&lt;=50000,"30k-50k",F378&lt;=75000,"50k-75k",F378&lt;=100000,"75k-100k",F378&gt;100000,"100k")</f>
        <v>30k-50k</v>
      </c>
      <c r="W378" s="1">
        <f t="shared" si="11"/>
        <v>14</v>
      </c>
    </row>
    <row r="379" spans="1:23" x14ac:dyDescent="0.35">
      <c r="A379">
        <v>376</v>
      </c>
      <c r="B379">
        <v>1726</v>
      </c>
      <c r="C379">
        <v>1970</v>
      </c>
      <c r="D379" s="1" t="s">
        <v>10</v>
      </c>
      <c r="E379" s="1" t="s">
        <v>11</v>
      </c>
      <c r="F379">
        <v>22585</v>
      </c>
      <c r="G379">
        <v>0</v>
      </c>
      <c r="H379" s="2">
        <v>0</v>
      </c>
      <c r="I379" s="2">
        <v>41351</v>
      </c>
      <c r="J379">
        <v>23</v>
      </c>
      <c r="K379">
        <f>VLOOKUP(B379,purchase_dataset!$B$2:$F$2241,2,FALSE)</f>
        <v>9</v>
      </c>
      <c r="L379">
        <f>VLOOKUP(B379,purchase_dataset!$B$2:$F$2241,3,FALSE)</f>
        <v>2</v>
      </c>
      <c r="M379">
        <f>VLOOKUP(B379,purchase_dataset!$B$2:$F$2241,3,FALSE)</f>
        <v>2</v>
      </c>
      <c r="N379">
        <f>VLOOKUP(B379,purchase_dataset!$B$2:$F$2241,5,FALSE)</f>
        <v>2</v>
      </c>
      <c r="O379" s="5">
        <v>56</v>
      </c>
      <c r="P379" s="4" t="str">
        <f t="shared" si="10"/>
        <v>&gt;50</v>
      </c>
      <c r="Q379" s="4">
        <f>M379+N379</f>
        <v>4</v>
      </c>
      <c r="U379" s="28" t="str" cm="1">
        <f t="array" ref="U379">_xlfn.IFS(F379&lt;30000,"30k",F379&lt;=50000,"30k-50k",F379&lt;=75000,"50k-75k",F379&lt;=100000,"75k-100k",F379&gt;100000,"100k")</f>
        <v>30k</v>
      </c>
      <c r="W379" s="1">
        <f t="shared" si="11"/>
        <v>13</v>
      </c>
    </row>
    <row r="380" spans="1:23" x14ac:dyDescent="0.35">
      <c r="A380">
        <v>377</v>
      </c>
      <c r="B380">
        <v>4459</v>
      </c>
      <c r="C380">
        <v>1989</v>
      </c>
      <c r="D380" s="1" t="s">
        <v>10</v>
      </c>
      <c r="E380" s="1" t="s">
        <v>11</v>
      </c>
      <c r="F380">
        <v>30279</v>
      </c>
      <c r="G380">
        <v>1</v>
      </c>
      <c r="H380" s="2">
        <v>0</v>
      </c>
      <c r="I380" s="2">
        <v>41273</v>
      </c>
      <c r="J380">
        <v>13</v>
      </c>
      <c r="K380">
        <f>VLOOKUP(B380,purchase_dataset!$B$2:$F$2241,2,FALSE)</f>
        <v>4</v>
      </c>
      <c r="L380">
        <f>VLOOKUP(B380,purchase_dataset!$B$2:$F$2241,3,FALSE)</f>
        <v>4</v>
      </c>
      <c r="M380">
        <f>VLOOKUP(B380,purchase_dataset!$B$2:$F$2241,3,FALSE)</f>
        <v>4</v>
      </c>
      <c r="N380">
        <f>VLOOKUP(B380,purchase_dataset!$B$2:$F$2241,5,FALSE)</f>
        <v>3</v>
      </c>
      <c r="O380" s="5">
        <v>37</v>
      </c>
      <c r="P380" s="4" t="str">
        <f t="shared" si="10"/>
        <v>30-50</v>
      </c>
      <c r="Q380" s="4">
        <f>M380+N380</f>
        <v>7</v>
      </c>
      <c r="U380" s="28" t="str" cm="1">
        <f t="array" ref="U380">_xlfn.IFS(F380&lt;30000,"30k",F380&lt;=50000,"30k-50k",F380&lt;=75000,"50k-75k",F380&lt;=100000,"75k-100k",F380&gt;100000,"100k")</f>
        <v>30k-50k</v>
      </c>
      <c r="W380" s="1">
        <f t="shared" si="11"/>
        <v>14</v>
      </c>
    </row>
    <row r="381" spans="1:23" x14ac:dyDescent="0.35">
      <c r="A381">
        <v>378</v>
      </c>
      <c r="B381">
        <v>1729</v>
      </c>
      <c r="C381">
        <v>1961</v>
      </c>
      <c r="D381" s="1" t="s">
        <v>13</v>
      </c>
      <c r="E381" s="1" t="s">
        <v>12</v>
      </c>
      <c r="F381">
        <v>66426</v>
      </c>
      <c r="G381">
        <v>0</v>
      </c>
      <c r="H381" s="2">
        <v>1</v>
      </c>
      <c r="I381" s="2">
        <v>41549</v>
      </c>
      <c r="J381">
        <v>14</v>
      </c>
      <c r="K381">
        <f>VLOOKUP(B381,purchase_dataset!$B$2:$F$2241,2,FALSE)</f>
        <v>24</v>
      </c>
      <c r="L381">
        <f>VLOOKUP(B381,purchase_dataset!$B$2:$F$2241,3,FALSE)</f>
        <v>24</v>
      </c>
      <c r="M381">
        <f>VLOOKUP(B381,purchase_dataset!$B$2:$F$2241,3,FALSE)</f>
        <v>24</v>
      </c>
      <c r="N381">
        <f>VLOOKUP(B381,purchase_dataset!$B$2:$F$2241,5,FALSE)</f>
        <v>10</v>
      </c>
      <c r="O381" s="5">
        <v>65</v>
      </c>
      <c r="P381" s="4" t="str">
        <f t="shared" si="10"/>
        <v>&gt;50</v>
      </c>
      <c r="Q381" s="4">
        <f>M381+N381</f>
        <v>34</v>
      </c>
      <c r="U381" s="28" t="str" cm="1">
        <f t="array" ref="U381">_xlfn.IFS(F381&lt;30000,"30k",F381&lt;=50000,"30k-50k",F381&lt;=75000,"50k-75k",F381&lt;=100000,"75k-100k",F381&gt;100000,"100k")</f>
        <v>50k-75k</v>
      </c>
      <c r="W381" s="1">
        <f t="shared" si="11"/>
        <v>13</v>
      </c>
    </row>
    <row r="382" spans="1:23" x14ac:dyDescent="0.35">
      <c r="A382">
        <v>379</v>
      </c>
      <c r="B382">
        <v>1517</v>
      </c>
      <c r="C382">
        <v>1969</v>
      </c>
      <c r="D382" s="1" t="s">
        <v>10</v>
      </c>
      <c r="E382" s="1" t="s">
        <v>11</v>
      </c>
      <c r="F382">
        <v>30822</v>
      </c>
      <c r="G382">
        <v>1</v>
      </c>
      <c r="H382" s="2">
        <v>0</v>
      </c>
      <c r="I382" s="2">
        <v>41439</v>
      </c>
      <c r="J382">
        <v>92</v>
      </c>
      <c r="K382">
        <f>VLOOKUP(B382,purchase_dataset!$B$2:$F$2241,2,FALSE)</f>
        <v>9</v>
      </c>
      <c r="L382">
        <f>VLOOKUP(B382,purchase_dataset!$B$2:$F$2241,3,FALSE)</f>
        <v>12</v>
      </c>
      <c r="M382">
        <f>VLOOKUP(B382,purchase_dataset!$B$2:$F$2241,3,FALSE)</f>
        <v>12</v>
      </c>
      <c r="N382">
        <f>VLOOKUP(B382,purchase_dataset!$B$2:$F$2241,5,FALSE)</f>
        <v>3</v>
      </c>
      <c r="O382" s="5">
        <v>57</v>
      </c>
      <c r="P382" s="4" t="str">
        <f t="shared" si="10"/>
        <v>&gt;50</v>
      </c>
      <c r="Q382" s="4">
        <f>M382+N382</f>
        <v>15</v>
      </c>
      <c r="U382" s="28" t="str" cm="1">
        <f t="array" ref="U382">_xlfn.IFS(F382&lt;30000,"30k",F382&lt;=50000,"30k-50k",F382&lt;=75000,"50k-75k",F382&lt;=100000,"75k-100k",F382&gt;100000,"100k")</f>
        <v>30k-50k</v>
      </c>
      <c r="W382" s="1">
        <f t="shared" si="11"/>
        <v>13</v>
      </c>
    </row>
    <row r="383" spans="1:23" x14ac:dyDescent="0.35">
      <c r="A383">
        <v>380</v>
      </c>
      <c r="B383">
        <v>2098</v>
      </c>
      <c r="C383">
        <v>1969</v>
      </c>
      <c r="D383" s="1" t="s">
        <v>13</v>
      </c>
      <c r="E383" s="1" t="s">
        <v>14</v>
      </c>
      <c r="F383">
        <v>33581</v>
      </c>
      <c r="G383">
        <v>2</v>
      </c>
      <c r="H383" s="2">
        <v>0</v>
      </c>
      <c r="I383" s="2">
        <v>41282</v>
      </c>
      <c r="J383">
        <v>38</v>
      </c>
      <c r="K383">
        <f>VLOOKUP(B383,purchase_dataset!$B$2:$F$2241,2,FALSE)</f>
        <v>0</v>
      </c>
      <c r="L383">
        <f>VLOOKUP(B383,purchase_dataset!$B$2:$F$2241,3,FALSE)</f>
        <v>0</v>
      </c>
      <c r="M383">
        <f>VLOOKUP(B383,purchase_dataset!$B$2:$F$2241,3,FALSE)</f>
        <v>0</v>
      </c>
      <c r="N383">
        <f>VLOOKUP(B383,purchase_dataset!$B$2:$F$2241,5,FALSE)</f>
        <v>2</v>
      </c>
      <c r="O383" s="5">
        <v>57</v>
      </c>
      <c r="P383" s="4" t="str">
        <f t="shared" si="10"/>
        <v>&gt;50</v>
      </c>
      <c r="Q383" s="4">
        <f>M383+N383</f>
        <v>2</v>
      </c>
      <c r="U383" s="28" t="str" cm="1">
        <f t="array" ref="U383">_xlfn.IFS(F383&lt;30000,"30k",F383&lt;=50000,"30k-50k",F383&lt;=75000,"50k-75k",F383&lt;=100000,"75k-100k",F383&gt;100000,"100k")</f>
        <v>30k-50k</v>
      </c>
      <c r="W383" s="1">
        <f t="shared" si="11"/>
        <v>13</v>
      </c>
    </row>
    <row r="384" spans="1:23" x14ac:dyDescent="0.35">
      <c r="A384">
        <v>381</v>
      </c>
      <c r="B384">
        <v>9543</v>
      </c>
      <c r="C384">
        <v>1985</v>
      </c>
      <c r="D384" s="1" t="s">
        <v>10</v>
      </c>
      <c r="E384" s="1" t="s">
        <v>14</v>
      </c>
      <c r="F384">
        <v>19986</v>
      </c>
      <c r="G384">
        <v>1</v>
      </c>
      <c r="H384" s="2">
        <v>0</v>
      </c>
      <c r="I384" s="2">
        <v>41592</v>
      </c>
      <c r="J384">
        <v>74</v>
      </c>
      <c r="K384">
        <f>VLOOKUP(B384,purchase_dataset!$B$2:$F$2241,2,FALSE)</f>
        <v>6</v>
      </c>
      <c r="L384">
        <f>VLOOKUP(B384,purchase_dataset!$B$2:$F$2241,3,FALSE)</f>
        <v>2</v>
      </c>
      <c r="M384">
        <f>VLOOKUP(B384,purchase_dataset!$B$2:$F$2241,3,FALSE)</f>
        <v>2</v>
      </c>
      <c r="N384">
        <f>VLOOKUP(B384,purchase_dataset!$B$2:$F$2241,5,FALSE)</f>
        <v>3</v>
      </c>
      <c r="O384" s="5">
        <v>41</v>
      </c>
      <c r="P384" s="4" t="str">
        <f t="shared" si="10"/>
        <v>30-50</v>
      </c>
      <c r="Q384" s="4">
        <f>M384+N384</f>
        <v>5</v>
      </c>
      <c r="U384" s="28" t="str" cm="1">
        <f t="array" ref="U384">_xlfn.IFS(F384&lt;30000,"30k",F384&lt;=50000,"30k-50k",F384&lt;=75000,"50k-75k",F384&lt;=100000,"75k-100k",F384&gt;100000,"100k")</f>
        <v>30k</v>
      </c>
      <c r="W384" s="1">
        <f t="shared" si="11"/>
        <v>13</v>
      </c>
    </row>
    <row r="385" spans="1:23" x14ac:dyDescent="0.35">
      <c r="A385">
        <v>382</v>
      </c>
      <c r="B385">
        <v>6878</v>
      </c>
      <c r="C385">
        <v>1954</v>
      </c>
      <c r="D385" s="1" t="s">
        <v>10</v>
      </c>
      <c r="E385" s="1" t="s">
        <v>19</v>
      </c>
      <c r="F385">
        <v>27421</v>
      </c>
      <c r="G385">
        <v>0</v>
      </c>
      <c r="H385" s="2">
        <v>0</v>
      </c>
      <c r="I385" s="2">
        <v>41255</v>
      </c>
      <c r="J385">
        <v>14</v>
      </c>
      <c r="K385">
        <f>VLOOKUP(B385,purchase_dataset!$B$2:$F$2241,2,FALSE)</f>
        <v>12</v>
      </c>
      <c r="L385">
        <f>VLOOKUP(B385,purchase_dataset!$B$2:$F$2241,3,FALSE)</f>
        <v>40</v>
      </c>
      <c r="M385">
        <f>VLOOKUP(B385,purchase_dataset!$B$2:$F$2241,3,FALSE)</f>
        <v>40</v>
      </c>
      <c r="N385">
        <f>VLOOKUP(B385,purchase_dataset!$B$2:$F$2241,5,FALSE)</f>
        <v>6</v>
      </c>
      <c r="O385" s="5">
        <v>72</v>
      </c>
      <c r="P385" s="4" t="str">
        <f t="shared" si="10"/>
        <v>&gt;50</v>
      </c>
      <c r="Q385" s="4">
        <f>M385+N385</f>
        <v>46</v>
      </c>
      <c r="U385" s="28" t="str" cm="1">
        <f t="array" ref="U385">_xlfn.IFS(F385&lt;30000,"30k",F385&lt;=50000,"30k-50k",F385&lt;=75000,"50k-75k",F385&lt;=100000,"75k-100k",F385&gt;100000,"100k")</f>
        <v>30k</v>
      </c>
      <c r="W385" s="1">
        <f t="shared" si="11"/>
        <v>14</v>
      </c>
    </row>
    <row r="386" spans="1:23" x14ac:dyDescent="0.35">
      <c r="A386">
        <v>383</v>
      </c>
      <c r="B386">
        <v>3310</v>
      </c>
      <c r="C386">
        <v>1973</v>
      </c>
      <c r="D386" s="1" t="s">
        <v>18</v>
      </c>
      <c r="E386" s="1" t="s">
        <v>14</v>
      </c>
      <c r="F386">
        <v>35688</v>
      </c>
      <c r="G386">
        <v>2</v>
      </c>
      <c r="H386" s="2">
        <v>1</v>
      </c>
      <c r="I386" s="2">
        <v>41143</v>
      </c>
      <c r="J386">
        <v>94</v>
      </c>
      <c r="K386">
        <f>VLOOKUP(B386,purchase_dataset!$B$2:$F$2241,2,FALSE)</f>
        <v>3</v>
      </c>
      <c r="L386">
        <f>VLOOKUP(B386,purchase_dataset!$B$2:$F$2241,3,FALSE)</f>
        <v>1</v>
      </c>
      <c r="M386">
        <f>VLOOKUP(B386,purchase_dataset!$B$2:$F$2241,3,FALSE)</f>
        <v>1</v>
      </c>
      <c r="N386">
        <f>VLOOKUP(B386,purchase_dataset!$B$2:$F$2241,5,FALSE)</f>
        <v>4</v>
      </c>
      <c r="O386" s="5">
        <v>53</v>
      </c>
      <c r="P386" s="4" t="str">
        <f t="shared" si="10"/>
        <v>&gt;50</v>
      </c>
      <c r="Q386" s="4">
        <f>M386+N386</f>
        <v>5</v>
      </c>
      <c r="U386" s="28" t="str" cm="1">
        <f t="array" ref="U386">_xlfn.IFS(F386&lt;30000,"30k",F386&lt;=50000,"30k-50k",F386&lt;=75000,"50k-75k",F386&lt;=100000,"75k-100k",F386&gt;100000,"100k")</f>
        <v>30k-50k</v>
      </c>
      <c r="W386" s="1">
        <f t="shared" si="11"/>
        <v>14</v>
      </c>
    </row>
    <row r="387" spans="1:23" x14ac:dyDescent="0.35">
      <c r="A387">
        <v>384</v>
      </c>
      <c r="B387">
        <v>2724</v>
      </c>
      <c r="C387">
        <v>1981</v>
      </c>
      <c r="D387" s="1" t="s">
        <v>15</v>
      </c>
      <c r="E387" s="1" t="s">
        <v>11</v>
      </c>
      <c r="F387">
        <v>36143</v>
      </c>
      <c r="G387">
        <v>1</v>
      </c>
      <c r="H387" s="2">
        <v>0</v>
      </c>
      <c r="I387" s="2">
        <v>41728</v>
      </c>
      <c r="J387">
        <v>33</v>
      </c>
      <c r="K387">
        <f>VLOOKUP(B387,purchase_dataset!$B$2:$F$2241,2,FALSE)</f>
        <v>0</v>
      </c>
      <c r="L387">
        <f>VLOOKUP(B387,purchase_dataset!$B$2:$F$2241,3,FALSE)</f>
        <v>0</v>
      </c>
      <c r="M387">
        <f>VLOOKUP(B387,purchase_dataset!$B$2:$F$2241,3,FALSE)</f>
        <v>0</v>
      </c>
      <c r="N387">
        <f>VLOOKUP(B387,purchase_dataset!$B$2:$F$2241,5,FALSE)</f>
        <v>2</v>
      </c>
      <c r="O387" s="5">
        <v>45</v>
      </c>
      <c r="P387" s="4" t="str">
        <f t="shared" si="10"/>
        <v>30-50</v>
      </c>
      <c r="Q387" s="4">
        <f>M387+N387</f>
        <v>2</v>
      </c>
      <c r="U387" s="28" t="str" cm="1">
        <f t="array" ref="U387">_xlfn.IFS(F387&lt;30000,"30k",F387&lt;=50000,"30k-50k",F387&lt;=75000,"50k-75k",F387&lt;=100000,"75k-100k",F387&gt;100000,"100k")</f>
        <v>30k-50k</v>
      </c>
      <c r="W387" s="1">
        <f t="shared" si="11"/>
        <v>12</v>
      </c>
    </row>
    <row r="388" spans="1:23" x14ac:dyDescent="0.35">
      <c r="A388">
        <v>385</v>
      </c>
      <c r="B388">
        <v>948</v>
      </c>
      <c r="C388">
        <v>1971</v>
      </c>
      <c r="D388" s="1" t="s">
        <v>10</v>
      </c>
      <c r="E388" s="1" t="s">
        <v>11</v>
      </c>
      <c r="F388">
        <v>10245</v>
      </c>
      <c r="G388">
        <v>1</v>
      </c>
      <c r="H388" s="2">
        <v>0</v>
      </c>
      <c r="I388" s="2">
        <v>41409</v>
      </c>
      <c r="J388">
        <v>32</v>
      </c>
      <c r="K388">
        <f>VLOOKUP(B388,purchase_dataset!$B$2:$F$2241,2,FALSE)</f>
        <v>7</v>
      </c>
      <c r="L388">
        <f>VLOOKUP(B388,purchase_dataset!$B$2:$F$2241,3,FALSE)</f>
        <v>4</v>
      </c>
      <c r="M388">
        <f>VLOOKUP(B388,purchase_dataset!$B$2:$F$2241,3,FALSE)</f>
        <v>4</v>
      </c>
      <c r="N388">
        <f>VLOOKUP(B388,purchase_dataset!$B$2:$F$2241,5,FALSE)</f>
        <v>2</v>
      </c>
      <c r="O388" s="5">
        <v>55</v>
      </c>
      <c r="P388" s="4" t="str">
        <f t="shared" ref="P388:P451" si="12">IF(O388&lt;30,"30",IF(O388&lt;=50,"30-50","&gt;50"))</f>
        <v>&gt;50</v>
      </c>
      <c r="Q388" s="4">
        <f>M388+N388</f>
        <v>6</v>
      </c>
      <c r="U388" s="28" t="str" cm="1">
        <f t="array" ref="U388">_xlfn.IFS(F388&lt;30000,"30k",F388&lt;=50000,"30k-50k",F388&lt;=75000,"50k-75k",F388&lt;=100000,"75k-100k",F388&gt;100000,"100k")</f>
        <v>30k</v>
      </c>
      <c r="W388" s="1">
        <f t="shared" ref="W388:W451" si="13">2026-YEAR(I388)</f>
        <v>13</v>
      </c>
    </row>
    <row r="389" spans="1:23" x14ac:dyDescent="0.35">
      <c r="A389">
        <v>386</v>
      </c>
      <c r="B389">
        <v>6720</v>
      </c>
      <c r="C389">
        <v>1968</v>
      </c>
      <c r="D389" s="1" t="s">
        <v>15</v>
      </c>
      <c r="E389" s="1" t="s">
        <v>12</v>
      </c>
      <c r="F389">
        <v>43795</v>
      </c>
      <c r="G389">
        <v>0</v>
      </c>
      <c r="H389" s="2">
        <v>1</v>
      </c>
      <c r="I389" s="2">
        <v>41563</v>
      </c>
      <c r="J389">
        <v>11</v>
      </c>
      <c r="K389">
        <f>VLOOKUP(B389,purchase_dataset!$B$2:$F$2241,2,FALSE)</f>
        <v>11</v>
      </c>
      <c r="L389">
        <f>VLOOKUP(B389,purchase_dataset!$B$2:$F$2241,3,FALSE)</f>
        <v>3</v>
      </c>
      <c r="M389">
        <f>VLOOKUP(B389,purchase_dataset!$B$2:$F$2241,3,FALSE)</f>
        <v>3</v>
      </c>
      <c r="N389">
        <f>VLOOKUP(B389,purchase_dataset!$B$2:$F$2241,5,FALSE)</f>
        <v>4</v>
      </c>
      <c r="O389" s="5">
        <v>58</v>
      </c>
      <c r="P389" s="4" t="str">
        <f t="shared" si="12"/>
        <v>&gt;50</v>
      </c>
      <c r="Q389" s="4">
        <f>M389+N389</f>
        <v>7</v>
      </c>
      <c r="U389" s="28" t="str" cm="1">
        <f t="array" ref="U389">_xlfn.IFS(F389&lt;30000,"30k",F389&lt;=50000,"30k-50k",F389&lt;=75000,"50k-75k",F389&lt;=100000,"75k-100k",F389&gt;100000,"100k")</f>
        <v>30k-50k</v>
      </c>
      <c r="W389" s="1">
        <f t="shared" si="13"/>
        <v>13</v>
      </c>
    </row>
    <row r="390" spans="1:23" x14ac:dyDescent="0.35">
      <c r="A390">
        <v>387</v>
      </c>
      <c r="B390">
        <v>6202</v>
      </c>
      <c r="C390">
        <v>1960</v>
      </c>
      <c r="D390" s="1" t="s">
        <v>10</v>
      </c>
      <c r="E390" s="1" t="s">
        <v>12</v>
      </c>
      <c r="F390">
        <v>63381</v>
      </c>
      <c r="G390">
        <v>0</v>
      </c>
      <c r="H390" s="2">
        <v>1</v>
      </c>
      <c r="I390" s="2">
        <v>41187</v>
      </c>
      <c r="J390">
        <v>78</v>
      </c>
      <c r="K390">
        <f>VLOOKUP(B390,purchase_dataset!$B$2:$F$2241,2,FALSE)</f>
        <v>50</v>
      </c>
      <c r="L390">
        <f>VLOOKUP(B390,purchase_dataset!$B$2:$F$2241,3,FALSE)</f>
        <v>50</v>
      </c>
      <c r="M390">
        <f>VLOOKUP(B390,purchase_dataset!$B$2:$F$2241,3,FALSE)</f>
        <v>50</v>
      </c>
      <c r="N390">
        <f>VLOOKUP(B390,purchase_dataset!$B$2:$F$2241,5,FALSE)</f>
        <v>13</v>
      </c>
      <c r="O390" s="5">
        <v>66</v>
      </c>
      <c r="P390" s="4" t="str">
        <f t="shared" si="12"/>
        <v>&gt;50</v>
      </c>
      <c r="Q390" s="4">
        <f>M390+N390</f>
        <v>63</v>
      </c>
      <c r="U390" s="28" t="str" cm="1">
        <f t="array" ref="U390">_xlfn.IFS(F390&lt;30000,"30k",F390&lt;=50000,"30k-50k",F390&lt;=75000,"50k-75k",F390&lt;=100000,"75k-100k",F390&gt;100000,"100k")</f>
        <v>50k-75k</v>
      </c>
      <c r="W390" s="1">
        <f t="shared" si="13"/>
        <v>14</v>
      </c>
    </row>
    <row r="391" spans="1:23" x14ac:dyDescent="0.35">
      <c r="A391">
        <v>388</v>
      </c>
      <c r="B391">
        <v>2066</v>
      </c>
      <c r="C391">
        <v>1949</v>
      </c>
      <c r="D391" s="1" t="s">
        <v>10</v>
      </c>
      <c r="E391" s="1" t="s">
        <v>12</v>
      </c>
      <c r="F391">
        <v>38823</v>
      </c>
      <c r="G391">
        <v>0</v>
      </c>
      <c r="H391" s="2">
        <v>1</v>
      </c>
      <c r="I391" s="2">
        <v>41151</v>
      </c>
      <c r="J391">
        <v>56</v>
      </c>
      <c r="K391">
        <f>VLOOKUP(B391,purchase_dataset!$B$2:$F$2241,2,FALSE)</f>
        <v>0</v>
      </c>
      <c r="L391">
        <f>VLOOKUP(B391,purchase_dataset!$B$2:$F$2241,3,FALSE)</f>
        <v>8</v>
      </c>
      <c r="M391">
        <f>VLOOKUP(B391,purchase_dataset!$B$2:$F$2241,3,FALSE)</f>
        <v>8</v>
      </c>
      <c r="N391">
        <f>VLOOKUP(B391,purchase_dataset!$B$2:$F$2241,5,FALSE)</f>
        <v>3</v>
      </c>
      <c r="O391" s="5">
        <v>77</v>
      </c>
      <c r="P391" s="4" t="str">
        <f t="shared" si="12"/>
        <v>&gt;50</v>
      </c>
      <c r="Q391" s="4">
        <f>M391+N391</f>
        <v>11</v>
      </c>
      <c r="U391" s="28" t="str" cm="1">
        <f t="array" ref="U391">_xlfn.IFS(F391&lt;30000,"30k",F391&lt;=50000,"30k-50k",F391&lt;=75000,"50k-75k",F391&lt;=100000,"75k-100k",F391&gt;100000,"100k")</f>
        <v>30k-50k</v>
      </c>
      <c r="W391" s="1">
        <f t="shared" si="13"/>
        <v>14</v>
      </c>
    </row>
    <row r="392" spans="1:23" x14ac:dyDescent="0.35">
      <c r="A392">
        <v>389</v>
      </c>
      <c r="B392">
        <v>9799</v>
      </c>
      <c r="C392">
        <v>1968</v>
      </c>
      <c r="D392" s="1" t="s">
        <v>13</v>
      </c>
      <c r="E392" s="1" t="s">
        <v>16</v>
      </c>
      <c r="F392">
        <v>83664</v>
      </c>
      <c r="G392">
        <v>1</v>
      </c>
      <c r="H392" s="2">
        <v>1</v>
      </c>
      <c r="I392" s="2">
        <v>41402</v>
      </c>
      <c r="J392">
        <v>57</v>
      </c>
      <c r="K392">
        <f>VLOOKUP(B392,purchase_dataset!$B$2:$F$2241,2,FALSE)</f>
        <v>21</v>
      </c>
      <c r="L392">
        <f>VLOOKUP(B392,purchase_dataset!$B$2:$F$2241,3,FALSE)</f>
        <v>21</v>
      </c>
      <c r="M392">
        <f>VLOOKUP(B392,purchase_dataset!$B$2:$F$2241,3,FALSE)</f>
        <v>21</v>
      </c>
      <c r="N392">
        <f>VLOOKUP(B392,purchase_dataset!$B$2:$F$2241,5,FALSE)</f>
        <v>12</v>
      </c>
      <c r="O392" s="5">
        <v>58</v>
      </c>
      <c r="P392" s="4" t="str">
        <f t="shared" si="12"/>
        <v>&gt;50</v>
      </c>
      <c r="Q392" s="4">
        <f>M392+N392</f>
        <v>33</v>
      </c>
      <c r="U392" s="28" t="str" cm="1">
        <f t="array" ref="U392">_xlfn.IFS(F392&lt;30000,"30k",F392&lt;=50000,"30k-50k",F392&lt;=75000,"50k-75k",F392&lt;=100000,"75k-100k",F392&gt;100000,"100k")</f>
        <v>75k-100k</v>
      </c>
      <c r="W392" s="1">
        <f t="shared" si="13"/>
        <v>13</v>
      </c>
    </row>
    <row r="393" spans="1:23" x14ac:dyDescent="0.35">
      <c r="A393">
        <v>390</v>
      </c>
      <c r="B393">
        <v>8318</v>
      </c>
      <c r="C393">
        <v>1979</v>
      </c>
      <c r="D393" s="1" t="s">
        <v>10</v>
      </c>
      <c r="E393" s="1" t="s">
        <v>12</v>
      </c>
      <c r="F393">
        <v>90300</v>
      </c>
      <c r="G393">
        <v>0</v>
      </c>
      <c r="H393" s="2">
        <v>0</v>
      </c>
      <c r="I393" s="2">
        <v>41642</v>
      </c>
      <c r="J393">
        <v>7</v>
      </c>
      <c r="K393">
        <f>VLOOKUP(B393,purchase_dataset!$B$2:$F$2241,2,FALSE)</f>
        <v>134</v>
      </c>
      <c r="L393">
        <f>VLOOKUP(B393,purchase_dataset!$B$2:$F$2241,3,FALSE)</f>
        <v>134</v>
      </c>
      <c r="M393">
        <f>VLOOKUP(B393,purchase_dataset!$B$2:$F$2241,3,FALSE)</f>
        <v>134</v>
      </c>
      <c r="N393">
        <f>VLOOKUP(B393,purchase_dataset!$B$2:$F$2241,5,FALSE)</f>
        <v>8</v>
      </c>
      <c r="O393" s="5">
        <v>47</v>
      </c>
      <c r="P393" s="4" t="str">
        <f t="shared" si="12"/>
        <v>30-50</v>
      </c>
      <c r="Q393" s="4">
        <f>M393+N393</f>
        <v>142</v>
      </c>
      <c r="U393" s="28" t="str" cm="1">
        <f t="array" ref="U393">_xlfn.IFS(F393&lt;30000,"30k",F393&lt;=50000,"30k-50k",F393&lt;=75000,"50k-75k",F393&lt;=100000,"75k-100k",F393&gt;100000,"100k")</f>
        <v>75k-100k</v>
      </c>
      <c r="W393" s="1">
        <f t="shared" si="13"/>
        <v>12</v>
      </c>
    </row>
    <row r="394" spans="1:23" x14ac:dyDescent="0.35">
      <c r="A394">
        <v>391</v>
      </c>
      <c r="B394">
        <v>5642</v>
      </c>
      <c r="C394">
        <v>1979</v>
      </c>
      <c r="D394" s="1" t="s">
        <v>15</v>
      </c>
      <c r="E394" s="1" t="s">
        <v>12</v>
      </c>
      <c r="F394">
        <v>62499</v>
      </c>
      <c r="G394">
        <v>1</v>
      </c>
      <c r="H394" s="2">
        <v>0</v>
      </c>
      <c r="I394" s="2">
        <v>41617</v>
      </c>
      <c r="J394">
        <v>0</v>
      </c>
      <c r="K394">
        <f>VLOOKUP(B394,purchase_dataset!$B$2:$F$2241,2,FALSE)</f>
        <v>4</v>
      </c>
      <c r="L394">
        <f>VLOOKUP(B394,purchase_dataset!$B$2:$F$2241,3,FALSE)</f>
        <v>13</v>
      </c>
      <c r="M394">
        <f>VLOOKUP(B394,purchase_dataset!$B$2:$F$2241,3,FALSE)</f>
        <v>13</v>
      </c>
      <c r="N394">
        <f>VLOOKUP(B394,purchase_dataset!$B$2:$F$2241,5,FALSE)</f>
        <v>6</v>
      </c>
      <c r="O394" s="5">
        <v>47</v>
      </c>
      <c r="P394" s="4" t="str">
        <f t="shared" si="12"/>
        <v>30-50</v>
      </c>
      <c r="Q394" s="4">
        <f>M394+N394</f>
        <v>19</v>
      </c>
      <c r="U394" s="28" t="str" cm="1">
        <f t="array" ref="U394">_xlfn.IFS(F394&lt;30000,"30k",F394&lt;=50000,"30k-50k",F394&lt;=75000,"50k-75k",F394&lt;=100000,"75k-100k",F394&gt;100000,"100k")</f>
        <v>50k-75k</v>
      </c>
      <c r="W394" s="1">
        <f t="shared" si="13"/>
        <v>13</v>
      </c>
    </row>
    <row r="395" spans="1:23" x14ac:dyDescent="0.35">
      <c r="A395">
        <v>392</v>
      </c>
      <c r="B395">
        <v>2669</v>
      </c>
      <c r="C395">
        <v>1993</v>
      </c>
      <c r="D395" s="1" t="s">
        <v>10</v>
      </c>
      <c r="E395" s="1" t="s">
        <v>11</v>
      </c>
      <c r="F395">
        <v>74293</v>
      </c>
      <c r="G395">
        <v>0</v>
      </c>
      <c r="H395" s="2">
        <v>0</v>
      </c>
      <c r="I395" s="2">
        <v>41763</v>
      </c>
      <c r="J395">
        <v>66</v>
      </c>
      <c r="K395">
        <f>VLOOKUP(B395,purchase_dataset!$B$2:$F$2241,2,FALSE)</f>
        <v>152</v>
      </c>
      <c r="L395">
        <f>VLOOKUP(B395,purchase_dataset!$B$2:$F$2241,3,FALSE)</f>
        <v>91</v>
      </c>
      <c r="M395">
        <f>VLOOKUP(B395,purchase_dataset!$B$2:$F$2241,3,FALSE)</f>
        <v>91</v>
      </c>
      <c r="N395">
        <f>VLOOKUP(B395,purchase_dataset!$B$2:$F$2241,5,FALSE)</f>
        <v>6</v>
      </c>
      <c r="O395" s="5">
        <v>33</v>
      </c>
      <c r="P395" s="4" t="str">
        <f t="shared" si="12"/>
        <v>30-50</v>
      </c>
      <c r="Q395" s="4">
        <f>M395+N395</f>
        <v>97</v>
      </c>
      <c r="U395" s="28" t="str" cm="1">
        <f t="array" ref="U395">_xlfn.IFS(F395&lt;30000,"30k",F395&lt;=50000,"30k-50k",F395&lt;=75000,"50k-75k",F395&lt;=100000,"75k-100k",F395&gt;100000,"100k")</f>
        <v>50k-75k</v>
      </c>
      <c r="W395" s="1">
        <f t="shared" si="13"/>
        <v>12</v>
      </c>
    </row>
    <row r="396" spans="1:23" x14ac:dyDescent="0.35">
      <c r="A396">
        <v>393</v>
      </c>
      <c r="B396">
        <v>455</v>
      </c>
      <c r="C396">
        <v>1946</v>
      </c>
      <c r="D396" s="1" t="s">
        <v>13</v>
      </c>
      <c r="E396" s="1" t="s">
        <v>14</v>
      </c>
      <c r="F396">
        <v>51012</v>
      </c>
      <c r="G396">
        <v>0</v>
      </c>
      <c r="H396" s="2">
        <v>0</v>
      </c>
      <c r="I396" s="2">
        <v>41382</v>
      </c>
      <c r="J396">
        <v>86</v>
      </c>
      <c r="K396">
        <f>VLOOKUP(B396,purchase_dataset!$B$2:$F$2241,2,FALSE)</f>
        <v>9</v>
      </c>
      <c r="L396">
        <f>VLOOKUP(B396,purchase_dataset!$B$2:$F$2241,3,FALSE)</f>
        <v>9</v>
      </c>
      <c r="M396">
        <f>VLOOKUP(B396,purchase_dataset!$B$2:$F$2241,3,FALSE)</f>
        <v>9</v>
      </c>
      <c r="N396">
        <f>VLOOKUP(B396,purchase_dataset!$B$2:$F$2241,5,FALSE)</f>
        <v>4</v>
      </c>
      <c r="O396" s="5">
        <v>80</v>
      </c>
      <c r="P396" s="4" t="str">
        <f t="shared" si="12"/>
        <v>&gt;50</v>
      </c>
      <c r="Q396" s="4">
        <f>M396+N396</f>
        <v>13</v>
      </c>
      <c r="U396" s="28" t="str" cm="1">
        <f t="array" ref="U396">_xlfn.IFS(F396&lt;30000,"30k",F396&lt;=50000,"30k-50k",F396&lt;=75000,"50k-75k",F396&lt;=100000,"75k-100k",F396&gt;100000,"100k")</f>
        <v>50k-75k</v>
      </c>
      <c r="W396" s="1">
        <f t="shared" si="13"/>
        <v>13</v>
      </c>
    </row>
    <row r="397" spans="1:23" x14ac:dyDescent="0.35">
      <c r="A397">
        <v>394</v>
      </c>
      <c r="B397">
        <v>7683</v>
      </c>
      <c r="C397">
        <v>1968</v>
      </c>
      <c r="D397" s="1" t="s">
        <v>15</v>
      </c>
      <c r="E397" s="1" t="s">
        <v>14</v>
      </c>
      <c r="F397">
        <v>70777</v>
      </c>
      <c r="G397">
        <v>0</v>
      </c>
      <c r="H397" s="2">
        <v>1</v>
      </c>
      <c r="I397" s="2">
        <v>41695</v>
      </c>
      <c r="J397">
        <v>80</v>
      </c>
      <c r="K397">
        <f>VLOOKUP(B397,purchase_dataset!$B$2:$F$2241,2,FALSE)</f>
        <v>35</v>
      </c>
      <c r="L397">
        <f>VLOOKUP(B397,purchase_dataset!$B$2:$F$2241,3,FALSE)</f>
        <v>7</v>
      </c>
      <c r="M397">
        <f>VLOOKUP(B397,purchase_dataset!$B$2:$F$2241,3,FALSE)</f>
        <v>7</v>
      </c>
      <c r="N397">
        <f>VLOOKUP(B397,purchase_dataset!$B$2:$F$2241,5,FALSE)</f>
        <v>12</v>
      </c>
      <c r="O397" s="5">
        <v>58</v>
      </c>
      <c r="P397" s="4" t="str">
        <f t="shared" si="12"/>
        <v>&gt;50</v>
      </c>
      <c r="Q397" s="4">
        <f>M397+N397</f>
        <v>19</v>
      </c>
      <c r="U397" s="28" t="str" cm="1">
        <f t="array" ref="U397">_xlfn.IFS(F397&lt;30000,"30k",F397&lt;=50000,"30k-50k",F397&lt;=75000,"50k-75k",F397&lt;=100000,"75k-100k",F397&gt;100000,"100k")</f>
        <v>50k-75k</v>
      </c>
      <c r="W397" s="1">
        <f t="shared" si="13"/>
        <v>12</v>
      </c>
    </row>
    <row r="398" spans="1:23" x14ac:dyDescent="0.35">
      <c r="A398">
        <v>395</v>
      </c>
      <c r="B398">
        <v>3428</v>
      </c>
      <c r="C398">
        <v>1991</v>
      </c>
      <c r="D398" s="1" t="s">
        <v>13</v>
      </c>
      <c r="E398" s="1" t="s">
        <v>12</v>
      </c>
      <c r="F398">
        <v>68682</v>
      </c>
      <c r="G398">
        <v>0</v>
      </c>
      <c r="H398" s="2">
        <v>0</v>
      </c>
      <c r="I398" s="2">
        <v>41553</v>
      </c>
      <c r="J398">
        <v>56</v>
      </c>
      <c r="K398">
        <f>VLOOKUP(B398,purchase_dataset!$B$2:$F$2241,2,FALSE)</f>
        <v>0</v>
      </c>
      <c r="L398">
        <f>VLOOKUP(B398,purchase_dataset!$B$2:$F$2241,3,FALSE)</f>
        <v>30</v>
      </c>
      <c r="M398">
        <f>VLOOKUP(B398,purchase_dataset!$B$2:$F$2241,3,FALSE)</f>
        <v>30</v>
      </c>
      <c r="N398">
        <f>VLOOKUP(B398,purchase_dataset!$B$2:$F$2241,5,FALSE)</f>
        <v>10</v>
      </c>
      <c r="O398" s="5">
        <v>35</v>
      </c>
      <c r="P398" s="4" t="str">
        <f t="shared" si="12"/>
        <v>30-50</v>
      </c>
      <c r="Q398" s="4">
        <f>M398+N398</f>
        <v>40</v>
      </c>
      <c r="U398" s="28" t="str" cm="1">
        <f t="array" ref="U398">_xlfn.IFS(F398&lt;30000,"30k",F398&lt;=50000,"30k-50k",F398&lt;=75000,"50k-75k",F398&lt;=100000,"75k-100k",F398&gt;100000,"100k")</f>
        <v>50k-75k</v>
      </c>
      <c r="W398" s="1">
        <f t="shared" si="13"/>
        <v>13</v>
      </c>
    </row>
    <row r="399" spans="1:23" x14ac:dyDescent="0.35">
      <c r="A399">
        <v>396</v>
      </c>
      <c r="B399">
        <v>7414</v>
      </c>
      <c r="C399">
        <v>1971</v>
      </c>
      <c r="D399" s="1" t="s">
        <v>10</v>
      </c>
      <c r="E399" s="1" t="s">
        <v>14</v>
      </c>
      <c r="F399">
        <v>43824</v>
      </c>
      <c r="G399">
        <v>1</v>
      </c>
      <c r="H399" s="2">
        <v>1</v>
      </c>
      <c r="I399" s="2">
        <v>41167</v>
      </c>
      <c r="J399">
        <v>18</v>
      </c>
      <c r="K399">
        <f>VLOOKUP(B399,purchase_dataset!$B$2:$F$2241,2,FALSE)</f>
        <v>1</v>
      </c>
      <c r="L399">
        <f>VLOOKUP(B399,purchase_dataset!$B$2:$F$2241,3,FALSE)</f>
        <v>3</v>
      </c>
      <c r="M399">
        <f>VLOOKUP(B399,purchase_dataset!$B$2:$F$2241,3,FALSE)</f>
        <v>3</v>
      </c>
      <c r="N399">
        <f>VLOOKUP(B399,purchase_dataset!$B$2:$F$2241,5,FALSE)</f>
        <v>4</v>
      </c>
      <c r="O399" s="5">
        <v>55</v>
      </c>
      <c r="P399" s="4" t="str">
        <f t="shared" si="12"/>
        <v>&gt;50</v>
      </c>
      <c r="Q399" s="4">
        <f>M399+N399</f>
        <v>7</v>
      </c>
      <c r="U399" s="28" t="str" cm="1">
        <f t="array" ref="U399">_xlfn.IFS(F399&lt;30000,"30k",F399&lt;=50000,"30k-50k",F399&lt;=75000,"50k-75k",F399&lt;=100000,"75k-100k",F399&gt;100000,"100k")</f>
        <v>30k-50k</v>
      </c>
      <c r="W399" s="1">
        <f t="shared" si="13"/>
        <v>14</v>
      </c>
    </row>
    <row r="400" spans="1:23" x14ac:dyDescent="0.35">
      <c r="A400">
        <v>397</v>
      </c>
      <c r="B400">
        <v>6354</v>
      </c>
      <c r="C400">
        <v>1984</v>
      </c>
      <c r="D400" s="1" t="s">
        <v>10</v>
      </c>
      <c r="E400" s="1" t="s">
        <v>12</v>
      </c>
      <c r="F400">
        <v>15345</v>
      </c>
      <c r="G400">
        <v>1</v>
      </c>
      <c r="H400" s="2">
        <v>0</v>
      </c>
      <c r="I400" s="2">
        <v>41152</v>
      </c>
      <c r="J400">
        <v>51</v>
      </c>
      <c r="K400">
        <f>VLOOKUP(B400,purchase_dataset!$B$2:$F$2241,2,FALSE)</f>
        <v>2</v>
      </c>
      <c r="L400">
        <f>VLOOKUP(B400,purchase_dataset!$B$2:$F$2241,3,FALSE)</f>
        <v>2</v>
      </c>
      <c r="M400">
        <f>VLOOKUP(B400,purchase_dataset!$B$2:$F$2241,3,FALSE)</f>
        <v>2</v>
      </c>
      <c r="N400">
        <f>VLOOKUP(B400,purchase_dataset!$B$2:$F$2241,5,FALSE)</f>
        <v>2</v>
      </c>
      <c r="O400" s="5">
        <v>42</v>
      </c>
      <c r="P400" s="4" t="str">
        <f t="shared" si="12"/>
        <v>30-50</v>
      </c>
      <c r="Q400" s="4">
        <f>M400+N400</f>
        <v>4</v>
      </c>
      <c r="U400" s="28" t="str" cm="1">
        <f t="array" ref="U400">_xlfn.IFS(F400&lt;30000,"30k",F400&lt;=50000,"30k-50k",F400&lt;=75000,"50k-75k",F400&lt;=100000,"75k-100k",F400&gt;100000,"100k")</f>
        <v>30k</v>
      </c>
      <c r="W400" s="1">
        <f t="shared" si="13"/>
        <v>14</v>
      </c>
    </row>
    <row r="401" spans="1:23" x14ac:dyDescent="0.35">
      <c r="A401">
        <v>398</v>
      </c>
      <c r="B401">
        <v>798</v>
      </c>
      <c r="C401">
        <v>1987</v>
      </c>
      <c r="D401" s="1" t="s">
        <v>10</v>
      </c>
      <c r="E401" s="1" t="s">
        <v>11</v>
      </c>
      <c r="F401">
        <v>23442</v>
      </c>
      <c r="G401">
        <v>1</v>
      </c>
      <c r="H401" s="2">
        <v>0</v>
      </c>
      <c r="I401" s="2">
        <v>41267</v>
      </c>
      <c r="J401">
        <v>71</v>
      </c>
      <c r="K401">
        <f>VLOOKUP(B401,purchase_dataset!$B$2:$F$2241,2,FALSE)</f>
        <v>0</v>
      </c>
      <c r="L401">
        <f>VLOOKUP(B401,purchase_dataset!$B$2:$F$2241,3,FALSE)</f>
        <v>6</v>
      </c>
      <c r="M401">
        <f>VLOOKUP(B401,purchase_dataset!$B$2:$F$2241,3,FALSE)</f>
        <v>6</v>
      </c>
      <c r="N401">
        <f>VLOOKUP(B401,purchase_dataset!$B$2:$F$2241,5,FALSE)</f>
        <v>3</v>
      </c>
      <c r="O401" s="5">
        <v>39</v>
      </c>
      <c r="P401" s="4" t="str">
        <f t="shared" si="12"/>
        <v>30-50</v>
      </c>
      <c r="Q401" s="4">
        <f>M401+N401</f>
        <v>9</v>
      </c>
      <c r="U401" s="28" t="str" cm="1">
        <f t="array" ref="U401">_xlfn.IFS(F401&lt;30000,"30k",F401&lt;=50000,"30k-50k",F401&lt;=75000,"50k-75k",F401&lt;=100000,"75k-100k",F401&gt;100000,"100k")</f>
        <v>30k</v>
      </c>
      <c r="W401" s="1">
        <f t="shared" si="13"/>
        <v>14</v>
      </c>
    </row>
    <row r="402" spans="1:23" x14ac:dyDescent="0.35">
      <c r="A402">
        <v>399</v>
      </c>
      <c r="B402">
        <v>8213</v>
      </c>
      <c r="C402">
        <v>1980</v>
      </c>
      <c r="D402" s="1" t="s">
        <v>18</v>
      </c>
      <c r="E402" s="1" t="s">
        <v>12</v>
      </c>
      <c r="F402">
        <v>14515</v>
      </c>
      <c r="G402">
        <v>1</v>
      </c>
      <c r="H402" s="2">
        <v>0</v>
      </c>
      <c r="I402" s="2">
        <v>41222</v>
      </c>
      <c r="J402">
        <v>71</v>
      </c>
      <c r="K402">
        <f>VLOOKUP(B402,purchase_dataset!$B$2:$F$2241,2,FALSE)</f>
        <v>4</v>
      </c>
      <c r="L402">
        <f>VLOOKUP(B402,purchase_dataset!$B$2:$F$2241,3,FALSE)</f>
        <v>36</v>
      </c>
      <c r="M402">
        <f>VLOOKUP(B402,purchase_dataset!$B$2:$F$2241,3,FALSE)</f>
        <v>36</v>
      </c>
      <c r="N402">
        <f>VLOOKUP(B402,purchase_dataset!$B$2:$F$2241,5,FALSE)</f>
        <v>3</v>
      </c>
      <c r="O402" s="5">
        <v>46</v>
      </c>
      <c r="P402" s="4" t="str">
        <f t="shared" si="12"/>
        <v>30-50</v>
      </c>
      <c r="Q402" s="4">
        <f>M402+N402</f>
        <v>39</v>
      </c>
      <c r="U402" s="28" t="str" cm="1">
        <f t="array" ref="U402">_xlfn.IFS(F402&lt;30000,"30k",F402&lt;=50000,"30k-50k",F402&lt;=75000,"50k-75k",F402&lt;=100000,"75k-100k",F402&gt;100000,"100k")</f>
        <v>30k</v>
      </c>
      <c r="W402" s="1">
        <f t="shared" si="13"/>
        <v>14</v>
      </c>
    </row>
    <row r="403" spans="1:23" x14ac:dyDescent="0.35">
      <c r="A403">
        <v>400</v>
      </c>
      <c r="B403">
        <v>2488</v>
      </c>
      <c r="C403">
        <v>1956</v>
      </c>
      <c r="D403" s="1" t="s">
        <v>18</v>
      </c>
      <c r="E403" s="1" t="s">
        <v>16</v>
      </c>
      <c r="F403">
        <v>31395</v>
      </c>
      <c r="G403">
        <v>1</v>
      </c>
      <c r="H403" s="2">
        <v>1</v>
      </c>
      <c r="I403" s="2">
        <v>41356</v>
      </c>
      <c r="J403">
        <v>80</v>
      </c>
      <c r="K403">
        <f>VLOOKUP(B403,purchase_dataset!$B$2:$F$2241,2,FALSE)</f>
        <v>1</v>
      </c>
      <c r="L403">
        <f>VLOOKUP(B403,purchase_dataset!$B$2:$F$2241,3,FALSE)</f>
        <v>8</v>
      </c>
      <c r="M403">
        <f>VLOOKUP(B403,purchase_dataset!$B$2:$F$2241,3,FALSE)</f>
        <v>8</v>
      </c>
      <c r="N403">
        <f>VLOOKUP(B403,purchase_dataset!$B$2:$F$2241,5,FALSE)</f>
        <v>3</v>
      </c>
      <c r="O403" s="5">
        <v>70</v>
      </c>
      <c r="P403" s="4" t="str">
        <f t="shared" si="12"/>
        <v>&gt;50</v>
      </c>
      <c r="Q403" s="4">
        <f>M403+N403</f>
        <v>11</v>
      </c>
      <c r="U403" s="28" t="str" cm="1">
        <f t="array" ref="U403">_xlfn.IFS(F403&lt;30000,"30k",F403&lt;=50000,"30k-50k",F403&lt;=75000,"50k-75k",F403&lt;=100000,"75k-100k",F403&gt;100000,"100k")</f>
        <v>30k-50k</v>
      </c>
      <c r="W403" s="1">
        <f t="shared" si="13"/>
        <v>13</v>
      </c>
    </row>
    <row r="404" spans="1:23" x14ac:dyDescent="0.35">
      <c r="A404">
        <v>401</v>
      </c>
      <c r="B404">
        <v>9999</v>
      </c>
      <c r="C404">
        <v>1965</v>
      </c>
      <c r="D404" s="1" t="s">
        <v>10</v>
      </c>
      <c r="E404" s="1" t="s">
        <v>12</v>
      </c>
      <c r="F404">
        <v>75276</v>
      </c>
      <c r="G404">
        <v>0</v>
      </c>
      <c r="H404" s="2">
        <v>0</v>
      </c>
      <c r="I404" s="2">
        <v>41179</v>
      </c>
      <c r="J404">
        <v>2</v>
      </c>
      <c r="K404">
        <f>VLOOKUP(B404,purchase_dataset!$B$2:$F$2241,2,FALSE)</f>
        <v>105</v>
      </c>
      <c r="L404">
        <f>VLOOKUP(B404,purchase_dataset!$B$2:$F$2241,3,FALSE)</f>
        <v>42</v>
      </c>
      <c r="M404">
        <f>VLOOKUP(B404,purchase_dataset!$B$2:$F$2241,3,FALSE)</f>
        <v>42</v>
      </c>
      <c r="N404">
        <f>VLOOKUP(B404,purchase_dataset!$B$2:$F$2241,5,FALSE)</f>
        <v>9</v>
      </c>
      <c r="O404" s="5">
        <v>61</v>
      </c>
      <c r="P404" s="4" t="str">
        <f t="shared" si="12"/>
        <v>&gt;50</v>
      </c>
      <c r="Q404" s="4">
        <f>M404+N404</f>
        <v>51</v>
      </c>
      <c r="U404" s="28" t="str" cm="1">
        <f t="array" ref="U404">_xlfn.IFS(F404&lt;30000,"30k",F404&lt;=50000,"30k-50k",F404&lt;=75000,"50k-75k",F404&lt;=100000,"75k-100k",F404&gt;100000,"100k")</f>
        <v>75k-100k</v>
      </c>
      <c r="W404" s="1">
        <f t="shared" si="13"/>
        <v>14</v>
      </c>
    </row>
    <row r="405" spans="1:23" x14ac:dyDescent="0.35">
      <c r="A405">
        <v>402</v>
      </c>
      <c r="B405">
        <v>7617</v>
      </c>
      <c r="C405">
        <v>1974</v>
      </c>
      <c r="D405" s="1" t="s">
        <v>10</v>
      </c>
      <c r="E405" s="1" t="s">
        <v>11</v>
      </c>
      <c r="F405">
        <v>42373</v>
      </c>
      <c r="G405">
        <v>1</v>
      </c>
      <c r="H405" s="2">
        <v>1</v>
      </c>
      <c r="I405" s="2">
        <v>41501</v>
      </c>
      <c r="J405">
        <v>83</v>
      </c>
      <c r="K405">
        <f>VLOOKUP(B405,purchase_dataset!$B$2:$F$2241,2,FALSE)</f>
        <v>5</v>
      </c>
      <c r="L405">
        <f>VLOOKUP(B405,purchase_dataset!$B$2:$F$2241,3,FALSE)</f>
        <v>8</v>
      </c>
      <c r="M405">
        <f>VLOOKUP(B405,purchase_dataset!$B$2:$F$2241,3,FALSE)</f>
        <v>8</v>
      </c>
      <c r="N405">
        <f>VLOOKUP(B405,purchase_dataset!$B$2:$F$2241,5,FALSE)</f>
        <v>5</v>
      </c>
      <c r="O405" s="5">
        <v>52</v>
      </c>
      <c r="P405" s="4" t="str">
        <f t="shared" si="12"/>
        <v>&gt;50</v>
      </c>
      <c r="Q405" s="4">
        <f>M405+N405</f>
        <v>13</v>
      </c>
      <c r="U405" s="28" t="str" cm="1">
        <f t="array" ref="U405">_xlfn.IFS(F405&lt;30000,"30k",F405&lt;=50000,"30k-50k",F405&lt;=75000,"50k-75k",F405&lt;=100000,"75k-100k",F405&gt;100000,"100k")</f>
        <v>30k-50k</v>
      </c>
      <c r="W405" s="1">
        <f t="shared" si="13"/>
        <v>13</v>
      </c>
    </row>
    <row r="406" spans="1:23" x14ac:dyDescent="0.35">
      <c r="A406">
        <v>403</v>
      </c>
      <c r="B406">
        <v>615</v>
      </c>
      <c r="C406">
        <v>1960</v>
      </c>
      <c r="D406" s="1" t="s">
        <v>10</v>
      </c>
      <c r="E406" s="1" t="s">
        <v>12</v>
      </c>
      <c r="F406">
        <v>30507</v>
      </c>
      <c r="G406">
        <v>0</v>
      </c>
      <c r="H406" s="2">
        <v>0</v>
      </c>
      <c r="I406" s="2">
        <v>41344</v>
      </c>
      <c r="J406">
        <v>29</v>
      </c>
      <c r="K406">
        <f>VLOOKUP(B406,purchase_dataset!$B$2:$F$2241,2,FALSE)</f>
        <v>36</v>
      </c>
      <c r="L406">
        <f>VLOOKUP(B406,purchase_dataset!$B$2:$F$2241,3,FALSE)</f>
        <v>20</v>
      </c>
      <c r="M406">
        <f>VLOOKUP(B406,purchase_dataset!$B$2:$F$2241,3,FALSE)</f>
        <v>20</v>
      </c>
      <c r="N406">
        <f>VLOOKUP(B406,purchase_dataset!$B$2:$F$2241,5,FALSE)</f>
        <v>4</v>
      </c>
      <c r="O406" s="5">
        <v>66</v>
      </c>
      <c r="P406" s="4" t="str">
        <f t="shared" si="12"/>
        <v>&gt;50</v>
      </c>
      <c r="Q406" s="4">
        <f>M406+N406</f>
        <v>24</v>
      </c>
      <c r="U406" s="28" t="str" cm="1">
        <f t="array" ref="U406">_xlfn.IFS(F406&lt;30000,"30k",F406&lt;=50000,"30k-50k",F406&lt;=75000,"50k-75k",F406&lt;=100000,"75k-100k",F406&gt;100000,"100k")</f>
        <v>30k-50k</v>
      </c>
      <c r="W406" s="1">
        <f t="shared" si="13"/>
        <v>13</v>
      </c>
    </row>
    <row r="407" spans="1:23" x14ac:dyDescent="0.35">
      <c r="A407">
        <v>404</v>
      </c>
      <c r="B407">
        <v>2552</v>
      </c>
      <c r="C407">
        <v>1955</v>
      </c>
      <c r="D407" s="1" t="s">
        <v>13</v>
      </c>
      <c r="E407" s="1" t="s">
        <v>11</v>
      </c>
      <c r="F407">
        <v>55521</v>
      </c>
      <c r="G407">
        <v>1</v>
      </c>
      <c r="H407" s="2">
        <v>2</v>
      </c>
      <c r="I407" s="2">
        <v>41569</v>
      </c>
      <c r="J407">
        <v>11</v>
      </c>
      <c r="K407">
        <f>VLOOKUP(B407,purchase_dataset!$B$2:$F$2241,2,FALSE)</f>
        <v>0</v>
      </c>
      <c r="L407">
        <f>VLOOKUP(B407,purchase_dataset!$B$2:$F$2241,3,FALSE)</f>
        <v>0</v>
      </c>
      <c r="M407">
        <f>VLOOKUP(B407,purchase_dataset!$B$2:$F$2241,3,FALSE)</f>
        <v>0</v>
      </c>
      <c r="N407">
        <f>VLOOKUP(B407,purchase_dataset!$B$2:$F$2241,5,FALSE)</f>
        <v>6</v>
      </c>
      <c r="O407" s="5">
        <v>71</v>
      </c>
      <c r="P407" s="4" t="str">
        <f t="shared" si="12"/>
        <v>&gt;50</v>
      </c>
      <c r="Q407" s="4">
        <f>M407+N407</f>
        <v>6</v>
      </c>
      <c r="U407" s="28" t="str" cm="1">
        <f t="array" ref="U407">_xlfn.IFS(F407&lt;30000,"30k",F407&lt;=50000,"30k-50k",F407&lt;=75000,"50k-75k",F407&lt;=100000,"75k-100k",F407&gt;100000,"100k")</f>
        <v>50k-75k</v>
      </c>
      <c r="W407" s="1">
        <f t="shared" si="13"/>
        <v>13</v>
      </c>
    </row>
    <row r="408" spans="1:23" x14ac:dyDescent="0.35">
      <c r="A408">
        <v>405</v>
      </c>
      <c r="B408">
        <v>194</v>
      </c>
      <c r="C408">
        <v>1965</v>
      </c>
      <c r="D408" s="1" t="s">
        <v>10</v>
      </c>
      <c r="E408" s="1" t="s">
        <v>14</v>
      </c>
      <c r="F408">
        <v>48006</v>
      </c>
      <c r="G408">
        <v>1</v>
      </c>
      <c r="H408" s="2">
        <v>1</v>
      </c>
      <c r="I408" s="2">
        <v>41799</v>
      </c>
      <c r="J408">
        <v>55</v>
      </c>
      <c r="K408">
        <f>VLOOKUP(B408,purchase_dataset!$B$2:$F$2241,2,FALSE)</f>
        <v>0</v>
      </c>
      <c r="L408">
        <f>VLOOKUP(B408,purchase_dataset!$B$2:$F$2241,3,FALSE)</f>
        <v>2</v>
      </c>
      <c r="M408">
        <f>VLOOKUP(B408,purchase_dataset!$B$2:$F$2241,3,FALSE)</f>
        <v>2</v>
      </c>
      <c r="N408">
        <f>VLOOKUP(B408,purchase_dataset!$B$2:$F$2241,5,FALSE)</f>
        <v>3</v>
      </c>
      <c r="O408" s="5">
        <v>61</v>
      </c>
      <c r="P408" s="4" t="str">
        <f t="shared" si="12"/>
        <v>&gt;50</v>
      </c>
      <c r="Q408" s="4">
        <f>M408+N408</f>
        <v>5</v>
      </c>
      <c r="U408" s="28" t="str" cm="1">
        <f t="array" ref="U408">_xlfn.IFS(F408&lt;30000,"30k",F408&lt;=50000,"30k-50k",F408&lt;=75000,"50k-75k",F408&lt;=100000,"75k-100k",F408&gt;100000,"100k")</f>
        <v>30k-50k</v>
      </c>
      <c r="W408" s="1">
        <f t="shared" si="13"/>
        <v>12</v>
      </c>
    </row>
    <row r="409" spans="1:23" x14ac:dyDescent="0.35">
      <c r="A409">
        <v>406</v>
      </c>
      <c r="B409">
        <v>3645</v>
      </c>
      <c r="C409">
        <v>1972</v>
      </c>
      <c r="D409" s="1" t="s">
        <v>13</v>
      </c>
      <c r="E409" s="1" t="s">
        <v>11</v>
      </c>
      <c r="F409">
        <v>27213</v>
      </c>
      <c r="G409">
        <v>1</v>
      </c>
      <c r="H409" s="2">
        <v>0</v>
      </c>
      <c r="I409" s="2">
        <v>41151</v>
      </c>
      <c r="J409">
        <v>19</v>
      </c>
      <c r="K409">
        <f>VLOOKUP(B409,purchase_dataset!$B$2:$F$2241,2,FALSE)</f>
        <v>3</v>
      </c>
      <c r="L409">
        <f>VLOOKUP(B409,purchase_dataset!$B$2:$F$2241,3,FALSE)</f>
        <v>9</v>
      </c>
      <c r="M409">
        <f>VLOOKUP(B409,purchase_dataset!$B$2:$F$2241,3,FALSE)</f>
        <v>9</v>
      </c>
      <c r="N409">
        <f>VLOOKUP(B409,purchase_dataset!$B$2:$F$2241,5,FALSE)</f>
        <v>4</v>
      </c>
      <c r="O409" s="5">
        <v>54</v>
      </c>
      <c r="P409" s="4" t="str">
        <f t="shared" si="12"/>
        <v>&gt;50</v>
      </c>
      <c r="Q409" s="4">
        <f>M409+N409</f>
        <v>13</v>
      </c>
      <c r="U409" s="28" t="str" cm="1">
        <f t="array" ref="U409">_xlfn.IFS(F409&lt;30000,"30k",F409&lt;=50000,"30k-50k",F409&lt;=75000,"50k-75k",F409&lt;=100000,"75k-100k",F409&gt;100000,"100k")</f>
        <v>30k</v>
      </c>
      <c r="W409" s="1">
        <f t="shared" si="13"/>
        <v>14</v>
      </c>
    </row>
    <row r="410" spans="1:23" x14ac:dyDescent="0.35">
      <c r="A410">
        <v>407</v>
      </c>
      <c r="B410">
        <v>8890</v>
      </c>
      <c r="C410">
        <v>1971</v>
      </c>
      <c r="D410" s="1" t="s">
        <v>13</v>
      </c>
      <c r="E410" s="1" t="s">
        <v>16</v>
      </c>
      <c r="F410">
        <v>65808</v>
      </c>
      <c r="G410">
        <v>1</v>
      </c>
      <c r="H410" s="2">
        <v>1</v>
      </c>
      <c r="I410" s="2">
        <v>41789</v>
      </c>
      <c r="J410">
        <v>1</v>
      </c>
      <c r="K410">
        <f>VLOOKUP(B410,purchase_dataset!$B$2:$F$2241,2,FALSE)</f>
        <v>7</v>
      </c>
      <c r="L410">
        <f>VLOOKUP(B410,purchase_dataset!$B$2:$F$2241,3,FALSE)</f>
        <v>7</v>
      </c>
      <c r="M410">
        <f>VLOOKUP(B410,purchase_dataset!$B$2:$F$2241,3,FALSE)</f>
        <v>7</v>
      </c>
      <c r="N410">
        <f>VLOOKUP(B410,purchase_dataset!$B$2:$F$2241,5,FALSE)</f>
        <v>5</v>
      </c>
      <c r="O410" s="5">
        <v>55</v>
      </c>
      <c r="P410" s="4" t="str">
        <f t="shared" si="12"/>
        <v>&gt;50</v>
      </c>
      <c r="Q410" s="4">
        <f>M410+N410</f>
        <v>12</v>
      </c>
      <c r="U410" s="28" t="str" cm="1">
        <f t="array" ref="U410">_xlfn.IFS(F410&lt;30000,"30k",F410&lt;=50000,"30k-50k",F410&lt;=75000,"50k-75k",F410&lt;=100000,"75k-100k",F410&gt;100000,"100k")</f>
        <v>50k-75k</v>
      </c>
      <c r="W410" s="1">
        <f t="shared" si="13"/>
        <v>12</v>
      </c>
    </row>
    <row r="411" spans="1:23" x14ac:dyDescent="0.35">
      <c r="A411">
        <v>408</v>
      </c>
      <c r="B411">
        <v>5049</v>
      </c>
      <c r="C411">
        <v>1974</v>
      </c>
      <c r="D411" s="1" t="s">
        <v>13</v>
      </c>
      <c r="E411" s="1" t="s">
        <v>12</v>
      </c>
      <c r="F411">
        <v>30351</v>
      </c>
      <c r="G411">
        <v>1</v>
      </c>
      <c r="H411" s="2">
        <v>0</v>
      </c>
      <c r="I411" s="2">
        <v>41431</v>
      </c>
      <c r="J411">
        <v>19</v>
      </c>
      <c r="K411">
        <f>VLOOKUP(B411,purchase_dataset!$B$2:$F$2241,2,FALSE)</f>
        <v>0</v>
      </c>
      <c r="L411">
        <f>VLOOKUP(B411,purchase_dataset!$B$2:$F$2241,3,FALSE)</f>
        <v>3</v>
      </c>
      <c r="M411">
        <f>VLOOKUP(B411,purchase_dataset!$B$2:$F$2241,3,FALSE)</f>
        <v>3</v>
      </c>
      <c r="N411">
        <f>VLOOKUP(B411,purchase_dataset!$B$2:$F$2241,5,FALSE)</f>
        <v>2</v>
      </c>
      <c r="O411" s="5">
        <v>52</v>
      </c>
      <c r="P411" s="4" t="str">
        <f t="shared" si="12"/>
        <v>&gt;50</v>
      </c>
      <c r="Q411" s="4">
        <f>M411+N411</f>
        <v>5</v>
      </c>
      <c r="U411" s="28" t="str" cm="1">
        <f t="array" ref="U411">_xlfn.IFS(F411&lt;30000,"30k",F411&lt;=50000,"30k-50k",F411&lt;=75000,"50k-75k",F411&lt;=100000,"75k-100k",F411&gt;100000,"100k")</f>
        <v>30k-50k</v>
      </c>
      <c r="W411" s="1">
        <f t="shared" si="13"/>
        <v>13</v>
      </c>
    </row>
    <row r="412" spans="1:23" x14ac:dyDescent="0.35">
      <c r="A412">
        <v>409</v>
      </c>
      <c r="B412">
        <v>9973</v>
      </c>
      <c r="C412">
        <v>1963</v>
      </c>
      <c r="D412" s="1" t="s">
        <v>10</v>
      </c>
      <c r="E412" s="1" t="s">
        <v>14</v>
      </c>
      <c r="F412">
        <v>50437</v>
      </c>
      <c r="G412">
        <v>0</v>
      </c>
      <c r="H412" s="2">
        <v>2</v>
      </c>
      <c r="I412" s="2">
        <v>41199</v>
      </c>
      <c r="J412">
        <v>28</v>
      </c>
      <c r="K412">
        <f>VLOOKUP(B412,purchase_dataset!$B$2:$F$2241,2,FALSE)</f>
        <v>9</v>
      </c>
      <c r="L412">
        <f>VLOOKUP(B412,purchase_dataset!$B$2:$F$2241,3,FALSE)</f>
        <v>9</v>
      </c>
      <c r="M412">
        <f>VLOOKUP(B412,purchase_dataset!$B$2:$F$2241,3,FALSE)</f>
        <v>9</v>
      </c>
      <c r="N412">
        <f>VLOOKUP(B412,purchase_dataset!$B$2:$F$2241,5,FALSE)</f>
        <v>8</v>
      </c>
      <c r="O412" s="5">
        <v>63</v>
      </c>
      <c r="P412" s="4" t="str">
        <f t="shared" si="12"/>
        <v>&gt;50</v>
      </c>
      <c r="Q412" s="4">
        <f>M412+N412</f>
        <v>17</v>
      </c>
      <c r="U412" s="28" t="str" cm="1">
        <f t="array" ref="U412">_xlfn.IFS(F412&lt;30000,"30k",F412&lt;=50000,"30k-50k",F412&lt;=75000,"50k-75k",F412&lt;=100000,"75k-100k",F412&gt;100000,"100k")</f>
        <v>50k-75k</v>
      </c>
      <c r="W412" s="1">
        <f t="shared" si="13"/>
        <v>14</v>
      </c>
    </row>
    <row r="413" spans="1:23" x14ac:dyDescent="0.35">
      <c r="A413">
        <v>410</v>
      </c>
      <c r="B413">
        <v>7301</v>
      </c>
      <c r="C413">
        <v>1982</v>
      </c>
      <c r="D413" s="1" t="s">
        <v>18</v>
      </c>
      <c r="E413" s="1" t="s">
        <v>11</v>
      </c>
      <c r="F413">
        <v>23616</v>
      </c>
      <c r="G413">
        <v>1</v>
      </c>
      <c r="H413" s="2">
        <v>0</v>
      </c>
      <c r="I413" s="2">
        <v>41230</v>
      </c>
      <c r="J413">
        <v>76</v>
      </c>
      <c r="K413">
        <f>VLOOKUP(B413,purchase_dataset!$B$2:$F$2241,2,FALSE)</f>
        <v>22</v>
      </c>
      <c r="L413">
        <f>VLOOKUP(B413,purchase_dataset!$B$2:$F$2241,3,FALSE)</f>
        <v>7</v>
      </c>
      <c r="M413">
        <f>VLOOKUP(B413,purchase_dataset!$B$2:$F$2241,3,FALSE)</f>
        <v>7</v>
      </c>
      <c r="N413">
        <f>VLOOKUP(B413,purchase_dataset!$B$2:$F$2241,5,FALSE)</f>
        <v>3</v>
      </c>
      <c r="O413" s="5">
        <v>44</v>
      </c>
      <c r="P413" s="4" t="str">
        <f t="shared" si="12"/>
        <v>30-50</v>
      </c>
      <c r="Q413" s="4">
        <f>M413+N413</f>
        <v>10</v>
      </c>
      <c r="U413" s="28" t="str" cm="1">
        <f t="array" ref="U413">_xlfn.IFS(F413&lt;30000,"30k",F413&lt;=50000,"30k-50k",F413&lt;=75000,"50k-75k",F413&lt;=100000,"75k-100k",F413&gt;100000,"100k")</f>
        <v>30k</v>
      </c>
      <c r="W413" s="1">
        <f t="shared" si="13"/>
        <v>14</v>
      </c>
    </row>
    <row r="414" spans="1:23" x14ac:dyDescent="0.35">
      <c r="A414">
        <v>411</v>
      </c>
      <c r="B414">
        <v>10882</v>
      </c>
      <c r="C414">
        <v>1976</v>
      </c>
      <c r="D414" s="1" t="s">
        <v>10</v>
      </c>
      <c r="E414" s="1" t="s">
        <v>14</v>
      </c>
      <c r="F414">
        <v>53858</v>
      </c>
      <c r="G414">
        <v>0</v>
      </c>
      <c r="H414" s="2">
        <v>1</v>
      </c>
      <c r="I414" s="2">
        <v>41222</v>
      </c>
      <c r="J414">
        <v>50</v>
      </c>
      <c r="K414">
        <f>VLOOKUP(B414,purchase_dataset!$B$2:$F$2241,2,FALSE)</f>
        <v>53</v>
      </c>
      <c r="L414">
        <f>VLOOKUP(B414,purchase_dataset!$B$2:$F$2241,3,FALSE)</f>
        <v>150</v>
      </c>
      <c r="M414">
        <f>VLOOKUP(B414,purchase_dataset!$B$2:$F$2241,3,FALSE)</f>
        <v>150</v>
      </c>
      <c r="N414">
        <f>VLOOKUP(B414,purchase_dataset!$B$2:$F$2241,5,FALSE)</f>
        <v>6</v>
      </c>
      <c r="O414" s="5">
        <v>50</v>
      </c>
      <c r="P414" s="4" t="str">
        <f t="shared" si="12"/>
        <v>30-50</v>
      </c>
      <c r="Q414" s="4">
        <f>M414+N414</f>
        <v>156</v>
      </c>
      <c r="U414" s="28" t="str" cm="1">
        <f t="array" ref="U414">_xlfn.IFS(F414&lt;30000,"30k",F414&lt;=50000,"30k-50k",F414&lt;=75000,"50k-75k",F414&lt;=100000,"75k-100k",F414&gt;100000,"100k")</f>
        <v>50k-75k</v>
      </c>
      <c r="W414" s="1">
        <f t="shared" si="13"/>
        <v>14</v>
      </c>
    </row>
    <row r="415" spans="1:23" x14ac:dyDescent="0.35">
      <c r="A415">
        <v>412</v>
      </c>
      <c r="B415">
        <v>7030</v>
      </c>
      <c r="C415">
        <v>1955</v>
      </c>
      <c r="D415" s="1" t="s">
        <v>13</v>
      </c>
      <c r="E415" s="1" t="s">
        <v>14</v>
      </c>
      <c r="F415">
        <v>66465</v>
      </c>
      <c r="G415">
        <v>0</v>
      </c>
      <c r="H415" s="2">
        <v>1</v>
      </c>
      <c r="I415" s="2">
        <v>41363</v>
      </c>
      <c r="J415">
        <v>1</v>
      </c>
      <c r="K415">
        <f>VLOOKUP(B415,purchase_dataset!$B$2:$F$2241,2,FALSE)</f>
        <v>0</v>
      </c>
      <c r="L415">
        <f>VLOOKUP(B415,purchase_dataset!$B$2:$F$2241,3,FALSE)</f>
        <v>29</v>
      </c>
      <c r="M415">
        <f>VLOOKUP(B415,purchase_dataset!$B$2:$F$2241,3,FALSE)</f>
        <v>29</v>
      </c>
      <c r="N415">
        <f>VLOOKUP(B415,purchase_dataset!$B$2:$F$2241,5,FALSE)</f>
        <v>12</v>
      </c>
      <c r="O415" s="5">
        <v>71</v>
      </c>
      <c r="P415" s="4" t="str">
        <f t="shared" si="12"/>
        <v>&gt;50</v>
      </c>
      <c r="Q415" s="4">
        <f>M415+N415</f>
        <v>41</v>
      </c>
      <c r="U415" s="28" t="str" cm="1">
        <f t="array" ref="U415">_xlfn.IFS(F415&lt;30000,"30k",F415&lt;=50000,"30k-50k",F415&lt;=75000,"50k-75k",F415&lt;=100000,"75k-100k",F415&gt;100000,"100k")</f>
        <v>50k-75k</v>
      </c>
      <c r="W415" s="1">
        <f t="shared" si="13"/>
        <v>13</v>
      </c>
    </row>
    <row r="416" spans="1:23" x14ac:dyDescent="0.35">
      <c r="A416">
        <v>413</v>
      </c>
      <c r="B416">
        <v>7422</v>
      </c>
      <c r="C416">
        <v>1987</v>
      </c>
      <c r="D416" s="1" t="s">
        <v>10</v>
      </c>
      <c r="E416" s="1" t="s">
        <v>11</v>
      </c>
      <c r="F416">
        <v>46923</v>
      </c>
      <c r="G416">
        <v>1</v>
      </c>
      <c r="H416" s="2">
        <v>0</v>
      </c>
      <c r="I416" s="2">
        <v>41143</v>
      </c>
      <c r="J416">
        <v>90</v>
      </c>
      <c r="K416">
        <f>VLOOKUP(B416,purchase_dataset!$B$2:$F$2241,2,FALSE)</f>
        <v>44</v>
      </c>
      <c r="L416">
        <f>VLOOKUP(B416,purchase_dataset!$B$2:$F$2241,3,FALSE)</f>
        <v>78</v>
      </c>
      <c r="M416">
        <f>VLOOKUP(B416,purchase_dataset!$B$2:$F$2241,3,FALSE)</f>
        <v>78</v>
      </c>
      <c r="N416">
        <f>VLOOKUP(B416,purchase_dataset!$B$2:$F$2241,5,FALSE)</f>
        <v>7</v>
      </c>
      <c r="O416" s="5">
        <v>39</v>
      </c>
      <c r="P416" s="4" t="str">
        <f t="shared" si="12"/>
        <v>30-50</v>
      </c>
      <c r="Q416" s="4">
        <f>M416+N416</f>
        <v>85</v>
      </c>
      <c r="U416" s="28" t="str" cm="1">
        <f t="array" ref="U416">_xlfn.IFS(F416&lt;30000,"30k",F416&lt;=50000,"30k-50k",F416&lt;=75000,"50k-75k",F416&lt;=100000,"75k-100k",F416&gt;100000,"100k")</f>
        <v>30k-50k</v>
      </c>
      <c r="W416" s="1">
        <f t="shared" si="13"/>
        <v>14</v>
      </c>
    </row>
    <row r="417" spans="1:23" x14ac:dyDescent="0.35">
      <c r="A417">
        <v>414</v>
      </c>
      <c r="B417">
        <v>3523</v>
      </c>
      <c r="C417">
        <v>1962</v>
      </c>
      <c r="D417" s="1" t="s">
        <v>10</v>
      </c>
      <c r="E417" s="1" t="s">
        <v>12</v>
      </c>
      <c r="F417">
        <v>75072</v>
      </c>
      <c r="G417">
        <v>0</v>
      </c>
      <c r="H417" s="2">
        <v>1</v>
      </c>
      <c r="I417" s="2">
        <v>41297</v>
      </c>
      <c r="J417">
        <v>83</v>
      </c>
      <c r="K417">
        <f>VLOOKUP(B417,purchase_dataset!$B$2:$F$2241,2,FALSE)</f>
        <v>34</v>
      </c>
      <c r="L417">
        <f>VLOOKUP(B417,purchase_dataset!$B$2:$F$2241,3,FALSE)</f>
        <v>22</v>
      </c>
      <c r="M417">
        <f>VLOOKUP(B417,purchase_dataset!$B$2:$F$2241,3,FALSE)</f>
        <v>22</v>
      </c>
      <c r="N417">
        <f>VLOOKUP(B417,purchase_dataset!$B$2:$F$2241,5,FALSE)</f>
        <v>8</v>
      </c>
      <c r="O417" s="5">
        <v>64</v>
      </c>
      <c r="P417" s="4" t="str">
        <f t="shared" si="12"/>
        <v>&gt;50</v>
      </c>
      <c r="Q417" s="4">
        <f>M417+N417</f>
        <v>30</v>
      </c>
      <c r="U417" s="28" t="str" cm="1">
        <f t="array" ref="U417">_xlfn.IFS(F417&lt;30000,"30k",F417&lt;=50000,"30k-50k",F417&lt;=75000,"50k-75k",F417&lt;=100000,"75k-100k",F417&gt;100000,"100k")</f>
        <v>75k-100k</v>
      </c>
      <c r="W417" s="1">
        <f t="shared" si="13"/>
        <v>13</v>
      </c>
    </row>
    <row r="418" spans="1:23" x14ac:dyDescent="0.35">
      <c r="A418">
        <v>415</v>
      </c>
      <c r="B418">
        <v>7106</v>
      </c>
      <c r="C418">
        <v>1943</v>
      </c>
      <c r="D418" s="1" t="s">
        <v>13</v>
      </c>
      <c r="E418" s="1" t="s">
        <v>14</v>
      </c>
      <c r="F418">
        <v>75865</v>
      </c>
      <c r="G418">
        <v>0</v>
      </c>
      <c r="H418" s="2">
        <v>0</v>
      </c>
      <c r="I418" s="2">
        <v>41729</v>
      </c>
      <c r="J418">
        <v>73</v>
      </c>
      <c r="K418">
        <f>VLOOKUP(B418,purchase_dataset!$B$2:$F$2241,2,FALSE)</f>
        <v>0</v>
      </c>
      <c r="L418">
        <f>VLOOKUP(B418,purchase_dataset!$B$2:$F$2241,3,FALSE)</f>
        <v>0</v>
      </c>
      <c r="M418">
        <f>VLOOKUP(B418,purchase_dataset!$B$2:$F$2241,3,FALSE)</f>
        <v>0</v>
      </c>
      <c r="N418">
        <f>VLOOKUP(B418,purchase_dataset!$B$2:$F$2241,5,FALSE)</f>
        <v>10</v>
      </c>
      <c r="O418" s="5">
        <v>83</v>
      </c>
      <c r="P418" s="4" t="str">
        <f t="shared" si="12"/>
        <v>&gt;50</v>
      </c>
      <c r="Q418" s="4">
        <f>M418+N418</f>
        <v>10</v>
      </c>
      <c r="U418" s="28" t="str" cm="1">
        <f t="array" ref="U418">_xlfn.IFS(F418&lt;30000,"30k",F418&lt;=50000,"30k-50k",F418&lt;=75000,"50k-75k",F418&lt;=100000,"75k-100k",F418&gt;100000,"100k")</f>
        <v>75k-100k</v>
      </c>
      <c r="W418" s="1">
        <f t="shared" si="13"/>
        <v>12</v>
      </c>
    </row>
    <row r="419" spans="1:23" x14ac:dyDescent="0.35">
      <c r="A419">
        <v>416</v>
      </c>
      <c r="B419">
        <v>6504</v>
      </c>
      <c r="C419">
        <v>1975</v>
      </c>
      <c r="D419" s="1" t="s">
        <v>18</v>
      </c>
      <c r="E419" s="1" t="s">
        <v>12</v>
      </c>
      <c r="F419">
        <v>19789</v>
      </c>
      <c r="G419">
        <v>1</v>
      </c>
      <c r="H419" s="2">
        <v>0</v>
      </c>
      <c r="I419" s="2">
        <v>41598</v>
      </c>
      <c r="J419">
        <v>24</v>
      </c>
      <c r="K419">
        <f>VLOOKUP(B419,purchase_dataset!$B$2:$F$2241,2,FALSE)</f>
        <v>5</v>
      </c>
      <c r="L419">
        <f>VLOOKUP(B419,purchase_dataset!$B$2:$F$2241,3,FALSE)</f>
        <v>6</v>
      </c>
      <c r="M419">
        <f>VLOOKUP(B419,purchase_dataset!$B$2:$F$2241,3,FALSE)</f>
        <v>6</v>
      </c>
      <c r="N419">
        <f>VLOOKUP(B419,purchase_dataset!$B$2:$F$2241,5,FALSE)</f>
        <v>3</v>
      </c>
      <c r="O419" s="5">
        <v>51</v>
      </c>
      <c r="P419" s="4" t="str">
        <f t="shared" si="12"/>
        <v>&gt;50</v>
      </c>
      <c r="Q419" s="4">
        <f>M419+N419</f>
        <v>9</v>
      </c>
      <c r="U419" s="28" t="str" cm="1">
        <f t="array" ref="U419">_xlfn.IFS(F419&lt;30000,"30k",F419&lt;=50000,"30k-50k",F419&lt;=75000,"50k-75k",F419&lt;=100000,"75k-100k",F419&gt;100000,"100k")</f>
        <v>30k</v>
      </c>
      <c r="W419" s="1">
        <f t="shared" si="13"/>
        <v>13</v>
      </c>
    </row>
    <row r="420" spans="1:23" x14ac:dyDescent="0.35">
      <c r="A420">
        <v>417</v>
      </c>
      <c r="B420">
        <v>5067</v>
      </c>
      <c r="C420">
        <v>1994</v>
      </c>
      <c r="D420" s="1" t="s">
        <v>10</v>
      </c>
      <c r="E420" s="1" t="s">
        <v>12</v>
      </c>
      <c r="F420">
        <v>80134</v>
      </c>
      <c r="G420">
        <v>0</v>
      </c>
      <c r="H420" s="2">
        <v>0</v>
      </c>
      <c r="I420" s="2">
        <v>41684</v>
      </c>
      <c r="J420">
        <v>11</v>
      </c>
      <c r="K420">
        <f>VLOOKUP(B420,purchase_dataset!$B$2:$F$2241,2,FALSE)</f>
        <v>26</v>
      </c>
      <c r="L420">
        <f>VLOOKUP(B420,purchase_dataset!$B$2:$F$2241,3,FALSE)</f>
        <v>26</v>
      </c>
      <c r="M420">
        <f>VLOOKUP(B420,purchase_dataset!$B$2:$F$2241,3,FALSE)</f>
        <v>26</v>
      </c>
      <c r="N420">
        <f>VLOOKUP(B420,purchase_dataset!$B$2:$F$2241,5,FALSE)</f>
        <v>11</v>
      </c>
      <c r="O420" s="5">
        <v>32</v>
      </c>
      <c r="P420" s="4" t="str">
        <f t="shared" si="12"/>
        <v>30-50</v>
      </c>
      <c r="Q420" s="4">
        <f>M420+N420</f>
        <v>37</v>
      </c>
      <c r="U420" s="28" t="str" cm="1">
        <f t="array" ref="U420">_xlfn.IFS(F420&lt;30000,"30k",F420&lt;=50000,"30k-50k",F420&lt;=75000,"50k-75k",F420&lt;=100000,"75k-100k",F420&gt;100000,"100k")</f>
        <v>75k-100k</v>
      </c>
      <c r="W420" s="1">
        <f t="shared" si="13"/>
        <v>12</v>
      </c>
    </row>
    <row r="421" spans="1:23" x14ac:dyDescent="0.35">
      <c r="A421">
        <v>418</v>
      </c>
      <c r="B421">
        <v>4216</v>
      </c>
      <c r="C421">
        <v>1981</v>
      </c>
      <c r="D421" s="1" t="s">
        <v>10</v>
      </c>
      <c r="E421" s="1" t="s">
        <v>11</v>
      </c>
      <c r="F421">
        <v>91065</v>
      </c>
      <c r="G421">
        <v>0</v>
      </c>
      <c r="H421" s="2">
        <v>0</v>
      </c>
      <c r="I421" s="2">
        <v>41327</v>
      </c>
      <c r="J421">
        <v>33</v>
      </c>
      <c r="K421">
        <f>VLOOKUP(B421,purchase_dataset!$B$2:$F$2241,2,FALSE)</f>
        <v>114</v>
      </c>
      <c r="L421">
        <f>VLOOKUP(B421,purchase_dataset!$B$2:$F$2241,3,FALSE)</f>
        <v>137</v>
      </c>
      <c r="M421">
        <f>VLOOKUP(B421,purchase_dataset!$B$2:$F$2241,3,FALSE)</f>
        <v>137</v>
      </c>
      <c r="N421">
        <f>VLOOKUP(B421,purchase_dataset!$B$2:$F$2241,5,FALSE)</f>
        <v>9</v>
      </c>
      <c r="O421" s="5">
        <v>45</v>
      </c>
      <c r="P421" s="4" t="str">
        <f t="shared" si="12"/>
        <v>30-50</v>
      </c>
      <c r="Q421" s="4">
        <f>M421+N421</f>
        <v>146</v>
      </c>
      <c r="U421" s="28" t="str" cm="1">
        <f t="array" ref="U421">_xlfn.IFS(F421&lt;30000,"30k",F421&lt;=50000,"30k-50k",F421&lt;=75000,"50k-75k",F421&lt;=100000,"75k-100k",F421&gt;100000,"100k")</f>
        <v>75k-100k</v>
      </c>
      <c r="W421" s="1">
        <f t="shared" si="13"/>
        <v>13</v>
      </c>
    </row>
    <row r="422" spans="1:23" x14ac:dyDescent="0.35">
      <c r="A422">
        <v>419</v>
      </c>
      <c r="B422">
        <v>8581</v>
      </c>
      <c r="C422">
        <v>1971</v>
      </c>
      <c r="D422" s="1" t="s">
        <v>15</v>
      </c>
      <c r="E422" s="1" t="s">
        <v>14</v>
      </c>
      <c r="F422">
        <v>49505</v>
      </c>
      <c r="G422">
        <v>1</v>
      </c>
      <c r="H422" s="2">
        <v>1</v>
      </c>
      <c r="I422" s="2">
        <v>41338</v>
      </c>
      <c r="J422">
        <v>4</v>
      </c>
      <c r="K422">
        <f>VLOOKUP(B422,purchase_dataset!$B$2:$F$2241,2,FALSE)</f>
        <v>0</v>
      </c>
      <c r="L422">
        <f>VLOOKUP(B422,purchase_dataset!$B$2:$F$2241,3,FALSE)</f>
        <v>0</v>
      </c>
      <c r="M422">
        <f>VLOOKUP(B422,purchase_dataset!$B$2:$F$2241,3,FALSE)</f>
        <v>0</v>
      </c>
      <c r="N422">
        <f>VLOOKUP(B422,purchase_dataset!$B$2:$F$2241,5,FALSE)</f>
        <v>8</v>
      </c>
      <c r="O422" s="5">
        <v>55</v>
      </c>
      <c r="P422" s="4" t="str">
        <f t="shared" si="12"/>
        <v>&gt;50</v>
      </c>
      <c r="Q422" s="4">
        <f>M422+N422</f>
        <v>8</v>
      </c>
      <c r="U422" s="28" t="str" cm="1">
        <f t="array" ref="U422">_xlfn.IFS(F422&lt;30000,"30k",F422&lt;=50000,"30k-50k",F422&lt;=75000,"50k-75k",F422&lt;=100000,"75k-100k",F422&gt;100000,"100k")</f>
        <v>30k-50k</v>
      </c>
      <c r="W422" s="1">
        <f t="shared" si="13"/>
        <v>13</v>
      </c>
    </row>
    <row r="423" spans="1:23" x14ac:dyDescent="0.35">
      <c r="A423">
        <v>420</v>
      </c>
      <c r="B423">
        <v>5929</v>
      </c>
      <c r="C423">
        <v>1973</v>
      </c>
      <c r="D423" s="1" t="s">
        <v>13</v>
      </c>
      <c r="E423" s="1" t="s">
        <v>14</v>
      </c>
      <c r="F423">
        <v>37401</v>
      </c>
      <c r="G423">
        <v>1</v>
      </c>
      <c r="H423" s="2">
        <v>0</v>
      </c>
      <c r="I423" s="2">
        <v>41765</v>
      </c>
      <c r="J423">
        <v>14</v>
      </c>
      <c r="K423">
        <f>VLOOKUP(B423,purchase_dataset!$B$2:$F$2241,2,FALSE)</f>
        <v>3</v>
      </c>
      <c r="L423">
        <f>VLOOKUP(B423,purchase_dataset!$B$2:$F$2241,3,FALSE)</f>
        <v>1</v>
      </c>
      <c r="M423">
        <f>VLOOKUP(B423,purchase_dataset!$B$2:$F$2241,3,FALSE)</f>
        <v>1</v>
      </c>
      <c r="N423">
        <f>VLOOKUP(B423,purchase_dataset!$B$2:$F$2241,5,FALSE)</f>
        <v>3</v>
      </c>
      <c r="O423" s="5">
        <v>53</v>
      </c>
      <c r="P423" s="4" t="str">
        <f t="shared" si="12"/>
        <v>&gt;50</v>
      </c>
      <c r="Q423" s="4">
        <f>M423+N423</f>
        <v>4</v>
      </c>
      <c r="U423" s="28" t="str" cm="1">
        <f t="array" ref="U423">_xlfn.IFS(F423&lt;30000,"30k",F423&lt;=50000,"30k-50k",F423&lt;=75000,"50k-75k",F423&lt;=100000,"75k-100k",F423&gt;100000,"100k")</f>
        <v>30k-50k</v>
      </c>
      <c r="W423" s="1">
        <f t="shared" si="13"/>
        <v>12</v>
      </c>
    </row>
    <row r="424" spans="1:23" x14ac:dyDescent="0.35">
      <c r="A424">
        <v>421</v>
      </c>
      <c r="B424">
        <v>3129</v>
      </c>
      <c r="C424">
        <v>1983</v>
      </c>
      <c r="D424" s="1" t="s">
        <v>10</v>
      </c>
      <c r="E424" s="1" t="s">
        <v>14</v>
      </c>
      <c r="F424">
        <v>30096</v>
      </c>
      <c r="G424">
        <v>1</v>
      </c>
      <c r="H424" s="2">
        <v>0</v>
      </c>
      <c r="I424" s="2">
        <v>41781</v>
      </c>
      <c r="J424">
        <v>30</v>
      </c>
      <c r="K424">
        <f>VLOOKUP(B424,purchase_dataset!$B$2:$F$2241,2,FALSE)</f>
        <v>3</v>
      </c>
      <c r="L424">
        <f>VLOOKUP(B424,purchase_dataset!$B$2:$F$2241,3,FALSE)</f>
        <v>5</v>
      </c>
      <c r="M424">
        <f>VLOOKUP(B424,purchase_dataset!$B$2:$F$2241,3,FALSE)</f>
        <v>5</v>
      </c>
      <c r="N424">
        <f>VLOOKUP(B424,purchase_dataset!$B$2:$F$2241,5,FALSE)</f>
        <v>3</v>
      </c>
      <c r="O424" s="5">
        <v>43</v>
      </c>
      <c r="P424" s="4" t="str">
        <f t="shared" si="12"/>
        <v>30-50</v>
      </c>
      <c r="Q424" s="4">
        <f>M424+N424</f>
        <v>8</v>
      </c>
      <c r="U424" s="28" t="str" cm="1">
        <f t="array" ref="U424">_xlfn.IFS(F424&lt;30000,"30k",F424&lt;=50000,"30k-50k",F424&lt;=75000,"50k-75k",F424&lt;=100000,"75k-100k",F424&gt;100000,"100k")</f>
        <v>30k-50k</v>
      </c>
      <c r="W424" s="1">
        <f t="shared" si="13"/>
        <v>12</v>
      </c>
    </row>
    <row r="425" spans="1:23" x14ac:dyDescent="0.35">
      <c r="A425">
        <v>422</v>
      </c>
      <c r="B425">
        <v>6528</v>
      </c>
      <c r="C425">
        <v>1982</v>
      </c>
      <c r="D425" s="1" t="s">
        <v>15</v>
      </c>
      <c r="E425" s="1" t="s">
        <v>12</v>
      </c>
      <c r="F425">
        <v>18492</v>
      </c>
      <c r="G425">
        <v>1</v>
      </c>
      <c r="H425" s="2">
        <v>0</v>
      </c>
      <c r="I425" s="2">
        <v>41795</v>
      </c>
      <c r="J425">
        <v>75</v>
      </c>
      <c r="K425">
        <f>VLOOKUP(B425,purchase_dataset!$B$2:$F$2241,2,FALSE)</f>
        <v>2</v>
      </c>
      <c r="L425">
        <f>VLOOKUP(B425,purchase_dataset!$B$2:$F$2241,3,FALSE)</f>
        <v>1</v>
      </c>
      <c r="M425">
        <f>VLOOKUP(B425,purchase_dataset!$B$2:$F$2241,3,FALSE)</f>
        <v>1</v>
      </c>
      <c r="N425">
        <f>VLOOKUP(B425,purchase_dataset!$B$2:$F$2241,5,FALSE)</f>
        <v>2</v>
      </c>
      <c r="O425" s="5">
        <v>44</v>
      </c>
      <c r="P425" s="4" t="str">
        <f t="shared" si="12"/>
        <v>30-50</v>
      </c>
      <c r="Q425" s="4">
        <f>M425+N425</f>
        <v>3</v>
      </c>
      <c r="U425" s="28" t="str" cm="1">
        <f t="array" ref="U425">_xlfn.IFS(F425&lt;30000,"30k",F425&lt;=50000,"30k-50k",F425&lt;=75000,"50k-75k",F425&lt;=100000,"75k-100k",F425&gt;100000,"100k")</f>
        <v>30k</v>
      </c>
      <c r="W425" s="1">
        <f t="shared" si="13"/>
        <v>12</v>
      </c>
    </row>
    <row r="426" spans="1:23" x14ac:dyDescent="0.35">
      <c r="A426">
        <v>423</v>
      </c>
      <c r="B426">
        <v>1361</v>
      </c>
      <c r="C426">
        <v>1974</v>
      </c>
      <c r="D426" s="1" t="s">
        <v>15</v>
      </c>
      <c r="E426" s="1" t="s">
        <v>14</v>
      </c>
      <c r="F426">
        <v>82584</v>
      </c>
      <c r="G426">
        <v>0</v>
      </c>
      <c r="H426" s="2">
        <v>0</v>
      </c>
      <c r="I426" s="2">
        <v>41429</v>
      </c>
      <c r="J426">
        <v>26</v>
      </c>
      <c r="K426">
        <f>VLOOKUP(B426,purchase_dataset!$B$2:$F$2241,2,FALSE)</f>
        <v>68</v>
      </c>
      <c r="L426">
        <f>VLOOKUP(B426,purchase_dataset!$B$2:$F$2241,3,FALSE)</f>
        <v>91</v>
      </c>
      <c r="M426">
        <f>VLOOKUP(B426,purchase_dataset!$B$2:$F$2241,3,FALSE)</f>
        <v>91</v>
      </c>
      <c r="N426">
        <f>VLOOKUP(B426,purchase_dataset!$B$2:$F$2241,5,FALSE)</f>
        <v>8</v>
      </c>
      <c r="O426" s="5">
        <v>52</v>
      </c>
      <c r="P426" s="4" t="str">
        <f t="shared" si="12"/>
        <v>&gt;50</v>
      </c>
      <c r="Q426" s="4">
        <f>M426+N426</f>
        <v>99</v>
      </c>
      <c r="U426" s="28" t="str" cm="1">
        <f t="array" ref="U426">_xlfn.IFS(F426&lt;30000,"30k",F426&lt;=50000,"30k-50k",F426&lt;=75000,"50k-75k",F426&lt;=100000,"75k-100k",F426&gt;100000,"100k")</f>
        <v>75k-100k</v>
      </c>
      <c r="W426" s="1">
        <f t="shared" si="13"/>
        <v>13</v>
      </c>
    </row>
    <row r="427" spans="1:23" x14ac:dyDescent="0.35">
      <c r="A427">
        <v>424</v>
      </c>
      <c r="B427">
        <v>6932</v>
      </c>
      <c r="C427">
        <v>1941</v>
      </c>
      <c r="D427" s="1" t="s">
        <v>13</v>
      </c>
      <c r="E427" s="1" t="s">
        <v>14</v>
      </c>
      <c r="F427">
        <v>93027</v>
      </c>
      <c r="G427">
        <v>0</v>
      </c>
      <c r="H427" s="2">
        <v>0</v>
      </c>
      <c r="I427" s="2">
        <v>41377</v>
      </c>
      <c r="J427">
        <v>77</v>
      </c>
      <c r="K427">
        <f>VLOOKUP(B427,purchase_dataset!$B$2:$F$2241,2,FALSE)</f>
        <v>42</v>
      </c>
      <c r="L427">
        <f>VLOOKUP(B427,purchase_dataset!$B$2:$F$2241,3,FALSE)</f>
        <v>0</v>
      </c>
      <c r="M427">
        <f>VLOOKUP(B427,purchase_dataset!$B$2:$F$2241,3,FALSE)</f>
        <v>0</v>
      </c>
      <c r="N427">
        <f>VLOOKUP(B427,purchase_dataset!$B$2:$F$2241,5,FALSE)</f>
        <v>5</v>
      </c>
      <c r="O427" s="5">
        <v>85</v>
      </c>
      <c r="P427" s="4" t="str">
        <f t="shared" si="12"/>
        <v>&gt;50</v>
      </c>
      <c r="Q427" s="4">
        <f>M427+N427</f>
        <v>5</v>
      </c>
      <c r="U427" s="28" t="str" cm="1">
        <f t="array" ref="U427">_xlfn.IFS(F427&lt;30000,"30k",F427&lt;=50000,"30k-50k",F427&lt;=75000,"50k-75k",F427&lt;=100000,"75k-100k",F427&gt;100000,"100k")</f>
        <v>75k-100k</v>
      </c>
      <c r="W427" s="1">
        <f t="shared" si="13"/>
        <v>13</v>
      </c>
    </row>
    <row r="428" spans="1:23" x14ac:dyDescent="0.35">
      <c r="A428">
        <v>425</v>
      </c>
      <c r="B428">
        <v>7284</v>
      </c>
      <c r="C428">
        <v>1953</v>
      </c>
      <c r="D428" s="1" t="s">
        <v>10</v>
      </c>
      <c r="E428" s="1" t="s">
        <v>14</v>
      </c>
      <c r="F428">
        <v>48686</v>
      </c>
      <c r="G428">
        <v>1</v>
      </c>
      <c r="H428" s="2">
        <v>2</v>
      </c>
      <c r="I428" s="2">
        <v>41612</v>
      </c>
      <c r="J428">
        <v>8</v>
      </c>
      <c r="K428">
        <f>VLOOKUP(B428,purchase_dataset!$B$2:$F$2241,2,FALSE)</f>
        <v>0</v>
      </c>
      <c r="L428">
        <f>VLOOKUP(B428,purchase_dataset!$B$2:$F$2241,3,FALSE)</f>
        <v>0</v>
      </c>
      <c r="M428">
        <f>VLOOKUP(B428,purchase_dataset!$B$2:$F$2241,3,FALSE)</f>
        <v>0</v>
      </c>
      <c r="N428">
        <f>VLOOKUP(B428,purchase_dataset!$B$2:$F$2241,5,FALSE)</f>
        <v>2</v>
      </c>
      <c r="O428" s="5">
        <v>73</v>
      </c>
      <c r="P428" s="4" t="str">
        <f t="shared" si="12"/>
        <v>&gt;50</v>
      </c>
      <c r="Q428" s="4">
        <f>M428+N428</f>
        <v>2</v>
      </c>
      <c r="U428" s="28" t="str" cm="1">
        <f t="array" ref="U428">_xlfn.IFS(F428&lt;30000,"30k",F428&lt;=50000,"30k-50k",F428&lt;=75000,"50k-75k",F428&lt;=100000,"75k-100k",F428&gt;100000,"100k")</f>
        <v>30k-50k</v>
      </c>
      <c r="W428" s="1">
        <f t="shared" si="13"/>
        <v>13</v>
      </c>
    </row>
    <row r="429" spans="1:23" x14ac:dyDescent="0.35">
      <c r="A429">
        <v>426</v>
      </c>
      <c r="B429">
        <v>1340</v>
      </c>
      <c r="C429">
        <v>1986</v>
      </c>
      <c r="D429" s="1" t="s">
        <v>10</v>
      </c>
      <c r="E429" s="1" t="s">
        <v>14</v>
      </c>
      <c r="F429">
        <v>92910</v>
      </c>
      <c r="G429">
        <v>0</v>
      </c>
      <c r="H429" s="2">
        <v>0</v>
      </c>
      <c r="I429" s="2">
        <v>41753</v>
      </c>
      <c r="J429">
        <v>42</v>
      </c>
      <c r="K429">
        <f>VLOOKUP(B429,purchase_dataset!$B$2:$F$2241,2,FALSE)</f>
        <v>137</v>
      </c>
      <c r="L429">
        <f>VLOOKUP(B429,purchase_dataset!$B$2:$F$2241,3,FALSE)</f>
        <v>103</v>
      </c>
      <c r="M429">
        <f>VLOOKUP(B429,purchase_dataset!$B$2:$F$2241,3,FALSE)</f>
        <v>103</v>
      </c>
      <c r="N429">
        <f>VLOOKUP(B429,purchase_dataset!$B$2:$F$2241,5,FALSE)</f>
        <v>13</v>
      </c>
      <c r="O429" s="5">
        <v>40</v>
      </c>
      <c r="P429" s="4" t="str">
        <f t="shared" si="12"/>
        <v>30-50</v>
      </c>
      <c r="Q429" s="4">
        <f>M429+N429</f>
        <v>116</v>
      </c>
      <c r="U429" s="28" t="str" cm="1">
        <f t="array" ref="U429">_xlfn.IFS(F429&lt;30000,"30k",F429&lt;=50000,"30k-50k",F429&lt;=75000,"50k-75k",F429&lt;=100000,"75k-100k",F429&gt;100000,"100k")</f>
        <v>75k-100k</v>
      </c>
      <c r="W429" s="1">
        <f t="shared" si="13"/>
        <v>12</v>
      </c>
    </row>
    <row r="430" spans="1:23" x14ac:dyDescent="0.35">
      <c r="A430">
        <v>427</v>
      </c>
      <c r="B430">
        <v>8746</v>
      </c>
      <c r="C430">
        <v>1989</v>
      </c>
      <c r="D430" s="1" t="s">
        <v>10</v>
      </c>
      <c r="E430" s="1" t="s">
        <v>14</v>
      </c>
      <c r="F430">
        <v>75433</v>
      </c>
      <c r="G430">
        <v>1</v>
      </c>
      <c r="H430" s="2">
        <v>0</v>
      </c>
      <c r="I430" s="2">
        <v>41734</v>
      </c>
      <c r="J430">
        <v>28</v>
      </c>
      <c r="K430">
        <f>VLOOKUP(B430,purchase_dataset!$B$2:$F$2241,2,FALSE)</f>
        <v>0</v>
      </c>
      <c r="L430">
        <f>VLOOKUP(B430,purchase_dataset!$B$2:$F$2241,3,FALSE)</f>
        <v>34</v>
      </c>
      <c r="M430">
        <f>VLOOKUP(B430,purchase_dataset!$B$2:$F$2241,3,FALSE)</f>
        <v>34</v>
      </c>
      <c r="N430">
        <f>VLOOKUP(B430,purchase_dataset!$B$2:$F$2241,5,FALSE)</f>
        <v>10</v>
      </c>
      <c r="O430" s="5">
        <v>37</v>
      </c>
      <c r="P430" s="4" t="str">
        <f t="shared" si="12"/>
        <v>30-50</v>
      </c>
      <c r="Q430" s="4">
        <f>M430+N430</f>
        <v>44</v>
      </c>
      <c r="U430" s="28" t="str" cm="1">
        <f t="array" ref="U430">_xlfn.IFS(F430&lt;30000,"30k",F430&lt;=50000,"30k-50k",F430&lt;=75000,"50k-75k",F430&lt;=100000,"75k-100k",F430&gt;100000,"100k")</f>
        <v>75k-100k</v>
      </c>
      <c r="W430" s="1">
        <f t="shared" si="13"/>
        <v>12</v>
      </c>
    </row>
    <row r="431" spans="1:23" x14ac:dyDescent="0.35">
      <c r="A431">
        <v>428</v>
      </c>
      <c r="B431">
        <v>5987</v>
      </c>
      <c r="C431">
        <v>1989</v>
      </c>
      <c r="D431" s="1" t="s">
        <v>18</v>
      </c>
      <c r="E431" s="1" t="s">
        <v>12</v>
      </c>
      <c r="F431">
        <v>10404</v>
      </c>
      <c r="G431">
        <v>1</v>
      </c>
      <c r="H431" s="2">
        <v>0</v>
      </c>
      <c r="I431" s="2">
        <v>41763</v>
      </c>
      <c r="J431">
        <v>52</v>
      </c>
      <c r="K431">
        <f>VLOOKUP(B431,purchase_dataset!$B$2:$F$2241,2,FALSE)</f>
        <v>2</v>
      </c>
      <c r="L431">
        <f>VLOOKUP(B431,purchase_dataset!$B$2:$F$2241,3,FALSE)</f>
        <v>6</v>
      </c>
      <c r="M431">
        <f>VLOOKUP(B431,purchase_dataset!$B$2:$F$2241,3,FALSE)</f>
        <v>6</v>
      </c>
      <c r="N431">
        <f>VLOOKUP(B431,purchase_dataset!$B$2:$F$2241,5,FALSE)</f>
        <v>4</v>
      </c>
      <c r="O431" s="5">
        <v>37</v>
      </c>
      <c r="P431" s="4" t="str">
        <f t="shared" si="12"/>
        <v>30-50</v>
      </c>
      <c r="Q431" s="4">
        <f>M431+N431</f>
        <v>10</v>
      </c>
      <c r="U431" s="28" t="str" cm="1">
        <f t="array" ref="U431">_xlfn.IFS(F431&lt;30000,"30k",F431&lt;=50000,"30k-50k",F431&lt;=75000,"50k-75k",F431&lt;=100000,"75k-100k",F431&gt;100000,"100k")</f>
        <v>30k</v>
      </c>
      <c r="W431" s="1">
        <f t="shared" si="13"/>
        <v>12</v>
      </c>
    </row>
    <row r="432" spans="1:23" x14ac:dyDescent="0.35">
      <c r="A432">
        <v>429</v>
      </c>
      <c r="B432">
        <v>3767</v>
      </c>
      <c r="C432">
        <v>1968</v>
      </c>
      <c r="D432" s="1" t="s">
        <v>10</v>
      </c>
      <c r="E432" s="1" t="s">
        <v>14</v>
      </c>
      <c r="F432">
        <v>61314</v>
      </c>
      <c r="G432">
        <v>0</v>
      </c>
      <c r="H432" s="2">
        <v>1</v>
      </c>
      <c r="I432" s="2">
        <v>41389</v>
      </c>
      <c r="J432">
        <v>1</v>
      </c>
      <c r="K432">
        <f>VLOOKUP(B432,purchase_dataset!$B$2:$F$2241,2,FALSE)</f>
        <v>0</v>
      </c>
      <c r="L432">
        <f>VLOOKUP(B432,purchase_dataset!$B$2:$F$2241,3,FALSE)</f>
        <v>172</v>
      </c>
      <c r="M432">
        <f>VLOOKUP(B432,purchase_dataset!$B$2:$F$2241,3,FALSE)</f>
        <v>172</v>
      </c>
      <c r="N432">
        <f>VLOOKUP(B432,purchase_dataset!$B$2:$F$2241,5,FALSE)</f>
        <v>12</v>
      </c>
      <c r="O432" s="5">
        <v>58</v>
      </c>
      <c r="P432" s="4" t="str">
        <f t="shared" si="12"/>
        <v>&gt;50</v>
      </c>
      <c r="Q432" s="4">
        <f>M432+N432</f>
        <v>184</v>
      </c>
      <c r="U432" s="28" t="str" cm="1">
        <f t="array" ref="U432">_xlfn.IFS(F432&lt;30000,"30k",F432&lt;=50000,"30k-50k",F432&lt;=75000,"50k-75k",F432&lt;=100000,"75k-100k",F432&gt;100000,"100k")</f>
        <v>50k-75k</v>
      </c>
      <c r="W432" s="1">
        <f t="shared" si="13"/>
        <v>13</v>
      </c>
    </row>
    <row r="433" spans="1:23" x14ac:dyDescent="0.35">
      <c r="A433">
        <v>430</v>
      </c>
      <c r="B433">
        <v>3725</v>
      </c>
      <c r="C433">
        <v>1961</v>
      </c>
      <c r="D433" s="1" t="s">
        <v>13</v>
      </c>
      <c r="E433" s="1" t="s">
        <v>11</v>
      </c>
      <c r="F433">
        <v>84865</v>
      </c>
      <c r="G433">
        <v>0</v>
      </c>
      <c r="H433" s="2">
        <v>0</v>
      </c>
      <c r="I433" s="2">
        <v>41403</v>
      </c>
      <c r="J433">
        <v>1</v>
      </c>
      <c r="K433">
        <f>VLOOKUP(B433,purchase_dataset!$B$2:$F$2241,2,FALSE)</f>
        <v>16</v>
      </c>
      <c r="L433">
        <f>VLOOKUP(B433,purchase_dataset!$B$2:$F$2241,3,FALSE)</f>
        <v>16</v>
      </c>
      <c r="M433">
        <f>VLOOKUP(B433,purchase_dataset!$B$2:$F$2241,3,FALSE)</f>
        <v>16</v>
      </c>
      <c r="N433">
        <f>VLOOKUP(B433,purchase_dataset!$B$2:$F$2241,5,FALSE)</f>
        <v>9</v>
      </c>
      <c r="O433" s="5">
        <v>65</v>
      </c>
      <c r="P433" s="4" t="str">
        <f t="shared" si="12"/>
        <v>&gt;50</v>
      </c>
      <c r="Q433" s="4">
        <f>M433+N433</f>
        <v>25</v>
      </c>
      <c r="U433" s="28" t="str" cm="1">
        <f t="array" ref="U433">_xlfn.IFS(F433&lt;30000,"30k",F433&lt;=50000,"30k-50k",F433&lt;=75000,"50k-75k",F433&lt;=100000,"75k-100k",F433&gt;100000,"100k")</f>
        <v>75k-100k</v>
      </c>
      <c r="W433" s="1">
        <f t="shared" si="13"/>
        <v>13</v>
      </c>
    </row>
    <row r="434" spans="1:23" x14ac:dyDescent="0.35">
      <c r="A434">
        <v>431</v>
      </c>
      <c r="B434">
        <v>4324</v>
      </c>
      <c r="C434">
        <v>1989</v>
      </c>
      <c r="D434" s="1" t="s">
        <v>10</v>
      </c>
      <c r="E434" s="1" t="s">
        <v>14</v>
      </c>
      <c r="F434">
        <v>42387</v>
      </c>
      <c r="G434">
        <v>1</v>
      </c>
      <c r="H434" s="2">
        <v>0</v>
      </c>
      <c r="I434" s="2">
        <v>41211</v>
      </c>
      <c r="J434">
        <v>42</v>
      </c>
      <c r="K434">
        <f>VLOOKUP(B434,purchase_dataset!$B$2:$F$2241,2,FALSE)</f>
        <v>0</v>
      </c>
      <c r="L434">
        <f>VLOOKUP(B434,purchase_dataset!$B$2:$F$2241,3,FALSE)</f>
        <v>4</v>
      </c>
      <c r="M434">
        <f>VLOOKUP(B434,purchase_dataset!$B$2:$F$2241,3,FALSE)</f>
        <v>4</v>
      </c>
      <c r="N434">
        <f>VLOOKUP(B434,purchase_dataset!$B$2:$F$2241,5,FALSE)</f>
        <v>7</v>
      </c>
      <c r="O434" s="5">
        <v>37</v>
      </c>
      <c r="P434" s="4" t="str">
        <f t="shared" si="12"/>
        <v>30-50</v>
      </c>
      <c r="Q434" s="4">
        <f>M434+N434</f>
        <v>11</v>
      </c>
      <c r="U434" s="28" t="str" cm="1">
        <f t="array" ref="U434">_xlfn.IFS(F434&lt;30000,"30k",F434&lt;=50000,"30k-50k",F434&lt;=75000,"50k-75k",F434&lt;=100000,"75k-100k",F434&gt;100000,"100k")</f>
        <v>30k-50k</v>
      </c>
      <c r="W434" s="1">
        <f t="shared" si="13"/>
        <v>14</v>
      </c>
    </row>
    <row r="435" spans="1:23" x14ac:dyDescent="0.35">
      <c r="A435">
        <v>432</v>
      </c>
      <c r="B435">
        <v>238</v>
      </c>
      <c r="C435">
        <v>1967</v>
      </c>
      <c r="D435" s="1" t="s">
        <v>18</v>
      </c>
      <c r="E435" s="1" t="s">
        <v>12</v>
      </c>
      <c r="F435">
        <v>67309</v>
      </c>
      <c r="G435">
        <v>1</v>
      </c>
      <c r="H435" s="2">
        <v>1</v>
      </c>
      <c r="I435" s="2">
        <v>41297</v>
      </c>
      <c r="J435">
        <v>76</v>
      </c>
      <c r="K435">
        <f>VLOOKUP(B435,purchase_dataset!$B$2:$F$2241,2,FALSE)</f>
        <v>47</v>
      </c>
      <c r="L435">
        <f>VLOOKUP(B435,purchase_dataset!$B$2:$F$2241,3,FALSE)</f>
        <v>95</v>
      </c>
      <c r="M435">
        <f>VLOOKUP(B435,purchase_dataset!$B$2:$F$2241,3,FALSE)</f>
        <v>95</v>
      </c>
      <c r="N435">
        <f>VLOOKUP(B435,purchase_dataset!$B$2:$F$2241,5,FALSE)</f>
        <v>9</v>
      </c>
      <c r="O435" s="5">
        <v>59</v>
      </c>
      <c r="P435" s="4" t="str">
        <f t="shared" si="12"/>
        <v>&gt;50</v>
      </c>
      <c r="Q435" s="4">
        <f>M435+N435</f>
        <v>104</v>
      </c>
      <c r="U435" s="28" t="str" cm="1">
        <f t="array" ref="U435">_xlfn.IFS(F435&lt;30000,"30k",F435&lt;=50000,"30k-50k",F435&lt;=75000,"50k-75k",F435&lt;=100000,"75k-100k",F435&gt;100000,"100k")</f>
        <v>50k-75k</v>
      </c>
      <c r="W435" s="1">
        <f t="shared" si="13"/>
        <v>13</v>
      </c>
    </row>
    <row r="436" spans="1:23" x14ac:dyDescent="0.35">
      <c r="A436">
        <v>433</v>
      </c>
      <c r="B436">
        <v>6694</v>
      </c>
      <c r="C436">
        <v>1964</v>
      </c>
      <c r="D436" s="1" t="s">
        <v>10</v>
      </c>
      <c r="E436" s="1" t="s">
        <v>14</v>
      </c>
      <c r="F436">
        <v>75236</v>
      </c>
      <c r="G436">
        <v>0</v>
      </c>
      <c r="H436" s="2">
        <v>1</v>
      </c>
      <c r="I436" s="2">
        <v>41603</v>
      </c>
      <c r="J436">
        <v>27</v>
      </c>
      <c r="K436">
        <f>VLOOKUP(B436,purchase_dataset!$B$2:$F$2241,2,FALSE)</f>
        <v>66</v>
      </c>
      <c r="L436">
        <f>VLOOKUP(B436,purchase_dataset!$B$2:$F$2241,3,FALSE)</f>
        <v>38</v>
      </c>
      <c r="M436">
        <f>VLOOKUP(B436,purchase_dataset!$B$2:$F$2241,3,FALSE)</f>
        <v>38</v>
      </c>
      <c r="N436">
        <f>VLOOKUP(B436,purchase_dataset!$B$2:$F$2241,5,FALSE)</f>
        <v>13</v>
      </c>
      <c r="O436" s="5">
        <v>62</v>
      </c>
      <c r="P436" s="4" t="str">
        <f t="shared" si="12"/>
        <v>&gt;50</v>
      </c>
      <c r="Q436" s="4">
        <f>M436+N436</f>
        <v>51</v>
      </c>
      <c r="U436" s="28" t="str" cm="1">
        <f t="array" ref="U436">_xlfn.IFS(F436&lt;30000,"30k",F436&lt;=50000,"30k-50k",F436&lt;=75000,"50k-75k",F436&lt;=100000,"75k-100k",F436&gt;100000,"100k")</f>
        <v>75k-100k</v>
      </c>
      <c r="W436" s="1">
        <f t="shared" si="13"/>
        <v>13</v>
      </c>
    </row>
    <row r="437" spans="1:23" x14ac:dyDescent="0.35">
      <c r="A437">
        <v>434</v>
      </c>
      <c r="B437">
        <v>498</v>
      </c>
      <c r="C437">
        <v>1970</v>
      </c>
      <c r="D437" s="1" t="s">
        <v>10</v>
      </c>
      <c r="E437" s="1" t="s">
        <v>11</v>
      </c>
      <c r="F437">
        <v>30015</v>
      </c>
      <c r="G437">
        <v>1</v>
      </c>
      <c r="H437" s="2">
        <v>0</v>
      </c>
      <c r="I437" s="2">
        <v>41672</v>
      </c>
      <c r="J437">
        <v>28</v>
      </c>
      <c r="K437">
        <f>VLOOKUP(B437,purchase_dataset!$B$2:$F$2241,2,FALSE)</f>
        <v>0</v>
      </c>
      <c r="L437">
        <f>VLOOKUP(B437,purchase_dataset!$B$2:$F$2241,3,FALSE)</f>
        <v>3</v>
      </c>
      <c r="M437">
        <f>VLOOKUP(B437,purchase_dataset!$B$2:$F$2241,3,FALSE)</f>
        <v>3</v>
      </c>
      <c r="N437">
        <f>VLOOKUP(B437,purchase_dataset!$B$2:$F$2241,5,FALSE)</f>
        <v>4</v>
      </c>
      <c r="O437" s="5">
        <v>56</v>
      </c>
      <c r="P437" s="4" t="str">
        <f t="shared" si="12"/>
        <v>&gt;50</v>
      </c>
      <c r="Q437" s="4">
        <f>M437+N437</f>
        <v>7</v>
      </c>
      <c r="U437" s="28" t="str" cm="1">
        <f t="array" ref="U437">_xlfn.IFS(F437&lt;30000,"30k",F437&lt;=50000,"30k-50k",F437&lt;=75000,"50k-75k",F437&lt;=100000,"75k-100k",F437&gt;100000,"100k")</f>
        <v>30k-50k</v>
      </c>
      <c r="W437" s="1">
        <f t="shared" si="13"/>
        <v>12</v>
      </c>
    </row>
    <row r="438" spans="1:23" x14ac:dyDescent="0.35">
      <c r="A438">
        <v>435</v>
      </c>
      <c r="B438">
        <v>9347</v>
      </c>
      <c r="C438">
        <v>1956</v>
      </c>
      <c r="D438" s="1" t="s">
        <v>15</v>
      </c>
      <c r="E438" s="1" t="s">
        <v>12</v>
      </c>
      <c r="F438">
        <v>50943</v>
      </c>
      <c r="G438">
        <v>0</v>
      </c>
      <c r="H438" s="2">
        <v>1</v>
      </c>
      <c r="I438" s="2">
        <v>41446</v>
      </c>
      <c r="J438">
        <v>49</v>
      </c>
      <c r="K438">
        <f>VLOOKUP(B438,purchase_dataset!$B$2:$F$2241,2,FALSE)</f>
        <v>0</v>
      </c>
      <c r="L438">
        <f>VLOOKUP(B438,purchase_dataset!$B$2:$F$2241,3,FALSE)</f>
        <v>0</v>
      </c>
      <c r="M438">
        <f>VLOOKUP(B438,purchase_dataset!$B$2:$F$2241,3,FALSE)</f>
        <v>0</v>
      </c>
      <c r="N438">
        <f>VLOOKUP(B438,purchase_dataset!$B$2:$F$2241,5,FALSE)</f>
        <v>3</v>
      </c>
      <c r="O438" s="5">
        <v>70</v>
      </c>
      <c r="P438" s="4" t="str">
        <f t="shared" si="12"/>
        <v>&gt;50</v>
      </c>
      <c r="Q438" s="4">
        <f>M438+N438</f>
        <v>3</v>
      </c>
      <c r="U438" s="28" t="str" cm="1">
        <f t="array" ref="U438">_xlfn.IFS(F438&lt;30000,"30k",F438&lt;=50000,"30k-50k",F438&lt;=75000,"50k-75k",F438&lt;=100000,"75k-100k",F438&gt;100000,"100k")</f>
        <v>50k-75k</v>
      </c>
      <c r="W438" s="1">
        <f t="shared" si="13"/>
        <v>13</v>
      </c>
    </row>
    <row r="439" spans="1:23" x14ac:dyDescent="0.35">
      <c r="A439">
        <v>436</v>
      </c>
      <c r="B439">
        <v>9699</v>
      </c>
      <c r="C439">
        <v>1966</v>
      </c>
      <c r="D439" s="1" t="s">
        <v>10</v>
      </c>
      <c r="E439" s="1" t="s">
        <v>16</v>
      </c>
      <c r="F439">
        <v>67272</v>
      </c>
      <c r="G439">
        <v>0</v>
      </c>
      <c r="H439" s="2">
        <v>1</v>
      </c>
      <c r="I439" s="2">
        <v>41629</v>
      </c>
      <c r="J439">
        <v>12</v>
      </c>
      <c r="K439">
        <f>VLOOKUP(B439,purchase_dataset!$B$2:$F$2241,2,FALSE)</f>
        <v>35</v>
      </c>
      <c r="L439">
        <f>VLOOKUP(B439,purchase_dataset!$B$2:$F$2241,3,FALSE)</f>
        <v>28</v>
      </c>
      <c r="M439">
        <f>VLOOKUP(B439,purchase_dataset!$B$2:$F$2241,3,FALSE)</f>
        <v>28</v>
      </c>
      <c r="N439">
        <f>VLOOKUP(B439,purchase_dataset!$B$2:$F$2241,5,FALSE)</f>
        <v>12</v>
      </c>
      <c r="O439" s="5">
        <v>60</v>
      </c>
      <c r="P439" s="4" t="str">
        <f t="shared" si="12"/>
        <v>&gt;50</v>
      </c>
      <c r="Q439" s="4">
        <f>M439+N439</f>
        <v>40</v>
      </c>
      <c r="U439" s="28" t="str" cm="1">
        <f t="array" ref="U439">_xlfn.IFS(F439&lt;30000,"30k",F439&lt;=50000,"30k-50k",F439&lt;=75000,"50k-75k",F439&lt;=100000,"75k-100k",F439&gt;100000,"100k")</f>
        <v>50k-75k</v>
      </c>
      <c r="W439" s="1">
        <f t="shared" si="13"/>
        <v>13</v>
      </c>
    </row>
    <row r="440" spans="1:23" x14ac:dyDescent="0.35">
      <c r="A440">
        <v>437</v>
      </c>
      <c r="B440">
        <v>10664</v>
      </c>
      <c r="C440">
        <v>1949</v>
      </c>
      <c r="D440" s="1" t="s">
        <v>15</v>
      </c>
      <c r="E440" s="1" t="s">
        <v>19</v>
      </c>
      <c r="F440">
        <v>51529</v>
      </c>
      <c r="G440">
        <v>0</v>
      </c>
      <c r="H440" s="2">
        <v>1</v>
      </c>
      <c r="I440" s="2">
        <v>41524</v>
      </c>
      <c r="J440">
        <v>14</v>
      </c>
      <c r="K440">
        <f>VLOOKUP(B440,purchase_dataset!$B$2:$F$2241,2,FALSE)</f>
        <v>4</v>
      </c>
      <c r="L440">
        <f>VLOOKUP(B440,purchase_dataset!$B$2:$F$2241,3,FALSE)</f>
        <v>0</v>
      </c>
      <c r="M440">
        <f>VLOOKUP(B440,purchase_dataset!$B$2:$F$2241,3,FALSE)</f>
        <v>0</v>
      </c>
      <c r="N440">
        <f>VLOOKUP(B440,purchase_dataset!$B$2:$F$2241,5,FALSE)</f>
        <v>5</v>
      </c>
      <c r="O440" s="5">
        <v>77</v>
      </c>
      <c r="P440" s="4" t="str">
        <f t="shared" si="12"/>
        <v>&gt;50</v>
      </c>
      <c r="Q440" s="4">
        <f>M440+N440</f>
        <v>5</v>
      </c>
      <c r="U440" s="28" t="str" cm="1">
        <f t="array" ref="U440">_xlfn.IFS(F440&lt;30000,"30k",F440&lt;=50000,"30k-50k",F440&lt;=75000,"50k-75k",F440&lt;=100000,"75k-100k",F440&gt;100000,"100k")</f>
        <v>50k-75k</v>
      </c>
      <c r="W440" s="1">
        <f t="shared" si="13"/>
        <v>13</v>
      </c>
    </row>
    <row r="441" spans="1:23" x14ac:dyDescent="0.35">
      <c r="A441">
        <v>438</v>
      </c>
      <c r="B441">
        <v>5455</v>
      </c>
      <c r="C441">
        <v>1971</v>
      </c>
      <c r="D441" s="1" t="s">
        <v>13</v>
      </c>
      <c r="E441" s="1" t="s">
        <v>14</v>
      </c>
      <c r="F441">
        <v>32011</v>
      </c>
      <c r="G441">
        <v>1</v>
      </c>
      <c r="H441" s="2">
        <v>0</v>
      </c>
      <c r="I441" s="2">
        <v>41508</v>
      </c>
      <c r="J441">
        <v>89</v>
      </c>
      <c r="K441">
        <f>VLOOKUP(B441,purchase_dataset!$B$2:$F$2241,2,FALSE)</f>
        <v>0</v>
      </c>
      <c r="L441">
        <f>VLOOKUP(B441,purchase_dataset!$B$2:$F$2241,3,FALSE)</f>
        <v>1</v>
      </c>
      <c r="M441">
        <f>VLOOKUP(B441,purchase_dataset!$B$2:$F$2241,3,FALSE)</f>
        <v>1</v>
      </c>
      <c r="N441">
        <f>VLOOKUP(B441,purchase_dataset!$B$2:$F$2241,5,FALSE)</f>
        <v>4</v>
      </c>
      <c r="O441" s="5">
        <v>55</v>
      </c>
      <c r="P441" s="4" t="str">
        <f t="shared" si="12"/>
        <v>&gt;50</v>
      </c>
      <c r="Q441" s="4">
        <f>M441+N441</f>
        <v>5</v>
      </c>
      <c r="U441" s="28" t="str" cm="1">
        <f t="array" ref="U441">_xlfn.IFS(F441&lt;30000,"30k",F441&lt;=50000,"30k-50k",F441&lt;=75000,"50k-75k",F441&lt;=100000,"75k-100k",F441&gt;100000,"100k")</f>
        <v>30k-50k</v>
      </c>
      <c r="W441" s="1">
        <f t="shared" si="13"/>
        <v>13</v>
      </c>
    </row>
    <row r="442" spans="1:23" x14ac:dyDescent="0.35">
      <c r="A442">
        <v>439</v>
      </c>
      <c r="B442">
        <v>456</v>
      </c>
      <c r="C442">
        <v>1986</v>
      </c>
      <c r="D442" s="1" t="s">
        <v>18</v>
      </c>
      <c r="E442" s="1" t="s">
        <v>14</v>
      </c>
      <c r="F442">
        <v>7500</v>
      </c>
      <c r="G442">
        <v>1</v>
      </c>
      <c r="H442" s="2">
        <v>0</v>
      </c>
      <c r="I442" s="2">
        <v>41312</v>
      </c>
      <c r="J442">
        <v>96</v>
      </c>
      <c r="K442">
        <f>VLOOKUP(B442,purchase_dataset!$B$2:$F$2241,2,FALSE)</f>
        <v>11</v>
      </c>
      <c r="L442">
        <f>VLOOKUP(B442,purchase_dataset!$B$2:$F$2241,3,FALSE)</f>
        <v>6</v>
      </c>
      <c r="M442">
        <f>VLOOKUP(B442,purchase_dataset!$B$2:$F$2241,3,FALSE)</f>
        <v>6</v>
      </c>
      <c r="N442">
        <f>VLOOKUP(B442,purchase_dataset!$B$2:$F$2241,5,FALSE)</f>
        <v>3</v>
      </c>
      <c r="O442" s="5">
        <v>40</v>
      </c>
      <c r="P442" s="4" t="str">
        <f t="shared" si="12"/>
        <v>30-50</v>
      </c>
      <c r="Q442" s="4">
        <f>M442+N442</f>
        <v>9</v>
      </c>
      <c r="U442" s="28" t="str" cm="1">
        <f t="array" ref="U442">_xlfn.IFS(F442&lt;30000,"30k",F442&lt;=50000,"30k-50k",F442&lt;=75000,"50k-75k",F442&lt;=100000,"75k-100k",F442&gt;100000,"100k")</f>
        <v>30k</v>
      </c>
      <c r="W442" s="1">
        <f t="shared" si="13"/>
        <v>13</v>
      </c>
    </row>
    <row r="443" spans="1:23" x14ac:dyDescent="0.35">
      <c r="A443">
        <v>440</v>
      </c>
      <c r="B443">
        <v>5012</v>
      </c>
      <c r="C443">
        <v>1989</v>
      </c>
      <c r="D443" s="1" t="s">
        <v>10</v>
      </c>
      <c r="E443" s="1" t="s">
        <v>14</v>
      </c>
      <c r="F443">
        <v>28691</v>
      </c>
      <c r="G443">
        <v>1</v>
      </c>
      <c r="H443" s="2">
        <v>0</v>
      </c>
      <c r="I443" s="2">
        <v>41459</v>
      </c>
      <c r="J443">
        <v>56</v>
      </c>
      <c r="K443">
        <f>VLOOKUP(B443,purchase_dataset!$B$2:$F$2241,2,FALSE)</f>
        <v>4</v>
      </c>
      <c r="L443">
        <f>VLOOKUP(B443,purchase_dataset!$B$2:$F$2241,3,FALSE)</f>
        <v>0</v>
      </c>
      <c r="M443">
        <f>VLOOKUP(B443,purchase_dataset!$B$2:$F$2241,3,FALSE)</f>
        <v>0</v>
      </c>
      <c r="N443">
        <f>VLOOKUP(B443,purchase_dataset!$B$2:$F$2241,5,FALSE)</f>
        <v>3</v>
      </c>
      <c r="O443" s="5">
        <v>37</v>
      </c>
      <c r="P443" s="4" t="str">
        <f t="shared" si="12"/>
        <v>30-50</v>
      </c>
      <c r="Q443" s="4">
        <f>M443+N443</f>
        <v>3</v>
      </c>
      <c r="U443" s="28" t="str" cm="1">
        <f t="array" ref="U443">_xlfn.IFS(F443&lt;30000,"30k",F443&lt;=50000,"30k-50k",F443&lt;=75000,"50k-75k",F443&lt;=100000,"75k-100k",F443&gt;100000,"100k")</f>
        <v>30k</v>
      </c>
      <c r="W443" s="1">
        <f t="shared" si="13"/>
        <v>13</v>
      </c>
    </row>
    <row r="444" spans="1:23" x14ac:dyDescent="0.35">
      <c r="A444">
        <v>441</v>
      </c>
      <c r="B444">
        <v>7495</v>
      </c>
      <c r="C444">
        <v>1948</v>
      </c>
      <c r="D444" s="1" t="s">
        <v>13</v>
      </c>
      <c r="E444" s="1" t="s">
        <v>14</v>
      </c>
      <c r="F444">
        <v>56223</v>
      </c>
      <c r="G444">
        <v>0</v>
      </c>
      <c r="H444" s="2">
        <v>1</v>
      </c>
      <c r="I444" s="2">
        <v>41628</v>
      </c>
      <c r="J444">
        <v>72</v>
      </c>
      <c r="K444">
        <f>VLOOKUP(B444,purchase_dataset!$B$2:$F$2241,2,FALSE)</f>
        <v>28</v>
      </c>
      <c r="L444">
        <f>VLOOKUP(B444,purchase_dataset!$B$2:$F$2241,3,FALSE)</f>
        <v>0</v>
      </c>
      <c r="M444">
        <f>VLOOKUP(B444,purchase_dataset!$B$2:$F$2241,3,FALSE)</f>
        <v>0</v>
      </c>
      <c r="N444">
        <f>VLOOKUP(B444,purchase_dataset!$B$2:$F$2241,5,FALSE)</f>
        <v>5</v>
      </c>
      <c r="O444" s="5">
        <v>78</v>
      </c>
      <c r="P444" s="4" t="str">
        <f t="shared" si="12"/>
        <v>&gt;50</v>
      </c>
      <c r="Q444" s="4">
        <f>M444+N444</f>
        <v>5</v>
      </c>
      <c r="U444" s="28" t="str" cm="1">
        <f t="array" ref="U444">_xlfn.IFS(F444&lt;30000,"30k",F444&lt;=50000,"30k-50k",F444&lt;=75000,"50k-75k",F444&lt;=100000,"75k-100k",F444&gt;100000,"100k")</f>
        <v>50k-75k</v>
      </c>
      <c r="W444" s="1">
        <f t="shared" si="13"/>
        <v>13</v>
      </c>
    </row>
    <row r="445" spans="1:23" x14ac:dyDescent="0.35">
      <c r="A445">
        <v>442</v>
      </c>
      <c r="B445">
        <v>5029</v>
      </c>
      <c r="C445">
        <v>1946</v>
      </c>
      <c r="D445" s="1" t="s">
        <v>10</v>
      </c>
      <c r="E445" s="1" t="s">
        <v>14</v>
      </c>
      <c r="F445">
        <v>18100</v>
      </c>
      <c r="G445">
        <v>0</v>
      </c>
      <c r="H445" s="2">
        <v>0</v>
      </c>
      <c r="I445" s="2">
        <v>41492</v>
      </c>
      <c r="J445">
        <v>14</v>
      </c>
      <c r="K445">
        <f>VLOOKUP(B445,purchase_dataset!$B$2:$F$2241,2,FALSE)</f>
        <v>1</v>
      </c>
      <c r="L445">
        <f>VLOOKUP(B445,purchase_dataset!$B$2:$F$2241,3,FALSE)</f>
        <v>3</v>
      </c>
      <c r="M445">
        <f>VLOOKUP(B445,purchase_dataset!$B$2:$F$2241,3,FALSE)</f>
        <v>3</v>
      </c>
      <c r="N445">
        <f>VLOOKUP(B445,purchase_dataset!$B$2:$F$2241,5,FALSE)</f>
        <v>3</v>
      </c>
      <c r="O445" s="5">
        <v>80</v>
      </c>
      <c r="P445" s="4" t="str">
        <f t="shared" si="12"/>
        <v>&gt;50</v>
      </c>
      <c r="Q445" s="4">
        <f>M445+N445</f>
        <v>6</v>
      </c>
      <c r="U445" s="28" t="str" cm="1">
        <f t="array" ref="U445">_xlfn.IFS(F445&lt;30000,"30k",F445&lt;=50000,"30k-50k",F445&lt;=75000,"50k-75k",F445&lt;=100000,"75k-100k",F445&gt;100000,"100k")</f>
        <v>30k</v>
      </c>
      <c r="W445" s="1">
        <f t="shared" si="13"/>
        <v>13</v>
      </c>
    </row>
    <row r="446" spans="1:23" x14ac:dyDescent="0.35">
      <c r="A446">
        <v>443</v>
      </c>
      <c r="B446">
        <v>10642</v>
      </c>
      <c r="C446">
        <v>1989</v>
      </c>
      <c r="D446" s="1" t="s">
        <v>10</v>
      </c>
      <c r="E446" s="1" t="s">
        <v>11</v>
      </c>
      <c r="F446">
        <v>30279</v>
      </c>
      <c r="G446">
        <v>1</v>
      </c>
      <c r="H446" s="2">
        <v>0</v>
      </c>
      <c r="I446" s="2">
        <v>41273</v>
      </c>
      <c r="J446">
        <v>13</v>
      </c>
      <c r="K446">
        <f>VLOOKUP(B446,purchase_dataset!$B$2:$F$2241,2,FALSE)</f>
        <v>4</v>
      </c>
      <c r="L446">
        <f>VLOOKUP(B446,purchase_dataset!$B$2:$F$2241,3,FALSE)</f>
        <v>4</v>
      </c>
      <c r="M446">
        <f>VLOOKUP(B446,purchase_dataset!$B$2:$F$2241,3,FALSE)</f>
        <v>4</v>
      </c>
      <c r="N446">
        <f>VLOOKUP(B446,purchase_dataset!$B$2:$F$2241,5,FALSE)</f>
        <v>3</v>
      </c>
      <c r="O446" s="5">
        <v>37</v>
      </c>
      <c r="P446" s="4" t="str">
        <f t="shared" si="12"/>
        <v>30-50</v>
      </c>
      <c r="Q446" s="4">
        <f>M446+N446</f>
        <v>7</v>
      </c>
      <c r="U446" s="28" t="str" cm="1">
        <f t="array" ref="U446">_xlfn.IFS(F446&lt;30000,"30k",F446&lt;=50000,"30k-50k",F446&lt;=75000,"50k-75k",F446&lt;=100000,"75k-100k",F446&gt;100000,"100k")</f>
        <v>30k-50k</v>
      </c>
      <c r="W446" s="1">
        <f t="shared" si="13"/>
        <v>14</v>
      </c>
    </row>
    <row r="447" spans="1:23" x14ac:dyDescent="0.35">
      <c r="A447">
        <v>444</v>
      </c>
      <c r="B447">
        <v>2106</v>
      </c>
      <c r="C447">
        <v>1974</v>
      </c>
      <c r="D447" s="1" t="s">
        <v>18</v>
      </c>
      <c r="E447" s="1" t="s">
        <v>14</v>
      </c>
      <c r="F447">
        <v>20130</v>
      </c>
      <c r="G447">
        <v>0</v>
      </c>
      <c r="H447" s="2">
        <v>0</v>
      </c>
      <c r="I447" s="2">
        <v>41715</v>
      </c>
      <c r="J447">
        <v>99</v>
      </c>
      <c r="K447">
        <f>VLOOKUP(B447,purchase_dataset!$B$2:$F$2241,2,FALSE)</f>
        <v>6</v>
      </c>
      <c r="L447">
        <f>VLOOKUP(B447,purchase_dataset!$B$2:$F$2241,3,FALSE)</f>
        <v>6</v>
      </c>
      <c r="M447">
        <f>VLOOKUP(B447,purchase_dataset!$B$2:$F$2241,3,FALSE)</f>
        <v>6</v>
      </c>
      <c r="N447">
        <f>VLOOKUP(B447,purchase_dataset!$B$2:$F$2241,5,FALSE)</f>
        <v>3</v>
      </c>
      <c r="O447" s="5">
        <v>52</v>
      </c>
      <c r="P447" s="4" t="str">
        <f t="shared" si="12"/>
        <v>&gt;50</v>
      </c>
      <c r="Q447" s="4">
        <f>M447+N447</f>
        <v>9</v>
      </c>
      <c r="U447" s="28" t="str" cm="1">
        <f t="array" ref="U447">_xlfn.IFS(F447&lt;30000,"30k",F447&lt;=50000,"30k-50k",F447&lt;=75000,"50k-75k",F447&lt;=100000,"75k-100k",F447&gt;100000,"100k")</f>
        <v>30k</v>
      </c>
      <c r="W447" s="1">
        <f t="shared" si="13"/>
        <v>12</v>
      </c>
    </row>
    <row r="448" spans="1:23" x14ac:dyDescent="0.35">
      <c r="A448">
        <v>445</v>
      </c>
      <c r="B448">
        <v>10364</v>
      </c>
      <c r="C448">
        <v>1959</v>
      </c>
      <c r="D448" s="1" t="s">
        <v>10</v>
      </c>
      <c r="E448" s="1" t="s">
        <v>16</v>
      </c>
      <c r="F448">
        <v>23295</v>
      </c>
      <c r="G448">
        <v>0</v>
      </c>
      <c r="H448" s="2">
        <v>0</v>
      </c>
      <c r="I448" s="2">
        <v>41468</v>
      </c>
      <c r="J448">
        <v>72</v>
      </c>
      <c r="K448">
        <f>VLOOKUP(B448,purchase_dataset!$B$2:$F$2241,2,FALSE)</f>
        <v>0</v>
      </c>
      <c r="L448">
        <f>VLOOKUP(B448,purchase_dataset!$B$2:$F$2241,3,FALSE)</f>
        <v>12</v>
      </c>
      <c r="M448">
        <f>VLOOKUP(B448,purchase_dataset!$B$2:$F$2241,3,FALSE)</f>
        <v>12</v>
      </c>
      <c r="N448">
        <f>VLOOKUP(B448,purchase_dataset!$B$2:$F$2241,5,FALSE)</f>
        <v>2</v>
      </c>
      <c r="O448" s="5">
        <v>67</v>
      </c>
      <c r="P448" s="4" t="str">
        <f t="shared" si="12"/>
        <v>&gt;50</v>
      </c>
      <c r="Q448" s="4">
        <f>M448+N448</f>
        <v>14</v>
      </c>
      <c r="U448" s="28" t="str" cm="1">
        <f t="array" ref="U448">_xlfn.IFS(F448&lt;30000,"30k",F448&lt;=50000,"30k-50k",F448&lt;=75000,"50k-75k",F448&lt;=100000,"75k-100k",F448&gt;100000,"100k")</f>
        <v>30k</v>
      </c>
      <c r="W448" s="1">
        <f t="shared" si="13"/>
        <v>13</v>
      </c>
    </row>
    <row r="449" spans="1:23" x14ac:dyDescent="0.35">
      <c r="A449">
        <v>446</v>
      </c>
      <c r="B449">
        <v>5954</v>
      </c>
      <c r="C449">
        <v>1972</v>
      </c>
      <c r="D449" s="1" t="s">
        <v>15</v>
      </c>
      <c r="E449" s="1" t="s">
        <v>16</v>
      </c>
      <c r="F449">
        <v>42618</v>
      </c>
      <c r="G449">
        <v>1</v>
      </c>
      <c r="H449" s="2">
        <v>0</v>
      </c>
      <c r="I449" s="2">
        <v>41556</v>
      </c>
      <c r="J449">
        <v>92</v>
      </c>
      <c r="K449">
        <f>VLOOKUP(B449,purchase_dataset!$B$2:$F$2241,2,FALSE)</f>
        <v>14</v>
      </c>
      <c r="L449">
        <f>VLOOKUP(B449,purchase_dataset!$B$2:$F$2241,3,FALSE)</f>
        <v>5</v>
      </c>
      <c r="M449">
        <f>VLOOKUP(B449,purchase_dataset!$B$2:$F$2241,3,FALSE)</f>
        <v>5</v>
      </c>
      <c r="N449">
        <f>VLOOKUP(B449,purchase_dataset!$B$2:$F$2241,5,FALSE)</f>
        <v>4</v>
      </c>
      <c r="O449" s="5">
        <v>54</v>
      </c>
      <c r="P449" s="4" t="str">
        <f t="shared" si="12"/>
        <v>&gt;50</v>
      </c>
      <c r="Q449" s="4">
        <f>M449+N449</f>
        <v>9</v>
      </c>
      <c r="U449" s="28" t="str" cm="1">
        <f t="array" ref="U449">_xlfn.IFS(F449&lt;30000,"30k",F449&lt;=50000,"30k-50k",F449&lt;=75000,"50k-75k",F449&lt;=100000,"75k-100k",F449&gt;100000,"100k")</f>
        <v>30k-50k</v>
      </c>
      <c r="W449" s="1">
        <f t="shared" si="13"/>
        <v>13</v>
      </c>
    </row>
    <row r="450" spans="1:23" x14ac:dyDescent="0.35">
      <c r="A450">
        <v>447</v>
      </c>
      <c r="B450">
        <v>1137</v>
      </c>
      <c r="C450">
        <v>1964</v>
      </c>
      <c r="D450" s="1" t="s">
        <v>10</v>
      </c>
      <c r="E450" s="1" t="s">
        <v>11</v>
      </c>
      <c r="F450">
        <v>81246</v>
      </c>
      <c r="G450">
        <v>0</v>
      </c>
      <c r="H450" s="2">
        <v>0</v>
      </c>
      <c r="I450" s="2">
        <v>41637</v>
      </c>
      <c r="J450">
        <v>87</v>
      </c>
      <c r="K450">
        <f>VLOOKUP(B450,purchase_dataset!$B$2:$F$2241,2,FALSE)</f>
        <v>190</v>
      </c>
      <c r="L450">
        <f>VLOOKUP(B450,purchase_dataset!$B$2:$F$2241,3,FALSE)</f>
        <v>156</v>
      </c>
      <c r="M450">
        <f>VLOOKUP(B450,purchase_dataset!$B$2:$F$2241,3,FALSE)</f>
        <v>156</v>
      </c>
      <c r="N450">
        <f>VLOOKUP(B450,purchase_dataset!$B$2:$F$2241,5,FALSE)</f>
        <v>7</v>
      </c>
      <c r="O450" s="5">
        <v>62</v>
      </c>
      <c r="P450" s="4" t="str">
        <f t="shared" si="12"/>
        <v>&gt;50</v>
      </c>
      <c r="Q450" s="4">
        <f>M450+N450</f>
        <v>163</v>
      </c>
      <c r="U450" s="28" t="str" cm="1">
        <f t="array" ref="U450">_xlfn.IFS(F450&lt;30000,"30k",F450&lt;=50000,"30k-50k",F450&lt;=75000,"50k-75k",F450&lt;=100000,"75k-100k",F450&gt;100000,"100k")</f>
        <v>75k-100k</v>
      </c>
      <c r="W450" s="1">
        <f t="shared" si="13"/>
        <v>13</v>
      </c>
    </row>
    <row r="451" spans="1:23" x14ac:dyDescent="0.35">
      <c r="A451">
        <v>448</v>
      </c>
      <c r="B451">
        <v>2541</v>
      </c>
      <c r="C451">
        <v>1976</v>
      </c>
      <c r="D451" s="1" t="s">
        <v>10</v>
      </c>
      <c r="E451" s="1" t="s">
        <v>14</v>
      </c>
      <c r="F451">
        <v>24027</v>
      </c>
      <c r="G451">
        <v>1</v>
      </c>
      <c r="H451" s="2">
        <v>0</v>
      </c>
      <c r="I451" s="2">
        <v>41434</v>
      </c>
      <c r="J451">
        <v>7</v>
      </c>
      <c r="K451">
        <f>VLOOKUP(B451,purchase_dataset!$B$2:$F$2241,2,FALSE)</f>
        <v>7</v>
      </c>
      <c r="L451">
        <f>VLOOKUP(B451,purchase_dataset!$B$2:$F$2241,3,FALSE)</f>
        <v>0</v>
      </c>
      <c r="M451">
        <f>VLOOKUP(B451,purchase_dataset!$B$2:$F$2241,3,FALSE)</f>
        <v>0</v>
      </c>
      <c r="N451">
        <f>VLOOKUP(B451,purchase_dataset!$B$2:$F$2241,5,FALSE)</f>
        <v>3</v>
      </c>
      <c r="O451" s="5">
        <v>50</v>
      </c>
      <c r="P451" s="4" t="str">
        <f t="shared" si="12"/>
        <v>30-50</v>
      </c>
      <c r="Q451" s="4">
        <f>M451+N451</f>
        <v>3</v>
      </c>
      <c r="U451" s="28" t="str" cm="1">
        <f t="array" ref="U451">_xlfn.IFS(F451&lt;30000,"30k",F451&lt;=50000,"30k-50k",F451&lt;=75000,"50k-75k",F451&lt;=100000,"75k-100k",F451&gt;100000,"100k")</f>
        <v>30k</v>
      </c>
      <c r="W451" s="1">
        <f t="shared" si="13"/>
        <v>13</v>
      </c>
    </row>
    <row r="452" spans="1:23" x14ac:dyDescent="0.35">
      <c r="A452">
        <v>449</v>
      </c>
      <c r="B452">
        <v>1142</v>
      </c>
      <c r="C452">
        <v>1953</v>
      </c>
      <c r="D452" s="1" t="s">
        <v>13</v>
      </c>
      <c r="E452" s="1" t="s">
        <v>14</v>
      </c>
      <c r="F452">
        <v>55707</v>
      </c>
      <c r="G452">
        <v>0</v>
      </c>
      <c r="H452" s="2">
        <v>1</v>
      </c>
      <c r="I452" s="2">
        <v>41630</v>
      </c>
      <c r="J452">
        <v>91</v>
      </c>
      <c r="K452">
        <f>VLOOKUP(B452,purchase_dataset!$B$2:$F$2241,2,FALSE)</f>
        <v>7</v>
      </c>
      <c r="L452">
        <f>VLOOKUP(B452,purchase_dataset!$B$2:$F$2241,3,FALSE)</f>
        <v>66</v>
      </c>
      <c r="M452">
        <f>VLOOKUP(B452,purchase_dataset!$B$2:$F$2241,3,FALSE)</f>
        <v>66</v>
      </c>
      <c r="N452">
        <f>VLOOKUP(B452,purchase_dataset!$B$2:$F$2241,5,FALSE)</f>
        <v>9</v>
      </c>
      <c r="O452" s="5">
        <v>73</v>
      </c>
      <c r="P452" s="4" t="str">
        <f t="shared" ref="P452:P515" si="14">IF(O452&lt;30,"30",IF(O452&lt;=50,"30-50","&gt;50"))</f>
        <v>&gt;50</v>
      </c>
      <c r="Q452" s="4">
        <f>M452+N452</f>
        <v>75</v>
      </c>
      <c r="U452" s="28" t="str" cm="1">
        <f t="array" ref="U452">_xlfn.IFS(F452&lt;30000,"30k",F452&lt;=50000,"30k-50k",F452&lt;=75000,"50k-75k",F452&lt;=100000,"75k-100k",F452&gt;100000,"100k")</f>
        <v>50k-75k</v>
      </c>
      <c r="W452" s="1">
        <f t="shared" ref="W452:W515" si="15">2026-YEAR(I452)</f>
        <v>13</v>
      </c>
    </row>
    <row r="453" spans="1:23" x14ac:dyDescent="0.35">
      <c r="A453">
        <v>450</v>
      </c>
      <c r="B453">
        <v>2276</v>
      </c>
      <c r="C453">
        <v>1955</v>
      </c>
      <c r="D453" s="1" t="s">
        <v>10</v>
      </c>
      <c r="E453" s="1" t="s">
        <v>11</v>
      </c>
      <c r="F453">
        <v>57959</v>
      </c>
      <c r="G453">
        <v>0</v>
      </c>
      <c r="H453" s="2">
        <v>1</v>
      </c>
      <c r="I453" s="2">
        <v>41396</v>
      </c>
      <c r="J453">
        <v>71</v>
      </c>
      <c r="K453">
        <f>VLOOKUP(B453,purchase_dataset!$B$2:$F$2241,2,FALSE)</f>
        <v>16</v>
      </c>
      <c r="L453">
        <f>VLOOKUP(B453,purchase_dataset!$B$2:$F$2241,3,FALSE)</f>
        <v>24</v>
      </c>
      <c r="M453">
        <f>VLOOKUP(B453,purchase_dataset!$B$2:$F$2241,3,FALSE)</f>
        <v>24</v>
      </c>
      <c r="N453">
        <f>VLOOKUP(B453,purchase_dataset!$B$2:$F$2241,5,FALSE)</f>
        <v>11</v>
      </c>
      <c r="O453" s="5">
        <v>71</v>
      </c>
      <c r="P453" s="4" t="str">
        <f t="shared" si="14"/>
        <v>&gt;50</v>
      </c>
      <c r="Q453" s="4">
        <f>M453+N453</f>
        <v>35</v>
      </c>
      <c r="U453" s="28" t="str" cm="1">
        <f t="array" ref="U453">_xlfn.IFS(F453&lt;30000,"30k",F453&lt;=50000,"30k-50k",F453&lt;=75000,"50k-75k",F453&lt;=100000,"75k-100k",F453&gt;100000,"100k")</f>
        <v>50k-75k</v>
      </c>
      <c r="W453" s="1">
        <f t="shared" si="15"/>
        <v>13</v>
      </c>
    </row>
    <row r="454" spans="1:23" x14ac:dyDescent="0.35">
      <c r="A454">
        <v>451</v>
      </c>
      <c r="B454">
        <v>2807</v>
      </c>
      <c r="C454">
        <v>1969</v>
      </c>
      <c r="D454" s="1" t="s">
        <v>10</v>
      </c>
      <c r="E454" s="1" t="s">
        <v>14</v>
      </c>
      <c r="F454">
        <v>56796</v>
      </c>
      <c r="G454">
        <v>0</v>
      </c>
      <c r="H454" s="2">
        <v>1</v>
      </c>
      <c r="I454" s="2">
        <v>41321</v>
      </c>
      <c r="J454">
        <v>24</v>
      </c>
      <c r="K454">
        <f>VLOOKUP(B454,purchase_dataset!$B$2:$F$2241,2,FALSE)</f>
        <v>38</v>
      </c>
      <c r="L454">
        <f>VLOOKUP(B454,purchase_dataset!$B$2:$F$2241,3,FALSE)</f>
        <v>47</v>
      </c>
      <c r="M454">
        <f>VLOOKUP(B454,purchase_dataset!$B$2:$F$2241,3,FALSE)</f>
        <v>47</v>
      </c>
      <c r="N454">
        <f>VLOOKUP(B454,purchase_dataset!$B$2:$F$2241,5,FALSE)</f>
        <v>7</v>
      </c>
      <c r="O454" s="5">
        <v>57</v>
      </c>
      <c r="P454" s="4" t="str">
        <f t="shared" si="14"/>
        <v>&gt;50</v>
      </c>
      <c r="Q454" s="4">
        <f>M454+N454</f>
        <v>54</v>
      </c>
      <c r="U454" s="28" t="str" cm="1">
        <f t="array" ref="U454">_xlfn.IFS(F454&lt;30000,"30k",F454&lt;=50000,"30k-50k",F454&lt;=75000,"50k-75k",F454&lt;=100000,"75k-100k",F454&gt;100000,"100k")</f>
        <v>50k-75k</v>
      </c>
      <c r="W454" s="1">
        <f t="shared" si="15"/>
        <v>13</v>
      </c>
    </row>
    <row r="455" spans="1:23" x14ac:dyDescent="0.35">
      <c r="A455">
        <v>452</v>
      </c>
      <c r="B455">
        <v>6471</v>
      </c>
      <c r="C455">
        <v>1971</v>
      </c>
      <c r="D455" s="1" t="s">
        <v>15</v>
      </c>
      <c r="E455" s="1" t="s">
        <v>11</v>
      </c>
      <c r="F455">
        <v>36230</v>
      </c>
      <c r="G455">
        <v>1</v>
      </c>
      <c r="H455" s="2">
        <v>0</v>
      </c>
      <c r="I455" s="2">
        <v>41564</v>
      </c>
      <c r="J455">
        <v>17</v>
      </c>
      <c r="K455">
        <f>VLOOKUP(B455,purchase_dataset!$B$2:$F$2241,2,FALSE)</f>
        <v>2</v>
      </c>
      <c r="L455">
        <f>VLOOKUP(B455,purchase_dataset!$B$2:$F$2241,3,FALSE)</f>
        <v>2</v>
      </c>
      <c r="M455">
        <f>VLOOKUP(B455,purchase_dataset!$B$2:$F$2241,3,FALSE)</f>
        <v>2</v>
      </c>
      <c r="N455">
        <f>VLOOKUP(B455,purchase_dataset!$B$2:$F$2241,5,FALSE)</f>
        <v>4</v>
      </c>
      <c r="O455" s="5">
        <v>55</v>
      </c>
      <c r="P455" s="4" t="str">
        <f t="shared" si="14"/>
        <v>&gt;50</v>
      </c>
      <c r="Q455" s="4">
        <f>M455+N455</f>
        <v>6</v>
      </c>
      <c r="U455" s="28" t="str" cm="1">
        <f t="array" ref="U455">_xlfn.IFS(F455&lt;30000,"30k",F455&lt;=50000,"30k-50k",F455&lt;=75000,"50k-75k",F455&lt;=100000,"75k-100k",F455&gt;100000,"100k")</f>
        <v>30k-50k</v>
      </c>
      <c r="W455" s="1">
        <f t="shared" si="15"/>
        <v>13</v>
      </c>
    </row>
    <row r="456" spans="1:23" x14ac:dyDescent="0.35">
      <c r="A456">
        <v>453</v>
      </c>
      <c r="B456">
        <v>6131</v>
      </c>
      <c r="C456">
        <v>1980</v>
      </c>
      <c r="D456" s="1" t="s">
        <v>18</v>
      </c>
      <c r="E456" s="1" t="s">
        <v>14</v>
      </c>
      <c r="F456">
        <v>70829</v>
      </c>
      <c r="G456">
        <v>1</v>
      </c>
      <c r="H456" s="2">
        <v>1</v>
      </c>
      <c r="I456" s="2">
        <v>41609</v>
      </c>
      <c r="J456">
        <v>87</v>
      </c>
      <c r="K456">
        <f>VLOOKUP(B456,purchase_dataset!$B$2:$F$2241,2,FALSE)</f>
        <v>70</v>
      </c>
      <c r="L456">
        <f>VLOOKUP(B456,purchase_dataset!$B$2:$F$2241,3,FALSE)</f>
        <v>19</v>
      </c>
      <c r="M456">
        <f>VLOOKUP(B456,purchase_dataset!$B$2:$F$2241,3,FALSE)</f>
        <v>19</v>
      </c>
      <c r="N456">
        <f>VLOOKUP(B456,purchase_dataset!$B$2:$F$2241,5,FALSE)</f>
        <v>8</v>
      </c>
      <c r="O456" s="5">
        <v>46</v>
      </c>
      <c r="P456" s="4" t="str">
        <f t="shared" si="14"/>
        <v>30-50</v>
      </c>
      <c r="Q456" s="4">
        <f>M456+N456</f>
        <v>27</v>
      </c>
      <c r="U456" s="28" t="str" cm="1">
        <f t="array" ref="U456">_xlfn.IFS(F456&lt;30000,"30k",F456&lt;=50000,"30k-50k",F456&lt;=75000,"50k-75k",F456&lt;=100000,"75k-100k",F456&gt;100000,"100k")</f>
        <v>50k-75k</v>
      </c>
      <c r="W456" s="1">
        <f t="shared" si="15"/>
        <v>13</v>
      </c>
    </row>
    <row r="457" spans="1:23" x14ac:dyDescent="0.35">
      <c r="A457">
        <v>454</v>
      </c>
      <c r="B457">
        <v>6233</v>
      </c>
      <c r="C457">
        <v>1976</v>
      </c>
      <c r="D457" s="1" t="s">
        <v>10</v>
      </c>
      <c r="E457" s="1" t="s">
        <v>14</v>
      </c>
      <c r="F457">
        <v>65991</v>
      </c>
      <c r="G457">
        <v>0</v>
      </c>
      <c r="H457" s="2">
        <v>1</v>
      </c>
      <c r="I457" s="2">
        <v>41159</v>
      </c>
      <c r="J457">
        <v>21</v>
      </c>
      <c r="K457">
        <f>VLOOKUP(B457,purchase_dataset!$B$2:$F$2241,2,FALSE)</f>
        <v>19</v>
      </c>
      <c r="L457">
        <f>VLOOKUP(B457,purchase_dataset!$B$2:$F$2241,3,FALSE)</f>
        <v>47</v>
      </c>
      <c r="M457">
        <f>VLOOKUP(B457,purchase_dataset!$B$2:$F$2241,3,FALSE)</f>
        <v>47</v>
      </c>
      <c r="N457">
        <f>VLOOKUP(B457,purchase_dataset!$B$2:$F$2241,5,FALSE)</f>
        <v>10</v>
      </c>
      <c r="O457" s="5">
        <v>50</v>
      </c>
      <c r="P457" s="4" t="str">
        <f t="shared" si="14"/>
        <v>30-50</v>
      </c>
      <c r="Q457" s="4">
        <f>M457+N457</f>
        <v>57</v>
      </c>
      <c r="U457" s="28" t="str" cm="1">
        <f t="array" ref="U457">_xlfn.IFS(F457&lt;30000,"30k",F457&lt;=50000,"30k-50k",F457&lt;=75000,"50k-75k",F457&lt;=100000,"75k-100k",F457&gt;100000,"100k")</f>
        <v>50k-75k</v>
      </c>
      <c r="W457" s="1">
        <f t="shared" si="15"/>
        <v>14</v>
      </c>
    </row>
    <row r="458" spans="1:23" x14ac:dyDescent="0.35">
      <c r="A458">
        <v>455</v>
      </c>
      <c r="B458">
        <v>4148</v>
      </c>
      <c r="C458">
        <v>1972</v>
      </c>
      <c r="D458" s="1" t="s">
        <v>10</v>
      </c>
      <c r="E458" s="1" t="s">
        <v>14</v>
      </c>
      <c r="F458">
        <v>38988</v>
      </c>
      <c r="G458">
        <v>1</v>
      </c>
      <c r="H458" s="2">
        <v>2</v>
      </c>
      <c r="I458" s="2">
        <v>41141</v>
      </c>
      <c r="J458">
        <v>90</v>
      </c>
      <c r="K458">
        <f>VLOOKUP(B458,purchase_dataset!$B$2:$F$2241,2,FALSE)</f>
        <v>24</v>
      </c>
      <c r="L458">
        <f>VLOOKUP(B458,purchase_dataset!$B$2:$F$2241,3,FALSE)</f>
        <v>3</v>
      </c>
      <c r="M458">
        <f>VLOOKUP(B458,purchase_dataset!$B$2:$F$2241,3,FALSE)</f>
        <v>3</v>
      </c>
      <c r="N458">
        <f>VLOOKUP(B458,purchase_dataset!$B$2:$F$2241,5,FALSE)</f>
        <v>6</v>
      </c>
      <c r="O458" s="5">
        <v>54</v>
      </c>
      <c r="P458" s="4" t="str">
        <f t="shared" si="14"/>
        <v>&gt;50</v>
      </c>
      <c r="Q458" s="4">
        <f>M458+N458</f>
        <v>9</v>
      </c>
      <c r="U458" s="28" t="str" cm="1">
        <f t="array" ref="U458">_xlfn.IFS(F458&lt;30000,"30k",F458&lt;=50000,"30k-50k",F458&lt;=75000,"50k-75k",F458&lt;=100000,"75k-100k",F458&gt;100000,"100k")</f>
        <v>30k-50k</v>
      </c>
      <c r="W458" s="1">
        <f t="shared" si="15"/>
        <v>14</v>
      </c>
    </row>
    <row r="459" spans="1:23" x14ac:dyDescent="0.35">
      <c r="A459">
        <v>456</v>
      </c>
      <c r="B459">
        <v>4947</v>
      </c>
      <c r="C459">
        <v>1966</v>
      </c>
      <c r="D459" s="1" t="s">
        <v>18</v>
      </c>
      <c r="E459" s="1" t="s">
        <v>11</v>
      </c>
      <c r="F459">
        <v>89572</v>
      </c>
      <c r="G459">
        <v>0</v>
      </c>
      <c r="H459" s="2">
        <v>0</v>
      </c>
      <c r="I459" s="2">
        <v>41167</v>
      </c>
      <c r="J459">
        <v>44</v>
      </c>
      <c r="K459">
        <f>VLOOKUP(B459,purchase_dataset!$B$2:$F$2241,2,FALSE)</f>
        <v>24</v>
      </c>
      <c r="L459">
        <f>VLOOKUP(B459,purchase_dataset!$B$2:$F$2241,3,FALSE)</f>
        <v>194</v>
      </c>
      <c r="M459">
        <f>VLOOKUP(B459,purchase_dataset!$B$2:$F$2241,3,FALSE)</f>
        <v>194</v>
      </c>
      <c r="N459">
        <f>VLOOKUP(B459,purchase_dataset!$B$2:$F$2241,5,FALSE)</f>
        <v>9</v>
      </c>
      <c r="O459" s="5">
        <v>60</v>
      </c>
      <c r="P459" s="4" t="str">
        <f t="shared" si="14"/>
        <v>&gt;50</v>
      </c>
      <c r="Q459" s="4">
        <f>M459+N459</f>
        <v>203</v>
      </c>
      <c r="U459" s="28" t="str" cm="1">
        <f t="array" ref="U459">_xlfn.IFS(F459&lt;30000,"30k",F459&lt;=50000,"30k-50k",F459&lt;=75000,"50k-75k",F459&lt;=100000,"75k-100k",F459&gt;100000,"100k")</f>
        <v>75k-100k</v>
      </c>
      <c r="W459" s="1">
        <f t="shared" si="15"/>
        <v>14</v>
      </c>
    </row>
    <row r="460" spans="1:23" x14ac:dyDescent="0.35">
      <c r="A460">
        <v>457</v>
      </c>
      <c r="B460">
        <v>3225</v>
      </c>
      <c r="C460">
        <v>1984</v>
      </c>
      <c r="D460" s="1" t="s">
        <v>15</v>
      </c>
      <c r="E460" s="1" t="s">
        <v>14</v>
      </c>
      <c r="F460">
        <v>42207</v>
      </c>
      <c r="G460">
        <v>1</v>
      </c>
      <c r="H460" s="2">
        <v>0</v>
      </c>
      <c r="I460" s="2">
        <v>41365</v>
      </c>
      <c r="J460">
        <v>71</v>
      </c>
      <c r="K460">
        <f>VLOOKUP(B460,purchase_dataset!$B$2:$F$2241,2,FALSE)</f>
        <v>11</v>
      </c>
      <c r="L460">
        <f>VLOOKUP(B460,purchase_dataset!$B$2:$F$2241,3,FALSE)</f>
        <v>17</v>
      </c>
      <c r="M460">
        <f>VLOOKUP(B460,purchase_dataset!$B$2:$F$2241,3,FALSE)</f>
        <v>17</v>
      </c>
      <c r="N460">
        <f>VLOOKUP(B460,purchase_dataset!$B$2:$F$2241,5,FALSE)</f>
        <v>5</v>
      </c>
      <c r="O460" s="5">
        <v>42</v>
      </c>
      <c r="P460" s="4" t="str">
        <f t="shared" si="14"/>
        <v>30-50</v>
      </c>
      <c r="Q460" s="4">
        <f>M460+N460</f>
        <v>22</v>
      </c>
      <c r="U460" s="28" t="str" cm="1">
        <f t="array" ref="U460">_xlfn.IFS(F460&lt;30000,"30k",F460&lt;=50000,"30k-50k",F460&lt;=75000,"50k-75k",F460&lt;=100000,"75k-100k",F460&gt;100000,"100k")</f>
        <v>30k-50k</v>
      </c>
      <c r="W460" s="1">
        <f t="shared" si="15"/>
        <v>13</v>
      </c>
    </row>
    <row r="461" spans="1:23" x14ac:dyDescent="0.35">
      <c r="A461">
        <v>458</v>
      </c>
      <c r="B461">
        <v>7540</v>
      </c>
      <c r="C461">
        <v>1952</v>
      </c>
      <c r="D461" s="1" t="s">
        <v>10</v>
      </c>
      <c r="E461" s="1" t="s">
        <v>14</v>
      </c>
      <c r="F461">
        <v>50300</v>
      </c>
      <c r="G461">
        <v>0</v>
      </c>
      <c r="H461" s="2">
        <v>1</v>
      </c>
      <c r="I461" s="2">
        <v>41784</v>
      </c>
      <c r="J461">
        <v>52</v>
      </c>
      <c r="K461">
        <f>VLOOKUP(B461,purchase_dataset!$B$2:$F$2241,2,FALSE)</f>
        <v>15</v>
      </c>
      <c r="L461">
        <f>VLOOKUP(B461,purchase_dataset!$B$2:$F$2241,3,FALSE)</f>
        <v>23</v>
      </c>
      <c r="M461">
        <f>VLOOKUP(B461,purchase_dataset!$B$2:$F$2241,3,FALSE)</f>
        <v>23</v>
      </c>
      <c r="N461">
        <f>VLOOKUP(B461,purchase_dataset!$B$2:$F$2241,5,FALSE)</f>
        <v>8</v>
      </c>
      <c r="O461" s="5">
        <v>74</v>
      </c>
      <c r="P461" s="4" t="str">
        <f t="shared" si="14"/>
        <v>&gt;50</v>
      </c>
      <c r="Q461" s="4">
        <f>M461+N461</f>
        <v>31</v>
      </c>
      <c r="U461" s="28" t="str" cm="1">
        <f t="array" ref="U461">_xlfn.IFS(F461&lt;30000,"30k",F461&lt;=50000,"30k-50k",F461&lt;=75000,"50k-75k",F461&lt;=100000,"75k-100k",F461&gt;100000,"100k")</f>
        <v>50k-75k</v>
      </c>
      <c r="W461" s="1">
        <f t="shared" si="15"/>
        <v>12</v>
      </c>
    </row>
    <row r="462" spans="1:23" x14ac:dyDescent="0.35">
      <c r="A462">
        <v>459</v>
      </c>
      <c r="B462">
        <v>10648</v>
      </c>
      <c r="C462">
        <v>1982</v>
      </c>
      <c r="D462" s="1" t="s">
        <v>18</v>
      </c>
      <c r="E462" s="1" t="s">
        <v>12</v>
      </c>
      <c r="F462">
        <v>66664</v>
      </c>
      <c r="G462">
        <v>0</v>
      </c>
      <c r="H462" s="2">
        <v>0</v>
      </c>
      <c r="I462" s="2">
        <v>41177</v>
      </c>
      <c r="J462">
        <v>78</v>
      </c>
      <c r="K462">
        <f>VLOOKUP(B462,purchase_dataset!$B$2:$F$2241,2,FALSE)</f>
        <v>96</v>
      </c>
      <c r="L462">
        <f>VLOOKUP(B462,purchase_dataset!$B$2:$F$2241,3,FALSE)</f>
        <v>96</v>
      </c>
      <c r="M462">
        <f>VLOOKUP(B462,purchase_dataset!$B$2:$F$2241,3,FALSE)</f>
        <v>96</v>
      </c>
      <c r="N462">
        <f>VLOOKUP(B462,purchase_dataset!$B$2:$F$2241,5,FALSE)</f>
        <v>6</v>
      </c>
      <c r="O462" s="5">
        <v>44</v>
      </c>
      <c r="P462" s="4" t="str">
        <f t="shared" si="14"/>
        <v>30-50</v>
      </c>
      <c r="Q462" s="4">
        <f>M462+N462</f>
        <v>102</v>
      </c>
      <c r="U462" s="28" t="str" cm="1">
        <f t="array" ref="U462">_xlfn.IFS(F462&lt;30000,"30k",F462&lt;=50000,"30k-50k",F462&lt;=75000,"50k-75k",F462&lt;=100000,"75k-100k",F462&gt;100000,"100k")</f>
        <v>50k-75k</v>
      </c>
      <c r="W462" s="1">
        <f t="shared" si="15"/>
        <v>14</v>
      </c>
    </row>
    <row r="463" spans="1:23" x14ac:dyDescent="0.35">
      <c r="A463">
        <v>460</v>
      </c>
      <c r="B463">
        <v>1992</v>
      </c>
      <c r="C463">
        <v>1964</v>
      </c>
      <c r="D463" s="1" t="s">
        <v>10</v>
      </c>
      <c r="E463" s="1" t="s">
        <v>14</v>
      </c>
      <c r="F463">
        <v>60597</v>
      </c>
      <c r="G463">
        <v>0</v>
      </c>
      <c r="H463" s="2">
        <v>1</v>
      </c>
      <c r="I463" s="2">
        <v>41640</v>
      </c>
      <c r="J463">
        <v>2</v>
      </c>
      <c r="K463">
        <f>VLOOKUP(B463,purchase_dataset!$B$2:$F$2241,2,FALSE)</f>
        <v>0</v>
      </c>
      <c r="L463">
        <f>VLOOKUP(B463,purchase_dataset!$B$2:$F$2241,3,FALSE)</f>
        <v>16</v>
      </c>
      <c r="M463">
        <f>VLOOKUP(B463,purchase_dataset!$B$2:$F$2241,3,FALSE)</f>
        <v>16</v>
      </c>
      <c r="N463">
        <f>VLOOKUP(B463,purchase_dataset!$B$2:$F$2241,5,FALSE)</f>
        <v>8</v>
      </c>
      <c r="O463" s="5">
        <v>62</v>
      </c>
      <c r="P463" s="4" t="str">
        <f t="shared" si="14"/>
        <v>&gt;50</v>
      </c>
      <c r="Q463" s="4">
        <f>M463+N463</f>
        <v>24</v>
      </c>
      <c r="U463" s="28" t="str" cm="1">
        <f t="array" ref="U463">_xlfn.IFS(F463&lt;30000,"30k",F463&lt;=50000,"30k-50k",F463&lt;=75000,"50k-75k",F463&lt;=100000,"75k-100k",F463&gt;100000,"100k")</f>
        <v>50k-75k</v>
      </c>
      <c r="W463" s="1">
        <f t="shared" si="15"/>
        <v>12</v>
      </c>
    </row>
    <row r="464" spans="1:23" x14ac:dyDescent="0.35">
      <c r="A464">
        <v>461</v>
      </c>
      <c r="B464">
        <v>7851</v>
      </c>
      <c r="C464">
        <v>1949</v>
      </c>
      <c r="D464" s="1" t="s">
        <v>10</v>
      </c>
      <c r="E464" s="1" t="s">
        <v>19</v>
      </c>
      <c r="F464">
        <v>70165</v>
      </c>
      <c r="G464">
        <v>0</v>
      </c>
      <c r="H464" s="2">
        <v>0</v>
      </c>
      <c r="I464" s="2">
        <v>41539</v>
      </c>
      <c r="J464">
        <v>60</v>
      </c>
      <c r="K464">
        <f>VLOOKUP(B464,purchase_dataset!$B$2:$F$2241,2,FALSE)</f>
        <v>0</v>
      </c>
      <c r="L464">
        <f>VLOOKUP(B464,purchase_dataset!$B$2:$F$2241,3,FALSE)</f>
        <v>191</v>
      </c>
      <c r="M464">
        <f>VLOOKUP(B464,purchase_dataset!$B$2:$F$2241,3,FALSE)</f>
        <v>191</v>
      </c>
      <c r="N464">
        <f>VLOOKUP(B464,purchase_dataset!$B$2:$F$2241,5,FALSE)</f>
        <v>11</v>
      </c>
      <c r="O464" s="5">
        <v>77</v>
      </c>
      <c r="P464" s="4" t="str">
        <f t="shared" si="14"/>
        <v>&gt;50</v>
      </c>
      <c r="Q464" s="4">
        <f>M464+N464</f>
        <v>202</v>
      </c>
      <c r="U464" s="28" t="str" cm="1">
        <f t="array" ref="U464">_xlfn.IFS(F464&lt;30000,"30k",F464&lt;=50000,"30k-50k",F464&lt;=75000,"50k-75k",F464&lt;=100000,"75k-100k",F464&gt;100000,"100k")</f>
        <v>50k-75k</v>
      </c>
      <c r="W464" s="1">
        <f t="shared" si="15"/>
        <v>13</v>
      </c>
    </row>
    <row r="465" spans="1:23" x14ac:dyDescent="0.35">
      <c r="A465">
        <v>462</v>
      </c>
      <c r="B465">
        <v>8594</v>
      </c>
      <c r="C465">
        <v>1958</v>
      </c>
      <c r="D465" s="1" t="s">
        <v>13</v>
      </c>
      <c r="E465" s="1" t="s">
        <v>19</v>
      </c>
      <c r="F465">
        <v>50520</v>
      </c>
      <c r="G465">
        <v>0</v>
      </c>
      <c r="H465" s="2">
        <v>1</v>
      </c>
      <c r="I465" s="2">
        <v>41667</v>
      </c>
      <c r="J465">
        <v>25</v>
      </c>
      <c r="K465">
        <f>VLOOKUP(B465,purchase_dataset!$B$2:$F$2241,2,FALSE)</f>
        <v>0</v>
      </c>
      <c r="L465">
        <f>VLOOKUP(B465,purchase_dataset!$B$2:$F$2241,3,FALSE)</f>
        <v>1</v>
      </c>
      <c r="M465">
        <f>VLOOKUP(B465,purchase_dataset!$B$2:$F$2241,3,FALSE)</f>
        <v>1</v>
      </c>
      <c r="N465">
        <f>VLOOKUP(B465,purchase_dataset!$B$2:$F$2241,5,FALSE)</f>
        <v>3</v>
      </c>
      <c r="O465" s="5">
        <v>68</v>
      </c>
      <c r="P465" s="4" t="str">
        <f t="shared" si="14"/>
        <v>&gt;50</v>
      </c>
      <c r="Q465" s="4">
        <f>M465+N465</f>
        <v>4</v>
      </c>
      <c r="U465" s="28" t="str" cm="1">
        <f t="array" ref="U465">_xlfn.IFS(F465&lt;30000,"30k",F465&lt;=50000,"30k-50k",F465&lt;=75000,"50k-75k",F465&lt;=100000,"75k-100k",F465&gt;100000,"100k")</f>
        <v>50k-75k</v>
      </c>
      <c r="W465" s="1">
        <f t="shared" si="15"/>
        <v>12</v>
      </c>
    </row>
    <row r="466" spans="1:23" x14ac:dyDescent="0.35">
      <c r="A466">
        <v>463</v>
      </c>
      <c r="B466">
        <v>7059</v>
      </c>
      <c r="C466">
        <v>1963</v>
      </c>
      <c r="D466" s="1" t="s">
        <v>10</v>
      </c>
      <c r="E466" s="1" t="s">
        <v>14</v>
      </c>
      <c r="F466">
        <v>80124</v>
      </c>
      <c r="G466">
        <v>0</v>
      </c>
      <c r="H466" s="2">
        <v>0</v>
      </c>
      <c r="I466" s="2">
        <v>41816</v>
      </c>
      <c r="J466">
        <v>47</v>
      </c>
      <c r="K466">
        <f>VLOOKUP(B466,purchase_dataset!$B$2:$F$2241,2,FALSE)</f>
        <v>84</v>
      </c>
      <c r="L466">
        <f>VLOOKUP(B466,purchase_dataset!$B$2:$F$2241,3,FALSE)</f>
        <v>84</v>
      </c>
      <c r="M466">
        <f>VLOOKUP(B466,purchase_dataset!$B$2:$F$2241,3,FALSE)</f>
        <v>84</v>
      </c>
      <c r="N466">
        <f>VLOOKUP(B466,purchase_dataset!$B$2:$F$2241,5,FALSE)</f>
        <v>8</v>
      </c>
      <c r="O466" s="5">
        <v>63</v>
      </c>
      <c r="P466" s="4" t="str">
        <f t="shared" si="14"/>
        <v>&gt;50</v>
      </c>
      <c r="Q466" s="4">
        <f>M466+N466</f>
        <v>92</v>
      </c>
      <c r="U466" s="28" t="str" cm="1">
        <f t="array" ref="U466">_xlfn.IFS(F466&lt;30000,"30k",F466&lt;=50000,"30k-50k",F466&lt;=75000,"50k-75k",F466&lt;=100000,"75k-100k",F466&gt;100000,"100k")</f>
        <v>75k-100k</v>
      </c>
      <c r="W466" s="1">
        <f t="shared" si="15"/>
        <v>12</v>
      </c>
    </row>
    <row r="467" spans="1:23" x14ac:dyDescent="0.35">
      <c r="A467">
        <v>464</v>
      </c>
      <c r="B467">
        <v>2815</v>
      </c>
      <c r="C467">
        <v>1975</v>
      </c>
      <c r="D467" s="1" t="s">
        <v>10</v>
      </c>
      <c r="E467" s="1" t="s">
        <v>14</v>
      </c>
      <c r="F467">
        <v>33183</v>
      </c>
      <c r="G467">
        <v>1</v>
      </c>
      <c r="H467" s="2">
        <v>0</v>
      </c>
      <c r="I467" s="2">
        <v>41694</v>
      </c>
      <c r="J467">
        <v>46</v>
      </c>
      <c r="K467">
        <f>VLOOKUP(B467,purchase_dataset!$B$2:$F$2241,2,FALSE)</f>
        <v>5</v>
      </c>
      <c r="L467">
        <f>VLOOKUP(B467,purchase_dataset!$B$2:$F$2241,3,FALSE)</f>
        <v>15</v>
      </c>
      <c r="M467">
        <f>VLOOKUP(B467,purchase_dataset!$B$2:$F$2241,3,FALSE)</f>
        <v>15</v>
      </c>
      <c r="N467">
        <f>VLOOKUP(B467,purchase_dataset!$B$2:$F$2241,5,FALSE)</f>
        <v>3</v>
      </c>
      <c r="O467" s="5">
        <v>51</v>
      </c>
      <c r="P467" s="4" t="str">
        <f t="shared" si="14"/>
        <v>&gt;50</v>
      </c>
      <c r="Q467" s="4">
        <f>M467+N467</f>
        <v>18</v>
      </c>
      <c r="U467" s="28" t="str" cm="1">
        <f t="array" ref="U467">_xlfn.IFS(F467&lt;30000,"30k",F467&lt;=50000,"30k-50k",F467&lt;=75000,"50k-75k",F467&lt;=100000,"75k-100k",F467&gt;100000,"100k")</f>
        <v>30k-50k</v>
      </c>
      <c r="W467" s="1">
        <f t="shared" si="15"/>
        <v>12</v>
      </c>
    </row>
    <row r="468" spans="1:23" x14ac:dyDescent="0.35">
      <c r="A468">
        <v>465</v>
      </c>
      <c r="B468">
        <v>2416</v>
      </c>
      <c r="C468">
        <v>1969</v>
      </c>
      <c r="D468" s="1" t="s">
        <v>13</v>
      </c>
      <c r="E468" s="1" t="s">
        <v>11</v>
      </c>
      <c r="F468">
        <v>66582</v>
      </c>
      <c r="G468">
        <v>0</v>
      </c>
      <c r="H468" s="2">
        <v>0</v>
      </c>
      <c r="I468" s="2">
        <v>41701</v>
      </c>
      <c r="J468">
        <v>83</v>
      </c>
      <c r="K468">
        <f>VLOOKUP(B468,purchase_dataset!$B$2:$F$2241,2,FALSE)</f>
        <v>25</v>
      </c>
      <c r="L468">
        <f>VLOOKUP(B468,purchase_dataset!$B$2:$F$2241,3,FALSE)</f>
        <v>38</v>
      </c>
      <c r="M468">
        <f>VLOOKUP(B468,purchase_dataset!$B$2:$F$2241,3,FALSE)</f>
        <v>38</v>
      </c>
      <c r="N468">
        <f>VLOOKUP(B468,purchase_dataset!$B$2:$F$2241,5,FALSE)</f>
        <v>9</v>
      </c>
      <c r="O468" s="5">
        <v>57</v>
      </c>
      <c r="P468" s="4" t="str">
        <f t="shared" si="14"/>
        <v>&gt;50</v>
      </c>
      <c r="Q468" s="4">
        <f>M468+N468</f>
        <v>47</v>
      </c>
      <c r="U468" s="28" t="str" cm="1">
        <f t="array" ref="U468">_xlfn.IFS(F468&lt;30000,"30k",F468&lt;=50000,"30k-50k",F468&lt;=75000,"50k-75k",F468&lt;=100000,"75k-100k",F468&gt;100000,"100k")</f>
        <v>50k-75k</v>
      </c>
      <c r="W468" s="1">
        <f t="shared" si="15"/>
        <v>12</v>
      </c>
    </row>
    <row r="469" spans="1:23" x14ac:dyDescent="0.35">
      <c r="A469">
        <v>466</v>
      </c>
      <c r="B469">
        <v>7999</v>
      </c>
      <c r="C469">
        <v>1955</v>
      </c>
      <c r="D469" s="1" t="s">
        <v>13</v>
      </c>
      <c r="E469" s="1" t="s">
        <v>12</v>
      </c>
      <c r="F469">
        <v>75261</v>
      </c>
      <c r="G469">
        <v>0</v>
      </c>
      <c r="H469" s="2">
        <v>0</v>
      </c>
      <c r="I469" s="2">
        <v>41387</v>
      </c>
      <c r="J469">
        <v>17</v>
      </c>
      <c r="K469">
        <f>VLOOKUP(B469,purchase_dataset!$B$2:$F$2241,2,FALSE)</f>
        <v>17</v>
      </c>
      <c r="L469">
        <f>VLOOKUP(B469,purchase_dataset!$B$2:$F$2241,3,FALSE)</f>
        <v>34</v>
      </c>
      <c r="M469">
        <f>VLOOKUP(B469,purchase_dataset!$B$2:$F$2241,3,FALSE)</f>
        <v>34</v>
      </c>
      <c r="N469">
        <f>VLOOKUP(B469,purchase_dataset!$B$2:$F$2241,5,FALSE)</f>
        <v>5</v>
      </c>
      <c r="O469" s="5">
        <v>71</v>
      </c>
      <c r="P469" s="4" t="str">
        <f t="shared" si="14"/>
        <v>&gt;50</v>
      </c>
      <c r="Q469" s="4">
        <f>M469+N469</f>
        <v>39</v>
      </c>
      <c r="U469" s="28" t="str" cm="1">
        <f t="array" ref="U469">_xlfn.IFS(F469&lt;30000,"30k",F469&lt;=50000,"30k-50k",F469&lt;=75000,"50k-75k",F469&lt;=100000,"75k-100k",F469&gt;100000,"100k")</f>
        <v>75k-100k</v>
      </c>
      <c r="W469" s="1">
        <f t="shared" si="15"/>
        <v>13</v>
      </c>
    </row>
    <row r="470" spans="1:23" x14ac:dyDescent="0.35">
      <c r="A470">
        <v>467</v>
      </c>
      <c r="B470">
        <v>9213</v>
      </c>
      <c r="C470">
        <v>1970</v>
      </c>
      <c r="D470" s="1" t="s">
        <v>10</v>
      </c>
      <c r="E470" s="1" t="s">
        <v>19</v>
      </c>
      <c r="F470">
        <v>31880</v>
      </c>
      <c r="G470">
        <v>1</v>
      </c>
      <c r="H470" s="2">
        <v>0</v>
      </c>
      <c r="I470" s="2">
        <v>41213</v>
      </c>
      <c r="J470">
        <v>13</v>
      </c>
      <c r="K470">
        <f>VLOOKUP(B470,purchase_dataset!$B$2:$F$2241,2,FALSE)</f>
        <v>1</v>
      </c>
      <c r="L470">
        <f>VLOOKUP(B470,purchase_dataset!$B$2:$F$2241,3,FALSE)</f>
        <v>0</v>
      </c>
      <c r="M470">
        <f>VLOOKUP(B470,purchase_dataset!$B$2:$F$2241,3,FALSE)</f>
        <v>0</v>
      </c>
      <c r="N470">
        <f>VLOOKUP(B470,purchase_dataset!$B$2:$F$2241,5,FALSE)</f>
        <v>2</v>
      </c>
      <c r="O470" s="5">
        <v>56</v>
      </c>
      <c r="P470" s="4" t="str">
        <f t="shared" si="14"/>
        <v>&gt;50</v>
      </c>
      <c r="Q470" s="4">
        <f>M470+N470</f>
        <v>2</v>
      </c>
      <c r="U470" s="28" t="str" cm="1">
        <f t="array" ref="U470">_xlfn.IFS(F470&lt;30000,"30k",F470&lt;=50000,"30k-50k",F470&lt;=75000,"50k-75k",F470&lt;=100000,"75k-100k",F470&gt;100000,"100k")</f>
        <v>30k-50k</v>
      </c>
      <c r="W470" s="1">
        <f t="shared" si="15"/>
        <v>14</v>
      </c>
    </row>
    <row r="471" spans="1:23" x14ac:dyDescent="0.35">
      <c r="A471">
        <v>468</v>
      </c>
      <c r="B471">
        <v>9697</v>
      </c>
      <c r="C471">
        <v>1951</v>
      </c>
      <c r="D471" s="1" t="s">
        <v>10</v>
      </c>
      <c r="E471" s="1" t="s">
        <v>14</v>
      </c>
      <c r="F471">
        <v>53790</v>
      </c>
      <c r="G471">
        <v>0</v>
      </c>
      <c r="H471" s="2">
        <v>2</v>
      </c>
      <c r="I471" s="2">
        <v>41704</v>
      </c>
      <c r="J471">
        <v>86</v>
      </c>
      <c r="K471">
        <f>VLOOKUP(B471,purchase_dataset!$B$2:$F$2241,2,FALSE)</f>
        <v>42</v>
      </c>
      <c r="L471">
        <f>VLOOKUP(B471,purchase_dataset!$B$2:$F$2241,3,FALSE)</f>
        <v>5</v>
      </c>
      <c r="M471">
        <f>VLOOKUP(B471,purchase_dataset!$B$2:$F$2241,3,FALSE)</f>
        <v>5</v>
      </c>
      <c r="N471">
        <f>VLOOKUP(B471,purchase_dataset!$B$2:$F$2241,5,FALSE)</f>
        <v>8</v>
      </c>
      <c r="O471" s="5">
        <v>75</v>
      </c>
      <c r="P471" s="4" t="str">
        <f t="shared" si="14"/>
        <v>&gt;50</v>
      </c>
      <c r="Q471" s="4">
        <f>M471+N471</f>
        <v>13</v>
      </c>
      <c r="U471" s="28" t="str" cm="1">
        <f t="array" ref="U471">_xlfn.IFS(F471&lt;30000,"30k",F471&lt;=50000,"30k-50k",F471&lt;=75000,"50k-75k",F471&lt;=100000,"75k-100k",F471&gt;100000,"100k")</f>
        <v>50k-75k</v>
      </c>
      <c r="W471" s="1">
        <f t="shared" si="15"/>
        <v>12</v>
      </c>
    </row>
    <row r="472" spans="1:23" x14ac:dyDescent="0.35">
      <c r="A472">
        <v>469</v>
      </c>
      <c r="B472">
        <v>3916</v>
      </c>
      <c r="C472">
        <v>1971</v>
      </c>
      <c r="D472" s="1" t="s">
        <v>13</v>
      </c>
      <c r="E472" s="1" t="s">
        <v>12</v>
      </c>
      <c r="F472">
        <v>49269</v>
      </c>
      <c r="G472">
        <v>1</v>
      </c>
      <c r="H472" s="2">
        <v>0</v>
      </c>
      <c r="I472" s="2">
        <v>41136</v>
      </c>
      <c r="J472">
        <v>92</v>
      </c>
      <c r="K472">
        <f>VLOOKUP(B472,purchase_dataset!$B$2:$F$2241,2,FALSE)</f>
        <v>8</v>
      </c>
      <c r="L472">
        <f>VLOOKUP(B472,purchase_dataset!$B$2:$F$2241,3,FALSE)</f>
        <v>8</v>
      </c>
      <c r="M472">
        <f>VLOOKUP(B472,purchase_dataset!$B$2:$F$2241,3,FALSE)</f>
        <v>8</v>
      </c>
      <c r="N472">
        <f>VLOOKUP(B472,purchase_dataset!$B$2:$F$2241,5,FALSE)</f>
        <v>12</v>
      </c>
      <c r="O472" s="5">
        <v>55</v>
      </c>
      <c r="P472" s="4" t="str">
        <f t="shared" si="14"/>
        <v>&gt;50</v>
      </c>
      <c r="Q472" s="4">
        <f>M472+N472</f>
        <v>20</v>
      </c>
      <c r="U472" s="28" t="str" cm="1">
        <f t="array" ref="U472">_xlfn.IFS(F472&lt;30000,"30k",F472&lt;=50000,"30k-50k",F472&lt;=75000,"50k-75k",F472&lt;=100000,"75k-100k",F472&gt;100000,"100k")</f>
        <v>30k-50k</v>
      </c>
      <c r="W472" s="1">
        <f t="shared" si="15"/>
        <v>14</v>
      </c>
    </row>
    <row r="473" spans="1:23" x14ac:dyDescent="0.35">
      <c r="A473">
        <v>470</v>
      </c>
      <c r="B473">
        <v>2021</v>
      </c>
      <c r="C473">
        <v>1975</v>
      </c>
      <c r="D473" s="1" t="s">
        <v>10</v>
      </c>
      <c r="E473" s="1" t="s">
        <v>14</v>
      </c>
      <c r="F473">
        <v>61456</v>
      </c>
      <c r="G473">
        <v>0</v>
      </c>
      <c r="H473" s="2">
        <v>1</v>
      </c>
      <c r="I473" s="2">
        <v>41360</v>
      </c>
      <c r="J473">
        <v>47</v>
      </c>
      <c r="K473">
        <f>VLOOKUP(B473,purchase_dataset!$B$2:$F$2241,2,FALSE)</f>
        <v>76</v>
      </c>
      <c r="L473">
        <f>VLOOKUP(B473,purchase_dataset!$B$2:$F$2241,3,FALSE)</f>
        <v>192</v>
      </c>
      <c r="M473">
        <f>VLOOKUP(B473,purchase_dataset!$B$2:$F$2241,3,FALSE)</f>
        <v>192</v>
      </c>
      <c r="N473">
        <f>VLOOKUP(B473,purchase_dataset!$B$2:$F$2241,5,FALSE)</f>
        <v>13</v>
      </c>
      <c r="O473" s="5">
        <v>51</v>
      </c>
      <c r="P473" s="4" t="str">
        <f t="shared" si="14"/>
        <v>&gt;50</v>
      </c>
      <c r="Q473" s="4">
        <f>M473+N473</f>
        <v>205</v>
      </c>
      <c r="U473" s="28" t="str" cm="1">
        <f t="array" ref="U473">_xlfn.IFS(F473&lt;30000,"30k",F473&lt;=50000,"30k-50k",F473&lt;=75000,"50k-75k",F473&lt;=100000,"75k-100k",F473&gt;100000,"100k")</f>
        <v>50k-75k</v>
      </c>
      <c r="W473" s="1">
        <f t="shared" si="15"/>
        <v>13</v>
      </c>
    </row>
    <row r="474" spans="1:23" x14ac:dyDescent="0.35">
      <c r="A474">
        <v>471</v>
      </c>
      <c r="B474">
        <v>1581</v>
      </c>
      <c r="C474">
        <v>1980</v>
      </c>
      <c r="D474" s="1" t="s">
        <v>10</v>
      </c>
      <c r="E474" s="1" t="s">
        <v>14</v>
      </c>
      <c r="F474">
        <v>37406</v>
      </c>
      <c r="G474">
        <v>1</v>
      </c>
      <c r="H474" s="2">
        <v>0</v>
      </c>
      <c r="I474" s="2">
        <v>41557</v>
      </c>
      <c r="J474">
        <v>18</v>
      </c>
      <c r="K474">
        <f>VLOOKUP(B474,purchase_dataset!$B$2:$F$2241,2,FALSE)</f>
        <v>0</v>
      </c>
      <c r="L474">
        <f>VLOOKUP(B474,purchase_dataset!$B$2:$F$2241,3,FALSE)</f>
        <v>2</v>
      </c>
      <c r="M474">
        <f>VLOOKUP(B474,purchase_dataset!$B$2:$F$2241,3,FALSE)</f>
        <v>2</v>
      </c>
      <c r="N474">
        <f>VLOOKUP(B474,purchase_dataset!$B$2:$F$2241,5,FALSE)</f>
        <v>2</v>
      </c>
      <c r="O474" s="5">
        <v>46</v>
      </c>
      <c r="P474" s="4" t="str">
        <f t="shared" si="14"/>
        <v>30-50</v>
      </c>
      <c r="Q474" s="4">
        <f>M474+N474</f>
        <v>4</v>
      </c>
      <c r="U474" s="28" t="str" cm="1">
        <f t="array" ref="U474">_xlfn.IFS(F474&lt;30000,"30k",F474&lt;=50000,"30k-50k",F474&lt;=75000,"50k-75k",F474&lt;=100000,"75k-100k",F474&gt;100000,"100k")</f>
        <v>30k-50k</v>
      </c>
      <c r="W474" s="1">
        <f t="shared" si="15"/>
        <v>13</v>
      </c>
    </row>
    <row r="475" spans="1:23" x14ac:dyDescent="0.35">
      <c r="A475">
        <v>472</v>
      </c>
      <c r="B475">
        <v>564</v>
      </c>
      <c r="C475">
        <v>1981</v>
      </c>
      <c r="D475" s="1" t="s">
        <v>13</v>
      </c>
      <c r="E475" s="1" t="s">
        <v>12</v>
      </c>
      <c r="F475">
        <v>56937</v>
      </c>
      <c r="G475">
        <v>1</v>
      </c>
      <c r="H475" s="2">
        <v>0</v>
      </c>
      <c r="I475" s="2">
        <v>41125</v>
      </c>
      <c r="J475">
        <v>81</v>
      </c>
      <c r="K475">
        <f>VLOOKUP(B475,purchase_dataset!$B$2:$F$2241,2,FALSE)</f>
        <v>8</v>
      </c>
      <c r="L475">
        <f>VLOOKUP(B475,purchase_dataset!$B$2:$F$2241,3,FALSE)</f>
        <v>8</v>
      </c>
      <c r="M475">
        <f>VLOOKUP(B475,purchase_dataset!$B$2:$F$2241,3,FALSE)</f>
        <v>8</v>
      </c>
      <c r="N475">
        <f>VLOOKUP(B475,purchase_dataset!$B$2:$F$2241,5,FALSE)</f>
        <v>9</v>
      </c>
      <c r="O475" s="5">
        <v>45</v>
      </c>
      <c r="P475" s="4" t="str">
        <f t="shared" si="14"/>
        <v>30-50</v>
      </c>
      <c r="Q475" s="4">
        <f>M475+N475</f>
        <v>17</v>
      </c>
      <c r="U475" s="28" t="str" cm="1">
        <f t="array" ref="U475">_xlfn.IFS(F475&lt;30000,"30k",F475&lt;=50000,"30k-50k",F475&lt;=75000,"50k-75k",F475&lt;=100000,"75k-100k",F475&gt;100000,"100k")</f>
        <v>50k-75k</v>
      </c>
      <c r="W475" s="1">
        <f t="shared" si="15"/>
        <v>14</v>
      </c>
    </row>
    <row r="476" spans="1:23" x14ac:dyDescent="0.35">
      <c r="A476">
        <v>473</v>
      </c>
      <c r="B476">
        <v>6619</v>
      </c>
      <c r="C476">
        <v>1978</v>
      </c>
      <c r="D476" s="1" t="s">
        <v>10</v>
      </c>
      <c r="E476" s="1" t="s">
        <v>14</v>
      </c>
      <c r="F476">
        <v>38415</v>
      </c>
      <c r="G476">
        <v>1</v>
      </c>
      <c r="H476" s="2">
        <v>1</v>
      </c>
      <c r="I476" s="2">
        <v>41276</v>
      </c>
      <c r="J476">
        <v>91</v>
      </c>
      <c r="K476">
        <f>VLOOKUP(B476,purchase_dataset!$B$2:$F$2241,2,FALSE)</f>
        <v>1</v>
      </c>
      <c r="L476">
        <f>VLOOKUP(B476,purchase_dataset!$B$2:$F$2241,3,FALSE)</f>
        <v>0</v>
      </c>
      <c r="M476">
        <f>VLOOKUP(B476,purchase_dataset!$B$2:$F$2241,3,FALSE)</f>
        <v>0</v>
      </c>
      <c r="N476">
        <f>VLOOKUP(B476,purchase_dataset!$B$2:$F$2241,5,FALSE)</f>
        <v>3</v>
      </c>
      <c r="O476" s="5">
        <v>48</v>
      </c>
      <c r="P476" s="4" t="str">
        <f t="shared" si="14"/>
        <v>30-50</v>
      </c>
      <c r="Q476" s="4">
        <f>M476+N476</f>
        <v>3</v>
      </c>
      <c r="U476" s="28" t="str" cm="1">
        <f t="array" ref="U476">_xlfn.IFS(F476&lt;30000,"30k",F476&lt;=50000,"30k-50k",F476&lt;=75000,"50k-75k",F476&lt;=100000,"75k-100k",F476&gt;100000,"100k")</f>
        <v>30k-50k</v>
      </c>
      <c r="W476" s="1">
        <f t="shared" si="15"/>
        <v>13</v>
      </c>
    </row>
    <row r="477" spans="1:23" x14ac:dyDescent="0.35">
      <c r="A477">
        <v>474</v>
      </c>
      <c r="B477">
        <v>9081</v>
      </c>
      <c r="C477">
        <v>1988</v>
      </c>
      <c r="D477" s="1" t="s">
        <v>10</v>
      </c>
      <c r="E477" s="1" t="s">
        <v>11</v>
      </c>
      <c r="F477">
        <v>20518</v>
      </c>
      <c r="G477">
        <v>1</v>
      </c>
      <c r="H477" s="2">
        <v>0</v>
      </c>
      <c r="I477" s="2">
        <v>41777</v>
      </c>
      <c r="J477">
        <v>58</v>
      </c>
      <c r="K477">
        <f>VLOOKUP(B477,purchase_dataset!$B$2:$F$2241,2,FALSE)</f>
        <v>1</v>
      </c>
      <c r="L477">
        <f>VLOOKUP(B477,purchase_dataset!$B$2:$F$2241,3,FALSE)</f>
        <v>1</v>
      </c>
      <c r="M477">
        <f>VLOOKUP(B477,purchase_dataset!$B$2:$F$2241,3,FALSE)</f>
        <v>1</v>
      </c>
      <c r="N477">
        <f>VLOOKUP(B477,purchase_dataset!$B$2:$F$2241,5,FALSE)</f>
        <v>2</v>
      </c>
      <c r="O477" s="5">
        <v>38</v>
      </c>
      <c r="P477" s="4" t="str">
        <f t="shared" si="14"/>
        <v>30-50</v>
      </c>
      <c r="Q477" s="4">
        <f>M477+N477</f>
        <v>3</v>
      </c>
      <c r="U477" s="28" t="str" cm="1">
        <f t="array" ref="U477">_xlfn.IFS(F477&lt;30000,"30k",F477&lt;=50000,"30k-50k",F477&lt;=75000,"50k-75k",F477&lt;=100000,"75k-100k",F477&gt;100000,"100k")</f>
        <v>30k</v>
      </c>
      <c r="W477" s="1">
        <f t="shared" si="15"/>
        <v>12</v>
      </c>
    </row>
    <row r="478" spans="1:23" x14ac:dyDescent="0.35">
      <c r="A478">
        <v>475</v>
      </c>
      <c r="B478">
        <v>178</v>
      </c>
      <c r="C478">
        <v>1956</v>
      </c>
      <c r="D478" s="1" t="s">
        <v>10</v>
      </c>
      <c r="E478" s="1" t="s">
        <v>14</v>
      </c>
      <c r="F478">
        <v>62503</v>
      </c>
      <c r="G478">
        <v>0</v>
      </c>
      <c r="H478" s="2">
        <v>1</v>
      </c>
      <c r="I478" s="2">
        <v>41323</v>
      </c>
      <c r="J478">
        <v>40</v>
      </c>
      <c r="K478">
        <f>VLOOKUP(B478,purchase_dataset!$B$2:$F$2241,2,FALSE)</f>
        <v>0</v>
      </c>
      <c r="L478">
        <f>VLOOKUP(B478,purchase_dataset!$B$2:$F$2241,3,FALSE)</f>
        <v>75</v>
      </c>
      <c r="M478">
        <f>VLOOKUP(B478,purchase_dataset!$B$2:$F$2241,3,FALSE)</f>
        <v>75</v>
      </c>
      <c r="N478">
        <f>VLOOKUP(B478,purchase_dataset!$B$2:$F$2241,5,FALSE)</f>
        <v>11</v>
      </c>
      <c r="O478" s="5">
        <v>70</v>
      </c>
      <c r="P478" s="4" t="str">
        <f t="shared" si="14"/>
        <v>&gt;50</v>
      </c>
      <c r="Q478" s="4">
        <f>M478+N478</f>
        <v>86</v>
      </c>
      <c r="U478" s="28" t="str" cm="1">
        <f t="array" ref="U478">_xlfn.IFS(F478&lt;30000,"30k",F478&lt;=50000,"30k-50k",F478&lt;=75000,"50k-75k",F478&lt;=100000,"75k-100k",F478&gt;100000,"100k")</f>
        <v>50k-75k</v>
      </c>
      <c r="W478" s="1">
        <f t="shared" si="15"/>
        <v>13</v>
      </c>
    </row>
    <row r="479" spans="1:23" x14ac:dyDescent="0.35">
      <c r="A479">
        <v>476</v>
      </c>
      <c r="B479">
        <v>916</v>
      </c>
      <c r="C479">
        <v>1972</v>
      </c>
      <c r="D479" s="1" t="s">
        <v>13</v>
      </c>
      <c r="E479" s="1" t="s">
        <v>11</v>
      </c>
      <c r="F479">
        <v>41644</v>
      </c>
      <c r="G479">
        <v>1</v>
      </c>
      <c r="H479" s="2">
        <v>1</v>
      </c>
      <c r="I479" s="2">
        <v>41768</v>
      </c>
      <c r="J479">
        <v>67</v>
      </c>
      <c r="K479">
        <f>VLOOKUP(B479,purchase_dataset!$B$2:$F$2241,2,FALSE)</f>
        <v>3</v>
      </c>
      <c r="L479">
        <f>VLOOKUP(B479,purchase_dataset!$B$2:$F$2241,3,FALSE)</f>
        <v>0</v>
      </c>
      <c r="M479">
        <f>VLOOKUP(B479,purchase_dataset!$B$2:$F$2241,3,FALSE)</f>
        <v>0</v>
      </c>
      <c r="N479">
        <f>VLOOKUP(B479,purchase_dataset!$B$2:$F$2241,5,FALSE)</f>
        <v>3</v>
      </c>
      <c r="O479" s="5">
        <v>54</v>
      </c>
      <c r="P479" s="4" t="str">
        <f t="shared" si="14"/>
        <v>&gt;50</v>
      </c>
      <c r="Q479" s="4">
        <f>M479+N479</f>
        <v>3</v>
      </c>
      <c r="U479" s="28" t="str" cm="1">
        <f t="array" ref="U479">_xlfn.IFS(F479&lt;30000,"30k",F479&lt;=50000,"30k-50k",F479&lt;=75000,"50k-75k",F479&lt;=100000,"75k-100k",F479&gt;100000,"100k")</f>
        <v>30k-50k</v>
      </c>
      <c r="W479" s="1">
        <f t="shared" si="15"/>
        <v>12</v>
      </c>
    </row>
    <row r="480" spans="1:23" x14ac:dyDescent="0.35">
      <c r="A480">
        <v>477</v>
      </c>
      <c r="B480">
        <v>5512</v>
      </c>
      <c r="C480">
        <v>1977</v>
      </c>
      <c r="D480" s="1" t="s">
        <v>15</v>
      </c>
      <c r="E480" s="1" t="s">
        <v>14</v>
      </c>
      <c r="F480">
        <v>55842</v>
      </c>
      <c r="G480">
        <v>0</v>
      </c>
      <c r="H480" s="2">
        <v>1</v>
      </c>
      <c r="I480" s="2">
        <v>41782</v>
      </c>
      <c r="J480">
        <v>19</v>
      </c>
      <c r="K480">
        <f>VLOOKUP(B480,purchase_dataset!$B$2:$F$2241,2,FALSE)</f>
        <v>0</v>
      </c>
      <c r="L480">
        <f>VLOOKUP(B480,purchase_dataset!$B$2:$F$2241,3,FALSE)</f>
        <v>4</v>
      </c>
      <c r="M480">
        <f>VLOOKUP(B480,purchase_dataset!$B$2:$F$2241,3,FALSE)</f>
        <v>4</v>
      </c>
      <c r="N480">
        <f>VLOOKUP(B480,purchase_dataset!$B$2:$F$2241,5,FALSE)</f>
        <v>8</v>
      </c>
      <c r="O480" s="5">
        <v>49</v>
      </c>
      <c r="P480" s="4" t="str">
        <f t="shared" si="14"/>
        <v>30-50</v>
      </c>
      <c r="Q480" s="4">
        <f>M480+N480</f>
        <v>12</v>
      </c>
      <c r="U480" s="28" t="str" cm="1">
        <f t="array" ref="U480">_xlfn.IFS(F480&lt;30000,"30k",F480&lt;=50000,"30k-50k",F480&lt;=75000,"50k-75k",F480&lt;=100000,"75k-100k",F480&gt;100000,"100k")</f>
        <v>50k-75k</v>
      </c>
      <c r="W480" s="1">
        <f t="shared" si="15"/>
        <v>12</v>
      </c>
    </row>
    <row r="481" spans="1:23" x14ac:dyDescent="0.35">
      <c r="A481">
        <v>478</v>
      </c>
      <c r="B481">
        <v>8970</v>
      </c>
      <c r="C481">
        <v>1972</v>
      </c>
      <c r="D481" s="1" t="s">
        <v>13</v>
      </c>
      <c r="E481" s="1" t="s">
        <v>14</v>
      </c>
      <c r="F481">
        <v>62010</v>
      </c>
      <c r="G481">
        <v>0</v>
      </c>
      <c r="H481" s="2">
        <v>1</v>
      </c>
      <c r="I481" s="2">
        <v>41205</v>
      </c>
      <c r="J481">
        <v>93</v>
      </c>
      <c r="K481">
        <f>VLOOKUP(B481,purchase_dataset!$B$2:$F$2241,2,FALSE)</f>
        <v>22</v>
      </c>
      <c r="L481">
        <f>VLOOKUP(B481,purchase_dataset!$B$2:$F$2241,3,FALSE)</f>
        <v>0</v>
      </c>
      <c r="M481">
        <f>VLOOKUP(B481,purchase_dataset!$B$2:$F$2241,3,FALSE)</f>
        <v>0</v>
      </c>
      <c r="N481">
        <f>VLOOKUP(B481,purchase_dataset!$B$2:$F$2241,5,FALSE)</f>
        <v>7</v>
      </c>
      <c r="O481" s="5">
        <v>54</v>
      </c>
      <c r="P481" s="4" t="str">
        <f t="shared" si="14"/>
        <v>&gt;50</v>
      </c>
      <c r="Q481" s="4">
        <f>M481+N481</f>
        <v>7</v>
      </c>
      <c r="U481" s="28" t="str" cm="1">
        <f t="array" ref="U481">_xlfn.IFS(F481&lt;30000,"30k",F481&lt;=50000,"30k-50k",F481&lt;=75000,"50k-75k",F481&lt;=100000,"75k-100k",F481&gt;100000,"100k")</f>
        <v>50k-75k</v>
      </c>
      <c r="W481" s="1">
        <f t="shared" si="15"/>
        <v>14</v>
      </c>
    </row>
    <row r="482" spans="1:23" x14ac:dyDescent="0.35">
      <c r="A482">
        <v>479</v>
      </c>
      <c r="B482">
        <v>10581</v>
      </c>
      <c r="C482">
        <v>1977</v>
      </c>
      <c r="D482" s="1" t="s">
        <v>10</v>
      </c>
      <c r="E482" s="1" t="s">
        <v>14</v>
      </c>
      <c r="F482">
        <v>41124</v>
      </c>
      <c r="G482">
        <v>1</v>
      </c>
      <c r="H482" s="2">
        <v>0</v>
      </c>
      <c r="I482" s="2">
        <v>41213</v>
      </c>
      <c r="J482">
        <v>41</v>
      </c>
      <c r="K482">
        <f>VLOOKUP(B482,purchase_dataset!$B$2:$F$2241,2,FALSE)</f>
        <v>7</v>
      </c>
      <c r="L482">
        <f>VLOOKUP(B482,purchase_dataset!$B$2:$F$2241,3,FALSE)</f>
        <v>0</v>
      </c>
      <c r="M482">
        <f>VLOOKUP(B482,purchase_dataset!$B$2:$F$2241,3,FALSE)</f>
        <v>0</v>
      </c>
      <c r="N482">
        <f>VLOOKUP(B482,purchase_dataset!$B$2:$F$2241,5,FALSE)</f>
        <v>4</v>
      </c>
      <c r="O482" s="5">
        <v>49</v>
      </c>
      <c r="P482" s="4" t="str">
        <f t="shared" si="14"/>
        <v>30-50</v>
      </c>
      <c r="Q482" s="4">
        <f>M482+N482</f>
        <v>4</v>
      </c>
      <c r="U482" s="28" t="str" cm="1">
        <f t="array" ref="U482">_xlfn.IFS(F482&lt;30000,"30k",F482&lt;=50000,"30k-50k",F482&lt;=75000,"50k-75k",F482&lt;=100000,"75k-100k",F482&gt;100000,"100k")</f>
        <v>30k-50k</v>
      </c>
      <c r="W482" s="1">
        <f t="shared" si="15"/>
        <v>14</v>
      </c>
    </row>
    <row r="483" spans="1:23" x14ac:dyDescent="0.35">
      <c r="A483">
        <v>480</v>
      </c>
      <c r="B483">
        <v>5300</v>
      </c>
      <c r="C483">
        <v>1973</v>
      </c>
      <c r="D483" s="1" t="s">
        <v>15</v>
      </c>
      <c r="E483" s="1" t="s">
        <v>14</v>
      </c>
      <c r="F483">
        <v>38961</v>
      </c>
      <c r="G483">
        <v>1</v>
      </c>
      <c r="H483" s="2">
        <v>0</v>
      </c>
      <c r="I483" s="2">
        <v>41638</v>
      </c>
      <c r="J483">
        <v>60</v>
      </c>
      <c r="K483">
        <f>VLOOKUP(B483,purchase_dataset!$B$2:$F$2241,2,FALSE)</f>
        <v>7</v>
      </c>
      <c r="L483">
        <f>VLOOKUP(B483,purchase_dataset!$B$2:$F$2241,3,FALSE)</f>
        <v>1</v>
      </c>
      <c r="M483">
        <f>VLOOKUP(B483,purchase_dataset!$B$2:$F$2241,3,FALSE)</f>
        <v>1</v>
      </c>
      <c r="N483">
        <f>VLOOKUP(B483,purchase_dataset!$B$2:$F$2241,5,FALSE)</f>
        <v>2</v>
      </c>
      <c r="O483" s="5">
        <v>53</v>
      </c>
      <c r="P483" s="4" t="str">
        <f t="shared" si="14"/>
        <v>&gt;50</v>
      </c>
      <c r="Q483" s="4">
        <f>M483+N483</f>
        <v>3</v>
      </c>
      <c r="U483" s="28" t="str" cm="1">
        <f t="array" ref="U483">_xlfn.IFS(F483&lt;30000,"30k",F483&lt;=50000,"30k-50k",F483&lt;=75000,"50k-75k",F483&lt;=100000,"75k-100k",F483&gt;100000,"100k")</f>
        <v>30k-50k</v>
      </c>
      <c r="W483" s="1">
        <f t="shared" si="15"/>
        <v>13</v>
      </c>
    </row>
    <row r="484" spans="1:23" x14ac:dyDescent="0.35">
      <c r="A484">
        <v>481</v>
      </c>
      <c r="B484">
        <v>5154</v>
      </c>
      <c r="C484">
        <v>1972</v>
      </c>
      <c r="D484" s="1" t="s">
        <v>15</v>
      </c>
      <c r="E484" s="1" t="s">
        <v>16</v>
      </c>
      <c r="F484">
        <v>37760</v>
      </c>
      <c r="G484">
        <v>1</v>
      </c>
      <c r="H484" s="2">
        <v>0</v>
      </c>
      <c r="I484" s="2">
        <v>41497</v>
      </c>
      <c r="J484">
        <v>54</v>
      </c>
      <c r="K484">
        <f>VLOOKUP(B484,purchase_dataset!$B$2:$F$2241,2,FALSE)</f>
        <v>3</v>
      </c>
      <c r="L484">
        <f>VLOOKUP(B484,purchase_dataset!$B$2:$F$2241,3,FALSE)</f>
        <v>10</v>
      </c>
      <c r="M484">
        <f>VLOOKUP(B484,purchase_dataset!$B$2:$F$2241,3,FALSE)</f>
        <v>10</v>
      </c>
      <c r="N484">
        <f>VLOOKUP(B484,purchase_dataset!$B$2:$F$2241,5,FALSE)</f>
        <v>3</v>
      </c>
      <c r="O484" s="5">
        <v>54</v>
      </c>
      <c r="P484" s="4" t="str">
        <f t="shared" si="14"/>
        <v>&gt;50</v>
      </c>
      <c r="Q484" s="4">
        <f>M484+N484</f>
        <v>13</v>
      </c>
      <c r="U484" s="28" t="str" cm="1">
        <f t="array" ref="U484">_xlfn.IFS(F484&lt;30000,"30k",F484&lt;=50000,"30k-50k",F484&lt;=75000,"50k-75k",F484&lt;=100000,"75k-100k",F484&gt;100000,"100k")</f>
        <v>30k-50k</v>
      </c>
      <c r="W484" s="1">
        <f t="shared" si="15"/>
        <v>13</v>
      </c>
    </row>
    <row r="485" spans="1:23" x14ac:dyDescent="0.35">
      <c r="A485">
        <v>482</v>
      </c>
      <c r="B485">
        <v>8346</v>
      </c>
      <c r="C485">
        <v>1974</v>
      </c>
      <c r="D485" s="1" t="s">
        <v>10</v>
      </c>
      <c r="E485" s="1" t="s">
        <v>11</v>
      </c>
      <c r="F485">
        <v>32233</v>
      </c>
      <c r="G485">
        <v>1</v>
      </c>
      <c r="H485" s="2">
        <v>0</v>
      </c>
      <c r="I485" s="2">
        <v>41140</v>
      </c>
      <c r="J485">
        <v>26</v>
      </c>
      <c r="K485">
        <f>VLOOKUP(B485,purchase_dataset!$B$2:$F$2241,2,FALSE)</f>
        <v>15</v>
      </c>
      <c r="L485">
        <f>VLOOKUP(B485,purchase_dataset!$B$2:$F$2241,3,FALSE)</f>
        <v>11</v>
      </c>
      <c r="M485">
        <f>VLOOKUP(B485,purchase_dataset!$B$2:$F$2241,3,FALSE)</f>
        <v>11</v>
      </c>
      <c r="N485">
        <f>VLOOKUP(B485,purchase_dataset!$B$2:$F$2241,5,FALSE)</f>
        <v>2</v>
      </c>
      <c r="O485" s="5">
        <v>52</v>
      </c>
      <c r="P485" s="4" t="str">
        <f t="shared" si="14"/>
        <v>&gt;50</v>
      </c>
      <c r="Q485" s="4">
        <f>M485+N485</f>
        <v>13</v>
      </c>
      <c r="U485" s="28" t="str" cm="1">
        <f t="array" ref="U485">_xlfn.IFS(F485&lt;30000,"30k",F485&lt;=50000,"30k-50k",F485&lt;=75000,"50k-75k",F485&lt;=100000,"75k-100k",F485&gt;100000,"100k")</f>
        <v>30k-50k</v>
      </c>
      <c r="W485" s="1">
        <f t="shared" si="15"/>
        <v>14</v>
      </c>
    </row>
    <row r="486" spans="1:23" x14ac:dyDescent="0.35">
      <c r="A486">
        <v>483</v>
      </c>
      <c r="B486">
        <v>1676</v>
      </c>
      <c r="C486">
        <v>1975</v>
      </c>
      <c r="D486" s="1" t="s">
        <v>10</v>
      </c>
      <c r="E486" s="1" t="s">
        <v>14</v>
      </c>
      <c r="F486">
        <v>43057</v>
      </c>
      <c r="G486">
        <v>0</v>
      </c>
      <c r="H486" s="2">
        <v>1</v>
      </c>
      <c r="I486" s="2">
        <v>41577</v>
      </c>
      <c r="J486">
        <v>30</v>
      </c>
      <c r="K486">
        <f>VLOOKUP(B486,purchase_dataset!$B$2:$F$2241,2,FALSE)</f>
        <v>2</v>
      </c>
      <c r="L486">
        <f>VLOOKUP(B486,purchase_dataset!$B$2:$F$2241,3,FALSE)</f>
        <v>2</v>
      </c>
      <c r="M486">
        <f>VLOOKUP(B486,purchase_dataset!$B$2:$F$2241,3,FALSE)</f>
        <v>2</v>
      </c>
      <c r="N486">
        <f>VLOOKUP(B486,purchase_dataset!$B$2:$F$2241,5,FALSE)</f>
        <v>5</v>
      </c>
      <c r="O486" s="5">
        <v>51</v>
      </c>
      <c r="P486" s="4" t="str">
        <f t="shared" si="14"/>
        <v>&gt;50</v>
      </c>
      <c r="Q486" s="4">
        <f>M486+N486</f>
        <v>7</v>
      </c>
      <c r="U486" s="28" t="str" cm="1">
        <f t="array" ref="U486">_xlfn.IFS(F486&lt;30000,"30k",F486&lt;=50000,"30k-50k",F486&lt;=75000,"50k-75k",F486&lt;=100000,"75k-100k",F486&gt;100000,"100k")</f>
        <v>30k-50k</v>
      </c>
      <c r="W486" s="1">
        <f t="shared" si="15"/>
        <v>13</v>
      </c>
    </row>
    <row r="487" spans="1:23" x14ac:dyDescent="0.35">
      <c r="A487">
        <v>484</v>
      </c>
      <c r="B487">
        <v>9286</v>
      </c>
      <c r="C487">
        <v>1960</v>
      </c>
      <c r="D487" s="1" t="s">
        <v>15</v>
      </c>
      <c r="E487" s="1" t="s">
        <v>12</v>
      </c>
      <c r="F487">
        <v>83151</v>
      </c>
      <c r="G487">
        <v>0</v>
      </c>
      <c r="H487" s="2">
        <v>0</v>
      </c>
      <c r="I487" s="2">
        <v>41192</v>
      </c>
      <c r="J487">
        <v>93</v>
      </c>
      <c r="K487">
        <f>VLOOKUP(B487,purchase_dataset!$B$2:$F$2241,2,FALSE)</f>
        <v>28</v>
      </c>
      <c r="L487">
        <f>VLOOKUP(B487,purchase_dataset!$B$2:$F$2241,3,FALSE)</f>
        <v>74</v>
      </c>
      <c r="M487">
        <f>VLOOKUP(B487,purchase_dataset!$B$2:$F$2241,3,FALSE)</f>
        <v>74</v>
      </c>
      <c r="N487">
        <f>VLOOKUP(B487,purchase_dataset!$B$2:$F$2241,5,FALSE)</f>
        <v>4</v>
      </c>
      <c r="O487" s="5">
        <v>66</v>
      </c>
      <c r="P487" s="4" t="str">
        <f t="shared" si="14"/>
        <v>&gt;50</v>
      </c>
      <c r="Q487" s="4">
        <f>M487+N487</f>
        <v>78</v>
      </c>
      <c r="U487" s="28" t="str" cm="1">
        <f t="array" ref="U487">_xlfn.IFS(F487&lt;30000,"30k",F487&lt;=50000,"30k-50k",F487&lt;=75000,"50k-75k",F487&lt;=100000,"75k-100k",F487&gt;100000,"100k")</f>
        <v>75k-100k</v>
      </c>
      <c r="W487" s="1">
        <f t="shared" si="15"/>
        <v>14</v>
      </c>
    </row>
    <row r="488" spans="1:23" x14ac:dyDescent="0.35">
      <c r="A488">
        <v>485</v>
      </c>
      <c r="B488">
        <v>2426</v>
      </c>
      <c r="C488">
        <v>1964</v>
      </c>
      <c r="D488" s="1" t="s">
        <v>13</v>
      </c>
      <c r="E488" s="1" t="s">
        <v>16</v>
      </c>
      <c r="F488">
        <v>78825</v>
      </c>
      <c r="G488">
        <v>0</v>
      </c>
      <c r="H488" s="2">
        <v>0</v>
      </c>
      <c r="I488" s="2">
        <v>41166</v>
      </c>
      <c r="J488">
        <v>35</v>
      </c>
      <c r="K488">
        <f>VLOOKUP(B488,purchase_dataset!$B$2:$F$2241,2,FALSE)</f>
        <v>74</v>
      </c>
      <c r="L488">
        <f>VLOOKUP(B488,purchase_dataset!$B$2:$F$2241,3,FALSE)</f>
        <v>37</v>
      </c>
      <c r="M488">
        <f>VLOOKUP(B488,purchase_dataset!$B$2:$F$2241,3,FALSE)</f>
        <v>37</v>
      </c>
      <c r="N488">
        <f>VLOOKUP(B488,purchase_dataset!$B$2:$F$2241,5,FALSE)</f>
        <v>13</v>
      </c>
      <c r="O488" s="5">
        <v>62</v>
      </c>
      <c r="P488" s="4" t="str">
        <f t="shared" si="14"/>
        <v>&gt;50</v>
      </c>
      <c r="Q488" s="4">
        <f>M488+N488</f>
        <v>50</v>
      </c>
      <c r="U488" s="28" t="str" cm="1">
        <f t="array" ref="U488">_xlfn.IFS(F488&lt;30000,"30k",F488&lt;=50000,"30k-50k",F488&lt;=75000,"50k-75k",F488&lt;=100000,"75k-100k",F488&gt;100000,"100k")</f>
        <v>75k-100k</v>
      </c>
      <c r="W488" s="1">
        <f t="shared" si="15"/>
        <v>14</v>
      </c>
    </row>
    <row r="489" spans="1:23" x14ac:dyDescent="0.35">
      <c r="A489">
        <v>486</v>
      </c>
      <c r="B489">
        <v>5172</v>
      </c>
      <c r="C489">
        <v>1976</v>
      </c>
      <c r="D489" s="1" t="s">
        <v>15</v>
      </c>
      <c r="E489" s="1" t="s">
        <v>12</v>
      </c>
      <c r="F489">
        <v>65104</v>
      </c>
      <c r="G489">
        <v>0</v>
      </c>
      <c r="H489" s="2">
        <v>1</v>
      </c>
      <c r="I489" s="2">
        <v>41592</v>
      </c>
      <c r="J489">
        <v>4</v>
      </c>
      <c r="K489">
        <f>VLOOKUP(B489,purchase_dataset!$B$2:$F$2241,2,FALSE)</f>
        <v>0</v>
      </c>
      <c r="L489">
        <f>VLOOKUP(B489,purchase_dataset!$B$2:$F$2241,3,FALSE)</f>
        <v>20</v>
      </c>
      <c r="M489">
        <f>VLOOKUP(B489,purchase_dataset!$B$2:$F$2241,3,FALSE)</f>
        <v>20</v>
      </c>
      <c r="N489">
        <f>VLOOKUP(B489,purchase_dataset!$B$2:$F$2241,5,FALSE)</f>
        <v>7</v>
      </c>
      <c r="O489" s="5">
        <v>50</v>
      </c>
      <c r="P489" s="4" t="str">
        <f t="shared" si="14"/>
        <v>30-50</v>
      </c>
      <c r="Q489" s="4">
        <f>M489+N489</f>
        <v>27</v>
      </c>
      <c r="U489" s="28" t="str" cm="1">
        <f t="array" ref="U489">_xlfn.IFS(F489&lt;30000,"30k",F489&lt;=50000,"30k-50k",F489&lt;=75000,"50k-75k",F489&lt;=100000,"75k-100k",F489&gt;100000,"100k")</f>
        <v>50k-75k</v>
      </c>
      <c r="W489" s="1">
        <f t="shared" si="15"/>
        <v>13</v>
      </c>
    </row>
    <row r="490" spans="1:23" x14ac:dyDescent="0.35">
      <c r="A490">
        <v>487</v>
      </c>
      <c r="B490">
        <v>5562</v>
      </c>
      <c r="C490">
        <v>1974</v>
      </c>
      <c r="D490" s="1" t="s">
        <v>10</v>
      </c>
      <c r="E490" s="1" t="s">
        <v>14</v>
      </c>
      <c r="F490">
        <v>60093</v>
      </c>
      <c r="G490">
        <v>0</v>
      </c>
      <c r="H490" s="2">
        <v>1</v>
      </c>
      <c r="I490" s="2">
        <v>41451</v>
      </c>
      <c r="J490">
        <v>92</v>
      </c>
      <c r="K490">
        <f>VLOOKUP(B490,purchase_dataset!$B$2:$F$2241,2,FALSE)</f>
        <v>12</v>
      </c>
      <c r="L490">
        <f>VLOOKUP(B490,purchase_dataset!$B$2:$F$2241,3,FALSE)</f>
        <v>6</v>
      </c>
      <c r="M490">
        <f>VLOOKUP(B490,purchase_dataset!$B$2:$F$2241,3,FALSE)</f>
        <v>6</v>
      </c>
      <c r="N490">
        <f>VLOOKUP(B490,purchase_dataset!$B$2:$F$2241,5,FALSE)</f>
        <v>10</v>
      </c>
      <c r="O490" s="5">
        <v>52</v>
      </c>
      <c r="P490" s="4" t="str">
        <f t="shared" si="14"/>
        <v>&gt;50</v>
      </c>
      <c r="Q490" s="4">
        <f>M490+N490</f>
        <v>16</v>
      </c>
      <c r="U490" s="28" t="str" cm="1">
        <f t="array" ref="U490">_xlfn.IFS(F490&lt;30000,"30k",F490&lt;=50000,"30k-50k",F490&lt;=75000,"50k-75k",F490&lt;=100000,"75k-100k",F490&gt;100000,"100k")</f>
        <v>50k-75k</v>
      </c>
      <c r="W490" s="1">
        <f t="shared" si="15"/>
        <v>13</v>
      </c>
    </row>
    <row r="491" spans="1:23" x14ac:dyDescent="0.35">
      <c r="A491">
        <v>488</v>
      </c>
      <c r="B491">
        <v>3436</v>
      </c>
      <c r="C491">
        <v>1969</v>
      </c>
      <c r="D491" s="1" t="s">
        <v>10</v>
      </c>
      <c r="E491" s="1" t="s">
        <v>14</v>
      </c>
      <c r="F491">
        <v>14045</v>
      </c>
      <c r="G491">
        <v>1</v>
      </c>
      <c r="H491" s="2">
        <v>0</v>
      </c>
      <c r="I491" s="2">
        <v>41665</v>
      </c>
      <c r="J491">
        <v>24</v>
      </c>
      <c r="K491">
        <f>VLOOKUP(B491,purchase_dataset!$B$2:$F$2241,2,FALSE)</f>
        <v>0</v>
      </c>
      <c r="L491">
        <f>VLOOKUP(B491,purchase_dataset!$B$2:$F$2241,3,FALSE)</f>
        <v>1</v>
      </c>
      <c r="M491">
        <f>VLOOKUP(B491,purchase_dataset!$B$2:$F$2241,3,FALSE)</f>
        <v>1</v>
      </c>
      <c r="N491">
        <f>VLOOKUP(B491,purchase_dataset!$B$2:$F$2241,5,FALSE)</f>
        <v>3</v>
      </c>
      <c r="O491" s="5">
        <v>57</v>
      </c>
      <c r="P491" s="4" t="str">
        <f t="shared" si="14"/>
        <v>&gt;50</v>
      </c>
      <c r="Q491" s="4">
        <f>M491+N491</f>
        <v>4</v>
      </c>
      <c r="U491" s="28" t="str" cm="1">
        <f t="array" ref="U491">_xlfn.IFS(F491&lt;30000,"30k",F491&lt;=50000,"30k-50k",F491&lt;=75000,"50k-75k",F491&lt;=100000,"75k-100k",F491&gt;100000,"100k")</f>
        <v>30k</v>
      </c>
      <c r="W491" s="1">
        <f t="shared" si="15"/>
        <v>12</v>
      </c>
    </row>
    <row r="492" spans="1:23" x14ac:dyDescent="0.35">
      <c r="A492">
        <v>489</v>
      </c>
      <c r="B492">
        <v>3921</v>
      </c>
      <c r="C492">
        <v>1952</v>
      </c>
      <c r="D492" s="1" t="s">
        <v>18</v>
      </c>
      <c r="E492" s="1" t="s">
        <v>19</v>
      </c>
      <c r="F492">
        <v>28457</v>
      </c>
      <c r="G492">
        <v>0</v>
      </c>
      <c r="H492" s="2">
        <v>0</v>
      </c>
      <c r="I492" s="2">
        <v>41210</v>
      </c>
      <c r="J492">
        <v>96</v>
      </c>
      <c r="K492">
        <f>VLOOKUP(B492,purchase_dataset!$B$2:$F$2241,2,FALSE)</f>
        <v>1</v>
      </c>
      <c r="L492">
        <f>VLOOKUP(B492,purchase_dataset!$B$2:$F$2241,3,FALSE)</f>
        <v>29</v>
      </c>
      <c r="M492">
        <f>VLOOKUP(B492,purchase_dataset!$B$2:$F$2241,3,FALSE)</f>
        <v>29</v>
      </c>
      <c r="N492">
        <f>VLOOKUP(B492,purchase_dataset!$B$2:$F$2241,5,FALSE)</f>
        <v>4</v>
      </c>
      <c r="O492" s="5">
        <v>74</v>
      </c>
      <c r="P492" s="4" t="str">
        <f t="shared" si="14"/>
        <v>&gt;50</v>
      </c>
      <c r="Q492" s="4">
        <f>M492+N492</f>
        <v>33</v>
      </c>
      <c r="U492" s="28" t="str" cm="1">
        <f t="array" ref="U492">_xlfn.IFS(F492&lt;30000,"30k",F492&lt;=50000,"30k-50k",F492&lt;=75000,"50k-75k",F492&lt;=100000,"75k-100k",F492&gt;100000,"100k")</f>
        <v>30k</v>
      </c>
      <c r="W492" s="1">
        <f t="shared" si="15"/>
        <v>14</v>
      </c>
    </row>
    <row r="493" spans="1:23" x14ac:dyDescent="0.35">
      <c r="A493">
        <v>490</v>
      </c>
      <c r="B493">
        <v>3403</v>
      </c>
      <c r="C493">
        <v>1958</v>
      </c>
      <c r="D493" s="1" t="s">
        <v>13</v>
      </c>
      <c r="E493" s="1" t="s">
        <v>12</v>
      </c>
      <c r="F493">
        <v>78952</v>
      </c>
      <c r="G493">
        <v>0</v>
      </c>
      <c r="H493" s="2">
        <v>1</v>
      </c>
      <c r="I493" s="2">
        <v>41176</v>
      </c>
      <c r="J493">
        <v>11</v>
      </c>
      <c r="K493">
        <f>VLOOKUP(B493,purchase_dataset!$B$2:$F$2241,2,FALSE)</f>
        <v>19</v>
      </c>
      <c r="L493">
        <f>VLOOKUP(B493,purchase_dataset!$B$2:$F$2241,3,FALSE)</f>
        <v>76</v>
      </c>
      <c r="M493">
        <f>VLOOKUP(B493,purchase_dataset!$B$2:$F$2241,3,FALSE)</f>
        <v>76</v>
      </c>
      <c r="N493">
        <f>VLOOKUP(B493,purchase_dataset!$B$2:$F$2241,5,FALSE)</f>
        <v>12</v>
      </c>
      <c r="O493" s="5">
        <v>68</v>
      </c>
      <c r="P493" s="4" t="str">
        <f t="shared" si="14"/>
        <v>&gt;50</v>
      </c>
      <c r="Q493" s="4">
        <f>M493+N493</f>
        <v>88</v>
      </c>
      <c r="U493" s="28" t="str" cm="1">
        <f t="array" ref="U493">_xlfn.IFS(F493&lt;30000,"30k",F493&lt;=50000,"30k-50k",F493&lt;=75000,"50k-75k",F493&lt;=100000,"75k-100k",F493&gt;100000,"100k")</f>
        <v>75k-100k</v>
      </c>
      <c r="W493" s="1">
        <f t="shared" si="15"/>
        <v>14</v>
      </c>
    </row>
    <row r="494" spans="1:23" x14ac:dyDescent="0.35">
      <c r="A494">
        <v>491</v>
      </c>
      <c r="B494">
        <v>22</v>
      </c>
      <c r="C494">
        <v>1976</v>
      </c>
      <c r="D494" s="1" t="s">
        <v>10</v>
      </c>
      <c r="E494" s="1" t="s">
        <v>16</v>
      </c>
      <c r="F494">
        <v>46310</v>
      </c>
      <c r="G494">
        <v>1</v>
      </c>
      <c r="H494" s="2">
        <v>0</v>
      </c>
      <c r="I494" s="2">
        <v>41246</v>
      </c>
      <c r="J494">
        <v>99</v>
      </c>
      <c r="K494">
        <f>VLOOKUP(B494,purchase_dataset!$B$2:$F$2241,2,FALSE)</f>
        <v>2</v>
      </c>
      <c r="L494">
        <f>VLOOKUP(B494,purchase_dataset!$B$2:$F$2241,3,FALSE)</f>
        <v>5</v>
      </c>
      <c r="M494">
        <f>VLOOKUP(B494,purchase_dataset!$B$2:$F$2241,3,FALSE)</f>
        <v>5</v>
      </c>
      <c r="N494">
        <f>VLOOKUP(B494,purchase_dataset!$B$2:$F$2241,5,FALSE)</f>
        <v>5</v>
      </c>
      <c r="O494" s="5">
        <v>50</v>
      </c>
      <c r="P494" s="4" t="str">
        <f t="shared" si="14"/>
        <v>30-50</v>
      </c>
      <c r="Q494" s="4">
        <f>M494+N494</f>
        <v>10</v>
      </c>
      <c r="U494" s="28" t="str" cm="1">
        <f t="array" ref="U494">_xlfn.IFS(F494&lt;30000,"30k",F494&lt;=50000,"30k-50k",F494&lt;=75000,"50k-75k",F494&lt;=100000,"75k-100k",F494&gt;100000,"100k")</f>
        <v>30k-50k</v>
      </c>
      <c r="W494" s="1">
        <f t="shared" si="15"/>
        <v>14</v>
      </c>
    </row>
    <row r="495" spans="1:23" x14ac:dyDescent="0.35">
      <c r="A495">
        <v>492</v>
      </c>
      <c r="B495">
        <v>10965</v>
      </c>
      <c r="C495">
        <v>1955</v>
      </c>
      <c r="D495" s="1" t="s">
        <v>10</v>
      </c>
      <c r="E495" s="1" t="s">
        <v>12</v>
      </c>
      <c r="F495">
        <v>76005</v>
      </c>
      <c r="G495">
        <v>0</v>
      </c>
      <c r="H495" s="2">
        <v>0</v>
      </c>
      <c r="I495" s="2">
        <v>41327</v>
      </c>
      <c r="J495">
        <v>72</v>
      </c>
      <c r="K495">
        <f>VLOOKUP(B495,purchase_dataset!$B$2:$F$2241,2,FALSE)</f>
        <v>20</v>
      </c>
      <c r="L495">
        <f>VLOOKUP(B495,purchase_dataset!$B$2:$F$2241,3,FALSE)</f>
        <v>50</v>
      </c>
      <c r="M495">
        <f>VLOOKUP(B495,purchase_dataset!$B$2:$F$2241,3,FALSE)</f>
        <v>50</v>
      </c>
      <c r="N495">
        <f>VLOOKUP(B495,purchase_dataset!$B$2:$F$2241,5,FALSE)</f>
        <v>13</v>
      </c>
      <c r="O495" s="5">
        <v>71</v>
      </c>
      <c r="P495" s="4" t="str">
        <f t="shared" si="14"/>
        <v>&gt;50</v>
      </c>
      <c r="Q495" s="4">
        <f>M495+N495</f>
        <v>63</v>
      </c>
      <c r="U495" s="28" t="str" cm="1">
        <f t="array" ref="U495">_xlfn.IFS(F495&lt;30000,"30k",F495&lt;=50000,"30k-50k",F495&lt;=75000,"50k-75k",F495&lt;=100000,"75k-100k",F495&gt;100000,"100k")</f>
        <v>75k-100k</v>
      </c>
      <c r="W495" s="1">
        <f t="shared" si="15"/>
        <v>13</v>
      </c>
    </row>
    <row r="496" spans="1:23" x14ac:dyDescent="0.35">
      <c r="A496">
        <v>493</v>
      </c>
      <c r="B496">
        <v>9426</v>
      </c>
      <c r="C496">
        <v>1964</v>
      </c>
      <c r="D496" s="1" t="s">
        <v>15</v>
      </c>
      <c r="E496" s="1" t="s">
        <v>11</v>
      </c>
      <c r="F496">
        <v>58308</v>
      </c>
      <c r="G496">
        <v>0</v>
      </c>
      <c r="H496" s="2">
        <v>1</v>
      </c>
      <c r="I496" s="2">
        <v>41286</v>
      </c>
      <c r="J496">
        <v>77</v>
      </c>
      <c r="K496">
        <f>VLOOKUP(B496,purchase_dataset!$B$2:$F$2241,2,FALSE)</f>
        <v>0</v>
      </c>
      <c r="L496">
        <f>VLOOKUP(B496,purchase_dataset!$B$2:$F$2241,3,FALSE)</f>
        <v>0</v>
      </c>
      <c r="M496">
        <f>VLOOKUP(B496,purchase_dataset!$B$2:$F$2241,3,FALSE)</f>
        <v>0</v>
      </c>
      <c r="N496">
        <f>VLOOKUP(B496,purchase_dataset!$B$2:$F$2241,5,FALSE)</f>
        <v>3</v>
      </c>
      <c r="O496" s="5">
        <v>62</v>
      </c>
      <c r="P496" s="4" t="str">
        <f t="shared" si="14"/>
        <v>&gt;50</v>
      </c>
      <c r="Q496" s="4">
        <f>M496+N496</f>
        <v>3</v>
      </c>
      <c r="U496" s="28" t="str" cm="1">
        <f t="array" ref="U496">_xlfn.IFS(F496&lt;30000,"30k",F496&lt;=50000,"30k-50k",F496&lt;=75000,"50k-75k",F496&lt;=100000,"75k-100k",F496&gt;100000,"100k")</f>
        <v>50k-75k</v>
      </c>
      <c r="W496" s="1">
        <f t="shared" si="15"/>
        <v>13</v>
      </c>
    </row>
    <row r="497" spans="1:23" x14ac:dyDescent="0.35">
      <c r="A497">
        <v>494</v>
      </c>
      <c r="B497">
        <v>6605</v>
      </c>
      <c r="C497">
        <v>1944</v>
      </c>
      <c r="D497" s="1" t="s">
        <v>13</v>
      </c>
      <c r="E497" s="1" t="s">
        <v>16</v>
      </c>
      <c r="F497">
        <v>55614</v>
      </c>
      <c r="G497">
        <v>0</v>
      </c>
      <c r="H497" s="2">
        <v>0</v>
      </c>
      <c r="I497" s="2">
        <v>41605</v>
      </c>
      <c r="J497">
        <v>85</v>
      </c>
      <c r="K497">
        <f>VLOOKUP(B497,purchase_dataset!$B$2:$F$2241,2,FALSE)</f>
        <v>13</v>
      </c>
      <c r="L497">
        <f>VLOOKUP(B497,purchase_dataset!$B$2:$F$2241,3,FALSE)</f>
        <v>0</v>
      </c>
      <c r="M497">
        <f>VLOOKUP(B497,purchase_dataset!$B$2:$F$2241,3,FALSE)</f>
        <v>0</v>
      </c>
      <c r="N497">
        <f>VLOOKUP(B497,purchase_dataset!$B$2:$F$2241,5,FALSE)</f>
        <v>6</v>
      </c>
      <c r="O497" s="5">
        <v>82</v>
      </c>
      <c r="P497" s="4" t="str">
        <f t="shared" si="14"/>
        <v>&gt;50</v>
      </c>
      <c r="Q497" s="4">
        <f>M497+N497</f>
        <v>6</v>
      </c>
      <c r="U497" s="28" t="str" cm="1">
        <f t="array" ref="U497">_xlfn.IFS(F497&lt;30000,"30k",F497&lt;=50000,"30k-50k",F497&lt;=75000,"50k-75k",F497&lt;=100000,"75k-100k",F497&gt;100000,"100k")</f>
        <v>50k-75k</v>
      </c>
      <c r="W497" s="1">
        <f t="shared" si="15"/>
        <v>13</v>
      </c>
    </row>
    <row r="498" spans="1:23" x14ac:dyDescent="0.35">
      <c r="A498">
        <v>495</v>
      </c>
      <c r="B498">
        <v>3136</v>
      </c>
      <c r="C498">
        <v>1962</v>
      </c>
      <c r="D498" s="1" t="s">
        <v>15</v>
      </c>
      <c r="E498" s="1" t="s">
        <v>16</v>
      </c>
      <c r="F498">
        <v>59432</v>
      </c>
      <c r="G498">
        <v>0</v>
      </c>
      <c r="H498" s="2">
        <v>1</v>
      </c>
      <c r="I498" s="2">
        <v>41377</v>
      </c>
      <c r="J498">
        <v>88</v>
      </c>
      <c r="K498">
        <f>VLOOKUP(B498,purchase_dataset!$B$2:$F$2241,2,FALSE)</f>
        <v>25</v>
      </c>
      <c r="L498">
        <f>VLOOKUP(B498,purchase_dataset!$B$2:$F$2241,3,FALSE)</f>
        <v>19</v>
      </c>
      <c r="M498">
        <f>VLOOKUP(B498,purchase_dataset!$B$2:$F$2241,3,FALSE)</f>
        <v>19</v>
      </c>
      <c r="N498">
        <f>VLOOKUP(B498,purchase_dataset!$B$2:$F$2241,5,FALSE)</f>
        <v>11</v>
      </c>
      <c r="O498" s="5">
        <v>64</v>
      </c>
      <c r="P498" s="4" t="str">
        <f t="shared" si="14"/>
        <v>&gt;50</v>
      </c>
      <c r="Q498" s="4">
        <f>M498+N498</f>
        <v>30</v>
      </c>
      <c r="U498" s="28" t="str" cm="1">
        <f t="array" ref="U498">_xlfn.IFS(F498&lt;30000,"30k",F498&lt;=50000,"30k-50k",F498&lt;=75000,"50k-75k",F498&lt;=100000,"75k-100k",F498&gt;100000,"100k")</f>
        <v>50k-75k</v>
      </c>
      <c r="W498" s="1">
        <f t="shared" si="15"/>
        <v>13</v>
      </c>
    </row>
    <row r="499" spans="1:23" x14ac:dyDescent="0.35">
      <c r="A499">
        <v>496</v>
      </c>
      <c r="B499">
        <v>8737</v>
      </c>
      <c r="C499">
        <v>1978</v>
      </c>
      <c r="D499" s="1" t="s">
        <v>10</v>
      </c>
      <c r="E499" s="1" t="s">
        <v>16</v>
      </c>
      <c r="F499">
        <v>55563</v>
      </c>
      <c r="G499">
        <v>0</v>
      </c>
      <c r="H499" s="2">
        <v>1</v>
      </c>
      <c r="I499" s="2">
        <v>41734</v>
      </c>
      <c r="J499">
        <v>22</v>
      </c>
      <c r="K499">
        <f>VLOOKUP(B499,purchase_dataset!$B$2:$F$2241,2,FALSE)</f>
        <v>1</v>
      </c>
      <c r="L499">
        <f>VLOOKUP(B499,purchase_dataset!$B$2:$F$2241,3,FALSE)</f>
        <v>0</v>
      </c>
      <c r="M499">
        <f>VLOOKUP(B499,purchase_dataset!$B$2:$F$2241,3,FALSE)</f>
        <v>0</v>
      </c>
      <c r="N499">
        <f>VLOOKUP(B499,purchase_dataset!$B$2:$F$2241,5,FALSE)</f>
        <v>3</v>
      </c>
      <c r="O499" s="5">
        <v>48</v>
      </c>
      <c r="P499" s="4" t="str">
        <f t="shared" si="14"/>
        <v>30-50</v>
      </c>
      <c r="Q499" s="4">
        <f>M499+N499</f>
        <v>3</v>
      </c>
      <c r="U499" s="28" t="str" cm="1">
        <f t="array" ref="U499">_xlfn.IFS(F499&lt;30000,"30k",F499&lt;=50000,"30k-50k",F499&lt;=75000,"50k-75k",F499&lt;=100000,"75k-100k",F499&gt;100000,"100k")</f>
        <v>50k-75k</v>
      </c>
      <c r="W499" s="1">
        <f t="shared" si="15"/>
        <v>12</v>
      </c>
    </row>
    <row r="500" spans="1:23" x14ac:dyDescent="0.35">
      <c r="A500">
        <v>497</v>
      </c>
      <c r="B500">
        <v>11088</v>
      </c>
      <c r="C500">
        <v>1971</v>
      </c>
      <c r="D500" s="1" t="s">
        <v>13</v>
      </c>
      <c r="E500" s="1" t="s">
        <v>12</v>
      </c>
      <c r="F500">
        <v>78642</v>
      </c>
      <c r="G500">
        <v>0</v>
      </c>
      <c r="H500" s="2">
        <v>1</v>
      </c>
      <c r="I500" s="2">
        <v>41385</v>
      </c>
      <c r="J500">
        <v>83</v>
      </c>
      <c r="K500">
        <f>VLOOKUP(B500,purchase_dataset!$B$2:$F$2241,2,FALSE)</f>
        <v>0</v>
      </c>
      <c r="L500">
        <f>VLOOKUP(B500,purchase_dataset!$B$2:$F$2241,3,FALSE)</f>
        <v>35</v>
      </c>
      <c r="M500">
        <f>VLOOKUP(B500,purchase_dataset!$B$2:$F$2241,3,FALSE)</f>
        <v>35</v>
      </c>
      <c r="N500">
        <f>VLOOKUP(B500,purchase_dataset!$B$2:$F$2241,5,FALSE)</f>
        <v>4</v>
      </c>
      <c r="O500" s="5">
        <v>55</v>
      </c>
      <c r="P500" s="4" t="str">
        <f t="shared" si="14"/>
        <v>&gt;50</v>
      </c>
      <c r="Q500" s="4">
        <f>M500+N500</f>
        <v>39</v>
      </c>
      <c r="U500" s="28" t="str" cm="1">
        <f t="array" ref="U500">_xlfn.IFS(F500&lt;30000,"30k",F500&lt;=50000,"30k-50k",F500&lt;=75000,"50k-75k",F500&lt;=100000,"75k-100k",F500&gt;100000,"100k")</f>
        <v>75k-100k</v>
      </c>
      <c r="W500" s="1">
        <f t="shared" si="15"/>
        <v>13</v>
      </c>
    </row>
    <row r="501" spans="1:23" x14ac:dyDescent="0.35">
      <c r="A501">
        <v>498</v>
      </c>
      <c r="B501">
        <v>716</v>
      </c>
      <c r="C501">
        <v>1949</v>
      </c>
      <c r="D501" s="1" t="s">
        <v>13</v>
      </c>
      <c r="E501" s="1" t="s">
        <v>12</v>
      </c>
      <c r="F501">
        <v>67911</v>
      </c>
      <c r="G501">
        <v>0</v>
      </c>
      <c r="H501" s="2">
        <v>1</v>
      </c>
      <c r="I501" s="2">
        <v>41781</v>
      </c>
      <c r="J501">
        <v>63</v>
      </c>
      <c r="K501">
        <f>VLOOKUP(B501,purchase_dataset!$B$2:$F$2241,2,FALSE)</f>
        <v>0</v>
      </c>
      <c r="L501">
        <f>VLOOKUP(B501,purchase_dataset!$B$2:$F$2241,3,FALSE)</f>
        <v>28</v>
      </c>
      <c r="M501">
        <f>VLOOKUP(B501,purchase_dataset!$B$2:$F$2241,3,FALSE)</f>
        <v>28</v>
      </c>
      <c r="N501">
        <f>VLOOKUP(B501,purchase_dataset!$B$2:$F$2241,5,FALSE)</f>
        <v>11</v>
      </c>
      <c r="O501" s="5">
        <v>77</v>
      </c>
      <c r="P501" s="4" t="str">
        <f t="shared" si="14"/>
        <v>&gt;50</v>
      </c>
      <c r="Q501" s="4">
        <f>M501+N501</f>
        <v>39</v>
      </c>
      <c r="U501" s="28" t="str" cm="1">
        <f t="array" ref="U501">_xlfn.IFS(F501&lt;30000,"30k",F501&lt;=50000,"30k-50k",F501&lt;=75000,"50k-75k",F501&lt;=100000,"75k-100k",F501&gt;100000,"100k")</f>
        <v>50k-75k</v>
      </c>
      <c r="W501" s="1">
        <f t="shared" si="15"/>
        <v>12</v>
      </c>
    </row>
    <row r="502" spans="1:23" x14ac:dyDescent="0.35">
      <c r="A502">
        <v>499</v>
      </c>
      <c r="B502">
        <v>466</v>
      </c>
      <c r="C502">
        <v>1944</v>
      </c>
      <c r="D502" s="1" t="s">
        <v>10</v>
      </c>
      <c r="E502" s="1" t="s">
        <v>14</v>
      </c>
      <c r="F502">
        <v>65275</v>
      </c>
      <c r="G502">
        <v>0</v>
      </c>
      <c r="H502" s="2">
        <v>0</v>
      </c>
      <c r="I502" s="2">
        <v>41367</v>
      </c>
      <c r="J502">
        <v>9</v>
      </c>
      <c r="K502">
        <f>VLOOKUP(B502,purchase_dataset!$B$2:$F$2241,2,FALSE)</f>
        <v>14</v>
      </c>
      <c r="L502">
        <f>VLOOKUP(B502,purchase_dataset!$B$2:$F$2241,3,FALSE)</f>
        <v>14</v>
      </c>
      <c r="M502">
        <f>VLOOKUP(B502,purchase_dataset!$B$2:$F$2241,3,FALSE)</f>
        <v>14</v>
      </c>
      <c r="N502">
        <f>VLOOKUP(B502,purchase_dataset!$B$2:$F$2241,5,FALSE)</f>
        <v>13</v>
      </c>
      <c r="O502" s="5">
        <v>82</v>
      </c>
      <c r="P502" s="4" t="str">
        <f t="shared" si="14"/>
        <v>&gt;50</v>
      </c>
      <c r="Q502" s="4">
        <f>M502+N502</f>
        <v>27</v>
      </c>
      <c r="U502" s="28" t="str" cm="1">
        <f t="array" ref="U502">_xlfn.IFS(F502&lt;30000,"30k",F502&lt;=50000,"30k-50k",F502&lt;=75000,"50k-75k",F502&lt;=100000,"75k-100k",F502&gt;100000,"100k")</f>
        <v>50k-75k</v>
      </c>
      <c r="W502" s="1">
        <f t="shared" si="15"/>
        <v>13</v>
      </c>
    </row>
    <row r="503" spans="1:23" x14ac:dyDescent="0.35">
      <c r="A503">
        <v>500</v>
      </c>
      <c r="B503">
        <v>9135</v>
      </c>
      <c r="C503">
        <v>1950</v>
      </c>
      <c r="D503" s="1" t="s">
        <v>10</v>
      </c>
      <c r="E503" s="1" t="s">
        <v>12</v>
      </c>
      <c r="F503">
        <v>27203</v>
      </c>
      <c r="G503">
        <v>1</v>
      </c>
      <c r="H503" s="2">
        <v>1</v>
      </c>
      <c r="I503" s="2">
        <v>41127</v>
      </c>
      <c r="J503">
        <v>92</v>
      </c>
      <c r="K503">
        <f>VLOOKUP(B503,purchase_dataset!$B$2:$F$2241,2,FALSE)</f>
        <v>2</v>
      </c>
      <c r="L503">
        <f>VLOOKUP(B503,purchase_dataset!$B$2:$F$2241,3,FALSE)</f>
        <v>0</v>
      </c>
      <c r="M503">
        <f>VLOOKUP(B503,purchase_dataset!$B$2:$F$2241,3,FALSE)</f>
        <v>0</v>
      </c>
      <c r="N503">
        <f>VLOOKUP(B503,purchase_dataset!$B$2:$F$2241,5,FALSE)</f>
        <v>2</v>
      </c>
      <c r="O503" s="5">
        <v>76</v>
      </c>
      <c r="P503" s="4" t="str">
        <f t="shared" si="14"/>
        <v>&gt;50</v>
      </c>
      <c r="Q503" s="4">
        <f>M503+N503</f>
        <v>2</v>
      </c>
      <c r="U503" s="28" t="str" cm="1">
        <f t="array" ref="U503">_xlfn.IFS(F503&lt;30000,"30k",F503&lt;=50000,"30k-50k",F503&lt;=75000,"50k-75k",F503&lt;=100000,"75k-100k",F503&gt;100000,"100k")</f>
        <v>30k</v>
      </c>
      <c r="W503" s="1">
        <f t="shared" si="15"/>
        <v>14</v>
      </c>
    </row>
    <row r="504" spans="1:23" x14ac:dyDescent="0.35">
      <c r="A504">
        <v>501</v>
      </c>
      <c r="B504">
        <v>10623</v>
      </c>
      <c r="C504">
        <v>1961</v>
      </c>
      <c r="D504" s="1" t="s">
        <v>15</v>
      </c>
      <c r="E504" s="1" t="s">
        <v>12</v>
      </c>
      <c r="F504">
        <v>48330</v>
      </c>
      <c r="G504">
        <v>0</v>
      </c>
      <c r="H504" s="2">
        <v>1</v>
      </c>
      <c r="I504" s="2">
        <v>41593</v>
      </c>
      <c r="J504">
        <v>2</v>
      </c>
      <c r="K504">
        <f>VLOOKUP(B504,purchase_dataset!$B$2:$F$2241,2,FALSE)</f>
        <v>0</v>
      </c>
      <c r="L504">
        <f>VLOOKUP(B504,purchase_dataset!$B$2:$F$2241,3,FALSE)</f>
        <v>0</v>
      </c>
      <c r="M504">
        <f>VLOOKUP(B504,purchase_dataset!$B$2:$F$2241,3,FALSE)</f>
        <v>0</v>
      </c>
      <c r="N504">
        <f>VLOOKUP(B504,purchase_dataset!$B$2:$F$2241,5,FALSE)</f>
        <v>3</v>
      </c>
      <c r="O504" s="5">
        <v>65</v>
      </c>
      <c r="P504" s="4" t="str">
        <f t="shared" si="14"/>
        <v>&gt;50</v>
      </c>
      <c r="Q504" s="4">
        <f>M504+N504</f>
        <v>3</v>
      </c>
      <c r="U504" s="28" t="str" cm="1">
        <f t="array" ref="U504">_xlfn.IFS(F504&lt;30000,"30k",F504&lt;=50000,"30k-50k",F504&lt;=75000,"50k-75k",F504&lt;=100000,"75k-100k",F504&gt;100000,"100k")</f>
        <v>30k-50k</v>
      </c>
      <c r="W504" s="1">
        <f t="shared" si="15"/>
        <v>13</v>
      </c>
    </row>
    <row r="505" spans="1:23" x14ac:dyDescent="0.35">
      <c r="A505">
        <v>502</v>
      </c>
      <c r="B505">
        <v>8151</v>
      </c>
      <c r="C505">
        <v>1990</v>
      </c>
      <c r="D505" s="1" t="s">
        <v>17</v>
      </c>
      <c r="E505" s="1" t="s">
        <v>14</v>
      </c>
      <c r="F505">
        <v>24279</v>
      </c>
      <c r="G505">
        <v>0</v>
      </c>
      <c r="H505" s="2">
        <v>0</v>
      </c>
      <c r="I505" s="2">
        <v>41272</v>
      </c>
      <c r="J505">
        <v>6</v>
      </c>
      <c r="K505">
        <f>VLOOKUP(B505,purchase_dataset!$B$2:$F$2241,2,FALSE)</f>
        <v>36</v>
      </c>
      <c r="L505">
        <f>VLOOKUP(B505,purchase_dataset!$B$2:$F$2241,3,FALSE)</f>
        <v>62</v>
      </c>
      <c r="M505">
        <f>VLOOKUP(B505,purchase_dataset!$B$2:$F$2241,3,FALSE)</f>
        <v>62</v>
      </c>
      <c r="N505">
        <f>VLOOKUP(B505,purchase_dataset!$B$2:$F$2241,5,FALSE)</f>
        <v>3</v>
      </c>
      <c r="O505" s="5">
        <v>36</v>
      </c>
      <c r="P505" s="4" t="str">
        <f t="shared" si="14"/>
        <v>30-50</v>
      </c>
      <c r="Q505" s="4">
        <f>M505+N505</f>
        <v>65</v>
      </c>
      <c r="U505" s="28" t="str" cm="1">
        <f t="array" ref="U505">_xlfn.IFS(F505&lt;30000,"30k",F505&lt;=50000,"30k-50k",F505&lt;=75000,"50k-75k",F505&lt;=100000,"75k-100k",F505&gt;100000,"100k")</f>
        <v>30k</v>
      </c>
      <c r="W505" s="1">
        <f t="shared" si="15"/>
        <v>14</v>
      </c>
    </row>
    <row r="506" spans="1:23" x14ac:dyDescent="0.35">
      <c r="A506">
        <v>503</v>
      </c>
      <c r="B506">
        <v>5140</v>
      </c>
      <c r="C506">
        <v>1985</v>
      </c>
      <c r="D506" s="1" t="s">
        <v>13</v>
      </c>
      <c r="E506" s="1" t="s">
        <v>14</v>
      </c>
      <c r="F506">
        <v>64355</v>
      </c>
      <c r="G506">
        <v>1</v>
      </c>
      <c r="H506" s="2">
        <v>0</v>
      </c>
      <c r="I506" s="2">
        <v>41145</v>
      </c>
      <c r="J506">
        <v>66</v>
      </c>
      <c r="K506">
        <f>VLOOKUP(B506,purchase_dataset!$B$2:$F$2241,2,FALSE)</f>
        <v>0</v>
      </c>
      <c r="L506">
        <f>VLOOKUP(B506,purchase_dataset!$B$2:$F$2241,3,FALSE)</f>
        <v>38</v>
      </c>
      <c r="M506">
        <f>VLOOKUP(B506,purchase_dataset!$B$2:$F$2241,3,FALSE)</f>
        <v>38</v>
      </c>
      <c r="N506">
        <f>VLOOKUP(B506,purchase_dataset!$B$2:$F$2241,5,FALSE)</f>
        <v>12</v>
      </c>
      <c r="O506" s="5">
        <v>41</v>
      </c>
      <c r="P506" s="4" t="str">
        <f t="shared" si="14"/>
        <v>30-50</v>
      </c>
      <c r="Q506" s="4">
        <f>M506+N506</f>
        <v>50</v>
      </c>
      <c r="U506" s="28" t="str" cm="1">
        <f t="array" ref="U506">_xlfn.IFS(F506&lt;30000,"30k",F506&lt;=50000,"30k-50k",F506&lt;=75000,"50k-75k",F506&lt;=100000,"75k-100k",F506&gt;100000,"100k")</f>
        <v>50k-75k</v>
      </c>
      <c r="W506" s="1">
        <f t="shared" si="15"/>
        <v>14</v>
      </c>
    </row>
    <row r="507" spans="1:23" x14ac:dyDescent="0.35">
      <c r="A507">
        <v>504</v>
      </c>
      <c r="B507">
        <v>10160</v>
      </c>
      <c r="C507">
        <v>1956</v>
      </c>
      <c r="D507" s="1" t="s">
        <v>15</v>
      </c>
      <c r="E507" s="1" t="s">
        <v>12</v>
      </c>
      <c r="F507">
        <v>50943</v>
      </c>
      <c r="G507">
        <v>0</v>
      </c>
      <c r="H507" s="2">
        <v>1</v>
      </c>
      <c r="I507" s="2">
        <v>41446</v>
      </c>
      <c r="J507">
        <v>49</v>
      </c>
      <c r="K507">
        <f>VLOOKUP(B507,purchase_dataset!$B$2:$F$2241,2,FALSE)</f>
        <v>0</v>
      </c>
      <c r="L507">
        <f>VLOOKUP(B507,purchase_dataset!$B$2:$F$2241,3,FALSE)</f>
        <v>0</v>
      </c>
      <c r="M507">
        <f>VLOOKUP(B507,purchase_dataset!$B$2:$F$2241,3,FALSE)</f>
        <v>0</v>
      </c>
      <c r="N507">
        <f>VLOOKUP(B507,purchase_dataset!$B$2:$F$2241,5,FALSE)</f>
        <v>3</v>
      </c>
      <c r="O507" s="5">
        <v>70</v>
      </c>
      <c r="P507" s="4" t="str">
        <f t="shared" si="14"/>
        <v>&gt;50</v>
      </c>
      <c r="Q507" s="4">
        <f>M507+N507</f>
        <v>3</v>
      </c>
      <c r="U507" s="28" t="str" cm="1">
        <f t="array" ref="U507">_xlfn.IFS(F507&lt;30000,"30k",F507&lt;=50000,"30k-50k",F507&lt;=75000,"50k-75k",F507&lt;=100000,"75k-100k",F507&gt;100000,"100k")</f>
        <v>50k-75k</v>
      </c>
      <c r="W507" s="1">
        <f t="shared" si="15"/>
        <v>13</v>
      </c>
    </row>
    <row r="508" spans="1:23" x14ac:dyDescent="0.35">
      <c r="A508">
        <v>505</v>
      </c>
      <c r="B508">
        <v>4945</v>
      </c>
      <c r="C508">
        <v>1953</v>
      </c>
      <c r="D508" s="1" t="s">
        <v>10</v>
      </c>
      <c r="E508" s="1" t="s">
        <v>19</v>
      </c>
      <c r="F508">
        <v>53653</v>
      </c>
      <c r="G508">
        <v>0</v>
      </c>
      <c r="H508" s="2">
        <v>0</v>
      </c>
      <c r="I508" s="2">
        <v>41220</v>
      </c>
      <c r="J508">
        <v>29</v>
      </c>
      <c r="K508">
        <f>VLOOKUP(B508,purchase_dataset!$B$2:$F$2241,2,FALSE)</f>
        <v>10</v>
      </c>
      <c r="L508">
        <f>VLOOKUP(B508,purchase_dataset!$B$2:$F$2241,3,FALSE)</f>
        <v>10</v>
      </c>
      <c r="M508">
        <f>VLOOKUP(B508,purchase_dataset!$B$2:$F$2241,3,FALSE)</f>
        <v>10</v>
      </c>
      <c r="N508">
        <f>VLOOKUP(B508,purchase_dataset!$B$2:$F$2241,5,FALSE)</f>
        <v>12</v>
      </c>
      <c r="O508" s="5">
        <v>73</v>
      </c>
      <c r="P508" s="4" t="str">
        <f t="shared" si="14"/>
        <v>&gt;50</v>
      </c>
      <c r="Q508" s="4">
        <f>M508+N508</f>
        <v>22</v>
      </c>
      <c r="U508" s="28" t="str" cm="1">
        <f t="array" ref="U508">_xlfn.IFS(F508&lt;30000,"30k",F508&lt;=50000,"30k-50k",F508&lt;=75000,"50k-75k",F508&lt;=100000,"75k-100k",F508&gt;100000,"100k")</f>
        <v>50k-75k</v>
      </c>
      <c r="W508" s="1">
        <f t="shared" si="15"/>
        <v>14</v>
      </c>
    </row>
    <row r="509" spans="1:23" x14ac:dyDescent="0.35">
      <c r="A509">
        <v>506</v>
      </c>
      <c r="B509">
        <v>10584</v>
      </c>
      <c r="C509">
        <v>1976</v>
      </c>
      <c r="D509" s="1" t="s">
        <v>10</v>
      </c>
      <c r="E509" s="1" t="s">
        <v>14</v>
      </c>
      <c r="F509">
        <v>65665</v>
      </c>
      <c r="G509">
        <v>0</v>
      </c>
      <c r="H509" s="2">
        <v>1</v>
      </c>
      <c r="I509" s="2">
        <v>41610</v>
      </c>
      <c r="J509">
        <v>77</v>
      </c>
      <c r="K509">
        <f>VLOOKUP(B509,purchase_dataset!$B$2:$F$2241,2,FALSE)</f>
        <v>162</v>
      </c>
      <c r="L509">
        <f>VLOOKUP(B509,purchase_dataset!$B$2:$F$2241,3,FALSE)</f>
        <v>36</v>
      </c>
      <c r="M509">
        <f>VLOOKUP(B509,purchase_dataset!$B$2:$F$2241,3,FALSE)</f>
        <v>36</v>
      </c>
      <c r="N509">
        <f>VLOOKUP(B509,purchase_dataset!$B$2:$F$2241,5,FALSE)</f>
        <v>8</v>
      </c>
      <c r="O509" s="5">
        <v>50</v>
      </c>
      <c r="P509" s="4" t="str">
        <f t="shared" si="14"/>
        <v>30-50</v>
      </c>
      <c r="Q509" s="4">
        <f>M509+N509</f>
        <v>44</v>
      </c>
      <c r="U509" s="28" t="str" cm="1">
        <f t="array" ref="U509">_xlfn.IFS(F509&lt;30000,"30k",F509&lt;=50000,"30k-50k",F509&lt;=75000,"50k-75k",F509&lt;=100000,"75k-100k",F509&gt;100000,"100k")</f>
        <v>50k-75k</v>
      </c>
      <c r="W509" s="1">
        <f t="shared" si="15"/>
        <v>13</v>
      </c>
    </row>
    <row r="510" spans="1:23" x14ac:dyDescent="0.35">
      <c r="A510">
        <v>507</v>
      </c>
      <c r="B510">
        <v>6071</v>
      </c>
      <c r="C510">
        <v>1989</v>
      </c>
      <c r="D510" s="1" t="s">
        <v>10</v>
      </c>
      <c r="E510" s="1" t="s">
        <v>11</v>
      </c>
      <c r="F510">
        <v>81217</v>
      </c>
      <c r="G510">
        <v>0</v>
      </c>
      <c r="H510" s="2">
        <v>0</v>
      </c>
      <c r="I510" s="2">
        <v>41474</v>
      </c>
      <c r="J510">
        <v>77</v>
      </c>
      <c r="K510">
        <f>VLOOKUP(B510,purchase_dataset!$B$2:$F$2241,2,FALSE)</f>
        <v>70</v>
      </c>
      <c r="L510">
        <f>VLOOKUP(B510,purchase_dataset!$B$2:$F$2241,3,FALSE)</f>
        <v>40</v>
      </c>
      <c r="M510">
        <f>VLOOKUP(B510,purchase_dataset!$B$2:$F$2241,3,FALSE)</f>
        <v>40</v>
      </c>
      <c r="N510">
        <f>VLOOKUP(B510,purchase_dataset!$B$2:$F$2241,5,FALSE)</f>
        <v>11</v>
      </c>
      <c r="O510" s="5">
        <v>37</v>
      </c>
      <c r="P510" s="4" t="str">
        <f t="shared" si="14"/>
        <v>30-50</v>
      </c>
      <c r="Q510" s="4">
        <f>M510+N510</f>
        <v>51</v>
      </c>
      <c r="U510" s="28" t="str" cm="1">
        <f t="array" ref="U510">_xlfn.IFS(F510&lt;30000,"30k",F510&lt;=50000,"30k-50k",F510&lt;=75000,"50k-75k",F510&lt;=100000,"75k-100k",F510&gt;100000,"100k")</f>
        <v>75k-100k</v>
      </c>
      <c r="W510" s="1">
        <f t="shared" si="15"/>
        <v>13</v>
      </c>
    </row>
    <row r="511" spans="1:23" x14ac:dyDescent="0.35">
      <c r="A511">
        <v>508</v>
      </c>
      <c r="B511">
        <v>3386</v>
      </c>
      <c r="C511">
        <v>1992</v>
      </c>
      <c r="D511" s="1" t="s">
        <v>10</v>
      </c>
      <c r="E511" s="1" t="s">
        <v>14</v>
      </c>
      <c r="F511">
        <v>34935</v>
      </c>
      <c r="G511">
        <v>0</v>
      </c>
      <c r="H511" s="2">
        <v>0</v>
      </c>
      <c r="I511" s="2">
        <v>41446</v>
      </c>
      <c r="J511">
        <v>71</v>
      </c>
      <c r="K511">
        <f>VLOOKUP(B511,purchase_dataset!$B$2:$F$2241,2,FALSE)</f>
        <v>4</v>
      </c>
      <c r="L511">
        <f>VLOOKUP(B511,purchase_dataset!$B$2:$F$2241,3,FALSE)</f>
        <v>10</v>
      </c>
      <c r="M511">
        <f>VLOOKUP(B511,purchase_dataset!$B$2:$F$2241,3,FALSE)</f>
        <v>10</v>
      </c>
      <c r="N511">
        <f>VLOOKUP(B511,purchase_dataset!$B$2:$F$2241,5,FALSE)</f>
        <v>4</v>
      </c>
      <c r="O511" s="5">
        <v>34</v>
      </c>
      <c r="P511" s="4" t="str">
        <f t="shared" si="14"/>
        <v>30-50</v>
      </c>
      <c r="Q511" s="4">
        <f>M511+N511</f>
        <v>14</v>
      </c>
      <c r="U511" s="28" t="str" cm="1">
        <f t="array" ref="U511">_xlfn.IFS(F511&lt;30000,"30k",F511&lt;=50000,"30k-50k",F511&lt;=75000,"50k-75k",F511&lt;=100000,"75k-100k",F511&gt;100000,"100k")</f>
        <v>30k-50k</v>
      </c>
      <c r="W511" s="1">
        <f t="shared" si="15"/>
        <v>13</v>
      </c>
    </row>
    <row r="512" spans="1:23" x14ac:dyDescent="0.35">
      <c r="A512">
        <v>509</v>
      </c>
      <c r="B512">
        <v>8939</v>
      </c>
      <c r="C512">
        <v>1959</v>
      </c>
      <c r="D512" s="1" t="s">
        <v>10</v>
      </c>
      <c r="E512" s="1" t="s">
        <v>16</v>
      </c>
      <c r="F512">
        <v>61250</v>
      </c>
      <c r="G512">
        <v>0</v>
      </c>
      <c r="H512" s="2">
        <v>1</v>
      </c>
      <c r="I512" s="2">
        <v>41259</v>
      </c>
      <c r="J512">
        <v>49</v>
      </c>
      <c r="K512">
        <f>VLOOKUP(B512,purchase_dataset!$B$2:$F$2241,2,FALSE)</f>
        <v>138</v>
      </c>
      <c r="L512">
        <f>VLOOKUP(B512,purchase_dataset!$B$2:$F$2241,3,FALSE)</f>
        <v>26</v>
      </c>
      <c r="M512">
        <f>VLOOKUP(B512,purchase_dataset!$B$2:$F$2241,3,FALSE)</f>
        <v>26</v>
      </c>
      <c r="N512">
        <f>VLOOKUP(B512,purchase_dataset!$B$2:$F$2241,5,FALSE)</f>
        <v>12</v>
      </c>
      <c r="O512" s="5">
        <v>67</v>
      </c>
      <c r="P512" s="4" t="str">
        <f t="shared" si="14"/>
        <v>&gt;50</v>
      </c>
      <c r="Q512" s="4">
        <f>M512+N512</f>
        <v>38</v>
      </c>
      <c r="U512" s="28" t="str" cm="1">
        <f t="array" ref="U512">_xlfn.IFS(F512&lt;30000,"30k",F512&lt;=50000,"30k-50k",F512&lt;=75000,"50k-75k",F512&lt;=100000,"75k-100k",F512&gt;100000,"100k")</f>
        <v>50k-75k</v>
      </c>
      <c r="W512" s="1">
        <f t="shared" si="15"/>
        <v>14</v>
      </c>
    </row>
    <row r="513" spans="1:23" x14ac:dyDescent="0.35">
      <c r="A513">
        <v>510</v>
      </c>
      <c r="B513">
        <v>9925</v>
      </c>
      <c r="C513">
        <v>1981</v>
      </c>
      <c r="D513" s="1" t="s">
        <v>13</v>
      </c>
      <c r="E513" s="1" t="s">
        <v>12</v>
      </c>
      <c r="F513">
        <v>39665</v>
      </c>
      <c r="G513">
        <v>1</v>
      </c>
      <c r="H513" s="2">
        <v>0</v>
      </c>
      <c r="I513" s="2">
        <v>41419</v>
      </c>
      <c r="J513">
        <v>97</v>
      </c>
      <c r="K513">
        <f>VLOOKUP(B513,purchase_dataset!$B$2:$F$2241,2,FALSE)</f>
        <v>1</v>
      </c>
      <c r="L513">
        <f>VLOOKUP(B513,purchase_dataset!$B$2:$F$2241,3,FALSE)</f>
        <v>1</v>
      </c>
      <c r="M513">
        <f>VLOOKUP(B513,purchase_dataset!$B$2:$F$2241,3,FALSE)</f>
        <v>1</v>
      </c>
      <c r="N513">
        <f>VLOOKUP(B513,purchase_dataset!$B$2:$F$2241,5,FALSE)</f>
        <v>3</v>
      </c>
      <c r="O513" s="5">
        <v>45</v>
      </c>
      <c r="P513" s="4" t="str">
        <f t="shared" si="14"/>
        <v>30-50</v>
      </c>
      <c r="Q513" s="4">
        <f>M513+N513</f>
        <v>4</v>
      </c>
      <c r="U513" s="28" t="str" cm="1">
        <f t="array" ref="U513">_xlfn.IFS(F513&lt;30000,"30k",F513&lt;=50000,"30k-50k",F513&lt;=75000,"50k-75k",F513&lt;=100000,"75k-100k",F513&gt;100000,"100k")</f>
        <v>30k-50k</v>
      </c>
      <c r="W513" s="1">
        <f t="shared" si="15"/>
        <v>13</v>
      </c>
    </row>
    <row r="514" spans="1:23" x14ac:dyDescent="0.35">
      <c r="A514">
        <v>511</v>
      </c>
      <c r="B514">
        <v>4320</v>
      </c>
      <c r="C514">
        <v>1979</v>
      </c>
      <c r="D514" s="1" t="s">
        <v>10</v>
      </c>
      <c r="E514" s="1" t="s">
        <v>11</v>
      </c>
      <c r="F514">
        <v>60152</v>
      </c>
      <c r="G514">
        <v>0</v>
      </c>
      <c r="H514" s="2">
        <v>1</v>
      </c>
      <c r="I514" s="2">
        <v>41361</v>
      </c>
      <c r="J514">
        <v>6</v>
      </c>
      <c r="K514">
        <f>VLOOKUP(B514,purchase_dataset!$B$2:$F$2241,2,FALSE)</f>
        <v>83</v>
      </c>
      <c r="L514">
        <f>VLOOKUP(B514,purchase_dataset!$B$2:$F$2241,3,FALSE)</f>
        <v>58</v>
      </c>
      <c r="M514">
        <f>VLOOKUP(B514,purchase_dataset!$B$2:$F$2241,3,FALSE)</f>
        <v>58</v>
      </c>
      <c r="N514">
        <f>VLOOKUP(B514,purchase_dataset!$B$2:$F$2241,5,FALSE)</f>
        <v>12</v>
      </c>
      <c r="O514" s="5">
        <v>47</v>
      </c>
      <c r="P514" s="4" t="str">
        <f t="shared" si="14"/>
        <v>30-50</v>
      </c>
      <c r="Q514" s="4">
        <f>M514+N514</f>
        <v>70</v>
      </c>
      <c r="U514" s="28" t="str" cm="1">
        <f t="array" ref="U514">_xlfn.IFS(F514&lt;30000,"30k",F514&lt;=50000,"30k-50k",F514&lt;=75000,"50k-75k",F514&lt;=100000,"75k-100k",F514&gt;100000,"100k")</f>
        <v>50k-75k</v>
      </c>
      <c r="W514" s="1">
        <f t="shared" si="15"/>
        <v>13</v>
      </c>
    </row>
    <row r="515" spans="1:23" x14ac:dyDescent="0.35">
      <c r="A515">
        <v>512</v>
      </c>
      <c r="B515">
        <v>5389</v>
      </c>
      <c r="C515">
        <v>1964</v>
      </c>
      <c r="D515" s="1" t="s">
        <v>10</v>
      </c>
      <c r="E515" s="1" t="s">
        <v>14</v>
      </c>
      <c r="F515">
        <v>48920</v>
      </c>
      <c r="G515">
        <v>0</v>
      </c>
      <c r="H515" s="2">
        <v>2</v>
      </c>
      <c r="I515" s="2">
        <v>41567</v>
      </c>
      <c r="J515">
        <v>93</v>
      </c>
      <c r="K515">
        <f>VLOOKUP(B515,purchase_dataset!$B$2:$F$2241,2,FALSE)</f>
        <v>17</v>
      </c>
      <c r="L515">
        <f>VLOOKUP(B515,purchase_dataset!$B$2:$F$2241,3,FALSE)</f>
        <v>10</v>
      </c>
      <c r="M515">
        <f>VLOOKUP(B515,purchase_dataset!$B$2:$F$2241,3,FALSE)</f>
        <v>10</v>
      </c>
      <c r="N515">
        <f>VLOOKUP(B515,purchase_dataset!$B$2:$F$2241,5,FALSE)</f>
        <v>5</v>
      </c>
      <c r="O515" s="5">
        <v>62</v>
      </c>
      <c r="P515" s="4" t="str">
        <f t="shared" si="14"/>
        <v>&gt;50</v>
      </c>
      <c r="Q515" s="4">
        <f>M515+N515</f>
        <v>15</v>
      </c>
      <c r="U515" s="28" t="str" cm="1">
        <f t="array" ref="U515">_xlfn.IFS(F515&lt;30000,"30k",F515&lt;=50000,"30k-50k",F515&lt;=75000,"50k-75k",F515&lt;=100000,"75k-100k",F515&gt;100000,"100k")</f>
        <v>30k-50k</v>
      </c>
      <c r="W515" s="1">
        <f t="shared" si="15"/>
        <v>13</v>
      </c>
    </row>
    <row r="516" spans="1:23" x14ac:dyDescent="0.35">
      <c r="A516">
        <v>513</v>
      </c>
      <c r="B516">
        <v>6036</v>
      </c>
      <c r="C516">
        <v>1959</v>
      </c>
      <c r="D516" s="1" t="s">
        <v>15</v>
      </c>
      <c r="E516" s="1" t="s">
        <v>12</v>
      </c>
      <c r="F516">
        <v>89120</v>
      </c>
      <c r="G516">
        <v>0</v>
      </c>
      <c r="H516" s="2">
        <v>0</v>
      </c>
      <c r="I516" s="2">
        <v>41715</v>
      </c>
      <c r="J516">
        <v>78</v>
      </c>
      <c r="K516">
        <f>VLOOKUP(B516,purchase_dataset!$B$2:$F$2241,2,FALSE)</f>
        <v>92</v>
      </c>
      <c r="L516">
        <f>VLOOKUP(B516,purchase_dataset!$B$2:$F$2241,3,FALSE)</f>
        <v>129</v>
      </c>
      <c r="M516">
        <f>VLOOKUP(B516,purchase_dataset!$B$2:$F$2241,3,FALSE)</f>
        <v>129</v>
      </c>
      <c r="N516">
        <f>VLOOKUP(B516,purchase_dataset!$B$2:$F$2241,5,FALSE)</f>
        <v>7</v>
      </c>
      <c r="O516" s="5">
        <v>67</v>
      </c>
      <c r="P516" s="4" t="str">
        <f t="shared" ref="P516:P579" si="16">IF(O516&lt;30,"30",IF(O516&lt;=50,"30-50","&gt;50"))</f>
        <v>&gt;50</v>
      </c>
      <c r="Q516" s="4">
        <f>M516+N516</f>
        <v>136</v>
      </c>
      <c r="U516" s="28" t="str" cm="1">
        <f t="array" ref="U516">_xlfn.IFS(F516&lt;30000,"30k",F516&lt;=50000,"30k-50k",F516&lt;=75000,"50k-75k",F516&lt;=100000,"75k-100k",F516&gt;100000,"100k")</f>
        <v>75k-100k</v>
      </c>
      <c r="W516" s="1">
        <f t="shared" ref="W516:W579" si="17">2026-YEAR(I516)</f>
        <v>12</v>
      </c>
    </row>
    <row r="517" spans="1:23" x14ac:dyDescent="0.35">
      <c r="A517">
        <v>514</v>
      </c>
      <c r="B517">
        <v>182</v>
      </c>
      <c r="C517">
        <v>1946</v>
      </c>
      <c r="D517" s="1" t="s">
        <v>13</v>
      </c>
      <c r="E517" s="1" t="s">
        <v>12</v>
      </c>
      <c r="F517">
        <v>44124</v>
      </c>
      <c r="G517">
        <v>0</v>
      </c>
      <c r="H517" s="2">
        <v>1</v>
      </c>
      <c r="I517" s="2">
        <v>41405</v>
      </c>
      <c r="J517">
        <v>62</v>
      </c>
      <c r="K517">
        <f>VLOOKUP(B517,purchase_dataset!$B$2:$F$2241,2,FALSE)</f>
        <v>0</v>
      </c>
      <c r="L517">
        <f>VLOOKUP(B517,purchase_dataset!$B$2:$F$2241,3,FALSE)</f>
        <v>6</v>
      </c>
      <c r="M517">
        <f>VLOOKUP(B517,purchase_dataset!$B$2:$F$2241,3,FALSE)</f>
        <v>6</v>
      </c>
      <c r="N517">
        <f>VLOOKUP(B517,purchase_dataset!$B$2:$F$2241,5,FALSE)</f>
        <v>5</v>
      </c>
      <c r="O517" s="5">
        <v>80</v>
      </c>
      <c r="P517" s="4" t="str">
        <f t="shared" si="16"/>
        <v>&gt;50</v>
      </c>
      <c r="Q517" s="4">
        <f>M517+N517</f>
        <v>11</v>
      </c>
      <c r="U517" s="28" t="str" cm="1">
        <f t="array" ref="U517">_xlfn.IFS(F517&lt;30000,"30k",F517&lt;=50000,"30k-50k",F517&lt;=75000,"50k-75k",F517&lt;=100000,"75k-100k",F517&gt;100000,"100k")</f>
        <v>30k-50k</v>
      </c>
      <c r="W517" s="1">
        <f t="shared" si="17"/>
        <v>13</v>
      </c>
    </row>
    <row r="518" spans="1:23" x14ac:dyDescent="0.35">
      <c r="A518">
        <v>515</v>
      </c>
      <c r="B518">
        <v>203</v>
      </c>
      <c r="C518">
        <v>1975</v>
      </c>
      <c r="D518" s="1" t="s">
        <v>15</v>
      </c>
      <c r="E518" s="1" t="s">
        <v>11</v>
      </c>
      <c r="F518">
        <v>81169</v>
      </c>
      <c r="G518">
        <v>0</v>
      </c>
      <c r="H518" s="2">
        <v>0</v>
      </c>
      <c r="I518" s="2">
        <v>41378</v>
      </c>
      <c r="J518">
        <v>47</v>
      </c>
      <c r="K518">
        <f>VLOOKUP(B518,purchase_dataset!$B$2:$F$2241,2,FALSE)</f>
        <v>20</v>
      </c>
      <c r="L518">
        <f>VLOOKUP(B518,purchase_dataset!$B$2:$F$2241,3,FALSE)</f>
        <v>61</v>
      </c>
      <c r="M518">
        <f>VLOOKUP(B518,purchase_dataset!$B$2:$F$2241,3,FALSE)</f>
        <v>61</v>
      </c>
      <c r="N518">
        <f>VLOOKUP(B518,purchase_dataset!$B$2:$F$2241,5,FALSE)</f>
        <v>9</v>
      </c>
      <c r="O518" s="5">
        <v>51</v>
      </c>
      <c r="P518" s="4" t="str">
        <f t="shared" si="16"/>
        <v>&gt;50</v>
      </c>
      <c r="Q518" s="4">
        <f>M518+N518</f>
        <v>70</v>
      </c>
      <c r="U518" s="28" t="str" cm="1">
        <f t="array" ref="U518">_xlfn.IFS(F518&lt;30000,"30k",F518&lt;=50000,"30k-50k",F518&lt;=75000,"50k-75k",F518&lt;=100000,"75k-100k",F518&gt;100000,"100k")</f>
        <v>75k-100k</v>
      </c>
      <c r="W518" s="1">
        <f t="shared" si="17"/>
        <v>13</v>
      </c>
    </row>
    <row r="519" spans="1:23" x14ac:dyDescent="0.35">
      <c r="A519">
        <v>516</v>
      </c>
      <c r="B519">
        <v>11025</v>
      </c>
      <c r="C519">
        <v>1961</v>
      </c>
      <c r="D519" s="1" t="s">
        <v>10</v>
      </c>
      <c r="E519" s="1" t="s">
        <v>14</v>
      </c>
      <c r="F519">
        <v>36443</v>
      </c>
      <c r="G519">
        <v>1</v>
      </c>
      <c r="H519" s="2">
        <v>1</v>
      </c>
      <c r="I519" s="2">
        <v>41308</v>
      </c>
      <c r="J519">
        <v>9</v>
      </c>
      <c r="K519">
        <f>VLOOKUP(B519,purchase_dataset!$B$2:$F$2241,2,FALSE)</f>
        <v>0</v>
      </c>
      <c r="L519">
        <f>VLOOKUP(B519,purchase_dataset!$B$2:$F$2241,3,FALSE)</f>
        <v>3</v>
      </c>
      <c r="M519">
        <f>VLOOKUP(B519,purchase_dataset!$B$2:$F$2241,3,FALSE)</f>
        <v>3</v>
      </c>
      <c r="N519">
        <f>VLOOKUP(B519,purchase_dataset!$B$2:$F$2241,5,FALSE)</f>
        <v>3</v>
      </c>
      <c r="O519" s="5">
        <v>65</v>
      </c>
      <c r="P519" s="4" t="str">
        <f t="shared" si="16"/>
        <v>&gt;50</v>
      </c>
      <c r="Q519" s="4">
        <f>M519+N519</f>
        <v>6</v>
      </c>
      <c r="U519" s="28" t="str" cm="1">
        <f t="array" ref="U519">_xlfn.IFS(F519&lt;30000,"30k",F519&lt;=50000,"30k-50k",F519&lt;=75000,"50k-75k",F519&lt;=100000,"75k-100k",F519&gt;100000,"100k")</f>
        <v>30k-50k</v>
      </c>
      <c r="W519" s="1">
        <f t="shared" si="17"/>
        <v>13</v>
      </c>
    </row>
    <row r="520" spans="1:23" x14ac:dyDescent="0.35">
      <c r="A520">
        <v>517</v>
      </c>
      <c r="B520">
        <v>10203</v>
      </c>
      <c r="C520">
        <v>1990</v>
      </c>
      <c r="D520" s="1" t="s">
        <v>10</v>
      </c>
      <c r="E520" s="1" t="s">
        <v>11</v>
      </c>
      <c r="F520">
        <v>26095</v>
      </c>
      <c r="G520">
        <v>1</v>
      </c>
      <c r="H520" s="2">
        <v>0</v>
      </c>
      <c r="I520" s="2">
        <v>41455</v>
      </c>
      <c r="J520">
        <v>77</v>
      </c>
      <c r="K520">
        <f>VLOOKUP(B520,purchase_dataset!$B$2:$F$2241,2,FALSE)</f>
        <v>7</v>
      </c>
      <c r="L520">
        <f>VLOOKUP(B520,purchase_dataset!$B$2:$F$2241,3,FALSE)</f>
        <v>1</v>
      </c>
      <c r="M520">
        <f>VLOOKUP(B520,purchase_dataset!$B$2:$F$2241,3,FALSE)</f>
        <v>1</v>
      </c>
      <c r="N520">
        <f>VLOOKUP(B520,purchase_dataset!$B$2:$F$2241,5,FALSE)</f>
        <v>3</v>
      </c>
      <c r="O520" s="5">
        <v>36</v>
      </c>
      <c r="P520" s="4" t="str">
        <f t="shared" si="16"/>
        <v>30-50</v>
      </c>
      <c r="Q520" s="4">
        <f>M520+N520</f>
        <v>4</v>
      </c>
      <c r="U520" s="28" t="str" cm="1">
        <f t="array" ref="U520">_xlfn.IFS(F520&lt;30000,"30k",F520&lt;=50000,"30k-50k",F520&lt;=75000,"50k-75k",F520&lt;=100000,"75k-100k",F520&gt;100000,"100k")</f>
        <v>30k</v>
      </c>
      <c r="W520" s="1">
        <f t="shared" si="17"/>
        <v>13</v>
      </c>
    </row>
    <row r="521" spans="1:23" x14ac:dyDescent="0.35">
      <c r="A521">
        <v>518</v>
      </c>
      <c r="B521">
        <v>4607</v>
      </c>
      <c r="C521">
        <v>1959</v>
      </c>
      <c r="D521" s="1" t="s">
        <v>10</v>
      </c>
      <c r="E521" s="1" t="s">
        <v>12</v>
      </c>
      <c r="F521">
        <v>71367</v>
      </c>
      <c r="G521">
        <v>0</v>
      </c>
      <c r="H521" s="2">
        <v>0</v>
      </c>
      <c r="I521" s="2">
        <v>41509</v>
      </c>
      <c r="J521">
        <v>24</v>
      </c>
      <c r="K521">
        <f>VLOOKUP(B521,purchase_dataset!$B$2:$F$2241,2,FALSE)</f>
        <v>23</v>
      </c>
      <c r="L521">
        <f>VLOOKUP(B521,purchase_dataset!$B$2:$F$2241,3,FALSE)</f>
        <v>21</v>
      </c>
      <c r="M521">
        <f>VLOOKUP(B521,purchase_dataset!$B$2:$F$2241,3,FALSE)</f>
        <v>21</v>
      </c>
      <c r="N521">
        <f>VLOOKUP(B521,purchase_dataset!$B$2:$F$2241,5,FALSE)</f>
        <v>7</v>
      </c>
      <c r="O521" s="5">
        <v>67</v>
      </c>
      <c r="P521" s="4" t="str">
        <f t="shared" si="16"/>
        <v>&gt;50</v>
      </c>
      <c r="Q521" s="4">
        <f>M521+N521</f>
        <v>28</v>
      </c>
      <c r="U521" s="28" t="str" cm="1">
        <f t="array" ref="U521">_xlfn.IFS(F521&lt;30000,"30k",F521&lt;=50000,"30k-50k",F521&lt;=75000,"50k-75k",F521&lt;=100000,"75k-100k",F521&gt;100000,"100k")</f>
        <v>50k-75k</v>
      </c>
      <c r="W521" s="1">
        <f t="shared" si="17"/>
        <v>13</v>
      </c>
    </row>
    <row r="522" spans="1:23" x14ac:dyDescent="0.35">
      <c r="A522">
        <v>519</v>
      </c>
      <c r="B522">
        <v>3711</v>
      </c>
      <c r="C522">
        <v>1944</v>
      </c>
      <c r="D522" s="1" t="s">
        <v>15</v>
      </c>
      <c r="E522" s="1" t="s">
        <v>14</v>
      </c>
      <c r="F522">
        <v>80184</v>
      </c>
      <c r="G522">
        <v>0</v>
      </c>
      <c r="H522" s="2">
        <v>0</v>
      </c>
      <c r="I522" s="2">
        <v>41699</v>
      </c>
      <c r="J522">
        <v>19</v>
      </c>
      <c r="K522">
        <f>VLOOKUP(B522,purchase_dataset!$B$2:$F$2241,2,FALSE)</f>
        <v>134</v>
      </c>
      <c r="L522">
        <f>VLOOKUP(B522,purchase_dataset!$B$2:$F$2241,3,FALSE)</f>
        <v>38</v>
      </c>
      <c r="M522">
        <f>VLOOKUP(B522,purchase_dataset!$B$2:$F$2241,3,FALSE)</f>
        <v>38</v>
      </c>
      <c r="N522">
        <f>VLOOKUP(B522,purchase_dataset!$B$2:$F$2241,5,FALSE)</f>
        <v>10</v>
      </c>
      <c r="O522" s="5">
        <v>82</v>
      </c>
      <c r="P522" s="4" t="str">
        <f t="shared" si="16"/>
        <v>&gt;50</v>
      </c>
      <c r="Q522" s="4">
        <f>M522+N522</f>
        <v>48</v>
      </c>
      <c r="U522" s="28" t="str" cm="1">
        <f t="array" ref="U522">_xlfn.IFS(F522&lt;30000,"30k",F522&lt;=50000,"30k-50k",F522&lt;=75000,"50k-75k",F522&lt;=100000,"75k-100k",F522&gt;100000,"100k")</f>
        <v>75k-100k</v>
      </c>
      <c r="W522" s="1">
        <f t="shared" si="17"/>
        <v>12</v>
      </c>
    </row>
    <row r="523" spans="1:23" x14ac:dyDescent="0.35">
      <c r="A523">
        <v>520</v>
      </c>
      <c r="B523">
        <v>3696</v>
      </c>
      <c r="C523">
        <v>1965</v>
      </c>
      <c r="D523" s="1" t="s">
        <v>10</v>
      </c>
      <c r="E523" s="1" t="s">
        <v>16</v>
      </c>
      <c r="F523">
        <v>30630</v>
      </c>
      <c r="G523">
        <v>1</v>
      </c>
      <c r="H523" s="2">
        <v>1</v>
      </c>
      <c r="I523" s="2">
        <v>41666</v>
      </c>
      <c r="J523">
        <v>67</v>
      </c>
      <c r="K523">
        <f>VLOOKUP(B523,purchase_dataset!$B$2:$F$2241,2,FALSE)</f>
        <v>1</v>
      </c>
      <c r="L523">
        <f>VLOOKUP(B523,purchase_dataset!$B$2:$F$2241,3,FALSE)</f>
        <v>0</v>
      </c>
      <c r="M523">
        <f>VLOOKUP(B523,purchase_dataset!$B$2:$F$2241,3,FALSE)</f>
        <v>0</v>
      </c>
      <c r="N523">
        <f>VLOOKUP(B523,purchase_dataset!$B$2:$F$2241,5,FALSE)</f>
        <v>3</v>
      </c>
      <c r="O523" s="5">
        <v>61</v>
      </c>
      <c r="P523" s="4" t="str">
        <f t="shared" si="16"/>
        <v>&gt;50</v>
      </c>
      <c r="Q523" s="4">
        <f>M523+N523</f>
        <v>3</v>
      </c>
      <c r="U523" s="28" t="str" cm="1">
        <f t="array" ref="U523">_xlfn.IFS(F523&lt;30000,"30k",F523&lt;=50000,"30k-50k",F523&lt;=75000,"50k-75k",F523&lt;=100000,"75k-100k",F523&gt;100000,"100k")</f>
        <v>30k-50k</v>
      </c>
      <c r="W523" s="1">
        <f t="shared" si="17"/>
        <v>12</v>
      </c>
    </row>
    <row r="524" spans="1:23" x14ac:dyDescent="0.35">
      <c r="A524">
        <v>521</v>
      </c>
      <c r="B524">
        <v>2532</v>
      </c>
      <c r="C524">
        <v>1987</v>
      </c>
      <c r="D524" s="1" t="s">
        <v>15</v>
      </c>
      <c r="E524" s="1" t="s">
        <v>11</v>
      </c>
      <c r="F524">
        <v>73454</v>
      </c>
      <c r="G524">
        <v>0</v>
      </c>
      <c r="H524" s="2">
        <v>0</v>
      </c>
      <c r="I524" s="2">
        <v>41699</v>
      </c>
      <c r="J524">
        <v>95</v>
      </c>
      <c r="K524">
        <f>VLOOKUP(B524,purchase_dataset!$B$2:$F$2241,2,FALSE)</f>
        <v>73</v>
      </c>
      <c r="L524">
        <f>VLOOKUP(B524,purchase_dataset!$B$2:$F$2241,3,FALSE)</f>
        <v>14</v>
      </c>
      <c r="M524">
        <f>VLOOKUP(B524,purchase_dataset!$B$2:$F$2241,3,FALSE)</f>
        <v>14</v>
      </c>
      <c r="N524">
        <f>VLOOKUP(B524,purchase_dataset!$B$2:$F$2241,5,FALSE)</f>
        <v>6</v>
      </c>
      <c r="O524" s="5">
        <v>39</v>
      </c>
      <c r="P524" s="4" t="str">
        <f t="shared" si="16"/>
        <v>30-50</v>
      </c>
      <c r="Q524" s="4">
        <f>M524+N524</f>
        <v>20</v>
      </c>
      <c r="U524" s="28" t="str" cm="1">
        <f t="array" ref="U524">_xlfn.IFS(F524&lt;30000,"30k",F524&lt;=50000,"30k-50k",F524&lt;=75000,"50k-75k",F524&lt;=100000,"75k-100k",F524&gt;100000,"100k")</f>
        <v>50k-75k</v>
      </c>
      <c r="W524" s="1">
        <f t="shared" si="17"/>
        <v>12</v>
      </c>
    </row>
    <row r="525" spans="1:23" x14ac:dyDescent="0.35">
      <c r="A525">
        <v>522</v>
      </c>
      <c r="B525">
        <v>9214</v>
      </c>
      <c r="C525">
        <v>1991</v>
      </c>
      <c r="D525" s="1" t="s">
        <v>10</v>
      </c>
      <c r="E525" s="1" t="s">
        <v>14</v>
      </c>
      <c r="F525">
        <v>42691</v>
      </c>
      <c r="G525">
        <v>0</v>
      </c>
      <c r="H525" s="2">
        <v>0</v>
      </c>
      <c r="I525" s="2">
        <v>41502</v>
      </c>
      <c r="J525">
        <v>48</v>
      </c>
      <c r="K525">
        <f>VLOOKUP(B525,purchase_dataset!$B$2:$F$2241,2,FALSE)</f>
        <v>2</v>
      </c>
      <c r="L525">
        <f>VLOOKUP(B525,purchase_dataset!$B$2:$F$2241,3,FALSE)</f>
        <v>17</v>
      </c>
      <c r="M525">
        <f>VLOOKUP(B525,purchase_dataset!$B$2:$F$2241,3,FALSE)</f>
        <v>17</v>
      </c>
      <c r="N525">
        <f>VLOOKUP(B525,purchase_dataset!$B$2:$F$2241,5,FALSE)</f>
        <v>6</v>
      </c>
      <c r="O525" s="5">
        <v>35</v>
      </c>
      <c r="P525" s="4" t="str">
        <f t="shared" si="16"/>
        <v>30-50</v>
      </c>
      <c r="Q525" s="4">
        <f>M525+N525</f>
        <v>23</v>
      </c>
      <c r="U525" s="28" t="str" cm="1">
        <f t="array" ref="U525">_xlfn.IFS(F525&lt;30000,"30k",F525&lt;=50000,"30k-50k",F525&lt;=75000,"50k-75k",F525&lt;=100000,"75k-100k",F525&gt;100000,"100k")</f>
        <v>30k-50k</v>
      </c>
      <c r="W525" s="1">
        <f t="shared" si="17"/>
        <v>13</v>
      </c>
    </row>
    <row r="526" spans="1:23" x14ac:dyDescent="0.35">
      <c r="A526">
        <v>523</v>
      </c>
      <c r="B526">
        <v>4943</v>
      </c>
      <c r="C526">
        <v>1953</v>
      </c>
      <c r="D526" s="1" t="s">
        <v>10</v>
      </c>
      <c r="E526" s="1" t="s">
        <v>14</v>
      </c>
      <c r="F526">
        <v>70503</v>
      </c>
      <c r="G526">
        <v>0</v>
      </c>
      <c r="H526" s="2">
        <v>0</v>
      </c>
      <c r="I526" s="2">
        <v>41182</v>
      </c>
      <c r="J526">
        <v>73</v>
      </c>
      <c r="K526">
        <f>VLOOKUP(B526,purchase_dataset!$B$2:$F$2241,2,FALSE)</f>
        <v>33</v>
      </c>
      <c r="L526">
        <f>VLOOKUP(B526,purchase_dataset!$B$2:$F$2241,3,FALSE)</f>
        <v>33</v>
      </c>
      <c r="M526">
        <f>VLOOKUP(B526,purchase_dataset!$B$2:$F$2241,3,FALSE)</f>
        <v>33</v>
      </c>
      <c r="N526">
        <f>VLOOKUP(B526,purchase_dataset!$B$2:$F$2241,5,FALSE)</f>
        <v>9</v>
      </c>
      <c r="O526" s="5">
        <v>73</v>
      </c>
      <c r="P526" s="4" t="str">
        <f t="shared" si="16"/>
        <v>&gt;50</v>
      </c>
      <c r="Q526" s="4">
        <f>M526+N526</f>
        <v>42</v>
      </c>
      <c r="U526" s="28" t="str" cm="1">
        <f t="array" ref="U526">_xlfn.IFS(F526&lt;30000,"30k",F526&lt;=50000,"30k-50k",F526&lt;=75000,"50k-75k",F526&lt;=100000,"75k-100k",F526&gt;100000,"100k")</f>
        <v>50k-75k</v>
      </c>
      <c r="W526" s="1">
        <f t="shared" si="17"/>
        <v>14</v>
      </c>
    </row>
    <row r="527" spans="1:23" x14ac:dyDescent="0.35">
      <c r="A527">
        <v>524</v>
      </c>
      <c r="B527">
        <v>35</v>
      </c>
      <c r="C527">
        <v>1987</v>
      </c>
      <c r="D527" s="1" t="s">
        <v>10</v>
      </c>
      <c r="E527" s="1" t="s">
        <v>14</v>
      </c>
      <c r="F527">
        <v>25545</v>
      </c>
      <c r="G527">
        <v>1</v>
      </c>
      <c r="H527" s="2">
        <v>0</v>
      </c>
      <c r="I527" s="2">
        <v>41160</v>
      </c>
      <c r="J527">
        <v>35</v>
      </c>
      <c r="K527">
        <f>VLOOKUP(B527,purchase_dataset!$B$2:$F$2241,2,FALSE)</f>
        <v>1</v>
      </c>
      <c r="L527">
        <f>VLOOKUP(B527,purchase_dataset!$B$2:$F$2241,3,FALSE)</f>
        <v>12</v>
      </c>
      <c r="M527">
        <f>VLOOKUP(B527,purchase_dataset!$B$2:$F$2241,3,FALSE)</f>
        <v>12</v>
      </c>
      <c r="N527">
        <f>VLOOKUP(B527,purchase_dataset!$B$2:$F$2241,5,FALSE)</f>
        <v>3</v>
      </c>
      <c r="O527" s="5">
        <v>39</v>
      </c>
      <c r="P527" s="4" t="str">
        <f t="shared" si="16"/>
        <v>30-50</v>
      </c>
      <c r="Q527" s="4">
        <f>M527+N527</f>
        <v>15</v>
      </c>
      <c r="U527" s="28" t="str" cm="1">
        <f t="array" ref="U527">_xlfn.IFS(F527&lt;30000,"30k",F527&lt;=50000,"30k-50k",F527&lt;=75000,"50k-75k",F527&lt;=100000,"75k-100k",F527&gt;100000,"100k")</f>
        <v>30k</v>
      </c>
      <c r="W527" s="1">
        <f t="shared" si="17"/>
        <v>14</v>
      </c>
    </row>
    <row r="528" spans="1:23" x14ac:dyDescent="0.35">
      <c r="A528">
        <v>525</v>
      </c>
      <c r="B528">
        <v>2258</v>
      </c>
      <c r="C528">
        <v>1986</v>
      </c>
      <c r="D528" s="1" t="s">
        <v>10</v>
      </c>
      <c r="E528" s="1" t="s">
        <v>14</v>
      </c>
      <c r="F528">
        <v>32880</v>
      </c>
      <c r="G528">
        <v>1</v>
      </c>
      <c r="H528" s="2">
        <v>0</v>
      </c>
      <c r="I528" s="2">
        <v>41247</v>
      </c>
      <c r="J528">
        <v>76</v>
      </c>
      <c r="K528">
        <f>VLOOKUP(B528,purchase_dataset!$B$2:$F$2241,2,FALSE)</f>
        <v>4</v>
      </c>
      <c r="L528">
        <f>VLOOKUP(B528,purchase_dataset!$B$2:$F$2241,3,FALSE)</f>
        <v>6</v>
      </c>
      <c r="M528">
        <f>VLOOKUP(B528,purchase_dataset!$B$2:$F$2241,3,FALSE)</f>
        <v>6</v>
      </c>
      <c r="N528">
        <f>VLOOKUP(B528,purchase_dataset!$B$2:$F$2241,5,FALSE)</f>
        <v>3</v>
      </c>
      <c r="O528" s="5">
        <v>40</v>
      </c>
      <c r="P528" s="4" t="str">
        <f t="shared" si="16"/>
        <v>30-50</v>
      </c>
      <c r="Q528" s="4">
        <f>M528+N528</f>
        <v>9</v>
      </c>
      <c r="U528" s="28" t="str" cm="1">
        <f t="array" ref="U528">_xlfn.IFS(F528&lt;30000,"30k",F528&lt;=50000,"30k-50k",F528&lt;=75000,"50k-75k",F528&lt;=100000,"75k-100k",F528&gt;100000,"100k")</f>
        <v>30k-50k</v>
      </c>
      <c r="W528" s="1">
        <f t="shared" si="17"/>
        <v>14</v>
      </c>
    </row>
    <row r="529" spans="1:23" x14ac:dyDescent="0.35">
      <c r="A529">
        <v>526</v>
      </c>
      <c r="B529">
        <v>4322</v>
      </c>
      <c r="C529">
        <v>1958</v>
      </c>
      <c r="D529" s="1" t="s">
        <v>13</v>
      </c>
      <c r="E529" s="1" t="s">
        <v>12</v>
      </c>
      <c r="F529">
        <v>77863</v>
      </c>
      <c r="G529">
        <v>0</v>
      </c>
      <c r="H529" s="2">
        <v>0</v>
      </c>
      <c r="I529" s="2">
        <v>41605</v>
      </c>
      <c r="J529">
        <v>20</v>
      </c>
      <c r="K529">
        <f>VLOOKUP(B529,purchase_dataset!$B$2:$F$2241,2,FALSE)</f>
        <v>38</v>
      </c>
      <c r="L529">
        <f>VLOOKUP(B529,purchase_dataset!$B$2:$F$2241,3,FALSE)</f>
        <v>25</v>
      </c>
      <c r="M529">
        <f>VLOOKUP(B529,purchase_dataset!$B$2:$F$2241,3,FALSE)</f>
        <v>25</v>
      </c>
      <c r="N529">
        <f>VLOOKUP(B529,purchase_dataset!$B$2:$F$2241,5,FALSE)</f>
        <v>10</v>
      </c>
      <c r="O529" s="5">
        <v>68</v>
      </c>
      <c r="P529" s="4" t="str">
        <f t="shared" si="16"/>
        <v>&gt;50</v>
      </c>
      <c r="Q529" s="4">
        <f>M529+N529</f>
        <v>35</v>
      </c>
      <c r="U529" s="28" t="str" cm="1">
        <f t="array" ref="U529">_xlfn.IFS(F529&lt;30000,"30k",F529&lt;=50000,"30k-50k",F529&lt;=75000,"50k-75k",F529&lt;=100000,"75k-100k",F529&gt;100000,"100k")</f>
        <v>75k-100k</v>
      </c>
      <c r="W529" s="1">
        <f t="shared" si="17"/>
        <v>13</v>
      </c>
    </row>
    <row r="530" spans="1:23" x14ac:dyDescent="0.35">
      <c r="A530">
        <v>527</v>
      </c>
      <c r="B530">
        <v>713</v>
      </c>
      <c r="C530">
        <v>1977</v>
      </c>
      <c r="D530" s="1" t="s">
        <v>15</v>
      </c>
      <c r="E530" s="1" t="s">
        <v>14</v>
      </c>
      <c r="F530">
        <v>50353</v>
      </c>
      <c r="G530">
        <v>0</v>
      </c>
      <c r="H530" s="2">
        <v>0</v>
      </c>
      <c r="I530" s="2">
        <v>41798</v>
      </c>
      <c r="J530">
        <v>72</v>
      </c>
      <c r="K530">
        <f>VLOOKUP(B530,purchase_dataset!$B$2:$F$2241,2,FALSE)</f>
        <v>15</v>
      </c>
      <c r="L530">
        <f>VLOOKUP(B530,purchase_dataset!$B$2:$F$2241,3,FALSE)</f>
        <v>31</v>
      </c>
      <c r="M530">
        <f>VLOOKUP(B530,purchase_dataset!$B$2:$F$2241,3,FALSE)</f>
        <v>31</v>
      </c>
      <c r="N530">
        <f>VLOOKUP(B530,purchase_dataset!$B$2:$F$2241,5,FALSE)</f>
        <v>6</v>
      </c>
      <c r="O530" s="5">
        <v>49</v>
      </c>
      <c r="P530" s="4" t="str">
        <f t="shared" si="16"/>
        <v>30-50</v>
      </c>
      <c r="Q530" s="4">
        <f>M530+N530</f>
        <v>37</v>
      </c>
      <c r="U530" s="28" t="str" cm="1">
        <f t="array" ref="U530">_xlfn.IFS(F530&lt;30000,"30k",F530&lt;=50000,"30k-50k",F530&lt;=75000,"50k-75k",F530&lt;=100000,"75k-100k",F530&gt;100000,"100k")</f>
        <v>50k-75k</v>
      </c>
      <c r="W530" s="1">
        <f t="shared" si="17"/>
        <v>12</v>
      </c>
    </row>
    <row r="531" spans="1:23" x14ac:dyDescent="0.35">
      <c r="A531">
        <v>528</v>
      </c>
      <c r="B531">
        <v>4702</v>
      </c>
      <c r="C531">
        <v>1964</v>
      </c>
      <c r="D531" s="1" t="s">
        <v>10</v>
      </c>
      <c r="E531" s="1" t="s">
        <v>11</v>
      </c>
      <c r="F531">
        <v>61839</v>
      </c>
      <c r="G531">
        <v>0</v>
      </c>
      <c r="H531" s="2">
        <v>0</v>
      </c>
      <c r="I531" s="2">
        <v>41133</v>
      </c>
      <c r="J531">
        <v>20</v>
      </c>
      <c r="K531">
        <f>VLOOKUP(B531,purchase_dataset!$B$2:$F$2241,2,FALSE)</f>
        <v>155</v>
      </c>
      <c r="L531">
        <f>VLOOKUP(B531,purchase_dataset!$B$2:$F$2241,3,FALSE)</f>
        <v>17</v>
      </c>
      <c r="M531">
        <f>VLOOKUP(B531,purchase_dataset!$B$2:$F$2241,3,FALSE)</f>
        <v>17</v>
      </c>
      <c r="N531">
        <f>VLOOKUP(B531,purchase_dataset!$B$2:$F$2241,5,FALSE)</f>
        <v>4</v>
      </c>
      <c r="O531" s="5">
        <v>62</v>
      </c>
      <c r="P531" s="4" t="str">
        <f t="shared" si="16"/>
        <v>&gt;50</v>
      </c>
      <c r="Q531" s="4">
        <f>M531+N531</f>
        <v>21</v>
      </c>
      <c r="U531" s="28" t="str" cm="1">
        <f t="array" ref="U531">_xlfn.IFS(F531&lt;30000,"30k",F531&lt;=50000,"30k-50k",F531&lt;=75000,"50k-75k",F531&lt;=100000,"75k-100k",F531&gt;100000,"100k")</f>
        <v>50k-75k</v>
      </c>
      <c r="W531" s="1">
        <f t="shared" si="17"/>
        <v>14</v>
      </c>
    </row>
    <row r="532" spans="1:23" x14ac:dyDescent="0.35">
      <c r="A532">
        <v>529</v>
      </c>
      <c r="B532">
        <v>3281</v>
      </c>
      <c r="C532">
        <v>1960</v>
      </c>
      <c r="D532" s="1" t="s">
        <v>13</v>
      </c>
      <c r="E532" s="1" t="s">
        <v>14</v>
      </c>
      <c r="F532">
        <v>49154</v>
      </c>
      <c r="G532">
        <v>1</v>
      </c>
      <c r="H532" s="2">
        <v>1</v>
      </c>
      <c r="I532" s="2">
        <v>41581</v>
      </c>
      <c r="J532">
        <v>69</v>
      </c>
      <c r="K532">
        <f>VLOOKUP(B532,purchase_dataset!$B$2:$F$2241,2,FALSE)</f>
        <v>10</v>
      </c>
      <c r="L532">
        <f>VLOOKUP(B532,purchase_dataset!$B$2:$F$2241,3,FALSE)</f>
        <v>27</v>
      </c>
      <c r="M532">
        <f>VLOOKUP(B532,purchase_dataset!$B$2:$F$2241,3,FALSE)</f>
        <v>27</v>
      </c>
      <c r="N532">
        <f>VLOOKUP(B532,purchase_dataset!$B$2:$F$2241,5,FALSE)</f>
        <v>8</v>
      </c>
      <c r="O532" s="5">
        <v>66</v>
      </c>
      <c r="P532" s="4" t="str">
        <f t="shared" si="16"/>
        <v>&gt;50</v>
      </c>
      <c r="Q532" s="4">
        <f>M532+N532</f>
        <v>35</v>
      </c>
      <c r="U532" s="28" t="str" cm="1">
        <f t="array" ref="U532">_xlfn.IFS(F532&lt;30000,"30k",F532&lt;=50000,"30k-50k",F532&lt;=75000,"50k-75k",F532&lt;=100000,"75k-100k",F532&gt;100000,"100k")</f>
        <v>30k-50k</v>
      </c>
      <c r="W532" s="1">
        <f t="shared" si="17"/>
        <v>13</v>
      </c>
    </row>
    <row r="533" spans="1:23" x14ac:dyDescent="0.35">
      <c r="A533">
        <v>530</v>
      </c>
      <c r="B533">
        <v>702</v>
      </c>
      <c r="C533">
        <v>1975</v>
      </c>
      <c r="D533" s="1" t="s">
        <v>18</v>
      </c>
      <c r="E533" s="1" t="s">
        <v>19</v>
      </c>
      <c r="F533">
        <v>47682</v>
      </c>
      <c r="G533">
        <v>0</v>
      </c>
      <c r="H533" s="2">
        <v>1</v>
      </c>
      <c r="I533" s="2">
        <v>41320</v>
      </c>
      <c r="J533">
        <v>80</v>
      </c>
      <c r="K533">
        <f>VLOOKUP(B533,purchase_dataset!$B$2:$F$2241,2,FALSE)</f>
        <v>61</v>
      </c>
      <c r="L533">
        <f>VLOOKUP(B533,purchase_dataset!$B$2:$F$2241,3,FALSE)</f>
        <v>57</v>
      </c>
      <c r="M533">
        <f>VLOOKUP(B533,purchase_dataset!$B$2:$F$2241,3,FALSE)</f>
        <v>57</v>
      </c>
      <c r="N533">
        <f>VLOOKUP(B533,purchase_dataset!$B$2:$F$2241,5,FALSE)</f>
        <v>8</v>
      </c>
      <c r="O533" s="5">
        <v>51</v>
      </c>
      <c r="P533" s="4" t="str">
        <f t="shared" si="16"/>
        <v>&gt;50</v>
      </c>
      <c r="Q533" s="4">
        <f>M533+N533</f>
        <v>65</v>
      </c>
      <c r="U533" s="28" t="str" cm="1">
        <f t="array" ref="U533">_xlfn.IFS(F533&lt;30000,"30k",F533&lt;=50000,"30k-50k",F533&lt;=75000,"50k-75k",F533&lt;=100000,"75k-100k",F533&gt;100000,"100k")</f>
        <v>30k-50k</v>
      </c>
      <c r="W533" s="1">
        <f t="shared" si="17"/>
        <v>13</v>
      </c>
    </row>
    <row r="534" spans="1:23" x14ac:dyDescent="0.35">
      <c r="A534">
        <v>531</v>
      </c>
      <c r="B534">
        <v>2004</v>
      </c>
      <c r="C534">
        <v>1969</v>
      </c>
      <c r="D534" s="1" t="s">
        <v>10</v>
      </c>
      <c r="E534" s="1" t="s">
        <v>11</v>
      </c>
      <c r="F534">
        <v>72679</v>
      </c>
      <c r="G534">
        <v>0</v>
      </c>
      <c r="H534" s="2">
        <v>1</v>
      </c>
      <c r="I534" s="2">
        <v>41535</v>
      </c>
      <c r="J534">
        <v>65</v>
      </c>
      <c r="K534">
        <f>VLOOKUP(B534,purchase_dataset!$B$2:$F$2241,2,FALSE)</f>
        <v>54</v>
      </c>
      <c r="L534">
        <f>VLOOKUP(B534,purchase_dataset!$B$2:$F$2241,3,FALSE)</f>
        <v>54</v>
      </c>
      <c r="M534">
        <f>VLOOKUP(B534,purchase_dataset!$B$2:$F$2241,3,FALSE)</f>
        <v>54</v>
      </c>
      <c r="N534">
        <f>VLOOKUP(B534,purchase_dataset!$B$2:$F$2241,5,FALSE)</f>
        <v>5</v>
      </c>
      <c r="O534" s="5">
        <v>57</v>
      </c>
      <c r="P534" s="4" t="str">
        <f t="shared" si="16"/>
        <v>&gt;50</v>
      </c>
      <c r="Q534" s="4">
        <f>M534+N534</f>
        <v>59</v>
      </c>
      <c r="U534" s="28" t="str" cm="1">
        <f t="array" ref="U534">_xlfn.IFS(F534&lt;30000,"30k",F534&lt;=50000,"30k-50k",F534&lt;=75000,"50k-75k",F534&lt;=100000,"75k-100k",F534&gt;100000,"100k")</f>
        <v>50k-75k</v>
      </c>
      <c r="W534" s="1">
        <f t="shared" si="17"/>
        <v>13</v>
      </c>
    </row>
    <row r="535" spans="1:23" x14ac:dyDescent="0.35">
      <c r="A535">
        <v>532</v>
      </c>
      <c r="B535">
        <v>4769</v>
      </c>
      <c r="C535">
        <v>1977</v>
      </c>
      <c r="D535" s="1" t="s">
        <v>15</v>
      </c>
      <c r="E535" s="1" t="s">
        <v>12</v>
      </c>
      <c r="F535">
        <v>57954</v>
      </c>
      <c r="G535">
        <v>1</v>
      </c>
      <c r="H535" s="2">
        <v>1</v>
      </c>
      <c r="I535" s="2">
        <v>41808</v>
      </c>
      <c r="J535">
        <v>52</v>
      </c>
      <c r="K535">
        <f>VLOOKUP(B535,purchase_dataset!$B$2:$F$2241,2,FALSE)</f>
        <v>4</v>
      </c>
      <c r="L535">
        <f>VLOOKUP(B535,purchase_dataset!$B$2:$F$2241,3,FALSE)</f>
        <v>0</v>
      </c>
      <c r="M535">
        <f>VLOOKUP(B535,purchase_dataset!$B$2:$F$2241,3,FALSE)</f>
        <v>0</v>
      </c>
      <c r="N535">
        <f>VLOOKUP(B535,purchase_dataset!$B$2:$F$2241,5,FALSE)</f>
        <v>6</v>
      </c>
      <c r="O535" s="5">
        <v>49</v>
      </c>
      <c r="P535" s="4" t="str">
        <f t="shared" si="16"/>
        <v>30-50</v>
      </c>
      <c r="Q535" s="4">
        <f>M535+N535</f>
        <v>6</v>
      </c>
      <c r="U535" s="28" t="str" cm="1">
        <f t="array" ref="U535">_xlfn.IFS(F535&lt;30000,"30k",F535&lt;=50000,"30k-50k",F535&lt;=75000,"50k-75k",F535&lt;=100000,"75k-100k",F535&gt;100000,"100k")</f>
        <v>50k-75k</v>
      </c>
      <c r="W535" s="1">
        <f t="shared" si="17"/>
        <v>12</v>
      </c>
    </row>
    <row r="536" spans="1:23" x14ac:dyDescent="0.35">
      <c r="A536">
        <v>533</v>
      </c>
      <c r="B536">
        <v>4437</v>
      </c>
      <c r="C536">
        <v>1962</v>
      </c>
      <c r="D536" s="1" t="s">
        <v>10</v>
      </c>
      <c r="E536" s="1" t="s">
        <v>14</v>
      </c>
      <c r="F536">
        <v>65316</v>
      </c>
      <c r="G536">
        <v>1</v>
      </c>
      <c r="H536" s="2">
        <v>1</v>
      </c>
      <c r="I536" s="2">
        <v>41388</v>
      </c>
      <c r="J536">
        <v>65</v>
      </c>
      <c r="K536">
        <f>VLOOKUP(B536,purchase_dataset!$B$2:$F$2241,2,FALSE)</f>
        <v>6</v>
      </c>
      <c r="L536">
        <f>VLOOKUP(B536,purchase_dataset!$B$2:$F$2241,3,FALSE)</f>
        <v>9</v>
      </c>
      <c r="M536">
        <f>VLOOKUP(B536,purchase_dataset!$B$2:$F$2241,3,FALSE)</f>
        <v>9</v>
      </c>
      <c r="N536">
        <f>VLOOKUP(B536,purchase_dataset!$B$2:$F$2241,5,FALSE)</f>
        <v>5</v>
      </c>
      <c r="O536" s="5">
        <v>64</v>
      </c>
      <c r="P536" s="4" t="str">
        <f t="shared" si="16"/>
        <v>&gt;50</v>
      </c>
      <c r="Q536" s="4">
        <f>M536+N536</f>
        <v>14</v>
      </c>
      <c r="U536" s="28" t="str" cm="1">
        <f t="array" ref="U536">_xlfn.IFS(F536&lt;30000,"30k",F536&lt;=50000,"30k-50k",F536&lt;=75000,"50k-75k",F536&lt;=100000,"75k-100k",F536&gt;100000,"100k")</f>
        <v>50k-75k</v>
      </c>
      <c r="W536" s="1">
        <f t="shared" si="17"/>
        <v>13</v>
      </c>
    </row>
    <row r="537" spans="1:23" x14ac:dyDescent="0.35">
      <c r="A537">
        <v>534</v>
      </c>
      <c r="B537">
        <v>8724</v>
      </c>
      <c r="C537">
        <v>1982</v>
      </c>
      <c r="D537" s="1" t="s">
        <v>10</v>
      </c>
      <c r="E537" s="1" t="s">
        <v>11</v>
      </c>
      <c r="F537">
        <v>28567</v>
      </c>
      <c r="G537">
        <v>1</v>
      </c>
      <c r="H537" s="2">
        <v>0</v>
      </c>
      <c r="I537" s="2">
        <v>41442</v>
      </c>
      <c r="J537">
        <v>57</v>
      </c>
      <c r="K537">
        <f>VLOOKUP(B537,purchase_dataset!$B$2:$F$2241,2,FALSE)</f>
        <v>3</v>
      </c>
      <c r="L537">
        <f>VLOOKUP(B537,purchase_dataset!$B$2:$F$2241,3,FALSE)</f>
        <v>2</v>
      </c>
      <c r="M537">
        <f>VLOOKUP(B537,purchase_dataset!$B$2:$F$2241,3,FALSE)</f>
        <v>2</v>
      </c>
      <c r="N537">
        <f>VLOOKUP(B537,purchase_dataset!$B$2:$F$2241,5,FALSE)</f>
        <v>3</v>
      </c>
      <c r="O537" s="5">
        <v>44</v>
      </c>
      <c r="P537" s="4" t="str">
        <f t="shared" si="16"/>
        <v>30-50</v>
      </c>
      <c r="Q537" s="4">
        <f>M537+N537</f>
        <v>5</v>
      </c>
      <c r="U537" s="28" t="str" cm="1">
        <f t="array" ref="U537">_xlfn.IFS(F537&lt;30000,"30k",F537&lt;=50000,"30k-50k",F537&lt;=75000,"50k-75k",F537&lt;=100000,"75k-100k",F537&gt;100000,"100k")</f>
        <v>30k</v>
      </c>
      <c r="W537" s="1">
        <f t="shared" si="17"/>
        <v>13</v>
      </c>
    </row>
    <row r="538" spans="1:23" x14ac:dyDescent="0.35">
      <c r="A538">
        <v>535</v>
      </c>
      <c r="B538">
        <v>10741</v>
      </c>
      <c r="C538">
        <v>1951</v>
      </c>
      <c r="D538" s="1" t="s">
        <v>15</v>
      </c>
      <c r="E538" s="1" t="s">
        <v>12</v>
      </c>
      <c r="F538">
        <v>47352</v>
      </c>
      <c r="G538">
        <v>0</v>
      </c>
      <c r="H538" s="2">
        <v>1</v>
      </c>
      <c r="I538" s="2">
        <v>41375</v>
      </c>
      <c r="J538">
        <v>70</v>
      </c>
      <c r="K538">
        <f>VLOOKUP(B538,purchase_dataset!$B$2:$F$2241,2,FALSE)</f>
        <v>12</v>
      </c>
      <c r="L538">
        <f>VLOOKUP(B538,purchase_dataset!$B$2:$F$2241,3,FALSE)</f>
        <v>0</v>
      </c>
      <c r="M538">
        <f>VLOOKUP(B538,purchase_dataset!$B$2:$F$2241,3,FALSE)</f>
        <v>0</v>
      </c>
      <c r="N538">
        <f>VLOOKUP(B538,purchase_dataset!$B$2:$F$2241,5,FALSE)</f>
        <v>5</v>
      </c>
      <c r="O538" s="5">
        <v>75</v>
      </c>
      <c r="P538" s="4" t="str">
        <f t="shared" si="16"/>
        <v>&gt;50</v>
      </c>
      <c r="Q538" s="4">
        <f>M538+N538</f>
        <v>5</v>
      </c>
      <c r="U538" s="28" t="str" cm="1">
        <f t="array" ref="U538">_xlfn.IFS(F538&lt;30000,"30k",F538&lt;=50000,"30k-50k",F538&lt;=75000,"50k-75k",F538&lt;=100000,"75k-100k",F538&gt;100000,"100k")</f>
        <v>30k-50k</v>
      </c>
      <c r="W538" s="1">
        <f t="shared" si="17"/>
        <v>13</v>
      </c>
    </row>
    <row r="539" spans="1:23" x14ac:dyDescent="0.35">
      <c r="A539">
        <v>536</v>
      </c>
      <c r="B539">
        <v>1991</v>
      </c>
      <c r="C539">
        <v>1967</v>
      </c>
      <c r="D539" s="1" t="s">
        <v>10</v>
      </c>
      <c r="E539" s="1" t="s">
        <v>12</v>
      </c>
      <c r="F539">
        <v>44931</v>
      </c>
      <c r="G539">
        <v>0</v>
      </c>
      <c r="H539" s="2">
        <v>1</v>
      </c>
      <c r="I539" s="2">
        <v>41657</v>
      </c>
      <c r="J539">
        <v>0</v>
      </c>
      <c r="K539">
        <f>VLOOKUP(B539,purchase_dataset!$B$2:$F$2241,2,FALSE)</f>
        <v>0</v>
      </c>
      <c r="L539">
        <f>VLOOKUP(B539,purchase_dataset!$B$2:$F$2241,3,FALSE)</f>
        <v>0</v>
      </c>
      <c r="M539">
        <f>VLOOKUP(B539,purchase_dataset!$B$2:$F$2241,3,FALSE)</f>
        <v>0</v>
      </c>
      <c r="N539">
        <f>VLOOKUP(B539,purchase_dataset!$B$2:$F$2241,5,FALSE)</f>
        <v>3</v>
      </c>
      <c r="O539" s="5">
        <v>59</v>
      </c>
      <c r="P539" s="4" t="str">
        <f t="shared" si="16"/>
        <v>&gt;50</v>
      </c>
      <c r="Q539" s="4">
        <f>M539+N539</f>
        <v>3</v>
      </c>
      <c r="U539" s="28" t="str" cm="1">
        <f t="array" ref="U539">_xlfn.IFS(F539&lt;30000,"30k",F539&lt;=50000,"30k-50k",F539&lt;=75000,"50k-75k",F539&lt;=100000,"75k-100k",F539&gt;100000,"100k")</f>
        <v>30k-50k</v>
      </c>
      <c r="W539" s="1">
        <f t="shared" si="17"/>
        <v>12</v>
      </c>
    </row>
    <row r="540" spans="1:23" x14ac:dyDescent="0.35">
      <c r="A540">
        <v>537</v>
      </c>
      <c r="B540">
        <v>6931</v>
      </c>
      <c r="C540">
        <v>1967</v>
      </c>
      <c r="D540" s="1" t="s">
        <v>10</v>
      </c>
      <c r="E540" s="1" t="s">
        <v>16</v>
      </c>
      <c r="F540">
        <v>76982</v>
      </c>
      <c r="G540">
        <v>0</v>
      </c>
      <c r="H540" s="2">
        <v>0</v>
      </c>
      <c r="I540" s="2">
        <v>41685</v>
      </c>
      <c r="J540">
        <v>19</v>
      </c>
      <c r="K540">
        <f>VLOOKUP(B540,purchase_dataset!$B$2:$F$2241,2,FALSE)</f>
        <v>151</v>
      </c>
      <c r="L540">
        <f>VLOOKUP(B540,purchase_dataset!$B$2:$F$2241,3,FALSE)</f>
        <v>60</v>
      </c>
      <c r="M540">
        <f>VLOOKUP(B540,purchase_dataset!$B$2:$F$2241,3,FALSE)</f>
        <v>60</v>
      </c>
      <c r="N540">
        <f>VLOOKUP(B540,purchase_dataset!$B$2:$F$2241,5,FALSE)</f>
        <v>4</v>
      </c>
      <c r="O540" s="5">
        <v>59</v>
      </c>
      <c r="P540" s="4" t="str">
        <f t="shared" si="16"/>
        <v>&gt;50</v>
      </c>
      <c r="Q540" s="4">
        <f>M540+N540</f>
        <v>64</v>
      </c>
      <c r="U540" s="28" t="str" cm="1">
        <f t="array" ref="U540">_xlfn.IFS(F540&lt;30000,"30k",F540&lt;=50000,"30k-50k",F540&lt;=75000,"50k-75k",F540&lt;=100000,"75k-100k",F540&gt;100000,"100k")</f>
        <v>75k-100k</v>
      </c>
      <c r="W540" s="1">
        <f t="shared" si="17"/>
        <v>12</v>
      </c>
    </row>
    <row r="541" spans="1:23" x14ac:dyDescent="0.35">
      <c r="A541">
        <v>538</v>
      </c>
      <c r="B541">
        <v>11096</v>
      </c>
      <c r="C541">
        <v>1952</v>
      </c>
      <c r="D541" s="1" t="s">
        <v>18</v>
      </c>
      <c r="E541" s="1" t="s">
        <v>12</v>
      </c>
      <c r="F541">
        <v>57247</v>
      </c>
      <c r="G541">
        <v>0</v>
      </c>
      <c r="H541" s="2">
        <v>1</v>
      </c>
      <c r="I541" s="2">
        <v>41494</v>
      </c>
      <c r="J541">
        <v>50</v>
      </c>
      <c r="K541">
        <f>VLOOKUP(B541,purchase_dataset!$B$2:$F$2241,2,FALSE)</f>
        <v>4</v>
      </c>
      <c r="L541">
        <f>VLOOKUP(B541,purchase_dataset!$B$2:$F$2241,3,FALSE)</f>
        <v>54</v>
      </c>
      <c r="M541">
        <f>VLOOKUP(B541,purchase_dataset!$B$2:$F$2241,3,FALSE)</f>
        <v>54</v>
      </c>
      <c r="N541">
        <f>VLOOKUP(B541,purchase_dataset!$B$2:$F$2241,5,FALSE)</f>
        <v>7</v>
      </c>
      <c r="O541" s="5">
        <v>74</v>
      </c>
      <c r="P541" s="4" t="str">
        <f t="shared" si="16"/>
        <v>&gt;50</v>
      </c>
      <c r="Q541" s="4">
        <f>M541+N541</f>
        <v>61</v>
      </c>
      <c r="U541" s="28" t="str" cm="1">
        <f t="array" ref="U541">_xlfn.IFS(F541&lt;30000,"30k",F541&lt;=50000,"30k-50k",F541&lt;=75000,"50k-75k",F541&lt;=100000,"75k-100k",F541&gt;100000,"100k")</f>
        <v>50k-75k</v>
      </c>
      <c r="W541" s="1">
        <f t="shared" si="17"/>
        <v>13</v>
      </c>
    </row>
    <row r="542" spans="1:23" x14ac:dyDescent="0.35">
      <c r="A542">
        <v>539</v>
      </c>
      <c r="B542">
        <v>304</v>
      </c>
      <c r="C542">
        <v>1981</v>
      </c>
      <c r="D542" s="1" t="s">
        <v>15</v>
      </c>
      <c r="E542" s="1" t="s">
        <v>11</v>
      </c>
      <c r="F542">
        <v>22944</v>
      </c>
      <c r="G542">
        <v>1</v>
      </c>
      <c r="H542" s="2">
        <v>0</v>
      </c>
      <c r="I542" s="2">
        <v>41631</v>
      </c>
      <c r="J542">
        <v>67</v>
      </c>
      <c r="K542">
        <f>VLOOKUP(B542,purchase_dataset!$B$2:$F$2241,2,FALSE)</f>
        <v>3</v>
      </c>
      <c r="L542">
        <f>VLOOKUP(B542,purchase_dataset!$B$2:$F$2241,3,FALSE)</f>
        <v>5</v>
      </c>
      <c r="M542">
        <f>VLOOKUP(B542,purchase_dataset!$B$2:$F$2241,3,FALSE)</f>
        <v>5</v>
      </c>
      <c r="N542">
        <f>VLOOKUP(B542,purchase_dataset!$B$2:$F$2241,5,FALSE)</f>
        <v>3</v>
      </c>
      <c r="O542" s="5">
        <v>45</v>
      </c>
      <c r="P542" s="4" t="str">
        <f t="shared" si="16"/>
        <v>30-50</v>
      </c>
      <c r="Q542" s="4">
        <f>M542+N542</f>
        <v>8</v>
      </c>
      <c r="U542" s="28" t="str" cm="1">
        <f t="array" ref="U542">_xlfn.IFS(F542&lt;30000,"30k",F542&lt;=50000,"30k-50k",F542&lt;=75000,"50k-75k",F542&lt;=100000,"75k-100k",F542&gt;100000,"100k")</f>
        <v>30k</v>
      </c>
      <c r="W542" s="1">
        <f t="shared" si="17"/>
        <v>13</v>
      </c>
    </row>
    <row r="543" spans="1:23" x14ac:dyDescent="0.35">
      <c r="A543">
        <v>540</v>
      </c>
      <c r="B543">
        <v>3665</v>
      </c>
      <c r="C543">
        <v>1977</v>
      </c>
      <c r="D543" s="1" t="s">
        <v>18</v>
      </c>
      <c r="E543" s="1" t="s">
        <v>12</v>
      </c>
      <c r="F543">
        <v>25315</v>
      </c>
      <c r="G543">
        <v>1</v>
      </c>
      <c r="H543" s="2">
        <v>0</v>
      </c>
      <c r="I543" s="2">
        <v>41585</v>
      </c>
      <c r="J543">
        <v>46</v>
      </c>
      <c r="K543">
        <f>VLOOKUP(B543,purchase_dataset!$B$2:$F$2241,2,FALSE)</f>
        <v>9</v>
      </c>
      <c r="L543">
        <f>VLOOKUP(B543,purchase_dataset!$B$2:$F$2241,3,FALSE)</f>
        <v>3</v>
      </c>
      <c r="M543">
        <f>VLOOKUP(B543,purchase_dataset!$B$2:$F$2241,3,FALSE)</f>
        <v>3</v>
      </c>
      <c r="N543">
        <f>VLOOKUP(B543,purchase_dataset!$B$2:$F$2241,5,FALSE)</f>
        <v>3</v>
      </c>
      <c r="O543" s="5">
        <v>49</v>
      </c>
      <c r="P543" s="4" t="str">
        <f t="shared" si="16"/>
        <v>30-50</v>
      </c>
      <c r="Q543" s="4">
        <f>M543+N543</f>
        <v>6</v>
      </c>
      <c r="U543" s="28" t="str" cm="1">
        <f t="array" ref="U543">_xlfn.IFS(F543&lt;30000,"30k",F543&lt;=50000,"30k-50k",F543&lt;=75000,"50k-75k",F543&lt;=100000,"75k-100k",F543&gt;100000,"100k")</f>
        <v>30k</v>
      </c>
      <c r="W543" s="1">
        <f t="shared" si="17"/>
        <v>13</v>
      </c>
    </row>
    <row r="544" spans="1:23" x14ac:dyDescent="0.35">
      <c r="A544">
        <v>541</v>
      </c>
      <c r="B544">
        <v>10591</v>
      </c>
      <c r="C544">
        <v>1969</v>
      </c>
      <c r="D544" s="1" t="s">
        <v>10</v>
      </c>
      <c r="E544" s="1" t="s">
        <v>19</v>
      </c>
      <c r="F544">
        <v>43638</v>
      </c>
      <c r="G544">
        <v>0</v>
      </c>
      <c r="H544" s="2">
        <v>1</v>
      </c>
      <c r="I544" s="2">
        <v>41127</v>
      </c>
      <c r="J544">
        <v>37</v>
      </c>
      <c r="K544">
        <f>VLOOKUP(B544,purchase_dataset!$B$2:$F$2241,2,FALSE)</f>
        <v>10</v>
      </c>
      <c r="L544">
        <f>VLOOKUP(B544,purchase_dataset!$B$2:$F$2241,3,FALSE)</f>
        <v>19</v>
      </c>
      <c r="M544">
        <f>VLOOKUP(B544,purchase_dataset!$B$2:$F$2241,3,FALSE)</f>
        <v>19</v>
      </c>
      <c r="N544">
        <f>VLOOKUP(B544,purchase_dataset!$B$2:$F$2241,5,FALSE)</f>
        <v>4</v>
      </c>
      <c r="O544" s="5">
        <v>57</v>
      </c>
      <c r="P544" s="4" t="str">
        <f t="shared" si="16"/>
        <v>&gt;50</v>
      </c>
      <c r="Q544" s="4">
        <f>M544+N544</f>
        <v>23</v>
      </c>
      <c r="U544" s="28" t="str" cm="1">
        <f t="array" ref="U544">_xlfn.IFS(F544&lt;30000,"30k",F544&lt;=50000,"30k-50k",F544&lt;=75000,"50k-75k",F544&lt;=100000,"75k-100k",F544&gt;100000,"100k")</f>
        <v>30k-50k</v>
      </c>
      <c r="W544" s="1">
        <f t="shared" si="17"/>
        <v>14</v>
      </c>
    </row>
    <row r="545" spans="1:23" x14ac:dyDescent="0.35">
      <c r="A545">
        <v>542</v>
      </c>
      <c r="B545">
        <v>5036</v>
      </c>
      <c r="C545">
        <v>1984</v>
      </c>
      <c r="D545" s="1" t="s">
        <v>13</v>
      </c>
      <c r="E545" s="1" t="s">
        <v>11</v>
      </c>
      <c r="F545">
        <v>42710</v>
      </c>
      <c r="G545">
        <v>1</v>
      </c>
      <c r="H545" s="2">
        <v>0</v>
      </c>
      <c r="I545" s="2">
        <v>41241</v>
      </c>
      <c r="J545">
        <v>38</v>
      </c>
      <c r="K545">
        <f>VLOOKUP(B545,purchase_dataset!$B$2:$F$2241,2,FALSE)</f>
        <v>3</v>
      </c>
      <c r="L545">
        <f>VLOOKUP(B545,purchase_dataset!$B$2:$F$2241,3,FALSE)</f>
        <v>3</v>
      </c>
      <c r="M545">
        <f>VLOOKUP(B545,purchase_dataset!$B$2:$F$2241,3,FALSE)</f>
        <v>3</v>
      </c>
      <c r="N545">
        <f>VLOOKUP(B545,purchase_dataset!$B$2:$F$2241,5,FALSE)</f>
        <v>3</v>
      </c>
      <c r="O545" s="5">
        <v>42</v>
      </c>
      <c r="P545" s="4" t="str">
        <f t="shared" si="16"/>
        <v>30-50</v>
      </c>
      <c r="Q545" s="4">
        <f>M545+N545</f>
        <v>6</v>
      </c>
      <c r="U545" s="28" t="str" cm="1">
        <f t="array" ref="U545">_xlfn.IFS(F545&lt;30000,"30k",F545&lt;=50000,"30k-50k",F545&lt;=75000,"50k-75k",F545&lt;=100000,"75k-100k",F545&gt;100000,"100k")</f>
        <v>30k-50k</v>
      </c>
      <c r="W545" s="1">
        <f t="shared" si="17"/>
        <v>14</v>
      </c>
    </row>
    <row r="546" spans="1:23" x14ac:dyDescent="0.35">
      <c r="A546">
        <v>543</v>
      </c>
      <c r="B546">
        <v>5547</v>
      </c>
      <c r="C546">
        <v>1982</v>
      </c>
      <c r="D546" s="1" t="s">
        <v>13</v>
      </c>
      <c r="E546" s="1" t="s">
        <v>14</v>
      </c>
      <c r="F546">
        <v>84169</v>
      </c>
      <c r="G546">
        <v>0</v>
      </c>
      <c r="H546" s="2">
        <v>0</v>
      </c>
      <c r="I546" s="2">
        <v>41493</v>
      </c>
      <c r="J546">
        <v>9</v>
      </c>
      <c r="K546">
        <f>VLOOKUP(B546,purchase_dataset!$B$2:$F$2241,2,FALSE)</f>
        <v>19</v>
      </c>
      <c r="L546">
        <f>VLOOKUP(B546,purchase_dataset!$B$2:$F$2241,3,FALSE)</f>
        <v>19</v>
      </c>
      <c r="M546">
        <f>VLOOKUP(B546,purchase_dataset!$B$2:$F$2241,3,FALSE)</f>
        <v>19</v>
      </c>
      <c r="N546">
        <f>VLOOKUP(B546,purchase_dataset!$B$2:$F$2241,5,FALSE)</f>
        <v>6</v>
      </c>
      <c r="O546" s="5">
        <v>44</v>
      </c>
      <c r="P546" s="4" t="str">
        <f t="shared" si="16"/>
        <v>30-50</v>
      </c>
      <c r="Q546" s="4">
        <f>M546+N546</f>
        <v>25</v>
      </c>
      <c r="U546" s="28" t="str" cm="1">
        <f t="array" ref="U546">_xlfn.IFS(F546&lt;30000,"30k",F546&lt;=50000,"30k-50k",F546&lt;=75000,"50k-75k",F546&lt;=100000,"75k-100k",F546&gt;100000,"100k")</f>
        <v>75k-100k</v>
      </c>
      <c r="W546" s="1">
        <f t="shared" si="17"/>
        <v>13</v>
      </c>
    </row>
    <row r="547" spans="1:23" x14ac:dyDescent="0.35">
      <c r="A547">
        <v>544</v>
      </c>
      <c r="B547">
        <v>7822</v>
      </c>
      <c r="C547">
        <v>1976</v>
      </c>
      <c r="D547" s="1" t="s">
        <v>10</v>
      </c>
      <c r="E547" s="1" t="s">
        <v>12</v>
      </c>
      <c r="F547">
        <v>54058</v>
      </c>
      <c r="G547">
        <v>0</v>
      </c>
      <c r="H547" s="2">
        <v>1</v>
      </c>
      <c r="I547" s="2">
        <v>41429</v>
      </c>
      <c r="J547">
        <v>56</v>
      </c>
      <c r="K547">
        <f>VLOOKUP(B547,purchase_dataset!$B$2:$F$2241,2,FALSE)</f>
        <v>18</v>
      </c>
      <c r="L547">
        <f>VLOOKUP(B547,purchase_dataset!$B$2:$F$2241,3,FALSE)</f>
        <v>108</v>
      </c>
      <c r="M547">
        <f>VLOOKUP(B547,purchase_dataset!$B$2:$F$2241,3,FALSE)</f>
        <v>108</v>
      </c>
      <c r="N547">
        <f>VLOOKUP(B547,purchase_dataset!$B$2:$F$2241,5,FALSE)</f>
        <v>8</v>
      </c>
      <c r="O547" s="5">
        <v>50</v>
      </c>
      <c r="P547" s="4" t="str">
        <f t="shared" si="16"/>
        <v>30-50</v>
      </c>
      <c r="Q547" s="4">
        <f>M547+N547</f>
        <v>116</v>
      </c>
      <c r="U547" s="28" t="str" cm="1">
        <f t="array" ref="U547">_xlfn.IFS(F547&lt;30000,"30k",F547&lt;=50000,"30k-50k",F547&lt;=75000,"50k-75k",F547&lt;=100000,"75k-100k",F547&gt;100000,"100k")</f>
        <v>50k-75k</v>
      </c>
      <c r="W547" s="1">
        <f t="shared" si="17"/>
        <v>13</v>
      </c>
    </row>
    <row r="548" spans="1:23" x14ac:dyDescent="0.35">
      <c r="A548">
        <v>545</v>
      </c>
      <c r="B548">
        <v>8541</v>
      </c>
      <c r="C548">
        <v>1990</v>
      </c>
      <c r="D548" s="1" t="s">
        <v>18</v>
      </c>
      <c r="E548" s="1" t="s">
        <v>14</v>
      </c>
      <c r="F548">
        <v>24683</v>
      </c>
      <c r="G548">
        <v>1</v>
      </c>
      <c r="H548" s="2">
        <v>0</v>
      </c>
      <c r="I548" s="2">
        <v>41706</v>
      </c>
      <c r="J548">
        <v>98</v>
      </c>
      <c r="K548">
        <f>VLOOKUP(B548,purchase_dataset!$B$2:$F$2241,2,FALSE)</f>
        <v>4</v>
      </c>
      <c r="L548">
        <f>VLOOKUP(B548,purchase_dataset!$B$2:$F$2241,3,FALSE)</f>
        <v>7</v>
      </c>
      <c r="M548">
        <f>VLOOKUP(B548,purchase_dataset!$B$2:$F$2241,3,FALSE)</f>
        <v>7</v>
      </c>
      <c r="N548">
        <f>VLOOKUP(B548,purchase_dataset!$B$2:$F$2241,5,FALSE)</f>
        <v>4</v>
      </c>
      <c r="O548" s="5">
        <v>36</v>
      </c>
      <c r="P548" s="4" t="str">
        <f t="shared" si="16"/>
        <v>30-50</v>
      </c>
      <c r="Q548" s="4">
        <f>M548+N548</f>
        <v>11</v>
      </c>
      <c r="U548" s="28" t="str" cm="1">
        <f t="array" ref="U548">_xlfn.IFS(F548&lt;30000,"30k",F548&lt;=50000,"30k-50k",F548&lt;=75000,"50k-75k",F548&lt;=100000,"75k-100k",F548&gt;100000,"100k")</f>
        <v>30k</v>
      </c>
      <c r="W548" s="1">
        <f t="shared" si="17"/>
        <v>12</v>
      </c>
    </row>
    <row r="549" spans="1:23" x14ac:dyDescent="0.35">
      <c r="A549">
        <v>546</v>
      </c>
      <c r="B549">
        <v>10955</v>
      </c>
      <c r="C549">
        <v>1964</v>
      </c>
      <c r="D549" s="1" t="s">
        <v>10</v>
      </c>
      <c r="E549" s="1" t="s">
        <v>19</v>
      </c>
      <c r="F549">
        <v>85620</v>
      </c>
      <c r="G549">
        <v>0</v>
      </c>
      <c r="H549" s="2">
        <v>0</v>
      </c>
      <c r="I549" s="2">
        <v>41646</v>
      </c>
      <c r="J549">
        <v>68</v>
      </c>
      <c r="K549">
        <f>VLOOKUP(B549,purchase_dataset!$B$2:$F$2241,2,FALSE)</f>
        <v>46</v>
      </c>
      <c r="L549">
        <f>VLOOKUP(B549,purchase_dataset!$B$2:$F$2241,3,FALSE)</f>
        <v>107</v>
      </c>
      <c r="M549">
        <f>VLOOKUP(B549,purchase_dataset!$B$2:$F$2241,3,FALSE)</f>
        <v>107</v>
      </c>
      <c r="N549">
        <f>VLOOKUP(B549,purchase_dataset!$B$2:$F$2241,5,FALSE)</f>
        <v>4</v>
      </c>
      <c r="O549" s="5">
        <v>62</v>
      </c>
      <c r="P549" s="4" t="str">
        <f t="shared" si="16"/>
        <v>&gt;50</v>
      </c>
      <c r="Q549" s="4">
        <f>M549+N549</f>
        <v>111</v>
      </c>
      <c r="U549" s="28" t="str" cm="1">
        <f t="array" ref="U549">_xlfn.IFS(F549&lt;30000,"30k",F549&lt;=50000,"30k-50k",F549&lt;=75000,"50k-75k",F549&lt;=100000,"75k-100k",F549&gt;100000,"100k")</f>
        <v>75k-100k</v>
      </c>
      <c r="W549" s="1">
        <f t="shared" si="17"/>
        <v>12</v>
      </c>
    </row>
    <row r="550" spans="1:23" x14ac:dyDescent="0.35">
      <c r="A550">
        <v>547</v>
      </c>
      <c r="B550">
        <v>4368</v>
      </c>
      <c r="C550">
        <v>1980</v>
      </c>
      <c r="D550" s="1" t="s">
        <v>10</v>
      </c>
      <c r="E550" s="1" t="s">
        <v>14</v>
      </c>
      <c r="F550">
        <v>47850</v>
      </c>
      <c r="G550">
        <v>1</v>
      </c>
      <c r="H550" s="2">
        <v>0</v>
      </c>
      <c r="I550" s="2">
        <v>41611</v>
      </c>
      <c r="J550">
        <v>72</v>
      </c>
      <c r="K550">
        <f>VLOOKUP(B550,purchase_dataset!$B$2:$F$2241,2,FALSE)</f>
        <v>7</v>
      </c>
      <c r="L550">
        <f>VLOOKUP(B550,purchase_dataset!$B$2:$F$2241,3,FALSE)</f>
        <v>12</v>
      </c>
      <c r="M550">
        <f>VLOOKUP(B550,purchase_dataset!$B$2:$F$2241,3,FALSE)</f>
        <v>12</v>
      </c>
      <c r="N550">
        <f>VLOOKUP(B550,purchase_dataset!$B$2:$F$2241,5,FALSE)</f>
        <v>4</v>
      </c>
      <c r="O550" s="5">
        <v>46</v>
      </c>
      <c r="P550" s="4" t="str">
        <f t="shared" si="16"/>
        <v>30-50</v>
      </c>
      <c r="Q550" s="4">
        <f>M550+N550</f>
        <v>16</v>
      </c>
      <c r="U550" s="28" t="str" cm="1">
        <f t="array" ref="U550">_xlfn.IFS(F550&lt;30000,"30k",F550&lt;=50000,"30k-50k",F550&lt;=75000,"50k-75k",F550&lt;=100000,"75k-100k",F550&gt;100000,"100k")</f>
        <v>30k-50k</v>
      </c>
      <c r="W550" s="1">
        <f t="shared" si="17"/>
        <v>13</v>
      </c>
    </row>
    <row r="551" spans="1:23" x14ac:dyDescent="0.35">
      <c r="A551">
        <v>548</v>
      </c>
      <c r="B551">
        <v>9671</v>
      </c>
      <c r="C551">
        <v>1968</v>
      </c>
      <c r="D551" s="1" t="s">
        <v>10</v>
      </c>
      <c r="E551" s="1" t="s">
        <v>14</v>
      </c>
      <c r="F551">
        <v>19514</v>
      </c>
      <c r="G551">
        <v>1</v>
      </c>
      <c r="H551" s="2">
        <v>1</v>
      </c>
      <c r="I551" s="2">
        <v>41665</v>
      </c>
      <c r="J551">
        <v>47</v>
      </c>
      <c r="K551">
        <f>VLOOKUP(B551,purchase_dataset!$B$2:$F$2241,2,FALSE)</f>
        <v>3</v>
      </c>
      <c r="L551">
        <f>VLOOKUP(B551,purchase_dataset!$B$2:$F$2241,3,FALSE)</f>
        <v>1</v>
      </c>
      <c r="M551">
        <f>VLOOKUP(B551,purchase_dataset!$B$2:$F$2241,3,FALSE)</f>
        <v>1</v>
      </c>
      <c r="N551">
        <f>VLOOKUP(B551,purchase_dataset!$B$2:$F$2241,5,FALSE)</f>
        <v>2</v>
      </c>
      <c r="O551" s="5">
        <v>58</v>
      </c>
      <c r="P551" s="4" t="str">
        <f t="shared" si="16"/>
        <v>&gt;50</v>
      </c>
      <c r="Q551" s="4">
        <f>M551+N551</f>
        <v>3</v>
      </c>
      <c r="U551" s="28" t="str" cm="1">
        <f t="array" ref="U551">_xlfn.IFS(F551&lt;30000,"30k",F551&lt;=50000,"30k-50k",F551&lt;=75000,"50k-75k",F551&lt;=100000,"75k-100k",F551&gt;100000,"100k")</f>
        <v>30k</v>
      </c>
      <c r="W551" s="1">
        <f t="shared" si="17"/>
        <v>12</v>
      </c>
    </row>
    <row r="552" spans="1:23" x14ac:dyDescent="0.35">
      <c r="A552">
        <v>549</v>
      </c>
      <c r="B552">
        <v>2256</v>
      </c>
      <c r="C552">
        <v>1973</v>
      </c>
      <c r="D552" s="1" t="s">
        <v>15</v>
      </c>
      <c r="E552" s="1" t="s">
        <v>14</v>
      </c>
      <c r="F552">
        <v>27159</v>
      </c>
      <c r="G552">
        <v>1</v>
      </c>
      <c r="H552" s="2">
        <v>1</v>
      </c>
      <c r="I552" s="2">
        <v>41727</v>
      </c>
      <c r="J552">
        <v>33</v>
      </c>
      <c r="K552">
        <f>VLOOKUP(B552,purchase_dataset!$B$2:$F$2241,2,FALSE)</f>
        <v>0</v>
      </c>
      <c r="L552">
        <f>VLOOKUP(B552,purchase_dataset!$B$2:$F$2241,3,FALSE)</f>
        <v>0</v>
      </c>
      <c r="M552">
        <f>VLOOKUP(B552,purchase_dataset!$B$2:$F$2241,3,FALSE)</f>
        <v>0</v>
      </c>
      <c r="N552">
        <f>VLOOKUP(B552,purchase_dataset!$B$2:$F$2241,5,FALSE)</f>
        <v>3</v>
      </c>
      <c r="O552" s="5">
        <v>53</v>
      </c>
      <c r="P552" s="4" t="str">
        <f t="shared" si="16"/>
        <v>&gt;50</v>
      </c>
      <c r="Q552" s="4">
        <f>M552+N552</f>
        <v>3</v>
      </c>
      <c r="U552" s="28" t="str" cm="1">
        <f t="array" ref="U552">_xlfn.IFS(F552&lt;30000,"30k",F552&lt;=50000,"30k-50k",F552&lt;=75000,"50k-75k",F552&lt;=100000,"75k-100k",F552&gt;100000,"100k")</f>
        <v>30k</v>
      </c>
      <c r="W552" s="1">
        <f t="shared" si="17"/>
        <v>12</v>
      </c>
    </row>
    <row r="553" spans="1:23" x14ac:dyDescent="0.35">
      <c r="A553">
        <v>550</v>
      </c>
      <c r="B553">
        <v>4279</v>
      </c>
      <c r="C553">
        <v>1963</v>
      </c>
      <c r="D553" s="1" t="s">
        <v>18</v>
      </c>
      <c r="E553" s="1" t="s">
        <v>11</v>
      </c>
      <c r="F553">
        <v>39548</v>
      </c>
      <c r="G553">
        <v>1</v>
      </c>
      <c r="H553" s="2">
        <v>1</v>
      </c>
      <c r="I553" s="2">
        <v>41729</v>
      </c>
      <c r="J553">
        <v>87</v>
      </c>
      <c r="K553">
        <f>VLOOKUP(B553,purchase_dataset!$B$2:$F$2241,2,FALSE)</f>
        <v>4</v>
      </c>
      <c r="L553">
        <f>VLOOKUP(B553,purchase_dataset!$B$2:$F$2241,3,FALSE)</f>
        <v>4</v>
      </c>
      <c r="M553">
        <f>VLOOKUP(B553,purchase_dataset!$B$2:$F$2241,3,FALSE)</f>
        <v>4</v>
      </c>
      <c r="N553">
        <f>VLOOKUP(B553,purchase_dataset!$B$2:$F$2241,5,FALSE)</f>
        <v>3</v>
      </c>
      <c r="O553" s="5">
        <v>63</v>
      </c>
      <c r="P553" s="4" t="str">
        <f t="shared" si="16"/>
        <v>&gt;50</v>
      </c>
      <c r="Q553" s="4">
        <f>M553+N553</f>
        <v>7</v>
      </c>
      <c r="U553" s="28" t="str" cm="1">
        <f t="array" ref="U553">_xlfn.IFS(F553&lt;30000,"30k",F553&lt;=50000,"30k-50k",F553&lt;=75000,"50k-75k",F553&lt;=100000,"75k-100k",F553&gt;100000,"100k")</f>
        <v>30k-50k</v>
      </c>
      <c r="W553" s="1">
        <f t="shared" si="17"/>
        <v>12</v>
      </c>
    </row>
    <row r="554" spans="1:23" x14ac:dyDescent="0.35">
      <c r="A554">
        <v>551</v>
      </c>
      <c r="B554">
        <v>5371</v>
      </c>
      <c r="C554">
        <v>1989</v>
      </c>
      <c r="D554" s="1" t="s">
        <v>10</v>
      </c>
      <c r="E554" s="1" t="s">
        <v>11</v>
      </c>
      <c r="F554">
        <v>21474</v>
      </c>
      <c r="G554">
        <v>1</v>
      </c>
      <c r="H554" s="2">
        <v>0</v>
      </c>
      <c r="I554" s="2">
        <v>41737</v>
      </c>
      <c r="J554">
        <v>0</v>
      </c>
      <c r="K554">
        <f>VLOOKUP(B554,purchase_dataset!$B$2:$F$2241,2,FALSE)</f>
        <v>16</v>
      </c>
      <c r="L554">
        <f>VLOOKUP(B554,purchase_dataset!$B$2:$F$2241,3,FALSE)</f>
        <v>0</v>
      </c>
      <c r="M554">
        <f>VLOOKUP(B554,purchase_dataset!$B$2:$F$2241,3,FALSE)</f>
        <v>0</v>
      </c>
      <c r="N554">
        <f>VLOOKUP(B554,purchase_dataset!$B$2:$F$2241,5,FALSE)</f>
        <v>2</v>
      </c>
      <c r="O554" s="5">
        <v>37</v>
      </c>
      <c r="P554" s="4" t="str">
        <f t="shared" si="16"/>
        <v>30-50</v>
      </c>
      <c r="Q554" s="4">
        <f>M554+N554</f>
        <v>2</v>
      </c>
      <c r="U554" s="28" t="str" cm="1">
        <f t="array" ref="U554">_xlfn.IFS(F554&lt;30000,"30k",F554&lt;=50000,"30k-50k",F554&lt;=75000,"50k-75k",F554&lt;=100000,"75k-100k",F554&gt;100000,"100k")</f>
        <v>30k</v>
      </c>
      <c r="W554" s="1">
        <f t="shared" si="17"/>
        <v>12</v>
      </c>
    </row>
    <row r="555" spans="1:23" x14ac:dyDescent="0.35">
      <c r="A555">
        <v>552</v>
      </c>
      <c r="B555">
        <v>9240</v>
      </c>
      <c r="C555">
        <v>1971</v>
      </c>
      <c r="D555" s="1" t="s">
        <v>13</v>
      </c>
      <c r="E555" s="1" t="s">
        <v>11</v>
      </c>
      <c r="F555">
        <v>60504</v>
      </c>
      <c r="G555">
        <v>0</v>
      </c>
      <c r="H555" s="2">
        <v>1</v>
      </c>
      <c r="I555" s="2">
        <v>41677</v>
      </c>
      <c r="J555">
        <v>73</v>
      </c>
      <c r="K555">
        <f>VLOOKUP(B555,purchase_dataset!$B$2:$F$2241,2,FALSE)</f>
        <v>0</v>
      </c>
      <c r="L555">
        <f>VLOOKUP(B555,purchase_dataset!$B$2:$F$2241,3,FALSE)</f>
        <v>4</v>
      </c>
      <c r="M555">
        <f>VLOOKUP(B555,purchase_dataset!$B$2:$F$2241,3,FALSE)</f>
        <v>4</v>
      </c>
      <c r="N555">
        <f>VLOOKUP(B555,purchase_dataset!$B$2:$F$2241,5,FALSE)</f>
        <v>8</v>
      </c>
      <c r="O555" s="5">
        <v>55</v>
      </c>
      <c r="P555" s="4" t="str">
        <f t="shared" si="16"/>
        <v>&gt;50</v>
      </c>
      <c r="Q555" s="4">
        <f>M555+N555</f>
        <v>12</v>
      </c>
      <c r="U555" s="28" t="str" cm="1">
        <f t="array" ref="U555">_xlfn.IFS(F555&lt;30000,"30k",F555&lt;=50000,"30k-50k",F555&lt;=75000,"50k-75k",F555&lt;=100000,"75k-100k",F555&gt;100000,"100k")</f>
        <v>50k-75k</v>
      </c>
      <c r="W555" s="1">
        <f t="shared" si="17"/>
        <v>12</v>
      </c>
    </row>
    <row r="556" spans="1:23" x14ac:dyDescent="0.35">
      <c r="A556">
        <v>553</v>
      </c>
      <c r="B556">
        <v>9460</v>
      </c>
      <c r="C556">
        <v>1963</v>
      </c>
      <c r="D556" s="1" t="s">
        <v>10</v>
      </c>
      <c r="E556" s="1" t="s">
        <v>14</v>
      </c>
      <c r="F556">
        <v>22419</v>
      </c>
      <c r="G556">
        <v>0</v>
      </c>
      <c r="H556" s="2">
        <v>0</v>
      </c>
      <c r="I556" s="2">
        <v>41382</v>
      </c>
      <c r="J556">
        <v>74</v>
      </c>
      <c r="K556">
        <f>VLOOKUP(B556,purchase_dataset!$B$2:$F$2241,2,FALSE)</f>
        <v>3</v>
      </c>
      <c r="L556">
        <f>VLOOKUP(B556,purchase_dataset!$B$2:$F$2241,3,FALSE)</f>
        <v>21</v>
      </c>
      <c r="M556">
        <f>VLOOKUP(B556,purchase_dataset!$B$2:$F$2241,3,FALSE)</f>
        <v>21</v>
      </c>
      <c r="N556">
        <f>VLOOKUP(B556,purchase_dataset!$B$2:$F$2241,5,FALSE)</f>
        <v>2</v>
      </c>
      <c r="O556" s="5">
        <v>63</v>
      </c>
      <c r="P556" s="4" t="str">
        <f t="shared" si="16"/>
        <v>&gt;50</v>
      </c>
      <c r="Q556" s="4">
        <f>M556+N556</f>
        <v>23</v>
      </c>
      <c r="U556" s="28" t="str" cm="1">
        <f t="array" ref="U556">_xlfn.IFS(F556&lt;30000,"30k",F556&lt;=50000,"30k-50k",F556&lt;=75000,"50k-75k",F556&lt;=100000,"75k-100k",F556&gt;100000,"100k")</f>
        <v>30k</v>
      </c>
      <c r="W556" s="1">
        <f t="shared" si="17"/>
        <v>13</v>
      </c>
    </row>
    <row r="557" spans="1:23" x14ac:dyDescent="0.35">
      <c r="A557">
        <v>554</v>
      </c>
      <c r="B557">
        <v>9504</v>
      </c>
      <c r="C557">
        <v>1949</v>
      </c>
      <c r="D557" s="1" t="s">
        <v>15</v>
      </c>
      <c r="E557" s="1" t="s">
        <v>14</v>
      </c>
      <c r="F557">
        <v>81698</v>
      </c>
      <c r="G557">
        <v>0</v>
      </c>
      <c r="H557" s="2">
        <v>0</v>
      </c>
      <c r="I557" s="2">
        <v>41584</v>
      </c>
      <c r="J557">
        <v>4</v>
      </c>
      <c r="K557">
        <f>VLOOKUP(B557,purchase_dataset!$B$2:$F$2241,2,FALSE)</f>
        <v>28</v>
      </c>
      <c r="L557">
        <f>VLOOKUP(B557,purchase_dataset!$B$2:$F$2241,3,FALSE)</f>
        <v>123</v>
      </c>
      <c r="M557">
        <f>VLOOKUP(B557,purchase_dataset!$B$2:$F$2241,3,FALSE)</f>
        <v>123</v>
      </c>
      <c r="N557">
        <f>VLOOKUP(B557,purchase_dataset!$B$2:$F$2241,5,FALSE)</f>
        <v>13</v>
      </c>
      <c r="O557" s="5">
        <v>77</v>
      </c>
      <c r="P557" s="4" t="str">
        <f t="shared" si="16"/>
        <v>&gt;50</v>
      </c>
      <c r="Q557" s="4">
        <f>M557+N557</f>
        <v>136</v>
      </c>
      <c r="U557" s="28" t="str" cm="1">
        <f t="array" ref="U557">_xlfn.IFS(F557&lt;30000,"30k",F557&lt;=50000,"30k-50k",F557&lt;=75000,"50k-75k",F557&lt;=100000,"75k-100k",F557&gt;100000,"100k")</f>
        <v>75k-100k</v>
      </c>
      <c r="W557" s="1">
        <f t="shared" si="17"/>
        <v>13</v>
      </c>
    </row>
    <row r="558" spans="1:23" x14ac:dyDescent="0.35">
      <c r="A558">
        <v>555</v>
      </c>
      <c r="B558">
        <v>8692</v>
      </c>
      <c r="C558">
        <v>1952</v>
      </c>
      <c r="D558" s="1" t="s">
        <v>10</v>
      </c>
      <c r="E558" s="1" t="s">
        <v>12</v>
      </c>
      <c r="F558">
        <v>43462</v>
      </c>
      <c r="G558">
        <v>1</v>
      </c>
      <c r="H558" s="2">
        <v>1</v>
      </c>
      <c r="I558" s="2">
        <v>41164</v>
      </c>
      <c r="J558">
        <v>50</v>
      </c>
      <c r="K558">
        <f>VLOOKUP(B558,purchase_dataset!$B$2:$F$2241,2,FALSE)</f>
        <v>17</v>
      </c>
      <c r="L558">
        <f>VLOOKUP(B558,purchase_dataset!$B$2:$F$2241,3,FALSE)</f>
        <v>6</v>
      </c>
      <c r="M558">
        <f>VLOOKUP(B558,purchase_dataset!$B$2:$F$2241,3,FALSE)</f>
        <v>6</v>
      </c>
      <c r="N558">
        <f>VLOOKUP(B558,purchase_dataset!$B$2:$F$2241,5,FALSE)</f>
        <v>5</v>
      </c>
      <c r="O558" s="5">
        <v>74</v>
      </c>
      <c r="P558" s="4" t="str">
        <f t="shared" si="16"/>
        <v>&gt;50</v>
      </c>
      <c r="Q558" s="4">
        <f>M558+N558</f>
        <v>11</v>
      </c>
      <c r="U558" s="28" t="str" cm="1">
        <f t="array" ref="U558">_xlfn.IFS(F558&lt;30000,"30k",F558&lt;=50000,"30k-50k",F558&lt;=75000,"50k-75k",F558&lt;=100000,"75k-100k",F558&gt;100000,"100k")</f>
        <v>30k-50k</v>
      </c>
      <c r="W558" s="1">
        <f t="shared" si="17"/>
        <v>14</v>
      </c>
    </row>
    <row r="559" spans="1:23" x14ac:dyDescent="0.35">
      <c r="A559">
        <v>556</v>
      </c>
      <c r="B559">
        <v>448</v>
      </c>
      <c r="C559">
        <v>1978</v>
      </c>
      <c r="D559" s="1" t="s">
        <v>13</v>
      </c>
      <c r="E559" s="1" t="s">
        <v>11</v>
      </c>
      <c r="F559">
        <v>54880</v>
      </c>
      <c r="G559">
        <v>1</v>
      </c>
      <c r="H559" s="2">
        <v>0</v>
      </c>
      <c r="I559" s="2">
        <v>41334</v>
      </c>
      <c r="J559">
        <v>57</v>
      </c>
      <c r="K559">
        <f>VLOOKUP(B559,purchase_dataset!$B$2:$F$2241,2,FALSE)</f>
        <v>85</v>
      </c>
      <c r="L559">
        <f>VLOOKUP(B559,purchase_dataset!$B$2:$F$2241,3,FALSE)</f>
        <v>45</v>
      </c>
      <c r="M559">
        <f>VLOOKUP(B559,purchase_dataset!$B$2:$F$2241,3,FALSE)</f>
        <v>45</v>
      </c>
      <c r="N559">
        <f>VLOOKUP(B559,purchase_dataset!$B$2:$F$2241,5,FALSE)</f>
        <v>11</v>
      </c>
      <c r="O559" s="5">
        <v>48</v>
      </c>
      <c r="P559" s="4" t="str">
        <f t="shared" si="16"/>
        <v>30-50</v>
      </c>
      <c r="Q559" s="4">
        <f>M559+N559</f>
        <v>56</v>
      </c>
      <c r="U559" s="28" t="str" cm="1">
        <f t="array" ref="U559">_xlfn.IFS(F559&lt;30000,"30k",F559&lt;=50000,"30k-50k",F559&lt;=75000,"50k-75k",F559&lt;=100000,"75k-100k",F559&gt;100000,"100k")</f>
        <v>50k-75k</v>
      </c>
      <c r="W559" s="1">
        <f t="shared" si="17"/>
        <v>13</v>
      </c>
    </row>
    <row r="560" spans="1:23" x14ac:dyDescent="0.35">
      <c r="A560">
        <v>557</v>
      </c>
      <c r="B560">
        <v>8314</v>
      </c>
      <c r="C560">
        <v>1982</v>
      </c>
      <c r="D560" s="1" t="s">
        <v>10</v>
      </c>
      <c r="E560" s="1" t="s">
        <v>14</v>
      </c>
      <c r="F560">
        <v>79908</v>
      </c>
      <c r="G560">
        <v>0</v>
      </c>
      <c r="H560" s="2">
        <v>0</v>
      </c>
      <c r="I560" s="2">
        <v>41369</v>
      </c>
      <c r="J560">
        <v>30</v>
      </c>
      <c r="K560">
        <f>VLOOKUP(B560,purchase_dataset!$B$2:$F$2241,2,FALSE)</f>
        <v>129</v>
      </c>
      <c r="L560">
        <f>VLOOKUP(B560,purchase_dataset!$B$2:$F$2241,3,FALSE)</f>
        <v>185</v>
      </c>
      <c r="M560">
        <f>VLOOKUP(B560,purchase_dataset!$B$2:$F$2241,3,FALSE)</f>
        <v>185</v>
      </c>
      <c r="N560">
        <f>VLOOKUP(B560,purchase_dataset!$B$2:$F$2241,5,FALSE)</f>
        <v>7</v>
      </c>
      <c r="O560" s="5">
        <v>44</v>
      </c>
      <c r="P560" s="4" t="str">
        <f t="shared" si="16"/>
        <v>30-50</v>
      </c>
      <c r="Q560" s="4">
        <f>M560+N560</f>
        <v>192</v>
      </c>
      <c r="U560" s="28" t="str" cm="1">
        <f t="array" ref="U560">_xlfn.IFS(F560&lt;30000,"30k",F560&lt;=50000,"30k-50k",F560&lt;=75000,"50k-75k",F560&lt;=100000,"75k-100k",F560&gt;100000,"100k")</f>
        <v>75k-100k</v>
      </c>
      <c r="W560" s="1">
        <f t="shared" si="17"/>
        <v>13</v>
      </c>
    </row>
    <row r="561" spans="1:23" x14ac:dyDescent="0.35">
      <c r="A561">
        <v>558</v>
      </c>
      <c r="B561">
        <v>8420</v>
      </c>
      <c r="C561">
        <v>1970</v>
      </c>
      <c r="D561" s="1" t="s">
        <v>18</v>
      </c>
      <c r="E561" s="1" t="s">
        <v>14</v>
      </c>
      <c r="F561">
        <v>15315</v>
      </c>
      <c r="G561">
        <v>0</v>
      </c>
      <c r="H561" s="2">
        <v>0</v>
      </c>
      <c r="I561" s="2">
        <v>41489</v>
      </c>
      <c r="J561">
        <v>27</v>
      </c>
      <c r="K561">
        <f>VLOOKUP(B561,purchase_dataset!$B$2:$F$2241,2,FALSE)</f>
        <v>4</v>
      </c>
      <c r="L561">
        <f>VLOOKUP(B561,purchase_dataset!$B$2:$F$2241,3,FALSE)</f>
        <v>8</v>
      </c>
      <c r="M561">
        <f>VLOOKUP(B561,purchase_dataset!$B$2:$F$2241,3,FALSE)</f>
        <v>8</v>
      </c>
      <c r="N561">
        <f>VLOOKUP(B561,purchase_dataset!$B$2:$F$2241,5,FALSE)</f>
        <v>4</v>
      </c>
      <c r="O561" s="5">
        <v>56</v>
      </c>
      <c r="P561" s="4" t="str">
        <f t="shared" si="16"/>
        <v>&gt;50</v>
      </c>
      <c r="Q561" s="4">
        <f>M561+N561</f>
        <v>12</v>
      </c>
      <c r="U561" s="28" t="str" cm="1">
        <f t="array" ref="U561">_xlfn.IFS(F561&lt;30000,"30k",F561&lt;=50000,"30k-50k",F561&lt;=75000,"50k-75k",F561&lt;=100000,"75k-100k",F561&gt;100000,"100k")</f>
        <v>30k</v>
      </c>
      <c r="W561" s="1">
        <f t="shared" si="17"/>
        <v>13</v>
      </c>
    </row>
    <row r="562" spans="1:23" x14ac:dyDescent="0.35">
      <c r="A562">
        <v>559</v>
      </c>
      <c r="B562">
        <v>3174</v>
      </c>
      <c r="C562">
        <v>1959</v>
      </c>
      <c r="D562" s="1" t="s">
        <v>10</v>
      </c>
      <c r="E562" s="1" t="s">
        <v>12</v>
      </c>
      <c r="F562">
        <v>87771</v>
      </c>
      <c r="G562">
        <v>0</v>
      </c>
      <c r="H562" s="2">
        <v>1</v>
      </c>
      <c r="I562" s="2">
        <v>41416</v>
      </c>
      <c r="J562">
        <v>61</v>
      </c>
      <c r="K562">
        <f>VLOOKUP(B562,purchase_dataset!$B$2:$F$2241,2,FALSE)</f>
        <v>38</v>
      </c>
      <c r="L562">
        <f>VLOOKUP(B562,purchase_dataset!$B$2:$F$2241,3,FALSE)</f>
        <v>57</v>
      </c>
      <c r="M562">
        <f>VLOOKUP(B562,purchase_dataset!$B$2:$F$2241,3,FALSE)</f>
        <v>57</v>
      </c>
      <c r="N562">
        <f>VLOOKUP(B562,purchase_dataset!$B$2:$F$2241,5,FALSE)</f>
        <v>4</v>
      </c>
      <c r="O562" s="5">
        <v>67</v>
      </c>
      <c r="P562" s="4" t="str">
        <f t="shared" si="16"/>
        <v>&gt;50</v>
      </c>
      <c r="Q562" s="4">
        <f>M562+N562</f>
        <v>61</v>
      </c>
      <c r="U562" s="28" t="str" cm="1">
        <f t="array" ref="U562">_xlfn.IFS(F562&lt;30000,"30k",F562&lt;=50000,"30k-50k",F562&lt;=75000,"50k-75k",F562&lt;=100000,"75k-100k",F562&gt;100000,"100k")</f>
        <v>75k-100k</v>
      </c>
      <c r="W562" s="1">
        <f t="shared" si="17"/>
        <v>13</v>
      </c>
    </row>
    <row r="563" spans="1:23" x14ac:dyDescent="0.35">
      <c r="A563">
        <v>560</v>
      </c>
      <c r="B563">
        <v>7685</v>
      </c>
      <c r="C563">
        <v>1978</v>
      </c>
      <c r="D563" s="1" t="s">
        <v>10</v>
      </c>
      <c r="E563" s="1" t="s">
        <v>14</v>
      </c>
      <c r="F563">
        <v>33039</v>
      </c>
      <c r="G563">
        <v>1</v>
      </c>
      <c r="H563" s="2">
        <v>0</v>
      </c>
      <c r="I563" s="2">
        <v>41526</v>
      </c>
      <c r="J563">
        <v>4</v>
      </c>
      <c r="K563">
        <f>VLOOKUP(B563,purchase_dataset!$B$2:$F$2241,2,FALSE)</f>
        <v>8</v>
      </c>
      <c r="L563">
        <f>VLOOKUP(B563,purchase_dataset!$B$2:$F$2241,3,FALSE)</f>
        <v>8</v>
      </c>
      <c r="M563">
        <f>VLOOKUP(B563,purchase_dataset!$B$2:$F$2241,3,FALSE)</f>
        <v>8</v>
      </c>
      <c r="N563">
        <f>VLOOKUP(B563,purchase_dataset!$B$2:$F$2241,5,FALSE)</f>
        <v>4</v>
      </c>
      <c r="O563" s="5">
        <v>48</v>
      </c>
      <c r="P563" s="4" t="str">
        <f t="shared" si="16"/>
        <v>30-50</v>
      </c>
      <c r="Q563" s="4">
        <f>M563+N563</f>
        <v>12</v>
      </c>
      <c r="U563" s="28" t="str" cm="1">
        <f t="array" ref="U563">_xlfn.IFS(F563&lt;30000,"30k",F563&lt;=50000,"30k-50k",F563&lt;=75000,"50k-75k",F563&lt;=100000,"75k-100k",F563&gt;100000,"100k")</f>
        <v>30k-50k</v>
      </c>
      <c r="W563" s="1">
        <f t="shared" si="17"/>
        <v>13</v>
      </c>
    </row>
    <row r="564" spans="1:23" x14ac:dyDescent="0.35">
      <c r="A564">
        <v>561</v>
      </c>
      <c r="B564">
        <v>3179</v>
      </c>
      <c r="C564">
        <v>1980</v>
      </c>
      <c r="D564" s="1" t="s">
        <v>10</v>
      </c>
      <c r="E564" s="1" t="s">
        <v>11</v>
      </c>
      <c r="F564">
        <v>81741</v>
      </c>
      <c r="G564">
        <v>0</v>
      </c>
      <c r="H564" s="2">
        <v>0</v>
      </c>
      <c r="I564" s="2">
        <v>41441</v>
      </c>
      <c r="J564">
        <v>75</v>
      </c>
      <c r="K564">
        <f>VLOOKUP(B564,purchase_dataset!$B$2:$F$2241,2,FALSE)</f>
        <v>153</v>
      </c>
      <c r="L564">
        <f>VLOOKUP(B564,purchase_dataset!$B$2:$F$2241,3,FALSE)</f>
        <v>134</v>
      </c>
      <c r="M564">
        <f>VLOOKUP(B564,purchase_dataset!$B$2:$F$2241,3,FALSE)</f>
        <v>134</v>
      </c>
      <c r="N564">
        <f>VLOOKUP(B564,purchase_dataset!$B$2:$F$2241,5,FALSE)</f>
        <v>7</v>
      </c>
      <c r="O564" s="5">
        <v>46</v>
      </c>
      <c r="P564" s="4" t="str">
        <f t="shared" si="16"/>
        <v>30-50</v>
      </c>
      <c r="Q564" s="4">
        <f>M564+N564</f>
        <v>141</v>
      </c>
      <c r="U564" s="28" t="str" cm="1">
        <f t="array" ref="U564">_xlfn.IFS(F564&lt;30000,"30k",F564&lt;=50000,"30k-50k",F564&lt;=75000,"50k-75k",F564&lt;=100000,"75k-100k",F564&gt;100000,"100k")</f>
        <v>75k-100k</v>
      </c>
      <c r="W564" s="1">
        <f t="shared" si="17"/>
        <v>13</v>
      </c>
    </row>
    <row r="565" spans="1:23" x14ac:dyDescent="0.35">
      <c r="A565">
        <v>562</v>
      </c>
      <c r="B565">
        <v>9780</v>
      </c>
      <c r="C565">
        <v>1971</v>
      </c>
      <c r="D565" s="1" t="s">
        <v>15</v>
      </c>
      <c r="E565" s="1" t="s">
        <v>12</v>
      </c>
      <c r="F565">
        <v>71499</v>
      </c>
      <c r="G565">
        <v>0</v>
      </c>
      <c r="H565" s="2">
        <v>1</v>
      </c>
      <c r="I565" s="2">
        <v>41450</v>
      </c>
      <c r="J565">
        <v>12</v>
      </c>
      <c r="K565">
        <f>VLOOKUP(B565,purchase_dataset!$B$2:$F$2241,2,FALSE)</f>
        <v>25</v>
      </c>
      <c r="L565">
        <f>VLOOKUP(B565,purchase_dataset!$B$2:$F$2241,3,FALSE)</f>
        <v>0</v>
      </c>
      <c r="M565">
        <f>VLOOKUP(B565,purchase_dataset!$B$2:$F$2241,3,FALSE)</f>
        <v>0</v>
      </c>
      <c r="N565">
        <f>VLOOKUP(B565,purchase_dataset!$B$2:$F$2241,5,FALSE)</f>
        <v>13</v>
      </c>
      <c r="O565" s="5">
        <v>55</v>
      </c>
      <c r="P565" s="4" t="str">
        <f t="shared" si="16"/>
        <v>&gt;50</v>
      </c>
      <c r="Q565" s="4">
        <f>M565+N565</f>
        <v>13</v>
      </c>
      <c r="U565" s="28" t="str" cm="1">
        <f t="array" ref="U565">_xlfn.IFS(F565&lt;30000,"30k",F565&lt;=50000,"30k-50k",F565&lt;=75000,"50k-75k",F565&lt;=100000,"75k-100k",F565&gt;100000,"100k")</f>
        <v>50k-75k</v>
      </c>
      <c r="W565" s="1">
        <f t="shared" si="17"/>
        <v>13</v>
      </c>
    </row>
    <row r="566" spans="1:23" x14ac:dyDescent="0.35">
      <c r="A566">
        <v>563</v>
      </c>
      <c r="B566">
        <v>10681</v>
      </c>
      <c r="C566">
        <v>1970</v>
      </c>
      <c r="D566" s="1" t="s">
        <v>18</v>
      </c>
      <c r="E566" s="1" t="s">
        <v>14</v>
      </c>
      <c r="F566">
        <v>62466</v>
      </c>
      <c r="G566">
        <v>0</v>
      </c>
      <c r="H566" s="2">
        <v>1</v>
      </c>
      <c r="I566" s="2">
        <v>41654</v>
      </c>
      <c r="J566">
        <v>13</v>
      </c>
      <c r="K566">
        <f>VLOOKUP(B566,purchase_dataset!$B$2:$F$2241,2,FALSE)</f>
        <v>129</v>
      </c>
      <c r="L566">
        <f>VLOOKUP(B566,purchase_dataset!$B$2:$F$2241,3,FALSE)</f>
        <v>121</v>
      </c>
      <c r="M566">
        <f>VLOOKUP(B566,purchase_dataset!$B$2:$F$2241,3,FALSE)</f>
        <v>121</v>
      </c>
      <c r="N566">
        <f>VLOOKUP(B566,purchase_dataset!$B$2:$F$2241,5,FALSE)</f>
        <v>12</v>
      </c>
      <c r="O566" s="5">
        <v>56</v>
      </c>
      <c r="P566" s="4" t="str">
        <f t="shared" si="16"/>
        <v>&gt;50</v>
      </c>
      <c r="Q566" s="4">
        <f>M566+N566</f>
        <v>133</v>
      </c>
      <c r="U566" s="28" t="str" cm="1">
        <f t="array" ref="U566">_xlfn.IFS(F566&lt;30000,"30k",F566&lt;=50000,"30k-50k",F566&lt;=75000,"50k-75k",F566&lt;=100000,"75k-100k",F566&gt;100000,"100k")</f>
        <v>50k-75k</v>
      </c>
      <c r="W566" s="1">
        <f t="shared" si="17"/>
        <v>12</v>
      </c>
    </row>
    <row r="567" spans="1:23" x14ac:dyDescent="0.35">
      <c r="A567">
        <v>564</v>
      </c>
      <c r="B567">
        <v>10232</v>
      </c>
      <c r="C567">
        <v>1963</v>
      </c>
      <c r="D567" s="1" t="s">
        <v>13</v>
      </c>
      <c r="E567" s="1" t="s">
        <v>16</v>
      </c>
      <c r="F567">
        <v>48799</v>
      </c>
      <c r="G567">
        <v>0</v>
      </c>
      <c r="H567" s="2">
        <v>1</v>
      </c>
      <c r="I567" s="2">
        <v>41583</v>
      </c>
      <c r="J567">
        <v>9</v>
      </c>
      <c r="K567">
        <f>VLOOKUP(B567,purchase_dataset!$B$2:$F$2241,2,FALSE)</f>
        <v>18</v>
      </c>
      <c r="L567">
        <f>VLOOKUP(B567,purchase_dataset!$B$2:$F$2241,3,FALSE)</f>
        <v>6</v>
      </c>
      <c r="M567">
        <f>VLOOKUP(B567,purchase_dataset!$B$2:$F$2241,3,FALSE)</f>
        <v>6</v>
      </c>
      <c r="N567">
        <f>VLOOKUP(B567,purchase_dataset!$B$2:$F$2241,5,FALSE)</f>
        <v>7</v>
      </c>
      <c r="O567" s="5">
        <v>63</v>
      </c>
      <c r="P567" s="4" t="str">
        <f t="shared" si="16"/>
        <v>&gt;50</v>
      </c>
      <c r="Q567" s="4">
        <f>M567+N567</f>
        <v>13</v>
      </c>
      <c r="U567" s="28" t="str" cm="1">
        <f t="array" ref="U567">_xlfn.IFS(F567&lt;30000,"30k",F567&lt;=50000,"30k-50k",F567&lt;=75000,"50k-75k",F567&lt;=100000,"75k-100k",F567&gt;100000,"100k")</f>
        <v>30k-50k</v>
      </c>
      <c r="W567" s="1">
        <f t="shared" si="17"/>
        <v>13</v>
      </c>
    </row>
    <row r="568" spans="1:23" x14ac:dyDescent="0.35">
      <c r="A568">
        <v>565</v>
      </c>
      <c r="B568">
        <v>4184</v>
      </c>
      <c r="C568">
        <v>1950</v>
      </c>
      <c r="D568" s="1" t="s">
        <v>13</v>
      </c>
      <c r="E568" s="1" t="s">
        <v>12</v>
      </c>
      <c r="F568">
        <v>52157</v>
      </c>
      <c r="G568">
        <v>0</v>
      </c>
      <c r="H568" s="2">
        <v>1</v>
      </c>
      <c r="I568" s="2">
        <v>41797</v>
      </c>
      <c r="J568">
        <v>48</v>
      </c>
      <c r="K568">
        <f>VLOOKUP(B568,purchase_dataset!$B$2:$F$2241,2,FALSE)</f>
        <v>2</v>
      </c>
      <c r="L568">
        <f>VLOOKUP(B568,purchase_dataset!$B$2:$F$2241,3,FALSE)</f>
        <v>2</v>
      </c>
      <c r="M568">
        <f>VLOOKUP(B568,purchase_dataset!$B$2:$F$2241,3,FALSE)</f>
        <v>2</v>
      </c>
      <c r="N568">
        <f>VLOOKUP(B568,purchase_dataset!$B$2:$F$2241,5,FALSE)</f>
        <v>5</v>
      </c>
      <c r="O568" s="5">
        <v>76</v>
      </c>
      <c r="P568" s="4" t="str">
        <f t="shared" si="16"/>
        <v>&gt;50</v>
      </c>
      <c r="Q568" s="4">
        <f>M568+N568</f>
        <v>7</v>
      </c>
      <c r="U568" s="28" t="str" cm="1">
        <f t="array" ref="U568">_xlfn.IFS(F568&lt;30000,"30k",F568&lt;=50000,"30k-50k",F568&lt;=75000,"50k-75k",F568&lt;=100000,"75k-100k",F568&gt;100000,"100k")</f>
        <v>50k-75k</v>
      </c>
      <c r="W568" s="1">
        <f t="shared" si="17"/>
        <v>12</v>
      </c>
    </row>
    <row r="569" spans="1:23" x14ac:dyDescent="0.35">
      <c r="A569">
        <v>566</v>
      </c>
      <c r="B569">
        <v>9120</v>
      </c>
      <c r="C569">
        <v>1962</v>
      </c>
      <c r="D569" s="1" t="s">
        <v>10</v>
      </c>
      <c r="E569" s="1" t="s">
        <v>11</v>
      </c>
      <c r="F569">
        <v>66565</v>
      </c>
      <c r="G569">
        <v>0</v>
      </c>
      <c r="H569" s="2">
        <v>1</v>
      </c>
      <c r="I569" s="2">
        <v>41248</v>
      </c>
      <c r="J569">
        <v>80</v>
      </c>
      <c r="K569">
        <f>VLOOKUP(B569,purchase_dataset!$B$2:$F$2241,2,FALSE)</f>
        <v>10</v>
      </c>
      <c r="L569">
        <f>VLOOKUP(B569,purchase_dataset!$B$2:$F$2241,3,FALSE)</f>
        <v>40</v>
      </c>
      <c r="M569">
        <f>VLOOKUP(B569,purchase_dataset!$B$2:$F$2241,3,FALSE)</f>
        <v>40</v>
      </c>
      <c r="N569">
        <f>VLOOKUP(B569,purchase_dataset!$B$2:$F$2241,5,FALSE)</f>
        <v>9</v>
      </c>
      <c r="O569" s="5">
        <v>64</v>
      </c>
      <c r="P569" s="4" t="str">
        <f t="shared" si="16"/>
        <v>&gt;50</v>
      </c>
      <c r="Q569" s="4">
        <f>M569+N569</f>
        <v>49</v>
      </c>
      <c r="U569" s="28" t="str" cm="1">
        <f t="array" ref="U569">_xlfn.IFS(F569&lt;30000,"30k",F569&lt;=50000,"30k-50k",F569&lt;=75000,"50k-75k",F569&lt;=100000,"75k-100k",F569&gt;100000,"100k")</f>
        <v>50k-75k</v>
      </c>
      <c r="W569" s="1">
        <f t="shared" si="17"/>
        <v>14</v>
      </c>
    </row>
    <row r="570" spans="1:23" x14ac:dyDescent="0.35">
      <c r="A570">
        <v>567</v>
      </c>
      <c r="B570">
        <v>891</v>
      </c>
      <c r="C570">
        <v>1951</v>
      </c>
      <c r="D570" s="1" t="s">
        <v>15</v>
      </c>
      <c r="E570" s="1" t="s">
        <v>12</v>
      </c>
      <c r="F570">
        <v>29298</v>
      </c>
      <c r="G570">
        <v>1</v>
      </c>
      <c r="H570" s="2">
        <v>1</v>
      </c>
      <c r="I570" s="2">
        <v>41524</v>
      </c>
      <c r="J570">
        <v>60</v>
      </c>
      <c r="K570">
        <f>VLOOKUP(B570,purchase_dataset!$B$2:$F$2241,2,FALSE)</f>
        <v>0</v>
      </c>
      <c r="L570">
        <f>VLOOKUP(B570,purchase_dataset!$B$2:$F$2241,3,FALSE)</f>
        <v>0</v>
      </c>
      <c r="M570">
        <f>VLOOKUP(B570,purchase_dataset!$B$2:$F$2241,3,FALSE)</f>
        <v>0</v>
      </c>
      <c r="N570">
        <f>VLOOKUP(B570,purchase_dataset!$B$2:$F$2241,5,FALSE)</f>
        <v>2</v>
      </c>
      <c r="O570" s="5">
        <v>75</v>
      </c>
      <c r="P570" s="4" t="str">
        <f t="shared" si="16"/>
        <v>&gt;50</v>
      </c>
      <c r="Q570" s="4">
        <f>M570+N570</f>
        <v>2</v>
      </c>
      <c r="U570" s="28" t="str" cm="1">
        <f t="array" ref="U570">_xlfn.IFS(F570&lt;30000,"30k",F570&lt;=50000,"30k-50k",F570&lt;=75000,"50k-75k",F570&lt;=100000,"75k-100k",F570&gt;100000,"100k")</f>
        <v>30k</v>
      </c>
      <c r="W570" s="1">
        <f t="shared" si="17"/>
        <v>13</v>
      </c>
    </row>
    <row r="571" spans="1:23" x14ac:dyDescent="0.35">
      <c r="A571">
        <v>568</v>
      </c>
      <c r="B571">
        <v>10381</v>
      </c>
      <c r="C571">
        <v>1979</v>
      </c>
      <c r="D571" s="1" t="s">
        <v>10</v>
      </c>
      <c r="E571" s="1" t="s">
        <v>11</v>
      </c>
      <c r="F571">
        <v>47691</v>
      </c>
      <c r="G571">
        <v>0</v>
      </c>
      <c r="H571" s="2">
        <v>1</v>
      </c>
      <c r="I571" s="2">
        <v>41460</v>
      </c>
      <c r="J571">
        <v>43</v>
      </c>
      <c r="K571">
        <f>VLOOKUP(B571,purchase_dataset!$B$2:$F$2241,2,FALSE)</f>
        <v>0</v>
      </c>
      <c r="L571">
        <f>VLOOKUP(B571,purchase_dataset!$B$2:$F$2241,3,FALSE)</f>
        <v>0</v>
      </c>
      <c r="M571">
        <f>VLOOKUP(B571,purchase_dataset!$B$2:$F$2241,3,FALSE)</f>
        <v>0</v>
      </c>
      <c r="N571">
        <f>VLOOKUP(B571,purchase_dataset!$B$2:$F$2241,5,FALSE)</f>
        <v>2</v>
      </c>
      <c r="O571" s="5">
        <v>47</v>
      </c>
      <c r="P571" s="4" t="str">
        <f t="shared" si="16"/>
        <v>30-50</v>
      </c>
      <c r="Q571" s="4">
        <f>M571+N571</f>
        <v>2</v>
      </c>
      <c r="U571" s="28" t="str" cm="1">
        <f t="array" ref="U571">_xlfn.IFS(F571&lt;30000,"30k",F571&lt;=50000,"30k-50k",F571&lt;=75000,"50k-75k",F571&lt;=100000,"75k-100k",F571&gt;100000,"100k")</f>
        <v>30k-50k</v>
      </c>
      <c r="W571" s="1">
        <f t="shared" si="17"/>
        <v>13</v>
      </c>
    </row>
    <row r="572" spans="1:23" x14ac:dyDescent="0.35">
      <c r="A572">
        <v>569</v>
      </c>
      <c r="B572">
        <v>3525</v>
      </c>
      <c r="C572">
        <v>1970</v>
      </c>
      <c r="D572" s="1" t="s">
        <v>10</v>
      </c>
      <c r="E572" s="1" t="s">
        <v>12</v>
      </c>
      <c r="F572">
        <v>38200</v>
      </c>
      <c r="G572">
        <v>1</v>
      </c>
      <c r="H572" s="2">
        <v>1</v>
      </c>
      <c r="I572" s="2">
        <v>41250</v>
      </c>
      <c r="J572">
        <v>19</v>
      </c>
      <c r="K572">
        <f>VLOOKUP(B572,purchase_dataset!$B$2:$F$2241,2,FALSE)</f>
        <v>0</v>
      </c>
      <c r="L572">
        <f>VLOOKUP(B572,purchase_dataset!$B$2:$F$2241,3,FALSE)</f>
        <v>0</v>
      </c>
      <c r="M572">
        <f>VLOOKUP(B572,purchase_dataset!$B$2:$F$2241,3,FALSE)</f>
        <v>0</v>
      </c>
      <c r="N572">
        <f>VLOOKUP(B572,purchase_dataset!$B$2:$F$2241,5,FALSE)</f>
        <v>2</v>
      </c>
      <c r="O572" s="5">
        <v>56</v>
      </c>
      <c r="P572" s="4" t="str">
        <f t="shared" si="16"/>
        <v>&gt;50</v>
      </c>
      <c r="Q572" s="4">
        <f>M572+N572</f>
        <v>2</v>
      </c>
      <c r="U572" s="28" t="str" cm="1">
        <f t="array" ref="U572">_xlfn.IFS(F572&lt;30000,"30k",F572&lt;=50000,"30k-50k",F572&lt;=75000,"50k-75k",F572&lt;=100000,"75k-100k",F572&gt;100000,"100k")</f>
        <v>30k-50k</v>
      </c>
      <c r="W572" s="1">
        <f t="shared" si="17"/>
        <v>14</v>
      </c>
    </row>
    <row r="573" spans="1:23" x14ac:dyDescent="0.35">
      <c r="A573">
        <v>570</v>
      </c>
      <c r="B573">
        <v>6818</v>
      </c>
      <c r="C573">
        <v>1974</v>
      </c>
      <c r="D573" s="1" t="s">
        <v>10</v>
      </c>
      <c r="E573" s="1" t="s">
        <v>14</v>
      </c>
      <c r="F573">
        <v>44989</v>
      </c>
      <c r="G573">
        <v>0</v>
      </c>
      <c r="H573" s="2">
        <v>1</v>
      </c>
      <c r="I573" s="2">
        <v>41164</v>
      </c>
      <c r="J573">
        <v>26</v>
      </c>
      <c r="K573">
        <f>VLOOKUP(B573,purchase_dataset!$B$2:$F$2241,2,FALSE)</f>
        <v>0</v>
      </c>
      <c r="L573">
        <f>VLOOKUP(B573,purchase_dataset!$B$2:$F$2241,3,FALSE)</f>
        <v>10</v>
      </c>
      <c r="M573">
        <f>VLOOKUP(B573,purchase_dataset!$B$2:$F$2241,3,FALSE)</f>
        <v>10</v>
      </c>
      <c r="N573">
        <f>VLOOKUP(B573,purchase_dataset!$B$2:$F$2241,5,FALSE)</f>
        <v>5</v>
      </c>
      <c r="O573" s="5">
        <v>52</v>
      </c>
      <c r="P573" s="4" t="str">
        <f t="shared" si="16"/>
        <v>&gt;50</v>
      </c>
      <c r="Q573" s="4">
        <f>M573+N573</f>
        <v>15</v>
      </c>
      <c r="U573" s="28" t="str" cm="1">
        <f t="array" ref="U573">_xlfn.IFS(F573&lt;30000,"30k",F573&lt;=50000,"30k-50k",F573&lt;=75000,"50k-75k",F573&lt;=100000,"75k-100k",F573&gt;100000,"100k")</f>
        <v>30k-50k</v>
      </c>
      <c r="W573" s="1">
        <f t="shared" si="17"/>
        <v>14</v>
      </c>
    </row>
    <row r="574" spans="1:23" x14ac:dyDescent="0.35">
      <c r="A574">
        <v>571</v>
      </c>
      <c r="B574">
        <v>3526</v>
      </c>
      <c r="C574">
        <v>1968</v>
      </c>
      <c r="D574" s="1" t="s">
        <v>13</v>
      </c>
      <c r="E574" s="1" t="s">
        <v>14</v>
      </c>
      <c r="F574">
        <v>38443</v>
      </c>
      <c r="G574">
        <v>1</v>
      </c>
      <c r="H574" s="2">
        <v>1</v>
      </c>
      <c r="I574" s="2">
        <v>41666</v>
      </c>
      <c r="J574">
        <v>58</v>
      </c>
      <c r="K574">
        <f>VLOOKUP(B574,purchase_dataset!$B$2:$F$2241,2,FALSE)</f>
        <v>0</v>
      </c>
      <c r="L574">
        <f>VLOOKUP(B574,purchase_dataset!$B$2:$F$2241,3,FALSE)</f>
        <v>0</v>
      </c>
      <c r="M574">
        <f>VLOOKUP(B574,purchase_dataset!$B$2:$F$2241,3,FALSE)</f>
        <v>0</v>
      </c>
      <c r="N574">
        <f>VLOOKUP(B574,purchase_dataset!$B$2:$F$2241,5,FALSE)</f>
        <v>3</v>
      </c>
      <c r="O574" s="5">
        <v>58</v>
      </c>
      <c r="P574" s="4" t="str">
        <f t="shared" si="16"/>
        <v>&gt;50</v>
      </c>
      <c r="Q574" s="4">
        <f>M574+N574</f>
        <v>3</v>
      </c>
      <c r="U574" s="28" t="str" cm="1">
        <f t="array" ref="U574">_xlfn.IFS(F574&lt;30000,"30k",F574&lt;=50000,"30k-50k",F574&lt;=75000,"50k-75k",F574&lt;=100000,"75k-100k",F574&gt;100000,"100k")</f>
        <v>30k-50k</v>
      </c>
      <c r="W574" s="1">
        <f t="shared" si="17"/>
        <v>12</v>
      </c>
    </row>
    <row r="575" spans="1:23" x14ac:dyDescent="0.35">
      <c r="A575">
        <v>572</v>
      </c>
      <c r="B575">
        <v>8181</v>
      </c>
      <c r="C575">
        <v>1978</v>
      </c>
      <c r="D575" s="1" t="s">
        <v>18</v>
      </c>
      <c r="E575" s="1" t="s">
        <v>11</v>
      </c>
      <c r="F575">
        <v>38593</v>
      </c>
      <c r="G575">
        <v>1</v>
      </c>
      <c r="H575" s="2">
        <v>0</v>
      </c>
      <c r="I575" s="2">
        <v>41530</v>
      </c>
      <c r="J575">
        <v>42</v>
      </c>
      <c r="K575">
        <f>VLOOKUP(B575,purchase_dataset!$B$2:$F$2241,2,FALSE)</f>
        <v>12</v>
      </c>
      <c r="L575">
        <f>VLOOKUP(B575,purchase_dataset!$B$2:$F$2241,3,FALSE)</f>
        <v>24</v>
      </c>
      <c r="M575">
        <f>VLOOKUP(B575,purchase_dataset!$B$2:$F$2241,3,FALSE)</f>
        <v>24</v>
      </c>
      <c r="N575">
        <f>VLOOKUP(B575,purchase_dataset!$B$2:$F$2241,5,FALSE)</f>
        <v>3</v>
      </c>
      <c r="O575" s="5">
        <v>48</v>
      </c>
      <c r="P575" s="4" t="str">
        <f t="shared" si="16"/>
        <v>30-50</v>
      </c>
      <c r="Q575" s="4">
        <f>M575+N575</f>
        <v>27</v>
      </c>
      <c r="U575" s="28" t="str" cm="1">
        <f t="array" ref="U575">_xlfn.IFS(F575&lt;30000,"30k",F575&lt;=50000,"30k-50k",F575&lt;=75000,"50k-75k",F575&lt;=100000,"75k-100k",F575&gt;100000,"100k")</f>
        <v>30k-50k</v>
      </c>
      <c r="W575" s="1">
        <f t="shared" si="17"/>
        <v>13</v>
      </c>
    </row>
    <row r="576" spans="1:23" x14ac:dyDescent="0.35">
      <c r="A576">
        <v>573</v>
      </c>
      <c r="B576">
        <v>1029</v>
      </c>
      <c r="C576">
        <v>1970</v>
      </c>
      <c r="D576" s="1" t="s">
        <v>13</v>
      </c>
      <c r="E576" s="1" t="s">
        <v>12</v>
      </c>
      <c r="F576">
        <v>64413</v>
      </c>
      <c r="G576">
        <v>0</v>
      </c>
      <c r="H576" s="2">
        <v>1</v>
      </c>
      <c r="I576" s="2">
        <v>41487</v>
      </c>
      <c r="J576">
        <v>27</v>
      </c>
      <c r="K576">
        <f>VLOOKUP(B576,purchase_dataset!$B$2:$F$2241,2,FALSE)</f>
        <v>5</v>
      </c>
      <c r="L576">
        <f>VLOOKUP(B576,purchase_dataset!$B$2:$F$2241,3,FALSE)</f>
        <v>10</v>
      </c>
      <c r="M576">
        <f>VLOOKUP(B576,purchase_dataset!$B$2:$F$2241,3,FALSE)</f>
        <v>10</v>
      </c>
      <c r="N576">
        <f>VLOOKUP(B576,purchase_dataset!$B$2:$F$2241,5,FALSE)</f>
        <v>5</v>
      </c>
      <c r="O576" s="5">
        <v>56</v>
      </c>
      <c r="P576" s="4" t="str">
        <f t="shared" si="16"/>
        <v>&gt;50</v>
      </c>
      <c r="Q576" s="4">
        <f>M576+N576</f>
        <v>15</v>
      </c>
      <c r="U576" s="28" t="str" cm="1">
        <f t="array" ref="U576">_xlfn.IFS(F576&lt;30000,"30k",F576&lt;=50000,"30k-50k",F576&lt;=75000,"50k-75k",F576&lt;=100000,"75k-100k",F576&gt;100000,"100k")</f>
        <v>50k-75k</v>
      </c>
      <c r="W576" s="1">
        <f t="shared" si="17"/>
        <v>13</v>
      </c>
    </row>
    <row r="577" spans="1:23" x14ac:dyDescent="0.35">
      <c r="A577">
        <v>574</v>
      </c>
      <c r="B577">
        <v>7369</v>
      </c>
      <c r="C577">
        <v>1981</v>
      </c>
      <c r="D577" s="1" t="s">
        <v>15</v>
      </c>
      <c r="E577" s="1" t="s">
        <v>14</v>
      </c>
      <c r="F577">
        <v>36959</v>
      </c>
      <c r="G577">
        <v>1</v>
      </c>
      <c r="H577" s="2">
        <v>0</v>
      </c>
      <c r="I577" s="2">
        <v>41549</v>
      </c>
      <c r="J577">
        <v>56</v>
      </c>
      <c r="K577">
        <f>VLOOKUP(B577,purchase_dataset!$B$2:$F$2241,2,FALSE)</f>
        <v>6</v>
      </c>
      <c r="L577">
        <f>VLOOKUP(B577,purchase_dataset!$B$2:$F$2241,3,FALSE)</f>
        <v>0</v>
      </c>
      <c r="M577">
        <f>VLOOKUP(B577,purchase_dataset!$B$2:$F$2241,3,FALSE)</f>
        <v>0</v>
      </c>
      <c r="N577">
        <f>VLOOKUP(B577,purchase_dataset!$B$2:$F$2241,5,FALSE)</f>
        <v>3</v>
      </c>
      <c r="O577" s="5">
        <v>45</v>
      </c>
      <c r="P577" s="4" t="str">
        <f t="shared" si="16"/>
        <v>30-50</v>
      </c>
      <c r="Q577" s="4">
        <f>M577+N577</f>
        <v>3</v>
      </c>
      <c r="U577" s="28" t="str" cm="1">
        <f t="array" ref="U577">_xlfn.IFS(F577&lt;30000,"30k",F577&lt;=50000,"30k-50k",F577&lt;=75000,"50k-75k",F577&lt;=100000,"75k-100k",F577&gt;100000,"100k")</f>
        <v>30k-50k</v>
      </c>
      <c r="W577" s="1">
        <f t="shared" si="17"/>
        <v>13</v>
      </c>
    </row>
    <row r="578" spans="1:23" x14ac:dyDescent="0.35">
      <c r="A578">
        <v>575</v>
      </c>
      <c r="B578">
        <v>2574</v>
      </c>
      <c r="C578">
        <v>1977</v>
      </c>
      <c r="D578" s="1" t="s">
        <v>13</v>
      </c>
      <c r="E578" s="1" t="s">
        <v>14</v>
      </c>
      <c r="F578">
        <v>61996</v>
      </c>
      <c r="G578">
        <v>0</v>
      </c>
      <c r="H578" s="2">
        <v>1</v>
      </c>
      <c r="I578" s="2">
        <v>41305</v>
      </c>
      <c r="J578">
        <v>27</v>
      </c>
      <c r="K578">
        <f>VLOOKUP(B578,purchase_dataset!$B$2:$F$2241,2,FALSE)</f>
        <v>12</v>
      </c>
      <c r="L578">
        <f>VLOOKUP(B578,purchase_dataset!$B$2:$F$2241,3,FALSE)</f>
        <v>0</v>
      </c>
      <c r="M578">
        <f>VLOOKUP(B578,purchase_dataset!$B$2:$F$2241,3,FALSE)</f>
        <v>0</v>
      </c>
      <c r="N578">
        <f>VLOOKUP(B578,purchase_dataset!$B$2:$F$2241,5,FALSE)</f>
        <v>8</v>
      </c>
      <c r="O578" s="5">
        <v>49</v>
      </c>
      <c r="P578" s="4" t="str">
        <f t="shared" si="16"/>
        <v>30-50</v>
      </c>
      <c r="Q578" s="4">
        <f>M578+N578</f>
        <v>8</v>
      </c>
      <c r="U578" s="28" t="str" cm="1">
        <f t="array" ref="U578">_xlfn.IFS(F578&lt;30000,"30k",F578&lt;=50000,"30k-50k",F578&lt;=75000,"50k-75k",F578&lt;=100000,"75k-100k",F578&gt;100000,"100k")</f>
        <v>50k-75k</v>
      </c>
      <c r="W578" s="1">
        <f t="shared" si="17"/>
        <v>13</v>
      </c>
    </row>
    <row r="579" spans="1:23" x14ac:dyDescent="0.35">
      <c r="A579">
        <v>576</v>
      </c>
      <c r="B579">
        <v>8159</v>
      </c>
      <c r="C579">
        <v>1968</v>
      </c>
      <c r="D579" s="1" t="s">
        <v>10</v>
      </c>
      <c r="E579" s="1" t="s">
        <v>14</v>
      </c>
      <c r="F579">
        <v>51287</v>
      </c>
      <c r="G579">
        <v>1</v>
      </c>
      <c r="H579" s="2">
        <v>1</v>
      </c>
      <c r="I579" s="2">
        <v>41730</v>
      </c>
      <c r="J579">
        <v>10</v>
      </c>
      <c r="K579">
        <f>VLOOKUP(B579,purchase_dataset!$B$2:$F$2241,2,FALSE)</f>
        <v>0</v>
      </c>
      <c r="L579">
        <f>VLOOKUP(B579,purchase_dataset!$B$2:$F$2241,3,FALSE)</f>
        <v>0</v>
      </c>
      <c r="M579">
        <f>VLOOKUP(B579,purchase_dataset!$B$2:$F$2241,3,FALSE)</f>
        <v>0</v>
      </c>
      <c r="N579">
        <f>VLOOKUP(B579,purchase_dataset!$B$2:$F$2241,5,FALSE)</f>
        <v>3</v>
      </c>
      <c r="O579" s="5">
        <v>58</v>
      </c>
      <c r="P579" s="4" t="str">
        <f t="shared" si="16"/>
        <v>&gt;50</v>
      </c>
      <c r="Q579" s="4">
        <f>M579+N579</f>
        <v>3</v>
      </c>
      <c r="U579" s="28" t="str" cm="1">
        <f t="array" ref="U579">_xlfn.IFS(F579&lt;30000,"30k",F579&lt;=50000,"30k-50k",F579&lt;=75000,"50k-75k",F579&lt;=100000,"75k-100k",F579&gt;100000,"100k")</f>
        <v>50k-75k</v>
      </c>
      <c r="W579" s="1">
        <f t="shared" si="17"/>
        <v>12</v>
      </c>
    </row>
    <row r="580" spans="1:23" x14ac:dyDescent="0.35">
      <c r="A580">
        <v>577</v>
      </c>
      <c r="B580">
        <v>1160</v>
      </c>
      <c r="C580">
        <v>1970</v>
      </c>
      <c r="D580" s="1" t="s">
        <v>10</v>
      </c>
      <c r="E580" s="1" t="s">
        <v>14</v>
      </c>
      <c r="F580">
        <v>13260</v>
      </c>
      <c r="G580">
        <v>1</v>
      </c>
      <c r="H580" s="2">
        <v>1</v>
      </c>
      <c r="I580" s="2">
        <v>41509</v>
      </c>
      <c r="J580">
        <v>48</v>
      </c>
      <c r="K580">
        <f>VLOOKUP(B580,purchase_dataset!$B$2:$F$2241,2,FALSE)</f>
        <v>4</v>
      </c>
      <c r="L580">
        <f>VLOOKUP(B580,purchase_dataset!$B$2:$F$2241,3,FALSE)</f>
        <v>2</v>
      </c>
      <c r="M580">
        <f>VLOOKUP(B580,purchase_dataset!$B$2:$F$2241,3,FALSE)</f>
        <v>2</v>
      </c>
      <c r="N580">
        <f>VLOOKUP(B580,purchase_dataset!$B$2:$F$2241,5,FALSE)</f>
        <v>3</v>
      </c>
      <c r="O580" s="5">
        <v>56</v>
      </c>
      <c r="P580" s="4" t="str">
        <f t="shared" ref="P580:P643" si="18">IF(O580&lt;30,"30",IF(O580&lt;=50,"30-50","&gt;50"))</f>
        <v>&gt;50</v>
      </c>
      <c r="Q580" s="4">
        <f>M580+N580</f>
        <v>5</v>
      </c>
      <c r="U580" s="28" t="str" cm="1">
        <f t="array" ref="U580">_xlfn.IFS(F580&lt;30000,"30k",F580&lt;=50000,"30k-50k",F580&lt;=75000,"50k-75k",F580&lt;=100000,"75k-100k",F580&gt;100000,"100k")</f>
        <v>30k</v>
      </c>
      <c r="W580" s="1">
        <f t="shared" ref="W580:W643" si="19">2026-YEAR(I580)</f>
        <v>13</v>
      </c>
    </row>
    <row r="581" spans="1:23" x14ac:dyDescent="0.35">
      <c r="A581">
        <v>578</v>
      </c>
      <c r="B581">
        <v>10242</v>
      </c>
      <c r="C581">
        <v>1966</v>
      </c>
      <c r="D581" s="1" t="s">
        <v>13</v>
      </c>
      <c r="E581" s="1" t="s">
        <v>12</v>
      </c>
      <c r="F581">
        <v>47472</v>
      </c>
      <c r="G581">
        <v>1</v>
      </c>
      <c r="H581" s="2">
        <v>1</v>
      </c>
      <c r="I581" s="2">
        <v>41533</v>
      </c>
      <c r="J581">
        <v>39</v>
      </c>
      <c r="K581">
        <f>VLOOKUP(B581,purchase_dataset!$B$2:$F$2241,2,FALSE)</f>
        <v>0</v>
      </c>
      <c r="L581">
        <f>VLOOKUP(B581,purchase_dataset!$B$2:$F$2241,3,FALSE)</f>
        <v>0</v>
      </c>
      <c r="M581">
        <f>VLOOKUP(B581,purchase_dataset!$B$2:$F$2241,3,FALSE)</f>
        <v>0</v>
      </c>
      <c r="N581">
        <f>VLOOKUP(B581,purchase_dataset!$B$2:$F$2241,5,FALSE)</f>
        <v>4</v>
      </c>
      <c r="O581" s="5">
        <v>60</v>
      </c>
      <c r="P581" s="4" t="str">
        <f t="shared" si="18"/>
        <v>&gt;50</v>
      </c>
      <c r="Q581" s="4">
        <f>M581+N581</f>
        <v>4</v>
      </c>
      <c r="U581" s="28" t="str" cm="1">
        <f t="array" ref="U581">_xlfn.IFS(F581&lt;30000,"30k",F581&lt;=50000,"30k-50k",F581&lt;=75000,"50k-75k",F581&lt;=100000,"75k-100k",F581&gt;100000,"100k")</f>
        <v>30k-50k</v>
      </c>
      <c r="W581" s="1">
        <f t="shared" si="19"/>
        <v>13</v>
      </c>
    </row>
    <row r="582" spans="1:23" x14ac:dyDescent="0.35">
      <c r="A582">
        <v>579</v>
      </c>
      <c r="B582">
        <v>5253</v>
      </c>
      <c r="C582">
        <v>1956</v>
      </c>
      <c r="D582" s="1" t="s">
        <v>15</v>
      </c>
      <c r="E582" s="1" t="s">
        <v>12</v>
      </c>
      <c r="F582">
        <v>54603</v>
      </c>
      <c r="G582">
        <v>1</v>
      </c>
      <c r="H582" s="2">
        <v>1</v>
      </c>
      <c r="I582" s="2">
        <v>41464</v>
      </c>
      <c r="J582">
        <v>85</v>
      </c>
      <c r="K582">
        <f>VLOOKUP(B582,purchase_dataset!$B$2:$F$2241,2,FALSE)</f>
        <v>13</v>
      </c>
      <c r="L582">
        <f>VLOOKUP(B582,purchase_dataset!$B$2:$F$2241,3,FALSE)</f>
        <v>2</v>
      </c>
      <c r="M582">
        <f>VLOOKUP(B582,purchase_dataset!$B$2:$F$2241,3,FALSE)</f>
        <v>2</v>
      </c>
      <c r="N582">
        <f>VLOOKUP(B582,purchase_dataset!$B$2:$F$2241,5,FALSE)</f>
        <v>4</v>
      </c>
      <c r="O582" s="5">
        <v>70</v>
      </c>
      <c r="P582" s="4" t="str">
        <f t="shared" si="18"/>
        <v>&gt;50</v>
      </c>
      <c r="Q582" s="4">
        <f>M582+N582</f>
        <v>6</v>
      </c>
      <c r="U582" s="28" t="str" cm="1">
        <f t="array" ref="U582">_xlfn.IFS(F582&lt;30000,"30k",F582&lt;=50000,"30k-50k",F582&lt;=75000,"50k-75k",F582&lt;=100000,"75k-100k",F582&gt;100000,"100k")</f>
        <v>50k-75k</v>
      </c>
      <c r="W582" s="1">
        <f t="shared" si="19"/>
        <v>13</v>
      </c>
    </row>
    <row r="583" spans="1:23" x14ac:dyDescent="0.35">
      <c r="A583">
        <v>580</v>
      </c>
      <c r="B583">
        <v>5966</v>
      </c>
      <c r="C583">
        <v>1974</v>
      </c>
      <c r="D583" s="1" t="s">
        <v>13</v>
      </c>
      <c r="E583" s="1" t="s">
        <v>14</v>
      </c>
      <c r="F583">
        <v>45207</v>
      </c>
      <c r="G583">
        <v>1</v>
      </c>
      <c r="H583" s="2">
        <v>1</v>
      </c>
      <c r="I583" s="2">
        <v>41223</v>
      </c>
      <c r="J583">
        <v>64</v>
      </c>
      <c r="K583">
        <f>VLOOKUP(B583,purchase_dataset!$B$2:$F$2241,2,FALSE)</f>
        <v>0</v>
      </c>
      <c r="L583">
        <f>VLOOKUP(B583,purchase_dataset!$B$2:$F$2241,3,FALSE)</f>
        <v>0</v>
      </c>
      <c r="M583">
        <f>VLOOKUP(B583,purchase_dataset!$B$2:$F$2241,3,FALSE)</f>
        <v>0</v>
      </c>
      <c r="N583">
        <f>VLOOKUP(B583,purchase_dataset!$B$2:$F$2241,5,FALSE)</f>
        <v>6</v>
      </c>
      <c r="O583" s="5">
        <v>52</v>
      </c>
      <c r="P583" s="4" t="str">
        <f t="shared" si="18"/>
        <v>&gt;50</v>
      </c>
      <c r="Q583" s="4">
        <f>M583+N583</f>
        <v>6</v>
      </c>
      <c r="U583" s="28" t="str" cm="1">
        <f t="array" ref="U583">_xlfn.IFS(F583&lt;30000,"30k",F583&lt;=50000,"30k-50k",F583&lt;=75000,"50k-75k",F583&lt;=100000,"75k-100k",F583&gt;100000,"100k")</f>
        <v>30k-50k</v>
      </c>
      <c r="W583" s="1">
        <f t="shared" si="19"/>
        <v>14</v>
      </c>
    </row>
    <row r="584" spans="1:23" x14ac:dyDescent="0.35">
      <c r="A584">
        <v>581</v>
      </c>
      <c r="B584">
        <v>5314</v>
      </c>
      <c r="C584">
        <v>1951</v>
      </c>
      <c r="D584" s="1" t="s">
        <v>10</v>
      </c>
      <c r="E584" s="1" t="s">
        <v>12</v>
      </c>
      <c r="F584">
        <v>40689</v>
      </c>
      <c r="G584">
        <v>0</v>
      </c>
      <c r="H584" s="2">
        <v>1</v>
      </c>
      <c r="I584" s="2">
        <v>41351</v>
      </c>
      <c r="J584">
        <v>69</v>
      </c>
      <c r="K584">
        <f>VLOOKUP(B584,purchase_dataset!$B$2:$F$2241,2,FALSE)</f>
        <v>3</v>
      </c>
      <c r="L584">
        <f>VLOOKUP(B584,purchase_dataset!$B$2:$F$2241,3,FALSE)</f>
        <v>6</v>
      </c>
      <c r="M584">
        <f>VLOOKUP(B584,purchase_dataset!$B$2:$F$2241,3,FALSE)</f>
        <v>6</v>
      </c>
      <c r="N584">
        <f>VLOOKUP(B584,purchase_dataset!$B$2:$F$2241,5,FALSE)</f>
        <v>5</v>
      </c>
      <c r="O584" s="5">
        <v>75</v>
      </c>
      <c r="P584" s="4" t="str">
        <f t="shared" si="18"/>
        <v>&gt;50</v>
      </c>
      <c r="Q584" s="4">
        <f>M584+N584</f>
        <v>11</v>
      </c>
      <c r="U584" s="28" t="str" cm="1">
        <f t="array" ref="U584">_xlfn.IFS(F584&lt;30000,"30k",F584&lt;=50000,"30k-50k",F584&lt;=75000,"50k-75k",F584&lt;=100000,"75k-100k",F584&gt;100000,"100k")</f>
        <v>30k-50k</v>
      </c>
      <c r="W584" s="1">
        <f t="shared" si="19"/>
        <v>13</v>
      </c>
    </row>
    <row r="585" spans="1:23" x14ac:dyDescent="0.35">
      <c r="A585">
        <v>582</v>
      </c>
      <c r="B585">
        <v>5081</v>
      </c>
      <c r="C585">
        <v>1967</v>
      </c>
      <c r="D585" s="1" t="s">
        <v>18</v>
      </c>
      <c r="E585" s="1" t="s">
        <v>12</v>
      </c>
      <c r="F585">
        <v>47821</v>
      </c>
      <c r="G585">
        <v>1</v>
      </c>
      <c r="H585" s="2">
        <v>1</v>
      </c>
      <c r="I585" s="2">
        <v>41567</v>
      </c>
      <c r="J585">
        <v>54</v>
      </c>
      <c r="K585">
        <f>VLOOKUP(B585,purchase_dataset!$B$2:$F$2241,2,FALSE)</f>
        <v>0</v>
      </c>
      <c r="L585">
        <f>VLOOKUP(B585,purchase_dataset!$B$2:$F$2241,3,FALSE)</f>
        <v>6</v>
      </c>
      <c r="M585">
        <f>VLOOKUP(B585,purchase_dataset!$B$2:$F$2241,3,FALSE)</f>
        <v>6</v>
      </c>
      <c r="N585">
        <f>VLOOKUP(B585,purchase_dataset!$B$2:$F$2241,5,FALSE)</f>
        <v>3</v>
      </c>
      <c r="O585" s="5">
        <v>59</v>
      </c>
      <c r="P585" s="4" t="str">
        <f t="shared" si="18"/>
        <v>&gt;50</v>
      </c>
      <c r="Q585" s="4">
        <f>M585+N585</f>
        <v>9</v>
      </c>
      <c r="U585" s="28" t="str" cm="1">
        <f t="array" ref="U585">_xlfn.IFS(F585&lt;30000,"30k",F585&lt;=50000,"30k-50k",F585&lt;=75000,"50k-75k",F585&lt;=100000,"75k-100k",F585&gt;100000,"100k")</f>
        <v>30k-50k</v>
      </c>
      <c r="W585" s="1">
        <f t="shared" si="19"/>
        <v>13</v>
      </c>
    </row>
    <row r="586" spans="1:23" x14ac:dyDescent="0.35">
      <c r="A586">
        <v>583</v>
      </c>
      <c r="B586">
        <v>5123</v>
      </c>
      <c r="C586">
        <v>1951</v>
      </c>
      <c r="D586" s="1" t="s">
        <v>15</v>
      </c>
      <c r="E586" s="1" t="s">
        <v>14</v>
      </c>
      <c r="F586">
        <v>27450</v>
      </c>
      <c r="G586">
        <v>0</v>
      </c>
      <c r="H586" s="2">
        <v>0</v>
      </c>
      <c r="I586" s="2">
        <v>41379</v>
      </c>
      <c r="J586">
        <v>57</v>
      </c>
      <c r="K586">
        <f>VLOOKUP(B586,purchase_dataset!$B$2:$F$2241,2,FALSE)</f>
        <v>12</v>
      </c>
      <c r="L586">
        <f>VLOOKUP(B586,purchase_dataset!$B$2:$F$2241,3,FALSE)</f>
        <v>11</v>
      </c>
      <c r="M586">
        <f>VLOOKUP(B586,purchase_dataset!$B$2:$F$2241,3,FALSE)</f>
        <v>11</v>
      </c>
      <c r="N586">
        <f>VLOOKUP(B586,purchase_dataset!$B$2:$F$2241,5,FALSE)</f>
        <v>3</v>
      </c>
      <c r="O586" s="5">
        <v>75</v>
      </c>
      <c r="P586" s="4" t="str">
        <f t="shared" si="18"/>
        <v>&gt;50</v>
      </c>
      <c r="Q586" s="4">
        <f>M586+N586</f>
        <v>14</v>
      </c>
      <c r="U586" s="28" t="str" cm="1">
        <f t="array" ref="U586">_xlfn.IFS(F586&lt;30000,"30k",F586&lt;=50000,"30k-50k",F586&lt;=75000,"50k-75k",F586&lt;=100000,"75k-100k",F586&gt;100000,"100k")</f>
        <v>30k</v>
      </c>
      <c r="W586" s="1">
        <f t="shared" si="19"/>
        <v>13</v>
      </c>
    </row>
    <row r="587" spans="1:23" x14ac:dyDescent="0.35">
      <c r="A587">
        <v>584</v>
      </c>
      <c r="B587">
        <v>5756</v>
      </c>
      <c r="C587">
        <v>1983</v>
      </c>
      <c r="D587" s="1" t="s">
        <v>10</v>
      </c>
      <c r="E587" s="1" t="s">
        <v>12</v>
      </c>
      <c r="F587">
        <v>39453</v>
      </c>
      <c r="G587">
        <v>1</v>
      </c>
      <c r="H587" s="2">
        <v>0</v>
      </c>
      <c r="I587" s="2">
        <v>41732</v>
      </c>
      <c r="J587">
        <v>64</v>
      </c>
      <c r="K587">
        <f>VLOOKUP(B587,purchase_dataset!$B$2:$F$2241,2,FALSE)</f>
        <v>0</v>
      </c>
      <c r="L587">
        <f>VLOOKUP(B587,purchase_dataset!$B$2:$F$2241,3,FALSE)</f>
        <v>0</v>
      </c>
      <c r="M587">
        <f>VLOOKUP(B587,purchase_dataset!$B$2:$F$2241,3,FALSE)</f>
        <v>0</v>
      </c>
      <c r="N587">
        <f>VLOOKUP(B587,purchase_dataset!$B$2:$F$2241,5,FALSE)</f>
        <v>3</v>
      </c>
      <c r="O587" s="5">
        <v>43</v>
      </c>
      <c r="P587" s="4" t="str">
        <f t="shared" si="18"/>
        <v>30-50</v>
      </c>
      <c r="Q587" s="4">
        <f>M587+N587</f>
        <v>3</v>
      </c>
      <c r="U587" s="28" t="str" cm="1">
        <f t="array" ref="U587">_xlfn.IFS(F587&lt;30000,"30k",F587&lt;=50000,"30k-50k",F587&lt;=75000,"50k-75k",F587&lt;=100000,"75k-100k",F587&gt;100000,"100k")</f>
        <v>30k-50k</v>
      </c>
      <c r="W587" s="1">
        <f t="shared" si="19"/>
        <v>12</v>
      </c>
    </row>
    <row r="588" spans="1:23" x14ac:dyDescent="0.35">
      <c r="A588">
        <v>585</v>
      </c>
      <c r="B588">
        <v>8036</v>
      </c>
      <c r="C588">
        <v>1971</v>
      </c>
      <c r="D588" s="1" t="s">
        <v>18</v>
      </c>
      <c r="E588" s="1" t="s">
        <v>12</v>
      </c>
      <c r="F588">
        <v>26850</v>
      </c>
      <c r="G588">
        <v>1</v>
      </c>
      <c r="H588" s="2">
        <v>1</v>
      </c>
      <c r="I588" s="2">
        <v>41747</v>
      </c>
      <c r="J588">
        <v>10</v>
      </c>
      <c r="K588">
        <f>VLOOKUP(B588,purchase_dataset!$B$2:$F$2241,2,FALSE)</f>
        <v>1</v>
      </c>
      <c r="L588">
        <f>VLOOKUP(B588,purchase_dataset!$B$2:$F$2241,3,FALSE)</f>
        <v>2</v>
      </c>
      <c r="M588">
        <f>VLOOKUP(B588,purchase_dataset!$B$2:$F$2241,3,FALSE)</f>
        <v>2</v>
      </c>
      <c r="N588">
        <f>VLOOKUP(B588,purchase_dataset!$B$2:$F$2241,5,FALSE)</f>
        <v>4</v>
      </c>
      <c r="O588" s="5">
        <v>55</v>
      </c>
      <c r="P588" s="4" t="str">
        <f t="shared" si="18"/>
        <v>&gt;50</v>
      </c>
      <c r="Q588" s="4">
        <f>M588+N588</f>
        <v>6</v>
      </c>
      <c r="U588" s="28" t="str" cm="1">
        <f t="array" ref="U588">_xlfn.IFS(F588&lt;30000,"30k",F588&lt;=50000,"30k-50k",F588&lt;=75000,"50k-75k",F588&lt;=100000,"75k-100k",F588&gt;100000,"100k")</f>
        <v>30k</v>
      </c>
      <c r="W588" s="1">
        <f t="shared" si="19"/>
        <v>12</v>
      </c>
    </row>
    <row r="589" spans="1:23" x14ac:dyDescent="0.35">
      <c r="A589">
        <v>586</v>
      </c>
      <c r="B589">
        <v>9058</v>
      </c>
      <c r="C589">
        <v>1955</v>
      </c>
      <c r="D589" s="1" t="s">
        <v>10</v>
      </c>
      <c r="E589" s="1" t="s">
        <v>19</v>
      </c>
      <c r="F589">
        <v>79800</v>
      </c>
      <c r="G589">
        <v>0</v>
      </c>
      <c r="H589" s="2">
        <v>0</v>
      </c>
      <c r="I589" s="2">
        <v>41175</v>
      </c>
      <c r="J589">
        <v>65</v>
      </c>
      <c r="K589">
        <f>VLOOKUP(B589,purchase_dataset!$B$2:$F$2241,2,FALSE)</f>
        <v>21</v>
      </c>
      <c r="L589">
        <f>VLOOKUP(B589,purchase_dataset!$B$2:$F$2241,3,FALSE)</f>
        <v>0</v>
      </c>
      <c r="M589">
        <f>VLOOKUP(B589,purchase_dataset!$B$2:$F$2241,3,FALSE)</f>
        <v>0</v>
      </c>
      <c r="N589">
        <f>VLOOKUP(B589,purchase_dataset!$B$2:$F$2241,5,FALSE)</f>
        <v>5</v>
      </c>
      <c r="O589" s="5">
        <v>71</v>
      </c>
      <c r="P589" s="4" t="str">
        <f t="shared" si="18"/>
        <v>&gt;50</v>
      </c>
      <c r="Q589" s="4">
        <f>M589+N589</f>
        <v>5</v>
      </c>
      <c r="U589" s="28" t="str" cm="1">
        <f t="array" ref="U589">_xlfn.IFS(F589&lt;30000,"30k",F589&lt;=50000,"30k-50k",F589&lt;=75000,"50k-75k",F589&lt;=100000,"75k-100k",F589&gt;100000,"100k")</f>
        <v>75k-100k</v>
      </c>
      <c r="W589" s="1">
        <f t="shared" si="19"/>
        <v>14</v>
      </c>
    </row>
    <row r="590" spans="1:23" x14ac:dyDescent="0.35">
      <c r="A590">
        <v>587</v>
      </c>
      <c r="B590">
        <v>5057</v>
      </c>
      <c r="C590">
        <v>1961</v>
      </c>
      <c r="D590" s="1" t="s">
        <v>15</v>
      </c>
      <c r="E590" s="1" t="s">
        <v>14</v>
      </c>
      <c r="F590">
        <v>61794</v>
      </c>
      <c r="G590">
        <v>0</v>
      </c>
      <c r="H590" s="2">
        <v>1</v>
      </c>
      <c r="I590" s="2">
        <v>41531</v>
      </c>
      <c r="J590">
        <v>74</v>
      </c>
      <c r="K590">
        <f>VLOOKUP(B590,purchase_dataset!$B$2:$F$2241,2,FALSE)</f>
        <v>47</v>
      </c>
      <c r="L590">
        <f>VLOOKUP(B590,purchase_dataset!$B$2:$F$2241,3,FALSE)</f>
        <v>47</v>
      </c>
      <c r="M590">
        <f>VLOOKUP(B590,purchase_dataset!$B$2:$F$2241,3,FALSE)</f>
        <v>47</v>
      </c>
      <c r="N590">
        <f>VLOOKUP(B590,purchase_dataset!$B$2:$F$2241,5,FALSE)</f>
        <v>10</v>
      </c>
      <c r="O590" s="5">
        <v>65</v>
      </c>
      <c r="P590" s="4" t="str">
        <f t="shared" si="18"/>
        <v>&gt;50</v>
      </c>
      <c r="Q590" s="4">
        <f>M590+N590</f>
        <v>57</v>
      </c>
      <c r="U590" s="28" t="str" cm="1">
        <f t="array" ref="U590">_xlfn.IFS(F590&lt;30000,"30k",F590&lt;=50000,"30k-50k",F590&lt;=75000,"50k-75k",F590&lt;=100000,"75k-100k",F590&gt;100000,"100k")</f>
        <v>50k-75k</v>
      </c>
      <c r="W590" s="1">
        <f t="shared" si="19"/>
        <v>13</v>
      </c>
    </row>
    <row r="591" spans="1:23" x14ac:dyDescent="0.35">
      <c r="A591">
        <v>588</v>
      </c>
      <c r="B591">
        <v>254</v>
      </c>
      <c r="C591">
        <v>1955</v>
      </c>
      <c r="D591" s="1" t="s">
        <v>10</v>
      </c>
      <c r="E591" s="1" t="s">
        <v>12</v>
      </c>
      <c r="F591">
        <v>53863</v>
      </c>
      <c r="G591">
        <v>0</v>
      </c>
      <c r="H591" s="2">
        <v>1</v>
      </c>
      <c r="I591" s="2">
        <v>41776</v>
      </c>
      <c r="J591">
        <v>4</v>
      </c>
      <c r="K591">
        <f>VLOOKUP(B591,purchase_dataset!$B$2:$F$2241,2,FALSE)</f>
        <v>4</v>
      </c>
      <c r="L591">
        <f>VLOOKUP(B591,purchase_dataset!$B$2:$F$2241,3,FALSE)</f>
        <v>4</v>
      </c>
      <c r="M591">
        <f>VLOOKUP(B591,purchase_dataset!$B$2:$F$2241,3,FALSE)</f>
        <v>4</v>
      </c>
      <c r="N591">
        <f>VLOOKUP(B591,purchase_dataset!$B$2:$F$2241,5,FALSE)</f>
        <v>7</v>
      </c>
      <c r="O591" s="5">
        <v>71</v>
      </c>
      <c r="P591" s="4" t="str">
        <f t="shared" si="18"/>
        <v>&gt;50</v>
      </c>
      <c r="Q591" s="4">
        <f>M591+N591</f>
        <v>11</v>
      </c>
      <c r="U591" s="28" t="str" cm="1">
        <f t="array" ref="U591">_xlfn.IFS(F591&lt;30000,"30k",F591&lt;=50000,"30k-50k",F591&lt;=75000,"50k-75k",F591&lt;=100000,"75k-100k",F591&gt;100000,"100k")</f>
        <v>50k-75k</v>
      </c>
      <c r="W591" s="1">
        <f t="shared" si="19"/>
        <v>12</v>
      </c>
    </row>
    <row r="592" spans="1:23" x14ac:dyDescent="0.35">
      <c r="A592">
        <v>589</v>
      </c>
      <c r="B592">
        <v>4179</v>
      </c>
      <c r="C592">
        <v>1959</v>
      </c>
      <c r="D592" s="1" t="s">
        <v>10</v>
      </c>
      <c r="E592" s="1" t="s">
        <v>12</v>
      </c>
      <c r="F592">
        <v>24221</v>
      </c>
      <c r="G592">
        <v>0</v>
      </c>
      <c r="H592" s="2">
        <v>0</v>
      </c>
      <c r="I592" s="2">
        <v>41506</v>
      </c>
      <c r="J592">
        <v>94</v>
      </c>
      <c r="K592">
        <f>VLOOKUP(B592,purchase_dataset!$B$2:$F$2241,2,FALSE)</f>
        <v>9</v>
      </c>
      <c r="L592">
        <f>VLOOKUP(B592,purchase_dataset!$B$2:$F$2241,3,FALSE)</f>
        <v>5</v>
      </c>
      <c r="M592">
        <f>VLOOKUP(B592,purchase_dataset!$B$2:$F$2241,3,FALSE)</f>
        <v>5</v>
      </c>
      <c r="N592">
        <f>VLOOKUP(B592,purchase_dataset!$B$2:$F$2241,5,FALSE)</f>
        <v>3</v>
      </c>
      <c r="O592" s="5">
        <v>67</v>
      </c>
      <c r="P592" s="4" t="str">
        <f t="shared" si="18"/>
        <v>&gt;50</v>
      </c>
      <c r="Q592" s="4">
        <f>M592+N592</f>
        <v>8</v>
      </c>
      <c r="U592" s="28" t="str" cm="1">
        <f t="array" ref="U592">_xlfn.IFS(F592&lt;30000,"30k",F592&lt;=50000,"30k-50k",F592&lt;=75000,"50k-75k",F592&lt;=100000,"75k-100k",F592&gt;100000,"100k")</f>
        <v>30k</v>
      </c>
      <c r="W592" s="1">
        <f t="shared" si="19"/>
        <v>13</v>
      </c>
    </row>
    <row r="593" spans="1:23" x14ac:dyDescent="0.35">
      <c r="A593">
        <v>590</v>
      </c>
      <c r="B593">
        <v>3710</v>
      </c>
      <c r="C593">
        <v>1984</v>
      </c>
      <c r="D593" s="1" t="s">
        <v>13</v>
      </c>
      <c r="E593" s="1" t="s">
        <v>11</v>
      </c>
      <c r="F593">
        <v>39684</v>
      </c>
      <c r="G593">
        <v>1</v>
      </c>
      <c r="H593" s="2">
        <v>0</v>
      </c>
      <c r="I593" s="2">
        <v>41194</v>
      </c>
      <c r="J593">
        <v>41</v>
      </c>
      <c r="K593">
        <f>VLOOKUP(B593,purchase_dataset!$B$2:$F$2241,2,FALSE)</f>
        <v>0</v>
      </c>
      <c r="L593">
        <f>VLOOKUP(B593,purchase_dataset!$B$2:$F$2241,3,FALSE)</f>
        <v>4</v>
      </c>
      <c r="M593">
        <f>VLOOKUP(B593,purchase_dataset!$B$2:$F$2241,3,FALSE)</f>
        <v>4</v>
      </c>
      <c r="N593">
        <f>VLOOKUP(B593,purchase_dataset!$B$2:$F$2241,5,FALSE)</f>
        <v>2</v>
      </c>
      <c r="O593" s="5">
        <v>42</v>
      </c>
      <c r="P593" s="4" t="str">
        <f t="shared" si="18"/>
        <v>30-50</v>
      </c>
      <c r="Q593" s="4">
        <f>M593+N593</f>
        <v>6</v>
      </c>
      <c r="U593" s="28" t="str" cm="1">
        <f t="array" ref="U593">_xlfn.IFS(F593&lt;30000,"30k",F593&lt;=50000,"30k-50k",F593&lt;=75000,"50k-75k",F593&lt;=100000,"75k-100k",F593&gt;100000,"100k")</f>
        <v>30k-50k</v>
      </c>
      <c r="W593" s="1">
        <f t="shared" si="19"/>
        <v>14</v>
      </c>
    </row>
    <row r="594" spans="1:23" x14ac:dyDescent="0.35">
      <c r="A594">
        <v>591</v>
      </c>
      <c r="B594">
        <v>7627</v>
      </c>
      <c r="C594">
        <v>1975</v>
      </c>
      <c r="D594" s="1" t="s">
        <v>15</v>
      </c>
      <c r="E594" s="1" t="s">
        <v>14</v>
      </c>
      <c r="F594">
        <v>92163</v>
      </c>
      <c r="G594">
        <v>0</v>
      </c>
      <c r="H594" s="2">
        <v>0</v>
      </c>
      <c r="I594" s="2">
        <v>41255</v>
      </c>
      <c r="J594">
        <v>25</v>
      </c>
      <c r="K594">
        <f>VLOOKUP(B594,purchase_dataset!$B$2:$F$2241,2,FALSE)</f>
        <v>183</v>
      </c>
      <c r="L594">
        <f>VLOOKUP(B594,purchase_dataset!$B$2:$F$2241,3,FALSE)</f>
        <v>163</v>
      </c>
      <c r="M594">
        <f>VLOOKUP(B594,purchase_dataset!$B$2:$F$2241,3,FALSE)</f>
        <v>163</v>
      </c>
      <c r="N594">
        <f>VLOOKUP(B594,purchase_dataset!$B$2:$F$2241,5,FALSE)</f>
        <v>5</v>
      </c>
      <c r="O594" s="5">
        <v>51</v>
      </c>
      <c r="P594" s="4" t="str">
        <f t="shared" si="18"/>
        <v>&gt;50</v>
      </c>
      <c r="Q594" s="4">
        <f>M594+N594</f>
        <v>168</v>
      </c>
      <c r="U594" s="28" t="str" cm="1">
        <f t="array" ref="U594">_xlfn.IFS(F594&lt;30000,"30k",F594&lt;=50000,"30k-50k",F594&lt;=75000,"50k-75k",F594&lt;=100000,"75k-100k",F594&gt;100000,"100k")</f>
        <v>75k-100k</v>
      </c>
      <c r="W594" s="1">
        <f t="shared" si="19"/>
        <v>14</v>
      </c>
    </row>
    <row r="595" spans="1:23" x14ac:dyDescent="0.35">
      <c r="A595">
        <v>592</v>
      </c>
      <c r="B595">
        <v>4501</v>
      </c>
      <c r="C595">
        <v>1965</v>
      </c>
      <c r="D595" s="1" t="s">
        <v>15</v>
      </c>
      <c r="E595" s="1" t="s">
        <v>11</v>
      </c>
      <c r="F595">
        <v>69882</v>
      </c>
      <c r="G595">
        <v>0</v>
      </c>
      <c r="H595" s="2">
        <v>0</v>
      </c>
      <c r="I595" s="2">
        <v>41588</v>
      </c>
      <c r="J595">
        <v>94</v>
      </c>
      <c r="K595">
        <f>VLOOKUP(B595,purchase_dataset!$B$2:$F$2241,2,FALSE)</f>
        <v>127</v>
      </c>
      <c r="L595">
        <f>VLOOKUP(B595,purchase_dataset!$B$2:$F$2241,3,FALSE)</f>
        <v>127</v>
      </c>
      <c r="M595">
        <f>VLOOKUP(B595,purchase_dataset!$B$2:$F$2241,3,FALSE)</f>
        <v>127</v>
      </c>
      <c r="N595">
        <f>VLOOKUP(B595,purchase_dataset!$B$2:$F$2241,5,FALSE)</f>
        <v>9</v>
      </c>
      <c r="O595" s="5">
        <v>61</v>
      </c>
      <c r="P595" s="4" t="str">
        <f t="shared" si="18"/>
        <v>&gt;50</v>
      </c>
      <c r="Q595" s="4">
        <f>M595+N595</f>
        <v>136</v>
      </c>
      <c r="U595" s="28" t="str" cm="1">
        <f t="array" ref="U595">_xlfn.IFS(F595&lt;30000,"30k",F595&lt;=50000,"30k-50k",F595&lt;=75000,"50k-75k",F595&lt;=100000,"75k-100k",F595&gt;100000,"100k")</f>
        <v>50k-75k</v>
      </c>
      <c r="W595" s="1">
        <f t="shared" si="19"/>
        <v>13</v>
      </c>
    </row>
    <row r="596" spans="1:23" x14ac:dyDescent="0.35">
      <c r="A596">
        <v>593</v>
      </c>
      <c r="B596">
        <v>6424</v>
      </c>
      <c r="C596">
        <v>1977</v>
      </c>
      <c r="D596" s="1" t="s">
        <v>10</v>
      </c>
      <c r="E596" s="1" t="s">
        <v>12</v>
      </c>
      <c r="F596">
        <v>33178</v>
      </c>
      <c r="G596">
        <v>1</v>
      </c>
      <c r="H596" s="2">
        <v>0</v>
      </c>
      <c r="I596" s="2">
        <v>41669</v>
      </c>
      <c r="J596">
        <v>9</v>
      </c>
      <c r="K596">
        <f>VLOOKUP(B596,purchase_dataset!$B$2:$F$2241,2,FALSE)</f>
        <v>6</v>
      </c>
      <c r="L596">
        <f>VLOOKUP(B596,purchase_dataset!$B$2:$F$2241,3,FALSE)</f>
        <v>2</v>
      </c>
      <c r="M596">
        <f>VLOOKUP(B596,purchase_dataset!$B$2:$F$2241,3,FALSE)</f>
        <v>2</v>
      </c>
      <c r="N596">
        <f>VLOOKUP(B596,purchase_dataset!$B$2:$F$2241,5,FALSE)</f>
        <v>3</v>
      </c>
      <c r="O596" s="5">
        <v>49</v>
      </c>
      <c r="P596" s="4" t="str">
        <f t="shared" si="18"/>
        <v>30-50</v>
      </c>
      <c r="Q596" s="4">
        <f>M596+N596</f>
        <v>5</v>
      </c>
      <c r="U596" s="28" t="str" cm="1">
        <f t="array" ref="U596">_xlfn.IFS(F596&lt;30000,"30k",F596&lt;=50000,"30k-50k",F596&lt;=75000,"50k-75k",F596&lt;=100000,"75k-100k",F596&gt;100000,"100k")</f>
        <v>30k-50k</v>
      </c>
      <c r="W596" s="1">
        <f t="shared" si="19"/>
        <v>12</v>
      </c>
    </row>
    <row r="597" spans="1:23" x14ac:dyDescent="0.35">
      <c r="A597">
        <v>594</v>
      </c>
      <c r="B597">
        <v>3075</v>
      </c>
      <c r="C597">
        <v>1972</v>
      </c>
      <c r="D597" s="1" t="s">
        <v>13</v>
      </c>
      <c r="E597" s="1" t="s">
        <v>14</v>
      </c>
      <c r="F597">
        <v>59973</v>
      </c>
      <c r="G597">
        <v>0</v>
      </c>
      <c r="H597" s="2">
        <v>0</v>
      </c>
      <c r="I597" s="2">
        <v>41528</v>
      </c>
      <c r="J597">
        <v>47</v>
      </c>
      <c r="K597">
        <f>VLOOKUP(B597,purchase_dataset!$B$2:$F$2241,2,FALSE)</f>
        <v>30</v>
      </c>
      <c r="L597">
        <f>VLOOKUP(B597,purchase_dataset!$B$2:$F$2241,3,FALSE)</f>
        <v>34</v>
      </c>
      <c r="M597">
        <f>VLOOKUP(B597,purchase_dataset!$B$2:$F$2241,3,FALSE)</f>
        <v>34</v>
      </c>
      <c r="N597">
        <f>VLOOKUP(B597,purchase_dataset!$B$2:$F$2241,5,FALSE)</f>
        <v>7</v>
      </c>
      <c r="O597" s="5">
        <v>54</v>
      </c>
      <c r="P597" s="4" t="str">
        <f t="shared" si="18"/>
        <v>&gt;50</v>
      </c>
      <c r="Q597" s="4">
        <f>M597+N597</f>
        <v>41</v>
      </c>
      <c r="U597" s="28" t="str" cm="1">
        <f t="array" ref="U597">_xlfn.IFS(F597&lt;30000,"30k",F597&lt;=50000,"30k-50k",F597&lt;=75000,"50k-75k",F597&lt;=100000,"75k-100k",F597&gt;100000,"100k")</f>
        <v>50k-75k</v>
      </c>
      <c r="W597" s="1">
        <f t="shared" si="19"/>
        <v>13</v>
      </c>
    </row>
    <row r="598" spans="1:23" x14ac:dyDescent="0.35">
      <c r="A598">
        <v>595</v>
      </c>
      <c r="B598">
        <v>4992</v>
      </c>
      <c r="C598">
        <v>1975</v>
      </c>
      <c r="D598" s="1" t="s">
        <v>15</v>
      </c>
      <c r="E598" s="1" t="s">
        <v>12</v>
      </c>
      <c r="F598">
        <v>17459</v>
      </c>
      <c r="G598">
        <v>1</v>
      </c>
      <c r="H598" s="2">
        <v>0</v>
      </c>
      <c r="I598" s="2">
        <v>41536</v>
      </c>
      <c r="J598">
        <v>12</v>
      </c>
      <c r="K598">
        <f>VLOOKUP(B598,purchase_dataset!$B$2:$F$2241,2,FALSE)</f>
        <v>4</v>
      </c>
      <c r="L598">
        <f>VLOOKUP(B598,purchase_dataset!$B$2:$F$2241,3,FALSE)</f>
        <v>10</v>
      </c>
      <c r="M598">
        <f>VLOOKUP(B598,purchase_dataset!$B$2:$F$2241,3,FALSE)</f>
        <v>10</v>
      </c>
      <c r="N598">
        <f>VLOOKUP(B598,purchase_dataset!$B$2:$F$2241,5,FALSE)</f>
        <v>2</v>
      </c>
      <c r="O598" s="5">
        <v>51</v>
      </c>
      <c r="P598" s="4" t="str">
        <f t="shared" si="18"/>
        <v>&gt;50</v>
      </c>
      <c r="Q598" s="4">
        <f>M598+N598</f>
        <v>12</v>
      </c>
      <c r="U598" s="28" t="str" cm="1">
        <f t="array" ref="U598">_xlfn.IFS(F598&lt;30000,"30k",F598&lt;=50000,"30k-50k",F598&lt;=75000,"50k-75k",F598&lt;=100000,"75k-100k",F598&gt;100000,"100k")</f>
        <v>30k</v>
      </c>
      <c r="W598" s="1">
        <f t="shared" si="19"/>
        <v>13</v>
      </c>
    </row>
    <row r="599" spans="1:23" x14ac:dyDescent="0.35">
      <c r="A599">
        <v>596</v>
      </c>
      <c r="B599">
        <v>5252</v>
      </c>
      <c r="C599">
        <v>1969</v>
      </c>
      <c r="D599" s="1" t="s">
        <v>10</v>
      </c>
      <c r="E599" s="1" t="s">
        <v>16</v>
      </c>
      <c r="F599">
        <v>23910</v>
      </c>
      <c r="G599">
        <v>1</v>
      </c>
      <c r="H599" s="2">
        <v>0</v>
      </c>
      <c r="I599" s="2">
        <v>41208</v>
      </c>
      <c r="J599">
        <v>80</v>
      </c>
      <c r="K599">
        <f>VLOOKUP(B599,purchase_dataset!$B$2:$F$2241,2,FALSE)</f>
        <v>12</v>
      </c>
      <c r="L599">
        <f>VLOOKUP(B599,purchase_dataset!$B$2:$F$2241,3,FALSE)</f>
        <v>1</v>
      </c>
      <c r="M599">
        <f>VLOOKUP(B599,purchase_dataset!$B$2:$F$2241,3,FALSE)</f>
        <v>1</v>
      </c>
      <c r="N599">
        <f>VLOOKUP(B599,purchase_dataset!$B$2:$F$2241,5,FALSE)</f>
        <v>3</v>
      </c>
      <c r="O599" s="5">
        <v>57</v>
      </c>
      <c r="P599" s="4" t="str">
        <f t="shared" si="18"/>
        <v>&gt;50</v>
      </c>
      <c r="Q599" s="4">
        <f>M599+N599</f>
        <v>4</v>
      </c>
      <c r="U599" s="28" t="str" cm="1">
        <f t="array" ref="U599">_xlfn.IFS(F599&lt;30000,"30k",F599&lt;=50000,"30k-50k",F599&lt;=75000,"50k-75k",F599&lt;=100000,"75k-100k",F599&gt;100000,"100k")</f>
        <v>30k</v>
      </c>
      <c r="W599" s="1">
        <f t="shared" si="19"/>
        <v>14</v>
      </c>
    </row>
    <row r="600" spans="1:23" x14ac:dyDescent="0.35">
      <c r="A600">
        <v>597</v>
      </c>
      <c r="B600">
        <v>7444</v>
      </c>
      <c r="C600">
        <v>1969</v>
      </c>
      <c r="D600" s="1" t="s">
        <v>15</v>
      </c>
      <c r="E600" s="1" t="s">
        <v>14</v>
      </c>
      <c r="F600">
        <v>42169</v>
      </c>
      <c r="G600">
        <v>1</v>
      </c>
      <c r="H600" s="2">
        <v>1</v>
      </c>
      <c r="I600" s="2">
        <v>41566</v>
      </c>
      <c r="J600">
        <v>20</v>
      </c>
      <c r="K600">
        <f>VLOOKUP(B600,purchase_dataset!$B$2:$F$2241,2,FALSE)</f>
        <v>0</v>
      </c>
      <c r="L600">
        <f>VLOOKUP(B600,purchase_dataset!$B$2:$F$2241,3,FALSE)</f>
        <v>0</v>
      </c>
      <c r="M600">
        <f>VLOOKUP(B600,purchase_dataset!$B$2:$F$2241,3,FALSE)</f>
        <v>0</v>
      </c>
      <c r="N600">
        <f>VLOOKUP(B600,purchase_dataset!$B$2:$F$2241,5,FALSE)</f>
        <v>3</v>
      </c>
      <c r="O600" s="5">
        <v>57</v>
      </c>
      <c r="P600" s="4" t="str">
        <f t="shared" si="18"/>
        <v>&gt;50</v>
      </c>
      <c r="Q600" s="4">
        <f>M600+N600</f>
        <v>3</v>
      </c>
      <c r="U600" s="28" t="str" cm="1">
        <f t="array" ref="U600">_xlfn.IFS(F600&lt;30000,"30k",F600&lt;=50000,"30k-50k",F600&lt;=75000,"50k-75k",F600&lt;=100000,"75k-100k",F600&gt;100000,"100k")</f>
        <v>30k-50k</v>
      </c>
      <c r="W600" s="1">
        <f t="shared" si="19"/>
        <v>13</v>
      </c>
    </row>
    <row r="601" spans="1:23" x14ac:dyDescent="0.35">
      <c r="A601">
        <v>598</v>
      </c>
      <c r="B601">
        <v>6919</v>
      </c>
      <c r="C601">
        <v>1978</v>
      </c>
      <c r="D601" s="1" t="s">
        <v>18</v>
      </c>
      <c r="E601" s="1" t="s">
        <v>14</v>
      </c>
      <c r="F601">
        <v>26224</v>
      </c>
      <c r="G601">
        <v>1</v>
      </c>
      <c r="H601" s="2">
        <v>0</v>
      </c>
      <c r="I601" s="2">
        <v>41429</v>
      </c>
      <c r="J601">
        <v>39</v>
      </c>
      <c r="K601">
        <f>VLOOKUP(B601,purchase_dataset!$B$2:$F$2241,2,FALSE)</f>
        <v>7</v>
      </c>
      <c r="L601">
        <f>VLOOKUP(B601,purchase_dataset!$B$2:$F$2241,3,FALSE)</f>
        <v>9</v>
      </c>
      <c r="M601">
        <f>VLOOKUP(B601,purchase_dataset!$B$2:$F$2241,3,FALSE)</f>
        <v>9</v>
      </c>
      <c r="N601">
        <f>VLOOKUP(B601,purchase_dataset!$B$2:$F$2241,5,FALSE)</f>
        <v>3</v>
      </c>
      <c r="O601" s="5">
        <v>48</v>
      </c>
      <c r="P601" s="4" t="str">
        <f t="shared" si="18"/>
        <v>30-50</v>
      </c>
      <c r="Q601" s="4">
        <f>M601+N601</f>
        <v>12</v>
      </c>
      <c r="U601" s="28" t="str" cm="1">
        <f t="array" ref="U601">_xlfn.IFS(F601&lt;30000,"30k",F601&lt;=50000,"30k-50k",F601&lt;=75000,"50k-75k",F601&lt;=100000,"75k-100k",F601&gt;100000,"100k")</f>
        <v>30k</v>
      </c>
      <c r="W601" s="1">
        <f t="shared" si="19"/>
        <v>13</v>
      </c>
    </row>
    <row r="602" spans="1:23" x14ac:dyDescent="0.35">
      <c r="A602">
        <v>599</v>
      </c>
      <c r="B602">
        <v>3537</v>
      </c>
      <c r="C602">
        <v>1981</v>
      </c>
      <c r="D602" s="1" t="s">
        <v>10</v>
      </c>
      <c r="E602" s="1" t="s">
        <v>12</v>
      </c>
      <c r="F602">
        <v>31089</v>
      </c>
      <c r="G602">
        <v>1</v>
      </c>
      <c r="H602" s="2">
        <v>0</v>
      </c>
      <c r="I602" s="2">
        <v>41138</v>
      </c>
      <c r="J602">
        <v>57</v>
      </c>
      <c r="K602">
        <f>VLOOKUP(B602,purchase_dataset!$B$2:$F$2241,2,FALSE)</f>
        <v>3</v>
      </c>
      <c r="L602">
        <f>VLOOKUP(B602,purchase_dataset!$B$2:$F$2241,3,FALSE)</f>
        <v>8</v>
      </c>
      <c r="M602">
        <f>VLOOKUP(B602,purchase_dataset!$B$2:$F$2241,3,FALSE)</f>
        <v>8</v>
      </c>
      <c r="N602">
        <f>VLOOKUP(B602,purchase_dataset!$B$2:$F$2241,5,FALSE)</f>
        <v>4</v>
      </c>
      <c r="O602" s="5">
        <v>45</v>
      </c>
      <c r="P602" s="4" t="str">
        <f t="shared" si="18"/>
        <v>30-50</v>
      </c>
      <c r="Q602" s="4">
        <f>M602+N602</f>
        <v>12</v>
      </c>
      <c r="U602" s="28" t="str" cm="1">
        <f t="array" ref="U602">_xlfn.IFS(F602&lt;30000,"30k",F602&lt;=50000,"30k-50k",F602&lt;=75000,"50k-75k",F602&lt;=100000,"75k-100k",F602&gt;100000,"100k")</f>
        <v>30k-50k</v>
      </c>
      <c r="W602" s="1">
        <f t="shared" si="19"/>
        <v>14</v>
      </c>
    </row>
    <row r="603" spans="1:23" x14ac:dyDescent="0.35">
      <c r="A603">
        <v>600</v>
      </c>
      <c r="B603">
        <v>10277</v>
      </c>
      <c r="C603">
        <v>1961</v>
      </c>
      <c r="D603" s="1" t="s">
        <v>10</v>
      </c>
      <c r="E603" s="1" t="s">
        <v>11</v>
      </c>
      <c r="F603">
        <v>30081</v>
      </c>
      <c r="G603">
        <v>0</v>
      </c>
      <c r="H603" s="2">
        <v>1</v>
      </c>
      <c r="I603" s="2">
        <v>41326</v>
      </c>
      <c r="J603">
        <v>27</v>
      </c>
      <c r="K603">
        <f>VLOOKUP(B603,purchase_dataset!$B$2:$F$2241,2,FALSE)</f>
        <v>0</v>
      </c>
      <c r="L603">
        <f>VLOOKUP(B603,purchase_dataset!$B$2:$F$2241,3,FALSE)</f>
        <v>0</v>
      </c>
      <c r="M603">
        <f>VLOOKUP(B603,purchase_dataset!$B$2:$F$2241,3,FALSE)</f>
        <v>0</v>
      </c>
      <c r="N603">
        <f>VLOOKUP(B603,purchase_dataset!$B$2:$F$2241,5,FALSE)</f>
        <v>3</v>
      </c>
      <c r="O603" s="5">
        <v>65</v>
      </c>
      <c r="P603" s="4" t="str">
        <f t="shared" si="18"/>
        <v>&gt;50</v>
      </c>
      <c r="Q603" s="4">
        <f>M603+N603</f>
        <v>3</v>
      </c>
      <c r="U603" s="28" t="str" cm="1">
        <f t="array" ref="U603">_xlfn.IFS(F603&lt;30000,"30k",F603&lt;=50000,"30k-50k",F603&lt;=75000,"50k-75k",F603&lt;=100000,"75k-100k",F603&gt;100000,"100k")</f>
        <v>30k-50k</v>
      </c>
      <c r="W603" s="1">
        <f t="shared" si="19"/>
        <v>13</v>
      </c>
    </row>
    <row r="604" spans="1:23" x14ac:dyDescent="0.35">
      <c r="A604">
        <v>601</v>
      </c>
      <c r="B604">
        <v>2453</v>
      </c>
      <c r="C604">
        <v>1960</v>
      </c>
      <c r="D604" s="1" t="s">
        <v>10</v>
      </c>
      <c r="E604" s="1" t="s">
        <v>12</v>
      </c>
      <c r="F604">
        <v>62807</v>
      </c>
      <c r="G604">
        <v>0</v>
      </c>
      <c r="H604" s="2">
        <v>1</v>
      </c>
      <c r="I604" s="2">
        <v>41152</v>
      </c>
      <c r="J604">
        <v>83</v>
      </c>
      <c r="K604">
        <f>VLOOKUP(B604,purchase_dataset!$B$2:$F$2241,2,FALSE)</f>
        <v>28</v>
      </c>
      <c r="L604">
        <f>VLOOKUP(B604,purchase_dataset!$B$2:$F$2241,3,FALSE)</f>
        <v>21</v>
      </c>
      <c r="M604">
        <f>VLOOKUP(B604,purchase_dataset!$B$2:$F$2241,3,FALSE)</f>
        <v>21</v>
      </c>
      <c r="N604">
        <f>VLOOKUP(B604,purchase_dataset!$B$2:$F$2241,5,FALSE)</f>
        <v>12</v>
      </c>
      <c r="O604" s="5">
        <v>66</v>
      </c>
      <c r="P604" s="4" t="str">
        <f t="shared" si="18"/>
        <v>&gt;50</v>
      </c>
      <c r="Q604" s="4">
        <f>M604+N604</f>
        <v>33</v>
      </c>
      <c r="U604" s="28" t="str" cm="1">
        <f t="array" ref="U604">_xlfn.IFS(F604&lt;30000,"30k",F604&lt;=50000,"30k-50k",F604&lt;=75000,"50k-75k",F604&lt;=100000,"75k-100k",F604&gt;100000,"100k")</f>
        <v>50k-75k</v>
      </c>
      <c r="W604" s="1">
        <f t="shared" si="19"/>
        <v>14</v>
      </c>
    </row>
    <row r="605" spans="1:23" x14ac:dyDescent="0.35">
      <c r="A605">
        <v>602</v>
      </c>
      <c r="B605">
        <v>7972</v>
      </c>
      <c r="C605">
        <v>1955</v>
      </c>
      <c r="D605" s="1" t="s">
        <v>10</v>
      </c>
      <c r="E605" s="1" t="s">
        <v>11</v>
      </c>
      <c r="F605">
        <v>72906</v>
      </c>
      <c r="G605">
        <v>0</v>
      </c>
      <c r="H605" s="2">
        <v>0</v>
      </c>
      <c r="I605" s="2">
        <v>41534</v>
      </c>
      <c r="J605">
        <v>79</v>
      </c>
      <c r="K605">
        <f>VLOOKUP(B605,purchase_dataset!$B$2:$F$2241,2,FALSE)</f>
        <v>32</v>
      </c>
      <c r="L605">
        <f>VLOOKUP(B605,purchase_dataset!$B$2:$F$2241,3,FALSE)</f>
        <v>75</v>
      </c>
      <c r="M605">
        <f>VLOOKUP(B605,purchase_dataset!$B$2:$F$2241,3,FALSE)</f>
        <v>75</v>
      </c>
      <c r="N605">
        <f>VLOOKUP(B605,purchase_dataset!$B$2:$F$2241,5,FALSE)</f>
        <v>9</v>
      </c>
      <c r="O605" s="5">
        <v>71</v>
      </c>
      <c r="P605" s="4" t="str">
        <f t="shared" si="18"/>
        <v>&gt;50</v>
      </c>
      <c r="Q605" s="4">
        <f>M605+N605</f>
        <v>84</v>
      </c>
      <c r="U605" s="28" t="str" cm="1">
        <f t="array" ref="U605">_xlfn.IFS(F605&lt;30000,"30k",F605&lt;=50000,"30k-50k",F605&lt;=75000,"50k-75k",F605&lt;=100000,"75k-100k",F605&gt;100000,"100k")</f>
        <v>50k-75k</v>
      </c>
      <c r="W605" s="1">
        <f t="shared" si="19"/>
        <v>13</v>
      </c>
    </row>
    <row r="606" spans="1:23" x14ac:dyDescent="0.35">
      <c r="A606">
        <v>603</v>
      </c>
      <c r="B606">
        <v>895</v>
      </c>
      <c r="C606">
        <v>1948</v>
      </c>
      <c r="D606" s="1" t="s">
        <v>13</v>
      </c>
      <c r="E606" s="1" t="s">
        <v>14</v>
      </c>
      <c r="F606">
        <v>61467</v>
      </c>
      <c r="G606">
        <v>0</v>
      </c>
      <c r="H606" s="2">
        <v>2</v>
      </c>
      <c r="I606" s="2">
        <v>41252</v>
      </c>
      <c r="J606">
        <v>69</v>
      </c>
      <c r="K606">
        <f>VLOOKUP(B606,purchase_dataset!$B$2:$F$2241,2,FALSE)</f>
        <v>16</v>
      </c>
      <c r="L606">
        <f>VLOOKUP(B606,purchase_dataset!$B$2:$F$2241,3,FALSE)</f>
        <v>5</v>
      </c>
      <c r="M606">
        <f>VLOOKUP(B606,purchase_dataset!$B$2:$F$2241,3,FALSE)</f>
        <v>5</v>
      </c>
      <c r="N606">
        <f>VLOOKUP(B606,purchase_dataset!$B$2:$F$2241,5,FALSE)</f>
        <v>10</v>
      </c>
      <c r="O606" s="5">
        <v>78</v>
      </c>
      <c r="P606" s="4" t="str">
        <f t="shared" si="18"/>
        <v>&gt;50</v>
      </c>
      <c r="Q606" s="4">
        <f>M606+N606</f>
        <v>15</v>
      </c>
      <c r="U606" s="28" t="str" cm="1">
        <f t="array" ref="U606">_xlfn.IFS(F606&lt;30000,"30k",F606&lt;=50000,"30k-50k",F606&lt;=75000,"50k-75k",F606&lt;=100000,"75k-100k",F606&gt;100000,"100k")</f>
        <v>50k-75k</v>
      </c>
      <c r="W606" s="1">
        <f t="shared" si="19"/>
        <v>14</v>
      </c>
    </row>
    <row r="607" spans="1:23" x14ac:dyDescent="0.35">
      <c r="A607">
        <v>604</v>
      </c>
      <c r="B607">
        <v>1177</v>
      </c>
      <c r="C607">
        <v>1966</v>
      </c>
      <c r="D607" s="1" t="s">
        <v>15</v>
      </c>
      <c r="E607" s="1" t="s">
        <v>12</v>
      </c>
      <c r="F607">
        <v>49618</v>
      </c>
      <c r="G607">
        <v>1</v>
      </c>
      <c r="H607" s="2">
        <v>1</v>
      </c>
      <c r="I607" s="2">
        <v>41300</v>
      </c>
      <c r="J607">
        <v>77</v>
      </c>
      <c r="K607">
        <f>VLOOKUP(B607,purchase_dataset!$B$2:$F$2241,2,FALSE)</f>
        <v>3</v>
      </c>
      <c r="L607">
        <f>VLOOKUP(B607,purchase_dataset!$B$2:$F$2241,3,FALSE)</f>
        <v>2</v>
      </c>
      <c r="M607">
        <f>VLOOKUP(B607,purchase_dataset!$B$2:$F$2241,3,FALSE)</f>
        <v>2</v>
      </c>
      <c r="N607">
        <f>VLOOKUP(B607,purchase_dataset!$B$2:$F$2241,5,FALSE)</f>
        <v>3</v>
      </c>
      <c r="O607" s="5">
        <v>60</v>
      </c>
      <c r="P607" s="4" t="str">
        <f t="shared" si="18"/>
        <v>&gt;50</v>
      </c>
      <c r="Q607" s="4">
        <f>M607+N607</f>
        <v>5</v>
      </c>
      <c r="U607" s="28" t="str" cm="1">
        <f t="array" ref="U607">_xlfn.IFS(F607&lt;30000,"30k",F607&lt;=50000,"30k-50k",F607&lt;=75000,"50k-75k",F607&lt;=100000,"75k-100k",F607&gt;100000,"100k")</f>
        <v>30k-50k</v>
      </c>
      <c r="W607" s="1">
        <f t="shared" si="19"/>
        <v>13</v>
      </c>
    </row>
    <row r="608" spans="1:23" x14ac:dyDescent="0.35">
      <c r="A608">
        <v>605</v>
      </c>
      <c r="B608">
        <v>7141</v>
      </c>
      <c r="C608">
        <v>1986</v>
      </c>
      <c r="D608" s="1" t="s">
        <v>15</v>
      </c>
      <c r="E608" s="1" t="s">
        <v>11</v>
      </c>
      <c r="F608">
        <v>21888</v>
      </c>
      <c r="G608">
        <v>1</v>
      </c>
      <c r="H608" s="2">
        <v>0</v>
      </c>
      <c r="I608" s="2">
        <v>41272</v>
      </c>
      <c r="J608">
        <v>15</v>
      </c>
      <c r="K608">
        <f>VLOOKUP(B608,purchase_dataset!$B$2:$F$2241,2,FALSE)</f>
        <v>10</v>
      </c>
      <c r="L608">
        <f>VLOOKUP(B608,purchase_dataset!$B$2:$F$2241,3,FALSE)</f>
        <v>3</v>
      </c>
      <c r="M608">
        <f>VLOOKUP(B608,purchase_dataset!$B$2:$F$2241,3,FALSE)</f>
        <v>3</v>
      </c>
      <c r="N608">
        <f>VLOOKUP(B608,purchase_dataset!$B$2:$F$2241,5,FALSE)</f>
        <v>2</v>
      </c>
      <c r="O608" s="5">
        <v>40</v>
      </c>
      <c r="P608" s="4" t="str">
        <f t="shared" si="18"/>
        <v>30-50</v>
      </c>
      <c r="Q608" s="4">
        <f>M608+N608</f>
        <v>5</v>
      </c>
      <c r="U608" s="28" t="str" cm="1">
        <f t="array" ref="U608">_xlfn.IFS(F608&lt;30000,"30k",F608&lt;=50000,"30k-50k",F608&lt;=75000,"50k-75k",F608&lt;=100000,"75k-100k",F608&gt;100000,"100k")</f>
        <v>30k</v>
      </c>
      <c r="W608" s="1">
        <f t="shared" si="19"/>
        <v>14</v>
      </c>
    </row>
    <row r="609" spans="1:23" x14ac:dyDescent="0.35">
      <c r="A609">
        <v>606</v>
      </c>
      <c r="B609">
        <v>7232</v>
      </c>
      <c r="C609">
        <v>1973</v>
      </c>
      <c r="D609" s="1" t="s">
        <v>10</v>
      </c>
      <c r="E609" s="1" t="s">
        <v>19</v>
      </c>
      <c r="F609">
        <v>42429</v>
      </c>
      <c r="G609">
        <v>0</v>
      </c>
      <c r="H609" s="2">
        <v>1</v>
      </c>
      <c r="I609" s="2">
        <v>41681</v>
      </c>
      <c r="J609">
        <v>99</v>
      </c>
      <c r="K609">
        <f>VLOOKUP(B609,purchase_dataset!$B$2:$F$2241,2,FALSE)</f>
        <v>0</v>
      </c>
      <c r="L609">
        <f>VLOOKUP(B609,purchase_dataset!$B$2:$F$2241,3,FALSE)</f>
        <v>0</v>
      </c>
      <c r="M609">
        <f>VLOOKUP(B609,purchase_dataset!$B$2:$F$2241,3,FALSE)</f>
        <v>0</v>
      </c>
      <c r="N609">
        <f>VLOOKUP(B609,purchase_dataset!$B$2:$F$2241,5,FALSE)</f>
        <v>3</v>
      </c>
      <c r="O609" s="5">
        <v>53</v>
      </c>
      <c r="P609" s="4" t="str">
        <f t="shared" si="18"/>
        <v>&gt;50</v>
      </c>
      <c r="Q609" s="4">
        <f>M609+N609</f>
        <v>3</v>
      </c>
      <c r="U609" s="28" t="str" cm="1">
        <f t="array" ref="U609">_xlfn.IFS(F609&lt;30000,"30k",F609&lt;=50000,"30k-50k",F609&lt;=75000,"50k-75k",F609&lt;=100000,"75k-100k",F609&gt;100000,"100k")</f>
        <v>30k-50k</v>
      </c>
      <c r="W609" s="1">
        <f t="shared" si="19"/>
        <v>12</v>
      </c>
    </row>
    <row r="610" spans="1:23" x14ac:dyDescent="0.35">
      <c r="A610">
        <v>607</v>
      </c>
      <c r="B610">
        <v>8477</v>
      </c>
      <c r="C610">
        <v>1956</v>
      </c>
      <c r="D610" s="1" t="s">
        <v>10</v>
      </c>
      <c r="E610" s="1" t="s">
        <v>16</v>
      </c>
      <c r="F610">
        <v>26150</v>
      </c>
      <c r="G610">
        <v>2</v>
      </c>
      <c r="H610" s="2">
        <v>1</v>
      </c>
      <c r="I610" s="2">
        <v>41344</v>
      </c>
      <c r="J610">
        <v>61</v>
      </c>
      <c r="K610">
        <f>VLOOKUP(B610,purchase_dataset!$B$2:$F$2241,2,FALSE)</f>
        <v>1</v>
      </c>
      <c r="L610">
        <f>VLOOKUP(B610,purchase_dataset!$B$2:$F$2241,3,FALSE)</f>
        <v>5</v>
      </c>
      <c r="M610">
        <f>VLOOKUP(B610,purchase_dataset!$B$2:$F$2241,3,FALSE)</f>
        <v>5</v>
      </c>
      <c r="N610">
        <f>VLOOKUP(B610,purchase_dataset!$B$2:$F$2241,5,FALSE)</f>
        <v>3</v>
      </c>
      <c r="O610" s="5">
        <v>70</v>
      </c>
      <c r="P610" s="4" t="str">
        <f t="shared" si="18"/>
        <v>&gt;50</v>
      </c>
      <c r="Q610" s="4">
        <f>M610+N610</f>
        <v>8</v>
      </c>
      <c r="U610" s="28" t="str" cm="1">
        <f t="array" ref="U610">_xlfn.IFS(F610&lt;30000,"30k",F610&lt;=50000,"30k-50k",F610&lt;=75000,"50k-75k",F610&lt;=100000,"75k-100k",F610&gt;100000,"100k")</f>
        <v>30k</v>
      </c>
      <c r="W610" s="1">
        <f t="shared" si="19"/>
        <v>13</v>
      </c>
    </row>
    <row r="611" spans="1:23" x14ac:dyDescent="0.35">
      <c r="A611">
        <v>608</v>
      </c>
      <c r="B611">
        <v>2457</v>
      </c>
      <c r="C611">
        <v>1975</v>
      </c>
      <c r="D611" s="1" t="s">
        <v>17</v>
      </c>
      <c r="E611" s="1" t="s">
        <v>14</v>
      </c>
      <c r="F611">
        <v>30801</v>
      </c>
      <c r="G611">
        <v>0</v>
      </c>
      <c r="H611" s="2">
        <v>1</v>
      </c>
      <c r="I611" s="2">
        <v>41208</v>
      </c>
      <c r="J611">
        <v>23</v>
      </c>
      <c r="K611">
        <f>VLOOKUP(B611,purchase_dataset!$B$2:$F$2241,2,FALSE)</f>
        <v>4</v>
      </c>
      <c r="L611">
        <f>VLOOKUP(B611,purchase_dataset!$B$2:$F$2241,3,FALSE)</f>
        <v>2</v>
      </c>
      <c r="M611">
        <f>VLOOKUP(B611,purchase_dataset!$B$2:$F$2241,3,FALSE)</f>
        <v>2</v>
      </c>
      <c r="N611">
        <f>VLOOKUP(B611,purchase_dataset!$B$2:$F$2241,5,FALSE)</f>
        <v>3</v>
      </c>
      <c r="O611" s="5">
        <v>51</v>
      </c>
      <c r="P611" s="4" t="str">
        <f t="shared" si="18"/>
        <v>&gt;50</v>
      </c>
      <c r="Q611" s="4">
        <f>M611+N611</f>
        <v>5</v>
      </c>
      <c r="U611" s="28" t="str" cm="1">
        <f t="array" ref="U611">_xlfn.IFS(F611&lt;30000,"30k",F611&lt;=50000,"30k-50k",F611&lt;=75000,"50k-75k",F611&lt;=100000,"75k-100k",F611&gt;100000,"100k")</f>
        <v>30k-50k</v>
      </c>
      <c r="W611" s="1">
        <f t="shared" si="19"/>
        <v>14</v>
      </c>
    </row>
    <row r="612" spans="1:23" x14ac:dyDescent="0.35">
      <c r="A612">
        <v>609</v>
      </c>
      <c r="B612">
        <v>988</v>
      </c>
      <c r="C612">
        <v>1965</v>
      </c>
      <c r="D612" s="1" t="s">
        <v>10</v>
      </c>
      <c r="E612" s="1" t="s">
        <v>14</v>
      </c>
      <c r="F612">
        <v>81168</v>
      </c>
      <c r="G612">
        <v>0</v>
      </c>
      <c r="H612" s="2">
        <v>0</v>
      </c>
      <c r="I612" s="2">
        <v>41766</v>
      </c>
      <c r="J612">
        <v>84</v>
      </c>
      <c r="K612">
        <f>VLOOKUP(B612,purchase_dataset!$B$2:$F$2241,2,FALSE)</f>
        <v>0</v>
      </c>
      <c r="L612">
        <f>VLOOKUP(B612,purchase_dataset!$B$2:$F$2241,3,FALSE)</f>
        <v>22</v>
      </c>
      <c r="M612">
        <f>VLOOKUP(B612,purchase_dataset!$B$2:$F$2241,3,FALSE)</f>
        <v>22</v>
      </c>
      <c r="N612">
        <f>VLOOKUP(B612,purchase_dataset!$B$2:$F$2241,5,FALSE)</f>
        <v>7</v>
      </c>
      <c r="O612" s="5">
        <v>61</v>
      </c>
      <c r="P612" s="4" t="str">
        <f t="shared" si="18"/>
        <v>&gt;50</v>
      </c>
      <c r="Q612" s="4">
        <f>M612+N612</f>
        <v>29</v>
      </c>
      <c r="U612" s="28" t="str" cm="1">
        <f t="array" ref="U612">_xlfn.IFS(F612&lt;30000,"30k",F612&lt;=50000,"30k-50k",F612&lt;=75000,"50k-75k",F612&lt;=100000,"75k-100k",F612&gt;100000,"100k")</f>
        <v>75k-100k</v>
      </c>
      <c r="W612" s="1">
        <f t="shared" si="19"/>
        <v>12</v>
      </c>
    </row>
    <row r="613" spans="1:23" x14ac:dyDescent="0.35">
      <c r="A613">
        <v>610</v>
      </c>
      <c r="B613">
        <v>7930</v>
      </c>
      <c r="C613">
        <v>1969</v>
      </c>
      <c r="D613" s="1" t="s">
        <v>15</v>
      </c>
      <c r="E613" s="1" t="s">
        <v>11</v>
      </c>
      <c r="F613">
        <v>26877</v>
      </c>
      <c r="G613">
        <v>0</v>
      </c>
      <c r="H613" s="2">
        <v>0</v>
      </c>
      <c r="I613" s="2">
        <v>41505</v>
      </c>
      <c r="J613">
        <v>74</v>
      </c>
      <c r="K613">
        <f>VLOOKUP(B613,purchase_dataset!$B$2:$F$2241,2,FALSE)</f>
        <v>13</v>
      </c>
      <c r="L613">
        <f>VLOOKUP(B613,purchase_dataset!$B$2:$F$2241,3,FALSE)</f>
        <v>18</v>
      </c>
      <c r="M613">
        <f>VLOOKUP(B613,purchase_dataset!$B$2:$F$2241,3,FALSE)</f>
        <v>18</v>
      </c>
      <c r="N613">
        <f>VLOOKUP(B613,purchase_dataset!$B$2:$F$2241,5,FALSE)</f>
        <v>6</v>
      </c>
      <c r="O613" s="5">
        <v>57</v>
      </c>
      <c r="P613" s="4" t="str">
        <f t="shared" si="18"/>
        <v>&gt;50</v>
      </c>
      <c r="Q613" s="4">
        <f>M613+N613</f>
        <v>24</v>
      </c>
      <c r="U613" s="28" t="str" cm="1">
        <f t="array" ref="U613">_xlfn.IFS(F613&lt;30000,"30k",F613&lt;=50000,"30k-50k",F613&lt;=75000,"50k-75k",F613&lt;=100000,"75k-100k",F613&gt;100000,"100k")</f>
        <v>30k</v>
      </c>
      <c r="W613" s="1">
        <f t="shared" si="19"/>
        <v>13</v>
      </c>
    </row>
    <row r="614" spans="1:23" x14ac:dyDescent="0.35">
      <c r="A614">
        <v>611</v>
      </c>
      <c r="B614">
        <v>4587</v>
      </c>
      <c r="C614">
        <v>1944</v>
      </c>
      <c r="D614" s="1" t="s">
        <v>15</v>
      </c>
      <c r="E614" s="1" t="s">
        <v>19</v>
      </c>
      <c r="F614">
        <v>45006</v>
      </c>
      <c r="G614">
        <v>0</v>
      </c>
      <c r="H614" s="2">
        <v>0</v>
      </c>
      <c r="I614" s="2">
        <v>41473</v>
      </c>
      <c r="J614">
        <v>90</v>
      </c>
      <c r="K614">
        <f>VLOOKUP(B614,purchase_dataset!$B$2:$F$2241,2,FALSE)</f>
        <v>25</v>
      </c>
      <c r="L614">
        <f>VLOOKUP(B614,purchase_dataset!$B$2:$F$2241,3,FALSE)</f>
        <v>0</v>
      </c>
      <c r="M614">
        <f>VLOOKUP(B614,purchase_dataset!$B$2:$F$2241,3,FALSE)</f>
        <v>0</v>
      </c>
      <c r="N614">
        <f>VLOOKUP(B614,purchase_dataset!$B$2:$F$2241,5,FALSE)</f>
        <v>7</v>
      </c>
      <c r="O614" s="5">
        <v>82</v>
      </c>
      <c r="P614" s="4" t="str">
        <f t="shared" si="18"/>
        <v>&gt;50</v>
      </c>
      <c r="Q614" s="4">
        <f>M614+N614</f>
        <v>7</v>
      </c>
      <c r="U614" s="28" t="str" cm="1">
        <f t="array" ref="U614">_xlfn.IFS(F614&lt;30000,"30k",F614&lt;=50000,"30k-50k",F614&lt;=75000,"50k-75k",F614&lt;=100000,"75k-100k",F614&gt;100000,"100k")</f>
        <v>30k-50k</v>
      </c>
      <c r="W614" s="1">
        <f t="shared" si="19"/>
        <v>13</v>
      </c>
    </row>
    <row r="615" spans="1:23" x14ac:dyDescent="0.35">
      <c r="A615">
        <v>612</v>
      </c>
      <c r="B615">
        <v>6682</v>
      </c>
      <c r="C615">
        <v>1973</v>
      </c>
      <c r="D615" s="1" t="s">
        <v>17</v>
      </c>
      <c r="E615" s="1" t="s">
        <v>14</v>
      </c>
      <c r="F615">
        <v>18978</v>
      </c>
      <c r="G615">
        <v>1</v>
      </c>
      <c r="H615" s="2">
        <v>0</v>
      </c>
      <c r="I615" s="2">
        <v>41254</v>
      </c>
      <c r="J615">
        <v>41</v>
      </c>
      <c r="K615">
        <f>VLOOKUP(B615,purchase_dataset!$B$2:$F$2241,2,FALSE)</f>
        <v>8</v>
      </c>
      <c r="L615">
        <f>VLOOKUP(B615,purchase_dataset!$B$2:$F$2241,3,FALSE)</f>
        <v>7</v>
      </c>
      <c r="M615">
        <f>VLOOKUP(B615,purchase_dataset!$B$2:$F$2241,3,FALSE)</f>
        <v>7</v>
      </c>
      <c r="N615">
        <f>VLOOKUP(B615,purchase_dataset!$B$2:$F$2241,5,FALSE)</f>
        <v>3</v>
      </c>
      <c r="O615" s="5">
        <v>53</v>
      </c>
      <c r="P615" s="4" t="str">
        <f t="shared" si="18"/>
        <v>&gt;50</v>
      </c>
      <c r="Q615" s="4">
        <f>M615+N615</f>
        <v>10</v>
      </c>
      <c r="U615" s="28" t="str" cm="1">
        <f t="array" ref="U615">_xlfn.IFS(F615&lt;30000,"30k",F615&lt;=50000,"30k-50k",F615&lt;=75000,"50k-75k",F615&lt;=100000,"75k-100k",F615&gt;100000,"100k")</f>
        <v>30k</v>
      </c>
      <c r="W615" s="1">
        <f t="shared" si="19"/>
        <v>14</v>
      </c>
    </row>
    <row r="616" spans="1:23" x14ac:dyDescent="0.35">
      <c r="A616">
        <v>613</v>
      </c>
      <c r="B616">
        <v>6222</v>
      </c>
      <c r="C616">
        <v>1967</v>
      </c>
      <c r="D616" s="1" t="s">
        <v>10</v>
      </c>
      <c r="E616" s="1" t="s">
        <v>14</v>
      </c>
      <c r="F616">
        <v>22574</v>
      </c>
      <c r="G616">
        <v>2</v>
      </c>
      <c r="H616" s="2">
        <v>1</v>
      </c>
      <c r="I616" s="2">
        <v>41575</v>
      </c>
      <c r="J616">
        <v>28</v>
      </c>
      <c r="K616">
        <f>VLOOKUP(B616,purchase_dataset!$B$2:$F$2241,2,FALSE)</f>
        <v>0</v>
      </c>
      <c r="L616">
        <f>VLOOKUP(B616,purchase_dataset!$B$2:$F$2241,3,FALSE)</f>
        <v>0</v>
      </c>
      <c r="M616">
        <f>VLOOKUP(B616,purchase_dataset!$B$2:$F$2241,3,FALSE)</f>
        <v>0</v>
      </c>
      <c r="N616">
        <f>VLOOKUP(B616,purchase_dataset!$B$2:$F$2241,5,FALSE)</f>
        <v>3</v>
      </c>
      <c r="O616" s="5">
        <v>59</v>
      </c>
      <c r="P616" s="4" t="str">
        <f t="shared" si="18"/>
        <v>&gt;50</v>
      </c>
      <c r="Q616" s="4">
        <f>M616+N616</f>
        <v>3</v>
      </c>
      <c r="U616" s="28" t="str" cm="1">
        <f t="array" ref="U616">_xlfn.IFS(F616&lt;30000,"30k",F616&lt;=50000,"30k-50k",F616&lt;=75000,"50k-75k",F616&lt;=100000,"75k-100k",F616&gt;100000,"100k")</f>
        <v>30k</v>
      </c>
      <c r="W616" s="1">
        <f t="shared" si="19"/>
        <v>13</v>
      </c>
    </row>
    <row r="617" spans="1:23" x14ac:dyDescent="0.35">
      <c r="A617">
        <v>614</v>
      </c>
      <c r="B617">
        <v>10299</v>
      </c>
      <c r="C617">
        <v>1969</v>
      </c>
      <c r="D617" s="1" t="s">
        <v>13</v>
      </c>
      <c r="E617" s="1" t="s">
        <v>11</v>
      </c>
      <c r="F617">
        <v>48240</v>
      </c>
      <c r="G617">
        <v>0</v>
      </c>
      <c r="H617" s="2">
        <v>0</v>
      </c>
      <c r="I617" s="2">
        <v>41222</v>
      </c>
      <c r="J617">
        <v>73</v>
      </c>
      <c r="K617">
        <f>VLOOKUP(B617,purchase_dataset!$B$2:$F$2241,2,FALSE)</f>
        <v>91</v>
      </c>
      <c r="L617">
        <f>VLOOKUP(B617,purchase_dataset!$B$2:$F$2241,3,FALSE)</f>
        <v>49</v>
      </c>
      <c r="M617">
        <f>VLOOKUP(B617,purchase_dataset!$B$2:$F$2241,3,FALSE)</f>
        <v>49</v>
      </c>
      <c r="N617">
        <f>VLOOKUP(B617,purchase_dataset!$B$2:$F$2241,5,FALSE)</f>
        <v>13</v>
      </c>
      <c r="O617" s="5">
        <v>57</v>
      </c>
      <c r="P617" s="4" t="str">
        <f t="shared" si="18"/>
        <v>&gt;50</v>
      </c>
      <c r="Q617" s="4">
        <f>M617+N617</f>
        <v>62</v>
      </c>
      <c r="U617" s="28" t="str" cm="1">
        <f t="array" ref="U617">_xlfn.IFS(F617&lt;30000,"30k",F617&lt;=50000,"30k-50k",F617&lt;=75000,"50k-75k",F617&lt;=100000,"75k-100k",F617&gt;100000,"100k")</f>
        <v>30k-50k</v>
      </c>
      <c r="W617" s="1">
        <f t="shared" si="19"/>
        <v>14</v>
      </c>
    </row>
    <row r="618" spans="1:23" x14ac:dyDescent="0.35">
      <c r="A618">
        <v>615</v>
      </c>
      <c r="B618">
        <v>3083</v>
      </c>
      <c r="C618">
        <v>1974</v>
      </c>
      <c r="D618" s="1" t="s">
        <v>10</v>
      </c>
      <c r="E618" s="1" t="s">
        <v>14</v>
      </c>
      <c r="F618">
        <v>45837</v>
      </c>
      <c r="G618">
        <v>1</v>
      </c>
      <c r="H618" s="2">
        <v>1</v>
      </c>
      <c r="I618" s="2">
        <v>41481</v>
      </c>
      <c r="J618">
        <v>88</v>
      </c>
      <c r="K618">
        <f>VLOOKUP(B618,purchase_dataset!$B$2:$F$2241,2,FALSE)</f>
        <v>13</v>
      </c>
      <c r="L618">
        <f>VLOOKUP(B618,purchase_dataset!$B$2:$F$2241,3,FALSE)</f>
        <v>17</v>
      </c>
      <c r="M618">
        <f>VLOOKUP(B618,purchase_dataset!$B$2:$F$2241,3,FALSE)</f>
        <v>17</v>
      </c>
      <c r="N618">
        <f>VLOOKUP(B618,purchase_dataset!$B$2:$F$2241,5,FALSE)</f>
        <v>5</v>
      </c>
      <c r="O618" s="5">
        <v>52</v>
      </c>
      <c r="P618" s="4" t="str">
        <f t="shared" si="18"/>
        <v>&gt;50</v>
      </c>
      <c r="Q618" s="4">
        <f>M618+N618</f>
        <v>22</v>
      </c>
      <c r="U618" s="28" t="str" cm="1">
        <f t="array" ref="U618">_xlfn.IFS(F618&lt;30000,"30k",F618&lt;=50000,"30k-50k",F618&lt;=75000,"50k-75k",F618&lt;=100000,"75k-100k",F618&gt;100000,"100k")</f>
        <v>30k-50k</v>
      </c>
      <c r="W618" s="1">
        <f t="shared" si="19"/>
        <v>13</v>
      </c>
    </row>
    <row r="619" spans="1:23" x14ac:dyDescent="0.35">
      <c r="A619">
        <v>616</v>
      </c>
      <c r="B619">
        <v>8953</v>
      </c>
      <c r="C619">
        <v>1965</v>
      </c>
      <c r="D619" s="1" t="s">
        <v>15</v>
      </c>
      <c r="E619" s="1" t="s">
        <v>11</v>
      </c>
      <c r="F619">
        <v>35791</v>
      </c>
      <c r="G619">
        <v>2</v>
      </c>
      <c r="H619" s="2">
        <v>1</v>
      </c>
      <c r="I619" s="2">
        <v>41400</v>
      </c>
      <c r="J619">
        <v>94</v>
      </c>
      <c r="K619">
        <f>VLOOKUP(B619,purchase_dataset!$B$2:$F$2241,2,FALSE)</f>
        <v>0</v>
      </c>
      <c r="L619">
        <f>VLOOKUP(B619,purchase_dataset!$B$2:$F$2241,3,FALSE)</f>
        <v>0</v>
      </c>
      <c r="M619">
        <f>VLOOKUP(B619,purchase_dataset!$B$2:$F$2241,3,FALSE)</f>
        <v>0</v>
      </c>
      <c r="N619">
        <f>VLOOKUP(B619,purchase_dataset!$B$2:$F$2241,5,FALSE)</f>
        <v>3</v>
      </c>
      <c r="O619" s="5">
        <v>61</v>
      </c>
      <c r="P619" s="4" t="str">
        <f t="shared" si="18"/>
        <v>&gt;50</v>
      </c>
      <c r="Q619" s="4">
        <f>M619+N619</f>
        <v>3</v>
      </c>
      <c r="U619" s="28" t="str" cm="1">
        <f t="array" ref="U619">_xlfn.IFS(F619&lt;30000,"30k",F619&lt;=50000,"30k-50k",F619&lt;=75000,"50k-75k",F619&lt;=100000,"75k-100k",F619&gt;100000,"100k")</f>
        <v>30k-50k</v>
      </c>
      <c r="W619" s="1">
        <f t="shared" si="19"/>
        <v>13</v>
      </c>
    </row>
    <row r="620" spans="1:23" x14ac:dyDescent="0.35">
      <c r="A620">
        <v>617</v>
      </c>
      <c r="B620">
        <v>1503</v>
      </c>
      <c r="C620">
        <v>1976</v>
      </c>
      <c r="D620" s="1" t="s">
        <v>13</v>
      </c>
      <c r="E620" s="1" t="s">
        <v>12</v>
      </c>
      <c r="F620">
        <v>162397</v>
      </c>
      <c r="G620">
        <v>1</v>
      </c>
      <c r="H620" s="2">
        <v>1</v>
      </c>
      <c r="I620" s="2">
        <v>41428</v>
      </c>
      <c r="J620">
        <v>31</v>
      </c>
      <c r="K620">
        <f>VLOOKUP(B620,purchase_dataset!$B$2:$F$2241,2,FALSE)</f>
        <v>1</v>
      </c>
      <c r="L620">
        <f>VLOOKUP(B620,purchase_dataset!$B$2:$F$2241,3,FALSE)</f>
        <v>1</v>
      </c>
      <c r="M620">
        <f>VLOOKUP(B620,purchase_dataset!$B$2:$F$2241,3,FALSE)</f>
        <v>1</v>
      </c>
      <c r="N620">
        <f>VLOOKUP(B620,purchase_dataset!$B$2:$F$2241,5,FALSE)</f>
        <v>1</v>
      </c>
      <c r="O620" s="5">
        <v>50</v>
      </c>
      <c r="P620" s="4" t="str">
        <f t="shared" si="18"/>
        <v>30-50</v>
      </c>
      <c r="Q620" s="4">
        <f>M620+N620</f>
        <v>2</v>
      </c>
      <c r="U620" s="28" t="str" cm="1">
        <f t="array" ref="U620">_xlfn.IFS(F620&lt;30000,"30k",F620&lt;=50000,"30k-50k",F620&lt;=75000,"50k-75k",F620&lt;=100000,"75k-100k",F620&gt;100000,"100k")</f>
        <v>100k</v>
      </c>
      <c r="W620" s="1">
        <f t="shared" si="19"/>
        <v>13</v>
      </c>
    </row>
    <row r="621" spans="1:23" x14ac:dyDescent="0.35">
      <c r="A621">
        <v>618</v>
      </c>
      <c r="B621">
        <v>8650</v>
      </c>
      <c r="C621">
        <v>1978</v>
      </c>
      <c r="D621" s="1" t="s">
        <v>10</v>
      </c>
      <c r="E621" s="1" t="s">
        <v>19</v>
      </c>
      <c r="F621">
        <v>54162</v>
      </c>
      <c r="G621">
        <v>1</v>
      </c>
      <c r="H621" s="2">
        <v>1</v>
      </c>
      <c r="I621" s="2">
        <v>41351</v>
      </c>
      <c r="J621">
        <v>31</v>
      </c>
      <c r="K621">
        <f>VLOOKUP(B621,purchase_dataset!$B$2:$F$2241,2,FALSE)</f>
        <v>6</v>
      </c>
      <c r="L621">
        <f>VLOOKUP(B621,purchase_dataset!$B$2:$F$2241,3,FALSE)</f>
        <v>5</v>
      </c>
      <c r="M621">
        <f>VLOOKUP(B621,purchase_dataset!$B$2:$F$2241,3,FALSE)</f>
        <v>5</v>
      </c>
      <c r="N621">
        <f>VLOOKUP(B621,purchase_dataset!$B$2:$F$2241,5,FALSE)</f>
        <v>3</v>
      </c>
      <c r="O621" s="5">
        <v>48</v>
      </c>
      <c r="P621" s="4" t="str">
        <f t="shared" si="18"/>
        <v>30-50</v>
      </c>
      <c r="Q621" s="4">
        <f>M621+N621</f>
        <v>8</v>
      </c>
      <c r="U621" s="28" t="str" cm="1">
        <f t="array" ref="U621">_xlfn.IFS(F621&lt;30000,"30k",F621&lt;=50000,"30k-50k",F621&lt;=75000,"50k-75k",F621&lt;=100000,"75k-100k",F621&gt;100000,"100k")</f>
        <v>50k-75k</v>
      </c>
      <c r="W621" s="1">
        <f t="shared" si="19"/>
        <v>13</v>
      </c>
    </row>
    <row r="622" spans="1:23" x14ac:dyDescent="0.35">
      <c r="A622">
        <v>619</v>
      </c>
      <c r="B622">
        <v>10862</v>
      </c>
      <c r="C622">
        <v>1960</v>
      </c>
      <c r="D622" s="1" t="s">
        <v>15</v>
      </c>
      <c r="E622" s="1" t="s">
        <v>14</v>
      </c>
      <c r="F622">
        <v>30522</v>
      </c>
      <c r="G622">
        <v>0</v>
      </c>
      <c r="H622" s="2">
        <v>1</v>
      </c>
      <c r="I622" s="2">
        <v>41138</v>
      </c>
      <c r="J622">
        <v>6</v>
      </c>
      <c r="K622">
        <f>VLOOKUP(B622,purchase_dataset!$B$2:$F$2241,2,FALSE)</f>
        <v>8</v>
      </c>
      <c r="L622">
        <f>VLOOKUP(B622,purchase_dataset!$B$2:$F$2241,3,FALSE)</f>
        <v>11</v>
      </c>
      <c r="M622">
        <f>VLOOKUP(B622,purchase_dataset!$B$2:$F$2241,3,FALSE)</f>
        <v>11</v>
      </c>
      <c r="N622">
        <f>VLOOKUP(B622,purchase_dataset!$B$2:$F$2241,5,FALSE)</f>
        <v>9</v>
      </c>
      <c r="O622" s="5">
        <v>66</v>
      </c>
      <c r="P622" s="4" t="str">
        <f t="shared" si="18"/>
        <v>&gt;50</v>
      </c>
      <c r="Q622" s="4">
        <f>M622+N622</f>
        <v>20</v>
      </c>
      <c r="U622" s="28" t="str" cm="1">
        <f t="array" ref="U622">_xlfn.IFS(F622&lt;30000,"30k",F622&lt;=50000,"30k-50k",F622&lt;=75000,"50k-75k",F622&lt;=100000,"75k-100k",F622&gt;100000,"100k")</f>
        <v>30k-50k</v>
      </c>
      <c r="W622" s="1">
        <f t="shared" si="19"/>
        <v>14</v>
      </c>
    </row>
    <row r="623" spans="1:23" x14ac:dyDescent="0.35">
      <c r="A623">
        <v>620</v>
      </c>
      <c r="B623">
        <v>2782</v>
      </c>
      <c r="C623">
        <v>1961</v>
      </c>
      <c r="D623" s="1" t="s">
        <v>13</v>
      </c>
      <c r="E623" s="1" t="s">
        <v>14</v>
      </c>
      <c r="F623">
        <v>54456</v>
      </c>
      <c r="G623">
        <v>0</v>
      </c>
      <c r="H623" s="2">
        <v>1</v>
      </c>
      <c r="I623" s="2">
        <v>41466</v>
      </c>
      <c r="J623">
        <v>23</v>
      </c>
      <c r="K623">
        <f>VLOOKUP(B623,purchase_dataset!$B$2:$F$2241,2,FALSE)</f>
        <v>0</v>
      </c>
      <c r="L623">
        <f>VLOOKUP(B623,purchase_dataset!$B$2:$F$2241,3,FALSE)</f>
        <v>0</v>
      </c>
      <c r="M623">
        <f>VLOOKUP(B623,purchase_dataset!$B$2:$F$2241,3,FALSE)</f>
        <v>0</v>
      </c>
      <c r="N623">
        <f>VLOOKUP(B623,purchase_dataset!$B$2:$F$2241,5,FALSE)</f>
        <v>7</v>
      </c>
      <c r="O623" s="5">
        <v>65</v>
      </c>
      <c r="P623" s="4" t="str">
        <f t="shared" si="18"/>
        <v>&gt;50</v>
      </c>
      <c r="Q623" s="4">
        <f>M623+N623</f>
        <v>7</v>
      </c>
      <c r="U623" s="28" t="str" cm="1">
        <f t="array" ref="U623">_xlfn.IFS(F623&lt;30000,"30k",F623&lt;=50000,"30k-50k",F623&lt;=75000,"50k-75k",F623&lt;=100000,"75k-100k",F623&gt;100000,"100k")</f>
        <v>50k-75k</v>
      </c>
      <c r="W623" s="1">
        <f t="shared" si="19"/>
        <v>13</v>
      </c>
    </row>
    <row r="624" spans="1:23" x14ac:dyDescent="0.35">
      <c r="A624">
        <v>621</v>
      </c>
      <c r="B624">
        <v>6941</v>
      </c>
      <c r="C624">
        <v>1971</v>
      </c>
      <c r="D624" s="1" t="s">
        <v>10</v>
      </c>
      <c r="E624" s="1" t="s">
        <v>11</v>
      </c>
      <c r="F624">
        <v>31632</v>
      </c>
      <c r="G624">
        <v>0</v>
      </c>
      <c r="H624" s="2">
        <v>0</v>
      </c>
      <c r="I624" s="2">
        <v>41469</v>
      </c>
      <c r="J624">
        <v>92</v>
      </c>
      <c r="K624">
        <f>VLOOKUP(B624,purchase_dataset!$B$2:$F$2241,2,FALSE)</f>
        <v>8</v>
      </c>
      <c r="L624">
        <f>VLOOKUP(B624,purchase_dataset!$B$2:$F$2241,3,FALSE)</f>
        <v>15</v>
      </c>
      <c r="M624">
        <f>VLOOKUP(B624,purchase_dataset!$B$2:$F$2241,3,FALSE)</f>
        <v>15</v>
      </c>
      <c r="N624">
        <f>VLOOKUP(B624,purchase_dataset!$B$2:$F$2241,5,FALSE)</f>
        <v>2</v>
      </c>
      <c r="O624" s="5">
        <v>55</v>
      </c>
      <c r="P624" s="4" t="str">
        <f t="shared" si="18"/>
        <v>&gt;50</v>
      </c>
      <c r="Q624" s="4">
        <f>M624+N624</f>
        <v>17</v>
      </c>
      <c r="U624" s="28" t="str" cm="1">
        <f t="array" ref="U624">_xlfn.IFS(F624&lt;30000,"30k",F624&lt;=50000,"30k-50k",F624&lt;=75000,"50k-75k",F624&lt;=100000,"75k-100k",F624&gt;100000,"100k")</f>
        <v>30k-50k</v>
      </c>
      <c r="W624" s="1">
        <f t="shared" si="19"/>
        <v>13</v>
      </c>
    </row>
    <row r="625" spans="1:23" x14ac:dyDescent="0.35">
      <c r="A625">
        <v>622</v>
      </c>
      <c r="B625">
        <v>10972</v>
      </c>
      <c r="C625">
        <v>1949</v>
      </c>
      <c r="D625" s="1" t="s">
        <v>10</v>
      </c>
      <c r="E625" s="1" t="s">
        <v>19</v>
      </c>
      <c r="F625">
        <v>72298</v>
      </c>
      <c r="G625">
        <v>0</v>
      </c>
      <c r="H625" s="2">
        <v>0</v>
      </c>
      <c r="I625" s="2">
        <v>41708</v>
      </c>
      <c r="J625">
        <v>52</v>
      </c>
      <c r="K625">
        <f>VLOOKUP(B625,purchase_dataset!$B$2:$F$2241,2,FALSE)</f>
        <v>35</v>
      </c>
      <c r="L625">
        <f>VLOOKUP(B625,purchase_dataset!$B$2:$F$2241,3,FALSE)</f>
        <v>17</v>
      </c>
      <c r="M625">
        <f>VLOOKUP(B625,purchase_dataset!$B$2:$F$2241,3,FALSE)</f>
        <v>17</v>
      </c>
      <c r="N625">
        <f>VLOOKUP(B625,purchase_dataset!$B$2:$F$2241,5,FALSE)</f>
        <v>6</v>
      </c>
      <c r="O625" s="5">
        <v>77</v>
      </c>
      <c r="P625" s="4" t="str">
        <f t="shared" si="18"/>
        <v>&gt;50</v>
      </c>
      <c r="Q625" s="4">
        <f>M625+N625</f>
        <v>23</v>
      </c>
      <c r="U625" s="28" t="str" cm="1">
        <f t="array" ref="U625">_xlfn.IFS(F625&lt;30000,"30k",F625&lt;=50000,"30k-50k",F625&lt;=75000,"50k-75k",F625&lt;=100000,"75k-100k",F625&gt;100000,"100k")</f>
        <v>50k-75k</v>
      </c>
      <c r="W625" s="1">
        <f t="shared" si="19"/>
        <v>12</v>
      </c>
    </row>
    <row r="626" spans="1:23" x14ac:dyDescent="0.35">
      <c r="A626">
        <v>623</v>
      </c>
      <c r="B626">
        <v>10708</v>
      </c>
      <c r="C626">
        <v>1978</v>
      </c>
      <c r="D626" s="1" t="s">
        <v>18</v>
      </c>
      <c r="E626" s="1" t="s">
        <v>11</v>
      </c>
      <c r="F626">
        <v>36975</v>
      </c>
      <c r="G626">
        <v>1</v>
      </c>
      <c r="H626" s="2">
        <v>0</v>
      </c>
      <c r="I626" s="2">
        <v>41636</v>
      </c>
      <c r="J626">
        <v>50</v>
      </c>
      <c r="K626">
        <f>VLOOKUP(B626,purchase_dataset!$B$2:$F$2241,2,FALSE)</f>
        <v>6</v>
      </c>
      <c r="L626">
        <f>VLOOKUP(B626,purchase_dataset!$B$2:$F$2241,3,FALSE)</f>
        <v>4</v>
      </c>
      <c r="M626">
        <f>VLOOKUP(B626,purchase_dataset!$B$2:$F$2241,3,FALSE)</f>
        <v>4</v>
      </c>
      <c r="N626">
        <f>VLOOKUP(B626,purchase_dataset!$B$2:$F$2241,5,FALSE)</f>
        <v>3</v>
      </c>
      <c r="O626" s="5">
        <v>48</v>
      </c>
      <c r="P626" s="4" t="str">
        <f t="shared" si="18"/>
        <v>30-50</v>
      </c>
      <c r="Q626" s="4">
        <f>M626+N626</f>
        <v>7</v>
      </c>
      <c r="U626" s="28" t="str" cm="1">
        <f t="array" ref="U626">_xlfn.IFS(F626&lt;30000,"30k",F626&lt;=50000,"30k-50k",F626&lt;=75000,"50k-75k",F626&lt;=100000,"75k-100k",F626&gt;100000,"100k")</f>
        <v>30k-50k</v>
      </c>
      <c r="W626" s="1">
        <f t="shared" si="19"/>
        <v>13</v>
      </c>
    </row>
    <row r="627" spans="1:23" x14ac:dyDescent="0.35">
      <c r="A627">
        <v>624</v>
      </c>
      <c r="B627">
        <v>6583</v>
      </c>
      <c r="C627">
        <v>1955</v>
      </c>
      <c r="D627" s="1" t="s">
        <v>18</v>
      </c>
      <c r="E627" s="1" t="s">
        <v>14</v>
      </c>
      <c r="F627">
        <v>72635</v>
      </c>
      <c r="G627">
        <v>0</v>
      </c>
      <c r="H627" s="2">
        <v>0</v>
      </c>
      <c r="I627" s="2">
        <v>41428</v>
      </c>
      <c r="J627">
        <v>54</v>
      </c>
      <c r="K627">
        <f>VLOOKUP(B627,purchase_dataset!$B$2:$F$2241,2,FALSE)</f>
        <v>22</v>
      </c>
      <c r="L627">
        <f>VLOOKUP(B627,purchase_dataset!$B$2:$F$2241,3,FALSE)</f>
        <v>35</v>
      </c>
      <c r="M627">
        <f>VLOOKUP(B627,purchase_dataset!$B$2:$F$2241,3,FALSE)</f>
        <v>35</v>
      </c>
      <c r="N627">
        <f>VLOOKUP(B627,purchase_dataset!$B$2:$F$2241,5,FALSE)</f>
        <v>6</v>
      </c>
      <c r="O627" s="5">
        <v>71</v>
      </c>
      <c r="P627" s="4" t="str">
        <f t="shared" si="18"/>
        <v>&gt;50</v>
      </c>
      <c r="Q627" s="4">
        <f>M627+N627</f>
        <v>41</v>
      </c>
      <c r="U627" s="28" t="str" cm="1">
        <f t="array" ref="U627">_xlfn.IFS(F627&lt;30000,"30k",F627&lt;=50000,"30k-50k",F627&lt;=75000,"50k-75k",F627&lt;=100000,"75k-100k",F627&gt;100000,"100k")</f>
        <v>50k-75k</v>
      </c>
      <c r="W627" s="1">
        <f t="shared" si="19"/>
        <v>13</v>
      </c>
    </row>
    <row r="628" spans="1:23" x14ac:dyDescent="0.35">
      <c r="A628">
        <v>625</v>
      </c>
      <c r="B628">
        <v>3641</v>
      </c>
      <c r="C628">
        <v>1976</v>
      </c>
      <c r="D628" s="1" t="s">
        <v>10</v>
      </c>
      <c r="E628" s="1" t="s">
        <v>14</v>
      </c>
      <c r="F628">
        <v>13624</v>
      </c>
      <c r="G628">
        <v>1</v>
      </c>
      <c r="H628" s="2">
        <v>0</v>
      </c>
      <c r="I628" s="2">
        <v>41294</v>
      </c>
      <c r="J628">
        <v>93</v>
      </c>
      <c r="K628">
        <f>VLOOKUP(B628,purchase_dataset!$B$2:$F$2241,2,FALSE)</f>
        <v>2</v>
      </c>
      <c r="L628">
        <f>VLOOKUP(B628,purchase_dataset!$B$2:$F$2241,3,FALSE)</f>
        <v>1</v>
      </c>
      <c r="M628">
        <f>VLOOKUP(B628,purchase_dataset!$B$2:$F$2241,3,FALSE)</f>
        <v>1</v>
      </c>
      <c r="N628">
        <f>VLOOKUP(B628,purchase_dataset!$B$2:$F$2241,5,FALSE)</f>
        <v>3</v>
      </c>
      <c r="O628" s="5">
        <v>50</v>
      </c>
      <c r="P628" s="4" t="str">
        <f t="shared" si="18"/>
        <v>30-50</v>
      </c>
      <c r="Q628" s="4">
        <f>M628+N628</f>
        <v>4</v>
      </c>
      <c r="U628" s="28" t="str" cm="1">
        <f t="array" ref="U628">_xlfn.IFS(F628&lt;30000,"30k",F628&lt;=50000,"30k-50k",F628&lt;=75000,"50k-75k",F628&lt;=100000,"75k-100k",F628&gt;100000,"100k")</f>
        <v>30k</v>
      </c>
      <c r="W628" s="1">
        <f t="shared" si="19"/>
        <v>13</v>
      </c>
    </row>
    <row r="629" spans="1:23" x14ac:dyDescent="0.35">
      <c r="A629">
        <v>626</v>
      </c>
      <c r="B629">
        <v>10156</v>
      </c>
      <c r="C629">
        <v>1975</v>
      </c>
      <c r="D629" s="1" t="s">
        <v>10</v>
      </c>
      <c r="E629" s="1" t="s">
        <v>11</v>
      </c>
      <c r="F629">
        <v>84196</v>
      </c>
      <c r="G629">
        <v>0</v>
      </c>
      <c r="H629" s="2">
        <v>1</v>
      </c>
      <c r="I629" s="2">
        <v>41428</v>
      </c>
      <c r="J629">
        <v>56</v>
      </c>
      <c r="K629">
        <f>VLOOKUP(B629,purchase_dataset!$B$2:$F$2241,2,FALSE)</f>
        <v>63</v>
      </c>
      <c r="L629">
        <f>VLOOKUP(B629,purchase_dataset!$B$2:$F$2241,3,FALSE)</f>
        <v>31</v>
      </c>
      <c r="M629">
        <f>VLOOKUP(B629,purchase_dataset!$B$2:$F$2241,3,FALSE)</f>
        <v>31</v>
      </c>
      <c r="N629">
        <f>VLOOKUP(B629,purchase_dataset!$B$2:$F$2241,5,FALSE)</f>
        <v>7</v>
      </c>
      <c r="O629" s="5">
        <v>51</v>
      </c>
      <c r="P629" s="4" t="str">
        <f t="shared" si="18"/>
        <v>&gt;50</v>
      </c>
      <c r="Q629" s="4">
        <f>M629+N629</f>
        <v>38</v>
      </c>
      <c r="U629" s="28" t="str" cm="1">
        <f t="array" ref="U629">_xlfn.IFS(F629&lt;30000,"30k",F629&lt;=50000,"30k-50k",F629&lt;=75000,"50k-75k",F629&lt;=100000,"75k-100k",F629&gt;100000,"100k")</f>
        <v>75k-100k</v>
      </c>
      <c r="W629" s="1">
        <f t="shared" si="19"/>
        <v>13</v>
      </c>
    </row>
    <row r="630" spans="1:23" x14ac:dyDescent="0.35">
      <c r="A630">
        <v>627</v>
      </c>
      <c r="B630">
        <v>4299</v>
      </c>
      <c r="C630">
        <v>1960</v>
      </c>
      <c r="D630" s="1" t="s">
        <v>10</v>
      </c>
      <c r="E630" s="1" t="s">
        <v>12</v>
      </c>
      <c r="F630">
        <v>70971</v>
      </c>
      <c r="G630">
        <v>0</v>
      </c>
      <c r="H630" s="2">
        <v>1</v>
      </c>
      <c r="I630" s="2">
        <v>41173</v>
      </c>
      <c r="J630">
        <v>28</v>
      </c>
      <c r="K630">
        <f>VLOOKUP(B630,purchase_dataset!$B$2:$F$2241,2,FALSE)</f>
        <v>17</v>
      </c>
      <c r="L630">
        <f>VLOOKUP(B630,purchase_dataset!$B$2:$F$2241,3,FALSE)</f>
        <v>125</v>
      </c>
      <c r="M630">
        <f>VLOOKUP(B630,purchase_dataset!$B$2:$F$2241,3,FALSE)</f>
        <v>125</v>
      </c>
      <c r="N630">
        <f>VLOOKUP(B630,purchase_dataset!$B$2:$F$2241,5,FALSE)</f>
        <v>5</v>
      </c>
      <c r="O630" s="5">
        <v>66</v>
      </c>
      <c r="P630" s="4" t="str">
        <f t="shared" si="18"/>
        <v>&gt;50</v>
      </c>
      <c r="Q630" s="4">
        <f>M630+N630</f>
        <v>130</v>
      </c>
      <c r="U630" s="28" t="str" cm="1">
        <f t="array" ref="U630">_xlfn.IFS(F630&lt;30000,"30k",F630&lt;=50000,"30k-50k",F630&lt;=75000,"50k-75k",F630&lt;=100000,"75k-100k",F630&gt;100000,"100k")</f>
        <v>50k-75k</v>
      </c>
      <c r="W630" s="1">
        <f t="shared" si="19"/>
        <v>14</v>
      </c>
    </row>
    <row r="631" spans="1:23" x14ac:dyDescent="0.35">
      <c r="A631">
        <v>628</v>
      </c>
      <c r="B631">
        <v>3469</v>
      </c>
      <c r="C631">
        <v>1977</v>
      </c>
      <c r="D631" s="1" t="s">
        <v>13</v>
      </c>
      <c r="E631" s="1" t="s">
        <v>16</v>
      </c>
      <c r="F631">
        <v>34487</v>
      </c>
      <c r="G631">
        <v>1</v>
      </c>
      <c r="H631" s="2">
        <v>1</v>
      </c>
      <c r="I631" s="2">
        <v>41158</v>
      </c>
      <c r="J631">
        <v>94</v>
      </c>
      <c r="K631">
        <f>VLOOKUP(B631,purchase_dataset!$B$2:$F$2241,2,FALSE)</f>
        <v>18</v>
      </c>
      <c r="L631">
        <f>VLOOKUP(B631,purchase_dataset!$B$2:$F$2241,3,FALSE)</f>
        <v>1</v>
      </c>
      <c r="M631">
        <f>VLOOKUP(B631,purchase_dataset!$B$2:$F$2241,3,FALSE)</f>
        <v>1</v>
      </c>
      <c r="N631">
        <f>VLOOKUP(B631,purchase_dataset!$B$2:$F$2241,5,FALSE)</f>
        <v>3</v>
      </c>
      <c r="O631" s="5">
        <v>49</v>
      </c>
      <c r="P631" s="4" t="str">
        <f t="shared" si="18"/>
        <v>30-50</v>
      </c>
      <c r="Q631" s="4">
        <f>M631+N631</f>
        <v>4</v>
      </c>
      <c r="U631" s="28" t="str" cm="1">
        <f t="array" ref="U631">_xlfn.IFS(F631&lt;30000,"30k",F631&lt;=50000,"30k-50k",F631&lt;=75000,"50k-75k",F631&lt;=100000,"75k-100k",F631&gt;100000,"100k")</f>
        <v>30k-50k</v>
      </c>
      <c r="W631" s="1">
        <f t="shared" si="19"/>
        <v>14</v>
      </c>
    </row>
    <row r="632" spans="1:23" x14ac:dyDescent="0.35">
      <c r="A632">
        <v>629</v>
      </c>
      <c r="B632">
        <v>5063</v>
      </c>
      <c r="C632">
        <v>1977</v>
      </c>
      <c r="D632" s="1" t="s">
        <v>10</v>
      </c>
      <c r="E632" s="1" t="s">
        <v>11</v>
      </c>
      <c r="F632">
        <v>28769</v>
      </c>
      <c r="G632">
        <v>1</v>
      </c>
      <c r="H632" s="2">
        <v>0</v>
      </c>
      <c r="I632" s="2">
        <v>41261</v>
      </c>
      <c r="J632">
        <v>76</v>
      </c>
      <c r="K632">
        <f>VLOOKUP(B632,purchase_dataset!$B$2:$F$2241,2,FALSE)</f>
        <v>5</v>
      </c>
      <c r="L632">
        <f>VLOOKUP(B632,purchase_dataset!$B$2:$F$2241,3,FALSE)</f>
        <v>3</v>
      </c>
      <c r="M632">
        <f>VLOOKUP(B632,purchase_dataset!$B$2:$F$2241,3,FALSE)</f>
        <v>3</v>
      </c>
      <c r="N632">
        <f>VLOOKUP(B632,purchase_dataset!$B$2:$F$2241,5,FALSE)</f>
        <v>4</v>
      </c>
      <c r="O632" s="5">
        <v>49</v>
      </c>
      <c r="P632" s="4" t="str">
        <f t="shared" si="18"/>
        <v>30-50</v>
      </c>
      <c r="Q632" s="4">
        <f>M632+N632</f>
        <v>7</v>
      </c>
      <c r="U632" s="28" t="str" cm="1">
        <f t="array" ref="U632">_xlfn.IFS(F632&lt;30000,"30k",F632&lt;=50000,"30k-50k",F632&lt;=75000,"50k-75k",F632&lt;=100000,"75k-100k",F632&gt;100000,"100k")</f>
        <v>30k</v>
      </c>
      <c r="W632" s="1">
        <f t="shared" si="19"/>
        <v>14</v>
      </c>
    </row>
    <row r="633" spans="1:23" x14ac:dyDescent="0.35">
      <c r="A633">
        <v>630</v>
      </c>
      <c r="B633">
        <v>10727</v>
      </c>
      <c r="C633">
        <v>1970</v>
      </c>
      <c r="D633" s="1" t="s">
        <v>13</v>
      </c>
      <c r="E633" s="1" t="s">
        <v>14</v>
      </c>
      <c r="F633">
        <v>69084</v>
      </c>
      <c r="G633">
        <v>1</v>
      </c>
      <c r="H633" s="2">
        <v>0</v>
      </c>
      <c r="I633" s="2">
        <v>41597</v>
      </c>
      <c r="J633">
        <v>43</v>
      </c>
      <c r="K633">
        <f>VLOOKUP(B633,purchase_dataset!$B$2:$F$2241,2,FALSE)</f>
        <v>107</v>
      </c>
      <c r="L633">
        <f>VLOOKUP(B633,purchase_dataset!$B$2:$F$2241,3,FALSE)</f>
        <v>30</v>
      </c>
      <c r="M633">
        <f>VLOOKUP(B633,purchase_dataset!$B$2:$F$2241,3,FALSE)</f>
        <v>30</v>
      </c>
      <c r="N633">
        <f>VLOOKUP(B633,purchase_dataset!$B$2:$F$2241,5,FALSE)</f>
        <v>13</v>
      </c>
      <c r="O633" s="5">
        <v>56</v>
      </c>
      <c r="P633" s="4" t="str">
        <f t="shared" si="18"/>
        <v>&gt;50</v>
      </c>
      <c r="Q633" s="4">
        <f>M633+N633</f>
        <v>43</v>
      </c>
      <c r="U633" s="28" t="str" cm="1">
        <f t="array" ref="U633">_xlfn.IFS(F633&lt;30000,"30k",F633&lt;=50000,"30k-50k",F633&lt;=75000,"50k-75k",F633&lt;=100000,"75k-100k",F633&gt;100000,"100k")</f>
        <v>50k-75k</v>
      </c>
      <c r="W633" s="1">
        <f t="shared" si="19"/>
        <v>13</v>
      </c>
    </row>
    <row r="634" spans="1:23" x14ac:dyDescent="0.35">
      <c r="A634">
        <v>631</v>
      </c>
      <c r="B634">
        <v>9624</v>
      </c>
      <c r="C634">
        <v>1958</v>
      </c>
      <c r="D634" s="1" t="s">
        <v>13</v>
      </c>
      <c r="E634" s="1" t="s">
        <v>12</v>
      </c>
      <c r="F634">
        <v>65488</v>
      </c>
      <c r="G634">
        <v>0</v>
      </c>
      <c r="H634" s="2">
        <v>0</v>
      </c>
      <c r="I634" s="2">
        <v>41803</v>
      </c>
      <c r="J634">
        <v>46</v>
      </c>
      <c r="K634">
        <f>VLOOKUP(B634,purchase_dataset!$B$2:$F$2241,2,FALSE)</f>
        <v>45</v>
      </c>
      <c r="L634">
        <f>VLOOKUP(B634,purchase_dataset!$B$2:$F$2241,3,FALSE)</f>
        <v>18</v>
      </c>
      <c r="M634">
        <f>VLOOKUP(B634,purchase_dataset!$B$2:$F$2241,3,FALSE)</f>
        <v>18</v>
      </c>
      <c r="N634">
        <f>VLOOKUP(B634,purchase_dataset!$B$2:$F$2241,5,FALSE)</f>
        <v>6</v>
      </c>
      <c r="O634" s="5">
        <v>68</v>
      </c>
      <c r="P634" s="4" t="str">
        <f t="shared" si="18"/>
        <v>&gt;50</v>
      </c>
      <c r="Q634" s="4">
        <f>M634+N634</f>
        <v>24</v>
      </c>
      <c r="U634" s="28" t="str" cm="1">
        <f t="array" ref="U634">_xlfn.IFS(F634&lt;30000,"30k",F634&lt;=50000,"30k-50k",F634&lt;=75000,"50k-75k",F634&lt;=100000,"75k-100k",F634&gt;100000,"100k")</f>
        <v>50k-75k</v>
      </c>
      <c r="W634" s="1">
        <f t="shared" si="19"/>
        <v>12</v>
      </c>
    </row>
    <row r="635" spans="1:23" x14ac:dyDescent="0.35">
      <c r="A635">
        <v>632</v>
      </c>
      <c r="B635">
        <v>5156</v>
      </c>
      <c r="C635">
        <v>1970</v>
      </c>
      <c r="D635" s="1" t="s">
        <v>18</v>
      </c>
      <c r="E635" s="1" t="s">
        <v>14</v>
      </c>
      <c r="F635">
        <v>62466</v>
      </c>
      <c r="G635">
        <v>0</v>
      </c>
      <c r="H635" s="2">
        <v>1</v>
      </c>
      <c r="I635" s="2">
        <v>41654</v>
      </c>
      <c r="J635">
        <v>13</v>
      </c>
      <c r="K635">
        <f>VLOOKUP(B635,purchase_dataset!$B$2:$F$2241,2,FALSE)</f>
        <v>129</v>
      </c>
      <c r="L635">
        <f>VLOOKUP(B635,purchase_dataset!$B$2:$F$2241,3,FALSE)</f>
        <v>121</v>
      </c>
      <c r="M635">
        <f>VLOOKUP(B635,purchase_dataset!$B$2:$F$2241,3,FALSE)</f>
        <v>121</v>
      </c>
      <c r="N635">
        <f>VLOOKUP(B635,purchase_dataset!$B$2:$F$2241,5,FALSE)</f>
        <v>12</v>
      </c>
      <c r="O635" s="5">
        <v>56</v>
      </c>
      <c r="P635" s="4" t="str">
        <f t="shared" si="18"/>
        <v>&gt;50</v>
      </c>
      <c r="Q635" s="4">
        <f>M635+N635</f>
        <v>133</v>
      </c>
      <c r="U635" s="28" t="str" cm="1">
        <f t="array" ref="U635">_xlfn.IFS(F635&lt;30000,"30k",F635&lt;=50000,"30k-50k",F635&lt;=75000,"50k-75k",F635&lt;=100000,"75k-100k",F635&gt;100000,"100k")</f>
        <v>50k-75k</v>
      </c>
      <c r="W635" s="1">
        <f t="shared" si="19"/>
        <v>12</v>
      </c>
    </row>
    <row r="636" spans="1:23" x14ac:dyDescent="0.35">
      <c r="A636">
        <v>633</v>
      </c>
      <c r="B636">
        <v>4376</v>
      </c>
      <c r="C636">
        <v>1960</v>
      </c>
      <c r="D636" s="1" t="s">
        <v>18</v>
      </c>
      <c r="E636" s="1" t="s">
        <v>11</v>
      </c>
      <c r="F636">
        <v>32218</v>
      </c>
      <c r="G636">
        <v>0</v>
      </c>
      <c r="H636" s="2">
        <v>0</v>
      </c>
      <c r="I636" s="2">
        <v>41685</v>
      </c>
      <c r="J636">
        <v>27</v>
      </c>
      <c r="K636">
        <f>VLOOKUP(B636,purchase_dataset!$B$2:$F$2241,2,FALSE)</f>
        <v>24</v>
      </c>
      <c r="L636">
        <f>VLOOKUP(B636,purchase_dataset!$B$2:$F$2241,3,FALSE)</f>
        <v>1</v>
      </c>
      <c r="M636">
        <f>VLOOKUP(B636,purchase_dataset!$B$2:$F$2241,3,FALSE)</f>
        <v>1</v>
      </c>
      <c r="N636">
        <f>VLOOKUP(B636,purchase_dataset!$B$2:$F$2241,5,FALSE)</f>
        <v>3</v>
      </c>
      <c r="O636" s="5">
        <v>66</v>
      </c>
      <c r="P636" s="4" t="str">
        <f t="shared" si="18"/>
        <v>&gt;50</v>
      </c>
      <c r="Q636" s="4">
        <f>M636+N636</f>
        <v>4</v>
      </c>
      <c r="U636" s="28" t="str" cm="1">
        <f t="array" ref="U636">_xlfn.IFS(F636&lt;30000,"30k",F636&lt;=50000,"30k-50k",F636&lt;=75000,"50k-75k",F636&lt;=100000,"75k-100k",F636&gt;100000,"100k")</f>
        <v>30k-50k</v>
      </c>
      <c r="W636" s="1">
        <f t="shared" si="19"/>
        <v>12</v>
      </c>
    </row>
    <row r="637" spans="1:23" x14ac:dyDescent="0.35">
      <c r="A637">
        <v>634</v>
      </c>
      <c r="B637">
        <v>8923</v>
      </c>
      <c r="C637">
        <v>1973</v>
      </c>
      <c r="D637" s="1" t="s">
        <v>10</v>
      </c>
      <c r="E637" s="1" t="s">
        <v>11</v>
      </c>
      <c r="F637">
        <v>83917</v>
      </c>
      <c r="G637">
        <v>0</v>
      </c>
      <c r="H637" s="2">
        <v>0</v>
      </c>
      <c r="I637" s="2">
        <v>41382</v>
      </c>
      <c r="J637">
        <v>12</v>
      </c>
      <c r="K637">
        <f>VLOOKUP(B637,purchase_dataset!$B$2:$F$2241,2,FALSE)</f>
        <v>22</v>
      </c>
      <c r="L637">
        <f>VLOOKUP(B637,purchase_dataset!$B$2:$F$2241,3,FALSE)</f>
        <v>198</v>
      </c>
      <c r="M637">
        <f>VLOOKUP(B637,purchase_dataset!$B$2:$F$2241,3,FALSE)</f>
        <v>198</v>
      </c>
      <c r="N637">
        <f>VLOOKUP(B637,purchase_dataset!$B$2:$F$2241,5,FALSE)</f>
        <v>7</v>
      </c>
      <c r="O637" s="5">
        <v>53</v>
      </c>
      <c r="P637" s="4" t="str">
        <f t="shared" si="18"/>
        <v>&gt;50</v>
      </c>
      <c r="Q637" s="4">
        <f>M637+N637</f>
        <v>205</v>
      </c>
      <c r="U637" s="28" t="str" cm="1">
        <f t="array" ref="U637">_xlfn.IFS(F637&lt;30000,"30k",F637&lt;=50000,"30k-50k",F637&lt;=75000,"50k-75k",F637&lt;=100000,"75k-100k",F637&gt;100000,"100k")</f>
        <v>75k-100k</v>
      </c>
      <c r="W637" s="1">
        <f t="shared" si="19"/>
        <v>13</v>
      </c>
    </row>
    <row r="638" spans="1:23" x14ac:dyDescent="0.35">
      <c r="A638">
        <v>635</v>
      </c>
      <c r="B638">
        <v>8461</v>
      </c>
      <c r="C638">
        <v>1962</v>
      </c>
      <c r="D638" s="1" t="s">
        <v>10</v>
      </c>
      <c r="E638" s="1" t="s">
        <v>16</v>
      </c>
      <c r="F638">
        <v>46102</v>
      </c>
      <c r="G638">
        <v>2</v>
      </c>
      <c r="H638" s="2">
        <v>1</v>
      </c>
      <c r="I638" s="2">
        <v>41708</v>
      </c>
      <c r="J638">
        <v>3</v>
      </c>
      <c r="K638">
        <f>VLOOKUP(B638,purchase_dataset!$B$2:$F$2241,2,FALSE)</f>
        <v>0</v>
      </c>
      <c r="L638">
        <f>VLOOKUP(B638,purchase_dataset!$B$2:$F$2241,3,FALSE)</f>
        <v>0</v>
      </c>
      <c r="M638">
        <f>VLOOKUP(B638,purchase_dataset!$B$2:$F$2241,3,FALSE)</f>
        <v>0</v>
      </c>
      <c r="N638">
        <f>VLOOKUP(B638,purchase_dataset!$B$2:$F$2241,5,FALSE)</f>
        <v>2</v>
      </c>
      <c r="O638" s="5">
        <v>64</v>
      </c>
      <c r="P638" s="4" t="str">
        <f t="shared" si="18"/>
        <v>&gt;50</v>
      </c>
      <c r="Q638" s="4">
        <f>M638+N638</f>
        <v>2</v>
      </c>
      <c r="U638" s="28" t="str" cm="1">
        <f t="array" ref="U638">_xlfn.IFS(F638&lt;30000,"30k",F638&lt;=50000,"30k-50k",F638&lt;=75000,"50k-75k",F638&lt;=100000,"75k-100k",F638&gt;100000,"100k")</f>
        <v>30k-50k</v>
      </c>
      <c r="W638" s="1">
        <f t="shared" si="19"/>
        <v>12</v>
      </c>
    </row>
    <row r="639" spans="1:23" x14ac:dyDescent="0.35">
      <c r="A639">
        <v>636</v>
      </c>
      <c r="B639">
        <v>6945</v>
      </c>
      <c r="C639">
        <v>1952</v>
      </c>
      <c r="D639" s="1" t="s">
        <v>10</v>
      </c>
      <c r="E639" s="1" t="s">
        <v>11</v>
      </c>
      <c r="F639">
        <v>84574</v>
      </c>
      <c r="G639">
        <v>0</v>
      </c>
      <c r="H639" s="2">
        <v>0</v>
      </c>
      <c r="I639" s="2">
        <v>41429</v>
      </c>
      <c r="J639">
        <v>72</v>
      </c>
      <c r="K639">
        <f>VLOOKUP(B639,purchase_dataset!$B$2:$F$2241,2,FALSE)</f>
        <v>20</v>
      </c>
      <c r="L639">
        <f>VLOOKUP(B639,purchase_dataset!$B$2:$F$2241,3,FALSE)</f>
        <v>54</v>
      </c>
      <c r="M639">
        <f>VLOOKUP(B639,purchase_dataset!$B$2:$F$2241,3,FALSE)</f>
        <v>54</v>
      </c>
      <c r="N639">
        <f>VLOOKUP(B639,purchase_dataset!$B$2:$F$2241,5,FALSE)</f>
        <v>11</v>
      </c>
      <c r="O639" s="5">
        <v>74</v>
      </c>
      <c r="P639" s="4" t="str">
        <f t="shared" si="18"/>
        <v>&gt;50</v>
      </c>
      <c r="Q639" s="4">
        <f>M639+N639</f>
        <v>65</v>
      </c>
      <c r="U639" s="28" t="str" cm="1">
        <f t="array" ref="U639">_xlfn.IFS(F639&lt;30000,"30k",F639&lt;=50000,"30k-50k",F639&lt;=75000,"50k-75k",F639&lt;=100000,"75k-100k",F639&gt;100000,"100k")</f>
        <v>75k-100k</v>
      </c>
      <c r="W639" s="1">
        <f t="shared" si="19"/>
        <v>13</v>
      </c>
    </row>
    <row r="640" spans="1:23" x14ac:dyDescent="0.35">
      <c r="A640">
        <v>637</v>
      </c>
      <c r="B640">
        <v>944</v>
      </c>
      <c r="C640">
        <v>1962</v>
      </c>
      <c r="D640" s="1" t="s">
        <v>10</v>
      </c>
      <c r="E640" s="1" t="s">
        <v>14</v>
      </c>
      <c r="F640">
        <v>56181</v>
      </c>
      <c r="G640">
        <v>0</v>
      </c>
      <c r="H640" s="2">
        <v>1</v>
      </c>
      <c r="I640" s="2">
        <v>41282</v>
      </c>
      <c r="J640">
        <v>6</v>
      </c>
      <c r="K640">
        <f>VLOOKUP(B640,purchase_dataset!$B$2:$F$2241,2,FALSE)</f>
        <v>103</v>
      </c>
      <c r="L640">
        <f>VLOOKUP(B640,purchase_dataset!$B$2:$F$2241,3,FALSE)</f>
        <v>44</v>
      </c>
      <c r="M640">
        <f>VLOOKUP(B640,purchase_dataset!$B$2:$F$2241,3,FALSE)</f>
        <v>44</v>
      </c>
      <c r="N640">
        <f>VLOOKUP(B640,purchase_dataset!$B$2:$F$2241,5,FALSE)</f>
        <v>7</v>
      </c>
      <c r="O640" s="5">
        <v>64</v>
      </c>
      <c r="P640" s="4" t="str">
        <f t="shared" si="18"/>
        <v>&gt;50</v>
      </c>
      <c r="Q640" s="4">
        <f>M640+N640</f>
        <v>51</v>
      </c>
      <c r="U640" s="28" t="str" cm="1">
        <f t="array" ref="U640">_xlfn.IFS(F640&lt;30000,"30k",F640&lt;=50000,"30k-50k",F640&lt;=75000,"50k-75k",F640&lt;=100000,"75k-100k",F640&gt;100000,"100k")</f>
        <v>50k-75k</v>
      </c>
      <c r="W640" s="1">
        <f t="shared" si="19"/>
        <v>13</v>
      </c>
    </row>
    <row r="641" spans="1:23" x14ac:dyDescent="0.35">
      <c r="A641">
        <v>638</v>
      </c>
      <c r="B641">
        <v>1907</v>
      </c>
      <c r="C641">
        <v>1950</v>
      </c>
      <c r="D641" s="1" t="s">
        <v>15</v>
      </c>
      <c r="E641" s="1" t="s">
        <v>16</v>
      </c>
      <c r="F641">
        <v>63120</v>
      </c>
      <c r="G641">
        <v>0</v>
      </c>
      <c r="H641" s="2">
        <v>1</v>
      </c>
      <c r="I641" s="2">
        <v>41180</v>
      </c>
      <c r="J641">
        <v>53</v>
      </c>
      <c r="K641">
        <f>VLOOKUP(B641,purchase_dataset!$B$2:$F$2241,2,FALSE)</f>
        <v>69</v>
      </c>
      <c r="L641">
        <f>VLOOKUP(B641,purchase_dataset!$B$2:$F$2241,3,FALSE)</f>
        <v>41</v>
      </c>
      <c r="M641">
        <f>VLOOKUP(B641,purchase_dataset!$B$2:$F$2241,3,FALSE)</f>
        <v>41</v>
      </c>
      <c r="N641">
        <f>VLOOKUP(B641,purchase_dataset!$B$2:$F$2241,5,FALSE)</f>
        <v>9</v>
      </c>
      <c r="O641" s="5">
        <v>76</v>
      </c>
      <c r="P641" s="4" t="str">
        <f t="shared" si="18"/>
        <v>&gt;50</v>
      </c>
      <c r="Q641" s="4">
        <f>M641+N641</f>
        <v>50</v>
      </c>
      <c r="U641" s="28" t="str" cm="1">
        <f t="array" ref="U641">_xlfn.IFS(F641&lt;30000,"30k",F641&lt;=50000,"30k-50k",F641&lt;=75000,"50k-75k",F641&lt;=100000,"75k-100k",F641&gt;100000,"100k")</f>
        <v>50k-75k</v>
      </c>
      <c r="W641" s="1">
        <f t="shared" si="19"/>
        <v>14</v>
      </c>
    </row>
    <row r="642" spans="1:23" x14ac:dyDescent="0.35">
      <c r="A642">
        <v>639</v>
      </c>
      <c r="B642">
        <v>701</v>
      </c>
      <c r="C642">
        <v>1971</v>
      </c>
      <c r="D642" s="1" t="s">
        <v>10</v>
      </c>
      <c r="E642" s="1" t="s">
        <v>14</v>
      </c>
      <c r="F642">
        <v>73691</v>
      </c>
      <c r="G642">
        <v>0</v>
      </c>
      <c r="H642" s="2">
        <v>1</v>
      </c>
      <c r="I642" s="2">
        <v>41584</v>
      </c>
      <c r="J642">
        <v>58</v>
      </c>
      <c r="K642">
        <f>VLOOKUP(B642,purchase_dataset!$B$2:$F$2241,2,FALSE)</f>
        <v>21</v>
      </c>
      <c r="L642">
        <f>VLOOKUP(B642,purchase_dataset!$B$2:$F$2241,3,FALSE)</f>
        <v>43</v>
      </c>
      <c r="M642">
        <f>VLOOKUP(B642,purchase_dataset!$B$2:$F$2241,3,FALSE)</f>
        <v>43</v>
      </c>
      <c r="N642">
        <f>VLOOKUP(B642,purchase_dataset!$B$2:$F$2241,5,FALSE)</f>
        <v>8</v>
      </c>
      <c r="O642" s="5">
        <v>55</v>
      </c>
      <c r="P642" s="4" t="str">
        <f t="shared" si="18"/>
        <v>&gt;50</v>
      </c>
      <c r="Q642" s="4">
        <f>M642+N642</f>
        <v>51</v>
      </c>
      <c r="U642" s="28" t="str" cm="1">
        <f t="array" ref="U642">_xlfn.IFS(F642&lt;30000,"30k",F642&lt;=50000,"30k-50k",F642&lt;=75000,"50k-75k",F642&lt;=100000,"75k-100k",F642&gt;100000,"100k")</f>
        <v>50k-75k</v>
      </c>
      <c r="W642" s="1">
        <f t="shared" si="19"/>
        <v>13</v>
      </c>
    </row>
    <row r="643" spans="1:23" x14ac:dyDescent="0.35">
      <c r="A643">
        <v>640</v>
      </c>
      <c r="B643">
        <v>3856</v>
      </c>
      <c r="C643">
        <v>1960</v>
      </c>
      <c r="D643" s="1" t="s">
        <v>10</v>
      </c>
      <c r="E643" s="1" t="s">
        <v>12</v>
      </c>
      <c r="F643">
        <v>63381</v>
      </c>
      <c r="G643">
        <v>0</v>
      </c>
      <c r="H643" s="2">
        <v>1</v>
      </c>
      <c r="I643" s="2">
        <v>41187</v>
      </c>
      <c r="J643">
        <v>78</v>
      </c>
      <c r="K643">
        <f>VLOOKUP(B643,purchase_dataset!$B$2:$F$2241,2,FALSE)</f>
        <v>50</v>
      </c>
      <c r="L643">
        <f>VLOOKUP(B643,purchase_dataset!$B$2:$F$2241,3,FALSE)</f>
        <v>50</v>
      </c>
      <c r="M643">
        <f>VLOOKUP(B643,purchase_dataset!$B$2:$F$2241,3,FALSE)</f>
        <v>50</v>
      </c>
      <c r="N643">
        <f>VLOOKUP(B643,purchase_dataset!$B$2:$F$2241,5,FALSE)</f>
        <v>13</v>
      </c>
      <c r="O643" s="5">
        <v>66</v>
      </c>
      <c r="P643" s="4" t="str">
        <f t="shared" si="18"/>
        <v>&gt;50</v>
      </c>
      <c r="Q643" s="4">
        <f>M643+N643</f>
        <v>63</v>
      </c>
      <c r="U643" s="28" t="str" cm="1">
        <f t="array" ref="U643">_xlfn.IFS(F643&lt;30000,"30k",F643&lt;=50000,"30k-50k",F643&lt;=75000,"50k-75k",F643&lt;=100000,"75k-100k",F643&gt;100000,"100k")</f>
        <v>50k-75k</v>
      </c>
      <c r="W643" s="1">
        <f t="shared" si="19"/>
        <v>14</v>
      </c>
    </row>
    <row r="644" spans="1:23" x14ac:dyDescent="0.35">
      <c r="A644">
        <v>641</v>
      </c>
      <c r="B644">
        <v>4149</v>
      </c>
      <c r="C644">
        <v>1948</v>
      </c>
      <c r="D644" s="1" t="s">
        <v>13</v>
      </c>
      <c r="E644" s="1" t="s">
        <v>12</v>
      </c>
      <c r="F644">
        <v>76140</v>
      </c>
      <c r="G644">
        <v>0</v>
      </c>
      <c r="H644" s="2">
        <v>0</v>
      </c>
      <c r="I644" s="2">
        <v>41772</v>
      </c>
      <c r="J644">
        <v>57</v>
      </c>
      <c r="K644">
        <f>VLOOKUP(B644,purchase_dataset!$B$2:$F$2241,2,FALSE)</f>
        <v>66</v>
      </c>
      <c r="L644">
        <f>VLOOKUP(B644,purchase_dataset!$B$2:$F$2241,3,FALSE)</f>
        <v>0</v>
      </c>
      <c r="M644">
        <f>VLOOKUP(B644,purchase_dataset!$B$2:$F$2241,3,FALSE)</f>
        <v>0</v>
      </c>
      <c r="N644">
        <f>VLOOKUP(B644,purchase_dataset!$B$2:$F$2241,5,FALSE)</f>
        <v>6</v>
      </c>
      <c r="O644" s="5">
        <v>78</v>
      </c>
      <c r="P644" s="4" t="str">
        <f t="shared" ref="P644:P707" si="20">IF(O644&lt;30,"30",IF(O644&lt;=50,"30-50","&gt;50"))</f>
        <v>&gt;50</v>
      </c>
      <c r="Q644" s="4">
        <f>M644+N644</f>
        <v>6</v>
      </c>
      <c r="U644" s="28" t="str" cm="1">
        <f t="array" ref="U644">_xlfn.IFS(F644&lt;30000,"30k",F644&lt;=50000,"30k-50k",F644&lt;=75000,"50k-75k",F644&lt;=100000,"75k-100k",F644&gt;100000,"100k")</f>
        <v>75k-100k</v>
      </c>
      <c r="W644" s="1">
        <f t="shared" ref="W644:W707" si="21">2026-YEAR(I644)</f>
        <v>12</v>
      </c>
    </row>
    <row r="645" spans="1:23" x14ac:dyDescent="0.35">
      <c r="A645">
        <v>642</v>
      </c>
      <c r="B645">
        <v>2131</v>
      </c>
      <c r="C645">
        <v>1959</v>
      </c>
      <c r="D645" s="1" t="s">
        <v>13</v>
      </c>
      <c r="E645" s="1" t="s">
        <v>16</v>
      </c>
      <c r="F645">
        <v>62859</v>
      </c>
      <c r="G645">
        <v>0</v>
      </c>
      <c r="H645" s="2">
        <v>1</v>
      </c>
      <c r="I645" s="2">
        <v>41273</v>
      </c>
      <c r="J645">
        <v>37</v>
      </c>
      <c r="K645">
        <f>VLOOKUP(B645,purchase_dataset!$B$2:$F$2241,2,FALSE)</f>
        <v>89</v>
      </c>
      <c r="L645">
        <f>VLOOKUP(B645,purchase_dataset!$B$2:$F$2241,3,FALSE)</f>
        <v>12</v>
      </c>
      <c r="M645">
        <f>VLOOKUP(B645,purchase_dataset!$B$2:$F$2241,3,FALSE)</f>
        <v>12</v>
      </c>
      <c r="N645">
        <f>VLOOKUP(B645,purchase_dataset!$B$2:$F$2241,5,FALSE)</f>
        <v>6</v>
      </c>
      <c r="O645" s="5">
        <v>67</v>
      </c>
      <c r="P645" s="4" t="str">
        <f t="shared" si="20"/>
        <v>&gt;50</v>
      </c>
      <c r="Q645" s="4">
        <f>M645+N645</f>
        <v>18</v>
      </c>
      <c r="U645" s="28" t="str" cm="1">
        <f t="array" ref="U645">_xlfn.IFS(F645&lt;30000,"30k",F645&lt;=50000,"30k-50k",F645&lt;=75000,"50k-75k",F645&lt;=100000,"75k-100k",F645&gt;100000,"100k")</f>
        <v>50k-75k</v>
      </c>
      <c r="W645" s="1">
        <f t="shared" si="21"/>
        <v>14</v>
      </c>
    </row>
    <row r="646" spans="1:23" x14ac:dyDescent="0.35">
      <c r="A646">
        <v>643</v>
      </c>
      <c r="B646">
        <v>2942</v>
      </c>
      <c r="C646">
        <v>1964</v>
      </c>
      <c r="D646" s="1" t="s">
        <v>10</v>
      </c>
      <c r="E646" s="1" t="s">
        <v>11</v>
      </c>
      <c r="F646">
        <v>45906</v>
      </c>
      <c r="G646">
        <v>0</v>
      </c>
      <c r="H646" s="2">
        <v>1</v>
      </c>
      <c r="I646" s="2">
        <v>41401</v>
      </c>
      <c r="J646">
        <v>20</v>
      </c>
      <c r="K646">
        <f>VLOOKUP(B646,purchase_dataset!$B$2:$F$2241,2,FALSE)</f>
        <v>3</v>
      </c>
      <c r="L646">
        <f>VLOOKUP(B646,purchase_dataset!$B$2:$F$2241,3,FALSE)</f>
        <v>3</v>
      </c>
      <c r="M646">
        <f>VLOOKUP(B646,purchase_dataset!$B$2:$F$2241,3,FALSE)</f>
        <v>3</v>
      </c>
      <c r="N646">
        <f>VLOOKUP(B646,purchase_dataset!$B$2:$F$2241,5,FALSE)</f>
        <v>4</v>
      </c>
      <c r="O646" s="5">
        <v>62</v>
      </c>
      <c r="P646" s="4" t="str">
        <f t="shared" si="20"/>
        <v>&gt;50</v>
      </c>
      <c r="Q646" s="4">
        <f>M646+N646</f>
        <v>7</v>
      </c>
      <c r="U646" s="28" t="str" cm="1">
        <f t="array" ref="U646">_xlfn.IFS(F646&lt;30000,"30k",F646&lt;=50000,"30k-50k",F646&lt;=75000,"50k-75k",F646&lt;=100000,"75k-100k",F646&gt;100000,"100k")</f>
        <v>30k-50k</v>
      </c>
      <c r="W646" s="1">
        <f t="shared" si="21"/>
        <v>13</v>
      </c>
    </row>
    <row r="647" spans="1:23" x14ac:dyDescent="0.35">
      <c r="A647">
        <v>644</v>
      </c>
      <c r="B647">
        <v>1173</v>
      </c>
      <c r="C647">
        <v>1947</v>
      </c>
      <c r="D647" s="1" t="s">
        <v>15</v>
      </c>
      <c r="E647" s="1" t="s">
        <v>12</v>
      </c>
      <c r="F647">
        <v>77632</v>
      </c>
      <c r="G647">
        <v>0</v>
      </c>
      <c r="H647" s="2">
        <v>0</v>
      </c>
      <c r="I647" s="2">
        <v>41343</v>
      </c>
      <c r="J647">
        <v>73</v>
      </c>
      <c r="K647">
        <f>VLOOKUP(B647,purchase_dataset!$B$2:$F$2241,2,FALSE)</f>
        <v>105</v>
      </c>
      <c r="L647">
        <f>VLOOKUP(B647,purchase_dataset!$B$2:$F$2241,3,FALSE)</f>
        <v>42</v>
      </c>
      <c r="M647">
        <f>VLOOKUP(B647,purchase_dataset!$B$2:$F$2241,3,FALSE)</f>
        <v>42</v>
      </c>
      <c r="N647">
        <f>VLOOKUP(B647,purchase_dataset!$B$2:$F$2241,5,FALSE)</f>
        <v>6</v>
      </c>
      <c r="O647" s="5">
        <v>79</v>
      </c>
      <c r="P647" s="4" t="str">
        <f t="shared" si="20"/>
        <v>&gt;50</v>
      </c>
      <c r="Q647" s="4">
        <f>M647+N647</f>
        <v>48</v>
      </c>
      <c r="U647" s="28" t="str" cm="1">
        <f t="array" ref="U647">_xlfn.IFS(F647&lt;30000,"30k",F647&lt;=50000,"30k-50k",F647&lt;=75000,"50k-75k",F647&lt;=100000,"75k-100k",F647&gt;100000,"100k")</f>
        <v>75k-100k</v>
      </c>
      <c r="W647" s="1">
        <f t="shared" si="21"/>
        <v>13</v>
      </c>
    </row>
    <row r="648" spans="1:23" x14ac:dyDescent="0.35">
      <c r="A648">
        <v>645</v>
      </c>
      <c r="B648">
        <v>4381</v>
      </c>
      <c r="C648">
        <v>1971</v>
      </c>
      <c r="D648" s="1" t="s">
        <v>13</v>
      </c>
      <c r="E648" s="1" t="s">
        <v>14</v>
      </c>
      <c r="F648">
        <v>46463</v>
      </c>
      <c r="G648">
        <v>1</v>
      </c>
      <c r="H648" s="2">
        <v>1</v>
      </c>
      <c r="I648" s="2">
        <v>41504</v>
      </c>
      <c r="J648">
        <v>56</v>
      </c>
      <c r="K648">
        <f>VLOOKUP(B648,purchase_dataset!$B$2:$F$2241,2,FALSE)</f>
        <v>2</v>
      </c>
      <c r="L648">
        <f>VLOOKUP(B648,purchase_dataset!$B$2:$F$2241,3,FALSE)</f>
        <v>11</v>
      </c>
      <c r="M648">
        <f>VLOOKUP(B648,purchase_dataset!$B$2:$F$2241,3,FALSE)</f>
        <v>11</v>
      </c>
      <c r="N648">
        <f>VLOOKUP(B648,purchase_dataset!$B$2:$F$2241,5,FALSE)</f>
        <v>6</v>
      </c>
      <c r="O648" s="5">
        <v>55</v>
      </c>
      <c r="P648" s="4" t="str">
        <f t="shared" si="20"/>
        <v>&gt;50</v>
      </c>
      <c r="Q648" s="4">
        <f>M648+N648</f>
        <v>17</v>
      </c>
      <c r="U648" s="28" t="str" cm="1">
        <f t="array" ref="U648">_xlfn.IFS(F648&lt;30000,"30k",F648&lt;=50000,"30k-50k",F648&lt;=75000,"50k-75k",F648&lt;=100000,"75k-100k",F648&gt;100000,"100k")</f>
        <v>30k-50k</v>
      </c>
      <c r="W648" s="1">
        <f t="shared" si="21"/>
        <v>13</v>
      </c>
    </row>
    <row r="649" spans="1:23" x14ac:dyDescent="0.35">
      <c r="A649">
        <v>646</v>
      </c>
      <c r="B649">
        <v>4611</v>
      </c>
      <c r="C649">
        <v>1970</v>
      </c>
      <c r="D649" s="1" t="s">
        <v>10</v>
      </c>
      <c r="E649" s="1" t="s">
        <v>12</v>
      </c>
      <c r="F649">
        <v>105471</v>
      </c>
      <c r="G649">
        <v>0</v>
      </c>
      <c r="H649" s="2">
        <v>0</v>
      </c>
      <c r="I649" s="2">
        <v>41295</v>
      </c>
      <c r="J649">
        <v>36</v>
      </c>
      <c r="K649">
        <f>VLOOKUP(B649,purchase_dataset!$B$2:$F$2241,2,FALSE)</f>
        <v>181</v>
      </c>
      <c r="L649">
        <f>VLOOKUP(B649,purchase_dataset!$B$2:$F$2241,3,FALSE)</f>
        <v>21</v>
      </c>
      <c r="M649">
        <f>VLOOKUP(B649,purchase_dataset!$B$2:$F$2241,3,FALSE)</f>
        <v>21</v>
      </c>
      <c r="N649">
        <f>VLOOKUP(B649,purchase_dataset!$B$2:$F$2241,5,FALSE)</f>
        <v>13</v>
      </c>
      <c r="O649" s="5">
        <v>56</v>
      </c>
      <c r="P649" s="4" t="str">
        <f t="shared" si="20"/>
        <v>&gt;50</v>
      </c>
      <c r="Q649" s="4">
        <f>M649+N649</f>
        <v>34</v>
      </c>
      <c r="U649" s="28" t="str" cm="1">
        <f t="array" ref="U649">_xlfn.IFS(F649&lt;30000,"30k",F649&lt;=50000,"30k-50k",F649&lt;=75000,"50k-75k",F649&lt;=100000,"75k-100k",F649&gt;100000,"100k")</f>
        <v>100k</v>
      </c>
      <c r="W649" s="1">
        <f t="shared" si="21"/>
        <v>13</v>
      </c>
    </row>
    <row r="650" spans="1:23" x14ac:dyDescent="0.35">
      <c r="A650">
        <v>647</v>
      </c>
      <c r="B650">
        <v>3376</v>
      </c>
      <c r="C650">
        <v>1970</v>
      </c>
      <c r="D650" s="1" t="s">
        <v>15</v>
      </c>
      <c r="E650" s="1" t="s">
        <v>16</v>
      </c>
      <c r="F650">
        <v>55282</v>
      </c>
      <c r="G650">
        <v>1</v>
      </c>
      <c r="H650" s="2">
        <v>0</v>
      </c>
      <c r="I650" s="2">
        <v>41621</v>
      </c>
      <c r="J650">
        <v>9</v>
      </c>
      <c r="K650">
        <f>VLOOKUP(B650,purchase_dataset!$B$2:$F$2241,2,FALSE)</f>
        <v>6</v>
      </c>
      <c r="L650">
        <f>VLOOKUP(B650,purchase_dataset!$B$2:$F$2241,3,FALSE)</f>
        <v>4</v>
      </c>
      <c r="M650">
        <f>VLOOKUP(B650,purchase_dataset!$B$2:$F$2241,3,FALSE)</f>
        <v>4</v>
      </c>
      <c r="N650">
        <f>VLOOKUP(B650,purchase_dataset!$B$2:$F$2241,5,FALSE)</f>
        <v>6</v>
      </c>
      <c r="O650" s="5">
        <v>56</v>
      </c>
      <c r="P650" s="4" t="str">
        <f t="shared" si="20"/>
        <v>&gt;50</v>
      </c>
      <c r="Q650" s="4">
        <f>M650+N650</f>
        <v>10</v>
      </c>
      <c r="U650" s="28" t="str" cm="1">
        <f t="array" ref="U650">_xlfn.IFS(F650&lt;30000,"30k",F650&lt;=50000,"30k-50k",F650&lt;=75000,"50k-75k",F650&lt;=100000,"75k-100k",F650&gt;100000,"100k")</f>
        <v>50k-75k</v>
      </c>
      <c r="W650" s="1">
        <f t="shared" si="21"/>
        <v>13</v>
      </c>
    </row>
    <row r="651" spans="1:23" x14ac:dyDescent="0.35">
      <c r="A651">
        <v>648</v>
      </c>
      <c r="B651">
        <v>4679</v>
      </c>
      <c r="C651">
        <v>1977</v>
      </c>
      <c r="D651" s="1" t="s">
        <v>15</v>
      </c>
      <c r="E651" s="1" t="s">
        <v>14</v>
      </c>
      <c r="F651">
        <v>78710</v>
      </c>
      <c r="G651">
        <v>0</v>
      </c>
      <c r="H651" s="2">
        <v>1</v>
      </c>
      <c r="I651" s="2">
        <v>41782</v>
      </c>
      <c r="J651">
        <v>42</v>
      </c>
      <c r="K651">
        <f>VLOOKUP(B651,purchase_dataset!$B$2:$F$2241,2,FALSE)</f>
        <v>0</v>
      </c>
      <c r="L651">
        <f>VLOOKUP(B651,purchase_dataset!$B$2:$F$2241,3,FALSE)</f>
        <v>50</v>
      </c>
      <c r="M651">
        <f>VLOOKUP(B651,purchase_dataset!$B$2:$F$2241,3,FALSE)</f>
        <v>50</v>
      </c>
      <c r="N651">
        <f>VLOOKUP(B651,purchase_dataset!$B$2:$F$2241,5,FALSE)</f>
        <v>12</v>
      </c>
      <c r="O651" s="5">
        <v>49</v>
      </c>
      <c r="P651" s="4" t="str">
        <f t="shared" si="20"/>
        <v>30-50</v>
      </c>
      <c r="Q651" s="4">
        <f>M651+N651</f>
        <v>62</v>
      </c>
      <c r="U651" s="28" t="str" cm="1">
        <f t="array" ref="U651">_xlfn.IFS(F651&lt;30000,"30k",F651&lt;=50000,"30k-50k",F651&lt;=75000,"50k-75k",F651&lt;=100000,"75k-100k",F651&gt;100000,"100k")</f>
        <v>75k-100k</v>
      </c>
      <c r="W651" s="1">
        <f t="shared" si="21"/>
        <v>12</v>
      </c>
    </row>
    <row r="652" spans="1:23" x14ac:dyDescent="0.35">
      <c r="A652">
        <v>649</v>
      </c>
      <c r="B652">
        <v>10928</v>
      </c>
      <c r="C652">
        <v>1958</v>
      </c>
      <c r="D652" s="1" t="s">
        <v>10</v>
      </c>
      <c r="E652" s="1" t="s">
        <v>12</v>
      </c>
      <c r="F652">
        <v>66886</v>
      </c>
      <c r="G652">
        <v>0</v>
      </c>
      <c r="H652" s="2">
        <v>1</v>
      </c>
      <c r="I652" s="2">
        <v>41533</v>
      </c>
      <c r="J652">
        <v>28</v>
      </c>
      <c r="K652">
        <f>VLOOKUP(B652,purchase_dataset!$B$2:$F$2241,2,FALSE)</f>
        <v>4</v>
      </c>
      <c r="L652">
        <f>VLOOKUP(B652,purchase_dataset!$B$2:$F$2241,3,FALSE)</f>
        <v>31</v>
      </c>
      <c r="M652">
        <f>VLOOKUP(B652,purchase_dataset!$B$2:$F$2241,3,FALSE)</f>
        <v>31</v>
      </c>
      <c r="N652">
        <f>VLOOKUP(B652,purchase_dataset!$B$2:$F$2241,5,FALSE)</f>
        <v>7</v>
      </c>
      <c r="O652" s="5">
        <v>68</v>
      </c>
      <c r="P652" s="4" t="str">
        <f t="shared" si="20"/>
        <v>&gt;50</v>
      </c>
      <c r="Q652" s="4">
        <f>M652+N652</f>
        <v>38</v>
      </c>
      <c r="U652" s="28" t="str" cm="1">
        <f t="array" ref="U652">_xlfn.IFS(F652&lt;30000,"30k",F652&lt;=50000,"30k-50k",F652&lt;=75000,"50k-75k",F652&lt;=100000,"75k-100k",F652&gt;100000,"100k")</f>
        <v>50k-75k</v>
      </c>
      <c r="W652" s="1">
        <f t="shared" si="21"/>
        <v>13</v>
      </c>
    </row>
    <row r="653" spans="1:23" x14ac:dyDescent="0.35">
      <c r="A653">
        <v>650</v>
      </c>
      <c r="B653">
        <v>4248</v>
      </c>
      <c r="C653">
        <v>1960</v>
      </c>
      <c r="D653" s="1" t="s">
        <v>15</v>
      </c>
      <c r="E653" s="1" t="s">
        <v>11</v>
      </c>
      <c r="F653">
        <v>98777</v>
      </c>
      <c r="G653">
        <v>0</v>
      </c>
      <c r="H653" s="2">
        <v>0</v>
      </c>
      <c r="I653" s="2">
        <v>41687</v>
      </c>
      <c r="J653">
        <v>23</v>
      </c>
      <c r="K653">
        <f>VLOOKUP(B653,purchase_dataset!$B$2:$F$2241,2,FALSE)</f>
        <v>19</v>
      </c>
      <c r="L653">
        <f>VLOOKUP(B653,purchase_dataset!$B$2:$F$2241,3,FALSE)</f>
        <v>115</v>
      </c>
      <c r="M653">
        <f>VLOOKUP(B653,purchase_dataset!$B$2:$F$2241,3,FALSE)</f>
        <v>115</v>
      </c>
      <c r="N653">
        <f>VLOOKUP(B653,purchase_dataset!$B$2:$F$2241,5,FALSE)</f>
        <v>9</v>
      </c>
      <c r="O653" s="5">
        <v>66</v>
      </c>
      <c r="P653" s="4" t="str">
        <f t="shared" si="20"/>
        <v>&gt;50</v>
      </c>
      <c r="Q653" s="4">
        <f>M653+N653</f>
        <v>124</v>
      </c>
      <c r="U653" s="28" t="str" cm="1">
        <f t="array" ref="U653">_xlfn.IFS(F653&lt;30000,"30k",F653&lt;=50000,"30k-50k",F653&lt;=75000,"50k-75k",F653&lt;=100000,"75k-100k",F653&gt;100000,"100k")</f>
        <v>75k-100k</v>
      </c>
      <c r="W653" s="1">
        <f t="shared" si="21"/>
        <v>12</v>
      </c>
    </row>
    <row r="654" spans="1:23" x14ac:dyDescent="0.35">
      <c r="A654">
        <v>651</v>
      </c>
      <c r="B654">
        <v>6728</v>
      </c>
      <c r="C654">
        <v>1985</v>
      </c>
      <c r="D654" s="1" t="s">
        <v>10</v>
      </c>
      <c r="E654" s="1" t="s">
        <v>12</v>
      </c>
      <c r="F654">
        <v>29103</v>
      </c>
      <c r="G654">
        <v>1</v>
      </c>
      <c r="H654" s="2">
        <v>0</v>
      </c>
      <c r="I654" s="2">
        <v>41148</v>
      </c>
      <c r="J654">
        <v>38</v>
      </c>
      <c r="K654">
        <f>VLOOKUP(B654,purchase_dataset!$B$2:$F$2241,2,FALSE)</f>
        <v>0</v>
      </c>
      <c r="L654">
        <f>VLOOKUP(B654,purchase_dataset!$B$2:$F$2241,3,FALSE)</f>
        <v>3</v>
      </c>
      <c r="M654">
        <f>VLOOKUP(B654,purchase_dataset!$B$2:$F$2241,3,FALSE)</f>
        <v>3</v>
      </c>
      <c r="N654">
        <f>VLOOKUP(B654,purchase_dataset!$B$2:$F$2241,5,FALSE)</f>
        <v>3</v>
      </c>
      <c r="O654" s="5">
        <v>41</v>
      </c>
      <c r="P654" s="4" t="str">
        <f t="shared" si="20"/>
        <v>30-50</v>
      </c>
      <c r="Q654" s="4">
        <f>M654+N654</f>
        <v>6</v>
      </c>
      <c r="U654" s="28" t="str" cm="1">
        <f t="array" ref="U654">_xlfn.IFS(F654&lt;30000,"30k",F654&lt;=50000,"30k-50k",F654&lt;=75000,"50k-75k",F654&lt;=100000,"75k-100k",F654&gt;100000,"100k")</f>
        <v>30k</v>
      </c>
      <c r="W654" s="1">
        <f t="shared" si="21"/>
        <v>14</v>
      </c>
    </row>
    <row r="655" spans="1:23" x14ac:dyDescent="0.35">
      <c r="A655">
        <v>652</v>
      </c>
      <c r="B655">
        <v>6661</v>
      </c>
      <c r="C655">
        <v>1974</v>
      </c>
      <c r="D655" s="1" t="s">
        <v>10</v>
      </c>
      <c r="E655" s="1" t="s">
        <v>14</v>
      </c>
      <c r="F655">
        <v>67445</v>
      </c>
      <c r="G655">
        <v>0</v>
      </c>
      <c r="H655" s="2">
        <v>1</v>
      </c>
      <c r="I655" s="2">
        <v>41133</v>
      </c>
      <c r="J655">
        <v>63</v>
      </c>
      <c r="K655">
        <f>VLOOKUP(B655,purchase_dataset!$B$2:$F$2241,2,FALSE)</f>
        <v>80</v>
      </c>
      <c r="L655">
        <f>VLOOKUP(B655,purchase_dataset!$B$2:$F$2241,3,FALSE)</f>
        <v>80</v>
      </c>
      <c r="M655">
        <f>VLOOKUP(B655,purchase_dataset!$B$2:$F$2241,3,FALSE)</f>
        <v>80</v>
      </c>
      <c r="N655">
        <f>VLOOKUP(B655,purchase_dataset!$B$2:$F$2241,5,FALSE)</f>
        <v>12</v>
      </c>
      <c r="O655" s="5">
        <v>52</v>
      </c>
      <c r="P655" s="4" t="str">
        <f t="shared" si="20"/>
        <v>&gt;50</v>
      </c>
      <c r="Q655" s="4">
        <f>M655+N655</f>
        <v>92</v>
      </c>
      <c r="U655" s="28" t="str" cm="1">
        <f t="array" ref="U655">_xlfn.IFS(F655&lt;30000,"30k",F655&lt;=50000,"30k-50k",F655&lt;=75000,"50k-75k",F655&lt;=100000,"75k-100k",F655&gt;100000,"100k")</f>
        <v>50k-75k</v>
      </c>
      <c r="W655" s="1">
        <f t="shared" si="21"/>
        <v>14</v>
      </c>
    </row>
    <row r="656" spans="1:23" x14ac:dyDescent="0.35">
      <c r="A656">
        <v>653</v>
      </c>
      <c r="B656">
        <v>4725</v>
      </c>
      <c r="C656">
        <v>1950</v>
      </c>
      <c r="D656" s="1" t="s">
        <v>13</v>
      </c>
      <c r="E656" s="1" t="s">
        <v>12</v>
      </c>
      <c r="F656">
        <v>50616</v>
      </c>
      <c r="G656">
        <v>0</v>
      </c>
      <c r="H656" s="2">
        <v>1</v>
      </c>
      <c r="I656" s="2">
        <v>41742</v>
      </c>
      <c r="J656">
        <v>71</v>
      </c>
      <c r="K656">
        <f>VLOOKUP(B656,purchase_dataset!$B$2:$F$2241,2,FALSE)</f>
        <v>2</v>
      </c>
      <c r="L656">
        <f>VLOOKUP(B656,purchase_dataset!$B$2:$F$2241,3,FALSE)</f>
        <v>1</v>
      </c>
      <c r="M656">
        <f>VLOOKUP(B656,purchase_dataset!$B$2:$F$2241,3,FALSE)</f>
        <v>1</v>
      </c>
      <c r="N656">
        <f>VLOOKUP(B656,purchase_dataset!$B$2:$F$2241,5,FALSE)</f>
        <v>4</v>
      </c>
      <c r="O656" s="5">
        <v>76</v>
      </c>
      <c r="P656" s="4" t="str">
        <f t="shared" si="20"/>
        <v>&gt;50</v>
      </c>
      <c r="Q656" s="4">
        <f>M656+N656</f>
        <v>5</v>
      </c>
      <c r="U656" s="28" t="str" cm="1">
        <f t="array" ref="U656">_xlfn.IFS(F656&lt;30000,"30k",F656&lt;=50000,"30k-50k",F656&lt;=75000,"50k-75k",F656&lt;=100000,"75k-100k",F656&gt;100000,"100k")</f>
        <v>50k-75k</v>
      </c>
      <c r="W656" s="1">
        <f t="shared" si="21"/>
        <v>12</v>
      </c>
    </row>
    <row r="657" spans="1:23" x14ac:dyDescent="0.35">
      <c r="A657">
        <v>654</v>
      </c>
      <c r="B657">
        <v>3277</v>
      </c>
      <c r="C657">
        <v>1955</v>
      </c>
      <c r="D657" s="1" t="s">
        <v>10</v>
      </c>
      <c r="E657" s="1" t="s">
        <v>16</v>
      </c>
      <c r="F657">
        <v>49431</v>
      </c>
      <c r="G657">
        <v>0</v>
      </c>
      <c r="H657" s="2">
        <v>1</v>
      </c>
      <c r="I657" s="2">
        <v>41124</v>
      </c>
      <c r="J657">
        <v>9</v>
      </c>
      <c r="K657">
        <f>VLOOKUP(B657,purchase_dataset!$B$2:$F$2241,2,FALSE)</f>
        <v>3</v>
      </c>
      <c r="L657">
        <f>VLOOKUP(B657,purchase_dataset!$B$2:$F$2241,3,FALSE)</f>
        <v>0</v>
      </c>
      <c r="M657">
        <f>VLOOKUP(B657,purchase_dataset!$B$2:$F$2241,3,FALSE)</f>
        <v>0</v>
      </c>
      <c r="N657">
        <f>VLOOKUP(B657,purchase_dataset!$B$2:$F$2241,5,FALSE)</f>
        <v>5</v>
      </c>
      <c r="O657" s="5">
        <v>71</v>
      </c>
      <c r="P657" s="4" t="str">
        <f t="shared" si="20"/>
        <v>&gt;50</v>
      </c>
      <c r="Q657" s="4">
        <f>M657+N657</f>
        <v>5</v>
      </c>
      <c r="U657" s="28" t="str" cm="1">
        <f t="array" ref="U657">_xlfn.IFS(F657&lt;30000,"30k",F657&lt;=50000,"30k-50k",F657&lt;=75000,"50k-75k",F657&lt;=100000,"75k-100k",F657&gt;100000,"100k")</f>
        <v>30k-50k</v>
      </c>
      <c r="W657" s="1">
        <f t="shared" si="21"/>
        <v>14</v>
      </c>
    </row>
    <row r="658" spans="1:23" x14ac:dyDescent="0.35">
      <c r="A658">
        <v>655</v>
      </c>
      <c r="B658">
        <v>5555</v>
      </c>
      <c r="C658">
        <v>1975</v>
      </c>
      <c r="D658" s="1" t="s">
        <v>10</v>
      </c>
      <c r="E658" s="1" t="s">
        <v>16</v>
      </c>
      <c r="F658">
        <v>153924</v>
      </c>
      <c r="G658">
        <v>0</v>
      </c>
      <c r="H658" s="2">
        <v>0</v>
      </c>
      <c r="I658" s="2">
        <v>41677</v>
      </c>
      <c r="J658">
        <v>81</v>
      </c>
      <c r="K658">
        <f>VLOOKUP(B658,purchase_dataset!$B$2:$F$2241,2,FALSE)</f>
        <v>1</v>
      </c>
      <c r="L658">
        <f>VLOOKUP(B658,purchase_dataset!$B$2:$F$2241,3,FALSE)</f>
        <v>1</v>
      </c>
      <c r="M658">
        <f>VLOOKUP(B658,purchase_dataset!$B$2:$F$2241,3,FALSE)</f>
        <v>1</v>
      </c>
      <c r="N658">
        <f>VLOOKUP(B658,purchase_dataset!$B$2:$F$2241,5,FALSE)</f>
        <v>0</v>
      </c>
      <c r="O658" s="5">
        <v>51</v>
      </c>
      <c r="P658" s="4" t="str">
        <f t="shared" si="20"/>
        <v>&gt;50</v>
      </c>
      <c r="Q658" s="4">
        <f>M658+N658</f>
        <v>1</v>
      </c>
      <c r="U658" s="28" t="str" cm="1">
        <f t="array" ref="U658">_xlfn.IFS(F658&lt;30000,"30k",F658&lt;=50000,"30k-50k",F658&lt;=75000,"50k-75k",F658&lt;=100000,"75k-100k",F658&gt;100000,"100k")</f>
        <v>100k</v>
      </c>
      <c r="W658" s="1">
        <f t="shared" si="21"/>
        <v>12</v>
      </c>
    </row>
    <row r="659" spans="1:23" x14ac:dyDescent="0.35">
      <c r="A659">
        <v>656</v>
      </c>
      <c r="B659">
        <v>2564</v>
      </c>
      <c r="C659">
        <v>1953</v>
      </c>
      <c r="D659" s="1" t="s">
        <v>10</v>
      </c>
      <c r="E659" s="1" t="s">
        <v>12</v>
      </c>
      <c r="F659">
        <v>61278</v>
      </c>
      <c r="G659">
        <v>0</v>
      </c>
      <c r="H659" s="2">
        <v>1</v>
      </c>
      <c r="I659" s="2">
        <v>41643</v>
      </c>
      <c r="J659">
        <v>87</v>
      </c>
      <c r="K659">
        <f>VLOOKUP(B659,purchase_dataset!$B$2:$F$2241,2,FALSE)</f>
        <v>3</v>
      </c>
      <c r="L659">
        <f>VLOOKUP(B659,purchase_dataset!$B$2:$F$2241,3,FALSE)</f>
        <v>6</v>
      </c>
      <c r="M659">
        <f>VLOOKUP(B659,purchase_dataset!$B$2:$F$2241,3,FALSE)</f>
        <v>6</v>
      </c>
      <c r="N659">
        <f>VLOOKUP(B659,purchase_dataset!$B$2:$F$2241,5,FALSE)</f>
        <v>4</v>
      </c>
      <c r="O659" s="5">
        <v>73</v>
      </c>
      <c r="P659" s="4" t="str">
        <f t="shared" si="20"/>
        <v>&gt;50</v>
      </c>
      <c r="Q659" s="4">
        <f>M659+N659</f>
        <v>10</v>
      </c>
      <c r="U659" s="28" t="str" cm="1">
        <f t="array" ref="U659">_xlfn.IFS(F659&lt;30000,"30k",F659&lt;=50000,"30k-50k",F659&lt;=75000,"50k-75k",F659&lt;=100000,"75k-100k",F659&gt;100000,"100k")</f>
        <v>50k-75k</v>
      </c>
      <c r="W659" s="1">
        <f t="shared" si="21"/>
        <v>12</v>
      </c>
    </row>
    <row r="660" spans="1:23" x14ac:dyDescent="0.35">
      <c r="A660">
        <v>657</v>
      </c>
      <c r="B660">
        <v>946</v>
      </c>
      <c r="C660">
        <v>1958</v>
      </c>
      <c r="D660" s="1" t="s">
        <v>18</v>
      </c>
      <c r="E660" s="1" t="s">
        <v>12</v>
      </c>
      <c r="F660">
        <v>26490</v>
      </c>
      <c r="G660">
        <v>0</v>
      </c>
      <c r="H660" s="2">
        <v>0</v>
      </c>
      <c r="I660" s="2">
        <v>41174</v>
      </c>
      <c r="J660">
        <v>92</v>
      </c>
      <c r="K660">
        <f>VLOOKUP(B660,purchase_dataset!$B$2:$F$2241,2,FALSE)</f>
        <v>47</v>
      </c>
      <c r="L660">
        <f>VLOOKUP(B660,purchase_dataset!$B$2:$F$2241,3,FALSE)</f>
        <v>20</v>
      </c>
      <c r="M660">
        <f>VLOOKUP(B660,purchase_dataset!$B$2:$F$2241,3,FALSE)</f>
        <v>20</v>
      </c>
      <c r="N660">
        <f>VLOOKUP(B660,purchase_dataset!$B$2:$F$2241,5,FALSE)</f>
        <v>5</v>
      </c>
      <c r="O660" s="5">
        <v>68</v>
      </c>
      <c r="P660" s="4" t="str">
        <f t="shared" si="20"/>
        <v>&gt;50</v>
      </c>
      <c r="Q660" s="4">
        <f>M660+N660</f>
        <v>25</v>
      </c>
      <c r="U660" s="28" t="str" cm="1">
        <f t="array" ref="U660">_xlfn.IFS(F660&lt;30000,"30k",F660&lt;=50000,"30k-50k",F660&lt;=75000,"50k-75k",F660&lt;=100000,"75k-100k",F660&gt;100000,"100k")</f>
        <v>30k</v>
      </c>
      <c r="W660" s="1">
        <f t="shared" si="21"/>
        <v>14</v>
      </c>
    </row>
    <row r="661" spans="1:23" x14ac:dyDescent="0.35">
      <c r="A661">
        <v>658</v>
      </c>
      <c r="B661">
        <v>3867</v>
      </c>
      <c r="C661">
        <v>1947</v>
      </c>
      <c r="D661" s="1" t="s">
        <v>13</v>
      </c>
      <c r="E661" s="1" t="s">
        <v>12</v>
      </c>
      <c r="F661">
        <v>73059</v>
      </c>
      <c r="G661">
        <v>0</v>
      </c>
      <c r="H661" s="2">
        <v>1</v>
      </c>
      <c r="I661" s="2">
        <v>41517</v>
      </c>
      <c r="J661">
        <v>36</v>
      </c>
      <c r="K661">
        <f>VLOOKUP(B661,purchase_dataset!$B$2:$F$2241,2,FALSE)</f>
        <v>112</v>
      </c>
      <c r="L661">
        <f>VLOOKUP(B661,purchase_dataset!$B$2:$F$2241,3,FALSE)</f>
        <v>82</v>
      </c>
      <c r="M661">
        <f>VLOOKUP(B661,purchase_dataset!$B$2:$F$2241,3,FALSE)</f>
        <v>82</v>
      </c>
      <c r="N661">
        <f>VLOOKUP(B661,purchase_dataset!$B$2:$F$2241,5,FALSE)</f>
        <v>13</v>
      </c>
      <c r="O661" s="5">
        <v>79</v>
      </c>
      <c r="P661" s="4" t="str">
        <f t="shared" si="20"/>
        <v>&gt;50</v>
      </c>
      <c r="Q661" s="4">
        <f>M661+N661</f>
        <v>95</v>
      </c>
      <c r="U661" s="28" t="str" cm="1">
        <f t="array" ref="U661">_xlfn.IFS(F661&lt;30000,"30k",F661&lt;=50000,"30k-50k",F661&lt;=75000,"50k-75k",F661&lt;=100000,"75k-100k",F661&gt;100000,"100k")</f>
        <v>50k-75k</v>
      </c>
      <c r="W661" s="1">
        <f t="shared" si="21"/>
        <v>13</v>
      </c>
    </row>
    <row r="662" spans="1:23" x14ac:dyDescent="0.35">
      <c r="A662">
        <v>659</v>
      </c>
      <c r="B662">
        <v>6940</v>
      </c>
      <c r="C662">
        <v>1966</v>
      </c>
      <c r="D662" s="1" t="s">
        <v>13</v>
      </c>
      <c r="E662" s="1" t="s">
        <v>11</v>
      </c>
      <c r="F662">
        <v>46734</v>
      </c>
      <c r="G662">
        <v>1</v>
      </c>
      <c r="H662" s="2">
        <v>2</v>
      </c>
      <c r="I662" s="2">
        <v>41568</v>
      </c>
      <c r="J662">
        <v>86</v>
      </c>
      <c r="K662">
        <f>VLOOKUP(B662,purchase_dataset!$B$2:$F$2241,2,FALSE)</f>
        <v>1</v>
      </c>
      <c r="L662">
        <f>VLOOKUP(B662,purchase_dataset!$B$2:$F$2241,3,FALSE)</f>
        <v>1</v>
      </c>
      <c r="M662">
        <f>VLOOKUP(B662,purchase_dataset!$B$2:$F$2241,3,FALSE)</f>
        <v>1</v>
      </c>
      <c r="N662">
        <f>VLOOKUP(B662,purchase_dataset!$B$2:$F$2241,5,FALSE)</f>
        <v>3</v>
      </c>
      <c r="O662" s="5">
        <v>60</v>
      </c>
      <c r="P662" s="4" t="str">
        <f t="shared" si="20"/>
        <v>&gt;50</v>
      </c>
      <c r="Q662" s="4">
        <f>M662+N662</f>
        <v>4</v>
      </c>
      <c r="U662" s="28" t="str" cm="1">
        <f t="array" ref="U662">_xlfn.IFS(F662&lt;30000,"30k",F662&lt;=50000,"30k-50k",F662&lt;=75000,"50k-75k",F662&lt;=100000,"75k-100k",F662&gt;100000,"100k")</f>
        <v>30k-50k</v>
      </c>
      <c r="W662" s="1">
        <f t="shared" si="21"/>
        <v>13</v>
      </c>
    </row>
    <row r="663" spans="1:23" x14ac:dyDescent="0.35">
      <c r="A663">
        <v>660</v>
      </c>
      <c r="B663">
        <v>55</v>
      </c>
      <c r="C663">
        <v>1963</v>
      </c>
      <c r="D663" s="1" t="s">
        <v>10</v>
      </c>
      <c r="E663" s="1" t="s">
        <v>12</v>
      </c>
      <c r="F663">
        <v>56253</v>
      </c>
      <c r="G663">
        <v>0</v>
      </c>
      <c r="H663" s="2">
        <v>1</v>
      </c>
      <c r="I663" s="2">
        <v>41250</v>
      </c>
      <c r="J663">
        <v>83</v>
      </c>
      <c r="K663">
        <f>VLOOKUP(B663,purchase_dataset!$B$2:$F$2241,2,FALSE)</f>
        <v>0</v>
      </c>
      <c r="L663">
        <f>VLOOKUP(B663,purchase_dataset!$B$2:$F$2241,3,FALSE)</f>
        <v>11</v>
      </c>
      <c r="M663">
        <f>VLOOKUP(B663,purchase_dataset!$B$2:$F$2241,3,FALSE)</f>
        <v>11</v>
      </c>
      <c r="N663">
        <f>VLOOKUP(B663,purchase_dataset!$B$2:$F$2241,5,FALSE)</f>
        <v>9</v>
      </c>
      <c r="O663" s="5">
        <v>63</v>
      </c>
      <c r="P663" s="4" t="str">
        <f t="shared" si="20"/>
        <v>&gt;50</v>
      </c>
      <c r="Q663" s="4">
        <f>M663+N663</f>
        <v>20</v>
      </c>
      <c r="U663" s="28" t="str" cm="1">
        <f t="array" ref="U663">_xlfn.IFS(F663&lt;30000,"30k",F663&lt;=50000,"30k-50k",F663&lt;=75000,"50k-75k",F663&lt;=100000,"75k-100k",F663&gt;100000,"100k")</f>
        <v>50k-75k</v>
      </c>
      <c r="W663" s="1">
        <f t="shared" si="21"/>
        <v>14</v>
      </c>
    </row>
    <row r="664" spans="1:23" x14ac:dyDescent="0.35">
      <c r="A664">
        <v>661</v>
      </c>
      <c r="B664">
        <v>7093</v>
      </c>
      <c r="C664">
        <v>1985</v>
      </c>
      <c r="D664" s="1" t="s">
        <v>10</v>
      </c>
      <c r="E664" s="1" t="s">
        <v>14</v>
      </c>
      <c r="F664">
        <v>19986</v>
      </c>
      <c r="G664">
        <v>1</v>
      </c>
      <c r="H664" s="2">
        <v>0</v>
      </c>
      <c r="I664" s="2">
        <v>41592</v>
      </c>
      <c r="J664">
        <v>74</v>
      </c>
      <c r="K664">
        <f>VLOOKUP(B664,purchase_dataset!$B$2:$F$2241,2,FALSE)</f>
        <v>6</v>
      </c>
      <c r="L664">
        <f>VLOOKUP(B664,purchase_dataset!$B$2:$F$2241,3,FALSE)</f>
        <v>2</v>
      </c>
      <c r="M664">
        <f>VLOOKUP(B664,purchase_dataset!$B$2:$F$2241,3,FALSE)</f>
        <v>2</v>
      </c>
      <c r="N664">
        <f>VLOOKUP(B664,purchase_dataset!$B$2:$F$2241,5,FALSE)</f>
        <v>3</v>
      </c>
      <c r="O664" s="5">
        <v>41</v>
      </c>
      <c r="P664" s="4" t="str">
        <f t="shared" si="20"/>
        <v>30-50</v>
      </c>
      <c r="Q664" s="4">
        <f>M664+N664</f>
        <v>5</v>
      </c>
      <c r="U664" s="28" t="str" cm="1">
        <f t="array" ref="U664">_xlfn.IFS(F664&lt;30000,"30k",F664&lt;=50000,"30k-50k",F664&lt;=75000,"50k-75k",F664&lt;=100000,"75k-100k",F664&gt;100000,"100k")</f>
        <v>30k</v>
      </c>
      <c r="W664" s="1">
        <f t="shared" si="21"/>
        <v>13</v>
      </c>
    </row>
    <row r="665" spans="1:23" x14ac:dyDescent="0.35">
      <c r="A665">
        <v>662</v>
      </c>
      <c r="B665">
        <v>5084</v>
      </c>
      <c r="C665">
        <v>1975</v>
      </c>
      <c r="D665" s="1" t="s">
        <v>10</v>
      </c>
      <c r="E665" s="1" t="s">
        <v>19</v>
      </c>
      <c r="F665">
        <v>58330</v>
      </c>
      <c r="G665">
        <v>0</v>
      </c>
      <c r="H665" s="2">
        <v>1</v>
      </c>
      <c r="I665" s="2">
        <v>41633</v>
      </c>
      <c r="J665">
        <v>87</v>
      </c>
      <c r="K665">
        <f>VLOOKUP(B665,purchase_dataset!$B$2:$F$2241,2,FALSE)</f>
        <v>53</v>
      </c>
      <c r="L665">
        <f>VLOOKUP(B665,purchase_dataset!$B$2:$F$2241,3,FALSE)</f>
        <v>98</v>
      </c>
      <c r="M665">
        <f>VLOOKUP(B665,purchase_dataset!$B$2:$F$2241,3,FALSE)</f>
        <v>98</v>
      </c>
      <c r="N665">
        <f>VLOOKUP(B665,purchase_dataset!$B$2:$F$2241,5,FALSE)</f>
        <v>13</v>
      </c>
      <c r="O665" s="5">
        <v>51</v>
      </c>
      <c r="P665" s="4" t="str">
        <f t="shared" si="20"/>
        <v>&gt;50</v>
      </c>
      <c r="Q665" s="4">
        <f>M665+N665</f>
        <v>111</v>
      </c>
      <c r="U665" s="28" t="str" cm="1">
        <f t="array" ref="U665">_xlfn.IFS(F665&lt;30000,"30k",F665&lt;=50000,"30k-50k",F665&lt;=75000,"50k-75k",F665&lt;=100000,"75k-100k",F665&gt;100000,"100k")</f>
        <v>50k-75k</v>
      </c>
      <c r="W665" s="1">
        <f t="shared" si="21"/>
        <v>13</v>
      </c>
    </row>
    <row r="666" spans="1:23" x14ac:dyDescent="0.35">
      <c r="A666">
        <v>663</v>
      </c>
      <c r="B666">
        <v>1777</v>
      </c>
      <c r="C666">
        <v>1980</v>
      </c>
      <c r="D666" s="1" t="s">
        <v>17</v>
      </c>
      <c r="E666" s="1" t="s">
        <v>14</v>
      </c>
      <c r="F666">
        <v>25965</v>
      </c>
      <c r="G666">
        <v>0</v>
      </c>
      <c r="H666" s="2">
        <v>0</v>
      </c>
      <c r="I666" s="2">
        <v>41159</v>
      </c>
      <c r="J666">
        <v>29</v>
      </c>
      <c r="K666">
        <f>VLOOKUP(B666,purchase_dataset!$B$2:$F$2241,2,FALSE)</f>
        <v>2</v>
      </c>
      <c r="L666">
        <f>VLOOKUP(B666,purchase_dataset!$B$2:$F$2241,3,FALSE)</f>
        <v>7</v>
      </c>
      <c r="M666">
        <f>VLOOKUP(B666,purchase_dataset!$B$2:$F$2241,3,FALSE)</f>
        <v>7</v>
      </c>
      <c r="N666">
        <f>VLOOKUP(B666,purchase_dataset!$B$2:$F$2241,5,FALSE)</f>
        <v>3</v>
      </c>
      <c r="O666" s="5">
        <v>46</v>
      </c>
      <c r="P666" s="4" t="str">
        <f t="shared" si="20"/>
        <v>30-50</v>
      </c>
      <c r="Q666" s="4">
        <f>M666+N666</f>
        <v>10</v>
      </c>
      <c r="U666" s="28" t="str" cm="1">
        <f t="array" ref="U666">_xlfn.IFS(F666&lt;30000,"30k",F666&lt;=50000,"30k-50k",F666&lt;=75000,"50k-75k",F666&lt;=100000,"75k-100k",F666&gt;100000,"100k")</f>
        <v>30k</v>
      </c>
      <c r="W666" s="1">
        <f t="shared" si="21"/>
        <v>14</v>
      </c>
    </row>
    <row r="667" spans="1:23" x14ac:dyDescent="0.35">
      <c r="A667">
        <v>664</v>
      </c>
      <c r="B667">
        <v>8162</v>
      </c>
      <c r="C667">
        <v>1956</v>
      </c>
      <c r="D667" s="1" t="s">
        <v>15</v>
      </c>
      <c r="E667" s="1" t="s">
        <v>12</v>
      </c>
      <c r="F667">
        <v>14661</v>
      </c>
      <c r="G667">
        <v>0</v>
      </c>
      <c r="H667" s="2">
        <v>0</v>
      </c>
      <c r="I667" s="2">
        <v>41275</v>
      </c>
      <c r="J667">
        <v>88</v>
      </c>
      <c r="K667">
        <f>VLOOKUP(B667,purchase_dataset!$B$2:$F$2241,2,FALSE)</f>
        <v>1</v>
      </c>
      <c r="L667">
        <f>VLOOKUP(B667,purchase_dataset!$B$2:$F$2241,3,FALSE)</f>
        <v>2</v>
      </c>
      <c r="M667">
        <f>VLOOKUP(B667,purchase_dataset!$B$2:$F$2241,3,FALSE)</f>
        <v>2</v>
      </c>
      <c r="N667">
        <f>VLOOKUP(B667,purchase_dataset!$B$2:$F$2241,5,FALSE)</f>
        <v>3</v>
      </c>
      <c r="O667" s="5">
        <v>70</v>
      </c>
      <c r="P667" s="4" t="str">
        <f t="shared" si="20"/>
        <v>&gt;50</v>
      </c>
      <c r="Q667" s="4">
        <f>M667+N667</f>
        <v>5</v>
      </c>
      <c r="U667" s="28" t="str" cm="1">
        <f t="array" ref="U667">_xlfn.IFS(F667&lt;30000,"30k",F667&lt;=50000,"30k-50k",F667&lt;=75000,"50k-75k",F667&lt;=100000,"75k-100k",F667&gt;100000,"100k")</f>
        <v>30k</v>
      </c>
      <c r="W667" s="1">
        <f t="shared" si="21"/>
        <v>13</v>
      </c>
    </row>
    <row r="668" spans="1:23" x14ac:dyDescent="0.35">
      <c r="A668">
        <v>665</v>
      </c>
      <c r="B668">
        <v>10826</v>
      </c>
      <c r="C668">
        <v>1959</v>
      </c>
      <c r="D668" s="1" t="s">
        <v>10</v>
      </c>
      <c r="E668" s="1" t="s">
        <v>14</v>
      </c>
      <c r="F668">
        <v>18690</v>
      </c>
      <c r="G668">
        <v>0</v>
      </c>
      <c r="H668" s="2">
        <v>0</v>
      </c>
      <c r="I668" s="2">
        <v>41271</v>
      </c>
      <c r="J668">
        <v>77</v>
      </c>
      <c r="K668">
        <f>VLOOKUP(B668,purchase_dataset!$B$2:$F$2241,2,FALSE)</f>
        <v>1</v>
      </c>
      <c r="L668">
        <f>VLOOKUP(B668,purchase_dataset!$B$2:$F$2241,3,FALSE)</f>
        <v>4</v>
      </c>
      <c r="M668">
        <f>VLOOKUP(B668,purchase_dataset!$B$2:$F$2241,3,FALSE)</f>
        <v>4</v>
      </c>
      <c r="N668">
        <f>VLOOKUP(B668,purchase_dataset!$B$2:$F$2241,5,FALSE)</f>
        <v>2</v>
      </c>
      <c r="O668" s="5">
        <v>67</v>
      </c>
      <c r="P668" s="4" t="str">
        <f t="shared" si="20"/>
        <v>&gt;50</v>
      </c>
      <c r="Q668" s="4">
        <f>M668+N668</f>
        <v>6</v>
      </c>
      <c r="U668" s="28" t="str" cm="1">
        <f t="array" ref="U668">_xlfn.IFS(F668&lt;30000,"30k",F668&lt;=50000,"30k-50k",F668&lt;=75000,"50k-75k",F668&lt;=100000,"75k-100k",F668&gt;100000,"100k")</f>
        <v>30k</v>
      </c>
      <c r="W668" s="1">
        <f t="shared" si="21"/>
        <v>14</v>
      </c>
    </row>
    <row r="669" spans="1:23" x14ac:dyDescent="0.35">
      <c r="A669">
        <v>666</v>
      </c>
      <c r="B669">
        <v>8754</v>
      </c>
      <c r="C669">
        <v>1974</v>
      </c>
      <c r="D669" s="1" t="s">
        <v>13</v>
      </c>
      <c r="E669" s="1" t="s">
        <v>12</v>
      </c>
      <c r="F669">
        <v>45068</v>
      </c>
      <c r="G669">
        <v>0</v>
      </c>
      <c r="H669" s="2">
        <v>1</v>
      </c>
      <c r="I669" s="2">
        <v>41410</v>
      </c>
      <c r="J669">
        <v>25</v>
      </c>
      <c r="K669">
        <f>VLOOKUP(B669,purchase_dataset!$B$2:$F$2241,2,FALSE)</f>
        <v>0</v>
      </c>
      <c r="L669">
        <f>VLOOKUP(B669,purchase_dataset!$B$2:$F$2241,3,FALSE)</f>
        <v>0</v>
      </c>
      <c r="M669">
        <f>VLOOKUP(B669,purchase_dataset!$B$2:$F$2241,3,FALSE)</f>
        <v>0</v>
      </c>
      <c r="N669">
        <f>VLOOKUP(B669,purchase_dataset!$B$2:$F$2241,5,FALSE)</f>
        <v>2</v>
      </c>
      <c r="O669" s="5">
        <v>52</v>
      </c>
      <c r="P669" s="4" t="str">
        <f t="shared" si="20"/>
        <v>&gt;50</v>
      </c>
      <c r="Q669" s="4">
        <f>M669+N669</f>
        <v>2</v>
      </c>
      <c r="U669" s="28" t="str" cm="1">
        <f t="array" ref="U669">_xlfn.IFS(F669&lt;30000,"30k",F669&lt;=50000,"30k-50k",F669&lt;=75000,"50k-75k",F669&lt;=100000,"75k-100k",F669&gt;100000,"100k")</f>
        <v>30k-50k</v>
      </c>
      <c r="W669" s="1">
        <f t="shared" si="21"/>
        <v>13</v>
      </c>
    </row>
    <row r="670" spans="1:23" x14ac:dyDescent="0.35">
      <c r="A670">
        <v>667</v>
      </c>
      <c r="B670">
        <v>1987</v>
      </c>
      <c r="C670">
        <v>1987</v>
      </c>
      <c r="D670" s="1" t="s">
        <v>17</v>
      </c>
      <c r="E670" s="1" t="s">
        <v>11</v>
      </c>
      <c r="F670">
        <v>21063</v>
      </c>
      <c r="G670">
        <v>1</v>
      </c>
      <c r="H670" s="2">
        <v>0</v>
      </c>
      <c r="I670" s="2">
        <v>41542</v>
      </c>
      <c r="J670">
        <v>34</v>
      </c>
      <c r="K670">
        <f>VLOOKUP(B670,purchase_dataset!$B$2:$F$2241,2,FALSE)</f>
        <v>10</v>
      </c>
      <c r="L670">
        <f>VLOOKUP(B670,purchase_dataset!$B$2:$F$2241,3,FALSE)</f>
        <v>3</v>
      </c>
      <c r="M670">
        <f>VLOOKUP(B670,purchase_dataset!$B$2:$F$2241,3,FALSE)</f>
        <v>3</v>
      </c>
      <c r="N670">
        <f>VLOOKUP(B670,purchase_dataset!$B$2:$F$2241,5,FALSE)</f>
        <v>3</v>
      </c>
      <c r="O670" s="5">
        <v>39</v>
      </c>
      <c r="P670" s="4" t="str">
        <f t="shared" si="20"/>
        <v>30-50</v>
      </c>
      <c r="Q670" s="4">
        <f>M670+N670</f>
        <v>6</v>
      </c>
      <c r="U670" s="28" t="str" cm="1">
        <f t="array" ref="U670">_xlfn.IFS(F670&lt;30000,"30k",F670&lt;=50000,"30k-50k",F670&lt;=75000,"50k-75k",F670&lt;=100000,"75k-100k",F670&gt;100000,"100k")</f>
        <v>30k</v>
      </c>
      <c r="W670" s="1">
        <f t="shared" si="21"/>
        <v>13</v>
      </c>
    </row>
    <row r="671" spans="1:23" x14ac:dyDescent="0.35">
      <c r="A671">
        <v>668</v>
      </c>
      <c r="B671">
        <v>11007</v>
      </c>
      <c r="C671">
        <v>1968</v>
      </c>
      <c r="D671" s="1" t="s">
        <v>13</v>
      </c>
      <c r="E671" s="1" t="s">
        <v>14</v>
      </c>
      <c r="F671">
        <v>29187</v>
      </c>
      <c r="G671">
        <v>1</v>
      </c>
      <c r="H671" s="2">
        <v>0</v>
      </c>
      <c r="I671" s="2">
        <v>41403</v>
      </c>
      <c r="J671">
        <v>43</v>
      </c>
      <c r="K671">
        <f>VLOOKUP(B671,purchase_dataset!$B$2:$F$2241,2,FALSE)</f>
        <v>0</v>
      </c>
      <c r="L671">
        <f>VLOOKUP(B671,purchase_dataset!$B$2:$F$2241,3,FALSE)</f>
        <v>0</v>
      </c>
      <c r="M671">
        <f>VLOOKUP(B671,purchase_dataset!$B$2:$F$2241,3,FALSE)</f>
        <v>0</v>
      </c>
      <c r="N671">
        <f>VLOOKUP(B671,purchase_dataset!$B$2:$F$2241,5,FALSE)</f>
        <v>3</v>
      </c>
      <c r="O671" s="5">
        <v>58</v>
      </c>
      <c r="P671" s="4" t="str">
        <f t="shared" si="20"/>
        <v>&gt;50</v>
      </c>
      <c r="Q671" s="4">
        <f>M671+N671</f>
        <v>3</v>
      </c>
      <c r="U671" s="28" t="str" cm="1">
        <f t="array" ref="U671">_xlfn.IFS(F671&lt;30000,"30k",F671&lt;=50000,"30k-50k",F671&lt;=75000,"50k-75k",F671&lt;=100000,"75k-100k",F671&gt;100000,"100k")</f>
        <v>30k</v>
      </c>
      <c r="W671" s="1">
        <f t="shared" si="21"/>
        <v>13</v>
      </c>
    </row>
    <row r="672" spans="1:23" x14ac:dyDescent="0.35">
      <c r="A672">
        <v>669</v>
      </c>
      <c r="B672">
        <v>7426</v>
      </c>
      <c r="C672">
        <v>1971</v>
      </c>
      <c r="D672" s="1" t="s">
        <v>18</v>
      </c>
      <c r="E672" s="1" t="s">
        <v>14</v>
      </c>
      <c r="F672">
        <v>54690</v>
      </c>
      <c r="G672">
        <v>1</v>
      </c>
      <c r="H672" s="2">
        <v>1</v>
      </c>
      <c r="I672" s="2">
        <v>41585</v>
      </c>
      <c r="J672">
        <v>76</v>
      </c>
      <c r="K672">
        <f>VLOOKUP(B672,purchase_dataset!$B$2:$F$2241,2,FALSE)</f>
        <v>16</v>
      </c>
      <c r="L672">
        <f>VLOOKUP(B672,purchase_dataset!$B$2:$F$2241,3,FALSE)</f>
        <v>9</v>
      </c>
      <c r="M672">
        <f>VLOOKUP(B672,purchase_dataset!$B$2:$F$2241,3,FALSE)</f>
        <v>9</v>
      </c>
      <c r="N672">
        <f>VLOOKUP(B672,purchase_dataset!$B$2:$F$2241,5,FALSE)</f>
        <v>5</v>
      </c>
      <c r="O672" s="5">
        <v>55</v>
      </c>
      <c r="P672" s="4" t="str">
        <f t="shared" si="20"/>
        <v>&gt;50</v>
      </c>
      <c r="Q672" s="4">
        <f>M672+N672</f>
        <v>14</v>
      </c>
      <c r="U672" s="28" t="str" cm="1">
        <f t="array" ref="U672">_xlfn.IFS(F672&lt;30000,"30k",F672&lt;=50000,"30k-50k",F672&lt;=75000,"50k-75k",F672&lt;=100000,"75k-100k",F672&gt;100000,"100k")</f>
        <v>50k-75k</v>
      </c>
      <c r="W672" s="1">
        <f t="shared" si="21"/>
        <v>13</v>
      </c>
    </row>
    <row r="673" spans="1:23" x14ac:dyDescent="0.35">
      <c r="A673">
        <v>670</v>
      </c>
      <c r="B673">
        <v>9153</v>
      </c>
      <c r="C673">
        <v>1964</v>
      </c>
      <c r="D673" s="1" t="s">
        <v>13</v>
      </c>
      <c r="E673" s="1" t="s">
        <v>14</v>
      </c>
      <c r="F673">
        <v>59304</v>
      </c>
      <c r="G673">
        <v>0</v>
      </c>
      <c r="H673" s="2">
        <v>1</v>
      </c>
      <c r="I673" s="2">
        <v>41484</v>
      </c>
      <c r="J673">
        <v>81</v>
      </c>
      <c r="K673">
        <f>VLOOKUP(B673,purchase_dataset!$B$2:$F$2241,2,FALSE)</f>
        <v>61</v>
      </c>
      <c r="L673">
        <f>VLOOKUP(B673,purchase_dataset!$B$2:$F$2241,3,FALSE)</f>
        <v>51</v>
      </c>
      <c r="M673">
        <f>VLOOKUP(B673,purchase_dataset!$B$2:$F$2241,3,FALSE)</f>
        <v>51</v>
      </c>
      <c r="N673">
        <f>VLOOKUP(B673,purchase_dataset!$B$2:$F$2241,5,FALSE)</f>
        <v>10</v>
      </c>
      <c r="O673" s="5">
        <v>62</v>
      </c>
      <c r="P673" s="4" t="str">
        <f t="shared" si="20"/>
        <v>&gt;50</v>
      </c>
      <c r="Q673" s="4">
        <f>M673+N673</f>
        <v>61</v>
      </c>
      <c r="U673" s="28" t="str" cm="1">
        <f t="array" ref="U673">_xlfn.IFS(F673&lt;30000,"30k",F673&lt;=50000,"30k-50k",F673&lt;=75000,"50k-75k",F673&lt;=100000,"75k-100k",F673&gt;100000,"100k")</f>
        <v>50k-75k</v>
      </c>
      <c r="W673" s="1">
        <f t="shared" si="21"/>
        <v>13</v>
      </c>
    </row>
    <row r="674" spans="1:23" x14ac:dyDescent="0.35">
      <c r="A674">
        <v>671</v>
      </c>
      <c r="B674">
        <v>10379</v>
      </c>
      <c r="C674">
        <v>1962</v>
      </c>
      <c r="D674" s="1" t="s">
        <v>15</v>
      </c>
      <c r="E674" s="1" t="s">
        <v>11</v>
      </c>
      <c r="F674">
        <v>59247</v>
      </c>
      <c r="G674">
        <v>0</v>
      </c>
      <c r="H674" s="2">
        <v>2</v>
      </c>
      <c r="I674" s="2">
        <v>41586</v>
      </c>
      <c r="J674">
        <v>87</v>
      </c>
      <c r="K674">
        <f>VLOOKUP(B674,purchase_dataset!$B$2:$F$2241,2,FALSE)</f>
        <v>9</v>
      </c>
      <c r="L674">
        <f>VLOOKUP(B674,purchase_dataset!$B$2:$F$2241,3,FALSE)</f>
        <v>14</v>
      </c>
      <c r="M674">
        <f>VLOOKUP(B674,purchase_dataset!$B$2:$F$2241,3,FALSE)</f>
        <v>14</v>
      </c>
      <c r="N674">
        <f>VLOOKUP(B674,purchase_dataset!$B$2:$F$2241,5,FALSE)</f>
        <v>9</v>
      </c>
      <c r="O674" s="5">
        <v>64</v>
      </c>
      <c r="P674" s="4" t="str">
        <f t="shared" si="20"/>
        <v>&gt;50</v>
      </c>
      <c r="Q674" s="4">
        <f>M674+N674</f>
        <v>23</v>
      </c>
      <c r="U674" s="28" t="str" cm="1">
        <f t="array" ref="U674">_xlfn.IFS(F674&lt;30000,"30k",F674&lt;=50000,"30k-50k",F674&lt;=75000,"50k-75k",F674&lt;=100000,"75k-100k",F674&gt;100000,"100k")</f>
        <v>50k-75k</v>
      </c>
      <c r="W674" s="1">
        <f t="shared" si="21"/>
        <v>13</v>
      </c>
    </row>
    <row r="675" spans="1:23" x14ac:dyDescent="0.35">
      <c r="A675">
        <v>672</v>
      </c>
      <c r="B675">
        <v>9204</v>
      </c>
      <c r="C675">
        <v>1970</v>
      </c>
      <c r="D675" s="1" t="s">
        <v>10</v>
      </c>
      <c r="E675" s="1" t="s">
        <v>19</v>
      </c>
      <c r="F675">
        <v>66731</v>
      </c>
      <c r="G675">
        <v>0</v>
      </c>
      <c r="H675" s="2">
        <v>1</v>
      </c>
      <c r="I675" s="2">
        <v>41164</v>
      </c>
      <c r="J675">
        <v>33</v>
      </c>
      <c r="K675">
        <f>VLOOKUP(B675,purchase_dataset!$B$2:$F$2241,2,FALSE)</f>
        <v>159</v>
      </c>
      <c r="L675">
        <f>VLOOKUP(B675,purchase_dataset!$B$2:$F$2241,3,FALSE)</f>
        <v>106</v>
      </c>
      <c r="M675">
        <f>VLOOKUP(B675,purchase_dataset!$B$2:$F$2241,3,FALSE)</f>
        <v>106</v>
      </c>
      <c r="N675">
        <f>VLOOKUP(B675,purchase_dataset!$B$2:$F$2241,5,FALSE)</f>
        <v>6</v>
      </c>
      <c r="O675" s="5">
        <v>56</v>
      </c>
      <c r="P675" s="4" t="str">
        <f t="shared" si="20"/>
        <v>&gt;50</v>
      </c>
      <c r="Q675" s="4">
        <f>M675+N675</f>
        <v>112</v>
      </c>
      <c r="U675" s="28" t="str" cm="1">
        <f t="array" ref="U675">_xlfn.IFS(F675&lt;30000,"30k",F675&lt;=50000,"30k-50k",F675&lt;=75000,"50k-75k",F675&lt;=100000,"75k-100k",F675&gt;100000,"100k")</f>
        <v>50k-75k</v>
      </c>
      <c r="W675" s="1">
        <f t="shared" si="21"/>
        <v>14</v>
      </c>
    </row>
    <row r="676" spans="1:23" x14ac:dyDescent="0.35">
      <c r="A676">
        <v>673</v>
      </c>
      <c r="B676">
        <v>3197</v>
      </c>
      <c r="C676">
        <v>1980</v>
      </c>
      <c r="D676" s="1" t="s">
        <v>10</v>
      </c>
      <c r="E676" s="1" t="s">
        <v>14</v>
      </c>
      <c r="F676">
        <v>77353</v>
      </c>
      <c r="G676">
        <v>0</v>
      </c>
      <c r="H676" s="2">
        <v>1</v>
      </c>
      <c r="I676" s="2">
        <v>41624</v>
      </c>
      <c r="J676">
        <v>38</v>
      </c>
      <c r="K676">
        <f>VLOOKUP(B676,purchase_dataset!$B$2:$F$2241,2,FALSE)</f>
        <v>59</v>
      </c>
      <c r="L676">
        <f>VLOOKUP(B676,purchase_dataset!$B$2:$F$2241,3,FALSE)</f>
        <v>101</v>
      </c>
      <c r="M676">
        <f>VLOOKUP(B676,purchase_dataset!$B$2:$F$2241,3,FALSE)</f>
        <v>101</v>
      </c>
      <c r="N676">
        <f>VLOOKUP(B676,purchase_dataset!$B$2:$F$2241,5,FALSE)</f>
        <v>8</v>
      </c>
      <c r="O676" s="5">
        <v>46</v>
      </c>
      <c r="P676" s="4" t="str">
        <f t="shared" si="20"/>
        <v>30-50</v>
      </c>
      <c r="Q676" s="4">
        <f>M676+N676</f>
        <v>109</v>
      </c>
      <c r="U676" s="28" t="str" cm="1">
        <f t="array" ref="U676">_xlfn.IFS(F676&lt;30000,"30k",F676&lt;=50000,"30k-50k",F676&lt;=75000,"50k-75k",F676&lt;=100000,"75k-100k",F676&gt;100000,"100k")</f>
        <v>75k-100k</v>
      </c>
      <c r="W676" s="1">
        <f t="shared" si="21"/>
        <v>13</v>
      </c>
    </row>
    <row r="677" spans="1:23" x14ac:dyDescent="0.35">
      <c r="A677">
        <v>674</v>
      </c>
      <c r="B677">
        <v>2920</v>
      </c>
      <c r="C677">
        <v>1975</v>
      </c>
      <c r="D677" s="1" t="s">
        <v>13</v>
      </c>
      <c r="E677" s="1" t="s">
        <v>11</v>
      </c>
      <c r="F677">
        <v>52614</v>
      </c>
      <c r="G677">
        <v>0</v>
      </c>
      <c r="H677" s="2">
        <v>1</v>
      </c>
      <c r="I677" s="2">
        <v>41244</v>
      </c>
      <c r="J677">
        <v>63</v>
      </c>
      <c r="K677">
        <f>VLOOKUP(B677,purchase_dataset!$B$2:$F$2241,2,FALSE)</f>
        <v>0</v>
      </c>
      <c r="L677">
        <f>VLOOKUP(B677,purchase_dataset!$B$2:$F$2241,3,FALSE)</f>
        <v>9</v>
      </c>
      <c r="M677">
        <f>VLOOKUP(B677,purchase_dataset!$B$2:$F$2241,3,FALSE)</f>
        <v>9</v>
      </c>
      <c r="N677">
        <f>VLOOKUP(B677,purchase_dataset!$B$2:$F$2241,5,FALSE)</f>
        <v>8</v>
      </c>
      <c r="O677" s="5">
        <v>51</v>
      </c>
      <c r="P677" s="4" t="str">
        <f t="shared" si="20"/>
        <v>&gt;50</v>
      </c>
      <c r="Q677" s="4">
        <f>M677+N677</f>
        <v>17</v>
      </c>
      <c r="U677" s="28" t="str" cm="1">
        <f t="array" ref="U677">_xlfn.IFS(F677&lt;30000,"30k",F677&lt;=50000,"30k-50k",F677&lt;=75000,"50k-75k",F677&lt;=100000,"75k-100k",F677&gt;100000,"100k")</f>
        <v>50k-75k</v>
      </c>
      <c r="W677" s="1">
        <f t="shared" si="21"/>
        <v>14</v>
      </c>
    </row>
    <row r="678" spans="1:23" x14ac:dyDescent="0.35">
      <c r="A678">
        <v>675</v>
      </c>
      <c r="B678">
        <v>6961</v>
      </c>
      <c r="C678">
        <v>1974</v>
      </c>
      <c r="D678" s="1" t="s">
        <v>10</v>
      </c>
      <c r="E678" s="1" t="s">
        <v>14</v>
      </c>
      <c r="F678">
        <v>26751</v>
      </c>
      <c r="G678">
        <v>2</v>
      </c>
      <c r="H678" s="2">
        <v>0</v>
      </c>
      <c r="I678" s="2">
        <v>41781</v>
      </c>
      <c r="J678">
        <v>26</v>
      </c>
      <c r="K678">
        <f>VLOOKUP(B678,purchase_dataset!$B$2:$F$2241,2,FALSE)</f>
        <v>1</v>
      </c>
      <c r="L678">
        <f>VLOOKUP(B678,purchase_dataset!$B$2:$F$2241,3,FALSE)</f>
        <v>3</v>
      </c>
      <c r="M678">
        <f>VLOOKUP(B678,purchase_dataset!$B$2:$F$2241,3,FALSE)</f>
        <v>3</v>
      </c>
      <c r="N678">
        <f>VLOOKUP(B678,purchase_dataset!$B$2:$F$2241,5,FALSE)</f>
        <v>2</v>
      </c>
      <c r="O678" s="5">
        <v>52</v>
      </c>
      <c r="P678" s="4" t="str">
        <f t="shared" si="20"/>
        <v>&gt;50</v>
      </c>
      <c r="Q678" s="4">
        <f>M678+N678</f>
        <v>5</v>
      </c>
      <c r="U678" s="28" t="str" cm="1">
        <f t="array" ref="U678">_xlfn.IFS(F678&lt;30000,"30k",F678&lt;=50000,"30k-50k",F678&lt;=75000,"50k-75k",F678&lt;=100000,"75k-100k",F678&gt;100000,"100k")</f>
        <v>30k</v>
      </c>
      <c r="W678" s="1">
        <f t="shared" si="21"/>
        <v>12</v>
      </c>
    </row>
    <row r="679" spans="1:23" x14ac:dyDescent="0.35">
      <c r="A679">
        <v>676</v>
      </c>
      <c r="B679">
        <v>4673</v>
      </c>
      <c r="C679">
        <v>1963</v>
      </c>
      <c r="D679" s="1" t="s">
        <v>13</v>
      </c>
      <c r="E679" s="1" t="s">
        <v>14</v>
      </c>
      <c r="F679">
        <v>81300</v>
      </c>
      <c r="G679">
        <v>0</v>
      </c>
      <c r="H679" s="2">
        <v>1</v>
      </c>
      <c r="I679" s="2">
        <v>41212</v>
      </c>
      <c r="J679">
        <v>17</v>
      </c>
      <c r="K679">
        <f>VLOOKUP(B679,purchase_dataset!$B$2:$F$2241,2,FALSE)</f>
        <v>12</v>
      </c>
      <c r="L679">
        <f>VLOOKUP(B679,purchase_dataset!$B$2:$F$2241,3,FALSE)</f>
        <v>12</v>
      </c>
      <c r="M679">
        <f>VLOOKUP(B679,purchase_dataset!$B$2:$F$2241,3,FALSE)</f>
        <v>12</v>
      </c>
      <c r="N679">
        <f>VLOOKUP(B679,purchase_dataset!$B$2:$F$2241,5,FALSE)</f>
        <v>5</v>
      </c>
      <c r="O679" s="5">
        <v>63</v>
      </c>
      <c r="P679" s="4" t="str">
        <f t="shared" si="20"/>
        <v>&gt;50</v>
      </c>
      <c r="Q679" s="4">
        <f>M679+N679</f>
        <v>17</v>
      </c>
      <c r="U679" s="28" t="str" cm="1">
        <f t="array" ref="U679">_xlfn.IFS(F679&lt;30000,"30k",F679&lt;=50000,"30k-50k",F679&lt;=75000,"50k-75k",F679&lt;=100000,"75k-100k",F679&gt;100000,"100k")</f>
        <v>75k-100k</v>
      </c>
      <c r="W679" s="1">
        <f t="shared" si="21"/>
        <v>14</v>
      </c>
    </row>
    <row r="680" spans="1:23" x14ac:dyDescent="0.35">
      <c r="A680">
        <v>677</v>
      </c>
      <c r="B680">
        <v>9937</v>
      </c>
      <c r="C680">
        <v>1979</v>
      </c>
      <c r="D680" s="1" t="s">
        <v>10</v>
      </c>
      <c r="E680" s="1" t="s">
        <v>11</v>
      </c>
      <c r="F680">
        <v>70337</v>
      </c>
      <c r="G680">
        <v>0</v>
      </c>
      <c r="H680" s="2">
        <v>0</v>
      </c>
      <c r="I680" s="2">
        <v>41641</v>
      </c>
      <c r="J680">
        <v>75</v>
      </c>
      <c r="K680">
        <f>VLOOKUP(B680,purchase_dataset!$B$2:$F$2241,2,FALSE)</f>
        <v>81</v>
      </c>
      <c r="L680">
        <f>VLOOKUP(B680,purchase_dataset!$B$2:$F$2241,3,FALSE)</f>
        <v>43</v>
      </c>
      <c r="M680">
        <f>VLOOKUP(B680,purchase_dataset!$B$2:$F$2241,3,FALSE)</f>
        <v>43</v>
      </c>
      <c r="N680">
        <f>VLOOKUP(B680,purchase_dataset!$B$2:$F$2241,5,FALSE)</f>
        <v>12</v>
      </c>
      <c r="O680" s="5">
        <v>47</v>
      </c>
      <c r="P680" s="4" t="str">
        <f t="shared" si="20"/>
        <v>30-50</v>
      </c>
      <c r="Q680" s="4">
        <f>M680+N680</f>
        <v>55</v>
      </c>
      <c r="U680" s="28" t="str" cm="1">
        <f t="array" ref="U680">_xlfn.IFS(F680&lt;30000,"30k",F680&lt;=50000,"30k-50k",F680&lt;=75000,"50k-75k",F680&lt;=100000,"75k-100k",F680&gt;100000,"100k")</f>
        <v>50k-75k</v>
      </c>
      <c r="W680" s="1">
        <f t="shared" si="21"/>
        <v>12</v>
      </c>
    </row>
    <row r="681" spans="1:23" x14ac:dyDescent="0.35">
      <c r="A681">
        <v>678</v>
      </c>
      <c r="B681">
        <v>8779</v>
      </c>
      <c r="C681">
        <v>1985</v>
      </c>
      <c r="D681" s="1" t="s">
        <v>18</v>
      </c>
      <c r="E681" s="1" t="s">
        <v>14</v>
      </c>
      <c r="F681">
        <v>36145</v>
      </c>
      <c r="G681">
        <v>1</v>
      </c>
      <c r="H681" s="2">
        <v>0</v>
      </c>
      <c r="I681" s="2">
        <v>41441</v>
      </c>
      <c r="J681">
        <v>13</v>
      </c>
      <c r="K681">
        <f>VLOOKUP(B681,purchase_dataset!$B$2:$F$2241,2,FALSE)</f>
        <v>4</v>
      </c>
      <c r="L681">
        <f>VLOOKUP(B681,purchase_dataset!$B$2:$F$2241,3,FALSE)</f>
        <v>1</v>
      </c>
      <c r="M681">
        <f>VLOOKUP(B681,purchase_dataset!$B$2:$F$2241,3,FALSE)</f>
        <v>1</v>
      </c>
      <c r="N681">
        <f>VLOOKUP(B681,purchase_dataset!$B$2:$F$2241,5,FALSE)</f>
        <v>3</v>
      </c>
      <c r="O681" s="5">
        <v>41</v>
      </c>
      <c r="P681" s="4" t="str">
        <f t="shared" si="20"/>
        <v>30-50</v>
      </c>
      <c r="Q681" s="4">
        <f>M681+N681</f>
        <v>4</v>
      </c>
      <c r="U681" s="28" t="str" cm="1">
        <f t="array" ref="U681">_xlfn.IFS(F681&lt;30000,"30k",F681&lt;=50000,"30k-50k",F681&lt;=75000,"50k-75k",F681&lt;=100000,"75k-100k",F681&gt;100000,"100k")</f>
        <v>30k-50k</v>
      </c>
      <c r="W681" s="1">
        <f t="shared" si="21"/>
        <v>13</v>
      </c>
    </row>
    <row r="682" spans="1:23" x14ac:dyDescent="0.35">
      <c r="A682">
        <v>679</v>
      </c>
      <c r="B682">
        <v>9596</v>
      </c>
      <c r="C682">
        <v>1980</v>
      </c>
      <c r="D682" s="1" t="s">
        <v>13</v>
      </c>
      <c r="E682" s="1" t="s">
        <v>11</v>
      </c>
      <c r="F682">
        <v>65295</v>
      </c>
      <c r="G682">
        <v>0</v>
      </c>
      <c r="H682" s="2">
        <v>0</v>
      </c>
      <c r="I682" s="2">
        <v>41631</v>
      </c>
      <c r="J682">
        <v>19</v>
      </c>
      <c r="K682">
        <f>VLOOKUP(B682,purchase_dataset!$B$2:$F$2241,2,FALSE)</f>
        <v>32</v>
      </c>
      <c r="L682">
        <f>VLOOKUP(B682,purchase_dataset!$B$2:$F$2241,3,FALSE)</f>
        <v>110</v>
      </c>
      <c r="M682">
        <f>VLOOKUP(B682,purchase_dataset!$B$2:$F$2241,3,FALSE)</f>
        <v>110</v>
      </c>
      <c r="N682">
        <f>VLOOKUP(B682,purchase_dataset!$B$2:$F$2241,5,FALSE)</f>
        <v>13</v>
      </c>
      <c r="O682" s="5">
        <v>46</v>
      </c>
      <c r="P682" s="4" t="str">
        <f t="shared" si="20"/>
        <v>30-50</v>
      </c>
      <c r="Q682" s="4">
        <f>M682+N682</f>
        <v>123</v>
      </c>
      <c r="U682" s="28" t="str" cm="1">
        <f t="array" ref="U682">_xlfn.IFS(F682&lt;30000,"30k",F682&lt;=50000,"30k-50k",F682&lt;=75000,"50k-75k",F682&lt;=100000,"75k-100k",F682&gt;100000,"100k")</f>
        <v>50k-75k</v>
      </c>
      <c r="W682" s="1">
        <f t="shared" si="21"/>
        <v>13</v>
      </c>
    </row>
    <row r="683" spans="1:23" x14ac:dyDescent="0.35">
      <c r="A683">
        <v>680</v>
      </c>
      <c r="B683">
        <v>2891</v>
      </c>
      <c r="C683">
        <v>1963</v>
      </c>
      <c r="D683" s="1" t="s">
        <v>10</v>
      </c>
      <c r="E683" s="1" t="s">
        <v>16</v>
      </c>
      <c r="F683">
        <v>68118</v>
      </c>
      <c r="G683">
        <v>0</v>
      </c>
      <c r="H683" s="2">
        <v>1</v>
      </c>
      <c r="I683" s="2">
        <v>41565</v>
      </c>
      <c r="J683">
        <v>51</v>
      </c>
      <c r="K683">
        <f>VLOOKUP(B683,purchase_dataset!$B$2:$F$2241,2,FALSE)</f>
        <v>23</v>
      </c>
      <c r="L683">
        <f>VLOOKUP(B683,purchase_dataset!$B$2:$F$2241,3,FALSE)</f>
        <v>23</v>
      </c>
      <c r="M683">
        <f>VLOOKUP(B683,purchase_dataset!$B$2:$F$2241,3,FALSE)</f>
        <v>23</v>
      </c>
      <c r="N683">
        <f>VLOOKUP(B683,purchase_dataset!$B$2:$F$2241,5,FALSE)</f>
        <v>4</v>
      </c>
      <c r="O683" s="5">
        <v>63</v>
      </c>
      <c r="P683" s="4" t="str">
        <f t="shared" si="20"/>
        <v>&gt;50</v>
      </c>
      <c r="Q683" s="4">
        <f>M683+N683</f>
        <v>27</v>
      </c>
      <c r="U683" s="28" t="str" cm="1">
        <f t="array" ref="U683">_xlfn.IFS(F683&lt;30000,"30k",F683&lt;=50000,"30k-50k",F683&lt;=75000,"50k-75k",F683&lt;=100000,"75k-100k",F683&gt;100000,"100k")</f>
        <v>50k-75k</v>
      </c>
      <c r="W683" s="1">
        <f t="shared" si="21"/>
        <v>13</v>
      </c>
    </row>
    <row r="684" spans="1:23" x14ac:dyDescent="0.35">
      <c r="A684">
        <v>681</v>
      </c>
      <c r="B684">
        <v>4910</v>
      </c>
      <c r="C684">
        <v>1967</v>
      </c>
      <c r="D684" s="1" t="s">
        <v>10</v>
      </c>
      <c r="E684" s="1" t="s">
        <v>16</v>
      </c>
      <c r="F684">
        <v>68743</v>
      </c>
      <c r="G684">
        <v>0</v>
      </c>
      <c r="H684" s="2">
        <v>0</v>
      </c>
      <c r="I684" s="2">
        <v>41151</v>
      </c>
      <c r="J684">
        <v>81</v>
      </c>
      <c r="K684">
        <f>VLOOKUP(B684,purchase_dataset!$B$2:$F$2241,2,FALSE)</f>
        <v>134</v>
      </c>
      <c r="L684">
        <f>VLOOKUP(B684,purchase_dataset!$B$2:$F$2241,3,FALSE)</f>
        <v>134</v>
      </c>
      <c r="M684">
        <f>VLOOKUP(B684,purchase_dataset!$B$2:$F$2241,3,FALSE)</f>
        <v>134</v>
      </c>
      <c r="N684">
        <f>VLOOKUP(B684,purchase_dataset!$B$2:$F$2241,5,FALSE)</f>
        <v>13</v>
      </c>
      <c r="O684" s="5">
        <v>59</v>
      </c>
      <c r="P684" s="4" t="str">
        <f t="shared" si="20"/>
        <v>&gt;50</v>
      </c>
      <c r="Q684" s="4">
        <f>M684+N684</f>
        <v>147</v>
      </c>
      <c r="U684" s="28" t="str" cm="1">
        <f t="array" ref="U684">_xlfn.IFS(F684&lt;30000,"30k",F684&lt;=50000,"30k-50k",F684&lt;=75000,"50k-75k",F684&lt;=100000,"75k-100k",F684&gt;100000,"100k")</f>
        <v>50k-75k</v>
      </c>
      <c r="W684" s="1">
        <f t="shared" si="21"/>
        <v>14</v>
      </c>
    </row>
    <row r="685" spans="1:23" x14ac:dyDescent="0.35">
      <c r="A685">
        <v>682</v>
      </c>
      <c r="B685">
        <v>75</v>
      </c>
      <c r="C685">
        <v>1982</v>
      </c>
      <c r="D685" s="1" t="s">
        <v>18</v>
      </c>
      <c r="E685" s="1" t="s">
        <v>12</v>
      </c>
      <c r="F685">
        <v>41039</v>
      </c>
      <c r="G685">
        <v>0</v>
      </c>
      <c r="H685" s="2">
        <v>0</v>
      </c>
      <c r="I685" s="2">
        <v>41480</v>
      </c>
      <c r="J685">
        <v>32</v>
      </c>
      <c r="K685">
        <f>VLOOKUP(B685,purchase_dataset!$B$2:$F$2241,2,FALSE)</f>
        <v>11</v>
      </c>
      <c r="L685">
        <f>VLOOKUP(B685,purchase_dataset!$B$2:$F$2241,3,FALSE)</f>
        <v>61</v>
      </c>
      <c r="M685">
        <f>VLOOKUP(B685,purchase_dataset!$B$2:$F$2241,3,FALSE)</f>
        <v>61</v>
      </c>
      <c r="N685">
        <f>VLOOKUP(B685,purchase_dataset!$B$2:$F$2241,5,FALSE)</f>
        <v>5</v>
      </c>
      <c r="O685" s="5">
        <v>44</v>
      </c>
      <c r="P685" s="4" t="str">
        <f t="shared" si="20"/>
        <v>30-50</v>
      </c>
      <c r="Q685" s="4">
        <f>M685+N685</f>
        <v>66</v>
      </c>
      <c r="U685" s="28" t="str" cm="1">
        <f t="array" ref="U685">_xlfn.IFS(F685&lt;30000,"30k",F685&lt;=50000,"30k-50k",F685&lt;=75000,"50k-75k",F685&lt;=100000,"75k-100k",F685&gt;100000,"100k")</f>
        <v>30k-50k</v>
      </c>
      <c r="W685" s="1">
        <f t="shared" si="21"/>
        <v>13</v>
      </c>
    </row>
    <row r="686" spans="1:23" x14ac:dyDescent="0.35">
      <c r="A686">
        <v>683</v>
      </c>
      <c r="B686">
        <v>10120</v>
      </c>
      <c r="C686">
        <v>1955</v>
      </c>
      <c r="D686" s="1" t="s">
        <v>10</v>
      </c>
      <c r="E686" s="1" t="s">
        <v>12</v>
      </c>
      <c r="F686">
        <v>38946</v>
      </c>
      <c r="G686">
        <v>0</v>
      </c>
      <c r="H686" s="2">
        <v>1</v>
      </c>
      <c r="I686" s="2">
        <v>41571</v>
      </c>
      <c r="J686">
        <v>84</v>
      </c>
      <c r="K686">
        <f>VLOOKUP(B686,purchase_dataset!$B$2:$F$2241,2,FALSE)</f>
        <v>6</v>
      </c>
      <c r="L686">
        <f>VLOOKUP(B686,purchase_dataset!$B$2:$F$2241,3,FALSE)</f>
        <v>6</v>
      </c>
      <c r="M686">
        <f>VLOOKUP(B686,purchase_dataset!$B$2:$F$2241,3,FALSE)</f>
        <v>6</v>
      </c>
      <c r="N686">
        <f>VLOOKUP(B686,purchase_dataset!$B$2:$F$2241,5,FALSE)</f>
        <v>6</v>
      </c>
      <c r="O686" s="5">
        <v>71</v>
      </c>
      <c r="P686" s="4" t="str">
        <f t="shared" si="20"/>
        <v>&gt;50</v>
      </c>
      <c r="Q686" s="4">
        <f>M686+N686</f>
        <v>12</v>
      </c>
      <c r="U686" s="28" t="str" cm="1">
        <f t="array" ref="U686">_xlfn.IFS(F686&lt;30000,"30k",F686&lt;=50000,"30k-50k",F686&lt;=75000,"50k-75k",F686&lt;=100000,"75k-100k",F686&gt;100000,"100k")</f>
        <v>30k-50k</v>
      </c>
      <c r="W686" s="1">
        <f t="shared" si="21"/>
        <v>13</v>
      </c>
    </row>
    <row r="687" spans="1:23" x14ac:dyDescent="0.35">
      <c r="A687">
        <v>684</v>
      </c>
      <c r="B687">
        <v>6327</v>
      </c>
      <c r="C687">
        <v>1967</v>
      </c>
      <c r="D687" s="1" t="s">
        <v>10</v>
      </c>
      <c r="E687" s="1" t="s">
        <v>12</v>
      </c>
      <c r="F687">
        <v>65777</v>
      </c>
      <c r="G687">
        <v>0</v>
      </c>
      <c r="H687" s="2">
        <v>0</v>
      </c>
      <c r="I687" s="2">
        <v>41627</v>
      </c>
      <c r="J687">
        <v>87</v>
      </c>
      <c r="K687">
        <f>VLOOKUP(B687,purchase_dataset!$B$2:$F$2241,2,FALSE)</f>
        <v>32</v>
      </c>
      <c r="L687">
        <f>VLOOKUP(B687,purchase_dataset!$B$2:$F$2241,3,FALSE)</f>
        <v>32</v>
      </c>
      <c r="M687">
        <f>VLOOKUP(B687,purchase_dataset!$B$2:$F$2241,3,FALSE)</f>
        <v>32</v>
      </c>
      <c r="N687">
        <f>VLOOKUP(B687,purchase_dataset!$B$2:$F$2241,5,FALSE)</f>
        <v>6</v>
      </c>
      <c r="O687" s="5">
        <v>59</v>
      </c>
      <c r="P687" s="4" t="str">
        <f t="shared" si="20"/>
        <v>&gt;50</v>
      </c>
      <c r="Q687" s="4">
        <f>M687+N687</f>
        <v>38</v>
      </c>
      <c r="U687" s="28" t="str" cm="1">
        <f t="array" ref="U687">_xlfn.IFS(F687&lt;30000,"30k",F687&lt;=50000,"30k-50k",F687&lt;=75000,"50k-75k",F687&lt;=100000,"75k-100k",F687&gt;100000,"100k")</f>
        <v>50k-75k</v>
      </c>
      <c r="W687" s="1">
        <f t="shared" si="21"/>
        <v>13</v>
      </c>
    </row>
    <row r="688" spans="1:23" x14ac:dyDescent="0.35">
      <c r="A688">
        <v>685</v>
      </c>
      <c r="B688">
        <v>10142</v>
      </c>
      <c r="C688">
        <v>1976</v>
      </c>
      <c r="D688" s="1" t="s">
        <v>13</v>
      </c>
      <c r="E688" s="1" t="s">
        <v>16</v>
      </c>
      <c r="F688">
        <v>66476</v>
      </c>
      <c r="G688">
        <v>0</v>
      </c>
      <c r="H688" s="2">
        <v>1</v>
      </c>
      <c r="I688" s="2">
        <v>41340</v>
      </c>
      <c r="J688">
        <v>99</v>
      </c>
      <c r="K688">
        <f>VLOOKUP(B688,purchase_dataset!$B$2:$F$2241,2,FALSE)</f>
        <v>18</v>
      </c>
      <c r="L688">
        <f>VLOOKUP(B688,purchase_dataset!$B$2:$F$2241,3,FALSE)</f>
        <v>48</v>
      </c>
      <c r="M688">
        <f>VLOOKUP(B688,purchase_dataset!$B$2:$F$2241,3,FALSE)</f>
        <v>48</v>
      </c>
      <c r="N688">
        <f>VLOOKUP(B688,purchase_dataset!$B$2:$F$2241,5,FALSE)</f>
        <v>11</v>
      </c>
      <c r="O688" s="5">
        <v>50</v>
      </c>
      <c r="P688" s="4" t="str">
        <f t="shared" si="20"/>
        <v>30-50</v>
      </c>
      <c r="Q688" s="4">
        <f>M688+N688</f>
        <v>59</v>
      </c>
      <c r="U688" s="28" t="str" cm="1">
        <f t="array" ref="U688">_xlfn.IFS(F688&lt;30000,"30k",F688&lt;=50000,"30k-50k",F688&lt;=75000,"50k-75k",F688&lt;=100000,"75k-100k",F688&gt;100000,"100k")</f>
        <v>50k-75k</v>
      </c>
      <c r="W688" s="1">
        <f t="shared" si="21"/>
        <v>13</v>
      </c>
    </row>
    <row r="689" spans="1:23" x14ac:dyDescent="0.35">
      <c r="A689">
        <v>686</v>
      </c>
      <c r="B689">
        <v>9826</v>
      </c>
      <c r="C689">
        <v>1972</v>
      </c>
      <c r="D689" s="1" t="s">
        <v>13</v>
      </c>
      <c r="E689" s="1" t="s">
        <v>11</v>
      </c>
      <c r="F689">
        <v>86857</v>
      </c>
      <c r="G689">
        <v>0</v>
      </c>
      <c r="H689" s="2">
        <v>0</v>
      </c>
      <c r="I689" s="2">
        <v>41164</v>
      </c>
      <c r="J689">
        <v>96</v>
      </c>
      <c r="K689">
        <f>VLOOKUP(B689,purchase_dataset!$B$2:$F$2241,2,FALSE)</f>
        <v>102</v>
      </c>
      <c r="L689">
        <f>VLOOKUP(B689,purchase_dataset!$B$2:$F$2241,3,FALSE)</f>
        <v>102</v>
      </c>
      <c r="M689">
        <f>VLOOKUP(B689,purchase_dataset!$B$2:$F$2241,3,FALSE)</f>
        <v>102</v>
      </c>
      <c r="N689">
        <f>VLOOKUP(B689,purchase_dataset!$B$2:$F$2241,5,FALSE)</f>
        <v>10</v>
      </c>
      <c r="O689" s="5">
        <v>54</v>
      </c>
      <c r="P689" s="4" t="str">
        <f t="shared" si="20"/>
        <v>&gt;50</v>
      </c>
      <c r="Q689" s="4">
        <f>M689+N689</f>
        <v>112</v>
      </c>
      <c r="U689" s="28" t="str" cm="1">
        <f t="array" ref="U689">_xlfn.IFS(F689&lt;30000,"30k",F689&lt;=50000,"30k-50k",F689&lt;=75000,"50k-75k",F689&lt;=100000,"75k-100k",F689&gt;100000,"100k")</f>
        <v>75k-100k</v>
      </c>
      <c r="W689" s="1">
        <f t="shared" si="21"/>
        <v>14</v>
      </c>
    </row>
    <row r="690" spans="1:23" x14ac:dyDescent="0.35">
      <c r="A690">
        <v>687</v>
      </c>
      <c r="B690">
        <v>1501</v>
      </c>
      <c r="C690">
        <v>1982</v>
      </c>
      <c r="D690" s="1" t="s">
        <v>13</v>
      </c>
      <c r="E690" s="1" t="s">
        <v>14</v>
      </c>
      <c r="F690">
        <v>160803</v>
      </c>
      <c r="G690">
        <v>0</v>
      </c>
      <c r="H690" s="2">
        <v>0</v>
      </c>
      <c r="I690" s="2">
        <v>41125</v>
      </c>
      <c r="J690">
        <v>21</v>
      </c>
      <c r="K690">
        <f>VLOOKUP(B690,purchase_dataset!$B$2:$F$2241,2,FALSE)</f>
        <v>16</v>
      </c>
      <c r="L690">
        <f>VLOOKUP(B690,purchase_dataset!$B$2:$F$2241,3,FALSE)</f>
        <v>3</v>
      </c>
      <c r="M690">
        <f>VLOOKUP(B690,purchase_dataset!$B$2:$F$2241,3,FALSE)</f>
        <v>3</v>
      </c>
      <c r="N690">
        <f>VLOOKUP(B690,purchase_dataset!$B$2:$F$2241,5,FALSE)</f>
        <v>1</v>
      </c>
      <c r="O690" s="5">
        <v>44</v>
      </c>
      <c r="P690" s="4" t="str">
        <f t="shared" si="20"/>
        <v>30-50</v>
      </c>
      <c r="Q690" s="4">
        <f>M690+N690</f>
        <v>4</v>
      </c>
      <c r="U690" s="28" t="str" cm="1">
        <f t="array" ref="U690">_xlfn.IFS(F690&lt;30000,"30k",F690&lt;=50000,"30k-50k",F690&lt;=75000,"50k-75k",F690&lt;=100000,"75k-100k",F690&gt;100000,"100k")</f>
        <v>100k</v>
      </c>
      <c r="W690" s="1">
        <f t="shared" si="21"/>
        <v>14</v>
      </c>
    </row>
    <row r="691" spans="1:23" x14ac:dyDescent="0.35">
      <c r="A691">
        <v>688</v>
      </c>
      <c r="B691">
        <v>10767</v>
      </c>
      <c r="C691">
        <v>1989</v>
      </c>
      <c r="D691" s="1" t="s">
        <v>13</v>
      </c>
      <c r="E691" s="1" t="s">
        <v>12</v>
      </c>
      <c r="F691">
        <v>77845</v>
      </c>
      <c r="G691">
        <v>0</v>
      </c>
      <c r="H691" s="2">
        <v>0</v>
      </c>
      <c r="I691" s="2">
        <v>41775</v>
      </c>
      <c r="J691">
        <v>40</v>
      </c>
      <c r="K691">
        <f>VLOOKUP(B691,purchase_dataset!$B$2:$F$2241,2,FALSE)</f>
        <v>40</v>
      </c>
      <c r="L691">
        <f>VLOOKUP(B691,purchase_dataset!$B$2:$F$2241,3,FALSE)</f>
        <v>40</v>
      </c>
      <c r="M691">
        <f>VLOOKUP(B691,purchase_dataset!$B$2:$F$2241,3,FALSE)</f>
        <v>40</v>
      </c>
      <c r="N691">
        <f>VLOOKUP(B691,purchase_dataset!$B$2:$F$2241,5,FALSE)</f>
        <v>12</v>
      </c>
      <c r="O691" s="5">
        <v>37</v>
      </c>
      <c r="P691" s="4" t="str">
        <f t="shared" si="20"/>
        <v>30-50</v>
      </c>
      <c r="Q691" s="4">
        <f>M691+N691</f>
        <v>52</v>
      </c>
      <c r="U691" s="28" t="str" cm="1">
        <f t="array" ref="U691">_xlfn.IFS(F691&lt;30000,"30k",F691&lt;=50000,"30k-50k",F691&lt;=75000,"50k-75k",F691&lt;=100000,"75k-100k",F691&gt;100000,"100k")</f>
        <v>75k-100k</v>
      </c>
      <c r="W691" s="1">
        <f t="shared" si="21"/>
        <v>12</v>
      </c>
    </row>
    <row r="692" spans="1:23" x14ac:dyDescent="0.35">
      <c r="A692">
        <v>689</v>
      </c>
      <c r="B692">
        <v>7279</v>
      </c>
      <c r="C692">
        <v>1969</v>
      </c>
      <c r="D692" s="1" t="s">
        <v>13</v>
      </c>
      <c r="E692" s="1" t="s">
        <v>12</v>
      </c>
      <c r="F692">
        <v>69476</v>
      </c>
      <c r="G692">
        <v>0</v>
      </c>
      <c r="H692" s="2">
        <v>0</v>
      </c>
      <c r="I692" s="2">
        <v>41547</v>
      </c>
      <c r="J692">
        <v>3</v>
      </c>
      <c r="K692">
        <f>VLOOKUP(B692,purchase_dataset!$B$2:$F$2241,2,FALSE)</f>
        <v>86</v>
      </c>
      <c r="L692">
        <f>VLOOKUP(B692,purchase_dataset!$B$2:$F$2241,3,FALSE)</f>
        <v>9</v>
      </c>
      <c r="M692">
        <f>VLOOKUP(B692,purchase_dataset!$B$2:$F$2241,3,FALSE)</f>
        <v>9</v>
      </c>
      <c r="N692">
        <f>VLOOKUP(B692,purchase_dataset!$B$2:$F$2241,5,FALSE)</f>
        <v>4</v>
      </c>
      <c r="O692" s="5">
        <v>57</v>
      </c>
      <c r="P692" s="4" t="str">
        <f t="shared" si="20"/>
        <v>&gt;50</v>
      </c>
      <c r="Q692" s="4">
        <f>M692+N692</f>
        <v>13</v>
      </c>
      <c r="U692" s="28" t="str" cm="1">
        <f t="array" ref="U692">_xlfn.IFS(F692&lt;30000,"30k",F692&lt;=50000,"30k-50k",F692&lt;=75000,"50k-75k",F692&lt;=100000,"75k-100k",F692&gt;100000,"100k")</f>
        <v>50k-75k</v>
      </c>
      <c r="W692" s="1">
        <f t="shared" si="21"/>
        <v>13</v>
      </c>
    </row>
    <row r="693" spans="1:23" x14ac:dyDescent="0.35">
      <c r="A693">
        <v>690</v>
      </c>
      <c r="B693">
        <v>7230</v>
      </c>
      <c r="C693">
        <v>1960</v>
      </c>
      <c r="D693" s="1" t="s">
        <v>13</v>
      </c>
      <c r="E693" s="1" t="s">
        <v>16</v>
      </c>
      <c r="F693">
        <v>50611</v>
      </c>
      <c r="G693">
        <v>0</v>
      </c>
      <c r="H693" s="2">
        <v>1</v>
      </c>
      <c r="I693" s="2">
        <v>41186</v>
      </c>
      <c r="J693">
        <v>98</v>
      </c>
      <c r="K693">
        <f>VLOOKUP(B693,purchase_dataset!$B$2:$F$2241,2,FALSE)</f>
        <v>0</v>
      </c>
      <c r="L693">
        <f>VLOOKUP(B693,purchase_dataset!$B$2:$F$2241,3,FALSE)</f>
        <v>0</v>
      </c>
      <c r="M693">
        <f>VLOOKUP(B693,purchase_dataset!$B$2:$F$2241,3,FALSE)</f>
        <v>0</v>
      </c>
      <c r="N693">
        <f>VLOOKUP(B693,purchase_dataset!$B$2:$F$2241,5,FALSE)</f>
        <v>7</v>
      </c>
      <c r="O693" s="5">
        <v>66</v>
      </c>
      <c r="P693" s="4" t="str">
        <f t="shared" si="20"/>
        <v>&gt;50</v>
      </c>
      <c r="Q693" s="4">
        <f>M693+N693</f>
        <v>7</v>
      </c>
      <c r="U693" s="28" t="str" cm="1">
        <f t="array" ref="U693">_xlfn.IFS(F693&lt;30000,"30k",F693&lt;=50000,"30k-50k",F693&lt;=75000,"50k-75k",F693&lt;=100000,"75k-100k",F693&gt;100000,"100k")</f>
        <v>50k-75k</v>
      </c>
      <c r="W693" s="1">
        <f t="shared" si="21"/>
        <v>14</v>
      </c>
    </row>
    <row r="694" spans="1:23" x14ac:dyDescent="0.35">
      <c r="A694">
        <v>691</v>
      </c>
      <c r="B694">
        <v>143</v>
      </c>
      <c r="C694">
        <v>1970</v>
      </c>
      <c r="D694" s="1" t="s">
        <v>10</v>
      </c>
      <c r="E694" s="1" t="s">
        <v>11</v>
      </c>
      <c r="F694">
        <v>61209</v>
      </c>
      <c r="G694">
        <v>0</v>
      </c>
      <c r="H694" s="2">
        <v>0</v>
      </c>
      <c r="I694" s="2">
        <v>41511</v>
      </c>
      <c r="J694">
        <v>73</v>
      </c>
      <c r="K694">
        <f>VLOOKUP(B694,purchase_dataset!$B$2:$F$2241,2,FALSE)</f>
        <v>0</v>
      </c>
      <c r="L694">
        <f>VLOOKUP(B694,purchase_dataset!$B$2:$F$2241,3,FALSE)</f>
        <v>49</v>
      </c>
      <c r="M694">
        <f>VLOOKUP(B694,purchase_dataset!$B$2:$F$2241,3,FALSE)</f>
        <v>49</v>
      </c>
      <c r="N694">
        <f>VLOOKUP(B694,purchase_dataset!$B$2:$F$2241,5,FALSE)</f>
        <v>4</v>
      </c>
      <c r="O694" s="5">
        <v>56</v>
      </c>
      <c r="P694" s="4" t="str">
        <f t="shared" si="20"/>
        <v>&gt;50</v>
      </c>
      <c r="Q694" s="4">
        <f>M694+N694</f>
        <v>53</v>
      </c>
      <c r="U694" s="28" t="str" cm="1">
        <f t="array" ref="U694">_xlfn.IFS(F694&lt;30000,"30k",F694&lt;=50000,"30k-50k",F694&lt;=75000,"50k-75k",F694&lt;=100000,"75k-100k",F694&gt;100000,"100k")</f>
        <v>50k-75k</v>
      </c>
      <c r="W694" s="1">
        <f t="shared" si="21"/>
        <v>13</v>
      </c>
    </row>
    <row r="695" spans="1:23" x14ac:dyDescent="0.35">
      <c r="A695">
        <v>692</v>
      </c>
      <c r="B695">
        <v>450</v>
      </c>
      <c r="C695">
        <v>1958</v>
      </c>
      <c r="D695" s="1" t="s">
        <v>15</v>
      </c>
      <c r="E695" s="1" t="s">
        <v>12</v>
      </c>
      <c r="F695">
        <v>42315</v>
      </c>
      <c r="G695">
        <v>0</v>
      </c>
      <c r="H695" s="2">
        <v>1</v>
      </c>
      <c r="I695" s="2">
        <v>41467</v>
      </c>
      <c r="J695">
        <v>90</v>
      </c>
      <c r="K695">
        <f>VLOOKUP(B695,purchase_dataset!$B$2:$F$2241,2,FALSE)</f>
        <v>15</v>
      </c>
      <c r="L695">
        <f>VLOOKUP(B695,purchase_dataset!$B$2:$F$2241,3,FALSE)</f>
        <v>11</v>
      </c>
      <c r="M695">
        <f>VLOOKUP(B695,purchase_dataset!$B$2:$F$2241,3,FALSE)</f>
        <v>11</v>
      </c>
      <c r="N695">
        <f>VLOOKUP(B695,purchase_dataset!$B$2:$F$2241,5,FALSE)</f>
        <v>4</v>
      </c>
      <c r="O695" s="5">
        <v>68</v>
      </c>
      <c r="P695" s="4" t="str">
        <f t="shared" si="20"/>
        <v>&gt;50</v>
      </c>
      <c r="Q695" s="4">
        <f>M695+N695</f>
        <v>15</v>
      </c>
      <c r="U695" s="28" t="str" cm="1">
        <f t="array" ref="U695">_xlfn.IFS(F695&lt;30000,"30k",F695&lt;=50000,"30k-50k",F695&lt;=75000,"50k-75k",F695&lt;=100000,"75k-100k",F695&gt;100000,"100k")</f>
        <v>30k-50k</v>
      </c>
      <c r="W695" s="1">
        <f t="shared" si="21"/>
        <v>13</v>
      </c>
    </row>
    <row r="696" spans="1:23" x14ac:dyDescent="0.35">
      <c r="A696">
        <v>693</v>
      </c>
      <c r="B696">
        <v>9316</v>
      </c>
      <c r="C696">
        <v>1952</v>
      </c>
      <c r="D696" s="1" t="s">
        <v>17</v>
      </c>
      <c r="E696" s="1" t="s">
        <v>12</v>
      </c>
      <c r="F696">
        <v>13084</v>
      </c>
      <c r="G696">
        <v>0</v>
      </c>
      <c r="H696" s="2">
        <v>0</v>
      </c>
      <c r="I696" s="2">
        <v>41580</v>
      </c>
      <c r="J696">
        <v>29</v>
      </c>
      <c r="K696">
        <f>VLOOKUP(B696,purchase_dataset!$B$2:$F$2241,2,FALSE)</f>
        <v>0</v>
      </c>
      <c r="L696">
        <f>VLOOKUP(B696,purchase_dataset!$B$2:$F$2241,3,FALSE)</f>
        <v>7</v>
      </c>
      <c r="M696">
        <f>VLOOKUP(B696,purchase_dataset!$B$2:$F$2241,3,FALSE)</f>
        <v>7</v>
      </c>
      <c r="N696">
        <f>VLOOKUP(B696,purchase_dataset!$B$2:$F$2241,5,FALSE)</f>
        <v>3</v>
      </c>
      <c r="O696" s="5">
        <v>74</v>
      </c>
      <c r="P696" s="4" t="str">
        <f t="shared" si="20"/>
        <v>&gt;50</v>
      </c>
      <c r="Q696" s="4">
        <f>M696+N696</f>
        <v>10</v>
      </c>
      <c r="U696" s="28" t="str" cm="1">
        <f t="array" ref="U696">_xlfn.IFS(F696&lt;30000,"30k",F696&lt;=50000,"30k-50k",F696&lt;=75000,"50k-75k",F696&lt;=100000,"75k-100k",F696&gt;100000,"100k")</f>
        <v>30k</v>
      </c>
      <c r="W696" s="1">
        <f t="shared" si="21"/>
        <v>13</v>
      </c>
    </row>
    <row r="697" spans="1:23" x14ac:dyDescent="0.35">
      <c r="A697">
        <v>694</v>
      </c>
      <c r="B697">
        <v>6379</v>
      </c>
      <c r="C697">
        <v>1949</v>
      </c>
      <c r="D697" s="1" t="s">
        <v>15</v>
      </c>
      <c r="E697" s="1" t="s">
        <v>19</v>
      </c>
      <c r="F697">
        <v>47570</v>
      </c>
      <c r="G697">
        <v>1</v>
      </c>
      <c r="H697" s="2">
        <v>1</v>
      </c>
      <c r="I697" s="2">
        <v>41423</v>
      </c>
      <c r="J697">
        <v>3</v>
      </c>
      <c r="K697">
        <f>VLOOKUP(B697,purchase_dataset!$B$2:$F$2241,2,FALSE)</f>
        <v>1</v>
      </c>
      <c r="L697">
        <f>VLOOKUP(B697,purchase_dataset!$B$2:$F$2241,3,FALSE)</f>
        <v>2</v>
      </c>
      <c r="M697">
        <f>VLOOKUP(B697,purchase_dataset!$B$2:$F$2241,3,FALSE)</f>
        <v>2</v>
      </c>
      <c r="N697">
        <f>VLOOKUP(B697,purchase_dataset!$B$2:$F$2241,5,FALSE)</f>
        <v>2</v>
      </c>
      <c r="O697" s="5">
        <v>77</v>
      </c>
      <c r="P697" s="4" t="str">
        <f t="shared" si="20"/>
        <v>&gt;50</v>
      </c>
      <c r="Q697" s="4">
        <f>M697+N697</f>
        <v>4</v>
      </c>
      <c r="U697" s="28" t="str" cm="1">
        <f t="array" ref="U697">_xlfn.IFS(F697&lt;30000,"30k",F697&lt;=50000,"30k-50k",F697&lt;=75000,"50k-75k",F697&lt;=100000,"75k-100k",F697&gt;100000,"100k")</f>
        <v>30k-50k</v>
      </c>
      <c r="W697" s="1">
        <f t="shared" si="21"/>
        <v>13</v>
      </c>
    </row>
    <row r="698" spans="1:23" x14ac:dyDescent="0.35">
      <c r="A698">
        <v>695</v>
      </c>
      <c r="B698">
        <v>9239</v>
      </c>
      <c r="C698">
        <v>1961</v>
      </c>
      <c r="D698" s="1" t="s">
        <v>15</v>
      </c>
      <c r="E698" s="1" t="s">
        <v>14</v>
      </c>
      <c r="F698">
        <v>61923</v>
      </c>
      <c r="G698">
        <v>0</v>
      </c>
      <c r="H698" s="2">
        <v>2</v>
      </c>
      <c r="I698" s="2">
        <v>41481</v>
      </c>
      <c r="J698">
        <v>94</v>
      </c>
      <c r="K698">
        <f>VLOOKUP(B698,purchase_dataset!$B$2:$F$2241,2,FALSE)</f>
        <v>4</v>
      </c>
      <c r="L698">
        <f>VLOOKUP(B698,purchase_dataset!$B$2:$F$2241,3,FALSE)</f>
        <v>3</v>
      </c>
      <c r="M698">
        <f>VLOOKUP(B698,purchase_dataset!$B$2:$F$2241,3,FALSE)</f>
        <v>3</v>
      </c>
      <c r="N698">
        <f>VLOOKUP(B698,purchase_dataset!$B$2:$F$2241,5,FALSE)</f>
        <v>4</v>
      </c>
      <c r="O698" s="5">
        <v>65</v>
      </c>
      <c r="P698" s="4" t="str">
        <f t="shared" si="20"/>
        <v>&gt;50</v>
      </c>
      <c r="Q698" s="4">
        <f>M698+N698</f>
        <v>7</v>
      </c>
      <c r="U698" s="28" t="str" cm="1">
        <f t="array" ref="U698">_xlfn.IFS(F698&lt;30000,"30k",F698&lt;=50000,"30k-50k",F698&lt;=75000,"50k-75k",F698&lt;=100000,"75k-100k",F698&gt;100000,"100k")</f>
        <v>50k-75k</v>
      </c>
      <c r="W698" s="1">
        <f t="shared" si="21"/>
        <v>13</v>
      </c>
    </row>
    <row r="699" spans="1:23" x14ac:dyDescent="0.35">
      <c r="A699">
        <v>696</v>
      </c>
      <c r="B699">
        <v>8315</v>
      </c>
      <c r="C699">
        <v>1995</v>
      </c>
      <c r="D699" s="1" t="s">
        <v>10</v>
      </c>
      <c r="E699" s="1" t="s">
        <v>11</v>
      </c>
      <c r="F699">
        <v>34824</v>
      </c>
      <c r="G699">
        <v>0</v>
      </c>
      <c r="H699" s="2">
        <v>0</v>
      </c>
      <c r="I699" s="2">
        <v>41724</v>
      </c>
      <c r="J699">
        <v>65</v>
      </c>
      <c r="K699">
        <f>VLOOKUP(B699,purchase_dataset!$B$2:$F$2241,2,FALSE)</f>
        <v>2</v>
      </c>
      <c r="L699">
        <f>VLOOKUP(B699,purchase_dataset!$B$2:$F$2241,3,FALSE)</f>
        <v>0</v>
      </c>
      <c r="M699">
        <f>VLOOKUP(B699,purchase_dataset!$B$2:$F$2241,3,FALSE)</f>
        <v>0</v>
      </c>
      <c r="N699">
        <f>VLOOKUP(B699,purchase_dataset!$B$2:$F$2241,5,FALSE)</f>
        <v>2</v>
      </c>
      <c r="O699" s="5">
        <v>31</v>
      </c>
      <c r="P699" s="4" t="str">
        <f t="shared" si="20"/>
        <v>30-50</v>
      </c>
      <c r="Q699" s="4">
        <f>M699+N699</f>
        <v>2</v>
      </c>
      <c r="U699" s="28" t="str" cm="1">
        <f t="array" ref="U699">_xlfn.IFS(F699&lt;30000,"30k",F699&lt;=50000,"30k-50k",F699&lt;=75000,"50k-75k",F699&lt;=100000,"75k-100k",F699&gt;100000,"100k")</f>
        <v>30k-50k</v>
      </c>
      <c r="W699" s="1">
        <f t="shared" si="21"/>
        <v>12</v>
      </c>
    </row>
    <row r="700" spans="1:23" x14ac:dyDescent="0.35">
      <c r="A700">
        <v>697</v>
      </c>
      <c r="B700">
        <v>2868</v>
      </c>
      <c r="C700">
        <v>1949</v>
      </c>
      <c r="D700" s="1" t="s">
        <v>13</v>
      </c>
      <c r="E700" s="1" t="s">
        <v>11</v>
      </c>
      <c r="F700">
        <v>26518</v>
      </c>
      <c r="G700">
        <v>1</v>
      </c>
      <c r="H700" s="2">
        <v>1</v>
      </c>
      <c r="I700" s="2">
        <v>41372</v>
      </c>
      <c r="J700">
        <v>33</v>
      </c>
      <c r="K700">
        <f>VLOOKUP(B700,purchase_dataset!$B$2:$F$2241,2,FALSE)</f>
        <v>1</v>
      </c>
      <c r="L700">
        <f>VLOOKUP(B700,purchase_dataset!$B$2:$F$2241,3,FALSE)</f>
        <v>3</v>
      </c>
      <c r="M700">
        <f>VLOOKUP(B700,purchase_dataset!$B$2:$F$2241,3,FALSE)</f>
        <v>3</v>
      </c>
      <c r="N700">
        <f>VLOOKUP(B700,purchase_dataset!$B$2:$F$2241,5,FALSE)</f>
        <v>3</v>
      </c>
      <c r="O700" s="5">
        <v>77</v>
      </c>
      <c r="P700" s="4" t="str">
        <f t="shared" si="20"/>
        <v>&gt;50</v>
      </c>
      <c r="Q700" s="4">
        <f>M700+N700</f>
        <v>6</v>
      </c>
      <c r="U700" s="28" t="str" cm="1">
        <f t="array" ref="U700">_xlfn.IFS(F700&lt;30000,"30k",F700&lt;=50000,"30k-50k",F700&lt;=75000,"50k-75k",F700&lt;=100000,"75k-100k",F700&gt;100000,"100k")</f>
        <v>30k</v>
      </c>
      <c r="W700" s="1">
        <f t="shared" si="21"/>
        <v>13</v>
      </c>
    </row>
    <row r="701" spans="1:23" x14ac:dyDescent="0.35">
      <c r="A701">
        <v>698</v>
      </c>
      <c r="B701">
        <v>10888</v>
      </c>
      <c r="C701">
        <v>1961</v>
      </c>
      <c r="D701" s="1" t="s">
        <v>10</v>
      </c>
      <c r="E701" s="1" t="s">
        <v>11</v>
      </c>
      <c r="F701">
        <v>45938</v>
      </c>
      <c r="G701">
        <v>0</v>
      </c>
      <c r="H701" s="2">
        <v>0</v>
      </c>
      <c r="I701" s="2">
        <v>41581</v>
      </c>
      <c r="J701">
        <v>46</v>
      </c>
      <c r="K701">
        <f>VLOOKUP(B701,purchase_dataset!$B$2:$F$2241,2,FALSE)</f>
        <v>11</v>
      </c>
      <c r="L701">
        <f>VLOOKUP(B701,purchase_dataset!$B$2:$F$2241,3,FALSE)</f>
        <v>83</v>
      </c>
      <c r="M701">
        <f>VLOOKUP(B701,purchase_dataset!$B$2:$F$2241,3,FALSE)</f>
        <v>83</v>
      </c>
      <c r="N701">
        <f>VLOOKUP(B701,purchase_dataset!$B$2:$F$2241,5,FALSE)</f>
        <v>6</v>
      </c>
      <c r="O701" s="5">
        <v>65</v>
      </c>
      <c r="P701" s="4" t="str">
        <f t="shared" si="20"/>
        <v>&gt;50</v>
      </c>
      <c r="Q701" s="4">
        <f>M701+N701</f>
        <v>89</v>
      </c>
      <c r="U701" s="28" t="str" cm="1">
        <f t="array" ref="U701">_xlfn.IFS(F701&lt;30000,"30k",F701&lt;=50000,"30k-50k",F701&lt;=75000,"50k-75k",F701&lt;=100000,"75k-100k",F701&gt;100000,"100k")</f>
        <v>30k-50k</v>
      </c>
      <c r="W701" s="1">
        <f t="shared" si="21"/>
        <v>13</v>
      </c>
    </row>
    <row r="702" spans="1:23" x14ac:dyDescent="0.35">
      <c r="A702">
        <v>699</v>
      </c>
      <c r="B702">
        <v>1277</v>
      </c>
      <c r="C702">
        <v>1960</v>
      </c>
      <c r="D702" s="1" t="s">
        <v>10</v>
      </c>
      <c r="E702" s="1" t="s">
        <v>12</v>
      </c>
      <c r="F702">
        <v>78468</v>
      </c>
      <c r="G702">
        <v>0</v>
      </c>
      <c r="H702" s="2">
        <v>0</v>
      </c>
      <c r="I702" s="2">
        <v>41738</v>
      </c>
      <c r="J702">
        <v>29</v>
      </c>
      <c r="K702">
        <f>VLOOKUP(B702,purchase_dataset!$B$2:$F$2241,2,FALSE)</f>
        <v>22</v>
      </c>
      <c r="L702">
        <f>VLOOKUP(B702,purchase_dataset!$B$2:$F$2241,3,FALSE)</f>
        <v>22</v>
      </c>
      <c r="M702">
        <f>VLOOKUP(B702,purchase_dataset!$B$2:$F$2241,3,FALSE)</f>
        <v>22</v>
      </c>
      <c r="N702">
        <f>VLOOKUP(B702,purchase_dataset!$B$2:$F$2241,5,FALSE)</f>
        <v>10</v>
      </c>
      <c r="O702" s="5">
        <v>66</v>
      </c>
      <c r="P702" s="4" t="str">
        <f t="shared" si="20"/>
        <v>&gt;50</v>
      </c>
      <c r="Q702" s="4">
        <f>M702+N702</f>
        <v>32</v>
      </c>
      <c r="U702" s="28" t="str" cm="1">
        <f t="array" ref="U702">_xlfn.IFS(F702&lt;30000,"30k",F702&lt;=50000,"30k-50k",F702&lt;=75000,"50k-75k",F702&lt;=100000,"75k-100k",F702&gt;100000,"100k")</f>
        <v>75k-100k</v>
      </c>
      <c r="W702" s="1">
        <f t="shared" si="21"/>
        <v>12</v>
      </c>
    </row>
    <row r="703" spans="1:23" x14ac:dyDescent="0.35">
      <c r="A703">
        <v>700</v>
      </c>
      <c r="B703">
        <v>9977</v>
      </c>
      <c r="C703">
        <v>1973</v>
      </c>
      <c r="D703" s="1" t="s">
        <v>10</v>
      </c>
      <c r="E703" s="1" t="s">
        <v>16</v>
      </c>
      <c r="F703">
        <v>78901</v>
      </c>
      <c r="G703">
        <v>0</v>
      </c>
      <c r="H703" s="2">
        <v>1</v>
      </c>
      <c r="I703" s="2">
        <v>41534</v>
      </c>
      <c r="J703">
        <v>99</v>
      </c>
      <c r="K703">
        <f>VLOOKUP(B703,purchase_dataset!$B$2:$F$2241,2,FALSE)</f>
        <v>11</v>
      </c>
      <c r="L703">
        <f>VLOOKUP(B703,purchase_dataset!$B$2:$F$2241,3,FALSE)</f>
        <v>26</v>
      </c>
      <c r="M703">
        <f>VLOOKUP(B703,purchase_dataset!$B$2:$F$2241,3,FALSE)</f>
        <v>26</v>
      </c>
      <c r="N703">
        <f>VLOOKUP(B703,purchase_dataset!$B$2:$F$2241,5,FALSE)</f>
        <v>5</v>
      </c>
      <c r="O703" s="5">
        <v>53</v>
      </c>
      <c r="P703" s="4" t="str">
        <f t="shared" si="20"/>
        <v>&gt;50</v>
      </c>
      <c r="Q703" s="4">
        <f>M703+N703</f>
        <v>31</v>
      </c>
      <c r="U703" s="28" t="str" cm="1">
        <f t="array" ref="U703">_xlfn.IFS(F703&lt;30000,"30k",F703&lt;=50000,"30k-50k",F703&lt;=75000,"50k-75k",F703&lt;=100000,"75k-100k",F703&gt;100000,"100k")</f>
        <v>75k-100k</v>
      </c>
      <c r="W703" s="1">
        <f t="shared" si="21"/>
        <v>13</v>
      </c>
    </row>
    <row r="704" spans="1:23" x14ac:dyDescent="0.35">
      <c r="A704">
        <v>701</v>
      </c>
      <c r="B704">
        <v>10196</v>
      </c>
      <c r="C704">
        <v>1978</v>
      </c>
      <c r="D704" s="1" t="s">
        <v>10</v>
      </c>
      <c r="E704" s="1" t="s">
        <v>14</v>
      </c>
      <c r="F704">
        <v>71427</v>
      </c>
      <c r="G704">
        <v>2</v>
      </c>
      <c r="H704" s="2">
        <v>0</v>
      </c>
      <c r="I704" s="2">
        <v>41710</v>
      </c>
      <c r="J704">
        <v>26</v>
      </c>
      <c r="K704">
        <f>VLOOKUP(B704,purchase_dataset!$B$2:$F$2241,2,FALSE)</f>
        <v>123</v>
      </c>
      <c r="L704">
        <f>VLOOKUP(B704,purchase_dataset!$B$2:$F$2241,3,FALSE)</f>
        <v>64</v>
      </c>
      <c r="M704">
        <f>VLOOKUP(B704,purchase_dataset!$B$2:$F$2241,3,FALSE)</f>
        <v>64</v>
      </c>
      <c r="N704">
        <f>VLOOKUP(B704,purchase_dataset!$B$2:$F$2241,5,FALSE)</f>
        <v>8</v>
      </c>
      <c r="O704" s="5">
        <v>48</v>
      </c>
      <c r="P704" s="4" t="str">
        <f t="shared" si="20"/>
        <v>30-50</v>
      </c>
      <c r="Q704" s="4">
        <f>M704+N704</f>
        <v>72</v>
      </c>
      <c r="U704" s="28" t="str" cm="1">
        <f t="array" ref="U704">_xlfn.IFS(F704&lt;30000,"30k",F704&lt;=50000,"30k-50k",F704&lt;=75000,"50k-75k",F704&lt;=100000,"75k-100k",F704&gt;100000,"100k")</f>
        <v>50k-75k</v>
      </c>
      <c r="W704" s="1">
        <f t="shared" si="21"/>
        <v>12</v>
      </c>
    </row>
    <row r="705" spans="1:23" x14ac:dyDescent="0.35">
      <c r="A705">
        <v>702</v>
      </c>
      <c r="B705">
        <v>6384</v>
      </c>
      <c r="C705">
        <v>1978</v>
      </c>
      <c r="D705" s="1" t="s">
        <v>10</v>
      </c>
      <c r="E705" s="1" t="s">
        <v>16</v>
      </c>
      <c r="F705">
        <v>71022</v>
      </c>
      <c r="G705">
        <v>0</v>
      </c>
      <c r="H705" s="2">
        <v>1</v>
      </c>
      <c r="I705" s="2">
        <v>41681</v>
      </c>
      <c r="J705">
        <v>30</v>
      </c>
      <c r="K705">
        <f>VLOOKUP(B705,purchase_dataset!$B$2:$F$2241,2,FALSE)</f>
        <v>12</v>
      </c>
      <c r="L705">
        <f>VLOOKUP(B705,purchase_dataset!$B$2:$F$2241,3,FALSE)</f>
        <v>12</v>
      </c>
      <c r="M705">
        <f>VLOOKUP(B705,purchase_dataset!$B$2:$F$2241,3,FALSE)</f>
        <v>12</v>
      </c>
      <c r="N705">
        <f>VLOOKUP(B705,purchase_dataset!$B$2:$F$2241,5,FALSE)</f>
        <v>11</v>
      </c>
      <c r="O705" s="5">
        <v>48</v>
      </c>
      <c r="P705" s="4" t="str">
        <f t="shared" si="20"/>
        <v>30-50</v>
      </c>
      <c r="Q705" s="4">
        <f>M705+N705</f>
        <v>23</v>
      </c>
      <c r="U705" s="28" t="str" cm="1">
        <f t="array" ref="U705">_xlfn.IFS(F705&lt;30000,"30k",F705&lt;=50000,"30k-50k",F705&lt;=75000,"50k-75k",F705&lt;=100000,"75k-100k",F705&gt;100000,"100k")</f>
        <v>50k-75k</v>
      </c>
      <c r="W705" s="1">
        <f t="shared" si="21"/>
        <v>12</v>
      </c>
    </row>
    <row r="706" spans="1:23" x14ac:dyDescent="0.35">
      <c r="A706">
        <v>703</v>
      </c>
      <c r="B706">
        <v>8029</v>
      </c>
      <c r="C706">
        <v>1988</v>
      </c>
      <c r="D706" s="1" t="s">
        <v>15</v>
      </c>
      <c r="E706" s="1" t="s">
        <v>11</v>
      </c>
      <c r="F706">
        <v>90247</v>
      </c>
      <c r="G706">
        <v>0</v>
      </c>
      <c r="H706" s="2">
        <v>0</v>
      </c>
      <c r="I706" s="2">
        <v>41758</v>
      </c>
      <c r="J706">
        <v>27</v>
      </c>
      <c r="K706">
        <f>VLOOKUP(B706,purchase_dataset!$B$2:$F$2241,2,FALSE)</f>
        <v>32</v>
      </c>
      <c r="L706">
        <f>VLOOKUP(B706,purchase_dataset!$B$2:$F$2241,3,FALSE)</f>
        <v>16</v>
      </c>
      <c r="M706">
        <f>VLOOKUP(B706,purchase_dataset!$B$2:$F$2241,3,FALSE)</f>
        <v>16</v>
      </c>
      <c r="N706">
        <f>VLOOKUP(B706,purchase_dataset!$B$2:$F$2241,5,FALSE)</f>
        <v>7</v>
      </c>
      <c r="O706" s="5">
        <v>38</v>
      </c>
      <c r="P706" s="4" t="str">
        <f t="shared" si="20"/>
        <v>30-50</v>
      </c>
      <c r="Q706" s="4">
        <f>M706+N706</f>
        <v>23</v>
      </c>
      <c r="U706" s="28" t="str" cm="1">
        <f t="array" ref="U706">_xlfn.IFS(F706&lt;30000,"30k",F706&lt;=50000,"30k-50k",F706&lt;=75000,"50k-75k",F706&lt;=100000,"75k-100k",F706&gt;100000,"100k")</f>
        <v>75k-100k</v>
      </c>
      <c r="W706" s="1">
        <f t="shared" si="21"/>
        <v>12</v>
      </c>
    </row>
    <row r="707" spans="1:23" x14ac:dyDescent="0.35">
      <c r="A707">
        <v>704</v>
      </c>
      <c r="B707">
        <v>968</v>
      </c>
      <c r="C707">
        <v>1968</v>
      </c>
      <c r="D707" s="1" t="s">
        <v>15</v>
      </c>
      <c r="E707" s="1" t="s">
        <v>16</v>
      </c>
      <c r="F707">
        <v>41335</v>
      </c>
      <c r="G707">
        <v>1</v>
      </c>
      <c r="H707" s="2">
        <v>0</v>
      </c>
      <c r="I707" s="2">
        <v>41634</v>
      </c>
      <c r="J707">
        <v>24</v>
      </c>
      <c r="K707">
        <f>VLOOKUP(B707,purchase_dataset!$B$2:$F$2241,2,FALSE)</f>
        <v>19</v>
      </c>
      <c r="L707">
        <f>VLOOKUP(B707,purchase_dataset!$B$2:$F$2241,3,FALSE)</f>
        <v>14</v>
      </c>
      <c r="M707">
        <f>VLOOKUP(B707,purchase_dataset!$B$2:$F$2241,3,FALSE)</f>
        <v>14</v>
      </c>
      <c r="N707">
        <f>VLOOKUP(B707,purchase_dataset!$B$2:$F$2241,5,FALSE)</f>
        <v>4</v>
      </c>
      <c r="O707" s="5">
        <v>58</v>
      </c>
      <c r="P707" s="4" t="str">
        <f t="shared" si="20"/>
        <v>&gt;50</v>
      </c>
      <c r="Q707" s="4">
        <f>M707+N707</f>
        <v>18</v>
      </c>
      <c r="U707" s="28" t="str" cm="1">
        <f t="array" ref="U707">_xlfn.IFS(F707&lt;30000,"30k",F707&lt;=50000,"30k-50k",F707&lt;=75000,"50k-75k",F707&lt;=100000,"75k-100k",F707&gt;100000,"100k")</f>
        <v>30k-50k</v>
      </c>
      <c r="W707" s="1">
        <f t="shared" si="21"/>
        <v>13</v>
      </c>
    </row>
    <row r="708" spans="1:23" x14ac:dyDescent="0.35">
      <c r="A708">
        <v>705</v>
      </c>
      <c r="B708">
        <v>6988</v>
      </c>
      <c r="C708">
        <v>1986</v>
      </c>
      <c r="D708" s="1" t="s">
        <v>10</v>
      </c>
      <c r="E708" s="1" t="s">
        <v>14</v>
      </c>
      <c r="F708">
        <v>71952</v>
      </c>
      <c r="G708">
        <v>1</v>
      </c>
      <c r="H708" s="2">
        <v>0</v>
      </c>
      <c r="I708" s="2">
        <v>41284</v>
      </c>
      <c r="J708">
        <v>93</v>
      </c>
      <c r="K708">
        <f>VLOOKUP(B708,purchase_dataset!$B$2:$F$2241,2,FALSE)</f>
        <v>80</v>
      </c>
      <c r="L708">
        <f>VLOOKUP(B708,purchase_dataset!$B$2:$F$2241,3,FALSE)</f>
        <v>107</v>
      </c>
      <c r="M708">
        <f>VLOOKUP(B708,purchase_dataset!$B$2:$F$2241,3,FALSE)</f>
        <v>107</v>
      </c>
      <c r="N708">
        <f>VLOOKUP(B708,purchase_dataset!$B$2:$F$2241,5,FALSE)</f>
        <v>8</v>
      </c>
      <c r="O708" s="5">
        <v>40</v>
      </c>
      <c r="P708" s="4" t="str">
        <f t="shared" ref="P708:P771" si="22">IF(O708&lt;30,"30",IF(O708&lt;=50,"30-50","&gt;50"))</f>
        <v>30-50</v>
      </c>
      <c r="Q708" s="4">
        <f>M708+N708</f>
        <v>115</v>
      </c>
      <c r="U708" s="28" t="str" cm="1">
        <f t="array" ref="U708">_xlfn.IFS(F708&lt;30000,"30k",F708&lt;=50000,"30k-50k",F708&lt;=75000,"50k-75k",F708&lt;=100000,"75k-100k",F708&gt;100000,"100k")</f>
        <v>50k-75k</v>
      </c>
      <c r="W708" s="1">
        <f t="shared" ref="W708:W771" si="23">2026-YEAR(I708)</f>
        <v>13</v>
      </c>
    </row>
    <row r="709" spans="1:23" x14ac:dyDescent="0.35">
      <c r="A709">
        <v>706</v>
      </c>
      <c r="B709">
        <v>4472</v>
      </c>
      <c r="C709">
        <v>1970</v>
      </c>
      <c r="D709" s="1" t="s">
        <v>13</v>
      </c>
      <c r="E709" s="1" t="s">
        <v>16</v>
      </c>
      <c r="F709">
        <v>35682</v>
      </c>
      <c r="G709">
        <v>1</v>
      </c>
      <c r="H709" s="2">
        <v>0</v>
      </c>
      <c r="I709" s="2">
        <v>41817</v>
      </c>
      <c r="J709">
        <v>34</v>
      </c>
      <c r="K709">
        <f>VLOOKUP(B709,purchase_dataset!$B$2:$F$2241,2,FALSE)</f>
        <v>0</v>
      </c>
      <c r="L709">
        <f>VLOOKUP(B709,purchase_dataset!$B$2:$F$2241,3,FALSE)</f>
        <v>2</v>
      </c>
      <c r="M709">
        <f>VLOOKUP(B709,purchase_dataset!$B$2:$F$2241,3,FALSE)</f>
        <v>2</v>
      </c>
      <c r="N709">
        <f>VLOOKUP(B709,purchase_dataset!$B$2:$F$2241,5,FALSE)</f>
        <v>3</v>
      </c>
      <c r="O709" s="5">
        <v>56</v>
      </c>
      <c r="P709" s="4" t="str">
        <f t="shared" si="22"/>
        <v>&gt;50</v>
      </c>
      <c r="Q709" s="4">
        <f>M709+N709</f>
        <v>5</v>
      </c>
      <c r="U709" s="28" t="str" cm="1">
        <f t="array" ref="U709">_xlfn.IFS(F709&lt;30000,"30k",F709&lt;=50000,"30k-50k",F709&lt;=75000,"50k-75k",F709&lt;=100000,"75k-100k",F709&gt;100000,"100k")</f>
        <v>30k-50k</v>
      </c>
      <c r="W709" s="1">
        <f t="shared" si="23"/>
        <v>12</v>
      </c>
    </row>
    <row r="710" spans="1:23" x14ac:dyDescent="0.35">
      <c r="A710">
        <v>707</v>
      </c>
      <c r="B710">
        <v>6991</v>
      </c>
      <c r="C710">
        <v>1951</v>
      </c>
      <c r="D710" s="1" t="s">
        <v>10</v>
      </c>
      <c r="E710" s="1" t="s">
        <v>16</v>
      </c>
      <c r="F710">
        <v>43185</v>
      </c>
      <c r="G710">
        <v>0</v>
      </c>
      <c r="H710" s="2">
        <v>1</v>
      </c>
      <c r="I710" s="2">
        <v>41374</v>
      </c>
      <c r="J710">
        <v>88</v>
      </c>
      <c r="K710">
        <f>VLOOKUP(B710,purchase_dataset!$B$2:$F$2241,2,FALSE)</f>
        <v>6</v>
      </c>
      <c r="L710">
        <f>VLOOKUP(B710,purchase_dataset!$B$2:$F$2241,3,FALSE)</f>
        <v>6</v>
      </c>
      <c r="M710">
        <f>VLOOKUP(B710,purchase_dataset!$B$2:$F$2241,3,FALSE)</f>
        <v>6</v>
      </c>
      <c r="N710">
        <f>VLOOKUP(B710,purchase_dataset!$B$2:$F$2241,5,FALSE)</f>
        <v>6</v>
      </c>
      <c r="O710" s="5">
        <v>75</v>
      </c>
      <c r="P710" s="4" t="str">
        <f t="shared" si="22"/>
        <v>&gt;50</v>
      </c>
      <c r="Q710" s="4">
        <f>M710+N710</f>
        <v>12</v>
      </c>
      <c r="U710" s="28" t="str" cm="1">
        <f t="array" ref="U710">_xlfn.IFS(F710&lt;30000,"30k",F710&lt;=50000,"30k-50k",F710&lt;=75000,"50k-75k",F710&lt;=100000,"75k-100k",F710&gt;100000,"100k")</f>
        <v>30k-50k</v>
      </c>
      <c r="W710" s="1">
        <f t="shared" si="23"/>
        <v>13</v>
      </c>
    </row>
    <row r="711" spans="1:23" x14ac:dyDescent="0.35">
      <c r="A711">
        <v>708</v>
      </c>
      <c r="B711">
        <v>3336</v>
      </c>
      <c r="C711">
        <v>1948</v>
      </c>
      <c r="D711" s="1" t="s">
        <v>13</v>
      </c>
      <c r="E711" s="1" t="s">
        <v>12</v>
      </c>
      <c r="F711">
        <v>66375</v>
      </c>
      <c r="G711">
        <v>0</v>
      </c>
      <c r="H711" s="2">
        <v>1</v>
      </c>
      <c r="I711" s="2">
        <v>41599</v>
      </c>
      <c r="J711">
        <v>96</v>
      </c>
      <c r="K711">
        <f>VLOOKUP(B711,purchase_dataset!$B$2:$F$2241,2,FALSE)</f>
        <v>0</v>
      </c>
      <c r="L711">
        <f>VLOOKUP(B711,purchase_dataset!$B$2:$F$2241,3,FALSE)</f>
        <v>0</v>
      </c>
      <c r="M711">
        <f>VLOOKUP(B711,purchase_dataset!$B$2:$F$2241,3,FALSE)</f>
        <v>0</v>
      </c>
      <c r="N711">
        <f>VLOOKUP(B711,purchase_dataset!$B$2:$F$2241,5,FALSE)</f>
        <v>5</v>
      </c>
      <c r="O711" s="5">
        <v>78</v>
      </c>
      <c r="P711" s="4" t="str">
        <f t="shared" si="22"/>
        <v>&gt;50</v>
      </c>
      <c r="Q711" s="4">
        <f>M711+N711</f>
        <v>5</v>
      </c>
      <c r="U711" s="28" t="str" cm="1">
        <f t="array" ref="U711">_xlfn.IFS(F711&lt;30000,"30k",F711&lt;=50000,"30k-50k",F711&lt;=75000,"50k-75k",F711&lt;=100000,"75k-100k",F711&gt;100000,"100k")</f>
        <v>50k-75k</v>
      </c>
      <c r="W711" s="1">
        <f t="shared" si="23"/>
        <v>13</v>
      </c>
    </row>
    <row r="712" spans="1:23" x14ac:dyDescent="0.35">
      <c r="A712">
        <v>709</v>
      </c>
      <c r="B712">
        <v>4301</v>
      </c>
      <c r="C712">
        <v>1971</v>
      </c>
      <c r="D712" s="1" t="s">
        <v>15</v>
      </c>
      <c r="E712" s="1" t="s">
        <v>14</v>
      </c>
      <c r="F712">
        <v>35178</v>
      </c>
      <c r="G712">
        <v>1</v>
      </c>
      <c r="H712" s="2">
        <v>0</v>
      </c>
      <c r="I712" s="2">
        <v>41284</v>
      </c>
      <c r="J712">
        <v>10</v>
      </c>
      <c r="K712">
        <f>VLOOKUP(B712,purchase_dataset!$B$2:$F$2241,2,FALSE)</f>
        <v>1</v>
      </c>
      <c r="L712">
        <f>VLOOKUP(B712,purchase_dataset!$B$2:$F$2241,3,FALSE)</f>
        <v>2</v>
      </c>
      <c r="M712">
        <f>VLOOKUP(B712,purchase_dataset!$B$2:$F$2241,3,FALSE)</f>
        <v>2</v>
      </c>
      <c r="N712">
        <f>VLOOKUP(B712,purchase_dataset!$B$2:$F$2241,5,FALSE)</f>
        <v>2</v>
      </c>
      <c r="O712" s="5">
        <v>55</v>
      </c>
      <c r="P712" s="4" t="str">
        <f t="shared" si="22"/>
        <v>&gt;50</v>
      </c>
      <c r="Q712" s="4">
        <f>M712+N712</f>
        <v>4</v>
      </c>
      <c r="U712" s="28" t="str" cm="1">
        <f t="array" ref="U712">_xlfn.IFS(F712&lt;30000,"30k",F712&lt;=50000,"30k-50k",F712&lt;=75000,"50k-75k",F712&lt;=100000,"75k-100k",F712&gt;100000,"100k")</f>
        <v>30k-50k</v>
      </c>
      <c r="W712" s="1">
        <f t="shared" si="23"/>
        <v>13</v>
      </c>
    </row>
    <row r="713" spans="1:23" x14ac:dyDescent="0.35">
      <c r="A713">
        <v>710</v>
      </c>
      <c r="B713">
        <v>1940</v>
      </c>
      <c r="C713">
        <v>1986</v>
      </c>
      <c r="D713" s="1" t="s">
        <v>10</v>
      </c>
      <c r="E713" s="1" t="s">
        <v>14</v>
      </c>
      <c r="F713">
        <v>25252</v>
      </c>
      <c r="G713">
        <v>1</v>
      </c>
      <c r="H713" s="2">
        <v>0</v>
      </c>
      <c r="I713" s="2">
        <v>41467</v>
      </c>
      <c r="J713">
        <v>26</v>
      </c>
      <c r="K713">
        <f>VLOOKUP(B713,purchase_dataset!$B$2:$F$2241,2,FALSE)</f>
        <v>3</v>
      </c>
      <c r="L713">
        <f>VLOOKUP(B713,purchase_dataset!$B$2:$F$2241,3,FALSE)</f>
        <v>2</v>
      </c>
      <c r="M713">
        <f>VLOOKUP(B713,purchase_dataset!$B$2:$F$2241,3,FALSE)</f>
        <v>2</v>
      </c>
      <c r="N713">
        <f>VLOOKUP(B713,purchase_dataset!$B$2:$F$2241,5,FALSE)</f>
        <v>2</v>
      </c>
      <c r="O713" s="5">
        <v>40</v>
      </c>
      <c r="P713" s="4" t="str">
        <f t="shared" si="22"/>
        <v>30-50</v>
      </c>
      <c r="Q713" s="4">
        <f>M713+N713</f>
        <v>4</v>
      </c>
      <c r="U713" s="28" t="str" cm="1">
        <f t="array" ref="U713">_xlfn.IFS(F713&lt;30000,"30k",F713&lt;=50000,"30k-50k",F713&lt;=75000,"50k-75k",F713&lt;=100000,"75k-100k",F713&gt;100000,"100k")</f>
        <v>30k</v>
      </c>
      <c r="W713" s="1">
        <f t="shared" si="23"/>
        <v>13</v>
      </c>
    </row>
    <row r="714" spans="1:23" x14ac:dyDescent="0.35">
      <c r="A714">
        <v>711</v>
      </c>
      <c r="B714">
        <v>1272</v>
      </c>
      <c r="C714">
        <v>1965</v>
      </c>
      <c r="D714" s="1" t="s">
        <v>15</v>
      </c>
      <c r="E714" s="1" t="s">
        <v>11</v>
      </c>
      <c r="F714">
        <v>55250</v>
      </c>
      <c r="G714">
        <v>0</v>
      </c>
      <c r="H714" s="2">
        <v>1</v>
      </c>
      <c r="I714" s="2">
        <v>41203</v>
      </c>
      <c r="J714">
        <v>49</v>
      </c>
      <c r="K714">
        <f>VLOOKUP(B714,purchase_dataset!$B$2:$F$2241,2,FALSE)</f>
        <v>58</v>
      </c>
      <c r="L714">
        <f>VLOOKUP(B714,purchase_dataset!$B$2:$F$2241,3,FALSE)</f>
        <v>0</v>
      </c>
      <c r="M714">
        <f>VLOOKUP(B714,purchase_dataset!$B$2:$F$2241,3,FALSE)</f>
        <v>0</v>
      </c>
      <c r="N714">
        <f>VLOOKUP(B714,purchase_dataset!$B$2:$F$2241,5,FALSE)</f>
        <v>10</v>
      </c>
      <c r="O714" s="5">
        <v>61</v>
      </c>
      <c r="P714" s="4" t="str">
        <f t="shared" si="22"/>
        <v>&gt;50</v>
      </c>
      <c r="Q714" s="4">
        <f>M714+N714</f>
        <v>10</v>
      </c>
      <c r="U714" s="28" t="str" cm="1">
        <f t="array" ref="U714">_xlfn.IFS(F714&lt;30000,"30k",F714&lt;=50000,"30k-50k",F714&lt;=75000,"50k-75k",F714&lt;=100000,"75k-100k",F714&gt;100000,"100k")</f>
        <v>50k-75k</v>
      </c>
      <c r="W714" s="1">
        <f t="shared" si="23"/>
        <v>14</v>
      </c>
    </row>
    <row r="715" spans="1:23" x14ac:dyDescent="0.35">
      <c r="A715">
        <v>712</v>
      </c>
      <c r="B715">
        <v>1388</v>
      </c>
      <c r="C715">
        <v>1975</v>
      </c>
      <c r="D715" s="1" t="s">
        <v>10</v>
      </c>
      <c r="E715" s="1" t="s">
        <v>11</v>
      </c>
      <c r="F715">
        <v>33249</v>
      </c>
      <c r="G715">
        <v>1</v>
      </c>
      <c r="H715" s="2">
        <v>0</v>
      </c>
      <c r="I715" s="2">
        <v>41325</v>
      </c>
      <c r="J715">
        <v>11</v>
      </c>
      <c r="K715">
        <f>VLOOKUP(B715,purchase_dataset!$B$2:$F$2241,2,FALSE)</f>
        <v>10</v>
      </c>
      <c r="L715">
        <f>VLOOKUP(B715,purchase_dataset!$B$2:$F$2241,3,FALSE)</f>
        <v>14</v>
      </c>
      <c r="M715">
        <f>VLOOKUP(B715,purchase_dataset!$B$2:$F$2241,3,FALSE)</f>
        <v>14</v>
      </c>
      <c r="N715">
        <f>VLOOKUP(B715,purchase_dataset!$B$2:$F$2241,5,FALSE)</f>
        <v>3</v>
      </c>
      <c r="O715" s="5">
        <v>51</v>
      </c>
      <c r="P715" s="4" t="str">
        <f t="shared" si="22"/>
        <v>&gt;50</v>
      </c>
      <c r="Q715" s="4">
        <f>M715+N715</f>
        <v>17</v>
      </c>
      <c r="U715" s="28" t="str" cm="1">
        <f t="array" ref="U715">_xlfn.IFS(F715&lt;30000,"30k",F715&lt;=50000,"30k-50k",F715&lt;=75000,"50k-75k",F715&lt;=100000,"75k-100k",F715&gt;100000,"100k")</f>
        <v>30k-50k</v>
      </c>
      <c r="W715" s="1">
        <f t="shared" si="23"/>
        <v>13</v>
      </c>
    </row>
    <row r="716" spans="1:23" x14ac:dyDescent="0.35">
      <c r="A716">
        <v>713</v>
      </c>
      <c r="B716">
        <v>1044</v>
      </c>
      <c r="C716">
        <v>1953</v>
      </c>
      <c r="D716" s="1" t="s">
        <v>10</v>
      </c>
      <c r="E716" s="1" t="s">
        <v>12</v>
      </c>
      <c r="F716">
        <v>58398</v>
      </c>
      <c r="G716">
        <v>0</v>
      </c>
      <c r="H716" s="2">
        <v>0</v>
      </c>
      <c r="I716" s="2">
        <v>41408</v>
      </c>
      <c r="J716">
        <v>44</v>
      </c>
      <c r="K716">
        <f>VLOOKUP(B716,purchase_dataset!$B$2:$F$2241,2,FALSE)</f>
        <v>5</v>
      </c>
      <c r="L716">
        <f>VLOOKUP(B716,purchase_dataset!$B$2:$F$2241,3,FALSE)</f>
        <v>21</v>
      </c>
      <c r="M716">
        <f>VLOOKUP(B716,purchase_dataset!$B$2:$F$2241,3,FALSE)</f>
        <v>21</v>
      </c>
      <c r="N716">
        <f>VLOOKUP(B716,purchase_dataset!$B$2:$F$2241,5,FALSE)</f>
        <v>8</v>
      </c>
      <c r="O716" s="5">
        <v>73</v>
      </c>
      <c r="P716" s="4" t="str">
        <f t="shared" si="22"/>
        <v>&gt;50</v>
      </c>
      <c r="Q716" s="4">
        <f>M716+N716</f>
        <v>29</v>
      </c>
      <c r="U716" s="28" t="str" cm="1">
        <f t="array" ref="U716">_xlfn.IFS(F716&lt;30000,"30k",F716&lt;=50000,"30k-50k",F716&lt;=75000,"50k-75k",F716&lt;=100000,"75k-100k",F716&gt;100000,"100k")</f>
        <v>50k-75k</v>
      </c>
      <c r="W716" s="1">
        <f t="shared" si="23"/>
        <v>13</v>
      </c>
    </row>
    <row r="717" spans="1:23" x14ac:dyDescent="0.35">
      <c r="A717">
        <v>714</v>
      </c>
      <c r="B717">
        <v>6969</v>
      </c>
      <c r="C717">
        <v>1982</v>
      </c>
      <c r="D717" s="1" t="s">
        <v>10</v>
      </c>
      <c r="E717" s="1" t="s">
        <v>12</v>
      </c>
      <c r="F717">
        <v>50272</v>
      </c>
      <c r="G717">
        <v>1</v>
      </c>
      <c r="H717" s="2">
        <v>0</v>
      </c>
      <c r="I717" s="2">
        <v>41493</v>
      </c>
      <c r="J717">
        <v>75</v>
      </c>
      <c r="K717">
        <f>VLOOKUP(B717,purchase_dataset!$B$2:$F$2241,2,FALSE)</f>
        <v>13</v>
      </c>
      <c r="L717">
        <f>VLOOKUP(B717,purchase_dataset!$B$2:$F$2241,3,FALSE)</f>
        <v>8</v>
      </c>
      <c r="M717">
        <f>VLOOKUP(B717,purchase_dataset!$B$2:$F$2241,3,FALSE)</f>
        <v>8</v>
      </c>
      <c r="N717">
        <f>VLOOKUP(B717,purchase_dataset!$B$2:$F$2241,5,FALSE)</f>
        <v>5</v>
      </c>
      <c r="O717" s="5">
        <v>44</v>
      </c>
      <c r="P717" s="4" t="str">
        <f t="shared" si="22"/>
        <v>30-50</v>
      </c>
      <c r="Q717" s="4">
        <f>M717+N717</f>
        <v>13</v>
      </c>
      <c r="U717" s="28" t="str" cm="1">
        <f t="array" ref="U717">_xlfn.IFS(F717&lt;30000,"30k",F717&lt;=50000,"30k-50k",F717&lt;=75000,"50k-75k",F717&lt;=100000,"75k-100k",F717&gt;100000,"100k")</f>
        <v>50k-75k</v>
      </c>
      <c r="W717" s="1">
        <f t="shared" si="23"/>
        <v>13</v>
      </c>
    </row>
    <row r="718" spans="1:23" x14ac:dyDescent="0.35">
      <c r="A718">
        <v>715</v>
      </c>
      <c r="B718">
        <v>10479</v>
      </c>
      <c r="C718">
        <v>1975</v>
      </c>
      <c r="D718" s="1" t="s">
        <v>13</v>
      </c>
      <c r="E718" s="1" t="s">
        <v>14</v>
      </c>
      <c r="F718">
        <v>76618</v>
      </c>
      <c r="G718">
        <v>0</v>
      </c>
      <c r="H718" s="2">
        <v>0</v>
      </c>
      <c r="I718" s="2">
        <v>41250</v>
      </c>
      <c r="J718">
        <v>64</v>
      </c>
      <c r="K718">
        <f>VLOOKUP(B718,purchase_dataset!$B$2:$F$2241,2,FALSE)</f>
        <v>40</v>
      </c>
      <c r="L718">
        <f>VLOOKUP(B718,purchase_dataset!$B$2:$F$2241,3,FALSE)</f>
        <v>160</v>
      </c>
      <c r="M718">
        <f>VLOOKUP(B718,purchase_dataset!$B$2:$F$2241,3,FALSE)</f>
        <v>160</v>
      </c>
      <c r="N718">
        <f>VLOOKUP(B718,purchase_dataset!$B$2:$F$2241,5,FALSE)</f>
        <v>5</v>
      </c>
      <c r="O718" s="5">
        <v>51</v>
      </c>
      <c r="P718" s="4" t="str">
        <f t="shared" si="22"/>
        <v>&gt;50</v>
      </c>
      <c r="Q718" s="4">
        <f>M718+N718</f>
        <v>165</v>
      </c>
      <c r="U718" s="28" t="str" cm="1">
        <f t="array" ref="U718">_xlfn.IFS(F718&lt;30000,"30k",F718&lt;=50000,"30k-50k",F718&lt;=75000,"50k-75k",F718&lt;=100000,"75k-100k",F718&gt;100000,"100k")</f>
        <v>75k-100k</v>
      </c>
      <c r="W718" s="1">
        <f t="shared" si="23"/>
        <v>14</v>
      </c>
    </row>
    <row r="719" spans="1:23" x14ac:dyDescent="0.35">
      <c r="A719">
        <v>716</v>
      </c>
      <c r="B719">
        <v>3619</v>
      </c>
      <c r="C719">
        <v>1960</v>
      </c>
      <c r="D719" s="1" t="s">
        <v>18</v>
      </c>
      <c r="E719" s="1" t="s">
        <v>16</v>
      </c>
      <c r="F719">
        <v>87305</v>
      </c>
      <c r="G719">
        <v>0</v>
      </c>
      <c r="H719" s="2">
        <v>0</v>
      </c>
      <c r="I719" s="2">
        <v>41175</v>
      </c>
      <c r="J719">
        <v>19</v>
      </c>
      <c r="K719">
        <f>VLOOKUP(B719,purchase_dataset!$B$2:$F$2241,2,FALSE)</f>
        <v>25</v>
      </c>
      <c r="L719">
        <f>VLOOKUP(B719,purchase_dataset!$B$2:$F$2241,3,FALSE)</f>
        <v>138</v>
      </c>
      <c r="M719">
        <f>VLOOKUP(B719,purchase_dataset!$B$2:$F$2241,3,FALSE)</f>
        <v>138</v>
      </c>
      <c r="N719">
        <f>VLOOKUP(B719,purchase_dataset!$B$2:$F$2241,5,FALSE)</f>
        <v>8</v>
      </c>
      <c r="O719" s="5">
        <v>66</v>
      </c>
      <c r="P719" s="4" t="str">
        <f t="shared" si="22"/>
        <v>&gt;50</v>
      </c>
      <c r="Q719" s="4">
        <f>M719+N719</f>
        <v>146</v>
      </c>
      <c r="U719" s="28" t="str" cm="1">
        <f t="array" ref="U719">_xlfn.IFS(F719&lt;30000,"30k",F719&lt;=50000,"30k-50k",F719&lt;=75000,"50k-75k",F719&lt;=100000,"75k-100k",F719&gt;100000,"100k")</f>
        <v>75k-100k</v>
      </c>
      <c r="W719" s="1">
        <f t="shared" si="23"/>
        <v>14</v>
      </c>
    </row>
    <row r="720" spans="1:23" x14ac:dyDescent="0.35">
      <c r="A720">
        <v>717</v>
      </c>
      <c r="B720">
        <v>1715</v>
      </c>
      <c r="C720">
        <v>1978</v>
      </c>
      <c r="D720" s="1" t="s">
        <v>10</v>
      </c>
      <c r="E720" s="1" t="s">
        <v>12</v>
      </c>
      <c r="F720">
        <v>25851</v>
      </c>
      <c r="G720">
        <v>1</v>
      </c>
      <c r="H720" s="2">
        <v>0</v>
      </c>
      <c r="I720" s="2">
        <v>41316</v>
      </c>
      <c r="J720">
        <v>45</v>
      </c>
      <c r="K720">
        <f>VLOOKUP(B720,purchase_dataset!$B$2:$F$2241,2,FALSE)</f>
        <v>4</v>
      </c>
      <c r="L720">
        <f>VLOOKUP(B720,purchase_dataset!$B$2:$F$2241,3,FALSE)</f>
        <v>5</v>
      </c>
      <c r="M720">
        <f>VLOOKUP(B720,purchase_dataset!$B$2:$F$2241,3,FALSE)</f>
        <v>5</v>
      </c>
      <c r="N720">
        <f>VLOOKUP(B720,purchase_dataset!$B$2:$F$2241,5,FALSE)</f>
        <v>3</v>
      </c>
      <c r="O720" s="5">
        <v>48</v>
      </c>
      <c r="P720" s="4" t="str">
        <f t="shared" si="22"/>
        <v>30-50</v>
      </c>
      <c r="Q720" s="4">
        <f>M720+N720</f>
        <v>8</v>
      </c>
      <c r="U720" s="28" t="str" cm="1">
        <f t="array" ref="U720">_xlfn.IFS(F720&lt;30000,"30k",F720&lt;=50000,"30k-50k",F720&lt;=75000,"50k-75k",F720&lt;=100000,"75k-100k",F720&gt;100000,"100k")</f>
        <v>30k</v>
      </c>
      <c r="W720" s="1">
        <f t="shared" si="23"/>
        <v>13</v>
      </c>
    </row>
    <row r="721" spans="1:23" x14ac:dyDescent="0.35">
      <c r="A721">
        <v>718</v>
      </c>
      <c r="B721">
        <v>10159</v>
      </c>
      <c r="C721">
        <v>1970</v>
      </c>
      <c r="D721" s="1" t="s">
        <v>10</v>
      </c>
      <c r="E721" s="1" t="s">
        <v>16</v>
      </c>
      <c r="F721">
        <v>58710</v>
      </c>
      <c r="G721">
        <v>0</v>
      </c>
      <c r="H721" s="2">
        <v>1</v>
      </c>
      <c r="I721" s="2">
        <v>41364</v>
      </c>
      <c r="J721">
        <v>77</v>
      </c>
      <c r="K721">
        <f>VLOOKUP(B721,purchase_dataset!$B$2:$F$2241,2,FALSE)</f>
        <v>81</v>
      </c>
      <c r="L721">
        <f>VLOOKUP(B721,purchase_dataset!$B$2:$F$2241,3,FALSE)</f>
        <v>122</v>
      </c>
      <c r="M721">
        <f>VLOOKUP(B721,purchase_dataset!$B$2:$F$2241,3,FALSE)</f>
        <v>122</v>
      </c>
      <c r="N721">
        <f>VLOOKUP(B721,purchase_dataset!$B$2:$F$2241,5,FALSE)</f>
        <v>9</v>
      </c>
      <c r="O721" s="5">
        <v>56</v>
      </c>
      <c r="P721" s="4" t="str">
        <f t="shared" si="22"/>
        <v>&gt;50</v>
      </c>
      <c r="Q721" s="4">
        <f>M721+N721</f>
        <v>131</v>
      </c>
      <c r="U721" s="28" t="str" cm="1">
        <f t="array" ref="U721">_xlfn.IFS(F721&lt;30000,"30k",F721&lt;=50000,"30k-50k",F721&lt;=75000,"50k-75k",F721&lt;=100000,"75k-100k",F721&gt;100000,"100k")</f>
        <v>50k-75k</v>
      </c>
      <c r="W721" s="1">
        <f t="shared" si="23"/>
        <v>13</v>
      </c>
    </row>
    <row r="722" spans="1:23" x14ac:dyDescent="0.35">
      <c r="A722">
        <v>719</v>
      </c>
      <c r="B722">
        <v>1463</v>
      </c>
      <c r="C722">
        <v>1958</v>
      </c>
      <c r="D722" s="1" t="s">
        <v>10</v>
      </c>
      <c r="E722" s="1" t="s">
        <v>11</v>
      </c>
      <c r="F722">
        <v>45160</v>
      </c>
      <c r="G722">
        <v>1</v>
      </c>
      <c r="H722" s="2">
        <v>1</v>
      </c>
      <c r="I722" s="2">
        <v>41727</v>
      </c>
      <c r="J722">
        <v>9</v>
      </c>
      <c r="K722">
        <f>VLOOKUP(B722,purchase_dataset!$B$2:$F$2241,2,FALSE)</f>
        <v>2</v>
      </c>
      <c r="L722">
        <f>VLOOKUP(B722,purchase_dataset!$B$2:$F$2241,3,FALSE)</f>
        <v>0</v>
      </c>
      <c r="M722">
        <f>VLOOKUP(B722,purchase_dataset!$B$2:$F$2241,3,FALSE)</f>
        <v>0</v>
      </c>
      <c r="N722">
        <f>VLOOKUP(B722,purchase_dataset!$B$2:$F$2241,5,FALSE)</f>
        <v>2</v>
      </c>
      <c r="O722" s="5">
        <v>68</v>
      </c>
      <c r="P722" s="4" t="str">
        <f t="shared" si="22"/>
        <v>&gt;50</v>
      </c>
      <c r="Q722" s="4">
        <f>M722+N722</f>
        <v>2</v>
      </c>
      <c r="U722" s="28" t="str" cm="1">
        <f t="array" ref="U722">_xlfn.IFS(F722&lt;30000,"30k",F722&lt;=50000,"30k-50k",F722&lt;=75000,"50k-75k",F722&lt;=100000,"75k-100k",F722&gt;100000,"100k")</f>
        <v>30k-50k</v>
      </c>
      <c r="W722" s="1">
        <f t="shared" si="23"/>
        <v>12</v>
      </c>
    </row>
    <row r="723" spans="1:23" x14ac:dyDescent="0.35">
      <c r="A723">
        <v>720</v>
      </c>
      <c r="B723">
        <v>5114</v>
      </c>
      <c r="C723">
        <v>1965</v>
      </c>
      <c r="D723" s="1" t="s">
        <v>15</v>
      </c>
      <c r="E723" s="1" t="s">
        <v>14</v>
      </c>
      <c r="F723">
        <v>74806</v>
      </c>
      <c r="G723">
        <v>0</v>
      </c>
      <c r="H723" s="2">
        <v>1</v>
      </c>
      <c r="I723" s="2">
        <v>41262</v>
      </c>
      <c r="J723">
        <v>1</v>
      </c>
      <c r="K723">
        <f>VLOOKUP(B723,purchase_dataset!$B$2:$F$2241,2,FALSE)</f>
        <v>9</v>
      </c>
      <c r="L723">
        <f>VLOOKUP(B723,purchase_dataset!$B$2:$F$2241,3,FALSE)</f>
        <v>28</v>
      </c>
      <c r="M723">
        <f>VLOOKUP(B723,purchase_dataset!$B$2:$F$2241,3,FALSE)</f>
        <v>28</v>
      </c>
      <c r="N723">
        <f>VLOOKUP(B723,purchase_dataset!$B$2:$F$2241,5,FALSE)</f>
        <v>5</v>
      </c>
      <c r="O723" s="5">
        <v>61</v>
      </c>
      <c r="P723" s="4" t="str">
        <f t="shared" si="22"/>
        <v>&gt;50</v>
      </c>
      <c r="Q723" s="4">
        <f>M723+N723</f>
        <v>33</v>
      </c>
      <c r="U723" s="28" t="str" cm="1">
        <f t="array" ref="U723">_xlfn.IFS(F723&lt;30000,"30k",F723&lt;=50000,"30k-50k",F723&lt;=75000,"50k-75k",F723&lt;=100000,"75k-100k",F723&gt;100000,"100k")</f>
        <v>50k-75k</v>
      </c>
      <c r="W723" s="1">
        <f t="shared" si="23"/>
        <v>14</v>
      </c>
    </row>
    <row r="724" spans="1:23" x14ac:dyDescent="0.35">
      <c r="A724">
        <v>721</v>
      </c>
      <c r="B724">
        <v>4990</v>
      </c>
      <c r="C724">
        <v>1954</v>
      </c>
      <c r="D724" s="1" t="s">
        <v>10</v>
      </c>
      <c r="E724" s="1" t="s">
        <v>14</v>
      </c>
      <c r="F724">
        <v>59111</v>
      </c>
      <c r="G724">
        <v>0</v>
      </c>
      <c r="H724" s="2">
        <v>0</v>
      </c>
      <c r="I724" s="2">
        <v>41396</v>
      </c>
      <c r="J724">
        <v>90</v>
      </c>
      <c r="K724">
        <f>VLOOKUP(B724,purchase_dataset!$B$2:$F$2241,2,FALSE)</f>
        <v>0</v>
      </c>
      <c r="L724">
        <f>VLOOKUP(B724,purchase_dataset!$B$2:$F$2241,3,FALSE)</f>
        <v>28</v>
      </c>
      <c r="M724">
        <f>VLOOKUP(B724,purchase_dataset!$B$2:$F$2241,3,FALSE)</f>
        <v>28</v>
      </c>
      <c r="N724">
        <f>VLOOKUP(B724,purchase_dataset!$B$2:$F$2241,5,FALSE)</f>
        <v>8</v>
      </c>
      <c r="O724" s="5">
        <v>72</v>
      </c>
      <c r="P724" s="4" t="str">
        <f t="shared" si="22"/>
        <v>&gt;50</v>
      </c>
      <c r="Q724" s="4">
        <f>M724+N724</f>
        <v>36</v>
      </c>
      <c r="U724" s="28" t="str" cm="1">
        <f t="array" ref="U724">_xlfn.IFS(F724&lt;30000,"30k",F724&lt;=50000,"30k-50k",F724&lt;=75000,"50k-75k",F724&lt;=100000,"75k-100k",F724&gt;100000,"100k")</f>
        <v>50k-75k</v>
      </c>
      <c r="W724" s="1">
        <f t="shared" si="23"/>
        <v>13</v>
      </c>
    </row>
    <row r="725" spans="1:23" x14ac:dyDescent="0.35">
      <c r="A725">
        <v>722</v>
      </c>
      <c r="B725">
        <v>4329</v>
      </c>
      <c r="C725">
        <v>1984</v>
      </c>
      <c r="D725" s="1" t="s">
        <v>13</v>
      </c>
      <c r="E725" s="1" t="s">
        <v>14</v>
      </c>
      <c r="F725">
        <v>18988</v>
      </c>
      <c r="G725">
        <v>1</v>
      </c>
      <c r="H725" s="2">
        <v>0</v>
      </c>
      <c r="I725" s="2">
        <v>41782</v>
      </c>
      <c r="J725">
        <v>43</v>
      </c>
      <c r="K725">
        <f>VLOOKUP(B725,purchase_dataset!$B$2:$F$2241,2,FALSE)</f>
        <v>0</v>
      </c>
      <c r="L725">
        <f>VLOOKUP(B725,purchase_dataset!$B$2:$F$2241,3,FALSE)</f>
        <v>1</v>
      </c>
      <c r="M725">
        <f>VLOOKUP(B725,purchase_dataset!$B$2:$F$2241,3,FALSE)</f>
        <v>1</v>
      </c>
      <c r="N725">
        <f>VLOOKUP(B725,purchase_dataset!$B$2:$F$2241,5,FALSE)</f>
        <v>3</v>
      </c>
      <c r="O725" s="5">
        <v>42</v>
      </c>
      <c r="P725" s="4" t="str">
        <f t="shared" si="22"/>
        <v>30-50</v>
      </c>
      <c r="Q725" s="4">
        <f>M725+N725</f>
        <v>4</v>
      </c>
      <c r="U725" s="28" t="str" cm="1">
        <f t="array" ref="U725">_xlfn.IFS(F725&lt;30000,"30k",F725&lt;=50000,"30k-50k",F725&lt;=75000,"50k-75k",F725&lt;=100000,"75k-100k",F725&gt;100000,"100k")</f>
        <v>30k</v>
      </c>
      <c r="W725" s="1">
        <f t="shared" si="23"/>
        <v>12</v>
      </c>
    </row>
    <row r="726" spans="1:23" x14ac:dyDescent="0.35">
      <c r="A726">
        <v>723</v>
      </c>
      <c r="B726">
        <v>10936</v>
      </c>
      <c r="C726">
        <v>1965</v>
      </c>
      <c r="D726" s="1" t="s">
        <v>10</v>
      </c>
      <c r="E726" s="1" t="s">
        <v>14</v>
      </c>
      <c r="F726">
        <v>72190</v>
      </c>
      <c r="G726">
        <v>0</v>
      </c>
      <c r="H726" s="2">
        <v>0</v>
      </c>
      <c r="I726" s="2">
        <v>41318</v>
      </c>
      <c r="J726">
        <v>79</v>
      </c>
      <c r="K726">
        <f>VLOOKUP(B726,purchase_dataset!$B$2:$F$2241,2,FALSE)</f>
        <v>166</v>
      </c>
      <c r="L726">
        <f>VLOOKUP(B726,purchase_dataset!$B$2:$F$2241,3,FALSE)</f>
        <v>166</v>
      </c>
      <c r="M726">
        <f>VLOOKUP(B726,purchase_dataset!$B$2:$F$2241,3,FALSE)</f>
        <v>166</v>
      </c>
      <c r="N726">
        <f>VLOOKUP(B726,purchase_dataset!$B$2:$F$2241,5,FALSE)</f>
        <v>4</v>
      </c>
      <c r="O726" s="5">
        <v>61</v>
      </c>
      <c r="P726" s="4" t="str">
        <f t="shared" si="22"/>
        <v>&gt;50</v>
      </c>
      <c r="Q726" s="4">
        <f>M726+N726</f>
        <v>170</v>
      </c>
      <c r="U726" s="28" t="str" cm="1">
        <f t="array" ref="U726">_xlfn.IFS(F726&lt;30000,"30k",F726&lt;=50000,"30k-50k",F726&lt;=75000,"50k-75k",F726&lt;=100000,"75k-100k",F726&gt;100000,"100k")</f>
        <v>50k-75k</v>
      </c>
      <c r="W726" s="1">
        <f t="shared" si="23"/>
        <v>13</v>
      </c>
    </row>
    <row r="727" spans="1:23" x14ac:dyDescent="0.35">
      <c r="A727">
        <v>724</v>
      </c>
      <c r="B727">
        <v>4692</v>
      </c>
      <c r="C727">
        <v>1976</v>
      </c>
      <c r="D727" s="1" t="s">
        <v>10</v>
      </c>
      <c r="E727" s="1" t="s">
        <v>14</v>
      </c>
      <c r="F727">
        <v>7500</v>
      </c>
      <c r="G727">
        <v>1</v>
      </c>
      <c r="H727" s="2">
        <v>0</v>
      </c>
      <c r="I727" s="2">
        <v>41122</v>
      </c>
      <c r="J727">
        <v>19</v>
      </c>
      <c r="K727">
        <f>VLOOKUP(B727,purchase_dataset!$B$2:$F$2241,2,FALSE)</f>
        <v>0</v>
      </c>
      <c r="L727">
        <f>VLOOKUP(B727,purchase_dataset!$B$2:$F$2241,3,FALSE)</f>
        <v>7</v>
      </c>
      <c r="M727">
        <f>VLOOKUP(B727,purchase_dataset!$B$2:$F$2241,3,FALSE)</f>
        <v>7</v>
      </c>
      <c r="N727">
        <f>VLOOKUP(B727,purchase_dataset!$B$2:$F$2241,5,FALSE)</f>
        <v>2</v>
      </c>
      <c r="O727" s="5">
        <v>50</v>
      </c>
      <c r="P727" s="4" t="str">
        <f t="shared" si="22"/>
        <v>30-50</v>
      </c>
      <c r="Q727" s="4">
        <f>M727+N727</f>
        <v>9</v>
      </c>
      <c r="U727" s="28" t="str" cm="1">
        <f t="array" ref="U727">_xlfn.IFS(F727&lt;30000,"30k",F727&lt;=50000,"30k-50k",F727&lt;=75000,"50k-75k",F727&lt;=100000,"75k-100k",F727&gt;100000,"100k")</f>
        <v>30k</v>
      </c>
      <c r="W727" s="1">
        <f t="shared" si="23"/>
        <v>14</v>
      </c>
    </row>
    <row r="728" spans="1:23" x14ac:dyDescent="0.35">
      <c r="A728">
        <v>725</v>
      </c>
      <c r="B728">
        <v>7212</v>
      </c>
      <c r="C728">
        <v>1966</v>
      </c>
      <c r="D728" s="1" t="s">
        <v>10</v>
      </c>
      <c r="E728" s="1" t="s">
        <v>14</v>
      </c>
      <c r="F728">
        <v>44794</v>
      </c>
      <c r="G728">
        <v>0</v>
      </c>
      <c r="H728" s="2">
        <v>1</v>
      </c>
      <c r="I728" s="2">
        <v>41798</v>
      </c>
      <c r="J728">
        <v>99</v>
      </c>
      <c r="K728">
        <f>VLOOKUP(B728,purchase_dataset!$B$2:$F$2241,2,FALSE)</f>
        <v>0</v>
      </c>
      <c r="L728">
        <f>VLOOKUP(B728,purchase_dataset!$B$2:$F$2241,3,FALSE)</f>
        <v>0</v>
      </c>
      <c r="M728">
        <f>VLOOKUP(B728,purchase_dataset!$B$2:$F$2241,3,FALSE)</f>
        <v>0</v>
      </c>
      <c r="N728">
        <f>VLOOKUP(B728,purchase_dataset!$B$2:$F$2241,5,FALSE)</f>
        <v>3</v>
      </c>
      <c r="O728" s="5">
        <v>60</v>
      </c>
      <c r="P728" s="4" t="str">
        <f t="shared" si="22"/>
        <v>&gt;50</v>
      </c>
      <c r="Q728" s="4">
        <f>M728+N728</f>
        <v>3</v>
      </c>
      <c r="U728" s="28" t="str" cm="1">
        <f t="array" ref="U728">_xlfn.IFS(F728&lt;30000,"30k",F728&lt;=50000,"30k-50k",F728&lt;=75000,"50k-75k",F728&lt;=100000,"75k-100k",F728&gt;100000,"100k")</f>
        <v>30k-50k</v>
      </c>
      <c r="W728" s="1">
        <f t="shared" si="23"/>
        <v>12</v>
      </c>
    </row>
    <row r="729" spans="1:23" x14ac:dyDescent="0.35">
      <c r="A729">
        <v>726</v>
      </c>
      <c r="B729">
        <v>6086</v>
      </c>
      <c r="C729">
        <v>1955</v>
      </c>
      <c r="D729" s="1" t="s">
        <v>10</v>
      </c>
      <c r="E729" s="1" t="s">
        <v>14</v>
      </c>
      <c r="F729">
        <v>80395</v>
      </c>
      <c r="G729">
        <v>0</v>
      </c>
      <c r="H729" s="2">
        <v>0</v>
      </c>
      <c r="I729" s="2">
        <v>41601</v>
      </c>
      <c r="J729">
        <v>62</v>
      </c>
      <c r="K729">
        <f>VLOOKUP(B729,purchase_dataset!$B$2:$F$2241,2,FALSE)</f>
        <v>25</v>
      </c>
      <c r="L729">
        <f>VLOOKUP(B729,purchase_dataset!$B$2:$F$2241,3,FALSE)</f>
        <v>76</v>
      </c>
      <c r="M729">
        <f>VLOOKUP(B729,purchase_dataset!$B$2:$F$2241,3,FALSE)</f>
        <v>76</v>
      </c>
      <c r="N729">
        <f>VLOOKUP(B729,purchase_dataset!$B$2:$F$2241,5,FALSE)</f>
        <v>12</v>
      </c>
      <c r="O729" s="5">
        <v>71</v>
      </c>
      <c r="P729" s="4" t="str">
        <f t="shared" si="22"/>
        <v>&gt;50</v>
      </c>
      <c r="Q729" s="4">
        <f>M729+N729</f>
        <v>88</v>
      </c>
      <c r="U729" s="28" t="str" cm="1">
        <f t="array" ref="U729">_xlfn.IFS(F729&lt;30000,"30k",F729&lt;=50000,"30k-50k",F729&lt;=75000,"50k-75k",F729&lt;=100000,"75k-100k",F729&gt;100000,"100k")</f>
        <v>75k-100k</v>
      </c>
      <c r="W729" s="1">
        <f t="shared" si="23"/>
        <v>13</v>
      </c>
    </row>
    <row r="730" spans="1:23" x14ac:dyDescent="0.35">
      <c r="A730">
        <v>727</v>
      </c>
      <c r="B730">
        <v>437</v>
      </c>
      <c r="C730">
        <v>1976</v>
      </c>
      <c r="D730" s="1" t="s">
        <v>15</v>
      </c>
      <c r="E730" s="1" t="s">
        <v>16</v>
      </c>
      <c r="F730">
        <v>75012</v>
      </c>
      <c r="G730">
        <v>0</v>
      </c>
      <c r="H730" s="2">
        <v>0</v>
      </c>
      <c r="I730" s="2">
        <v>41664</v>
      </c>
      <c r="J730">
        <v>41</v>
      </c>
      <c r="K730">
        <f>VLOOKUP(B730,purchase_dataset!$B$2:$F$2241,2,FALSE)</f>
        <v>142</v>
      </c>
      <c r="L730">
        <f>VLOOKUP(B730,purchase_dataset!$B$2:$F$2241,3,FALSE)</f>
        <v>58</v>
      </c>
      <c r="M730">
        <f>VLOOKUP(B730,purchase_dataset!$B$2:$F$2241,3,FALSE)</f>
        <v>58</v>
      </c>
      <c r="N730">
        <f>VLOOKUP(B730,purchase_dataset!$B$2:$F$2241,5,FALSE)</f>
        <v>11</v>
      </c>
      <c r="O730" s="5">
        <v>50</v>
      </c>
      <c r="P730" s="4" t="str">
        <f t="shared" si="22"/>
        <v>30-50</v>
      </c>
      <c r="Q730" s="4">
        <f>M730+N730</f>
        <v>69</v>
      </c>
      <c r="U730" s="28" t="str" cm="1">
        <f t="array" ref="U730">_xlfn.IFS(F730&lt;30000,"30k",F730&lt;=50000,"30k-50k",F730&lt;=75000,"50k-75k",F730&lt;=100000,"75k-100k",F730&gt;100000,"100k")</f>
        <v>75k-100k</v>
      </c>
      <c r="W730" s="1">
        <f t="shared" si="23"/>
        <v>12</v>
      </c>
    </row>
    <row r="731" spans="1:23" x14ac:dyDescent="0.35">
      <c r="A731">
        <v>728</v>
      </c>
      <c r="B731">
        <v>11171</v>
      </c>
      <c r="C731">
        <v>1965</v>
      </c>
      <c r="D731" s="1" t="s">
        <v>15</v>
      </c>
      <c r="E731" s="1" t="s">
        <v>14</v>
      </c>
      <c r="F731">
        <v>56962</v>
      </c>
      <c r="G731">
        <v>2</v>
      </c>
      <c r="H731" s="2">
        <v>1</v>
      </c>
      <c r="I731" s="2">
        <v>41558</v>
      </c>
      <c r="J731">
        <v>60</v>
      </c>
      <c r="K731">
        <f>VLOOKUP(B731,purchase_dataset!$B$2:$F$2241,2,FALSE)</f>
        <v>3</v>
      </c>
      <c r="L731">
        <f>VLOOKUP(B731,purchase_dataset!$B$2:$F$2241,3,FALSE)</f>
        <v>3</v>
      </c>
      <c r="M731">
        <f>VLOOKUP(B731,purchase_dataset!$B$2:$F$2241,3,FALSE)</f>
        <v>3</v>
      </c>
      <c r="N731">
        <f>VLOOKUP(B731,purchase_dataset!$B$2:$F$2241,5,FALSE)</f>
        <v>5</v>
      </c>
      <c r="O731" s="5">
        <v>61</v>
      </c>
      <c r="P731" s="4" t="str">
        <f t="shared" si="22"/>
        <v>&gt;50</v>
      </c>
      <c r="Q731" s="4">
        <f>M731+N731</f>
        <v>8</v>
      </c>
      <c r="U731" s="28" t="str" cm="1">
        <f t="array" ref="U731">_xlfn.IFS(F731&lt;30000,"30k",F731&lt;=50000,"30k-50k",F731&lt;=75000,"50k-75k",F731&lt;=100000,"75k-100k",F731&gt;100000,"100k")</f>
        <v>50k-75k</v>
      </c>
      <c r="W731" s="1">
        <f t="shared" si="23"/>
        <v>13</v>
      </c>
    </row>
    <row r="732" spans="1:23" x14ac:dyDescent="0.35">
      <c r="A732">
        <v>729</v>
      </c>
      <c r="B732">
        <v>11101</v>
      </c>
      <c r="C732">
        <v>1991</v>
      </c>
      <c r="D732" s="1" t="s">
        <v>10</v>
      </c>
      <c r="E732" s="1" t="s">
        <v>12</v>
      </c>
      <c r="F732">
        <v>89891</v>
      </c>
      <c r="G732">
        <v>0</v>
      </c>
      <c r="H732" s="2">
        <v>0</v>
      </c>
      <c r="I732" s="2">
        <v>41379</v>
      </c>
      <c r="J732">
        <v>17</v>
      </c>
      <c r="K732">
        <f>VLOOKUP(B732,purchase_dataset!$B$2:$F$2241,2,FALSE)</f>
        <v>22</v>
      </c>
      <c r="L732">
        <f>VLOOKUP(B732,purchase_dataset!$B$2:$F$2241,3,FALSE)</f>
        <v>28</v>
      </c>
      <c r="M732">
        <f>VLOOKUP(B732,purchase_dataset!$B$2:$F$2241,3,FALSE)</f>
        <v>28</v>
      </c>
      <c r="N732">
        <f>VLOOKUP(B732,purchase_dataset!$B$2:$F$2241,5,FALSE)</f>
        <v>8</v>
      </c>
      <c r="O732" s="5">
        <v>35</v>
      </c>
      <c r="P732" s="4" t="str">
        <f t="shared" si="22"/>
        <v>30-50</v>
      </c>
      <c r="Q732" s="4">
        <f>M732+N732</f>
        <v>36</v>
      </c>
      <c r="U732" s="28" t="str" cm="1">
        <f t="array" ref="U732">_xlfn.IFS(F732&lt;30000,"30k",F732&lt;=50000,"30k-50k",F732&lt;=75000,"50k-75k",F732&lt;=100000,"75k-100k",F732&gt;100000,"100k")</f>
        <v>75k-100k</v>
      </c>
      <c r="W732" s="1">
        <f t="shared" si="23"/>
        <v>13</v>
      </c>
    </row>
    <row r="733" spans="1:23" x14ac:dyDescent="0.35">
      <c r="A733">
        <v>730</v>
      </c>
      <c r="B733">
        <v>5329</v>
      </c>
      <c r="C733">
        <v>1949</v>
      </c>
      <c r="D733" s="1" t="s">
        <v>13</v>
      </c>
      <c r="E733" s="1" t="s">
        <v>16</v>
      </c>
      <c r="F733">
        <v>35946</v>
      </c>
      <c r="G733">
        <v>1</v>
      </c>
      <c r="H733" s="2">
        <v>1</v>
      </c>
      <c r="I733" s="2">
        <v>41544</v>
      </c>
      <c r="J733">
        <v>24</v>
      </c>
      <c r="K733">
        <f>VLOOKUP(B733,purchase_dataset!$B$2:$F$2241,2,FALSE)</f>
        <v>0</v>
      </c>
      <c r="L733">
        <f>VLOOKUP(B733,purchase_dataset!$B$2:$F$2241,3,FALSE)</f>
        <v>0</v>
      </c>
      <c r="M733">
        <f>VLOOKUP(B733,purchase_dataset!$B$2:$F$2241,3,FALSE)</f>
        <v>0</v>
      </c>
      <c r="N733">
        <f>VLOOKUP(B733,purchase_dataset!$B$2:$F$2241,5,FALSE)</f>
        <v>3</v>
      </c>
      <c r="O733" s="5">
        <v>77</v>
      </c>
      <c r="P733" s="4" t="str">
        <f t="shared" si="22"/>
        <v>&gt;50</v>
      </c>
      <c r="Q733" s="4">
        <f>M733+N733</f>
        <v>3</v>
      </c>
      <c r="U733" s="28" t="str" cm="1">
        <f t="array" ref="U733">_xlfn.IFS(F733&lt;30000,"30k",F733&lt;=50000,"30k-50k",F733&lt;=75000,"50k-75k",F733&lt;=100000,"75k-100k",F733&gt;100000,"100k")</f>
        <v>30k-50k</v>
      </c>
      <c r="W733" s="1">
        <f t="shared" si="23"/>
        <v>13</v>
      </c>
    </row>
    <row r="734" spans="1:23" x14ac:dyDescent="0.35">
      <c r="A734">
        <v>731</v>
      </c>
      <c r="B734">
        <v>610</v>
      </c>
      <c r="C734">
        <v>1953</v>
      </c>
      <c r="D734" s="1" t="s">
        <v>13</v>
      </c>
      <c r="E734" s="1" t="s">
        <v>12</v>
      </c>
      <c r="F734">
        <v>53593</v>
      </c>
      <c r="G734">
        <v>1</v>
      </c>
      <c r="H734" s="2">
        <v>1</v>
      </c>
      <c r="I734" s="2">
        <v>41128</v>
      </c>
      <c r="J734">
        <v>60</v>
      </c>
      <c r="K734">
        <f>VLOOKUP(B734,purchase_dataset!$B$2:$F$2241,2,FALSE)</f>
        <v>4</v>
      </c>
      <c r="L734">
        <f>VLOOKUP(B734,purchase_dataset!$B$2:$F$2241,3,FALSE)</f>
        <v>0</v>
      </c>
      <c r="M734">
        <f>VLOOKUP(B734,purchase_dataset!$B$2:$F$2241,3,FALSE)</f>
        <v>0</v>
      </c>
      <c r="N734">
        <f>VLOOKUP(B734,purchase_dataset!$B$2:$F$2241,5,FALSE)</f>
        <v>6</v>
      </c>
      <c r="O734" s="5">
        <v>73</v>
      </c>
      <c r="P734" s="4" t="str">
        <f t="shared" si="22"/>
        <v>&gt;50</v>
      </c>
      <c r="Q734" s="4">
        <f>M734+N734</f>
        <v>6</v>
      </c>
      <c r="U734" s="28" t="str" cm="1">
        <f t="array" ref="U734">_xlfn.IFS(F734&lt;30000,"30k",F734&lt;=50000,"30k-50k",F734&lt;=75000,"50k-75k",F734&lt;=100000,"75k-100k",F734&gt;100000,"100k")</f>
        <v>50k-75k</v>
      </c>
      <c r="W734" s="1">
        <f t="shared" si="23"/>
        <v>14</v>
      </c>
    </row>
    <row r="735" spans="1:23" x14ac:dyDescent="0.35">
      <c r="A735">
        <v>732</v>
      </c>
      <c r="B735">
        <v>9384</v>
      </c>
      <c r="C735">
        <v>1978</v>
      </c>
      <c r="D735" s="1" t="s">
        <v>10</v>
      </c>
      <c r="E735" s="1" t="s">
        <v>14</v>
      </c>
      <c r="F735">
        <v>66373</v>
      </c>
      <c r="G735">
        <v>1</v>
      </c>
      <c r="H735" s="2">
        <v>1</v>
      </c>
      <c r="I735" s="2">
        <v>41437</v>
      </c>
      <c r="J735">
        <v>57</v>
      </c>
      <c r="K735">
        <f>VLOOKUP(B735,purchase_dataset!$B$2:$F$2241,2,FALSE)</f>
        <v>9</v>
      </c>
      <c r="L735">
        <f>VLOOKUP(B735,purchase_dataset!$B$2:$F$2241,3,FALSE)</f>
        <v>24</v>
      </c>
      <c r="M735">
        <f>VLOOKUP(B735,purchase_dataset!$B$2:$F$2241,3,FALSE)</f>
        <v>24</v>
      </c>
      <c r="N735">
        <f>VLOOKUP(B735,purchase_dataset!$B$2:$F$2241,5,FALSE)</f>
        <v>10</v>
      </c>
      <c r="O735" s="5">
        <v>48</v>
      </c>
      <c r="P735" s="4" t="str">
        <f t="shared" si="22"/>
        <v>30-50</v>
      </c>
      <c r="Q735" s="4">
        <f>M735+N735</f>
        <v>34</v>
      </c>
      <c r="U735" s="28" t="str" cm="1">
        <f t="array" ref="U735">_xlfn.IFS(F735&lt;30000,"30k",F735&lt;=50000,"30k-50k",F735&lt;=75000,"50k-75k",F735&lt;=100000,"75k-100k",F735&gt;100000,"100k")</f>
        <v>50k-75k</v>
      </c>
      <c r="W735" s="1">
        <f t="shared" si="23"/>
        <v>13</v>
      </c>
    </row>
    <row r="736" spans="1:23" x14ac:dyDescent="0.35">
      <c r="A736">
        <v>733</v>
      </c>
      <c r="B736">
        <v>5956</v>
      </c>
      <c r="C736">
        <v>1948</v>
      </c>
      <c r="D736" s="1" t="s">
        <v>13</v>
      </c>
      <c r="E736" s="1" t="s">
        <v>16</v>
      </c>
      <c r="F736">
        <v>45072</v>
      </c>
      <c r="G736">
        <v>1</v>
      </c>
      <c r="H736" s="2">
        <v>2</v>
      </c>
      <c r="I736" s="2">
        <v>41563</v>
      </c>
      <c r="J736">
        <v>74</v>
      </c>
      <c r="K736">
        <f>VLOOKUP(B736,purchase_dataset!$B$2:$F$2241,2,FALSE)</f>
        <v>2</v>
      </c>
      <c r="L736">
        <f>VLOOKUP(B736,purchase_dataset!$B$2:$F$2241,3,FALSE)</f>
        <v>2</v>
      </c>
      <c r="M736">
        <f>VLOOKUP(B736,purchase_dataset!$B$2:$F$2241,3,FALSE)</f>
        <v>2</v>
      </c>
      <c r="N736">
        <f>VLOOKUP(B736,purchase_dataset!$B$2:$F$2241,5,FALSE)</f>
        <v>4</v>
      </c>
      <c r="O736" s="5">
        <v>78</v>
      </c>
      <c r="P736" s="4" t="str">
        <f t="shared" si="22"/>
        <v>&gt;50</v>
      </c>
      <c r="Q736" s="4">
        <f>M736+N736</f>
        <v>6</v>
      </c>
      <c r="U736" s="28" t="str" cm="1">
        <f t="array" ref="U736">_xlfn.IFS(F736&lt;30000,"30k",F736&lt;=50000,"30k-50k",F736&lt;=75000,"50k-75k",F736&lt;=100000,"75k-100k",F736&gt;100000,"100k")</f>
        <v>30k-50k</v>
      </c>
      <c r="W736" s="1">
        <f t="shared" si="23"/>
        <v>13</v>
      </c>
    </row>
    <row r="737" spans="1:23" x14ac:dyDescent="0.35">
      <c r="A737">
        <v>734</v>
      </c>
      <c r="B737">
        <v>10430</v>
      </c>
      <c r="C737">
        <v>1973</v>
      </c>
      <c r="D737" s="1" t="s">
        <v>10</v>
      </c>
      <c r="E737" s="1" t="s">
        <v>16</v>
      </c>
      <c r="F737">
        <v>89694</v>
      </c>
      <c r="G737">
        <v>1</v>
      </c>
      <c r="H737" s="2">
        <v>1</v>
      </c>
      <c r="I737" s="2">
        <v>41556</v>
      </c>
      <c r="J737">
        <v>22</v>
      </c>
      <c r="K737">
        <f>VLOOKUP(B737,purchase_dataset!$B$2:$F$2241,2,FALSE)</f>
        <v>28</v>
      </c>
      <c r="L737">
        <f>VLOOKUP(B737,purchase_dataset!$B$2:$F$2241,3,FALSE)</f>
        <v>28</v>
      </c>
      <c r="M737">
        <f>VLOOKUP(B737,purchase_dataset!$B$2:$F$2241,3,FALSE)</f>
        <v>28</v>
      </c>
      <c r="N737">
        <f>VLOOKUP(B737,purchase_dataset!$B$2:$F$2241,5,FALSE)</f>
        <v>4</v>
      </c>
      <c r="O737" s="5">
        <v>53</v>
      </c>
      <c r="P737" s="4" t="str">
        <f t="shared" si="22"/>
        <v>&gt;50</v>
      </c>
      <c r="Q737" s="4">
        <f>M737+N737</f>
        <v>32</v>
      </c>
      <c r="U737" s="28" t="str" cm="1">
        <f t="array" ref="U737">_xlfn.IFS(F737&lt;30000,"30k",F737&lt;=50000,"30k-50k",F737&lt;=75000,"50k-75k",F737&lt;=100000,"75k-100k",F737&gt;100000,"100k")</f>
        <v>75k-100k</v>
      </c>
      <c r="W737" s="1">
        <f t="shared" si="23"/>
        <v>13</v>
      </c>
    </row>
    <row r="738" spans="1:23" x14ac:dyDescent="0.35">
      <c r="A738">
        <v>735</v>
      </c>
      <c r="B738">
        <v>7875</v>
      </c>
      <c r="C738">
        <v>1949</v>
      </c>
      <c r="D738" s="1" t="s">
        <v>10</v>
      </c>
      <c r="E738" s="1" t="s">
        <v>14</v>
      </c>
      <c r="F738">
        <v>72025</v>
      </c>
      <c r="G738">
        <v>0</v>
      </c>
      <c r="H738" s="2">
        <v>0</v>
      </c>
      <c r="I738" s="2">
        <v>41758</v>
      </c>
      <c r="J738">
        <v>46</v>
      </c>
      <c r="K738">
        <f>VLOOKUP(B738,purchase_dataset!$B$2:$F$2241,2,FALSE)</f>
        <v>0</v>
      </c>
      <c r="L738">
        <f>VLOOKUP(B738,purchase_dataset!$B$2:$F$2241,3,FALSE)</f>
        <v>50</v>
      </c>
      <c r="M738">
        <f>VLOOKUP(B738,purchase_dataset!$B$2:$F$2241,3,FALSE)</f>
        <v>50</v>
      </c>
      <c r="N738">
        <f>VLOOKUP(B738,purchase_dataset!$B$2:$F$2241,5,FALSE)</f>
        <v>13</v>
      </c>
      <c r="O738" s="5">
        <v>77</v>
      </c>
      <c r="P738" s="4" t="str">
        <f t="shared" si="22"/>
        <v>&gt;50</v>
      </c>
      <c r="Q738" s="4">
        <f>M738+N738</f>
        <v>63</v>
      </c>
      <c r="U738" s="28" t="str" cm="1">
        <f t="array" ref="U738">_xlfn.IFS(F738&lt;30000,"30k",F738&lt;=50000,"30k-50k",F738&lt;=75000,"50k-75k",F738&lt;=100000,"75k-100k",F738&gt;100000,"100k")</f>
        <v>50k-75k</v>
      </c>
      <c r="W738" s="1">
        <f t="shared" si="23"/>
        <v>12</v>
      </c>
    </row>
    <row r="739" spans="1:23" x14ac:dyDescent="0.35">
      <c r="A739">
        <v>736</v>
      </c>
      <c r="B739">
        <v>7072</v>
      </c>
      <c r="C739">
        <v>1973</v>
      </c>
      <c r="D739" s="1" t="s">
        <v>10</v>
      </c>
      <c r="E739" s="1" t="s">
        <v>14</v>
      </c>
      <c r="F739">
        <v>67432</v>
      </c>
      <c r="G739">
        <v>0</v>
      </c>
      <c r="H739" s="2">
        <v>1</v>
      </c>
      <c r="I739" s="2">
        <v>41362</v>
      </c>
      <c r="J739">
        <v>69</v>
      </c>
      <c r="K739">
        <f>VLOOKUP(B739,purchase_dataset!$B$2:$F$2241,2,FALSE)</f>
        <v>79</v>
      </c>
      <c r="L739">
        <f>VLOOKUP(B739,purchase_dataset!$B$2:$F$2241,3,FALSE)</f>
        <v>136</v>
      </c>
      <c r="M739">
        <f>VLOOKUP(B739,purchase_dataset!$B$2:$F$2241,3,FALSE)</f>
        <v>136</v>
      </c>
      <c r="N739">
        <f>VLOOKUP(B739,purchase_dataset!$B$2:$F$2241,5,FALSE)</f>
        <v>4</v>
      </c>
      <c r="O739" s="5">
        <v>53</v>
      </c>
      <c r="P739" s="4" t="str">
        <f t="shared" si="22"/>
        <v>&gt;50</v>
      </c>
      <c r="Q739" s="4">
        <f>M739+N739</f>
        <v>140</v>
      </c>
      <c r="U739" s="28" t="str" cm="1">
        <f t="array" ref="U739">_xlfn.IFS(F739&lt;30000,"30k",F739&lt;=50000,"30k-50k",F739&lt;=75000,"50k-75k",F739&lt;=100000,"75k-100k",F739&gt;100000,"100k")</f>
        <v>50k-75k</v>
      </c>
      <c r="W739" s="1">
        <f t="shared" si="23"/>
        <v>13</v>
      </c>
    </row>
    <row r="740" spans="1:23" x14ac:dyDescent="0.35">
      <c r="A740">
        <v>737</v>
      </c>
      <c r="B740">
        <v>6255</v>
      </c>
      <c r="C740">
        <v>1952</v>
      </c>
      <c r="D740" s="1" t="s">
        <v>15</v>
      </c>
      <c r="E740" s="1" t="s">
        <v>12</v>
      </c>
      <c r="F740">
        <v>70545</v>
      </c>
      <c r="G740">
        <v>0</v>
      </c>
      <c r="H740" s="2">
        <v>1</v>
      </c>
      <c r="I740" s="2">
        <v>41793</v>
      </c>
      <c r="J740">
        <v>29</v>
      </c>
      <c r="K740">
        <f>VLOOKUP(B740,purchase_dataset!$B$2:$F$2241,2,FALSE)</f>
        <v>39</v>
      </c>
      <c r="L740">
        <f>VLOOKUP(B740,purchase_dataset!$B$2:$F$2241,3,FALSE)</f>
        <v>18</v>
      </c>
      <c r="M740">
        <f>VLOOKUP(B740,purchase_dataset!$B$2:$F$2241,3,FALSE)</f>
        <v>18</v>
      </c>
      <c r="N740">
        <f>VLOOKUP(B740,purchase_dataset!$B$2:$F$2241,5,FALSE)</f>
        <v>7</v>
      </c>
      <c r="O740" s="5">
        <v>74</v>
      </c>
      <c r="P740" s="4" t="str">
        <f t="shared" si="22"/>
        <v>&gt;50</v>
      </c>
      <c r="Q740" s="4">
        <f>M740+N740</f>
        <v>25</v>
      </c>
      <c r="U740" s="28" t="str" cm="1">
        <f t="array" ref="U740">_xlfn.IFS(F740&lt;30000,"30k",F740&lt;=50000,"30k-50k",F740&lt;=75000,"50k-75k",F740&lt;=100000,"75k-100k",F740&gt;100000,"100k")</f>
        <v>50k-75k</v>
      </c>
      <c r="W740" s="1">
        <f t="shared" si="23"/>
        <v>12</v>
      </c>
    </row>
    <row r="741" spans="1:23" x14ac:dyDescent="0.35">
      <c r="A741">
        <v>738</v>
      </c>
      <c r="B741">
        <v>6516</v>
      </c>
      <c r="C741">
        <v>1989</v>
      </c>
      <c r="D741" s="1" t="s">
        <v>17</v>
      </c>
      <c r="E741" s="1" t="s">
        <v>14</v>
      </c>
      <c r="F741">
        <v>17487</v>
      </c>
      <c r="G741">
        <v>1</v>
      </c>
      <c r="H741" s="2">
        <v>0</v>
      </c>
      <c r="I741" s="2">
        <v>41351</v>
      </c>
      <c r="J741">
        <v>37</v>
      </c>
      <c r="K741">
        <f>VLOOKUP(B741,purchase_dataset!$B$2:$F$2241,2,FALSE)</f>
        <v>0</v>
      </c>
      <c r="L741">
        <f>VLOOKUP(B741,purchase_dataset!$B$2:$F$2241,3,FALSE)</f>
        <v>4</v>
      </c>
      <c r="M741">
        <f>VLOOKUP(B741,purchase_dataset!$B$2:$F$2241,3,FALSE)</f>
        <v>4</v>
      </c>
      <c r="N741">
        <f>VLOOKUP(B741,purchase_dataset!$B$2:$F$2241,5,FALSE)</f>
        <v>2</v>
      </c>
      <c r="O741" s="5">
        <v>37</v>
      </c>
      <c r="P741" s="4" t="str">
        <f t="shared" si="22"/>
        <v>30-50</v>
      </c>
      <c r="Q741" s="4">
        <f>M741+N741</f>
        <v>6</v>
      </c>
      <c r="U741" s="28" t="str" cm="1">
        <f t="array" ref="U741">_xlfn.IFS(F741&lt;30000,"30k",F741&lt;=50000,"30k-50k",F741&lt;=75000,"50k-75k",F741&lt;=100000,"75k-100k",F741&gt;100000,"100k")</f>
        <v>30k</v>
      </c>
      <c r="W741" s="1">
        <f t="shared" si="23"/>
        <v>13</v>
      </c>
    </row>
    <row r="742" spans="1:23" x14ac:dyDescent="0.35">
      <c r="A742">
        <v>739</v>
      </c>
      <c r="B742">
        <v>5564</v>
      </c>
      <c r="C742">
        <v>1969</v>
      </c>
      <c r="D742" s="1" t="s">
        <v>10</v>
      </c>
      <c r="E742" s="1" t="s">
        <v>12</v>
      </c>
      <c r="F742">
        <v>62882</v>
      </c>
      <c r="G742">
        <v>0</v>
      </c>
      <c r="H742" s="2">
        <v>1</v>
      </c>
      <c r="I742" s="2">
        <v>41130</v>
      </c>
      <c r="J742">
        <v>26</v>
      </c>
      <c r="K742">
        <f>VLOOKUP(B742,purchase_dataset!$B$2:$F$2241,2,FALSE)</f>
        <v>133</v>
      </c>
      <c r="L742">
        <f>VLOOKUP(B742,purchase_dataset!$B$2:$F$2241,3,FALSE)</f>
        <v>24</v>
      </c>
      <c r="M742">
        <f>VLOOKUP(B742,purchase_dataset!$B$2:$F$2241,3,FALSE)</f>
        <v>24</v>
      </c>
      <c r="N742">
        <f>VLOOKUP(B742,purchase_dataset!$B$2:$F$2241,5,FALSE)</f>
        <v>6</v>
      </c>
      <c r="O742" s="5">
        <v>57</v>
      </c>
      <c r="P742" s="4" t="str">
        <f t="shared" si="22"/>
        <v>&gt;50</v>
      </c>
      <c r="Q742" s="4">
        <f>M742+N742</f>
        <v>30</v>
      </c>
      <c r="U742" s="28" t="str" cm="1">
        <f t="array" ref="U742">_xlfn.IFS(F742&lt;30000,"30k",F742&lt;=50000,"30k-50k",F742&lt;=75000,"50k-75k",F742&lt;=100000,"75k-100k",F742&gt;100000,"100k")</f>
        <v>50k-75k</v>
      </c>
      <c r="W742" s="1">
        <f t="shared" si="23"/>
        <v>14</v>
      </c>
    </row>
    <row r="743" spans="1:23" x14ac:dyDescent="0.35">
      <c r="A743">
        <v>740</v>
      </c>
      <c r="B743">
        <v>5682</v>
      </c>
      <c r="C743">
        <v>1953</v>
      </c>
      <c r="D743" s="1" t="s">
        <v>13</v>
      </c>
      <c r="E743" s="1" t="s">
        <v>11</v>
      </c>
      <c r="F743">
        <v>64108</v>
      </c>
      <c r="G743">
        <v>0</v>
      </c>
      <c r="H743" s="2">
        <v>1</v>
      </c>
      <c r="I743" s="2">
        <v>41356</v>
      </c>
      <c r="J743">
        <v>8</v>
      </c>
      <c r="K743">
        <f>VLOOKUP(B743,purchase_dataset!$B$2:$F$2241,2,FALSE)</f>
        <v>10</v>
      </c>
      <c r="L743">
        <f>VLOOKUP(B743,purchase_dataset!$B$2:$F$2241,3,FALSE)</f>
        <v>21</v>
      </c>
      <c r="M743">
        <f>VLOOKUP(B743,purchase_dataset!$B$2:$F$2241,3,FALSE)</f>
        <v>21</v>
      </c>
      <c r="N743">
        <f>VLOOKUP(B743,purchase_dataset!$B$2:$F$2241,5,FALSE)</f>
        <v>11</v>
      </c>
      <c r="O743" s="5">
        <v>73</v>
      </c>
      <c r="P743" s="4" t="str">
        <f t="shared" si="22"/>
        <v>&gt;50</v>
      </c>
      <c r="Q743" s="4">
        <f>M743+N743</f>
        <v>32</v>
      </c>
      <c r="U743" s="28" t="str" cm="1">
        <f t="array" ref="U743">_xlfn.IFS(F743&lt;30000,"30k",F743&lt;=50000,"30k-50k",F743&lt;=75000,"50k-75k",F743&lt;=100000,"75k-100k",F743&gt;100000,"100k")</f>
        <v>50k-75k</v>
      </c>
      <c r="W743" s="1">
        <f t="shared" si="23"/>
        <v>13</v>
      </c>
    </row>
    <row r="744" spans="1:23" x14ac:dyDescent="0.35">
      <c r="A744">
        <v>741</v>
      </c>
      <c r="B744">
        <v>7458</v>
      </c>
      <c r="C744">
        <v>1956</v>
      </c>
      <c r="D744" s="1" t="s">
        <v>15</v>
      </c>
      <c r="E744" s="1" t="s">
        <v>12</v>
      </c>
      <c r="F744">
        <v>34941</v>
      </c>
      <c r="G744">
        <v>1</v>
      </c>
      <c r="H744" s="2">
        <v>1</v>
      </c>
      <c r="I744" s="2">
        <v>41339</v>
      </c>
      <c r="J744">
        <v>26</v>
      </c>
      <c r="K744">
        <f>VLOOKUP(B744,purchase_dataset!$B$2:$F$2241,2,FALSE)</f>
        <v>2</v>
      </c>
      <c r="L744">
        <f>VLOOKUP(B744,purchase_dataset!$B$2:$F$2241,3,FALSE)</f>
        <v>3</v>
      </c>
      <c r="M744">
        <f>VLOOKUP(B744,purchase_dataset!$B$2:$F$2241,3,FALSE)</f>
        <v>3</v>
      </c>
      <c r="N744">
        <f>VLOOKUP(B744,purchase_dataset!$B$2:$F$2241,5,FALSE)</f>
        <v>3</v>
      </c>
      <c r="O744" s="5">
        <v>70</v>
      </c>
      <c r="P744" s="4" t="str">
        <f t="shared" si="22"/>
        <v>&gt;50</v>
      </c>
      <c r="Q744" s="4">
        <f>M744+N744</f>
        <v>6</v>
      </c>
      <c r="U744" s="28" t="str" cm="1">
        <f t="array" ref="U744">_xlfn.IFS(F744&lt;30000,"30k",F744&lt;=50000,"30k-50k",F744&lt;=75000,"50k-75k",F744&lt;=100000,"75k-100k",F744&gt;100000,"100k")</f>
        <v>30k-50k</v>
      </c>
      <c r="W744" s="1">
        <f t="shared" si="23"/>
        <v>13</v>
      </c>
    </row>
    <row r="745" spans="1:23" x14ac:dyDescent="0.35">
      <c r="A745">
        <v>742</v>
      </c>
      <c r="B745">
        <v>5237</v>
      </c>
      <c r="C745">
        <v>1950</v>
      </c>
      <c r="D745" s="1" t="s">
        <v>13</v>
      </c>
      <c r="E745" s="1" t="s">
        <v>11</v>
      </c>
      <c r="F745">
        <v>48767</v>
      </c>
      <c r="G745">
        <v>1</v>
      </c>
      <c r="H745" s="2">
        <v>2</v>
      </c>
      <c r="I745" s="2">
        <v>41640</v>
      </c>
      <c r="J745">
        <v>79</v>
      </c>
      <c r="K745">
        <f>VLOOKUP(B745,purchase_dataset!$B$2:$F$2241,2,FALSE)</f>
        <v>1</v>
      </c>
      <c r="L745">
        <f>VLOOKUP(B745,purchase_dataset!$B$2:$F$2241,3,FALSE)</f>
        <v>0</v>
      </c>
      <c r="M745">
        <f>VLOOKUP(B745,purchase_dataset!$B$2:$F$2241,3,FALSE)</f>
        <v>0</v>
      </c>
      <c r="N745">
        <f>VLOOKUP(B745,purchase_dataset!$B$2:$F$2241,5,FALSE)</f>
        <v>3</v>
      </c>
      <c r="O745" s="5">
        <v>76</v>
      </c>
      <c r="P745" s="4" t="str">
        <f t="shared" si="22"/>
        <v>&gt;50</v>
      </c>
      <c r="Q745" s="4">
        <f>M745+N745</f>
        <v>3</v>
      </c>
      <c r="U745" s="28" t="str" cm="1">
        <f t="array" ref="U745">_xlfn.IFS(F745&lt;30000,"30k",F745&lt;=50000,"30k-50k",F745&lt;=75000,"50k-75k",F745&lt;=100000,"75k-100k",F745&gt;100000,"100k")</f>
        <v>30k-50k</v>
      </c>
      <c r="W745" s="1">
        <f t="shared" si="23"/>
        <v>12</v>
      </c>
    </row>
    <row r="746" spans="1:23" x14ac:dyDescent="0.35">
      <c r="A746">
        <v>743</v>
      </c>
      <c r="B746">
        <v>7761</v>
      </c>
      <c r="C746">
        <v>1978</v>
      </c>
      <c r="D746" s="1" t="s">
        <v>18</v>
      </c>
      <c r="E746" s="1" t="s">
        <v>12</v>
      </c>
      <c r="F746">
        <v>38702</v>
      </c>
      <c r="G746">
        <v>1</v>
      </c>
      <c r="H746" s="2">
        <v>0</v>
      </c>
      <c r="I746" s="2">
        <v>41487</v>
      </c>
      <c r="J746">
        <v>71</v>
      </c>
      <c r="K746">
        <f>VLOOKUP(B746,purchase_dataset!$B$2:$F$2241,2,FALSE)</f>
        <v>11</v>
      </c>
      <c r="L746">
        <f>VLOOKUP(B746,purchase_dataset!$B$2:$F$2241,3,FALSE)</f>
        <v>8</v>
      </c>
      <c r="M746">
        <f>VLOOKUP(B746,purchase_dataset!$B$2:$F$2241,3,FALSE)</f>
        <v>8</v>
      </c>
      <c r="N746">
        <f>VLOOKUP(B746,purchase_dataset!$B$2:$F$2241,5,FALSE)</f>
        <v>4</v>
      </c>
      <c r="O746" s="5">
        <v>48</v>
      </c>
      <c r="P746" s="4" t="str">
        <f t="shared" si="22"/>
        <v>30-50</v>
      </c>
      <c r="Q746" s="4">
        <f>M746+N746</f>
        <v>12</v>
      </c>
      <c r="U746" s="28" t="str" cm="1">
        <f t="array" ref="U746">_xlfn.IFS(F746&lt;30000,"30k",F746&lt;=50000,"30k-50k",F746&lt;=75000,"50k-75k",F746&lt;=100000,"75k-100k",F746&gt;100000,"100k")</f>
        <v>30k-50k</v>
      </c>
      <c r="W746" s="1">
        <f t="shared" si="23"/>
        <v>13</v>
      </c>
    </row>
    <row r="747" spans="1:23" x14ac:dyDescent="0.35">
      <c r="A747">
        <v>744</v>
      </c>
      <c r="B747">
        <v>5278</v>
      </c>
      <c r="C747">
        <v>1964</v>
      </c>
      <c r="D747" s="1" t="s">
        <v>10</v>
      </c>
      <c r="E747" s="1" t="s">
        <v>14</v>
      </c>
      <c r="F747">
        <v>82224</v>
      </c>
      <c r="G747">
        <v>0</v>
      </c>
      <c r="H747" s="2">
        <v>0</v>
      </c>
      <c r="I747" s="2">
        <v>41664</v>
      </c>
      <c r="J747">
        <v>83</v>
      </c>
      <c r="K747">
        <f>VLOOKUP(B747,purchase_dataset!$B$2:$F$2241,2,FALSE)</f>
        <v>26</v>
      </c>
      <c r="L747">
        <f>VLOOKUP(B747,purchase_dataset!$B$2:$F$2241,3,FALSE)</f>
        <v>31</v>
      </c>
      <c r="M747">
        <f>VLOOKUP(B747,purchase_dataset!$B$2:$F$2241,3,FALSE)</f>
        <v>31</v>
      </c>
      <c r="N747">
        <f>VLOOKUP(B747,purchase_dataset!$B$2:$F$2241,5,FALSE)</f>
        <v>5</v>
      </c>
      <c r="O747" s="5">
        <v>62</v>
      </c>
      <c r="P747" s="4" t="str">
        <f t="shared" si="22"/>
        <v>&gt;50</v>
      </c>
      <c r="Q747" s="4">
        <f>M747+N747</f>
        <v>36</v>
      </c>
      <c r="U747" s="28" t="str" cm="1">
        <f t="array" ref="U747">_xlfn.IFS(F747&lt;30000,"30k",F747&lt;=50000,"30k-50k",F747&lt;=75000,"50k-75k",F747&lt;=100000,"75k-100k",F747&gt;100000,"100k")</f>
        <v>75k-100k</v>
      </c>
      <c r="W747" s="1">
        <f t="shared" si="23"/>
        <v>12</v>
      </c>
    </row>
    <row r="748" spans="1:23" x14ac:dyDescent="0.35">
      <c r="A748">
        <v>745</v>
      </c>
      <c r="B748">
        <v>3560</v>
      </c>
      <c r="C748">
        <v>1952</v>
      </c>
      <c r="D748" s="1" t="s">
        <v>10</v>
      </c>
      <c r="E748" s="1" t="s">
        <v>12</v>
      </c>
      <c r="F748">
        <v>83844</v>
      </c>
      <c r="G748">
        <v>0</v>
      </c>
      <c r="H748" s="2">
        <v>0</v>
      </c>
      <c r="I748" s="2">
        <v>41406</v>
      </c>
      <c r="J748">
        <v>57</v>
      </c>
      <c r="K748">
        <f>VLOOKUP(B748,purchase_dataset!$B$2:$F$2241,2,FALSE)</f>
        <v>31</v>
      </c>
      <c r="L748">
        <f>VLOOKUP(B748,purchase_dataset!$B$2:$F$2241,3,FALSE)</f>
        <v>31</v>
      </c>
      <c r="M748">
        <f>VLOOKUP(B748,purchase_dataset!$B$2:$F$2241,3,FALSE)</f>
        <v>31</v>
      </c>
      <c r="N748">
        <f>VLOOKUP(B748,purchase_dataset!$B$2:$F$2241,5,FALSE)</f>
        <v>11</v>
      </c>
      <c r="O748" s="5">
        <v>74</v>
      </c>
      <c r="P748" s="4" t="str">
        <f t="shared" si="22"/>
        <v>&gt;50</v>
      </c>
      <c r="Q748" s="4">
        <f>M748+N748</f>
        <v>42</v>
      </c>
      <c r="U748" s="28" t="str" cm="1">
        <f t="array" ref="U748">_xlfn.IFS(F748&lt;30000,"30k",F748&lt;=50000,"30k-50k",F748&lt;=75000,"50k-75k",F748&lt;=100000,"75k-100k",F748&gt;100000,"100k")</f>
        <v>75k-100k</v>
      </c>
      <c r="W748" s="1">
        <f t="shared" si="23"/>
        <v>13</v>
      </c>
    </row>
    <row r="749" spans="1:23" x14ac:dyDescent="0.35">
      <c r="A749">
        <v>746</v>
      </c>
      <c r="B749">
        <v>7235</v>
      </c>
      <c r="C749">
        <v>1975</v>
      </c>
      <c r="D749" s="1" t="s">
        <v>18</v>
      </c>
      <c r="E749" s="1" t="s">
        <v>14</v>
      </c>
      <c r="F749">
        <v>17003</v>
      </c>
      <c r="G749">
        <v>1</v>
      </c>
      <c r="H749" s="2">
        <v>0</v>
      </c>
      <c r="I749" s="2">
        <v>41617</v>
      </c>
      <c r="J749">
        <v>37</v>
      </c>
      <c r="K749">
        <f>VLOOKUP(B749,purchase_dataset!$B$2:$F$2241,2,FALSE)</f>
        <v>5</v>
      </c>
      <c r="L749">
        <f>VLOOKUP(B749,purchase_dataset!$B$2:$F$2241,3,FALSE)</f>
        <v>8</v>
      </c>
      <c r="M749">
        <f>VLOOKUP(B749,purchase_dataset!$B$2:$F$2241,3,FALSE)</f>
        <v>8</v>
      </c>
      <c r="N749">
        <f>VLOOKUP(B749,purchase_dataset!$B$2:$F$2241,5,FALSE)</f>
        <v>4</v>
      </c>
      <c r="O749" s="5">
        <v>51</v>
      </c>
      <c r="P749" s="4" t="str">
        <f t="shared" si="22"/>
        <v>&gt;50</v>
      </c>
      <c r="Q749" s="4">
        <f>M749+N749</f>
        <v>12</v>
      </c>
      <c r="U749" s="28" t="str" cm="1">
        <f t="array" ref="U749">_xlfn.IFS(F749&lt;30000,"30k",F749&lt;=50000,"30k-50k",F749&lt;=75000,"50k-75k",F749&lt;=100000,"75k-100k",F749&gt;100000,"100k")</f>
        <v>30k</v>
      </c>
      <c r="W749" s="1">
        <f t="shared" si="23"/>
        <v>13</v>
      </c>
    </row>
    <row r="750" spans="1:23" x14ac:dyDescent="0.35">
      <c r="A750">
        <v>747</v>
      </c>
      <c r="B750">
        <v>10548</v>
      </c>
      <c r="C750">
        <v>1995</v>
      </c>
      <c r="D750" s="1" t="s">
        <v>10</v>
      </c>
      <c r="E750" s="1" t="s">
        <v>11</v>
      </c>
      <c r="F750">
        <v>71163</v>
      </c>
      <c r="G750">
        <v>0</v>
      </c>
      <c r="H750" s="2">
        <v>0</v>
      </c>
      <c r="I750" s="2">
        <v>41707</v>
      </c>
      <c r="J750">
        <v>30</v>
      </c>
      <c r="K750">
        <f>VLOOKUP(B750,purchase_dataset!$B$2:$F$2241,2,FALSE)</f>
        <v>17</v>
      </c>
      <c r="L750">
        <f>VLOOKUP(B750,purchase_dataset!$B$2:$F$2241,3,FALSE)</f>
        <v>106</v>
      </c>
      <c r="M750">
        <f>VLOOKUP(B750,purchase_dataset!$B$2:$F$2241,3,FALSE)</f>
        <v>106</v>
      </c>
      <c r="N750">
        <f>VLOOKUP(B750,purchase_dataset!$B$2:$F$2241,5,FALSE)</f>
        <v>12</v>
      </c>
      <c r="O750" s="5">
        <v>31</v>
      </c>
      <c r="P750" s="4" t="str">
        <f t="shared" si="22"/>
        <v>30-50</v>
      </c>
      <c r="Q750" s="4">
        <f>M750+N750</f>
        <v>118</v>
      </c>
      <c r="U750" s="28" t="str" cm="1">
        <f t="array" ref="U750">_xlfn.IFS(F750&lt;30000,"30k",F750&lt;=50000,"30k-50k",F750&lt;=75000,"50k-75k",F750&lt;=100000,"75k-100k",F750&gt;100000,"100k")</f>
        <v>50k-75k</v>
      </c>
      <c r="W750" s="1">
        <f t="shared" si="23"/>
        <v>12</v>
      </c>
    </row>
    <row r="751" spans="1:23" x14ac:dyDescent="0.35">
      <c r="A751">
        <v>748</v>
      </c>
      <c r="B751">
        <v>2281</v>
      </c>
      <c r="C751">
        <v>1970</v>
      </c>
      <c r="D751" s="1" t="s">
        <v>10</v>
      </c>
      <c r="E751" s="1" t="s">
        <v>11</v>
      </c>
      <c r="F751">
        <v>33697</v>
      </c>
      <c r="G751">
        <v>1</v>
      </c>
      <c r="H751" s="2">
        <v>0</v>
      </c>
      <c r="I751" s="2">
        <v>41532</v>
      </c>
      <c r="J751">
        <v>34</v>
      </c>
      <c r="K751">
        <f>VLOOKUP(B751,purchase_dataset!$B$2:$F$2241,2,FALSE)</f>
        <v>3</v>
      </c>
      <c r="L751">
        <f>VLOOKUP(B751,purchase_dataset!$B$2:$F$2241,3,FALSE)</f>
        <v>3</v>
      </c>
      <c r="M751">
        <f>VLOOKUP(B751,purchase_dataset!$B$2:$F$2241,3,FALSE)</f>
        <v>3</v>
      </c>
      <c r="N751">
        <f>VLOOKUP(B751,purchase_dataset!$B$2:$F$2241,5,FALSE)</f>
        <v>2</v>
      </c>
      <c r="O751" s="5">
        <v>56</v>
      </c>
      <c r="P751" s="4" t="str">
        <f t="shared" si="22"/>
        <v>&gt;50</v>
      </c>
      <c r="Q751" s="4">
        <f>M751+N751</f>
        <v>5</v>
      </c>
      <c r="U751" s="28" t="str" cm="1">
        <f t="array" ref="U751">_xlfn.IFS(F751&lt;30000,"30k",F751&lt;=50000,"30k-50k",F751&lt;=75000,"50k-75k",F751&lt;=100000,"75k-100k",F751&gt;100000,"100k")</f>
        <v>30k-50k</v>
      </c>
      <c r="W751" s="1">
        <f t="shared" si="23"/>
        <v>13</v>
      </c>
    </row>
    <row r="752" spans="1:23" x14ac:dyDescent="0.35">
      <c r="A752">
        <v>749</v>
      </c>
      <c r="B752">
        <v>4073</v>
      </c>
      <c r="C752">
        <v>1954</v>
      </c>
      <c r="D752" s="1" t="s">
        <v>18</v>
      </c>
      <c r="E752" s="1" t="s">
        <v>14</v>
      </c>
      <c r="F752">
        <v>63564</v>
      </c>
      <c r="G752">
        <v>0</v>
      </c>
      <c r="H752" s="2">
        <v>0</v>
      </c>
      <c r="I752" s="2">
        <v>41668</v>
      </c>
      <c r="J752">
        <v>0</v>
      </c>
      <c r="K752">
        <f>VLOOKUP(B752,purchase_dataset!$B$2:$F$2241,2,FALSE)</f>
        <v>80</v>
      </c>
      <c r="L752">
        <f>VLOOKUP(B752,purchase_dataset!$B$2:$F$2241,3,FALSE)</f>
        <v>34</v>
      </c>
      <c r="M752">
        <f>VLOOKUP(B752,purchase_dataset!$B$2:$F$2241,3,FALSE)</f>
        <v>34</v>
      </c>
      <c r="N752">
        <f>VLOOKUP(B752,purchase_dataset!$B$2:$F$2241,5,FALSE)</f>
        <v>7</v>
      </c>
      <c r="O752" s="5">
        <v>72</v>
      </c>
      <c r="P752" s="4" t="str">
        <f t="shared" si="22"/>
        <v>&gt;50</v>
      </c>
      <c r="Q752" s="4">
        <f>M752+N752</f>
        <v>41</v>
      </c>
      <c r="U752" s="28" t="str" cm="1">
        <f t="array" ref="U752">_xlfn.IFS(F752&lt;30000,"30k",F752&lt;=50000,"30k-50k",F752&lt;=75000,"50k-75k",F752&lt;=100000,"75k-100k",F752&gt;100000,"100k")</f>
        <v>50k-75k</v>
      </c>
      <c r="W752" s="1">
        <f t="shared" si="23"/>
        <v>12</v>
      </c>
    </row>
    <row r="753" spans="1:23" x14ac:dyDescent="0.35">
      <c r="A753">
        <v>750</v>
      </c>
      <c r="B753">
        <v>6974</v>
      </c>
      <c r="C753">
        <v>1972</v>
      </c>
      <c r="D753" s="1" t="s">
        <v>13</v>
      </c>
      <c r="E753" s="1" t="s">
        <v>12</v>
      </c>
      <c r="F753">
        <v>83443</v>
      </c>
      <c r="G753">
        <v>0</v>
      </c>
      <c r="H753" s="2">
        <v>0</v>
      </c>
      <c r="I753" s="2">
        <v>41639</v>
      </c>
      <c r="J753">
        <v>89</v>
      </c>
      <c r="K753">
        <f>VLOOKUP(B753,purchase_dataset!$B$2:$F$2241,2,FALSE)</f>
        <v>42</v>
      </c>
      <c r="L753">
        <f>VLOOKUP(B753,purchase_dataset!$B$2:$F$2241,3,FALSE)</f>
        <v>56</v>
      </c>
      <c r="M753">
        <f>VLOOKUP(B753,purchase_dataset!$B$2:$F$2241,3,FALSE)</f>
        <v>56</v>
      </c>
      <c r="N753">
        <f>VLOOKUP(B753,purchase_dataset!$B$2:$F$2241,5,FALSE)</f>
        <v>5</v>
      </c>
      <c r="O753" s="5">
        <v>54</v>
      </c>
      <c r="P753" s="4" t="str">
        <f t="shared" si="22"/>
        <v>&gt;50</v>
      </c>
      <c r="Q753" s="4">
        <f>M753+N753</f>
        <v>61</v>
      </c>
      <c r="U753" s="28" t="str" cm="1">
        <f t="array" ref="U753">_xlfn.IFS(F753&lt;30000,"30k",F753&lt;=50000,"30k-50k",F753&lt;=75000,"50k-75k",F753&lt;=100000,"75k-100k",F753&gt;100000,"100k")</f>
        <v>75k-100k</v>
      </c>
      <c r="W753" s="1">
        <f t="shared" si="23"/>
        <v>13</v>
      </c>
    </row>
    <row r="754" spans="1:23" x14ac:dyDescent="0.35">
      <c r="A754">
        <v>751</v>
      </c>
      <c r="B754">
        <v>7938</v>
      </c>
      <c r="C754">
        <v>1958</v>
      </c>
      <c r="D754" s="1" t="s">
        <v>13</v>
      </c>
      <c r="E754" s="1" t="s">
        <v>12</v>
      </c>
      <c r="F754">
        <v>51518</v>
      </c>
      <c r="G754">
        <v>0</v>
      </c>
      <c r="H754" s="2">
        <v>1</v>
      </c>
      <c r="I754" s="2">
        <v>41550</v>
      </c>
      <c r="J754">
        <v>92</v>
      </c>
      <c r="K754">
        <f>VLOOKUP(B754,purchase_dataset!$B$2:$F$2241,2,FALSE)</f>
        <v>8</v>
      </c>
      <c r="L754">
        <f>VLOOKUP(B754,purchase_dataset!$B$2:$F$2241,3,FALSE)</f>
        <v>4</v>
      </c>
      <c r="M754">
        <f>VLOOKUP(B754,purchase_dataset!$B$2:$F$2241,3,FALSE)</f>
        <v>4</v>
      </c>
      <c r="N754">
        <f>VLOOKUP(B754,purchase_dataset!$B$2:$F$2241,5,FALSE)</f>
        <v>10</v>
      </c>
      <c r="O754" s="5">
        <v>68</v>
      </c>
      <c r="P754" s="4" t="str">
        <f t="shared" si="22"/>
        <v>&gt;50</v>
      </c>
      <c r="Q754" s="4">
        <f>M754+N754</f>
        <v>14</v>
      </c>
      <c r="U754" s="28" t="str" cm="1">
        <f t="array" ref="U754">_xlfn.IFS(F754&lt;30000,"30k",F754&lt;=50000,"30k-50k",F754&lt;=75000,"50k-75k",F754&lt;=100000,"75k-100k",F754&gt;100000,"100k")</f>
        <v>50k-75k</v>
      </c>
      <c r="W754" s="1">
        <f t="shared" si="23"/>
        <v>13</v>
      </c>
    </row>
    <row r="755" spans="1:23" x14ac:dyDescent="0.35">
      <c r="A755">
        <v>752</v>
      </c>
      <c r="B755">
        <v>7094</v>
      </c>
      <c r="C755">
        <v>1975</v>
      </c>
      <c r="D755" s="1" t="s">
        <v>10</v>
      </c>
      <c r="E755" s="1" t="s">
        <v>19</v>
      </c>
      <c r="F755">
        <v>58330</v>
      </c>
      <c r="G755">
        <v>0</v>
      </c>
      <c r="H755" s="2">
        <v>1</v>
      </c>
      <c r="I755" s="2">
        <v>41633</v>
      </c>
      <c r="J755">
        <v>87</v>
      </c>
      <c r="K755">
        <f>VLOOKUP(B755,purchase_dataset!$B$2:$F$2241,2,FALSE)</f>
        <v>53</v>
      </c>
      <c r="L755">
        <f>VLOOKUP(B755,purchase_dataset!$B$2:$F$2241,3,FALSE)</f>
        <v>98</v>
      </c>
      <c r="M755">
        <f>VLOOKUP(B755,purchase_dataset!$B$2:$F$2241,3,FALSE)</f>
        <v>98</v>
      </c>
      <c r="N755">
        <f>VLOOKUP(B755,purchase_dataset!$B$2:$F$2241,5,FALSE)</f>
        <v>13</v>
      </c>
      <c r="O755" s="5">
        <v>51</v>
      </c>
      <c r="P755" s="4" t="str">
        <f t="shared" si="22"/>
        <v>&gt;50</v>
      </c>
      <c r="Q755" s="4">
        <f>M755+N755</f>
        <v>111</v>
      </c>
      <c r="U755" s="28" t="str" cm="1">
        <f t="array" ref="U755">_xlfn.IFS(F755&lt;30000,"30k",F755&lt;=50000,"30k-50k",F755&lt;=75000,"50k-75k",F755&lt;=100000,"75k-100k",F755&gt;100000,"100k")</f>
        <v>50k-75k</v>
      </c>
      <c r="W755" s="1">
        <f t="shared" si="23"/>
        <v>13</v>
      </c>
    </row>
    <row r="756" spans="1:23" x14ac:dyDescent="0.35">
      <c r="A756">
        <v>753</v>
      </c>
      <c r="B756">
        <v>3667</v>
      </c>
      <c r="C756">
        <v>1969</v>
      </c>
      <c r="D756" s="1" t="s">
        <v>10</v>
      </c>
      <c r="E756" s="1" t="s">
        <v>14</v>
      </c>
      <c r="F756">
        <v>80952</v>
      </c>
      <c r="G756">
        <v>0</v>
      </c>
      <c r="H756" s="2">
        <v>0</v>
      </c>
      <c r="I756" s="2">
        <v>41333</v>
      </c>
      <c r="J756">
        <v>20</v>
      </c>
      <c r="K756">
        <f>VLOOKUP(B756,purchase_dataset!$B$2:$F$2241,2,FALSE)</f>
        <v>178</v>
      </c>
      <c r="L756">
        <f>VLOOKUP(B756,purchase_dataset!$B$2:$F$2241,3,FALSE)</f>
        <v>27</v>
      </c>
      <c r="M756">
        <f>VLOOKUP(B756,purchase_dataset!$B$2:$F$2241,3,FALSE)</f>
        <v>27</v>
      </c>
      <c r="N756">
        <f>VLOOKUP(B756,purchase_dataset!$B$2:$F$2241,5,FALSE)</f>
        <v>11</v>
      </c>
      <c r="O756" s="5">
        <v>57</v>
      </c>
      <c r="P756" s="4" t="str">
        <f t="shared" si="22"/>
        <v>&gt;50</v>
      </c>
      <c r="Q756" s="4">
        <f>M756+N756</f>
        <v>38</v>
      </c>
      <c r="U756" s="28" t="str" cm="1">
        <f t="array" ref="U756">_xlfn.IFS(F756&lt;30000,"30k",F756&lt;=50000,"30k-50k",F756&lt;=75000,"50k-75k",F756&lt;=100000,"75k-100k",F756&gt;100000,"100k")</f>
        <v>75k-100k</v>
      </c>
      <c r="W756" s="1">
        <f t="shared" si="23"/>
        <v>13</v>
      </c>
    </row>
    <row r="757" spans="1:23" x14ac:dyDescent="0.35">
      <c r="A757">
        <v>754</v>
      </c>
      <c r="B757">
        <v>7723</v>
      </c>
      <c r="C757">
        <v>1979</v>
      </c>
      <c r="D757" s="1" t="s">
        <v>10</v>
      </c>
      <c r="E757" s="1" t="s">
        <v>12</v>
      </c>
      <c r="F757">
        <v>75507</v>
      </c>
      <c r="G757">
        <v>0</v>
      </c>
      <c r="H757" s="2">
        <v>0</v>
      </c>
      <c r="I757" s="2">
        <v>41761</v>
      </c>
      <c r="J757">
        <v>56</v>
      </c>
      <c r="K757">
        <f>VLOOKUP(B757,purchase_dataset!$B$2:$F$2241,2,FALSE)</f>
        <v>93</v>
      </c>
      <c r="L757">
        <f>VLOOKUP(B757,purchase_dataset!$B$2:$F$2241,3,FALSE)</f>
        <v>80</v>
      </c>
      <c r="M757">
        <f>VLOOKUP(B757,purchase_dataset!$B$2:$F$2241,3,FALSE)</f>
        <v>80</v>
      </c>
      <c r="N757">
        <f>VLOOKUP(B757,purchase_dataset!$B$2:$F$2241,5,FALSE)</f>
        <v>6</v>
      </c>
      <c r="O757" s="5">
        <v>47</v>
      </c>
      <c r="P757" s="4" t="str">
        <f t="shared" si="22"/>
        <v>30-50</v>
      </c>
      <c r="Q757" s="4">
        <f>M757+N757</f>
        <v>86</v>
      </c>
      <c r="U757" s="28" t="str" cm="1">
        <f t="array" ref="U757">_xlfn.IFS(F757&lt;30000,"30k",F757&lt;=50000,"30k-50k",F757&lt;=75000,"50k-75k",F757&lt;=100000,"75k-100k",F757&gt;100000,"100k")</f>
        <v>75k-100k</v>
      </c>
      <c r="W757" s="1">
        <f t="shared" si="23"/>
        <v>12</v>
      </c>
    </row>
    <row r="758" spans="1:23" x14ac:dyDescent="0.35">
      <c r="A758">
        <v>755</v>
      </c>
      <c r="B758">
        <v>3870</v>
      </c>
      <c r="C758">
        <v>1978</v>
      </c>
      <c r="D758" s="1" t="s">
        <v>18</v>
      </c>
      <c r="E758" s="1" t="s">
        <v>12</v>
      </c>
      <c r="F758">
        <v>63855</v>
      </c>
      <c r="G758">
        <v>0</v>
      </c>
      <c r="H758" s="2">
        <v>0</v>
      </c>
      <c r="I758" s="2">
        <v>41314</v>
      </c>
      <c r="J758">
        <v>28</v>
      </c>
      <c r="K758">
        <f>VLOOKUP(B758,purchase_dataset!$B$2:$F$2241,2,FALSE)</f>
        <v>35</v>
      </c>
      <c r="L758">
        <f>VLOOKUP(B758,purchase_dataset!$B$2:$F$2241,3,FALSE)</f>
        <v>116</v>
      </c>
      <c r="M758">
        <f>VLOOKUP(B758,purchase_dataset!$B$2:$F$2241,3,FALSE)</f>
        <v>116</v>
      </c>
      <c r="N758">
        <f>VLOOKUP(B758,purchase_dataset!$B$2:$F$2241,5,FALSE)</f>
        <v>13</v>
      </c>
      <c r="O758" s="5">
        <v>48</v>
      </c>
      <c r="P758" s="4" t="str">
        <f t="shared" si="22"/>
        <v>30-50</v>
      </c>
      <c r="Q758" s="4">
        <f>M758+N758</f>
        <v>129</v>
      </c>
      <c r="U758" s="28" t="str" cm="1">
        <f t="array" ref="U758">_xlfn.IFS(F758&lt;30000,"30k",F758&lt;=50000,"30k-50k",F758&lt;=75000,"50k-75k",F758&lt;=100000,"75k-100k",F758&gt;100000,"100k")</f>
        <v>50k-75k</v>
      </c>
      <c r="W758" s="1">
        <f t="shared" si="23"/>
        <v>13</v>
      </c>
    </row>
    <row r="759" spans="1:23" x14ac:dyDescent="0.35">
      <c r="A759">
        <v>756</v>
      </c>
      <c r="B759">
        <v>4012</v>
      </c>
      <c r="C759">
        <v>1972</v>
      </c>
      <c r="D759" s="1" t="s">
        <v>13</v>
      </c>
      <c r="E759" s="1" t="s">
        <v>12</v>
      </c>
      <c r="F759">
        <v>62220</v>
      </c>
      <c r="G759">
        <v>0</v>
      </c>
      <c r="H759" s="2">
        <v>1</v>
      </c>
      <c r="I759" s="2">
        <v>41132</v>
      </c>
      <c r="J759">
        <v>55</v>
      </c>
      <c r="K759">
        <f>VLOOKUP(B759,purchase_dataset!$B$2:$F$2241,2,FALSE)</f>
        <v>12</v>
      </c>
      <c r="L759">
        <f>VLOOKUP(B759,purchase_dataset!$B$2:$F$2241,3,FALSE)</f>
        <v>12</v>
      </c>
      <c r="M759">
        <f>VLOOKUP(B759,purchase_dataset!$B$2:$F$2241,3,FALSE)</f>
        <v>12</v>
      </c>
      <c r="N759">
        <f>VLOOKUP(B759,purchase_dataset!$B$2:$F$2241,5,FALSE)</f>
        <v>5</v>
      </c>
      <c r="O759" s="5">
        <v>54</v>
      </c>
      <c r="P759" s="4" t="str">
        <f t="shared" si="22"/>
        <v>&gt;50</v>
      </c>
      <c r="Q759" s="4">
        <f>M759+N759</f>
        <v>17</v>
      </c>
      <c r="U759" s="28" t="str" cm="1">
        <f t="array" ref="U759">_xlfn.IFS(F759&lt;30000,"30k",F759&lt;=50000,"30k-50k",F759&lt;=75000,"50k-75k",F759&lt;=100000,"75k-100k",F759&gt;100000,"100k")</f>
        <v>50k-75k</v>
      </c>
      <c r="W759" s="1">
        <f t="shared" si="23"/>
        <v>14</v>
      </c>
    </row>
    <row r="760" spans="1:23" x14ac:dyDescent="0.35">
      <c r="A760">
        <v>757</v>
      </c>
      <c r="B760">
        <v>5909</v>
      </c>
      <c r="C760">
        <v>1964</v>
      </c>
      <c r="D760" s="1" t="s">
        <v>10</v>
      </c>
      <c r="E760" s="1" t="s">
        <v>14</v>
      </c>
      <c r="F760">
        <v>58512</v>
      </c>
      <c r="G760">
        <v>0</v>
      </c>
      <c r="H760" s="2">
        <v>1</v>
      </c>
      <c r="I760" s="2">
        <v>41536</v>
      </c>
      <c r="J760">
        <v>25</v>
      </c>
      <c r="K760">
        <f>VLOOKUP(B760,purchase_dataset!$B$2:$F$2241,2,FALSE)</f>
        <v>10</v>
      </c>
      <c r="L760">
        <f>VLOOKUP(B760,purchase_dataset!$B$2:$F$2241,3,FALSE)</f>
        <v>0</v>
      </c>
      <c r="M760">
        <f>VLOOKUP(B760,purchase_dataset!$B$2:$F$2241,3,FALSE)</f>
        <v>0</v>
      </c>
      <c r="N760">
        <f>VLOOKUP(B760,purchase_dataset!$B$2:$F$2241,5,FALSE)</f>
        <v>8</v>
      </c>
      <c r="O760" s="5">
        <v>62</v>
      </c>
      <c r="P760" s="4" t="str">
        <f t="shared" si="22"/>
        <v>&gt;50</v>
      </c>
      <c r="Q760" s="4">
        <f>M760+N760</f>
        <v>8</v>
      </c>
      <c r="U760" s="28" t="str" cm="1">
        <f t="array" ref="U760">_xlfn.IFS(F760&lt;30000,"30k",F760&lt;=50000,"30k-50k",F760&lt;=75000,"50k-75k",F760&lt;=100000,"75k-100k",F760&gt;100000,"100k")</f>
        <v>50k-75k</v>
      </c>
      <c r="W760" s="1">
        <f t="shared" si="23"/>
        <v>13</v>
      </c>
    </row>
    <row r="761" spans="1:23" x14ac:dyDescent="0.35">
      <c r="A761">
        <v>758</v>
      </c>
      <c r="B761">
        <v>10470</v>
      </c>
      <c r="C761">
        <v>1979</v>
      </c>
      <c r="D761" s="1" t="s">
        <v>15</v>
      </c>
      <c r="E761" s="1" t="s">
        <v>14</v>
      </c>
      <c r="F761">
        <v>40662</v>
      </c>
      <c r="G761">
        <v>1</v>
      </c>
      <c r="H761" s="2">
        <v>0</v>
      </c>
      <c r="I761" s="2">
        <v>41348</v>
      </c>
      <c r="J761">
        <v>0</v>
      </c>
      <c r="K761">
        <f>VLOOKUP(B761,purchase_dataset!$B$2:$F$2241,2,FALSE)</f>
        <v>2</v>
      </c>
      <c r="L761">
        <f>VLOOKUP(B761,purchase_dataset!$B$2:$F$2241,3,FALSE)</f>
        <v>4</v>
      </c>
      <c r="M761">
        <f>VLOOKUP(B761,purchase_dataset!$B$2:$F$2241,3,FALSE)</f>
        <v>4</v>
      </c>
      <c r="N761">
        <f>VLOOKUP(B761,purchase_dataset!$B$2:$F$2241,5,FALSE)</f>
        <v>3</v>
      </c>
      <c r="O761" s="5">
        <v>47</v>
      </c>
      <c r="P761" s="4" t="str">
        <f t="shared" si="22"/>
        <v>30-50</v>
      </c>
      <c r="Q761" s="4">
        <f>M761+N761</f>
        <v>7</v>
      </c>
      <c r="U761" s="28" t="str" cm="1">
        <f t="array" ref="U761">_xlfn.IFS(F761&lt;30000,"30k",F761&lt;=50000,"30k-50k",F761&lt;=75000,"50k-75k",F761&lt;=100000,"75k-100k",F761&gt;100000,"100k")</f>
        <v>30k-50k</v>
      </c>
      <c r="W761" s="1">
        <f t="shared" si="23"/>
        <v>13</v>
      </c>
    </row>
    <row r="762" spans="1:23" x14ac:dyDescent="0.35">
      <c r="A762">
        <v>759</v>
      </c>
      <c r="B762">
        <v>6488</v>
      </c>
      <c r="C762">
        <v>1959</v>
      </c>
      <c r="D762" s="1" t="s">
        <v>13</v>
      </c>
      <c r="E762" s="1" t="s">
        <v>14</v>
      </c>
      <c r="F762">
        <v>38829</v>
      </c>
      <c r="G762">
        <v>0</v>
      </c>
      <c r="H762" s="2">
        <v>1</v>
      </c>
      <c r="I762" s="2">
        <v>41735</v>
      </c>
      <c r="J762">
        <v>86</v>
      </c>
      <c r="K762">
        <f>VLOOKUP(B762,purchase_dataset!$B$2:$F$2241,2,FALSE)</f>
        <v>0</v>
      </c>
      <c r="L762">
        <f>VLOOKUP(B762,purchase_dataset!$B$2:$F$2241,3,FALSE)</f>
        <v>0</v>
      </c>
      <c r="M762">
        <f>VLOOKUP(B762,purchase_dataset!$B$2:$F$2241,3,FALSE)</f>
        <v>0</v>
      </c>
      <c r="N762">
        <f>VLOOKUP(B762,purchase_dataset!$B$2:$F$2241,5,FALSE)</f>
        <v>2</v>
      </c>
      <c r="O762" s="5">
        <v>67</v>
      </c>
      <c r="P762" s="4" t="str">
        <f t="shared" si="22"/>
        <v>&gt;50</v>
      </c>
      <c r="Q762" s="4">
        <f>M762+N762</f>
        <v>2</v>
      </c>
      <c r="U762" s="28" t="str" cm="1">
        <f t="array" ref="U762">_xlfn.IFS(F762&lt;30000,"30k",F762&lt;=50000,"30k-50k",F762&lt;=75000,"50k-75k",F762&lt;=100000,"75k-100k",F762&gt;100000,"100k")</f>
        <v>30k-50k</v>
      </c>
      <c r="W762" s="1">
        <f t="shared" si="23"/>
        <v>12</v>
      </c>
    </row>
    <row r="763" spans="1:23" x14ac:dyDescent="0.35">
      <c r="A763">
        <v>760</v>
      </c>
      <c r="B763">
        <v>10270</v>
      </c>
      <c r="C763">
        <v>1981</v>
      </c>
      <c r="D763" s="1" t="s">
        <v>18</v>
      </c>
      <c r="E763" s="1" t="s">
        <v>14</v>
      </c>
      <c r="F763">
        <v>35523</v>
      </c>
      <c r="G763">
        <v>1</v>
      </c>
      <c r="H763" s="2">
        <v>0</v>
      </c>
      <c r="I763" s="2">
        <v>41550</v>
      </c>
      <c r="J763">
        <v>8</v>
      </c>
      <c r="K763">
        <f>VLOOKUP(B763,purchase_dataset!$B$2:$F$2241,2,FALSE)</f>
        <v>5</v>
      </c>
      <c r="L763">
        <f>VLOOKUP(B763,purchase_dataset!$B$2:$F$2241,3,FALSE)</f>
        <v>5</v>
      </c>
      <c r="M763">
        <f>VLOOKUP(B763,purchase_dataset!$B$2:$F$2241,3,FALSE)</f>
        <v>5</v>
      </c>
      <c r="N763">
        <f>VLOOKUP(B763,purchase_dataset!$B$2:$F$2241,5,FALSE)</f>
        <v>3</v>
      </c>
      <c r="O763" s="5">
        <v>45</v>
      </c>
      <c r="P763" s="4" t="str">
        <f t="shared" si="22"/>
        <v>30-50</v>
      </c>
      <c r="Q763" s="4">
        <f>M763+N763</f>
        <v>8</v>
      </c>
      <c r="U763" s="28" t="str" cm="1">
        <f t="array" ref="U763">_xlfn.IFS(F763&lt;30000,"30k",F763&lt;=50000,"30k-50k",F763&lt;=75000,"50k-75k",F763&lt;=100000,"75k-100k",F763&gt;100000,"100k")</f>
        <v>30k-50k</v>
      </c>
      <c r="W763" s="1">
        <f t="shared" si="23"/>
        <v>13</v>
      </c>
    </row>
    <row r="764" spans="1:23" x14ac:dyDescent="0.35">
      <c r="A764">
        <v>761</v>
      </c>
      <c r="B764">
        <v>6887</v>
      </c>
      <c r="C764">
        <v>1967</v>
      </c>
      <c r="D764" s="1" t="s">
        <v>10</v>
      </c>
      <c r="E764" s="1" t="s">
        <v>11</v>
      </c>
      <c r="F764">
        <v>79146</v>
      </c>
      <c r="G764">
        <v>1</v>
      </c>
      <c r="H764" s="2">
        <v>1</v>
      </c>
      <c r="I764" s="2">
        <v>41753</v>
      </c>
      <c r="J764">
        <v>33</v>
      </c>
      <c r="K764">
        <f>VLOOKUP(B764,purchase_dataset!$B$2:$F$2241,2,FALSE)</f>
        <v>16</v>
      </c>
      <c r="L764">
        <f>VLOOKUP(B764,purchase_dataset!$B$2:$F$2241,3,FALSE)</f>
        <v>43</v>
      </c>
      <c r="M764">
        <f>VLOOKUP(B764,purchase_dataset!$B$2:$F$2241,3,FALSE)</f>
        <v>43</v>
      </c>
      <c r="N764">
        <f>VLOOKUP(B764,purchase_dataset!$B$2:$F$2241,5,FALSE)</f>
        <v>8</v>
      </c>
      <c r="O764" s="5">
        <v>59</v>
      </c>
      <c r="P764" s="4" t="str">
        <f t="shared" si="22"/>
        <v>&gt;50</v>
      </c>
      <c r="Q764" s="4">
        <f>M764+N764</f>
        <v>51</v>
      </c>
      <c r="U764" s="28" t="str" cm="1">
        <f t="array" ref="U764">_xlfn.IFS(F764&lt;30000,"30k",F764&lt;=50000,"30k-50k",F764&lt;=75000,"50k-75k",F764&lt;=100000,"75k-100k",F764&gt;100000,"100k")</f>
        <v>75k-100k</v>
      </c>
      <c r="W764" s="1">
        <f t="shared" si="23"/>
        <v>12</v>
      </c>
    </row>
    <row r="765" spans="1:23" x14ac:dyDescent="0.35">
      <c r="A765">
        <v>762</v>
      </c>
      <c r="B765">
        <v>6406</v>
      </c>
      <c r="C765">
        <v>1988</v>
      </c>
      <c r="D765" s="1" t="s">
        <v>15</v>
      </c>
      <c r="E765" s="1" t="s">
        <v>14</v>
      </c>
      <c r="F765">
        <v>78285</v>
      </c>
      <c r="G765">
        <v>0</v>
      </c>
      <c r="H765" s="2">
        <v>0</v>
      </c>
      <c r="I765" s="2">
        <v>41575</v>
      </c>
      <c r="J765">
        <v>13</v>
      </c>
      <c r="K765">
        <f>VLOOKUP(B765,purchase_dataset!$B$2:$F$2241,2,FALSE)</f>
        <v>107</v>
      </c>
      <c r="L765">
        <f>VLOOKUP(B765,purchase_dataset!$B$2:$F$2241,3,FALSE)</f>
        <v>67</v>
      </c>
      <c r="M765">
        <f>VLOOKUP(B765,purchase_dataset!$B$2:$F$2241,3,FALSE)</f>
        <v>67</v>
      </c>
      <c r="N765">
        <f>VLOOKUP(B765,purchase_dataset!$B$2:$F$2241,5,FALSE)</f>
        <v>10</v>
      </c>
      <c r="O765" s="5">
        <v>38</v>
      </c>
      <c r="P765" s="4" t="str">
        <f t="shared" si="22"/>
        <v>30-50</v>
      </c>
      <c r="Q765" s="4">
        <f>M765+N765</f>
        <v>77</v>
      </c>
      <c r="U765" s="28" t="str" cm="1">
        <f t="array" ref="U765">_xlfn.IFS(F765&lt;30000,"30k",F765&lt;=50000,"30k-50k",F765&lt;=75000,"50k-75k",F765&lt;=100000,"75k-100k",F765&gt;100000,"100k")</f>
        <v>75k-100k</v>
      </c>
      <c r="W765" s="1">
        <f t="shared" si="23"/>
        <v>13</v>
      </c>
    </row>
    <row r="766" spans="1:23" x14ac:dyDescent="0.35">
      <c r="A766">
        <v>763</v>
      </c>
      <c r="B766">
        <v>7573</v>
      </c>
      <c r="C766">
        <v>1978</v>
      </c>
      <c r="D766" s="1" t="s">
        <v>13</v>
      </c>
      <c r="E766" s="1" t="s">
        <v>11</v>
      </c>
      <c r="F766">
        <v>31626</v>
      </c>
      <c r="G766">
        <v>1</v>
      </c>
      <c r="H766" s="2">
        <v>0</v>
      </c>
      <c r="I766" s="2">
        <v>41404</v>
      </c>
      <c r="J766">
        <v>12</v>
      </c>
      <c r="K766">
        <f>VLOOKUP(B766,purchase_dataset!$B$2:$F$2241,2,FALSE)</f>
        <v>1</v>
      </c>
      <c r="L766">
        <f>VLOOKUP(B766,purchase_dataset!$B$2:$F$2241,3,FALSE)</f>
        <v>1</v>
      </c>
      <c r="M766">
        <f>VLOOKUP(B766,purchase_dataset!$B$2:$F$2241,3,FALSE)</f>
        <v>1</v>
      </c>
      <c r="N766">
        <f>VLOOKUP(B766,purchase_dataset!$B$2:$F$2241,5,FALSE)</f>
        <v>2</v>
      </c>
      <c r="O766" s="5">
        <v>48</v>
      </c>
      <c r="P766" s="4" t="str">
        <f t="shared" si="22"/>
        <v>30-50</v>
      </c>
      <c r="Q766" s="4">
        <f>M766+N766</f>
        <v>3</v>
      </c>
      <c r="U766" s="28" t="str" cm="1">
        <f t="array" ref="U766">_xlfn.IFS(F766&lt;30000,"30k",F766&lt;=50000,"30k-50k",F766&lt;=75000,"50k-75k",F766&lt;=100000,"75k-100k",F766&gt;100000,"100k")</f>
        <v>30k-50k</v>
      </c>
      <c r="W766" s="1">
        <f t="shared" si="23"/>
        <v>13</v>
      </c>
    </row>
    <row r="767" spans="1:23" x14ac:dyDescent="0.35">
      <c r="A767">
        <v>764</v>
      </c>
      <c r="B767">
        <v>4508</v>
      </c>
      <c r="C767">
        <v>1952</v>
      </c>
      <c r="D767" s="1" t="s">
        <v>10</v>
      </c>
      <c r="E767" s="1" t="s">
        <v>11</v>
      </c>
      <c r="F767">
        <v>75127</v>
      </c>
      <c r="G767">
        <v>0</v>
      </c>
      <c r="H767" s="2">
        <v>0</v>
      </c>
      <c r="I767" s="2">
        <v>41781</v>
      </c>
      <c r="J767">
        <v>92</v>
      </c>
      <c r="K767">
        <f>VLOOKUP(B767,purchase_dataset!$B$2:$F$2241,2,FALSE)</f>
        <v>35</v>
      </c>
      <c r="L767">
        <f>VLOOKUP(B767,purchase_dataset!$B$2:$F$2241,3,FALSE)</f>
        <v>17</v>
      </c>
      <c r="M767">
        <f>VLOOKUP(B767,purchase_dataset!$B$2:$F$2241,3,FALSE)</f>
        <v>17</v>
      </c>
      <c r="N767">
        <f>VLOOKUP(B767,purchase_dataset!$B$2:$F$2241,5,FALSE)</f>
        <v>5</v>
      </c>
      <c r="O767" s="5">
        <v>74</v>
      </c>
      <c r="P767" s="4" t="str">
        <f t="shared" si="22"/>
        <v>&gt;50</v>
      </c>
      <c r="Q767" s="4">
        <f>M767+N767</f>
        <v>22</v>
      </c>
      <c r="U767" s="28" t="str" cm="1">
        <f t="array" ref="U767">_xlfn.IFS(F767&lt;30000,"30k",F767&lt;=50000,"30k-50k",F767&lt;=75000,"50k-75k",F767&lt;=100000,"75k-100k",F767&gt;100000,"100k")</f>
        <v>75k-100k</v>
      </c>
      <c r="W767" s="1">
        <f t="shared" si="23"/>
        <v>12</v>
      </c>
    </row>
    <row r="768" spans="1:23" x14ac:dyDescent="0.35">
      <c r="A768">
        <v>765</v>
      </c>
      <c r="B768">
        <v>221</v>
      </c>
      <c r="C768">
        <v>1955</v>
      </c>
      <c r="D768" s="1" t="s">
        <v>10</v>
      </c>
      <c r="E768" s="1" t="s">
        <v>14</v>
      </c>
      <c r="F768">
        <v>48726</v>
      </c>
      <c r="G768">
        <v>0</v>
      </c>
      <c r="H768" s="2">
        <v>1</v>
      </c>
      <c r="I768" s="2">
        <v>41391</v>
      </c>
      <c r="J768">
        <v>90</v>
      </c>
      <c r="K768">
        <f>VLOOKUP(B768,purchase_dataset!$B$2:$F$2241,2,FALSE)</f>
        <v>3</v>
      </c>
      <c r="L768">
        <f>VLOOKUP(B768,purchase_dataset!$B$2:$F$2241,3,FALSE)</f>
        <v>0</v>
      </c>
      <c r="M768">
        <f>VLOOKUP(B768,purchase_dataset!$B$2:$F$2241,3,FALSE)</f>
        <v>0</v>
      </c>
      <c r="N768">
        <f>VLOOKUP(B768,purchase_dataset!$B$2:$F$2241,5,FALSE)</f>
        <v>4</v>
      </c>
      <c r="O768" s="5">
        <v>71</v>
      </c>
      <c r="P768" s="4" t="str">
        <f t="shared" si="22"/>
        <v>&gt;50</v>
      </c>
      <c r="Q768" s="4">
        <f>M768+N768</f>
        <v>4</v>
      </c>
      <c r="U768" s="28" t="str" cm="1">
        <f t="array" ref="U768">_xlfn.IFS(F768&lt;30000,"30k",F768&lt;=50000,"30k-50k",F768&lt;=75000,"50k-75k",F768&lt;=100000,"75k-100k",F768&gt;100000,"100k")</f>
        <v>30k-50k</v>
      </c>
      <c r="W768" s="1">
        <f t="shared" si="23"/>
        <v>13</v>
      </c>
    </row>
    <row r="769" spans="1:23" x14ac:dyDescent="0.35">
      <c r="A769">
        <v>766</v>
      </c>
      <c r="B769">
        <v>5331</v>
      </c>
      <c r="C769">
        <v>1977</v>
      </c>
      <c r="D769" s="1" t="s">
        <v>10</v>
      </c>
      <c r="E769" s="1" t="s">
        <v>14</v>
      </c>
      <c r="F769">
        <v>74985</v>
      </c>
      <c r="G769">
        <v>0</v>
      </c>
      <c r="H769" s="2">
        <v>0</v>
      </c>
      <c r="I769" s="2">
        <v>41163</v>
      </c>
      <c r="J769">
        <v>8</v>
      </c>
      <c r="K769">
        <f>VLOOKUP(B769,purchase_dataset!$B$2:$F$2241,2,FALSE)</f>
        <v>51</v>
      </c>
      <c r="L769">
        <f>VLOOKUP(B769,purchase_dataset!$B$2:$F$2241,3,FALSE)</f>
        <v>0</v>
      </c>
      <c r="M769">
        <f>VLOOKUP(B769,purchase_dataset!$B$2:$F$2241,3,FALSE)</f>
        <v>0</v>
      </c>
      <c r="N769">
        <f>VLOOKUP(B769,purchase_dataset!$B$2:$F$2241,5,FALSE)</f>
        <v>7</v>
      </c>
      <c r="O769" s="5">
        <v>49</v>
      </c>
      <c r="P769" s="4" t="str">
        <f t="shared" si="22"/>
        <v>30-50</v>
      </c>
      <c r="Q769" s="4">
        <f>M769+N769</f>
        <v>7</v>
      </c>
      <c r="U769" s="28" t="str" cm="1">
        <f t="array" ref="U769">_xlfn.IFS(F769&lt;30000,"30k",F769&lt;=50000,"30k-50k",F769&lt;=75000,"50k-75k",F769&lt;=100000,"75k-100k",F769&gt;100000,"100k")</f>
        <v>50k-75k</v>
      </c>
      <c r="W769" s="1">
        <f t="shared" si="23"/>
        <v>14</v>
      </c>
    </row>
    <row r="770" spans="1:23" x14ac:dyDescent="0.35">
      <c r="A770">
        <v>767</v>
      </c>
      <c r="B770">
        <v>1911</v>
      </c>
      <c r="C770">
        <v>1987</v>
      </c>
      <c r="D770" s="1" t="s">
        <v>10</v>
      </c>
      <c r="E770" s="1" t="s">
        <v>12</v>
      </c>
      <c r="F770">
        <v>67430</v>
      </c>
      <c r="G770">
        <v>0</v>
      </c>
      <c r="H770" s="2">
        <v>0</v>
      </c>
      <c r="I770" s="2">
        <v>41157</v>
      </c>
      <c r="J770">
        <v>6</v>
      </c>
      <c r="K770">
        <f>VLOOKUP(B770,purchase_dataset!$B$2:$F$2241,2,FALSE)</f>
        <v>97</v>
      </c>
      <c r="L770">
        <f>VLOOKUP(B770,purchase_dataset!$B$2:$F$2241,3,FALSE)</f>
        <v>133</v>
      </c>
      <c r="M770">
        <f>VLOOKUP(B770,purchase_dataset!$B$2:$F$2241,3,FALSE)</f>
        <v>133</v>
      </c>
      <c r="N770">
        <f>VLOOKUP(B770,purchase_dataset!$B$2:$F$2241,5,FALSE)</f>
        <v>12</v>
      </c>
      <c r="O770" s="5">
        <v>39</v>
      </c>
      <c r="P770" s="4" t="str">
        <f t="shared" si="22"/>
        <v>30-50</v>
      </c>
      <c r="Q770" s="4">
        <f>M770+N770</f>
        <v>145</v>
      </c>
      <c r="U770" s="28" t="str" cm="1">
        <f t="array" ref="U770">_xlfn.IFS(F770&lt;30000,"30k",F770&lt;=50000,"30k-50k",F770&lt;=75000,"50k-75k",F770&lt;=100000,"75k-100k",F770&gt;100000,"100k")</f>
        <v>50k-75k</v>
      </c>
      <c r="W770" s="1">
        <f t="shared" si="23"/>
        <v>14</v>
      </c>
    </row>
    <row r="771" spans="1:23" x14ac:dyDescent="0.35">
      <c r="A771">
        <v>768</v>
      </c>
      <c r="B771">
        <v>20</v>
      </c>
      <c r="C771">
        <v>1965</v>
      </c>
      <c r="D771" s="1" t="s">
        <v>18</v>
      </c>
      <c r="E771" s="1" t="s">
        <v>14</v>
      </c>
      <c r="F771">
        <v>46891</v>
      </c>
      <c r="G771">
        <v>0</v>
      </c>
      <c r="H771" s="2">
        <v>1</v>
      </c>
      <c r="I771" s="2">
        <v>41518</v>
      </c>
      <c r="J771">
        <v>91</v>
      </c>
      <c r="K771">
        <f>VLOOKUP(B771,purchase_dataset!$B$2:$F$2241,2,FALSE)</f>
        <v>12</v>
      </c>
      <c r="L771">
        <f>VLOOKUP(B771,purchase_dataset!$B$2:$F$2241,3,FALSE)</f>
        <v>15</v>
      </c>
      <c r="M771">
        <f>VLOOKUP(B771,purchase_dataset!$B$2:$F$2241,3,FALSE)</f>
        <v>15</v>
      </c>
      <c r="N771">
        <f>VLOOKUP(B771,purchase_dataset!$B$2:$F$2241,5,FALSE)</f>
        <v>4</v>
      </c>
      <c r="O771" s="5">
        <v>61</v>
      </c>
      <c r="P771" s="4" t="str">
        <f t="shared" si="22"/>
        <v>&gt;50</v>
      </c>
      <c r="Q771" s="4">
        <f>M771+N771</f>
        <v>19</v>
      </c>
      <c r="U771" s="28" t="str" cm="1">
        <f t="array" ref="U771">_xlfn.IFS(F771&lt;30000,"30k",F771&lt;=50000,"30k-50k",F771&lt;=75000,"50k-75k",F771&lt;=100000,"75k-100k",F771&gt;100000,"100k")</f>
        <v>30k-50k</v>
      </c>
      <c r="W771" s="1">
        <f t="shared" si="23"/>
        <v>13</v>
      </c>
    </row>
    <row r="772" spans="1:23" x14ac:dyDescent="0.35">
      <c r="A772">
        <v>769</v>
      </c>
      <c r="B772">
        <v>8786</v>
      </c>
      <c r="C772">
        <v>1956</v>
      </c>
      <c r="D772" s="1" t="s">
        <v>15</v>
      </c>
      <c r="E772" s="1" t="s">
        <v>14</v>
      </c>
      <c r="F772">
        <v>62058</v>
      </c>
      <c r="G772">
        <v>0</v>
      </c>
      <c r="H772" s="2">
        <v>1</v>
      </c>
      <c r="I772" s="2">
        <v>41420</v>
      </c>
      <c r="J772">
        <v>52</v>
      </c>
      <c r="K772">
        <f>VLOOKUP(B772,purchase_dataset!$B$2:$F$2241,2,FALSE)</f>
        <v>7</v>
      </c>
      <c r="L772">
        <f>VLOOKUP(B772,purchase_dataset!$B$2:$F$2241,3,FALSE)</f>
        <v>0</v>
      </c>
      <c r="M772">
        <f>VLOOKUP(B772,purchase_dataset!$B$2:$F$2241,3,FALSE)</f>
        <v>0</v>
      </c>
      <c r="N772">
        <f>VLOOKUP(B772,purchase_dataset!$B$2:$F$2241,5,FALSE)</f>
        <v>7</v>
      </c>
      <c r="O772" s="5">
        <v>70</v>
      </c>
      <c r="P772" s="4" t="str">
        <f t="shared" ref="P772:P835" si="24">IF(O772&lt;30,"30",IF(O772&lt;=50,"30-50","&gt;50"))</f>
        <v>&gt;50</v>
      </c>
      <c r="Q772" s="4">
        <f>M772+N772</f>
        <v>7</v>
      </c>
      <c r="U772" s="28" t="str" cm="1">
        <f t="array" ref="U772">_xlfn.IFS(F772&lt;30000,"30k",F772&lt;=50000,"30k-50k",F772&lt;=75000,"50k-75k",F772&lt;=100000,"75k-100k",F772&gt;100000,"100k")</f>
        <v>50k-75k</v>
      </c>
      <c r="W772" s="1">
        <f t="shared" ref="W772:W835" si="25">2026-YEAR(I772)</f>
        <v>13</v>
      </c>
    </row>
    <row r="773" spans="1:23" x14ac:dyDescent="0.35">
      <c r="A773">
        <v>770</v>
      </c>
      <c r="B773">
        <v>10582</v>
      </c>
      <c r="C773">
        <v>1979</v>
      </c>
      <c r="D773" s="1" t="s">
        <v>10</v>
      </c>
      <c r="E773" s="1" t="s">
        <v>14</v>
      </c>
      <c r="F773">
        <v>72063</v>
      </c>
      <c r="G773">
        <v>0</v>
      </c>
      <c r="H773" s="2">
        <v>1</v>
      </c>
      <c r="I773" s="2">
        <v>41458</v>
      </c>
      <c r="J773">
        <v>3</v>
      </c>
      <c r="K773">
        <f>VLOOKUP(B773,purchase_dataset!$B$2:$F$2241,2,FALSE)</f>
        <v>32</v>
      </c>
      <c r="L773">
        <f>VLOOKUP(B773,purchase_dataset!$B$2:$F$2241,3,FALSE)</f>
        <v>32</v>
      </c>
      <c r="M773">
        <f>VLOOKUP(B773,purchase_dataset!$B$2:$F$2241,3,FALSE)</f>
        <v>32</v>
      </c>
      <c r="N773">
        <f>VLOOKUP(B773,purchase_dataset!$B$2:$F$2241,5,FALSE)</f>
        <v>12</v>
      </c>
      <c r="O773" s="5">
        <v>47</v>
      </c>
      <c r="P773" s="4" t="str">
        <f t="shared" si="24"/>
        <v>30-50</v>
      </c>
      <c r="Q773" s="4">
        <f>M773+N773</f>
        <v>44</v>
      </c>
      <c r="U773" s="28" t="str" cm="1">
        <f t="array" ref="U773">_xlfn.IFS(F773&lt;30000,"30k",F773&lt;=50000,"30k-50k",F773&lt;=75000,"50k-75k",F773&lt;=100000,"75k-100k",F773&gt;100000,"100k")</f>
        <v>50k-75k</v>
      </c>
      <c r="W773" s="1">
        <f t="shared" si="25"/>
        <v>13</v>
      </c>
    </row>
    <row r="774" spans="1:23" x14ac:dyDescent="0.35">
      <c r="A774">
        <v>771</v>
      </c>
      <c r="B774">
        <v>1915</v>
      </c>
      <c r="C774">
        <v>1951</v>
      </c>
      <c r="D774" s="1" t="s">
        <v>13</v>
      </c>
      <c r="E774" s="1" t="s">
        <v>14</v>
      </c>
      <c r="F774">
        <v>78939</v>
      </c>
      <c r="G774">
        <v>0</v>
      </c>
      <c r="H774" s="2">
        <v>0</v>
      </c>
      <c r="I774" s="2">
        <v>41620</v>
      </c>
      <c r="J774">
        <v>57</v>
      </c>
      <c r="K774">
        <f>VLOOKUP(B774,purchase_dataset!$B$2:$F$2241,2,FALSE)</f>
        <v>115</v>
      </c>
      <c r="L774">
        <f>VLOOKUP(B774,purchase_dataset!$B$2:$F$2241,3,FALSE)</f>
        <v>0</v>
      </c>
      <c r="M774">
        <f>VLOOKUP(B774,purchase_dataset!$B$2:$F$2241,3,FALSE)</f>
        <v>0</v>
      </c>
      <c r="N774">
        <f>VLOOKUP(B774,purchase_dataset!$B$2:$F$2241,5,FALSE)</f>
        <v>6</v>
      </c>
      <c r="O774" s="5">
        <v>75</v>
      </c>
      <c r="P774" s="4" t="str">
        <f t="shared" si="24"/>
        <v>&gt;50</v>
      </c>
      <c r="Q774" s="4">
        <f>M774+N774</f>
        <v>6</v>
      </c>
      <c r="U774" s="28" t="str" cm="1">
        <f t="array" ref="U774">_xlfn.IFS(F774&lt;30000,"30k",F774&lt;=50000,"30k-50k",F774&lt;=75000,"50k-75k",F774&lt;=100000,"75k-100k",F774&gt;100000,"100k")</f>
        <v>75k-100k</v>
      </c>
      <c r="W774" s="1">
        <f t="shared" si="25"/>
        <v>13</v>
      </c>
    </row>
    <row r="775" spans="1:23" x14ac:dyDescent="0.35">
      <c r="A775">
        <v>772</v>
      </c>
      <c r="B775">
        <v>8897</v>
      </c>
      <c r="C775">
        <v>1965</v>
      </c>
      <c r="D775" s="1" t="s">
        <v>10</v>
      </c>
      <c r="E775" s="1" t="s">
        <v>11</v>
      </c>
      <c r="F775">
        <v>42720</v>
      </c>
      <c r="G775">
        <v>1</v>
      </c>
      <c r="H775" s="2">
        <v>1</v>
      </c>
      <c r="I775" s="2">
        <v>41388</v>
      </c>
      <c r="J775">
        <v>9</v>
      </c>
      <c r="K775">
        <f>VLOOKUP(B775,purchase_dataset!$B$2:$F$2241,2,FALSE)</f>
        <v>5</v>
      </c>
      <c r="L775">
        <f>VLOOKUP(B775,purchase_dataset!$B$2:$F$2241,3,FALSE)</f>
        <v>26</v>
      </c>
      <c r="M775">
        <f>VLOOKUP(B775,purchase_dataset!$B$2:$F$2241,3,FALSE)</f>
        <v>26</v>
      </c>
      <c r="N775">
        <f>VLOOKUP(B775,purchase_dataset!$B$2:$F$2241,5,FALSE)</f>
        <v>7</v>
      </c>
      <c r="O775" s="5">
        <v>61</v>
      </c>
      <c r="P775" s="4" t="str">
        <f t="shared" si="24"/>
        <v>&gt;50</v>
      </c>
      <c r="Q775" s="4">
        <f>M775+N775</f>
        <v>33</v>
      </c>
      <c r="U775" s="28" t="str" cm="1">
        <f t="array" ref="U775">_xlfn.IFS(F775&lt;30000,"30k",F775&lt;=50000,"30k-50k",F775&lt;=75000,"50k-75k",F775&lt;=100000,"75k-100k",F775&gt;100000,"100k")</f>
        <v>30k-50k</v>
      </c>
      <c r="W775" s="1">
        <f t="shared" si="25"/>
        <v>13</v>
      </c>
    </row>
    <row r="776" spans="1:23" x14ac:dyDescent="0.35">
      <c r="A776">
        <v>773</v>
      </c>
      <c r="B776">
        <v>2371</v>
      </c>
      <c r="C776">
        <v>1972</v>
      </c>
      <c r="D776" s="1" t="s">
        <v>10</v>
      </c>
      <c r="E776" s="1" t="s">
        <v>14</v>
      </c>
      <c r="F776">
        <v>33622</v>
      </c>
      <c r="G776">
        <v>1</v>
      </c>
      <c r="H776" s="2">
        <v>1</v>
      </c>
      <c r="I776" s="2">
        <v>41377</v>
      </c>
      <c r="J776">
        <v>22</v>
      </c>
      <c r="K776">
        <f>VLOOKUP(B776,purchase_dataset!$B$2:$F$2241,2,FALSE)</f>
        <v>1</v>
      </c>
      <c r="L776">
        <f>VLOOKUP(B776,purchase_dataset!$B$2:$F$2241,3,FALSE)</f>
        <v>4</v>
      </c>
      <c r="M776">
        <f>VLOOKUP(B776,purchase_dataset!$B$2:$F$2241,3,FALSE)</f>
        <v>4</v>
      </c>
      <c r="N776">
        <f>VLOOKUP(B776,purchase_dataset!$B$2:$F$2241,5,FALSE)</f>
        <v>4</v>
      </c>
      <c r="O776" s="5">
        <v>54</v>
      </c>
      <c r="P776" s="4" t="str">
        <f t="shared" si="24"/>
        <v>&gt;50</v>
      </c>
      <c r="Q776" s="4">
        <f>M776+N776</f>
        <v>8</v>
      </c>
      <c r="U776" s="28" t="str" cm="1">
        <f t="array" ref="U776">_xlfn.IFS(F776&lt;30000,"30k",F776&lt;=50000,"30k-50k",F776&lt;=75000,"50k-75k",F776&lt;=100000,"75k-100k",F776&gt;100000,"100k")</f>
        <v>30k-50k</v>
      </c>
      <c r="W776" s="1">
        <f t="shared" si="25"/>
        <v>13</v>
      </c>
    </row>
    <row r="777" spans="1:23" x14ac:dyDescent="0.35">
      <c r="A777">
        <v>774</v>
      </c>
      <c r="B777">
        <v>4303</v>
      </c>
      <c r="C777">
        <v>1957</v>
      </c>
      <c r="D777" s="1" t="s">
        <v>13</v>
      </c>
      <c r="E777" s="1" t="s">
        <v>12</v>
      </c>
      <c r="F777">
        <v>6835</v>
      </c>
      <c r="G777">
        <v>0</v>
      </c>
      <c r="H777" s="2">
        <v>1</v>
      </c>
      <c r="I777" s="2">
        <v>41251</v>
      </c>
      <c r="J777">
        <v>76</v>
      </c>
      <c r="K777">
        <f>VLOOKUP(B777,purchase_dataset!$B$2:$F$2241,2,FALSE)</f>
        <v>2</v>
      </c>
      <c r="L777">
        <f>VLOOKUP(B777,purchase_dataset!$B$2:$F$2241,3,FALSE)</f>
        <v>2</v>
      </c>
      <c r="M777">
        <f>VLOOKUP(B777,purchase_dataset!$B$2:$F$2241,3,FALSE)</f>
        <v>2</v>
      </c>
      <c r="N777">
        <f>VLOOKUP(B777,purchase_dataset!$B$2:$F$2241,5,FALSE)</f>
        <v>1</v>
      </c>
      <c r="O777" s="5">
        <v>69</v>
      </c>
      <c r="P777" s="4" t="str">
        <f t="shared" si="24"/>
        <v>&gt;50</v>
      </c>
      <c r="Q777" s="4">
        <f>M777+N777</f>
        <v>3</v>
      </c>
      <c r="U777" s="28" t="str" cm="1">
        <f t="array" ref="U777">_xlfn.IFS(F777&lt;30000,"30k",F777&lt;=50000,"30k-50k",F777&lt;=75000,"50k-75k",F777&lt;=100000,"75k-100k",F777&gt;100000,"100k")</f>
        <v>30k</v>
      </c>
      <c r="W777" s="1">
        <f t="shared" si="25"/>
        <v>14</v>
      </c>
    </row>
    <row r="778" spans="1:23" x14ac:dyDescent="0.35">
      <c r="A778">
        <v>775</v>
      </c>
      <c r="B778">
        <v>6825</v>
      </c>
      <c r="C778">
        <v>1953</v>
      </c>
      <c r="D778" s="1" t="s">
        <v>10</v>
      </c>
      <c r="E778" s="1" t="s">
        <v>12</v>
      </c>
      <c r="F778">
        <v>41452</v>
      </c>
      <c r="G778">
        <v>1</v>
      </c>
      <c r="H778" s="2">
        <v>1</v>
      </c>
      <c r="I778" s="2">
        <v>41339</v>
      </c>
      <c r="J778">
        <v>86</v>
      </c>
      <c r="K778">
        <f>VLOOKUP(B778,purchase_dataset!$B$2:$F$2241,2,FALSE)</f>
        <v>0</v>
      </c>
      <c r="L778">
        <f>VLOOKUP(B778,purchase_dataset!$B$2:$F$2241,3,FALSE)</f>
        <v>0</v>
      </c>
      <c r="M778">
        <f>VLOOKUP(B778,purchase_dataset!$B$2:$F$2241,3,FALSE)</f>
        <v>0</v>
      </c>
      <c r="N778">
        <f>VLOOKUP(B778,purchase_dataset!$B$2:$F$2241,5,FALSE)</f>
        <v>2</v>
      </c>
      <c r="O778" s="5">
        <v>73</v>
      </c>
      <c r="P778" s="4" t="str">
        <f t="shared" si="24"/>
        <v>&gt;50</v>
      </c>
      <c r="Q778" s="4">
        <f>M778+N778</f>
        <v>2</v>
      </c>
      <c r="U778" s="28" t="str" cm="1">
        <f t="array" ref="U778">_xlfn.IFS(F778&lt;30000,"30k",F778&lt;=50000,"30k-50k",F778&lt;=75000,"50k-75k",F778&lt;=100000,"75k-100k",F778&gt;100000,"100k")</f>
        <v>30k-50k</v>
      </c>
      <c r="W778" s="1">
        <f t="shared" si="25"/>
        <v>13</v>
      </c>
    </row>
    <row r="779" spans="1:23" x14ac:dyDescent="0.35">
      <c r="A779">
        <v>776</v>
      </c>
      <c r="B779">
        <v>1072</v>
      </c>
      <c r="C779">
        <v>1965</v>
      </c>
      <c r="D779" s="1" t="s">
        <v>13</v>
      </c>
      <c r="E779" s="1" t="s">
        <v>11</v>
      </c>
      <c r="F779">
        <v>40760</v>
      </c>
      <c r="G779">
        <v>0</v>
      </c>
      <c r="H779" s="2">
        <v>1</v>
      </c>
      <c r="I779" s="2">
        <v>41516</v>
      </c>
      <c r="J779">
        <v>64</v>
      </c>
      <c r="K779">
        <f>VLOOKUP(B779,purchase_dataset!$B$2:$F$2241,2,FALSE)</f>
        <v>0</v>
      </c>
      <c r="L779">
        <f>VLOOKUP(B779,purchase_dataset!$B$2:$F$2241,3,FALSE)</f>
        <v>0</v>
      </c>
      <c r="M779">
        <f>VLOOKUP(B779,purchase_dataset!$B$2:$F$2241,3,FALSE)</f>
        <v>0</v>
      </c>
      <c r="N779">
        <f>VLOOKUP(B779,purchase_dataset!$B$2:$F$2241,5,FALSE)</f>
        <v>3</v>
      </c>
      <c r="O779" s="5">
        <v>61</v>
      </c>
      <c r="P779" s="4" t="str">
        <f t="shared" si="24"/>
        <v>&gt;50</v>
      </c>
      <c r="Q779" s="4">
        <f>M779+N779</f>
        <v>3</v>
      </c>
      <c r="U779" s="28" t="str" cm="1">
        <f t="array" ref="U779">_xlfn.IFS(F779&lt;30000,"30k",F779&lt;=50000,"30k-50k",F779&lt;=75000,"50k-75k",F779&lt;=100000,"75k-100k",F779&gt;100000,"100k")</f>
        <v>30k-50k</v>
      </c>
      <c r="W779" s="1">
        <f t="shared" si="25"/>
        <v>13</v>
      </c>
    </row>
    <row r="780" spans="1:23" x14ac:dyDescent="0.35">
      <c r="A780">
        <v>777</v>
      </c>
      <c r="B780">
        <v>4964</v>
      </c>
      <c r="C780">
        <v>1958</v>
      </c>
      <c r="D780" s="1" t="s">
        <v>13</v>
      </c>
      <c r="E780" s="1" t="s">
        <v>12</v>
      </c>
      <c r="F780">
        <v>74250</v>
      </c>
      <c r="G780">
        <v>0</v>
      </c>
      <c r="H780" s="2">
        <v>0</v>
      </c>
      <c r="I780" s="2">
        <v>41665</v>
      </c>
      <c r="J780">
        <v>90</v>
      </c>
      <c r="K780">
        <f>VLOOKUP(B780,purchase_dataset!$B$2:$F$2241,2,FALSE)</f>
        <v>11</v>
      </c>
      <c r="L780">
        <f>VLOOKUP(B780,purchase_dataset!$B$2:$F$2241,3,FALSE)</f>
        <v>0</v>
      </c>
      <c r="M780">
        <f>VLOOKUP(B780,purchase_dataset!$B$2:$F$2241,3,FALSE)</f>
        <v>0</v>
      </c>
      <c r="N780">
        <f>VLOOKUP(B780,purchase_dataset!$B$2:$F$2241,5,FALSE)</f>
        <v>4</v>
      </c>
      <c r="O780" s="5">
        <v>68</v>
      </c>
      <c r="P780" s="4" t="str">
        <f t="shared" si="24"/>
        <v>&gt;50</v>
      </c>
      <c r="Q780" s="4">
        <f>M780+N780</f>
        <v>4</v>
      </c>
      <c r="U780" s="28" t="str" cm="1">
        <f t="array" ref="U780">_xlfn.IFS(F780&lt;30000,"30k",F780&lt;=50000,"30k-50k",F780&lt;=75000,"50k-75k",F780&lt;=100000,"75k-100k",F780&gt;100000,"100k")</f>
        <v>50k-75k</v>
      </c>
      <c r="W780" s="1">
        <f t="shared" si="25"/>
        <v>12</v>
      </c>
    </row>
    <row r="781" spans="1:23" x14ac:dyDescent="0.35">
      <c r="A781">
        <v>778</v>
      </c>
      <c r="B781">
        <v>2461</v>
      </c>
      <c r="C781">
        <v>1955</v>
      </c>
      <c r="D781" s="1" t="s">
        <v>15</v>
      </c>
      <c r="E781" s="1" t="s">
        <v>11</v>
      </c>
      <c r="F781">
        <v>51124</v>
      </c>
      <c r="G781">
        <v>1</v>
      </c>
      <c r="H781" s="2">
        <v>1</v>
      </c>
      <c r="I781" s="2">
        <v>41626</v>
      </c>
      <c r="J781">
        <v>79</v>
      </c>
      <c r="K781">
        <f>VLOOKUP(B781,purchase_dataset!$B$2:$F$2241,2,FALSE)</f>
        <v>1</v>
      </c>
      <c r="L781">
        <f>VLOOKUP(B781,purchase_dataset!$B$2:$F$2241,3,FALSE)</f>
        <v>1</v>
      </c>
      <c r="M781">
        <f>VLOOKUP(B781,purchase_dataset!$B$2:$F$2241,3,FALSE)</f>
        <v>1</v>
      </c>
      <c r="N781">
        <f>VLOOKUP(B781,purchase_dataset!$B$2:$F$2241,5,FALSE)</f>
        <v>3</v>
      </c>
      <c r="O781" s="5">
        <v>71</v>
      </c>
      <c r="P781" s="4" t="str">
        <f t="shared" si="24"/>
        <v>&gt;50</v>
      </c>
      <c r="Q781" s="4">
        <f>M781+N781</f>
        <v>4</v>
      </c>
      <c r="U781" s="28" t="str" cm="1">
        <f t="array" ref="U781">_xlfn.IFS(F781&lt;30000,"30k",F781&lt;=50000,"30k-50k",F781&lt;=75000,"50k-75k",F781&lt;=100000,"75k-100k",F781&gt;100000,"100k")</f>
        <v>50k-75k</v>
      </c>
      <c r="W781" s="1">
        <f t="shared" si="25"/>
        <v>13</v>
      </c>
    </row>
    <row r="782" spans="1:23" x14ac:dyDescent="0.35">
      <c r="A782">
        <v>779</v>
      </c>
      <c r="B782">
        <v>10736</v>
      </c>
      <c r="C782">
        <v>1971</v>
      </c>
      <c r="D782" s="1" t="s">
        <v>10</v>
      </c>
      <c r="E782" s="1" t="s">
        <v>11</v>
      </c>
      <c r="F782">
        <v>72258</v>
      </c>
      <c r="G782">
        <v>0</v>
      </c>
      <c r="H782" s="2">
        <v>1</v>
      </c>
      <c r="I782" s="2">
        <v>41529</v>
      </c>
      <c r="J782">
        <v>28</v>
      </c>
      <c r="K782">
        <f>VLOOKUP(B782,purchase_dataset!$B$2:$F$2241,2,FALSE)</f>
        <v>0</v>
      </c>
      <c r="L782">
        <f>VLOOKUP(B782,purchase_dataset!$B$2:$F$2241,3,FALSE)</f>
        <v>120</v>
      </c>
      <c r="M782">
        <f>VLOOKUP(B782,purchase_dataset!$B$2:$F$2241,3,FALSE)</f>
        <v>120</v>
      </c>
      <c r="N782">
        <f>VLOOKUP(B782,purchase_dataset!$B$2:$F$2241,5,FALSE)</f>
        <v>5</v>
      </c>
      <c r="O782" s="5">
        <v>55</v>
      </c>
      <c r="P782" s="4" t="str">
        <f t="shared" si="24"/>
        <v>&gt;50</v>
      </c>
      <c r="Q782" s="4">
        <f>M782+N782</f>
        <v>125</v>
      </c>
      <c r="U782" s="28" t="str" cm="1">
        <f t="array" ref="U782">_xlfn.IFS(F782&lt;30000,"30k",F782&lt;=50000,"30k-50k",F782&lt;=75000,"50k-75k",F782&lt;=100000,"75k-100k",F782&gt;100000,"100k")</f>
        <v>50k-75k</v>
      </c>
      <c r="W782" s="1">
        <f t="shared" si="25"/>
        <v>13</v>
      </c>
    </row>
    <row r="783" spans="1:23" x14ac:dyDescent="0.35">
      <c r="A783">
        <v>780</v>
      </c>
      <c r="B783">
        <v>3194</v>
      </c>
      <c r="C783">
        <v>1974</v>
      </c>
      <c r="D783" s="1" t="s">
        <v>13</v>
      </c>
      <c r="E783" s="1" t="s">
        <v>11</v>
      </c>
      <c r="F783">
        <v>71466</v>
      </c>
      <c r="G783">
        <v>0</v>
      </c>
      <c r="H783" s="2">
        <v>0</v>
      </c>
      <c r="I783" s="2">
        <v>41734</v>
      </c>
      <c r="J783">
        <v>86</v>
      </c>
      <c r="K783">
        <f>VLOOKUP(B783,purchase_dataset!$B$2:$F$2241,2,FALSE)</f>
        <v>12</v>
      </c>
      <c r="L783">
        <f>VLOOKUP(B783,purchase_dataset!$B$2:$F$2241,3,FALSE)</f>
        <v>182</v>
      </c>
      <c r="M783">
        <f>VLOOKUP(B783,purchase_dataset!$B$2:$F$2241,3,FALSE)</f>
        <v>182</v>
      </c>
      <c r="N783">
        <f>VLOOKUP(B783,purchase_dataset!$B$2:$F$2241,5,FALSE)</f>
        <v>10</v>
      </c>
      <c r="O783" s="5">
        <v>52</v>
      </c>
      <c r="P783" s="4" t="str">
        <f t="shared" si="24"/>
        <v>&gt;50</v>
      </c>
      <c r="Q783" s="4">
        <f>M783+N783</f>
        <v>192</v>
      </c>
      <c r="U783" s="28" t="str" cm="1">
        <f t="array" ref="U783">_xlfn.IFS(F783&lt;30000,"30k",F783&lt;=50000,"30k-50k",F783&lt;=75000,"50k-75k",F783&lt;=100000,"75k-100k",F783&gt;100000,"100k")</f>
        <v>50k-75k</v>
      </c>
      <c r="W783" s="1">
        <f t="shared" si="25"/>
        <v>12</v>
      </c>
    </row>
    <row r="784" spans="1:23" x14ac:dyDescent="0.35">
      <c r="A784">
        <v>781</v>
      </c>
      <c r="B784">
        <v>10839</v>
      </c>
      <c r="C784">
        <v>1976</v>
      </c>
      <c r="D784" s="1" t="s">
        <v>10</v>
      </c>
      <c r="E784" s="1" t="s">
        <v>12</v>
      </c>
      <c r="F784">
        <v>36283</v>
      </c>
      <c r="G784">
        <v>1</v>
      </c>
      <c r="H784" s="2">
        <v>1</v>
      </c>
      <c r="I784" s="2">
        <v>41743</v>
      </c>
      <c r="J784">
        <v>42</v>
      </c>
      <c r="K784">
        <f>VLOOKUP(B784,purchase_dataset!$B$2:$F$2241,2,FALSE)</f>
        <v>5</v>
      </c>
      <c r="L784">
        <f>VLOOKUP(B784,purchase_dataset!$B$2:$F$2241,3,FALSE)</f>
        <v>0</v>
      </c>
      <c r="M784">
        <f>VLOOKUP(B784,purchase_dataset!$B$2:$F$2241,3,FALSE)</f>
        <v>0</v>
      </c>
      <c r="N784">
        <f>VLOOKUP(B784,purchase_dataset!$B$2:$F$2241,5,FALSE)</f>
        <v>3</v>
      </c>
      <c r="O784" s="5">
        <v>50</v>
      </c>
      <c r="P784" s="4" t="str">
        <f t="shared" si="24"/>
        <v>30-50</v>
      </c>
      <c r="Q784" s="4">
        <f>M784+N784</f>
        <v>3</v>
      </c>
      <c r="U784" s="28" t="str" cm="1">
        <f t="array" ref="U784">_xlfn.IFS(F784&lt;30000,"30k",F784&lt;=50000,"30k-50k",F784&lt;=75000,"50k-75k",F784&lt;=100000,"75k-100k",F784&gt;100000,"100k")</f>
        <v>30k-50k</v>
      </c>
      <c r="W784" s="1">
        <f t="shared" si="25"/>
        <v>12</v>
      </c>
    </row>
    <row r="785" spans="1:23" x14ac:dyDescent="0.35">
      <c r="A785">
        <v>782</v>
      </c>
      <c r="B785">
        <v>49</v>
      </c>
      <c r="C785">
        <v>1970</v>
      </c>
      <c r="D785" s="1" t="s">
        <v>10</v>
      </c>
      <c r="E785" s="1" t="s">
        <v>11</v>
      </c>
      <c r="F785">
        <v>20587</v>
      </c>
      <c r="G785">
        <v>1</v>
      </c>
      <c r="H785" s="2">
        <v>0</v>
      </c>
      <c r="I785" s="2">
        <v>41770</v>
      </c>
      <c r="J785">
        <v>39</v>
      </c>
      <c r="K785">
        <f>VLOOKUP(B785,purchase_dataset!$B$2:$F$2241,2,FALSE)</f>
        <v>3</v>
      </c>
      <c r="L785">
        <f>VLOOKUP(B785,purchase_dataset!$B$2:$F$2241,3,FALSE)</f>
        <v>1</v>
      </c>
      <c r="M785">
        <f>VLOOKUP(B785,purchase_dataset!$B$2:$F$2241,3,FALSE)</f>
        <v>1</v>
      </c>
      <c r="N785">
        <f>VLOOKUP(B785,purchase_dataset!$B$2:$F$2241,5,FALSE)</f>
        <v>2</v>
      </c>
      <c r="O785" s="5">
        <v>56</v>
      </c>
      <c r="P785" s="4" t="str">
        <f t="shared" si="24"/>
        <v>&gt;50</v>
      </c>
      <c r="Q785" s="4">
        <f>M785+N785</f>
        <v>3</v>
      </c>
      <c r="U785" s="28" t="str" cm="1">
        <f t="array" ref="U785">_xlfn.IFS(F785&lt;30000,"30k",F785&lt;=50000,"30k-50k",F785&lt;=75000,"50k-75k",F785&lt;=100000,"75k-100k",F785&gt;100000,"100k")</f>
        <v>30k</v>
      </c>
      <c r="W785" s="1">
        <f t="shared" si="25"/>
        <v>12</v>
      </c>
    </row>
    <row r="786" spans="1:23" x14ac:dyDescent="0.35">
      <c r="A786">
        <v>783</v>
      </c>
      <c r="B786">
        <v>4290</v>
      </c>
      <c r="C786">
        <v>1972</v>
      </c>
      <c r="D786" s="1" t="s">
        <v>10</v>
      </c>
      <c r="E786" s="1" t="s">
        <v>14</v>
      </c>
      <c r="F786">
        <v>30467</v>
      </c>
      <c r="G786">
        <v>1</v>
      </c>
      <c r="H786" s="2">
        <v>0</v>
      </c>
      <c r="I786" s="2">
        <v>41717</v>
      </c>
      <c r="J786">
        <v>8</v>
      </c>
      <c r="K786">
        <f>VLOOKUP(B786,purchase_dataset!$B$2:$F$2241,2,FALSE)</f>
        <v>3</v>
      </c>
      <c r="L786">
        <f>VLOOKUP(B786,purchase_dataset!$B$2:$F$2241,3,FALSE)</f>
        <v>5</v>
      </c>
      <c r="M786">
        <f>VLOOKUP(B786,purchase_dataset!$B$2:$F$2241,3,FALSE)</f>
        <v>5</v>
      </c>
      <c r="N786">
        <f>VLOOKUP(B786,purchase_dataset!$B$2:$F$2241,5,FALSE)</f>
        <v>2</v>
      </c>
      <c r="O786" s="5">
        <v>54</v>
      </c>
      <c r="P786" s="4" t="str">
        <f t="shared" si="24"/>
        <v>&gt;50</v>
      </c>
      <c r="Q786" s="4">
        <f>M786+N786</f>
        <v>7</v>
      </c>
      <c r="U786" s="28" t="str" cm="1">
        <f t="array" ref="U786">_xlfn.IFS(F786&lt;30000,"30k",F786&lt;=50000,"30k-50k",F786&lt;=75000,"50k-75k",F786&lt;=100000,"75k-100k",F786&gt;100000,"100k")</f>
        <v>30k-50k</v>
      </c>
      <c r="W786" s="1">
        <f t="shared" si="25"/>
        <v>12</v>
      </c>
    </row>
    <row r="787" spans="1:23" x14ac:dyDescent="0.35">
      <c r="A787">
        <v>784</v>
      </c>
      <c r="B787">
        <v>10219</v>
      </c>
      <c r="C787">
        <v>1972</v>
      </c>
      <c r="D787" s="1" t="s">
        <v>10</v>
      </c>
      <c r="E787" s="1" t="s">
        <v>12</v>
      </c>
      <c r="F787">
        <v>31590</v>
      </c>
      <c r="G787">
        <v>1</v>
      </c>
      <c r="H787" s="2">
        <v>0</v>
      </c>
      <c r="I787" s="2">
        <v>41443</v>
      </c>
      <c r="J787">
        <v>40</v>
      </c>
      <c r="K787">
        <f>VLOOKUP(B787,purchase_dataset!$B$2:$F$2241,2,FALSE)</f>
        <v>2</v>
      </c>
      <c r="L787">
        <f>VLOOKUP(B787,purchase_dataset!$B$2:$F$2241,3,FALSE)</f>
        <v>6</v>
      </c>
      <c r="M787">
        <f>VLOOKUP(B787,purchase_dataset!$B$2:$F$2241,3,FALSE)</f>
        <v>6</v>
      </c>
      <c r="N787">
        <f>VLOOKUP(B787,purchase_dataset!$B$2:$F$2241,5,FALSE)</f>
        <v>3</v>
      </c>
      <c r="O787" s="5">
        <v>54</v>
      </c>
      <c r="P787" s="4" t="str">
        <f t="shared" si="24"/>
        <v>&gt;50</v>
      </c>
      <c r="Q787" s="4">
        <f>M787+N787</f>
        <v>9</v>
      </c>
      <c r="U787" s="28" t="str" cm="1">
        <f t="array" ref="U787">_xlfn.IFS(F787&lt;30000,"30k",F787&lt;=50000,"30k-50k",F787&lt;=75000,"50k-75k",F787&lt;=100000,"75k-100k",F787&gt;100000,"100k")</f>
        <v>30k-50k</v>
      </c>
      <c r="W787" s="1">
        <f t="shared" si="25"/>
        <v>13</v>
      </c>
    </row>
    <row r="788" spans="1:23" x14ac:dyDescent="0.35">
      <c r="A788">
        <v>785</v>
      </c>
      <c r="B788">
        <v>4211</v>
      </c>
      <c r="C788">
        <v>1986</v>
      </c>
      <c r="D788" s="1" t="s">
        <v>17</v>
      </c>
      <c r="E788" s="1" t="s">
        <v>14</v>
      </c>
      <c r="F788">
        <v>20425</v>
      </c>
      <c r="G788">
        <v>1</v>
      </c>
      <c r="H788" s="2">
        <v>0</v>
      </c>
      <c r="I788" s="2">
        <v>41211</v>
      </c>
      <c r="J788">
        <v>5</v>
      </c>
      <c r="K788">
        <f>VLOOKUP(B788,purchase_dataset!$B$2:$F$2241,2,FALSE)</f>
        <v>12</v>
      </c>
      <c r="L788">
        <f>VLOOKUP(B788,purchase_dataset!$B$2:$F$2241,3,FALSE)</f>
        <v>16</v>
      </c>
      <c r="M788">
        <f>VLOOKUP(B788,purchase_dataset!$B$2:$F$2241,3,FALSE)</f>
        <v>16</v>
      </c>
      <c r="N788">
        <f>VLOOKUP(B788,purchase_dataset!$B$2:$F$2241,5,FALSE)</f>
        <v>3</v>
      </c>
      <c r="O788" s="5">
        <v>40</v>
      </c>
      <c r="P788" s="4" t="str">
        <f t="shared" si="24"/>
        <v>30-50</v>
      </c>
      <c r="Q788" s="4">
        <f>M788+N788</f>
        <v>19</v>
      </c>
      <c r="U788" s="28" t="str" cm="1">
        <f t="array" ref="U788">_xlfn.IFS(F788&lt;30000,"30k",F788&lt;=50000,"30k-50k",F788&lt;=75000,"50k-75k",F788&lt;=100000,"75k-100k",F788&gt;100000,"100k")</f>
        <v>30k</v>
      </c>
      <c r="W788" s="1">
        <f t="shared" si="25"/>
        <v>14</v>
      </c>
    </row>
    <row r="789" spans="1:23" x14ac:dyDescent="0.35">
      <c r="A789">
        <v>786</v>
      </c>
      <c r="B789">
        <v>1135</v>
      </c>
      <c r="C789">
        <v>1960</v>
      </c>
      <c r="D789" s="1" t="s">
        <v>15</v>
      </c>
      <c r="E789" s="1" t="s">
        <v>12</v>
      </c>
      <c r="F789">
        <v>17144</v>
      </c>
      <c r="G789">
        <v>1</v>
      </c>
      <c r="H789" s="2">
        <v>1</v>
      </c>
      <c r="I789" s="2">
        <v>41685</v>
      </c>
      <c r="J789">
        <v>96</v>
      </c>
      <c r="K789">
        <f>VLOOKUP(B789,purchase_dataset!$B$2:$F$2241,2,FALSE)</f>
        <v>2</v>
      </c>
      <c r="L789">
        <f>VLOOKUP(B789,purchase_dataset!$B$2:$F$2241,3,FALSE)</f>
        <v>2</v>
      </c>
      <c r="M789">
        <f>VLOOKUP(B789,purchase_dataset!$B$2:$F$2241,3,FALSE)</f>
        <v>2</v>
      </c>
      <c r="N789">
        <f>VLOOKUP(B789,purchase_dataset!$B$2:$F$2241,5,FALSE)</f>
        <v>4</v>
      </c>
      <c r="O789" s="5">
        <v>66</v>
      </c>
      <c r="P789" s="4" t="str">
        <f t="shared" si="24"/>
        <v>&gt;50</v>
      </c>
      <c r="Q789" s="4">
        <f>M789+N789</f>
        <v>6</v>
      </c>
      <c r="U789" s="28" t="str" cm="1">
        <f t="array" ref="U789">_xlfn.IFS(F789&lt;30000,"30k",F789&lt;=50000,"30k-50k",F789&lt;=75000,"50k-75k",F789&lt;=100000,"75k-100k",F789&gt;100000,"100k")</f>
        <v>30k</v>
      </c>
      <c r="W789" s="1">
        <f t="shared" si="25"/>
        <v>12</v>
      </c>
    </row>
    <row r="790" spans="1:23" x14ac:dyDescent="0.35">
      <c r="A790">
        <v>787</v>
      </c>
      <c r="B790">
        <v>6299</v>
      </c>
      <c r="C790">
        <v>1968</v>
      </c>
      <c r="D790" s="1" t="s">
        <v>13</v>
      </c>
      <c r="E790" s="1" t="s">
        <v>16</v>
      </c>
      <c r="F790">
        <v>42564</v>
      </c>
      <c r="G790">
        <v>0</v>
      </c>
      <c r="H790" s="2">
        <v>1</v>
      </c>
      <c r="I790" s="2">
        <v>41276</v>
      </c>
      <c r="J790">
        <v>28</v>
      </c>
      <c r="K790">
        <f>VLOOKUP(B790,purchase_dataset!$B$2:$F$2241,2,FALSE)</f>
        <v>48</v>
      </c>
      <c r="L790">
        <f>VLOOKUP(B790,purchase_dataset!$B$2:$F$2241,3,FALSE)</f>
        <v>18</v>
      </c>
      <c r="M790">
        <f>VLOOKUP(B790,purchase_dataset!$B$2:$F$2241,3,FALSE)</f>
        <v>18</v>
      </c>
      <c r="N790">
        <f>VLOOKUP(B790,purchase_dataset!$B$2:$F$2241,5,FALSE)</f>
        <v>4</v>
      </c>
      <c r="O790" s="5">
        <v>58</v>
      </c>
      <c r="P790" s="4" t="str">
        <f t="shared" si="24"/>
        <v>&gt;50</v>
      </c>
      <c r="Q790" s="4">
        <f>M790+N790</f>
        <v>22</v>
      </c>
      <c r="U790" s="28" t="str" cm="1">
        <f t="array" ref="U790">_xlfn.IFS(F790&lt;30000,"30k",F790&lt;=50000,"30k-50k",F790&lt;=75000,"50k-75k",F790&lt;=100000,"75k-100k",F790&gt;100000,"100k")</f>
        <v>30k-50k</v>
      </c>
      <c r="W790" s="1">
        <f t="shared" si="25"/>
        <v>13</v>
      </c>
    </row>
    <row r="791" spans="1:23" x14ac:dyDescent="0.35">
      <c r="A791">
        <v>788</v>
      </c>
      <c r="B791">
        <v>10846</v>
      </c>
      <c r="C791">
        <v>1978</v>
      </c>
      <c r="D791" s="1" t="s">
        <v>15</v>
      </c>
      <c r="E791" s="1" t="s">
        <v>14</v>
      </c>
      <c r="F791">
        <v>43783</v>
      </c>
      <c r="G791">
        <v>1</v>
      </c>
      <c r="H791" s="2">
        <v>0</v>
      </c>
      <c r="I791" s="2">
        <v>41788</v>
      </c>
      <c r="J791">
        <v>22</v>
      </c>
      <c r="K791">
        <f>VLOOKUP(B791,purchase_dataset!$B$2:$F$2241,2,FALSE)</f>
        <v>9</v>
      </c>
      <c r="L791">
        <f>VLOOKUP(B791,purchase_dataset!$B$2:$F$2241,3,FALSE)</f>
        <v>4</v>
      </c>
      <c r="M791">
        <f>VLOOKUP(B791,purchase_dataset!$B$2:$F$2241,3,FALSE)</f>
        <v>4</v>
      </c>
      <c r="N791">
        <f>VLOOKUP(B791,purchase_dataset!$B$2:$F$2241,5,FALSE)</f>
        <v>8</v>
      </c>
      <c r="O791" s="5">
        <v>48</v>
      </c>
      <c r="P791" s="4" t="str">
        <f t="shared" si="24"/>
        <v>30-50</v>
      </c>
      <c r="Q791" s="4">
        <f>M791+N791</f>
        <v>12</v>
      </c>
      <c r="U791" s="28" t="str" cm="1">
        <f t="array" ref="U791">_xlfn.IFS(F791&lt;30000,"30k",F791&lt;=50000,"30k-50k",F791&lt;=75000,"50k-75k",F791&lt;=100000,"75k-100k",F791&gt;100000,"100k")</f>
        <v>30k-50k</v>
      </c>
      <c r="W791" s="1">
        <f t="shared" si="25"/>
        <v>12</v>
      </c>
    </row>
    <row r="792" spans="1:23" x14ac:dyDescent="0.35">
      <c r="A792">
        <v>789</v>
      </c>
      <c r="B792">
        <v>347</v>
      </c>
      <c r="C792">
        <v>1976</v>
      </c>
      <c r="D792" s="1" t="s">
        <v>10</v>
      </c>
      <c r="E792" s="1" t="s">
        <v>16</v>
      </c>
      <c r="F792">
        <v>40780</v>
      </c>
      <c r="G792">
        <v>0</v>
      </c>
      <c r="H792" s="2">
        <v>1</v>
      </c>
      <c r="I792" s="2">
        <v>41160</v>
      </c>
      <c r="J792">
        <v>30</v>
      </c>
      <c r="K792">
        <f>VLOOKUP(B792,purchase_dataset!$B$2:$F$2241,2,FALSE)</f>
        <v>27</v>
      </c>
      <c r="L792">
        <f>VLOOKUP(B792,purchase_dataset!$B$2:$F$2241,3,FALSE)</f>
        <v>3</v>
      </c>
      <c r="M792">
        <f>VLOOKUP(B792,purchase_dataset!$B$2:$F$2241,3,FALSE)</f>
        <v>3</v>
      </c>
      <c r="N792">
        <f>VLOOKUP(B792,purchase_dataset!$B$2:$F$2241,5,FALSE)</f>
        <v>5</v>
      </c>
      <c r="O792" s="5">
        <v>50</v>
      </c>
      <c r="P792" s="4" t="str">
        <f t="shared" si="24"/>
        <v>30-50</v>
      </c>
      <c r="Q792" s="4">
        <f>M792+N792</f>
        <v>8</v>
      </c>
      <c r="U792" s="28" t="str" cm="1">
        <f t="array" ref="U792">_xlfn.IFS(F792&lt;30000,"30k",F792&lt;=50000,"30k-50k",F792&lt;=75000,"50k-75k",F792&lt;=100000,"75k-100k",F792&gt;100000,"100k")</f>
        <v>30k-50k</v>
      </c>
      <c r="W792" s="1">
        <f t="shared" si="25"/>
        <v>14</v>
      </c>
    </row>
    <row r="793" spans="1:23" x14ac:dyDescent="0.35">
      <c r="A793">
        <v>790</v>
      </c>
      <c r="B793">
        <v>6543</v>
      </c>
      <c r="C793">
        <v>1945</v>
      </c>
      <c r="D793" s="1" t="s">
        <v>15</v>
      </c>
      <c r="E793" s="1" t="s">
        <v>12</v>
      </c>
      <c r="F793">
        <v>62847</v>
      </c>
      <c r="G793">
        <v>0</v>
      </c>
      <c r="H793" s="2">
        <v>0</v>
      </c>
      <c r="I793" s="2">
        <v>41289</v>
      </c>
      <c r="J793">
        <v>45</v>
      </c>
      <c r="K793">
        <f>VLOOKUP(B793,purchase_dataset!$B$2:$F$2241,2,FALSE)</f>
        <v>168</v>
      </c>
      <c r="L793">
        <f>VLOOKUP(B793,purchase_dataset!$B$2:$F$2241,3,FALSE)</f>
        <v>76</v>
      </c>
      <c r="M793">
        <f>VLOOKUP(B793,purchase_dataset!$B$2:$F$2241,3,FALSE)</f>
        <v>76</v>
      </c>
      <c r="N793">
        <f>VLOOKUP(B793,purchase_dataset!$B$2:$F$2241,5,FALSE)</f>
        <v>4</v>
      </c>
      <c r="O793" s="5">
        <v>81</v>
      </c>
      <c r="P793" s="4" t="str">
        <f t="shared" si="24"/>
        <v>&gt;50</v>
      </c>
      <c r="Q793" s="4">
        <f>M793+N793</f>
        <v>80</v>
      </c>
      <c r="U793" s="28" t="str" cm="1">
        <f t="array" ref="U793">_xlfn.IFS(F793&lt;30000,"30k",F793&lt;=50000,"30k-50k",F793&lt;=75000,"50k-75k",F793&lt;=100000,"75k-100k",F793&gt;100000,"100k")</f>
        <v>50k-75k</v>
      </c>
      <c r="W793" s="1">
        <f t="shared" si="25"/>
        <v>13</v>
      </c>
    </row>
    <row r="794" spans="1:23" x14ac:dyDescent="0.35">
      <c r="A794">
        <v>791</v>
      </c>
      <c r="B794">
        <v>10446</v>
      </c>
      <c r="C794">
        <v>1957</v>
      </c>
      <c r="D794" s="1" t="s">
        <v>13</v>
      </c>
      <c r="E794" s="1" t="s">
        <v>14</v>
      </c>
      <c r="F794">
        <v>82017</v>
      </c>
      <c r="G794">
        <v>0</v>
      </c>
      <c r="H794" s="2">
        <v>0</v>
      </c>
      <c r="I794" s="2">
        <v>41220</v>
      </c>
      <c r="J794">
        <v>58</v>
      </c>
      <c r="K794">
        <f>VLOOKUP(B794,purchase_dataset!$B$2:$F$2241,2,FALSE)</f>
        <v>23</v>
      </c>
      <c r="L794">
        <f>VLOOKUP(B794,purchase_dataset!$B$2:$F$2241,3,FALSE)</f>
        <v>23</v>
      </c>
      <c r="M794">
        <f>VLOOKUP(B794,purchase_dataset!$B$2:$F$2241,3,FALSE)</f>
        <v>23</v>
      </c>
      <c r="N794">
        <f>VLOOKUP(B794,purchase_dataset!$B$2:$F$2241,5,FALSE)</f>
        <v>7</v>
      </c>
      <c r="O794" s="5">
        <v>69</v>
      </c>
      <c r="P794" s="4" t="str">
        <f t="shared" si="24"/>
        <v>&gt;50</v>
      </c>
      <c r="Q794" s="4">
        <f>M794+N794</f>
        <v>30</v>
      </c>
      <c r="U794" s="28" t="str" cm="1">
        <f t="array" ref="U794">_xlfn.IFS(F794&lt;30000,"30k",F794&lt;=50000,"30k-50k",F794&lt;=75000,"50k-75k",F794&lt;=100000,"75k-100k",F794&gt;100000,"100k")</f>
        <v>75k-100k</v>
      </c>
      <c r="W794" s="1">
        <f t="shared" si="25"/>
        <v>14</v>
      </c>
    </row>
    <row r="795" spans="1:23" x14ac:dyDescent="0.35">
      <c r="A795">
        <v>792</v>
      </c>
      <c r="B795">
        <v>3479</v>
      </c>
      <c r="C795">
        <v>1950</v>
      </c>
      <c r="D795" s="1" t="s">
        <v>10</v>
      </c>
      <c r="E795" s="1" t="s">
        <v>11</v>
      </c>
      <c r="F795">
        <v>16813</v>
      </c>
      <c r="G795">
        <v>0</v>
      </c>
      <c r="H795" s="2">
        <v>0</v>
      </c>
      <c r="I795" s="2">
        <v>41474</v>
      </c>
      <c r="J795">
        <v>49</v>
      </c>
      <c r="K795">
        <f>VLOOKUP(B795,purchase_dataset!$B$2:$F$2241,2,FALSE)</f>
        <v>8</v>
      </c>
      <c r="L795">
        <f>VLOOKUP(B795,purchase_dataset!$B$2:$F$2241,3,FALSE)</f>
        <v>2</v>
      </c>
      <c r="M795">
        <f>VLOOKUP(B795,purchase_dataset!$B$2:$F$2241,3,FALSE)</f>
        <v>2</v>
      </c>
      <c r="N795">
        <f>VLOOKUP(B795,purchase_dataset!$B$2:$F$2241,5,FALSE)</f>
        <v>3</v>
      </c>
      <c r="O795" s="5">
        <v>76</v>
      </c>
      <c r="P795" s="4" t="str">
        <f t="shared" si="24"/>
        <v>&gt;50</v>
      </c>
      <c r="Q795" s="4">
        <f>M795+N795</f>
        <v>5</v>
      </c>
      <c r="U795" s="28" t="str" cm="1">
        <f t="array" ref="U795">_xlfn.IFS(F795&lt;30000,"30k",F795&lt;=50000,"30k-50k",F795&lt;=75000,"50k-75k",F795&lt;=100000,"75k-100k",F795&gt;100000,"100k")</f>
        <v>30k</v>
      </c>
      <c r="W795" s="1">
        <f t="shared" si="25"/>
        <v>13</v>
      </c>
    </row>
    <row r="796" spans="1:23" x14ac:dyDescent="0.35">
      <c r="A796">
        <v>793</v>
      </c>
      <c r="B796">
        <v>11075</v>
      </c>
      <c r="C796">
        <v>1978</v>
      </c>
      <c r="D796" s="1" t="s">
        <v>10</v>
      </c>
      <c r="E796" s="1" t="s">
        <v>14</v>
      </c>
      <c r="F796">
        <v>51267</v>
      </c>
      <c r="G796">
        <v>1</v>
      </c>
      <c r="H796" s="2">
        <v>1</v>
      </c>
      <c r="I796" s="2">
        <v>41576</v>
      </c>
      <c r="J796">
        <v>37</v>
      </c>
      <c r="K796">
        <f>VLOOKUP(B796,purchase_dataset!$B$2:$F$2241,2,FALSE)</f>
        <v>2</v>
      </c>
      <c r="L796">
        <f>VLOOKUP(B796,purchase_dataset!$B$2:$F$2241,3,FALSE)</f>
        <v>2</v>
      </c>
      <c r="M796">
        <f>VLOOKUP(B796,purchase_dataset!$B$2:$F$2241,3,FALSE)</f>
        <v>2</v>
      </c>
      <c r="N796">
        <f>VLOOKUP(B796,purchase_dataset!$B$2:$F$2241,5,FALSE)</f>
        <v>5</v>
      </c>
      <c r="O796" s="5">
        <v>48</v>
      </c>
      <c r="P796" s="4" t="str">
        <f t="shared" si="24"/>
        <v>30-50</v>
      </c>
      <c r="Q796" s="4">
        <f>M796+N796</f>
        <v>7</v>
      </c>
      <c r="U796" s="28" t="str" cm="1">
        <f t="array" ref="U796">_xlfn.IFS(F796&lt;30000,"30k",F796&lt;=50000,"30k-50k",F796&lt;=75000,"50k-75k",F796&lt;=100000,"75k-100k",F796&gt;100000,"100k")</f>
        <v>50k-75k</v>
      </c>
      <c r="W796" s="1">
        <f t="shared" si="25"/>
        <v>13</v>
      </c>
    </row>
    <row r="797" spans="1:23" x14ac:dyDescent="0.35">
      <c r="A797">
        <v>794</v>
      </c>
      <c r="B797">
        <v>4442</v>
      </c>
      <c r="C797">
        <v>1961</v>
      </c>
      <c r="D797" s="1" t="s">
        <v>10</v>
      </c>
      <c r="E797" s="1" t="s">
        <v>11</v>
      </c>
      <c r="F797">
        <v>46524</v>
      </c>
      <c r="G797">
        <v>0</v>
      </c>
      <c r="H797" s="2">
        <v>1</v>
      </c>
      <c r="I797" s="2">
        <v>41369</v>
      </c>
      <c r="J797">
        <v>70</v>
      </c>
      <c r="K797">
        <f>VLOOKUP(B797,purchase_dataset!$B$2:$F$2241,2,FALSE)</f>
        <v>19</v>
      </c>
      <c r="L797">
        <f>VLOOKUP(B797,purchase_dataset!$B$2:$F$2241,3,FALSE)</f>
        <v>14</v>
      </c>
      <c r="M797">
        <f>VLOOKUP(B797,purchase_dataset!$B$2:$F$2241,3,FALSE)</f>
        <v>14</v>
      </c>
      <c r="N797">
        <f>VLOOKUP(B797,purchase_dataset!$B$2:$F$2241,5,FALSE)</f>
        <v>5</v>
      </c>
      <c r="O797" s="5">
        <v>65</v>
      </c>
      <c r="P797" s="4" t="str">
        <f t="shared" si="24"/>
        <v>&gt;50</v>
      </c>
      <c r="Q797" s="4">
        <f>M797+N797</f>
        <v>19</v>
      </c>
      <c r="U797" s="28" t="str" cm="1">
        <f t="array" ref="U797">_xlfn.IFS(F797&lt;30000,"30k",F797&lt;=50000,"30k-50k",F797&lt;=75000,"50k-75k",F797&lt;=100000,"75k-100k",F797&gt;100000,"100k")</f>
        <v>30k-50k</v>
      </c>
      <c r="W797" s="1">
        <f t="shared" si="25"/>
        <v>13</v>
      </c>
    </row>
    <row r="798" spans="1:23" x14ac:dyDescent="0.35">
      <c r="A798">
        <v>795</v>
      </c>
      <c r="B798">
        <v>199</v>
      </c>
      <c r="C798">
        <v>1962</v>
      </c>
      <c r="D798" s="1" t="s">
        <v>15</v>
      </c>
      <c r="E798" s="1" t="s">
        <v>11</v>
      </c>
      <c r="F798">
        <v>45183</v>
      </c>
      <c r="G798">
        <v>0</v>
      </c>
      <c r="H798" s="2">
        <v>0</v>
      </c>
      <c r="I798" s="2">
        <v>41294</v>
      </c>
      <c r="J798">
        <v>33</v>
      </c>
      <c r="K798">
        <f>VLOOKUP(B798,purchase_dataset!$B$2:$F$2241,2,FALSE)</f>
        <v>3</v>
      </c>
      <c r="L798">
        <f>VLOOKUP(B798,purchase_dataset!$B$2:$F$2241,3,FALSE)</f>
        <v>9</v>
      </c>
      <c r="M798">
        <f>VLOOKUP(B798,purchase_dataset!$B$2:$F$2241,3,FALSE)</f>
        <v>9</v>
      </c>
      <c r="N798">
        <f>VLOOKUP(B798,purchase_dataset!$B$2:$F$2241,5,FALSE)</f>
        <v>7</v>
      </c>
      <c r="O798" s="5">
        <v>64</v>
      </c>
      <c r="P798" s="4" t="str">
        <f t="shared" si="24"/>
        <v>&gt;50</v>
      </c>
      <c r="Q798" s="4">
        <f>M798+N798</f>
        <v>16</v>
      </c>
      <c r="U798" s="28" t="str" cm="1">
        <f t="array" ref="U798">_xlfn.IFS(F798&lt;30000,"30k",F798&lt;=50000,"30k-50k",F798&lt;=75000,"50k-75k",F798&lt;=100000,"75k-100k",F798&gt;100000,"100k")</f>
        <v>30k-50k</v>
      </c>
      <c r="W798" s="1">
        <f t="shared" si="25"/>
        <v>13</v>
      </c>
    </row>
    <row r="799" spans="1:23" x14ac:dyDescent="0.35">
      <c r="A799">
        <v>796</v>
      </c>
      <c r="B799">
        <v>6722</v>
      </c>
      <c r="C799">
        <v>1954</v>
      </c>
      <c r="D799" s="1" t="s">
        <v>13</v>
      </c>
      <c r="E799" s="1" t="s">
        <v>14</v>
      </c>
      <c r="F799">
        <v>70421</v>
      </c>
      <c r="G799">
        <v>0</v>
      </c>
      <c r="H799" s="2">
        <v>1</v>
      </c>
      <c r="I799" s="2">
        <v>41818</v>
      </c>
      <c r="J799">
        <v>98</v>
      </c>
      <c r="K799">
        <f>VLOOKUP(B799,purchase_dataset!$B$2:$F$2241,2,FALSE)</f>
        <v>28</v>
      </c>
      <c r="L799">
        <f>VLOOKUP(B799,purchase_dataset!$B$2:$F$2241,3,FALSE)</f>
        <v>14</v>
      </c>
      <c r="M799">
        <f>VLOOKUP(B799,purchase_dataset!$B$2:$F$2241,3,FALSE)</f>
        <v>14</v>
      </c>
      <c r="N799">
        <f>VLOOKUP(B799,purchase_dataset!$B$2:$F$2241,5,FALSE)</f>
        <v>7</v>
      </c>
      <c r="O799" s="5">
        <v>72</v>
      </c>
      <c r="P799" s="4" t="str">
        <f t="shared" si="24"/>
        <v>&gt;50</v>
      </c>
      <c r="Q799" s="4">
        <f>M799+N799</f>
        <v>21</v>
      </c>
      <c r="U799" s="28" t="str" cm="1">
        <f t="array" ref="U799">_xlfn.IFS(F799&lt;30000,"30k",F799&lt;=50000,"30k-50k",F799&lt;=75000,"50k-75k",F799&lt;=100000,"75k-100k",F799&gt;100000,"100k")</f>
        <v>50k-75k</v>
      </c>
      <c r="W799" s="1">
        <f t="shared" si="25"/>
        <v>12</v>
      </c>
    </row>
    <row r="800" spans="1:23" x14ac:dyDescent="0.35">
      <c r="A800">
        <v>797</v>
      </c>
      <c r="B800">
        <v>796</v>
      </c>
      <c r="C800">
        <v>1965</v>
      </c>
      <c r="D800" s="1" t="s">
        <v>18</v>
      </c>
      <c r="E800" s="1" t="s">
        <v>16</v>
      </c>
      <c r="F800">
        <v>60161</v>
      </c>
      <c r="G800">
        <v>0</v>
      </c>
      <c r="H800" s="2">
        <v>1</v>
      </c>
      <c r="I800" s="2">
        <v>41205</v>
      </c>
      <c r="J800">
        <v>17</v>
      </c>
      <c r="K800">
        <f>VLOOKUP(B800,purchase_dataset!$B$2:$F$2241,2,FALSE)</f>
        <v>44</v>
      </c>
      <c r="L800">
        <f>VLOOKUP(B800,purchase_dataset!$B$2:$F$2241,3,FALSE)</f>
        <v>8</v>
      </c>
      <c r="M800">
        <f>VLOOKUP(B800,purchase_dataset!$B$2:$F$2241,3,FALSE)</f>
        <v>8</v>
      </c>
      <c r="N800">
        <f>VLOOKUP(B800,purchase_dataset!$B$2:$F$2241,5,FALSE)</f>
        <v>8</v>
      </c>
      <c r="O800" s="5">
        <v>61</v>
      </c>
      <c r="P800" s="4" t="str">
        <f t="shared" si="24"/>
        <v>&gt;50</v>
      </c>
      <c r="Q800" s="4">
        <f>M800+N800</f>
        <v>16</v>
      </c>
      <c r="U800" s="28" t="str" cm="1">
        <f t="array" ref="U800">_xlfn.IFS(F800&lt;30000,"30k",F800&lt;=50000,"30k-50k",F800&lt;=75000,"50k-75k",F800&lt;=100000,"75k-100k",F800&gt;100000,"100k")</f>
        <v>50k-75k</v>
      </c>
      <c r="W800" s="1">
        <f t="shared" si="25"/>
        <v>14</v>
      </c>
    </row>
    <row r="801" spans="1:23" x14ac:dyDescent="0.35">
      <c r="A801">
        <v>798</v>
      </c>
      <c r="B801">
        <v>3749</v>
      </c>
      <c r="C801">
        <v>1973</v>
      </c>
      <c r="D801" s="1" t="s">
        <v>10</v>
      </c>
      <c r="E801" s="1" t="s">
        <v>12</v>
      </c>
      <c r="F801">
        <v>73926</v>
      </c>
      <c r="G801">
        <v>0</v>
      </c>
      <c r="H801" s="2">
        <v>0</v>
      </c>
      <c r="I801" s="2">
        <v>41335</v>
      </c>
      <c r="J801">
        <v>54</v>
      </c>
      <c r="K801">
        <f>VLOOKUP(B801,purchase_dataset!$B$2:$F$2241,2,FALSE)</f>
        <v>91</v>
      </c>
      <c r="L801">
        <f>VLOOKUP(B801,purchase_dataset!$B$2:$F$2241,3,FALSE)</f>
        <v>91</v>
      </c>
      <c r="M801">
        <f>VLOOKUP(B801,purchase_dataset!$B$2:$F$2241,3,FALSE)</f>
        <v>91</v>
      </c>
      <c r="N801">
        <f>VLOOKUP(B801,purchase_dataset!$B$2:$F$2241,5,FALSE)</f>
        <v>12</v>
      </c>
      <c r="O801" s="5">
        <v>53</v>
      </c>
      <c r="P801" s="4" t="str">
        <f t="shared" si="24"/>
        <v>&gt;50</v>
      </c>
      <c r="Q801" s="4">
        <f>M801+N801</f>
        <v>103</v>
      </c>
      <c r="U801" s="28" t="str" cm="1">
        <f t="array" ref="U801">_xlfn.IFS(F801&lt;30000,"30k",F801&lt;=50000,"30k-50k",F801&lt;=75000,"50k-75k",F801&lt;=100000,"75k-100k",F801&gt;100000,"100k")</f>
        <v>50k-75k</v>
      </c>
      <c r="W801" s="1">
        <f t="shared" si="25"/>
        <v>13</v>
      </c>
    </row>
    <row r="802" spans="1:23" x14ac:dyDescent="0.35">
      <c r="A802">
        <v>799</v>
      </c>
      <c r="B802">
        <v>8523</v>
      </c>
      <c r="C802">
        <v>1968</v>
      </c>
      <c r="D802" s="1" t="s">
        <v>10</v>
      </c>
      <c r="E802" s="1" t="s">
        <v>14</v>
      </c>
      <c r="F802">
        <v>19329</v>
      </c>
      <c r="G802">
        <v>1</v>
      </c>
      <c r="H802" s="2">
        <v>0</v>
      </c>
      <c r="I802" s="2">
        <v>41622</v>
      </c>
      <c r="J802">
        <v>39</v>
      </c>
      <c r="K802">
        <f>VLOOKUP(B802,purchase_dataset!$B$2:$F$2241,2,FALSE)</f>
        <v>1</v>
      </c>
      <c r="L802">
        <f>VLOOKUP(B802,purchase_dataset!$B$2:$F$2241,3,FALSE)</f>
        <v>2</v>
      </c>
      <c r="M802">
        <f>VLOOKUP(B802,purchase_dataset!$B$2:$F$2241,3,FALSE)</f>
        <v>2</v>
      </c>
      <c r="N802">
        <f>VLOOKUP(B802,purchase_dataset!$B$2:$F$2241,5,FALSE)</f>
        <v>3</v>
      </c>
      <c r="O802" s="5">
        <v>58</v>
      </c>
      <c r="P802" s="4" t="str">
        <f t="shared" si="24"/>
        <v>&gt;50</v>
      </c>
      <c r="Q802" s="4">
        <f>M802+N802</f>
        <v>5</v>
      </c>
      <c r="U802" s="28" t="str" cm="1">
        <f t="array" ref="U802">_xlfn.IFS(F802&lt;30000,"30k",F802&lt;=50000,"30k-50k",F802&lt;=75000,"50k-75k",F802&lt;=100000,"75k-100k",F802&gt;100000,"100k")</f>
        <v>30k</v>
      </c>
      <c r="W802" s="1">
        <f t="shared" si="25"/>
        <v>13</v>
      </c>
    </row>
    <row r="803" spans="1:23" x14ac:dyDescent="0.35">
      <c r="A803">
        <v>800</v>
      </c>
      <c r="B803">
        <v>310</v>
      </c>
      <c r="C803">
        <v>1970</v>
      </c>
      <c r="D803" s="1" t="s">
        <v>15</v>
      </c>
      <c r="E803" s="1" t="s">
        <v>14</v>
      </c>
      <c r="F803">
        <v>61872</v>
      </c>
      <c r="G803">
        <v>0</v>
      </c>
      <c r="H803" s="2">
        <v>1</v>
      </c>
      <c r="I803" s="2">
        <v>41621</v>
      </c>
      <c r="J803">
        <v>81</v>
      </c>
      <c r="K803">
        <f>VLOOKUP(B803,purchase_dataset!$B$2:$F$2241,2,FALSE)</f>
        <v>5</v>
      </c>
      <c r="L803">
        <f>VLOOKUP(B803,purchase_dataset!$B$2:$F$2241,3,FALSE)</f>
        <v>27</v>
      </c>
      <c r="M803">
        <f>VLOOKUP(B803,purchase_dataset!$B$2:$F$2241,3,FALSE)</f>
        <v>27</v>
      </c>
      <c r="N803">
        <f>VLOOKUP(B803,purchase_dataset!$B$2:$F$2241,5,FALSE)</f>
        <v>9</v>
      </c>
      <c r="O803" s="5">
        <v>56</v>
      </c>
      <c r="P803" s="4" t="str">
        <f t="shared" si="24"/>
        <v>&gt;50</v>
      </c>
      <c r="Q803" s="4">
        <f>M803+N803</f>
        <v>36</v>
      </c>
      <c r="U803" s="28" t="str" cm="1">
        <f t="array" ref="U803">_xlfn.IFS(F803&lt;30000,"30k",F803&lt;=50000,"30k-50k",F803&lt;=75000,"50k-75k",F803&lt;=100000,"75k-100k",F803&gt;100000,"100k")</f>
        <v>50k-75k</v>
      </c>
      <c r="W803" s="1">
        <f t="shared" si="25"/>
        <v>13</v>
      </c>
    </row>
    <row r="804" spans="1:23" x14ac:dyDescent="0.35">
      <c r="A804">
        <v>801</v>
      </c>
      <c r="B804">
        <v>8629</v>
      </c>
      <c r="C804">
        <v>1956</v>
      </c>
      <c r="D804" s="1" t="s">
        <v>10</v>
      </c>
      <c r="E804" s="1" t="s">
        <v>19</v>
      </c>
      <c r="F804">
        <v>46984</v>
      </c>
      <c r="G804">
        <v>1</v>
      </c>
      <c r="H804" s="2">
        <v>1</v>
      </c>
      <c r="I804" s="2">
        <v>41359</v>
      </c>
      <c r="J804">
        <v>71</v>
      </c>
      <c r="K804">
        <f>VLOOKUP(B804,purchase_dataset!$B$2:$F$2241,2,FALSE)</f>
        <v>1</v>
      </c>
      <c r="L804">
        <f>VLOOKUP(B804,purchase_dataset!$B$2:$F$2241,3,FALSE)</f>
        <v>1</v>
      </c>
      <c r="M804">
        <f>VLOOKUP(B804,purchase_dataset!$B$2:$F$2241,3,FALSE)</f>
        <v>1</v>
      </c>
      <c r="N804">
        <f>VLOOKUP(B804,purchase_dataset!$B$2:$F$2241,5,FALSE)</f>
        <v>3</v>
      </c>
      <c r="O804" s="5">
        <v>70</v>
      </c>
      <c r="P804" s="4" t="str">
        <f t="shared" si="24"/>
        <v>&gt;50</v>
      </c>
      <c r="Q804" s="4">
        <f>M804+N804</f>
        <v>4</v>
      </c>
      <c r="U804" s="28" t="str" cm="1">
        <f t="array" ref="U804">_xlfn.IFS(F804&lt;30000,"30k",F804&lt;=50000,"30k-50k",F804&lt;=75000,"50k-75k",F804&lt;=100000,"75k-100k",F804&gt;100000,"100k")</f>
        <v>30k-50k</v>
      </c>
      <c r="W804" s="1">
        <f t="shared" si="25"/>
        <v>13</v>
      </c>
    </row>
    <row r="805" spans="1:23" x14ac:dyDescent="0.35">
      <c r="A805">
        <v>802</v>
      </c>
      <c r="B805">
        <v>236</v>
      </c>
      <c r="C805">
        <v>1951</v>
      </c>
      <c r="D805" s="1" t="s">
        <v>10</v>
      </c>
      <c r="E805" s="1" t="s">
        <v>14</v>
      </c>
      <c r="F805">
        <v>34838</v>
      </c>
      <c r="G805">
        <v>1</v>
      </c>
      <c r="H805" s="2">
        <v>1</v>
      </c>
      <c r="I805" s="2">
        <v>41293</v>
      </c>
      <c r="J805">
        <v>62</v>
      </c>
      <c r="K805">
        <f>VLOOKUP(B805,purchase_dataset!$B$2:$F$2241,2,FALSE)</f>
        <v>23</v>
      </c>
      <c r="L805">
        <f>VLOOKUP(B805,purchase_dataset!$B$2:$F$2241,3,FALSE)</f>
        <v>14</v>
      </c>
      <c r="M805">
        <f>VLOOKUP(B805,purchase_dataset!$B$2:$F$2241,3,FALSE)</f>
        <v>14</v>
      </c>
      <c r="N805">
        <f>VLOOKUP(B805,purchase_dataset!$B$2:$F$2241,5,FALSE)</f>
        <v>4</v>
      </c>
      <c r="O805" s="5">
        <v>75</v>
      </c>
      <c r="P805" s="4" t="str">
        <f t="shared" si="24"/>
        <v>&gt;50</v>
      </c>
      <c r="Q805" s="4">
        <f>M805+N805</f>
        <v>18</v>
      </c>
      <c r="U805" s="28" t="str" cm="1">
        <f t="array" ref="U805">_xlfn.IFS(F805&lt;30000,"30k",F805&lt;=50000,"30k-50k",F805&lt;=75000,"50k-75k",F805&lt;=100000,"75k-100k",F805&gt;100000,"100k")</f>
        <v>30k-50k</v>
      </c>
      <c r="W805" s="1">
        <f t="shared" si="25"/>
        <v>13</v>
      </c>
    </row>
    <row r="806" spans="1:23" x14ac:dyDescent="0.35">
      <c r="A806">
        <v>803</v>
      </c>
      <c r="B806">
        <v>9930</v>
      </c>
      <c r="C806">
        <v>1944</v>
      </c>
      <c r="D806" s="1" t="s">
        <v>13</v>
      </c>
      <c r="E806" s="1" t="s">
        <v>11</v>
      </c>
      <c r="F806">
        <v>82716</v>
      </c>
      <c r="G806">
        <v>0</v>
      </c>
      <c r="H806" s="2">
        <v>0</v>
      </c>
      <c r="I806" s="2">
        <v>41583</v>
      </c>
      <c r="J806">
        <v>8</v>
      </c>
      <c r="K806">
        <f>VLOOKUP(B806,purchase_dataset!$B$2:$F$2241,2,FALSE)</f>
        <v>148</v>
      </c>
      <c r="L806">
        <f>VLOOKUP(B806,purchase_dataset!$B$2:$F$2241,3,FALSE)</f>
        <v>148</v>
      </c>
      <c r="M806">
        <f>VLOOKUP(B806,purchase_dataset!$B$2:$F$2241,3,FALSE)</f>
        <v>148</v>
      </c>
      <c r="N806">
        <f>VLOOKUP(B806,purchase_dataset!$B$2:$F$2241,5,FALSE)</f>
        <v>13</v>
      </c>
      <c r="O806" s="5">
        <v>82</v>
      </c>
      <c r="P806" s="4" t="str">
        <f t="shared" si="24"/>
        <v>&gt;50</v>
      </c>
      <c r="Q806" s="4">
        <f>M806+N806</f>
        <v>161</v>
      </c>
      <c r="U806" s="28" t="str" cm="1">
        <f t="array" ref="U806">_xlfn.IFS(F806&lt;30000,"30k",F806&lt;=50000,"30k-50k",F806&lt;=75000,"50k-75k",F806&lt;=100000,"75k-100k",F806&gt;100000,"100k")</f>
        <v>75k-100k</v>
      </c>
      <c r="W806" s="1">
        <f t="shared" si="25"/>
        <v>13</v>
      </c>
    </row>
    <row r="807" spans="1:23" x14ac:dyDescent="0.35">
      <c r="A807">
        <v>804</v>
      </c>
      <c r="B807">
        <v>3483</v>
      </c>
      <c r="C807">
        <v>1958</v>
      </c>
      <c r="D807" s="1" t="s">
        <v>10</v>
      </c>
      <c r="E807" s="1" t="s">
        <v>14</v>
      </c>
      <c r="F807">
        <v>48192</v>
      </c>
      <c r="G807">
        <v>0</v>
      </c>
      <c r="H807" s="2">
        <v>0</v>
      </c>
      <c r="I807" s="2">
        <v>41370</v>
      </c>
      <c r="J807">
        <v>76</v>
      </c>
      <c r="K807">
        <f>VLOOKUP(B807,purchase_dataset!$B$2:$F$2241,2,FALSE)</f>
        <v>43</v>
      </c>
      <c r="L807">
        <f>VLOOKUP(B807,purchase_dataset!$B$2:$F$2241,3,FALSE)</f>
        <v>58</v>
      </c>
      <c r="M807">
        <f>VLOOKUP(B807,purchase_dataset!$B$2:$F$2241,3,FALSE)</f>
        <v>58</v>
      </c>
      <c r="N807">
        <f>VLOOKUP(B807,purchase_dataset!$B$2:$F$2241,5,FALSE)</f>
        <v>12</v>
      </c>
      <c r="O807" s="5">
        <v>68</v>
      </c>
      <c r="P807" s="4" t="str">
        <f t="shared" si="24"/>
        <v>&gt;50</v>
      </c>
      <c r="Q807" s="4">
        <f>M807+N807</f>
        <v>70</v>
      </c>
      <c r="U807" s="28" t="str" cm="1">
        <f t="array" ref="U807">_xlfn.IFS(F807&lt;30000,"30k",F807&lt;=50000,"30k-50k",F807&lt;=75000,"50k-75k",F807&lt;=100000,"75k-100k",F807&gt;100000,"100k")</f>
        <v>30k-50k</v>
      </c>
      <c r="W807" s="1">
        <f t="shared" si="25"/>
        <v>13</v>
      </c>
    </row>
    <row r="808" spans="1:23" x14ac:dyDescent="0.35">
      <c r="A808">
        <v>805</v>
      </c>
      <c r="B808">
        <v>4599</v>
      </c>
      <c r="C808">
        <v>1976</v>
      </c>
      <c r="D808" s="1" t="s">
        <v>15</v>
      </c>
      <c r="E808" s="1" t="s">
        <v>14</v>
      </c>
      <c r="F808">
        <v>49681</v>
      </c>
      <c r="G808">
        <v>0</v>
      </c>
      <c r="H808" s="2">
        <v>2</v>
      </c>
      <c r="I808" s="2">
        <v>41582</v>
      </c>
      <c r="J808">
        <v>66</v>
      </c>
      <c r="K808">
        <f>VLOOKUP(B808,purchase_dataset!$B$2:$F$2241,2,FALSE)</f>
        <v>0</v>
      </c>
      <c r="L808">
        <f>VLOOKUP(B808,purchase_dataset!$B$2:$F$2241,3,FALSE)</f>
        <v>0</v>
      </c>
      <c r="M808">
        <f>VLOOKUP(B808,purchase_dataset!$B$2:$F$2241,3,FALSE)</f>
        <v>0</v>
      </c>
      <c r="N808">
        <f>VLOOKUP(B808,purchase_dataset!$B$2:$F$2241,5,FALSE)</f>
        <v>7</v>
      </c>
      <c r="O808" s="5">
        <v>50</v>
      </c>
      <c r="P808" s="4" t="str">
        <f t="shared" si="24"/>
        <v>30-50</v>
      </c>
      <c r="Q808" s="4">
        <f>M808+N808</f>
        <v>7</v>
      </c>
      <c r="U808" s="28" t="str" cm="1">
        <f t="array" ref="U808">_xlfn.IFS(F808&lt;30000,"30k",F808&lt;=50000,"30k-50k",F808&lt;=75000,"50k-75k",F808&lt;=100000,"75k-100k",F808&gt;100000,"100k")</f>
        <v>30k-50k</v>
      </c>
      <c r="W808" s="1">
        <f t="shared" si="25"/>
        <v>13</v>
      </c>
    </row>
    <row r="809" spans="1:23" x14ac:dyDescent="0.35">
      <c r="A809">
        <v>806</v>
      </c>
      <c r="B809">
        <v>7326</v>
      </c>
      <c r="C809">
        <v>1971</v>
      </c>
      <c r="D809" s="1" t="s">
        <v>15</v>
      </c>
      <c r="E809" s="1" t="s">
        <v>14</v>
      </c>
      <c r="F809">
        <v>56850</v>
      </c>
      <c r="G809">
        <v>0</v>
      </c>
      <c r="H809" s="2">
        <v>1</v>
      </c>
      <c r="I809" s="2">
        <v>41721</v>
      </c>
      <c r="J809">
        <v>83</v>
      </c>
      <c r="K809">
        <f>VLOOKUP(B809,purchase_dataset!$B$2:$F$2241,2,FALSE)</f>
        <v>1</v>
      </c>
      <c r="L809">
        <f>VLOOKUP(B809,purchase_dataset!$B$2:$F$2241,3,FALSE)</f>
        <v>7</v>
      </c>
      <c r="M809">
        <f>VLOOKUP(B809,purchase_dataset!$B$2:$F$2241,3,FALSE)</f>
        <v>7</v>
      </c>
      <c r="N809">
        <f>VLOOKUP(B809,purchase_dataset!$B$2:$F$2241,5,FALSE)</f>
        <v>3</v>
      </c>
      <c r="O809" s="5">
        <v>55</v>
      </c>
      <c r="P809" s="4" t="str">
        <f t="shared" si="24"/>
        <v>&gt;50</v>
      </c>
      <c r="Q809" s="4">
        <f>M809+N809</f>
        <v>10</v>
      </c>
      <c r="U809" s="28" t="str" cm="1">
        <f t="array" ref="U809">_xlfn.IFS(F809&lt;30000,"30k",F809&lt;=50000,"30k-50k",F809&lt;=75000,"50k-75k",F809&lt;=100000,"75k-100k",F809&gt;100000,"100k")</f>
        <v>50k-75k</v>
      </c>
      <c r="W809" s="1">
        <f t="shared" si="25"/>
        <v>12</v>
      </c>
    </row>
    <row r="810" spans="1:23" x14ac:dyDescent="0.35">
      <c r="A810">
        <v>807</v>
      </c>
      <c r="B810">
        <v>7352</v>
      </c>
      <c r="C810">
        <v>1957</v>
      </c>
      <c r="D810" s="1" t="s">
        <v>10</v>
      </c>
      <c r="E810" s="1" t="s">
        <v>14</v>
      </c>
      <c r="F810">
        <v>55267</v>
      </c>
      <c r="G810">
        <v>0</v>
      </c>
      <c r="H810" s="2">
        <v>1</v>
      </c>
      <c r="I810" s="2">
        <v>41568</v>
      </c>
      <c r="J810">
        <v>28</v>
      </c>
      <c r="K810">
        <f>VLOOKUP(B810,purchase_dataset!$B$2:$F$2241,2,FALSE)</f>
        <v>28</v>
      </c>
      <c r="L810">
        <f>VLOOKUP(B810,purchase_dataset!$B$2:$F$2241,3,FALSE)</f>
        <v>3</v>
      </c>
      <c r="M810">
        <f>VLOOKUP(B810,purchase_dataset!$B$2:$F$2241,3,FALSE)</f>
        <v>3</v>
      </c>
      <c r="N810">
        <f>VLOOKUP(B810,purchase_dataset!$B$2:$F$2241,5,FALSE)</f>
        <v>6</v>
      </c>
      <c r="O810" s="5">
        <v>69</v>
      </c>
      <c r="P810" s="4" t="str">
        <f t="shared" si="24"/>
        <v>&gt;50</v>
      </c>
      <c r="Q810" s="4">
        <f>M810+N810</f>
        <v>9</v>
      </c>
      <c r="U810" s="28" t="str" cm="1">
        <f t="array" ref="U810">_xlfn.IFS(F810&lt;30000,"30k",F810&lt;=50000,"30k-50k",F810&lt;=75000,"50k-75k",F810&lt;=100000,"75k-100k",F810&gt;100000,"100k")</f>
        <v>50k-75k</v>
      </c>
      <c r="W810" s="1">
        <f t="shared" si="25"/>
        <v>13</v>
      </c>
    </row>
    <row r="811" spans="1:23" x14ac:dyDescent="0.35">
      <c r="A811">
        <v>808</v>
      </c>
      <c r="B811">
        <v>2350</v>
      </c>
      <c r="C811">
        <v>1972</v>
      </c>
      <c r="D811" s="1" t="s">
        <v>10</v>
      </c>
      <c r="E811" s="1" t="s">
        <v>14</v>
      </c>
      <c r="F811">
        <v>59666</v>
      </c>
      <c r="G811">
        <v>1</v>
      </c>
      <c r="H811" s="2">
        <v>1</v>
      </c>
      <c r="I811" s="2">
        <v>41355</v>
      </c>
      <c r="J811">
        <v>87</v>
      </c>
      <c r="K811">
        <f>VLOOKUP(B811,purchase_dataset!$B$2:$F$2241,2,FALSE)</f>
        <v>53</v>
      </c>
      <c r="L811">
        <f>VLOOKUP(B811,purchase_dataset!$B$2:$F$2241,3,FALSE)</f>
        <v>17</v>
      </c>
      <c r="M811">
        <f>VLOOKUP(B811,purchase_dataset!$B$2:$F$2241,3,FALSE)</f>
        <v>17</v>
      </c>
      <c r="N811">
        <f>VLOOKUP(B811,purchase_dataset!$B$2:$F$2241,5,FALSE)</f>
        <v>8</v>
      </c>
      <c r="O811" s="5">
        <v>54</v>
      </c>
      <c r="P811" s="4" t="str">
        <f t="shared" si="24"/>
        <v>&gt;50</v>
      </c>
      <c r="Q811" s="4">
        <f>M811+N811</f>
        <v>25</v>
      </c>
      <c r="U811" s="28" t="str" cm="1">
        <f t="array" ref="U811">_xlfn.IFS(F811&lt;30000,"30k",F811&lt;=50000,"30k-50k",F811&lt;=75000,"50k-75k",F811&lt;=100000,"75k-100k",F811&gt;100000,"100k")</f>
        <v>50k-75k</v>
      </c>
      <c r="W811" s="1">
        <f t="shared" si="25"/>
        <v>13</v>
      </c>
    </row>
    <row r="812" spans="1:23" x14ac:dyDescent="0.35">
      <c r="A812">
        <v>809</v>
      </c>
      <c r="B812">
        <v>9145</v>
      </c>
      <c r="C812">
        <v>1972</v>
      </c>
      <c r="D812" s="1" t="s">
        <v>10</v>
      </c>
      <c r="E812" s="1" t="s">
        <v>11</v>
      </c>
      <c r="F812">
        <v>72504</v>
      </c>
      <c r="G812">
        <v>0</v>
      </c>
      <c r="H812" s="2">
        <v>1</v>
      </c>
      <c r="I812" s="2">
        <v>41370</v>
      </c>
      <c r="J812">
        <v>43</v>
      </c>
      <c r="K812">
        <f>VLOOKUP(B812,purchase_dataset!$B$2:$F$2241,2,FALSE)</f>
        <v>26</v>
      </c>
      <c r="L812">
        <f>VLOOKUP(B812,purchase_dataset!$B$2:$F$2241,3,FALSE)</f>
        <v>161</v>
      </c>
      <c r="M812">
        <f>VLOOKUP(B812,purchase_dataset!$B$2:$F$2241,3,FALSE)</f>
        <v>161</v>
      </c>
      <c r="N812">
        <f>VLOOKUP(B812,purchase_dataset!$B$2:$F$2241,5,FALSE)</f>
        <v>6</v>
      </c>
      <c r="O812" s="5">
        <v>54</v>
      </c>
      <c r="P812" s="4" t="str">
        <f t="shared" si="24"/>
        <v>&gt;50</v>
      </c>
      <c r="Q812" s="4">
        <f>M812+N812</f>
        <v>167</v>
      </c>
      <c r="U812" s="28" t="str" cm="1">
        <f t="array" ref="U812">_xlfn.IFS(F812&lt;30000,"30k",F812&lt;=50000,"30k-50k",F812&lt;=75000,"50k-75k",F812&lt;=100000,"75k-100k",F812&gt;100000,"100k")</f>
        <v>50k-75k</v>
      </c>
      <c r="W812" s="1">
        <f t="shared" si="25"/>
        <v>13</v>
      </c>
    </row>
    <row r="813" spans="1:23" x14ac:dyDescent="0.35">
      <c r="A813">
        <v>810</v>
      </c>
      <c r="B813">
        <v>2964</v>
      </c>
      <c r="C813">
        <v>1981</v>
      </c>
      <c r="D813" s="1" t="s">
        <v>10</v>
      </c>
      <c r="E813" s="1" t="s">
        <v>14</v>
      </c>
      <c r="F813">
        <v>26872</v>
      </c>
      <c r="G813">
        <v>0</v>
      </c>
      <c r="H813" s="2">
        <v>0</v>
      </c>
      <c r="I813" s="2">
        <v>41563</v>
      </c>
      <c r="J813">
        <v>0</v>
      </c>
      <c r="K813">
        <f>VLOOKUP(B813,purchase_dataset!$B$2:$F$2241,2,FALSE)</f>
        <v>10</v>
      </c>
      <c r="L813">
        <f>VLOOKUP(B813,purchase_dataset!$B$2:$F$2241,3,FALSE)</f>
        <v>16</v>
      </c>
      <c r="M813">
        <f>VLOOKUP(B813,purchase_dataset!$B$2:$F$2241,3,FALSE)</f>
        <v>16</v>
      </c>
      <c r="N813">
        <f>VLOOKUP(B813,purchase_dataset!$B$2:$F$2241,5,FALSE)</f>
        <v>2</v>
      </c>
      <c r="O813" s="5">
        <v>45</v>
      </c>
      <c r="P813" s="4" t="str">
        <f t="shared" si="24"/>
        <v>30-50</v>
      </c>
      <c r="Q813" s="4">
        <f>M813+N813</f>
        <v>18</v>
      </c>
      <c r="U813" s="28" t="str" cm="1">
        <f t="array" ref="U813">_xlfn.IFS(F813&lt;30000,"30k",F813&lt;=50000,"30k-50k",F813&lt;=75000,"50k-75k",F813&lt;=100000,"75k-100k",F813&gt;100000,"100k")</f>
        <v>30k</v>
      </c>
      <c r="W813" s="1">
        <f t="shared" si="25"/>
        <v>13</v>
      </c>
    </row>
    <row r="814" spans="1:23" x14ac:dyDescent="0.35">
      <c r="A814">
        <v>811</v>
      </c>
      <c r="B814">
        <v>5585</v>
      </c>
      <c r="C814">
        <v>1972</v>
      </c>
      <c r="D814" s="1" t="s">
        <v>10</v>
      </c>
      <c r="E814" s="1" t="s">
        <v>11</v>
      </c>
      <c r="F814">
        <v>21359</v>
      </c>
      <c r="G814">
        <v>1</v>
      </c>
      <c r="H814" s="2">
        <v>0</v>
      </c>
      <c r="I814" s="2">
        <v>41384</v>
      </c>
      <c r="J814">
        <v>1</v>
      </c>
      <c r="K814">
        <f>VLOOKUP(B814,purchase_dataset!$B$2:$F$2241,2,FALSE)</f>
        <v>2</v>
      </c>
      <c r="L814">
        <f>VLOOKUP(B814,purchase_dataset!$B$2:$F$2241,3,FALSE)</f>
        <v>1</v>
      </c>
      <c r="M814">
        <f>VLOOKUP(B814,purchase_dataset!$B$2:$F$2241,3,FALSE)</f>
        <v>1</v>
      </c>
      <c r="N814">
        <f>VLOOKUP(B814,purchase_dataset!$B$2:$F$2241,5,FALSE)</f>
        <v>3</v>
      </c>
      <c r="O814" s="5">
        <v>54</v>
      </c>
      <c r="P814" s="4" t="str">
        <f t="shared" si="24"/>
        <v>&gt;50</v>
      </c>
      <c r="Q814" s="4">
        <f>M814+N814</f>
        <v>4</v>
      </c>
      <c r="U814" s="28" t="str" cm="1">
        <f t="array" ref="U814">_xlfn.IFS(F814&lt;30000,"30k",F814&lt;=50000,"30k-50k",F814&lt;=75000,"50k-75k",F814&lt;=100000,"75k-100k",F814&gt;100000,"100k")</f>
        <v>30k</v>
      </c>
      <c r="W814" s="1">
        <f t="shared" si="25"/>
        <v>13</v>
      </c>
    </row>
    <row r="815" spans="1:23" x14ac:dyDescent="0.35">
      <c r="A815">
        <v>812</v>
      </c>
      <c r="B815">
        <v>9687</v>
      </c>
      <c r="C815">
        <v>1975</v>
      </c>
      <c r="D815" s="1" t="s">
        <v>10</v>
      </c>
      <c r="E815" s="1" t="s">
        <v>11</v>
      </c>
      <c r="F815">
        <v>73170</v>
      </c>
      <c r="G815">
        <v>0</v>
      </c>
      <c r="H815" s="2">
        <v>0</v>
      </c>
      <c r="I815" s="2">
        <v>41790</v>
      </c>
      <c r="J815">
        <v>1</v>
      </c>
      <c r="K815">
        <f>VLOOKUP(B815,purchase_dataset!$B$2:$F$2241,2,FALSE)</f>
        <v>174</v>
      </c>
      <c r="L815">
        <f>VLOOKUP(B815,purchase_dataset!$B$2:$F$2241,3,FALSE)</f>
        <v>30</v>
      </c>
      <c r="M815">
        <f>VLOOKUP(B815,purchase_dataset!$B$2:$F$2241,3,FALSE)</f>
        <v>30</v>
      </c>
      <c r="N815">
        <f>VLOOKUP(B815,purchase_dataset!$B$2:$F$2241,5,FALSE)</f>
        <v>6</v>
      </c>
      <c r="O815" s="5">
        <v>51</v>
      </c>
      <c r="P815" s="4" t="str">
        <f t="shared" si="24"/>
        <v>&gt;50</v>
      </c>
      <c r="Q815" s="4">
        <f>M815+N815</f>
        <v>36</v>
      </c>
      <c r="U815" s="28" t="str" cm="1">
        <f t="array" ref="U815">_xlfn.IFS(F815&lt;30000,"30k",F815&lt;=50000,"30k-50k",F815&lt;=75000,"50k-75k",F815&lt;=100000,"75k-100k",F815&gt;100000,"100k")</f>
        <v>50k-75k</v>
      </c>
      <c r="W815" s="1">
        <f t="shared" si="25"/>
        <v>12</v>
      </c>
    </row>
    <row r="816" spans="1:23" x14ac:dyDescent="0.35">
      <c r="A816">
        <v>813</v>
      </c>
      <c r="B816">
        <v>3732</v>
      </c>
      <c r="C816">
        <v>1955</v>
      </c>
      <c r="D816" s="1" t="s">
        <v>15</v>
      </c>
      <c r="E816" s="1" t="s">
        <v>14</v>
      </c>
      <c r="F816">
        <v>52750</v>
      </c>
      <c r="G816">
        <v>0</v>
      </c>
      <c r="H816" s="2">
        <v>1</v>
      </c>
      <c r="I816" s="2">
        <v>41309</v>
      </c>
      <c r="J816">
        <v>72</v>
      </c>
      <c r="K816">
        <f>VLOOKUP(B816,purchase_dataset!$B$2:$F$2241,2,FALSE)</f>
        <v>0</v>
      </c>
      <c r="L816">
        <f>VLOOKUP(B816,purchase_dataset!$B$2:$F$2241,3,FALSE)</f>
        <v>69</v>
      </c>
      <c r="M816">
        <f>VLOOKUP(B816,purchase_dataset!$B$2:$F$2241,3,FALSE)</f>
        <v>69</v>
      </c>
      <c r="N816">
        <f>VLOOKUP(B816,purchase_dataset!$B$2:$F$2241,5,FALSE)</f>
        <v>9</v>
      </c>
      <c r="O816" s="5">
        <v>71</v>
      </c>
      <c r="P816" s="4" t="str">
        <f t="shared" si="24"/>
        <v>&gt;50</v>
      </c>
      <c r="Q816" s="4">
        <f>M816+N816</f>
        <v>78</v>
      </c>
      <c r="U816" s="28" t="str" cm="1">
        <f t="array" ref="U816">_xlfn.IFS(F816&lt;30000,"30k",F816&lt;=50000,"30k-50k",F816&lt;=75000,"50k-75k",F816&lt;=100000,"75k-100k",F816&gt;100000,"100k")</f>
        <v>50k-75k</v>
      </c>
      <c r="W816" s="1">
        <f t="shared" si="25"/>
        <v>13</v>
      </c>
    </row>
    <row r="817" spans="1:23" x14ac:dyDescent="0.35">
      <c r="A817">
        <v>814</v>
      </c>
      <c r="B817">
        <v>6303</v>
      </c>
      <c r="C817">
        <v>1986</v>
      </c>
      <c r="D817" s="1" t="s">
        <v>13</v>
      </c>
      <c r="E817" s="1" t="s">
        <v>12</v>
      </c>
      <c r="F817">
        <v>91820</v>
      </c>
      <c r="G817">
        <v>0</v>
      </c>
      <c r="H817" s="2">
        <v>0</v>
      </c>
      <c r="I817" s="2">
        <v>41601</v>
      </c>
      <c r="J817">
        <v>72</v>
      </c>
      <c r="K817">
        <f>VLOOKUP(B817,purchase_dataset!$B$2:$F$2241,2,FALSE)</f>
        <v>73</v>
      </c>
      <c r="L817">
        <f>VLOOKUP(B817,purchase_dataset!$B$2:$F$2241,3,FALSE)</f>
        <v>161</v>
      </c>
      <c r="M817">
        <f>VLOOKUP(B817,purchase_dataset!$B$2:$F$2241,3,FALSE)</f>
        <v>161</v>
      </c>
      <c r="N817">
        <f>VLOOKUP(B817,purchase_dataset!$B$2:$F$2241,5,FALSE)</f>
        <v>12</v>
      </c>
      <c r="O817" s="5">
        <v>40</v>
      </c>
      <c r="P817" s="4" t="str">
        <f t="shared" si="24"/>
        <v>30-50</v>
      </c>
      <c r="Q817" s="4">
        <f>M817+N817</f>
        <v>173</v>
      </c>
      <c r="U817" s="28" t="str" cm="1">
        <f t="array" ref="U817">_xlfn.IFS(F817&lt;30000,"30k",F817&lt;=50000,"30k-50k",F817&lt;=75000,"50k-75k",F817&lt;=100000,"75k-100k",F817&gt;100000,"100k")</f>
        <v>75k-100k</v>
      </c>
      <c r="W817" s="1">
        <f t="shared" si="25"/>
        <v>13</v>
      </c>
    </row>
    <row r="818" spans="1:23" x14ac:dyDescent="0.35">
      <c r="A818">
        <v>815</v>
      </c>
      <c r="B818">
        <v>11176</v>
      </c>
      <c r="C818">
        <v>1970</v>
      </c>
      <c r="D818" s="1" t="s">
        <v>13</v>
      </c>
      <c r="E818" s="1" t="s">
        <v>12</v>
      </c>
      <c r="F818">
        <v>65968</v>
      </c>
      <c r="G818">
        <v>0</v>
      </c>
      <c r="H818" s="2">
        <v>1</v>
      </c>
      <c r="I818" s="2">
        <v>41771</v>
      </c>
      <c r="J818">
        <v>12</v>
      </c>
      <c r="K818">
        <f>VLOOKUP(B818,purchase_dataset!$B$2:$F$2241,2,FALSE)</f>
        <v>9</v>
      </c>
      <c r="L818">
        <f>VLOOKUP(B818,purchase_dataset!$B$2:$F$2241,3,FALSE)</f>
        <v>4</v>
      </c>
      <c r="M818">
        <f>VLOOKUP(B818,purchase_dataset!$B$2:$F$2241,3,FALSE)</f>
        <v>4</v>
      </c>
      <c r="N818">
        <f>VLOOKUP(B818,purchase_dataset!$B$2:$F$2241,5,FALSE)</f>
        <v>7</v>
      </c>
      <c r="O818" s="5">
        <v>56</v>
      </c>
      <c r="P818" s="4" t="str">
        <f t="shared" si="24"/>
        <v>&gt;50</v>
      </c>
      <c r="Q818" s="4">
        <f>M818+N818</f>
        <v>11</v>
      </c>
      <c r="U818" s="28" t="str" cm="1">
        <f t="array" ref="U818">_xlfn.IFS(F818&lt;30000,"30k",F818&lt;=50000,"30k-50k",F818&lt;=75000,"50k-75k",F818&lt;=100000,"75k-100k",F818&gt;100000,"100k")</f>
        <v>50k-75k</v>
      </c>
      <c r="W818" s="1">
        <f t="shared" si="25"/>
        <v>12</v>
      </c>
    </row>
    <row r="819" spans="1:23" x14ac:dyDescent="0.35">
      <c r="A819">
        <v>816</v>
      </c>
      <c r="B819">
        <v>2986</v>
      </c>
      <c r="C819">
        <v>1976</v>
      </c>
      <c r="D819" s="1" t="s">
        <v>10</v>
      </c>
      <c r="E819" s="1" t="s">
        <v>14</v>
      </c>
      <c r="F819">
        <v>30772</v>
      </c>
      <c r="G819">
        <v>1</v>
      </c>
      <c r="H819" s="2">
        <v>1</v>
      </c>
      <c r="I819" s="2">
        <v>41710</v>
      </c>
      <c r="J819">
        <v>89</v>
      </c>
      <c r="K819">
        <f>VLOOKUP(B819,purchase_dataset!$B$2:$F$2241,2,FALSE)</f>
        <v>2</v>
      </c>
      <c r="L819">
        <f>VLOOKUP(B819,purchase_dataset!$B$2:$F$2241,3,FALSE)</f>
        <v>1</v>
      </c>
      <c r="M819">
        <f>VLOOKUP(B819,purchase_dataset!$B$2:$F$2241,3,FALSE)</f>
        <v>1</v>
      </c>
      <c r="N819">
        <f>VLOOKUP(B819,purchase_dataset!$B$2:$F$2241,5,FALSE)</f>
        <v>2</v>
      </c>
      <c r="O819" s="5">
        <v>50</v>
      </c>
      <c r="P819" s="4" t="str">
        <f t="shared" si="24"/>
        <v>30-50</v>
      </c>
      <c r="Q819" s="4">
        <f>M819+N819</f>
        <v>3</v>
      </c>
      <c r="U819" s="28" t="str" cm="1">
        <f t="array" ref="U819">_xlfn.IFS(F819&lt;30000,"30k",F819&lt;=50000,"30k-50k",F819&lt;=75000,"50k-75k",F819&lt;=100000,"75k-100k",F819&gt;100000,"100k")</f>
        <v>30k-50k</v>
      </c>
      <c r="W819" s="1">
        <f t="shared" si="25"/>
        <v>12</v>
      </c>
    </row>
    <row r="820" spans="1:23" x14ac:dyDescent="0.35">
      <c r="A820">
        <v>817</v>
      </c>
      <c r="B820">
        <v>7462</v>
      </c>
      <c r="C820">
        <v>1954</v>
      </c>
      <c r="D820" s="1" t="s">
        <v>10</v>
      </c>
      <c r="E820" s="1" t="s">
        <v>11</v>
      </c>
      <c r="F820">
        <v>22507</v>
      </c>
      <c r="G820">
        <v>0</v>
      </c>
      <c r="H820" s="2">
        <v>0</v>
      </c>
      <c r="I820" s="2">
        <v>41237</v>
      </c>
      <c r="J820">
        <v>67</v>
      </c>
      <c r="K820">
        <f>VLOOKUP(B820,purchase_dataset!$B$2:$F$2241,2,FALSE)</f>
        <v>0</v>
      </c>
      <c r="L820">
        <f>VLOOKUP(B820,purchase_dataset!$B$2:$F$2241,3,FALSE)</f>
        <v>157</v>
      </c>
      <c r="M820">
        <f>VLOOKUP(B820,purchase_dataset!$B$2:$F$2241,3,FALSE)</f>
        <v>157</v>
      </c>
      <c r="N820">
        <f>VLOOKUP(B820,purchase_dataset!$B$2:$F$2241,5,FALSE)</f>
        <v>4</v>
      </c>
      <c r="O820" s="5">
        <v>72</v>
      </c>
      <c r="P820" s="4" t="str">
        <f t="shared" si="24"/>
        <v>&gt;50</v>
      </c>
      <c r="Q820" s="4">
        <f>M820+N820</f>
        <v>161</v>
      </c>
      <c r="U820" s="28" t="str" cm="1">
        <f t="array" ref="U820">_xlfn.IFS(F820&lt;30000,"30k",F820&lt;=50000,"30k-50k",F820&lt;=75000,"50k-75k",F820&lt;=100000,"75k-100k",F820&gt;100000,"100k")</f>
        <v>30k</v>
      </c>
      <c r="W820" s="1">
        <f t="shared" si="25"/>
        <v>14</v>
      </c>
    </row>
    <row r="821" spans="1:23" x14ac:dyDescent="0.35">
      <c r="A821">
        <v>818</v>
      </c>
      <c r="B821">
        <v>3900</v>
      </c>
      <c r="C821">
        <v>1972</v>
      </c>
      <c r="D821" s="1" t="s">
        <v>10</v>
      </c>
      <c r="E821" s="1" t="s">
        <v>14</v>
      </c>
      <c r="F821">
        <v>65685</v>
      </c>
      <c r="G821">
        <v>0</v>
      </c>
      <c r="H821" s="2">
        <v>1</v>
      </c>
      <c r="I821" s="2">
        <v>41727</v>
      </c>
      <c r="J821">
        <v>54</v>
      </c>
      <c r="K821">
        <f>VLOOKUP(B821,purchase_dataset!$B$2:$F$2241,2,FALSE)</f>
        <v>14</v>
      </c>
      <c r="L821">
        <f>VLOOKUP(B821,purchase_dataset!$B$2:$F$2241,3,FALSE)</f>
        <v>7</v>
      </c>
      <c r="M821">
        <f>VLOOKUP(B821,purchase_dataset!$B$2:$F$2241,3,FALSE)</f>
        <v>7</v>
      </c>
      <c r="N821">
        <f>VLOOKUP(B821,purchase_dataset!$B$2:$F$2241,5,FALSE)</f>
        <v>9</v>
      </c>
      <c r="O821" s="5">
        <v>54</v>
      </c>
      <c r="P821" s="4" t="str">
        <f t="shared" si="24"/>
        <v>&gt;50</v>
      </c>
      <c r="Q821" s="4">
        <f>M821+N821</f>
        <v>16</v>
      </c>
      <c r="U821" s="28" t="str" cm="1">
        <f t="array" ref="U821">_xlfn.IFS(F821&lt;30000,"30k",F821&lt;=50000,"30k-50k",F821&lt;=75000,"50k-75k",F821&lt;=100000,"75k-100k",F821&gt;100000,"100k")</f>
        <v>50k-75k</v>
      </c>
      <c r="W821" s="1">
        <f t="shared" si="25"/>
        <v>12</v>
      </c>
    </row>
    <row r="822" spans="1:23" x14ac:dyDescent="0.35">
      <c r="A822">
        <v>819</v>
      </c>
      <c r="B822">
        <v>7034</v>
      </c>
      <c r="C822">
        <v>1978</v>
      </c>
      <c r="D822" s="1" t="s">
        <v>18</v>
      </c>
      <c r="E822" s="1" t="s">
        <v>14</v>
      </c>
      <c r="F822">
        <v>25804</v>
      </c>
      <c r="G822">
        <v>1</v>
      </c>
      <c r="H822" s="2">
        <v>0</v>
      </c>
      <c r="I822" s="2">
        <v>41518</v>
      </c>
      <c r="J822">
        <v>34</v>
      </c>
      <c r="K822">
        <f>VLOOKUP(B822,purchase_dataset!$B$2:$F$2241,2,FALSE)</f>
        <v>7</v>
      </c>
      <c r="L822">
        <f>VLOOKUP(B822,purchase_dataset!$B$2:$F$2241,3,FALSE)</f>
        <v>6</v>
      </c>
      <c r="M822">
        <f>VLOOKUP(B822,purchase_dataset!$B$2:$F$2241,3,FALSE)</f>
        <v>6</v>
      </c>
      <c r="N822">
        <f>VLOOKUP(B822,purchase_dataset!$B$2:$F$2241,5,FALSE)</f>
        <v>3</v>
      </c>
      <c r="O822" s="5">
        <v>48</v>
      </c>
      <c r="P822" s="4" t="str">
        <f t="shared" si="24"/>
        <v>30-50</v>
      </c>
      <c r="Q822" s="4">
        <f>M822+N822</f>
        <v>9</v>
      </c>
      <c r="U822" s="28" t="str" cm="1">
        <f t="array" ref="U822">_xlfn.IFS(F822&lt;30000,"30k",F822&lt;=50000,"30k-50k",F822&lt;=75000,"50k-75k",F822&lt;=100000,"75k-100k",F822&gt;100000,"100k")</f>
        <v>30k</v>
      </c>
      <c r="W822" s="1">
        <f t="shared" si="25"/>
        <v>13</v>
      </c>
    </row>
    <row r="823" spans="1:23" x14ac:dyDescent="0.35">
      <c r="A823">
        <v>820</v>
      </c>
      <c r="B823">
        <v>9493</v>
      </c>
      <c r="C823">
        <v>1980</v>
      </c>
      <c r="D823" s="1" t="s">
        <v>13</v>
      </c>
      <c r="E823" s="1" t="s">
        <v>11</v>
      </c>
      <c r="F823">
        <v>76412</v>
      </c>
      <c r="G823">
        <v>0</v>
      </c>
      <c r="H823" s="2">
        <v>0</v>
      </c>
      <c r="I823" s="2">
        <v>41399</v>
      </c>
      <c r="J823">
        <v>15</v>
      </c>
      <c r="K823">
        <f>VLOOKUP(B823,purchase_dataset!$B$2:$F$2241,2,FALSE)</f>
        <v>53</v>
      </c>
      <c r="L823">
        <f>VLOOKUP(B823,purchase_dataset!$B$2:$F$2241,3,FALSE)</f>
        <v>71</v>
      </c>
      <c r="M823">
        <f>VLOOKUP(B823,purchase_dataset!$B$2:$F$2241,3,FALSE)</f>
        <v>71</v>
      </c>
      <c r="N823">
        <f>VLOOKUP(B823,purchase_dataset!$B$2:$F$2241,5,FALSE)</f>
        <v>8</v>
      </c>
      <c r="O823" s="5">
        <v>46</v>
      </c>
      <c r="P823" s="4" t="str">
        <f t="shared" si="24"/>
        <v>30-50</v>
      </c>
      <c r="Q823" s="4">
        <f>M823+N823</f>
        <v>79</v>
      </c>
      <c r="U823" s="28" t="str" cm="1">
        <f t="array" ref="U823">_xlfn.IFS(F823&lt;30000,"30k",F823&lt;=50000,"30k-50k",F823&lt;=75000,"50k-75k",F823&lt;=100000,"75k-100k",F823&gt;100000,"100k")</f>
        <v>75k-100k</v>
      </c>
      <c r="W823" s="1">
        <f t="shared" si="25"/>
        <v>13</v>
      </c>
    </row>
    <row r="824" spans="1:23" x14ac:dyDescent="0.35">
      <c r="A824">
        <v>821</v>
      </c>
      <c r="B824">
        <v>1143</v>
      </c>
      <c r="C824">
        <v>1972</v>
      </c>
      <c r="D824" s="1" t="s">
        <v>10</v>
      </c>
      <c r="E824" s="1" t="s">
        <v>14</v>
      </c>
      <c r="F824">
        <v>22063</v>
      </c>
      <c r="G824">
        <v>1</v>
      </c>
      <c r="H824" s="2">
        <v>0</v>
      </c>
      <c r="I824" s="2">
        <v>41494</v>
      </c>
      <c r="J824">
        <v>43</v>
      </c>
      <c r="K824">
        <f>VLOOKUP(B824,purchase_dataset!$B$2:$F$2241,2,FALSE)</f>
        <v>10</v>
      </c>
      <c r="L824">
        <f>VLOOKUP(B824,purchase_dataset!$B$2:$F$2241,3,FALSE)</f>
        <v>11</v>
      </c>
      <c r="M824">
        <f>VLOOKUP(B824,purchase_dataset!$B$2:$F$2241,3,FALSE)</f>
        <v>11</v>
      </c>
      <c r="N824">
        <f>VLOOKUP(B824,purchase_dataset!$B$2:$F$2241,5,FALSE)</f>
        <v>3</v>
      </c>
      <c r="O824" s="5">
        <v>54</v>
      </c>
      <c r="P824" s="4" t="str">
        <f t="shared" si="24"/>
        <v>&gt;50</v>
      </c>
      <c r="Q824" s="4">
        <f>M824+N824</f>
        <v>14</v>
      </c>
      <c r="U824" s="28" t="str" cm="1">
        <f t="array" ref="U824">_xlfn.IFS(F824&lt;30000,"30k",F824&lt;=50000,"30k-50k",F824&lt;=75000,"50k-75k",F824&lt;=100000,"75k-100k",F824&gt;100000,"100k")</f>
        <v>30k</v>
      </c>
      <c r="W824" s="1">
        <f t="shared" si="25"/>
        <v>13</v>
      </c>
    </row>
    <row r="825" spans="1:23" x14ac:dyDescent="0.35">
      <c r="A825">
        <v>822</v>
      </c>
      <c r="B825">
        <v>1</v>
      </c>
      <c r="C825">
        <v>1961</v>
      </c>
      <c r="D825" s="1" t="s">
        <v>10</v>
      </c>
      <c r="E825" s="1" t="s">
        <v>11</v>
      </c>
      <c r="F825">
        <v>57091</v>
      </c>
      <c r="G825">
        <v>0</v>
      </c>
      <c r="H825" s="2">
        <v>0</v>
      </c>
      <c r="I825" s="2">
        <v>41805</v>
      </c>
      <c r="J825">
        <v>0</v>
      </c>
      <c r="K825">
        <f>VLOOKUP(B825,purchase_dataset!$B$2:$F$2241,2,FALSE)</f>
        <v>5</v>
      </c>
      <c r="L825">
        <f>VLOOKUP(B825,purchase_dataset!$B$2:$F$2241,3,FALSE)</f>
        <v>0</v>
      </c>
      <c r="M825">
        <f>VLOOKUP(B825,purchase_dataset!$B$2:$F$2241,3,FALSE)</f>
        <v>0</v>
      </c>
      <c r="N825">
        <f>VLOOKUP(B825,purchase_dataset!$B$2:$F$2241,5,FALSE)</f>
        <v>7</v>
      </c>
      <c r="O825" s="5">
        <v>65</v>
      </c>
      <c r="P825" s="4" t="str">
        <f t="shared" si="24"/>
        <v>&gt;50</v>
      </c>
      <c r="Q825" s="4">
        <f>M825+N825</f>
        <v>7</v>
      </c>
      <c r="U825" s="28" t="str" cm="1">
        <f t="array" ref="U825">_xlfn.IFS(F825&lt;30000,"30k",F825&lt;=50000,"30k-50k",F825&lt;=75000,"50k-75k",F825&lt;=100000,"75k-100k",F825&gt;100000,"100k")</f>
        <v>50k-75k</v>
      </c>
      <c r="W825" s="1">
        <f t="shared" si="25"/>
        <v>12</v>
      </c>
    </row>
    <row r="826" spans="1:23" x14ac:dyDescent="0.35">
      <c r="A826">
        <v>823</v>
      </c>
      <c r="B826">
        <v>3855</v>
      </c>
      <c r="C826">
        <v>1963</v>
      </c>
      <c r="D826" s="1" t="s">
        <v>10</v>
      </c>
      <c r="E826" s="1" t="s">
        <v>14</v>
      </c>
      <c r="F826">
        <v>22419</v>
      </c>
      <c r="G826">
        <v>0</v>
      </c>
      <c r="H826" s="2">
        <v>0</v>
      </c>
      <c r="I826" s="2">
        <v>41382</v>
      </c>
      <c r="J826">
        <v>74</v>
      </c>
      <c r="K826">
        <f>VLOOKUP(B826,purchase_dataset!$B$2:$F$2241,2,FALSE)</f>
        <v>3</v>
      </c>
      <c r="L826">
        <f>VLOOKUP(B826,purchase_dataset!$B$2:$F$2241,3,FALSE)</f>
        <v>21</v>
      </c>
      <c r="M826">
        <f>VLOOKUP(B826,purchase_dataset!$B$2:$F$2241,3,FALSE)</f>
        <v>21</v>
      </c>
      <c r="N826">
        <f>VLOOKUP(B826,purchase_dataset!$B$2:$F$2241,5,FALSE)</f>
        <v>2</v>
      </c>
      <c r="O826" s="5">
        <v>63</v>
      </c>
      <c r="P826" s="4" t="str">
        <f t="shared" si="24"/>
        <v>&gt;50</v>
      </c>
      <c r="Q826" s="4">
        <f>M826+N826</f>
        <v>23</v>
      </c>
      <c r="U826" s="28" t="str" cm="1">
        <f t="array" ref="U826">_xlfn.IFS(F826&lt;30000,"30k",F826&lt;=50000,"30k-50k",F826&lt;=75000,"50k-75k",F826&lt;=100000,"75k-100k",F826&gt;100000,"100k")</f>
        <v>30k</v>
      </c>
      <c r="W826" s="1">
        <f t="shared" si="25"/>
        <v>13</v>
      </c>
    </row>
    <row r="827" spans="1:23" x14ac:dyDescent="0.35">
      <c r="A827">
        <v>824</v>
      </c>
      <c r="B827">
        <v>5536</v>
      </c>
      <c r="C827">
        <v>1959</v>
      </c>
      <c r="D827" s="1" t="s">
        <v>10</v>
      </c>
      <c r="E827" s="1" t="s">
        <v>12</v>
      </c>
      <c r="F827">
        <v>87771</v>
      </c>
      <c r="G827">
        <v>0</v>
      </c>
      <c r="H827" s="2">
        <v>1</v>
      </c>
      <c r="I827" s="2">
        <v>41416</v>
      </c>
      <c r="J827">
        <v>61</v>
      </c>
      <c r="K827">
        <f>VLOOKUP(B827,purchase_dataset!$B$2:$F$2241,2,FALSE)</f>
        <v>38</v>
      </c>
      <c r="L827">
        <f>VLOOKUP(B827,purchase_dataset!$B$2:$F$2241,3,FALSE)</f>
        <v>57</v>
      </c>
      <c r="M827">
        <f>VLOOKUP(B827,purchase_dataset!$B$2:$F$2241,3,FALSE)</f>
        <v>57</v>
      </c>
      <c r="N827">
        <f>VLOOKUP(B827,purchase_dataset!$B$2:$F$2241,5,FALSE)</f>
        <v>4</v>
      </c>
      <c r="O827" s="5">
        <v>67</v>
      </c>
      <c r="P827" s="4" t="str">
        <f t="shared" si="24"/>
        <v>&gt;50</v>
      </c>
      <c r="Q827" s="4">
        <f>M827+N827</f>
        <v>61</v>
      </c>
      <c r="U827" s="28" t="str" cm="1">
        <f t="array" ref="U827">_xlfn.IFS(F827&lt;30000,"30k",F827&lt;=50000,"30k-50k",F827&lt;=75000,"50k-75k",F827&lt;=100000,"75k-100k",F827&gt;100000,"100k")</f>
        <v>75k-100k</v>
      </c>
      <c r="W827" s="1">
        <f t="shared" si="25"/>
        <v>13</v>
      </c>
    </row>
    <row r="828" spans="1:23" x14ac:dyDescent="0.35">
      <c r="A828">
        <v>825</v>
      </c>
      <c r="B828">
        <v>5989</v>
      </c>
      <c r="C828">
        <v>1959</v>
      </c>
      <c r="D828" s="1" t="s">
        <v>18</v>
      </c>
      <c r="E828" s="1" t="s">
        <v>16</v>
      </c>
      <c r="F828">
        <v>78353</v>
      </c>
      <c r="G828">
        <v>0</v>
      </c>
      <c r="H828" s="2">
        <v>1</v>
      </c>
      <c r="I828" s="2">
        <v>41380</v>
      </c>
      <c r="J828">
        <v>51</v>
      </c>
      <c r="K828">
        <f>VLOOKUP(B828,purchase_dataset!$B$2:$F$2241,2,FALSE)</f>
        <v>122</v>
      </c>
      <c r="L828">
        <f>VLOOKUP(B828,purchase_dataset!$B$2:$F$2241,3,FALSE)</f>
        <v>153</v>
      </c>
      <c r="M828">
        <f>VLOOKUP(B828,purchase_dataset!$B$2:$F$2241,3,FALSE)</f>
        <v>153</v>
      </c>
      <c r="N828">
        <f>VLOOKUP(B828,purchase_dataset!$B$2:$F$2241,5,FALSE)</f>
        <v>11</v>
      </c>
      <c r="O828" s="5">
        <v>67</v>
      </c>
      <c r="P828" s="4" t="str">
        <f t="shared" si="24"/>
        <v>&gt;50</v>
      </c>
      <c r="Q828" s="4">
        <f>M828+N828</f>
        <v>164</v>
      </c>
      <c r="U828" s="28" t="str" cm="1">
        <f t="array" ref="U828">_xlfn.IFS(F828&lt;30000,"30k",F828&lt;=50000,"30k-50k",F828&lt;=75000,"50k-75k",F828&lt;=100000,"75k-100k",F828&gt;100000,"100k")</f>
        <v>75k-100k</v>
      </c>
      <c r="W828" s="1">
        <f t="shared" si="25"/>
        <v>13</v>
      </c>
    </row>
    <row r="829" spans="1:23" x14ac:dyDescent="0.35">
      <c r="A829">
        <v>826</v>
      </c>
      <c r="B829">
        <v>9499</v>
      </c>
      <c r="C829">
        <v>1954</v>
      </c>
      <c r="D829" s="1" t="s">
        <v>10</v>
      </c>
      <c r="E829" s="1" t="s">
        <v>14</v>
      </c>
      <c r="F829">
        <v>93404</v>
      </c>
      <c r="G829">
        <v>1</v>
      </c>
      <c r="H829" s="2">
        <v>2</v>
      </c>
      <c r="I829" s="2">
        <v>41401</v>
      </c>
      <c r="J829">
        <v>97</v>
      </c>
      <c r="K829">
        <f>VLOOKUP(B829,purchase_dataset!$B$2:$F$2241,2,FALSE)</f>
        <v>15</v>
      </c>
      <c r="L829">
        <f>VLOOKUP(B829,purchase_dataset!$B$2:$F$2241,3,FALSE)</f>
        <v>0</v>
      </c>
      <c r="M829">
        <f>VLOOKUP(B829,purchase_dataset!$B$2:$F$2241,3,FALSE)</f>
        <v>0</v>
      </c>
      <c r="N829">
        <f>VLOOKUP(B829,purchase_dataset!$B$2:$F$2241,5,FALSE)</f>
        <v>7</v>
      </c>
      <c r="O829" s="5">
        <v>72</v>
      </c>
      <c r="P829" s="4" t="str">
        <f t="shared" si="24"/>
        <v>&gt;50</v>
      </c>
      <c r="Q829" s="4">
        <f>M829+N829</f>
        <v>7</v>
      </c>
      <c r="U829" s="28" t="str" cm="1">
        <f t="array" ref="U829">_xlfn.IFS(F829&lt;30000,"30k",F829&lt;=50000,"30k-50k",F829&lt;=75000,"50k-75k",F829&lt;=100000,"75k-100k",F829&gt;100000,"100k")</f>
        <v>75k-100k</v>
      </c>
      <c r="W829" s="1">
        <f t="shared" si="25"/>
        <v>13</v>
      </c>
    </row>
    <row r="830" spans="1:23" x14ac:dyDescent="0.35">
      <c r="A830">
        <v>827</v>
      </c>
      <c r="B830">
        <v>6768</v>
      </c>
      <c r="C830">
        <v>1962</v>
      </c>
      <c r="D830" s="1" t="s">
        <v>10</v>
      </c>
      <c r="E830" s="1" t="s">
        <v>16</v>
      </c>
      <c r="F830">
        <v>37859</v>
      </c>
      <c r="G830">
        <v>1</v>
      </c>
      <c r="H830" s="2">
        <v>2</v>
      </c>
      <c r="I830" s="2">
        <v>41286</v>
      </c>
      <c r="J830">
        <v>75</v>
      </c>
      <c r="K830">
        <f>VLOOKUP(B830,purchase_dataset!$B$2:$F$2241,2,FALSE)</f>
        <v>1</v>
      </c>
      <c r="L830">
        <f>VLOOKUP(B830,purchase_dataset!$B$2:$F$2241,3,FALSE)</f>
        <v>1</v>
      </c>
      <c r="M830">
        <f>VLOOKUP(B830,purchase_dataset!$B$2:$F$2241,3,FALSE)</f>
        <v>1</v>
      </c>
      <c r="N830">
        <f>VLOOKUP(B830,purchase_dataset!$B$2:$F$2241,5,FALSE)</f>
        <v>3</v>
      </c>
      <c r="O830" s="5">
        <v>64</v>
      </c>
      <c r="P830" s="4" t="str">
        <f t="shared" si="24"/>
        <v>&gt;50</v>
      </c>
      <c r="Q830" s="4">
        <f>M830+N830</f>
        <v>4</v>
      </c>
      <c r="U830" s="28" t="str" cm="1">
        <f t="array" ref="U830">_xlfn.IFS(F830&lt;30000,"30k",F830&lt;=50000,"30k-50k",F830&lt;=75000,"50k-75k",F830&lt;=100000,"75k-100k",F830&gt;100000,"100k")</f>
        <v>30k-50k</v>
      </c>
      <c r="W830" s="1">
        <f t="shared" si="25"/>
        <v>13</v>
      </c>
    </row>
    <row r="831" spans="1:23" x14ac:dyDescent="0.35">
      <c r="A831">
        <v>828</v>
      </c>
      <c r="B831">
        <v>2150</v>
      </c>
      <c r="C831">
        <v>1958</v>
      </c>
      <c r="D831" s="1" t="s">
        <v>13</v>
      </c>
      <c r="E831" s="1" t="s">
        <v>19</v>
      </c>
      <c r="F831">
        <v>80995</v>
      </c>
      <c r="G831">
        <v>0</v>
      </c>
      <c r="H831" s="2">
        <v>1</v>
      </c>
      <c r="I831" s="2">
        <v>41405</v>
      </c>
      <c r="J831">
        <v>83</v>
      </c>
      <c r="K831">
        <f>VLOOKUP(B831,purchase_dataset!$B$2:$F$2241,2,FALSE)</f>
        <v>28</v>
      </c>
      <c r="L831">
        <f>VLOOKUP(B831,purchase_dataset!$B$2:$F$2241,3,FALSE)</f>
        <v>56</v>
      </c>
      <c r="M831">
        <f>VLOOKUP(B831,purchase_dataset!$B$2:$F$2241,3,FALSE)</f>
        <v>56</v>
      </c>
      <c r="N831">
        <f>VLOOKUP(B831,purchase_dataset!$B$2:$F$2241,5,FALSE)</f>
        <v>4</v>
      </c>
      <c r="O831" s="5">
        <v>68</v>
      </c>
      <c r="P831" s="4" t="str">
        <f t="shared" si="24"/>
        <v>&gt;50</v>
      </c>
      <c r="Q831" s="4">
        <f>M831+N831</f>
        <v>60</v>
      </c>
      <c r="U831" s="28" t="str" cm="1">
        <f t="array" ref="U831">_xlfn.IFS(F831&lt;30000,"30k",F831&lt;=50000,"30k-50k",F831&lt;=75000,"50k-75k",F831&lt;=100000,"75k-100k",F831&gt;100000,"100k")</f>
        <v>75k-100k</v>
      </c>
      <c r="W831" s="1">
        <f t="shared" si="25"/>
        <v>13</v>
      </c>
    </row>
    <row r="832" spans="1:23" x14ac:dyDescent="0.35">
      <c r="A832">
        <v>829</v>
      </c>
      <c r="B832">
        <v>6646</v>
      </c>
      <c r="C832">
        <v>1984</v>
      </c>
      <c r="D832" s="1" t="s">
        <v>10</v>
      </c>
      <c r="E832" s="1" t="s">
        <v>12</v>
      </c>
      <c r="F832">
        <v>16529</v>
      </c>
      <c r="G832">
        <v>1</v>
      </c>
      <c r="H832" s="2">
        <v>0</v>
      </c>
      <c r="I832" s="2">
        <v>41699</v>
      </c>
      <c r="J832">
        <v>23</v>
      </c>
      <c r="K832">
        <f>VLOOKUP(B832,purchase_dataset!$B$2:$F$2241,2,FALSE)</f>
        <v>0</v>
      </c>
      <c r="L832">
        <f>VLOOKUP(B832,purchase_dataset!$B$2:$F$2241,3,FALSE)</f>
        <v>0</v>
      </c>
      <c r="M832">
        <f>VLOOKUP(B832,purchase_dataset!$B$2:$F$2241,3,FALSE)</f>
        <v>0</v>
      </c>
      <c r="N832">
        <f>VLOOKUP(B832,purchase_dataset!$B$2:$F$2241,5,FALSE)</f>
        <v>3</v>
      </c>
      <c r="O832" s="5">
        <v>42</v>
      </c>
      <c r="P832" s="4" t="str">
        <f t="shared" si="24"/>
        <v>30-50</v>
      </c>
      <c r="Q832" s="4">
        <f>M832+N832</f>
        <v>3</v>
      </c>
      <c r="U832" s="28" t="str" cm="1">
        <f t="array" ref="U832">_xlfn.IFS(F832&lt;30000,"30k",F832&lt;=50000,"30k-50k",F832&lt;=75000,"50k-75k",F832&lt;=100000,"75k-100k",F832&gt;100000,"100k")</f>
        <v>30k</v>
      </c>
      <c r="W832" s="1">
        <f t="shared" si="25"/>
        <v>12</v>
      </c>
    </row>
    <row r="833" spans="1:23" x14ac:dyDescent="0.35">
      <c r="A833">
        <v>830</v>
      </c>
      <c r="B833">
        <v>4887</v>
      </c>
      <c r="C833">
        <v>1976</v>
      </c>
      <c r="D833" s="1" t="s">
        <v>13</v>
      </c>
      <c r="E833" s="1" t="s">
        <v>16</v>
      </c>
      <c r="F833">
        <v>55412</v>
      </c>
      <c r="G833">
        <v>1</v>
      </c>
      <c r="H833" s="2">
        <v>1</v>
      </c>
      <c r="I833" s="2">
        <v>41600</v>
      </c>
      <c r="J833">
        <v>65</v>
      </c>
      <c r="K833">
        <f>VLOOKUP(B833,purchase_dataset!$B$2:$F$2241,2,FALSE)</f>
        <v>5</v>
      </c>
      <c r="L833">
        <f>VLOOKUP(B833,purchase_dataset!$B$2:$F$2241,3,FALSE)</f>
        <v>1</v>
      </c>
      <c r="M833">
        <f>VLOOKUP(B833,purchase_dataset!$B$2:$F$2241,3,FALSE)</f>
        <v>1</v>
      </c>
      <c r="N833">
        <f>VLOOKUP(B833,purchase_dataset!$B$2:$F$2241,5,FALSE)</f>
        <v>3</v>
      </c>
      <c r="O833" s="5">
        <v>50</v>
      </c>
      <c r="P833" s="4" t="str">
        <f t="shared" si="24"/>
        <v>30-50</v>
      </c>
      <c r="Q833" s="4">
        <f>M833+N833</f>
        <v>4</v>
      </c>
      <c r="U833" s="28" t="str" cm="1">
        <f t="array" ref="U833">_xlfn.IFS(F833&lt;30000,"30k",F833&lt;=50000,"30k-50k",F833&lt;=75000,"50k-75k",F833&lt;=100000,"75k-100k",F833&gt;100000,"100k")</f>
        <v>50k-75k</v>
      </c>
      <c r="W833" s="1">
        <f t="shared" si="25"/>
        <v>13</v>
      </c>
    </row>
    <row r="834" spans="1:23" x14ac:dyDescent="0.35">
      <c r="A834">
        <v>831</v>
      </c>
      <c r="B834">
        <v>8560</v>
      </c>
      <c r="C834">
        <v>1992</v>
      </c>
      <c r="D834" s="1" t="s">
        <v>10</v>
      </c>
      <c r="E834" s="1" t="s">
        <v>11</v>
      </c>
      <c r="F834">
        <v>48789</v>
      </c>
      <c r="G834">
        <v>0</v>
      </c>
      <c r="H834" s="2">
        <v>0</v>
      </c>
      <c r="I834" s="2">
        <v>41162</v>
      </c>
      <c r="J834">
        <v>94</v>
      </c>
      <c r="K834">
        <f>VLOOKUP(B834,purchase_dataset!$B$2:$F$2241,2,FALSE)</f>
        <v>16</v>
      </c>
      <c r="L834">
        <f>VLOOKUP(B834,purchase_dataset!$B$2:$F$2241,3,FALSE)</f>
        <v>5</v>
      </c>
      <c r="M834">
        <f>VLOOKUP(B834,purchase_dataset!$B$2:$F$2241,3,FALSE)</f>
        <v>5</v>
      </c>
      <c r="N834">
        <f>VLOOKUP(B834,purchase_dataset!$B$2:$F$2241,5,FALSE)</f>
        <v>7</v>
      </c>
      <c r="O834" s="5">
        <v>34</v>
      </c>
      <c r="P834" s="4" t="str">
        <f t="shared" si="24"/>
        <v>30-50</v>
      </c>
      <c r="Q834" s="4">
        <f>M834+N834</f>
        <v>12</v>
      </c>
      <c r="U834" s="28" t="str" cm="1">
        <f t="array" ref="U834">_xlfn.IFS(F834&lt;30000,"30k",F834&lt;=50000,"30k-50k",F834&lt;=75000,"50k-75k",F834&lt;=100000,"75k-100k",F834&gt;100000,"100k")</f>
        <v>30k-50k</v>
      </c>
      <c r="W834" s="1">
        <f t="shared" si="25"/>
        <v>14</v>
      </c>
    </row>
    <row r="835" spans="1:23" x14ac:dyDescent="0.35">
      <c r="A835">
        <v>832</v>
      </c>
      <c r="B835">
        <v>3321</v>
      </c>
      <c r="C835">
        <v>1967</v>
      </c>
      <c r="D835" s="1" t="s">
        <v>13</v>
      </c>
      <c r="E835" s="1" t="s">
        <v>12</v>
      </c>
      <c r="F835">
        <v>56575</v>
      </c>
      <c r="G835">
        <v>0</v>
      </c>
      <c r="H835" s="2">
        <v>2</v>
      </c>
      <c r="I835" s="2">
        <v>41399</v>
      </c>
      <c r="J835">
        <v>42</v>
      </c>
      <c r="K835">
        <f>VLOOKUP(B835,purchase_dataset!$B$2:$F$2241,2,FALSE)</f>
        <v>5</v>
      </c>
      <c r="L835">
        <f>VLOOKUP(B835,purchase_dataset!$B$2:$F$2241,3,FALSE)</f>
        <v>16</v>
      </c>
      <c r="M835">
        <f>VLOOKUP(B835,purchase_dataset!$B$2:$F$2241,3,FALSE)</f>
        <v>16</v>
      </c>
      <c r="N835">
        <f>VLOOKUP(B835,purchase_dataset!$B$2:$F$2241,5,FALSE)</f>
        <v>7</v>
      </c>
      <c r="O835" s="5">
        <v>59</v>
      </c>
      <c r="P835" s="4" t="str">
        <f t="shared" si="24"/>
        <v>&gt;50</v>
      </c>
      <c r="Q835" s="4">
        <f>M835+N835</f>
        <v>23</v>
      </c>
      <c r="U835" s="28" t="str" cm="1">
        <f t="array" ref="U835">_xlfn.IFS(F835&lt;30000,"30k",F835&lt;=50000,"30k-50k",F835&lt;=75000,"50k-75k",F835&lt;=100000,"75k-100k",F835&gt;100000,"100k")</f>
        <v>50k-75k</v>
      </c>
      <c r="W835" s="1">
        <f t="shared" si="25"/>
        <v>13</v>
      </c>
    </row>
    <row r="836" spans="1:23" x14ac:dyDescent="0.35">
      <c r="A836">
        <v>833</v>
      </c>
      <c r="B836">
        <v>11003</v>
      </c>
      <c r="C836">
        <v>1980</v>
      </c>
      <c r="D836" s="1" t="s">
        <v>18</v>
      </c>
      <c r="E836" s="1" t="s">
        <v>12</v>
      </c>
      <c r="F836">
        <v>25130</v>
      </c>
      <c r="G836">
        <v>1</v>
      </c>
      <c r="H836" s="2">
        <v>0</v>
      </c>
      <c r="I836" s="2">
        <v>41549</v>
      </c>
      <c r="J836">
        <v>10</v>
      </c>
      <c r="K836">
        <f>VLOOKUP(B836,purchase_dataset!$B$2:$F$2241,2,FALSE)</f>
        <v>5</v>
      </c>
      <c r="L836">
        <f>VLOOKUP(B836,purchase_dataset!$B$2:$F$2241,3,FALSE)</f>
        <v>18</v>
      </c>
      <c r="M836">
        <f>VLOOKUP(B836,purchase_dataset!$B$2:$F$2241,3,FALSE)</f>
        <v>18</v>
      </c>
      <c r="N836">
        <f>VLOOKUP(B836,purchase_dataset!$B$2:$F$2241,5,FALSE)</f>
        <v>3</v>
      </c>
      <c r="O836" s="5">
        <v>46</v>
      </c>
      <c r="P836" s="4" t="str">
        <f t="shared" ref="P836:P899" si="26">IF(O836&lt;30,"30",IF(O836&lt;=50,"30-50","&gt;50"))</f>
        <v>30-50</v>
      </c>
      <c r="Q836" s="4">
        <f>M836+N836</f>
        <v>21</v>
      </c>
      <c r="U836" s="28" t="str" cm="1">
        <f t="array" ref="U836">_xlfn.IFS(F836&lt;30000,"30k",F836&lt;=50000,"30k-50k",F836&lt;=75000,"50k-75k",F836&lt;=100000,"75k-100k",F836&gt;100000,"100k")</f>
        <v>30k</v>
      </c>
      <c r="W836" s="1">
        <f t="shared" ref="W836:W899" si="27">2026-YEAR(I836)</f>
        <v>13</v>
      </c>
    </row>
    <row r="837" spans="1:23" x14ac:dyDescent="0.35">
      <c r="A837">
        <v>834</v>
      </c>
      <c r="B837">
        <v>10402</v>
      </c>
      <c r="C837">
        <v>1967</v>
      </c>
      <c r="D837" s="1" t="s">
        <v>10</v>
      </c>
      <c r="E837" s="1" t="s">
        <v>14</v>
      </c>
      <c r="F837">
        <v>35441</v>
      </c>
      <c r="G837">
        <v>1</v>
      </c>
      <c r="H837" s="2">
        <v>1</v>
      </c>
      <c r="I837" s="2">
        <v>41319</v>
      </c>
      <c r="J837">
        <v>94</v>
      </c>
      <c r="K837">
        <f>VLOOKUP(B837,purchase_dataset!$B$2:$F$2241,2,FALSE)</f>
        <v>1</v>
      </c>
      <c r="L837">
        <f>VLOOKUP(B837,purchase_dataset!$B$2:$F$2241,3,FALSE)</f>
        <v>1</v>
      </c>
      <c r="M837">
        <f>VLOOKUP(B837,purchase_dataset!$B$2:$F$2241,3,FALSE)</f>
        <v>1</v>
      </c>
      <c r="N837">
        <f>VLOOKUP(B837,purchase_dataset!$B$2:$F$2241,5,FALSE)</f>
        <v>3</v>
      </c>
      <c r="O837" s="5">
        <v>59</v>
      </c>
      <c r="P837" s="4" t="str">
        <f t="shared" si="26"/>
        <v>&gt;50</v>
      </c>
      <c r="Q837" s="4">
        <f>M837+N837</f>
        <v>4</v>
      </c>
      <c r="U837" s="28" t="str" cm="1">
        <f t="array" ref="U837">_xlfn.IFS(F837&lt;30000,"30k",F837&lt;=50000,"30k-50k",F837&lt;=75000,"50k-75k",F837&lt;=100000,"75k-100k",F837&gt;100000,"100k")</f>
        <v>30k-50k</v>
      </c>
      <c r="W837" s="1">
        <f t="shared" si="27"/>
        <v>13</v>
      </c>
    </row>
    <row r="838" spans="1:23" x14ac:dyDescent="0.35">
      <c r="A838">
        <v>835</v>
      </c>
      <c r="B838">
        <v>9904</v>
      </c>
      <c r="C838">
        <v>1956</v>
      </c>
      <c r="D838" s="1" t="s">
        <v>10</v>
      </c>
      <c r="E838" s="1" t="s">
        <v>14</v>
      </c>
      <c r="F838">
        <v>71391</v>
      </c>
      <c r="G838">
        <v>0</v>
      </c>
      <c r="H838" s="2">
        <v>1</v>
      </c>
      <c r="I838" s="2">
        <v>41362</v>
      </c>
      <c r="J838">
        <v>50</v>
      </c>
      <c r="K838">
        <f>VLOOKUP(B838,purchase_dataset!$B$2:$F$2241,2,FALSE)</f>
        <v>123</v>
      </c>
      <c r="L838">
        <f>VLOOKUP(B838,purchase_dataset!$B$2:$F$2241,3,FALSE)</f>
        <v>123</v>
      </c>
      <c r="M838">
        <f>VLOOKUP(B838,purchase_dataset!$B$2:$F$2241,3,FALSE)</f>
        <v>123</v>
      </c>
      <c r="N838">
        <f>VLOOKUP(B838,purchase_dataset!$B$2:$F$2241,5,FALSE)</f>
        <v>12</v>
      </c>
      <c r="O838" s="5">
        <v>70</v>
      </c>
      <c r="P838" s="4" t="str">
        <f t="shared" si="26"/>
        <v>&gt;50</v>
      </c>
      <c r="Q838" s="4">
        <f>M838+N838</f>
        <v>135</v>
      </c>
      <c r="U838" s="28" t="str" cm="1">
        <f t="array" ref="U838">_xlfn.IFS(F838&lt;30000,"30k",F838&lt;=50000,"30k-50k",F838&lt;=75000,"50k-75k",F838&lt;=100000,"75k-100k",F838&gt;100000,"100k")</f>
        <v>50k-75k</v>
      </c>
      <c r="W838" s="1">
        <f t="shared" si="27"/>
        <v>13</v>
      </c>
    </row>
    <row r="839" spans="1:23" x14ac:dyDescent="0.35">
      <c r="A839">
        <v>836</v>
      </c>
      <c r="B839">
        <v>6141</v>
      </c>
      <c r="C839">
        <v>1972</v>
      </c>
      <c r="D839" s="1" t="s">
        <v>15</v>
      </c>
      <c r="E839" s="1" t="s">
        <v>11</v>
      </c>
      <c r="F839">
        <v>49494</v>
      </c>
      <c r="G839">
        <v>1</v>
      </c>
      <c r="H839" s="2">
        <v>0</v>
      </c>
      <c r="I839" s="2">
        <v>41389</v>
      </c>
      <c r="J839">
        <v>46</v>
      </c>
      <c r="K839">
        <f>VLOOKUP(B839,purchase_dataset!$B$2:$F$2241,2,FALSE)</f>
        <v>9</v>
      </c>
      <c r="L839">
        <f>VLOOKUP(B839,purchase_dataset!$B$2:$F$2241,3,FALSE)</f>
        <v>6</v>
      </c>
      <c r="M839">
        <f>VLOOKUP(B839,purchase_dataset!$B$2:$F$2241,3,FALSE)</f>
        <v>6</v>
      </c>
      <c r="N839">
        <f>VLOOKUP(B839,purchase_dataset!$B$2:$F$2241,5,FALSE)</f>
        <v>5</v>
      </c>
      <c r="O839" s="5">
        <v>54</v>
      </c>
      <c r="P839" s="4" t="str">
        <f t="shared" si="26"/>
        <v>&gt;50</v>
      </c>
      <c r="Q839" s="4">
        <f>M839+N839</f>
        <v>11</v>
      </c>
      <c r="U839" s="28" t="str" cm="1">
        <f t="array" ref="U839">_xlfn.IFS(F839&lt;30000,"30k",F839&lt;=50000,"30k-50k",F839&lt;=75000,"50k-75k",F839&lt;=100000,"75k-100k",F839&gt;100000,"100k")</f>
        <v>30k-50k</v>
      </c>
      <c r="W839" s="1">
        <f t="shared" si="27"/>
        <v>13</v>
      </c>
    </row>
    <row r="840" spans="1:23" x14ac:dyDescent="0.35">
      <c r="A840">
        <v>837</v>
      </c>
      <c r="B840">
        <v>5687</v>
      </c>
      <c r="C840">
        <v>1980</v>
      </c>
      <c r="D840" s="1" t="s">
        <v>10</v>
      </c>
      <c r="E840" s="1" t="s">
        <v>16</v>
      </c>
      <c r="F840">
        <v>81702</v>
      </c>
      <c r="G840">
        <v>0</v>
      </c>
      <c r="H840" s="2">
        <v>0</v>
      </c>
      <c r="I840" s="2">
        <v>41175</v>
      </c>
      <c r="J840">
        <v>98</v>
      </c>
      <c r="K840">
        <f>VLOOKUP(B840,purchase_dataset!$B$2:$F$2241,2,FALSE)</f>
        <v>50</v>
      </c>
      <c r="L840">
        <f>VLOOKUP(B840,purchase_dataset!$B$2:$F$2241,3,FALSE)</f>
        <v>31</v>
      </c>
      <c r="M840">
        <f>VLOOKUP(B840,purchase_dataset!$B$2:$F$2241,3,FALSE)</f>
        <v>31</v>
      </c>
      <c r="N840">
        <f>VLOOKUP(B840,purchase_dataset!$B$2:$F$2241,5,FALSE)</f>
        <v>12</v>
      </c>
      <c r="O840" s="5">
        <v>46</v>
      </c>
      <c r="P840" s="4" t="str">
        <f t="shared" si="26"/>
        <v>30-50</v>
      </c>
      <c r="Q840" s="4">
        <f>M840+N840</f>
        <v>43</v>
      </c>
      <c r="U840" s="28" t="str" cm="1">
        <f t="array" ref="U840">_xlfn.IFS(F840&lt;30000,"30k",F840&lt;=50000,"30k-50k",F840&lt;=75000,"50k-75k",F840&lt;=100000,"75k-100k",F840&gt;100000,"100k")</f>
        <v>75k-100k</v>
      </c>
      <c r="W840" s="1">
        <f t="shared" si="27"/>
        <v>14</v>
      </c>
    </row>
    <row r="841" spans="1:23" x14ac:dyDescent="0.35">
      <c r="A841">
        <v>838</v>
      </c>
      <c r="B841">
        <v>10856</v>
      </c>
      <c r="C841">
        <v>1980</v>
      </c>
      <c r="D841" s="1" t="s">
        <v>18</v>
      </c>
      <c r="E841" s="1" t="s">
        <v>11</v>
      </c>
      <c r="F841">
        <v>45889</v>
      </c>
      <c r="G841">
        <v>0</v>
      </c>
      <c r="H841" s="2">
        <v>1</v>
      </c>
      <c r="I841" s="2">
        <v>41457</v>
      </c>
      <c r="J841">
        <v>42</v>
      </c>
      <c r="K841">
        <f>VLOOKUP(B841,purchase_dataset!$B$2:$F$2241,2,FALSE)</f>
        <v>0</v>
      </c>
      <c r="L841">
        <f>VLOOKUP(B841,purchase_dataset!$B$2:$F$2241,3,FALSE)</f>
        <v>1</v>
      </c>
      <c r="M841">
        <f>VLOOKUP(B841,purchase_dataset!$B$2:$F$2241,3,FALSE)</f>
        <v>1</v>
      </c>
      <c r="N841">
        <f>VLOOKUP(B841,purchase_dataset!$B$2:$F$2241,5,FALSE)</f>
        <v>3</v>
      </c>
      <c r="O841" s="5">
        <v>46</v>
      </c>
      <c r="P841" s="4" t="str">
        <f t="shared" si="26"/>
        <v>30-50</v>
      </c>
      <c r="Q841" s="4">
        <f>M841+N841</f>
        <v>4</v>
      </c>
      <c r="U841" s="28" t="str" cm="1">
        <f t="array" ref="U841">_xlfn.IFS(F841&lt;30000,"30k",F841&lt;=50000,"30k-50k",F841&lt;=75000,"50k-75k",F841&lt;=100000,"75k-100k",F841&gt;100000,"100k")</f>
        <v>30k-50k</v>
      </c>
      <c r="W841" s="1">
        <f t="shared" si="27"/>
        <v>13</v>
      </c>
    </row>
    <row r="842" spans="1:23" x14ac:dyDescent="0.35">
      <c r="A842">
        <v>839</v>
      </c>
      <c r="B842">
        <v>5121</v>
      </c>
      <c r="C842">
        <v>1977</v>
      </c>
      <c r="D842" s="1" t="s">
        <v>10</v>
      </c>
      <c r="E842" s="1" t="s">
        <v>11</v>
      </c>
      <c r="F842">
        <v>56628</v>
      </c>
      <c r="G842">
        <v>0</v>
      </c>
      <c r="H842" s="2">
        <v>1</v>
      </c>
      <c r="I842" s="2">
        <v>41719</v>
      </c>
      <c r="J842">
        <v>30</v>
      </c>
      <c r="K842">
        <f>VLOOKUP(B842,purchase_dataset!$B$2:$F$2241,2,FALSE)</f>
        <v>5</v>
      </c>
      <c r="L842">
        <f>VLOOKUP(B842,purchase_dataset!$B$2:$F$2241,3,FALSE)</f>
        <v>17</v>
      </c>
      <c r="M842">
        <f>VLOOKUP(B842,purchase_dataset!$B$2:$F$2241,3,FALSE)</f>
        <v>17</v>
      </c>
      <c r="N842">
        <f>VLOOKUP(B842,purchase_dataset!$B$2:$F$2241,5,FALSE)</f>
        <v>5</v>
      </c>
      <c r="O842" s="5">
        <v>49</v>
      </c>
      <c r="P842" s="4" t="str">
        <f t="shared" si="26"/>
        <v>30-50</v>
      </c>
      <c r="Q842" s="4">
        <f>M842+N842</f>
        <v>22</v>
      </c>
      <c r="U842" s="28" t="str" cm="1">
        <f t="array" ref="U842">_xlfn.IFS(F842&lt;30000,"30k",F842&lt;=50000,"30k-50k",F842&lt;=75000,"50k-75k",F842&lt;=100000,"75k-100k",F842&gt;100000,"100k")</f>
        <v>50k-75k</v>
      </c>
      <c r="W842" s="1">
        <f t="shared" si="27"/>
        <v>12</v>
      </c>
    </row>
    <row r="843" spans="1:23" x14ac:dyDescent="0.35">
      <c r="A843">
        <v>840</v>
      </c>
      <c r="B843">
        <v>4186</v>
      </c>
      <c r="C843">
        <v>1950</v>
      </c>
      <c r="D843" s="1" t="s">
        <v>10</v>
      </c>
      <c r="E843" s="1" t="s">
        <v>12</v>
      </c>
      <c r="F843">
        <v>34026</v>
      </c>
      <c r="G843">
        <v>1</v>
      </c>
      <c r="H843" s="2">
        <v>1</v>
      </c>
      <c r="I843" s="2">
        <v>41491</v>
      </c>
      <c r="J843">
        <v>11</v>
      </c>
      <c r="K843">
        <f>VLOOKUP(B843,purchase_dataset!$B$2:$F$2241,2,FALSE)</f>
        <v>6</v>
      </c>
      <c r="L843">
        <f>VLOOKUP(B843,purchase_dataset!$B$2:$F$2241,3,FALSE)</f>
        <v>8</v>
      </c>
      <c r="M843">
        <f>VLOOKUP(B843,purchase_dataset!$B$2:$F$2241,3,FALSE)</f>
        <v>8</v>
      </c>
      <c r="N843">
        <f>VLOOKUP(B843,purchase_dataset!$B$2:$F$2241,5,FALSE)</f>
        <v>3</v>
      </c>
      <c r="O843" s="5">
        <v>76</v>
      </c>
      <c r="P843" s="4" t="str">
        <f t="shared" si="26"/>
        <v>&gt;50</v>
      </c>
      <c r="Q843" s="4">
        <f>M843+N843</f>
        <v>11</v>
      </c>
      <c r="U843" s="28" t="str" cm="1">
        <f t="array" ref="U843">_xlfn.IFS(F843&lt;30000,"30k",F843&lt;=50000,"30k-50k",F843&lt;=75000,"50k-75k",F843&lt;=100000,"75k-100k",F843&gt;100000,"100k")</f>
        <v>30k-50k</v>
      </c>
      <c r="W843" s="1">
        <f t="shared" si="27"/>
        <v>13</v>
      </c>
    </row>
    <row r="844" spans="1:23" x14ac:dyDescent="0.35">
      <c r="A844">
        <v>841</v>
      </c>
      <c r="B844">
        <v>368</v>
      </c>
      <c r="C844">
        <v>1974</v>
      </c>
      <c r="D844" s="1" t="s">
        <v>10</v>
      </c>
      <c r="E844" s="1" t="s">
        <v>14</v>
      </c>
      <c r="F844">
        <v>40049</v>
      </c>
      <c r="G844">
        <v>0</v>
      </c>
      <c r="H844" s="2">
        <v>1</v>
      </c>
      <c r="I844" s="2">
        <v>41242</v>
      </c>
      <c r="J844">
        <v>61</v>
      </c>
      <c r="K844">
        <f>VLOOKUP(B844,purchase_dataset!$B$2:$F$2241,2,FALSE)</f>
        <v>65</v>
      </c>
      <c r="L844">
        <f>VLOOKUP(B844,purchase_dataset!$B$2:$F$2241,3,FALSE)</f>
        <v>44</v>
      </c>
      <c r="M844">
        <f>VLOOKUP(B844,purchase_dataset!$B$2:$F$2241,3,FALSE)</f>
        <v>44</v>
      </c>
      <c r="N844">
        <f>VLOOKUP(B844,purchase_dataset!$B$2:$F$2241,5,FALSE)</f>
        <v>6</v>
      </c>
      <c r="O844" s="5">
        <v>52</v>
      </c>
      <c r="P844" s="4" t="str">
        <f t="shared" si="26"/>
        <v>&gt;50</v>
      </c>
      <c r="Q844" s="4">
        <f>M844+N844</f>
        <v>50</v>
      </c>
      <c r="U844" s="28" t="str" cm="1">
        <f t="array" ref="U844">_xlfn.IFS(F844&lt;30000,"30k",F844&lt;=50000,"30k-50k",F844&lt;=75000,"50k-75k",F844&lt;=100000,"75k-100k",F844&gt;100000,"100k")</f>
        <v>30k-50k</v>
      </c>
      <c r="W844" s="1">
        <f t="shared" si="27"/>
        <v>14</v>
      </c>
    </row>
    <row r="845" spans="1:23" x14ac:dyDescent="0.35">
      <c r="A845">
        <v>842</v>
      </c>
      <c r="B845">
        <v>3312</v>
      </c>
      <c r="C845">
        <v>1988</v>
      </c>
      <c r="D845" s="1" t="s">
        <v>10</v>
      </c>
      <c r="E845" s="1" t="s">
        <v>11</v>
      </c>
      <c r="F845">
        <v>34176</v>
      </c>
      <c r="G845">
        <v>1</v>
      </c>
      <c r="H845" s="2">
        <v>0</v>
      </c>
      <c r="I845" s="2">
        <v>41771</v>
      </c>
      <c r="J845">
        <v>12</v>
      </c>
      <c r="K845">
        <f>VLOOKUP(B845,purchase_dataset!$B$2:$F$2241,2,FALSE)</f>
        <v>7</v>
      </c>
      <c r="L845">
        <f>VLOOKUP(B845,purchase_dataset!$B$2:$F$2241,3,FALSE)</f>
        <v>14</v>
      </c>
      <c r="M845">
        <f>VLOOKUP(B845,purchase_dataset!$B$2:$F$2241,3,FALSE)</f>
        <v>14</v>
      </c>
      <c r="N845">
        <f>VLOOKUP(B845,purchase_dataset!$B$2:$F$2241,5,FALSE)</f>
        <v>4</v>
      </c>
      <c r="O845" s="5">
        <v>38</v>
      </c>
      <c r="P845" s="4" t="str">
        <f t="shared" si="26"/>
        <v>30-50</v>
      </c>
      <c r="Q845" s="4">
        <f>M845+N845</f>
        <v>18</v>
      </c>
      <c r="U845" s="28" t="str" cm="1">
        <f t="array" ref="U845">_xlfn.IFS(F845&lt;30000,"30k",F845&lt;=50000,"30k-50k",F845&lt;=75000,"50k-75k",F845&lt;=100000,"75k-100k",F845&gt;100000,"100k")</f>
        <v>30k-50k</v>
      </c>
      <c r="W845" s="1">
        <f t="shared" si="27"/>
        <v>12</v>
      </c>
    </row>
    <row r="846" spans="1:23" x14ac:dyDescent="0.35">
      <c r="A846">
        <v>843</v>
      </c>
      <c r="B846">
        <v>11121</v>
      </c>
      <c r="C846">
        <v>1981</v>
      </c>
      <c r="D846" s="1" t="s">
        <v>10</v>
      </c>
      <c r="E846" s="1" t="s">
        <v>14</v>
      </c>
      <c r="F846">
        <v>19419</v>
      </c>
      <c r="G846">
        <v>1</v>
      </c>
      <c r="H846" s="2">
        <v>0</v>
      </c>
      <c r="I846" s="2">
        <v>41223</v>
      </c>
      <c r="J846">
        <v>76</v>
      </c>
      <c r="K846">
        <f>VLOOKUP(B846,purchase_dataset!$B$2:$F$2241,2,FALSE)</f>
        <v>14</v>
      </c>
      <c r="L846">
        <f>VLOOKUP(B846,purchase_dataset!$B$2:$F$2241,3,FALSE)</f>
        <v>3</v>
      </c>
      <c r="M846">
        <f>VLOOKUP(B846,purchase_dataset!$B$2:$F$2241,3,FALSE)</f>
        <v>3</v>
      </c>
      <c r="N846">
        <f>VLOOKUP(B846,purchase_dataset!$B$2:$F$2241,5,FALSE)</f>
        <v>3</v>
      </c>
      <c r="O846" s="5">
        <v>45</v>
      </c>
      <c r="P846" s="4" t="str">
        <f t="shared" si="26"/>
        <v>30-50</v>
      </c>
      <c r="Q846" s="4">
        <f>M846+N846</f>
        <v>6</v>
      </c>
      <c r="U846" s="28" t="str" cm="1">
        <f t="array" ref="U846">_xlfn.IFS(F846&lt;30000,"30k",F846&lt;=50000,"30k-50k",F846&lt;=75000,"50k-75k",F846&lt;=100000,"75k-100k",F846&gt;100000,"100k")</f>
        <v>30k</v>
      </c>
      <c r="W846" s="1">
        <f t="shared" si="27"/>
        <v>14</v>
      </c>
    </row>
    <row r="847" spans="1:23" x14ac:dyDescent="0.35">
      <c r="A847">
        <v>844</v>
      </c>
      <c r="B847">
        <v>5332</v>
      </c>
      <c r="C847">
        <v>1960</v>
      </c>
      <c r="D847" s="1" t="s">
        <v>18</v>
      </c>
      <c r="E847" s="1" t="s">
        <v>14</v>
      </c>
      <c r="F847">
        <v>82504</v>
      </c>
      <c r="G847">
        <v>0</v>
      </c>
      <c r="H847" s="2">
        <v>0</v>
      </c>
      <c r="I847" s="2">
        <v>41482</v>
      </c>
      <c r="J847">
        <v>2</v>
      </c>
      <c r="K847">
        <f>VLOOKUP(B847,purchase_dataset!$B$2:$F$2241,2,FALSE)</f>
        <v>50</v>
      </c>
      <c r="L847">
        <f>VLOOKUP(B847,purchase_dataset!$B$2:$F$2241,3,FALSE)</f>
        <v>35</v>
      </c>
      <c r="M847">
        <f>VLOOKUP(B847,purchase_dataset!$B$2:$F$2241,3,FALSE)</f>
        <v>35</v>
      </c>
      <c r="N847">
        <f>VLOOKUP(B847,purchase_dataset!$B$2:$F$2241,5,FALSE)</f>
        <v>7</v>
      </c>
      <c r="O847" s="5">
        <v>66</v>
      </c>
      <c r="P847" s="4" t="str">
        <f t="shared" si="26"/>
        <v>&gt;50</v>
      </c>
      <c r="Q847" s="4">
        <f>M847+N847</f>
        <v>42</v>
      </c>
      <c r="U847" s="28" t="str" cm="1">
        <f t="array" ref="U847">_xlfn.IFS(F847&lt;30000,"30k",F847&lt;=50000,"30k-50k",F847&lt;=75000,"50k-75k",F847&lt;=100000,"75k-100k",F847&gt;100000,"100k")</f>
        <v>75k-100k</v>
      </c>
      <c r="W847" s="1">
        <f t="shared" si="27"/>
        <v>13</v>
      </c>
    </row>
    <row r="848" spans="1:23" x14ac:dyDescent="0.35">
      <c r="A848">
        <v>845</v>
      </c>
      <c r="B848">
        <v>5848</v>
      </c>
      <c r="C848">
        <v>1970</v>
      </c>
      <c r="D848" s="1" t="s">
        <v>10</v>
      </c>
      <c r="E848" s="1" t="s">
        <v>12</v>
      </c>
      <c r="F848">
        <v>81205</v>
      </c>
      <c r="G848">
        <v>0</v>
      </c>
      <c r="H848" s="2">
        <v>0</v>
      </c>
      <c r="I848" s="2">
        <v>41652</v>
      </c>
      <c r="J848">
        <v>43</v>
      </c>
      <c r="K848">
        <f>VLOOKUP(B848,purchase_dataset!$B$2:$F$2241,2,FALSE)</f>
        <v>74</v>
      </c>
      <c r="L848">
        <f>VLOOKUP(B848,purchase_dataset!$B$2:$F$2241,3,FALSE)</f>
        <v>55</v>
      </c>
      <c r="M848">
        <f>VLOOKUP(B848,purchase_dataset!$B$2:$F$2241,3,FALSE)</f>
        <v>55</v>
      </c>
      <c r="N848">
        <f>VLOOKUP(B848,purchase_dataset!$B$2:$F$2241,5,FALSE)</f>
        <v>7</v>
      </c>
      <c r="O848" s="5">
        <v>56</v>
      </c>
      <c r="P848" s="4" t="str">
        <f t="shared" si="26"/>
        <v>&gt;50</v>
      </c>
      <c r="Q848" s="4">
        <f>M848+N848</f>
        <v>62</v>
      </c>
      <c r="U848" s="28" t="str" cm="1">
        <f t="array" ref="U848">_xlfn.IFS(F848&lt;30000,"30k",F848&lt;=50000,"30k-50k",F848&lt;=75000,"50k-75k",F848&lt;=100000,"75k-100k",F848&gt;100000,"100k")</f>
        <v>75k-100k</v>
      </c>
      <c r="W848" s="1">
        <f t="shared" si="27"/>
        <v>12</v>
      </c>
    </row>
    <row r="849" spans="1:23" x14ac:dyDescent="0.35">
      <c r="A849">
        <v>846</v>
      </c>
      <c r="B849">
        <v>10343</v>
      </c>
      <c r="C849">
        <v>1991</v>
      </c>
      <c r="D849" s="1" t="s">
        <v>18</v>
      </c>
      <c r="E849" s="1" t="s">
        <v>11</v>
      </c>
      <c r="F849">
        <v>61618</v>
      </c>
      <c r="G849">
        <v>0</v>
      </c>
      <c r="H849" s="2">
        <v>0</v>
      </c>
      <c r="I849" s="2">
        <v>41181</v>
      </c>
      <c r="J849">
        <v>27</v>
      </c>
      <c r="K849">
        <f>VLOOKUP(B849,purchase_dataset!$B$2:$F$2241,2,FALSE)</f>
        <v>91</v>
      </c>
      <c r="L849">
        <f>VLOOKUP(B849,purchase_dataset!$B$2:$F$2241,3,FALSE)</f>
        <v>45</v>
      </c>
      <c r="M849">
        <f>VLOOKUP(B849,purchase_dataset!$B$2:$F$2241,3,FALSE)</f>
        <v>45</v>
      </c>
      <c r="N849">
        <f>VLOOKUP(B849,purchase_dataset!$B$2:$F$2241,5,FALSE)</f>
        <v>8</v>
      </c>
      <c r="O849" s="5">
        <v>35</v>
      </c>
      <c r="P849" s="4" t="str">
        <f t="shared" si="26"/>
        <v>30-50</v>
      </c>
      <c r="Q849" s="4">
        <f>M849+N849</f>
        <v>53</v>
      </c>
      <c r="U849" s="28" t="str" cm="1">
        <f t="array" ref="U849">_xlfn.IFS(F849&lt;30000,"30k",F849&lt;=50000,"30k-50k",F849&lt;=75000,"50k-75k",F849&lt;=100000,"75k-100k",F849&gt;100000,"100k")</f>
        <v>50k-75k</v>
      </c>
      <c r="W849" s="1">
        <f t="shared" si="27"/>
        <v>14</v>
      </c>
    </row>
    <row r="850" spans="1:23" x14ac:dyDescent="0.35">
      <c r="A850">
        <v>847</v>
      </c>
      <c r="B850">
        <v>5935</v>
      </c>
      <c r="C850">
        <v>1956</v>
      </c>
      <c r="D850" s="1" t="s">
        <v>15</v>
      </c>
      <c r="E850" s="1" t="s">
        <v>11</v>
      </c>
      <c r="F850">
        <v>55284</v>
      </c>
      <c r="G850">
        <v>0</v>
      </c>
      <c r="H850" s="2">
        <v>1</v>
      </c>
      <c r="I850" s="2">
        <v>41267</v>
      </c>
      <c r="J850">
        <v>60</v>
      </c>
      <c r="K850">
        <f>VLOOKUP(B850,purchase_dataset!$B$2:$F$2241,2,FALSE)</f>
        <v>7</v>
      </c>
      <c r="L850">
        <f>VLOOKUP(B850,purchase_dataset!$B$2:$F$2241,3,FALSE)</f>
        <v>7</v>
      </c>
      <c r="M850">
        <f>VLOOKUP(B850,purchase_dataset!$B$2:$F$2241,3,FALSE)</f>
        <v>7</v>
      </c>
      <c r="N850">
        <f>VLOOKUP(B850,purchase_dataset!$B$2:$F$2241,5,FALSE)</f>
        <v>8</v>
      </c>
      <c r="O850" s="5">
        <v>70</v>
      </c>
      <c r="P850" s="4" t="str">
        <f t="shared" si="26"/>
        <v>&gt;50</v>
      </c>
      <c r="Q850" s="4">
        <f>M850+N850</f>
        <v>15</v>
      </c>
      <c r="U850" s="28" t="str" cm="1">
        <f t="array" ref="U850">_xlfn.IFS(F850&lt;30000,"30k",F850&lt;=50000,"30k-50k",F850&lt;=75000,"50k-75k",F850&lt;=100000,"75k-100k",F850&gt;100000,"100k")</f>
        <v>50k-75k</v>
      </c>
      <c r="W850" s="1">
        <f t="shared" si="27"/>
        <v>14</v>
      </c>
    </row>
    <row r="851" spans="1:23" x14ac:dyDescent="0.35">
      <c r="A851">
        <v>848</v>
      </c>
      <c r="B851">
        <v>2895</v>
      </c>
      <c r="C851">
        <v>1963</v>
      </c>
      <c r="D851" s="1" t="s">
        <v>10</v>
      </c>
      <c r="E851" s="1" t="s">
        <v>11</v>
      </c>
      <c r="F851">
        <v>49980</v>
      </c>
      <c r="G851">
        <v>0</v>
      </c>
      <c r="H851" s="2">
        <v>1</v>
      </c>
      <c r="I851" s="2">
        <v>41570</v>
      </c>
      <c r="J851">
        <v>79</v>
      </c>
      <c r="K851">
        <f>VLOOKUP(B851,purchase_dataset!$B$2:$F$2241,2,FALSE)</f>
        <v>1</v>
      </c>
      <c r="L851">
        <f>VLOOKUP(B851,purchase_dataset!$B$2:$F$2241,3,FALSE)</f>
        <v>9</v>
      </c>
      <c r="M851">
        <f>VLOOKUP(B851,purchase_dataset!$B$2:$F$2241,3,FALSE)</f>
        <v>9</v>
      </c>
      <c r="N851">
        <f>VLOOKUP(B851,purchase_dataset!$B$2:$F$2241,5,FALSE)</f>
        <v>5</v>
      </c>
      <c r="O851" s="5">
        <v>63</v>
      </c>
      <c r="P851" s="4" t="str">
        <f t="shared" si="26"/>
        <v>&gt;50</v>
      </c>
      <c r="Q851" s="4">
        <f>M851+N851</f>
        <v>14</v>
      </c>
      <c r="U851" s="28" t="str" cm="1">
        <f t="array" ref="U851">_xlfn.IFS(F851&lt;30000,"30k",F851&lt;=50000,"30k-50k",F851&lt;=75000,"50k-75k",F851&lt;=100000,"75k-100k",F851&gt;100000,"100k")</f>
        <v>30k-50k</v>
      </c>
      <c r="W851" s="1">
        <f t="shared" si="27"/>
        <v>13</v>
      </c>
    </row>
    <row r="852" spans="1:23" x14ac:dyDescent="0.35">
      <c r="A852">
        <v>849</v>
      </c>
      <c r="B852">
        <v>10262</v>
      </c>
      <c r="C852">
        <v>1980</v>
      </c>
      <c r="D852" s="1" t="s">
        <v>10</v>
      </c>
      <c r="E852" s="1" t="s">
        <v>14</v>
      </c>
      <c r="F852">
        <v>15072</v>
      </c>
      <c r="G852">
        <v>2</v>
      </c>
      <c r="H852" s="2">
        <v>0</v>
      </c>
      <c r="I852" s="2">
        <v>41404</v>
      </c>
      <c r="J852">
        <v>96</v>
      </c>
      <c r="K852">
        <f>VLOOKUP(B852,purchase_dataset!$B$2:$F$2241,2,FALSE)</f>
        <v>2</v>
      </c>
      <c r="L852">
        <f>VLOOKUP(B852,purchase_dataset!$B$2:$F$2241,3,FALSE)</f>
        <v>10</v>
      </c>
      <c r="M852">
        <f>VLOOKUP(B852,purchase_dataset!$B$2:$F$2241,3,FALSE)</f>
        <v>10</v>
      </c>
      <c r="N852">
        <f>VLOOKUP(B852,purchase_dataset!$B$2:$F$2241,5,FALSE)</f>
        <v>3</v>
      </c>
      <c r="O852" s="5">
        <v>46</v>
      </c>
      <c r="P852" s="4" t="str">
        <f t="shared" si="26"/>
        <v>30-50</v>
      </c>
      <c r="Q852" s="4">
        <f>M852+N852</f>
        <v>13</v>
      </c>
      <c r="U852" s="28" t="str" cm="1">
        <f t="array" ref="U852">_xlfn.IFS(F852&lt;30000,"30k",F852&lt;=50000,"30k-50k",F852&lt;=75000,"50k-75k",F852&lt;=100000,"75k-100k",F852&gt;100000,"100k")</f>
        <v>30k</v>
      </c>
      <c r="W852" s="1">
        <f t="shared" si="27"/>
        <v>13</v>
      </c>
    </row>
    <row r="853" spans="1:23" x14ac:dyDescent="0.35">
      <c r="A853">
        <v>850</v>
      </c>
      <c r="B853">
        <v>7848</v>
      </c>
      <c r="C853">
        <v>1974</v>
      </c>
      <c r="D853" s="1" t="s">
        <v>10</v>
      </c>
      <c r="E853" s="1" t="s">
        <v>11</v>
      </c>
      <c r="F853">
        <v>49166</v>
      </c>
      <c r="G853">
        <v>0</v>
      </c>
      <c r="H853" s="2">
        <v>1</v>
      </c>
      <c r="I853" s="2">
        <v>41438</v>
      </c>
      <c r="J853">
        <v>17</v>
      </c>
      <c r="K853">
        <f>VLOOKUP(B853,purchase_dataset!$B$2:$F$2241,2,FALSE)</f>
        <v>2</v>
      </c>
      <c r="L853">
        <f>VLOOKUP(B853,purchase_dataset!$B$2:$F$2241,3,FALSE)</f>
        <v>0</v>
      </c>
      <c r="M853">
        <f>VLOOKUP(B853,purchase_dataset!$B$2:$F$2241,3,FALSE)</f>
        <v>0</v>
      </c>
      <c r="N853">
        <f>VLOOKUP(B853,purchase_dataset!$B$2:$F$2241,5,FALSE)</f>
        <v>3</v>
      </c>
      <c r="O853" s="5">
        <v>52</v>
      </c>
      <c r="P853" s="4" t="str">
        <f t="shared" si="26"/>
        <v>&gt;50</v>
      </c>
      <c r="Q853" s="4">
        <f>M853+N853</f>
        <v>3</v>
      </c>
      <c r="U853" s="28" t="str" cm="1">
        <f t="array" ref="U853">_xlfn.IFS(F853&lt;30000,"30k",F853&lt;=50000,"30k-50k",F853&lt;=75000,"50k-75k",F853&lt;=100000,"75k-100k",F853&gt;100000,"100k")</f>
        <v>30k-50k</v>
      </c>
      <c r="W853" s="1">
        <f t="shared" si="27"/>
        <v>13</v>
      </c>
    </row>
    <row r="854" spans="1:23" x14ac:dyDescent="0.35">
      <c r="A854">
        <v>851</v>
      </c>
      <c r="B854">
        <v>9477</v>
      </c>
      <c r="C854">
        <v>1954</v>
      </c>
      <c r="D854" s="1" t="s">
        <v>13</v>
      </c>
      <c r="E854" s="1" t="s">
        <v>14</v>
      </c>
      <c r="F854">
        <v>65324</v>
      </c>
      <c r="G854">
        <v>0</v>
      </c>
      <c r="H854" s="2">
        <v>1</v>
      </c>
      <c r="I854" s="2">
        <v>41650</v>
      </c>
      <c r="J854">
        <v>0</v>
      </c>
      <c r="K854">
        <f>VLOOKUP(B854,purchase_dataset!$B$2:$F$2241,2,FALSE)</f>
        <v>0</v>
      </c>
      <c r="L854">
        <f>VLOOKUP(B854,purchase_dataset!$B$2:$F$2241,3,FALSE)</f>
        <v>32</v>
      </c>
      <c r="M854">
        <f>VLOOKUP(B854,purchase_dataset!$B$2:$F$2241,3,FALSE)</f>
        <v>32</v>
      </c>
      <c r="N854">
        <f>VLOOKUP(B854,purchase_dataset!$B$2:$F$2241,5,FALSE)</f>
        <v>9</v>
      </c>
      <c r="O854" s="5">
        <v>72</v>
      </c>
      <c r="P854" s="4" t="str">
        <f t="shared" si="26"/>
        <v>&gt;50</v>
      </c>
      <c r="Q854" s="4">
        <f>M854+N854</f>
        <v>41</v>
      </c>
      <c r="U854" s="28" t="str" cm="1">
        <f t="array" ref="U854">_xlfn.IFS(F854&lt;30000,"30k",F854&lt;=50000,"30k-50k",F854&lt;=75000,"50k-75k",F854&lt;=100000,"75k-100k",F854&gt;100000,"100k")</f>
        <v>50k-75k</v>
      </c>
      <c r="W854" s="1">
        <f t="shared" si="27"/>
        <v>12</v>
      </c>
    </row>
    <row r="855" spans="1:23" x14ac:dyDescent="0.35">
      <c r="A855">
        <v>852</v>
      </c>
      <c r="B855">
        <v>4856</v>
      </c>
      <c r="C855">
        <v>1957</v>
      </c>
      <c r="D855" s="1" t="s">
        <v>18</v>
      </c>
      <c r="E855" s="1" t="s">
        <v>14</v>
      </c>
      <c r="F855">
        <v>82347</v>
      </c>
      <c r="G855">
        <v>0</v>
      </c>
      <c r="H855" s="2">
        <v>0</v>
      </c>
      <c r="I855" s="2">
        <v>41219</v>
      </c>
      <c r="J855">
        <v>38</v>
      </c>
      <c r="K855">
        <f>VLOOKUP(B855,purchase_dataset!$B$2:$F$2241,2,FALSE)</f>
        <v>54</v>
      </c>
      <c r="L855">
        <f>VLOOKUP(B855,purchase_dataset!$B$2:$F$2241,3,FALSE)</f>
        <v>133</v>
      </c>
      <c r="M855">
        <f>VLOOKUP(B855,purchase_dataset!$B$2:$F$2241,3,FALSE)</f>
        <v>133</v>
      </c>
      <c r="N855">
        <f>VLOOKUP(B855,purchase_dataset!$B$2:$F$2241,5,FALSE)</f>
        <v>10</v>
      </c>
      <c r="O855" s="5">
        <v>69</v>
      </c>
      <c r="P855" s="4" t="str">
        <f t="shared" si="26"/>
        <v>&gt;50</v>
      </c>
      <c r="Q855" s="4">
        <f>M855+N855</f>
        <v>143</v>
      </c>
      <c r="U855" s="28" t="str" cm="1">
        <f t="array" ref="U855">_xlfn.IFS(F855&lt;30000,"30k",F855&lt;=50000,"30k-50k",F855&lt;=75000,"50k-75k",F855&lt;=100000,"75k-100k",F855&gt;100000,"100k")</f>
        <v>75k-100k</v>
      </c>
      <c r="W855" s="1">
        <f t="shared" si="27"/>
        <v>14</v>
      </c>
    </row>
    <row r="856" spans="1:23" x14ac:dyDescent="0.35">
      <c r="A856">
        <v>853</v>
      </c>
      <c r="B856">
        <v>7186</v>
      </c>
      <c r="C856">
        <v>1966</v>
      </c>
      <c r="D856" s="1" t="s">
        <v>13</v>
      </c>
      <c r="E856" s="1" t="s">
        <v>12</v>
      </c>
      <c r="F856">
        <v>30843</v>
      </c>
      <c r="G856">
        <v>1</v>
      </c>
      <c r="H856" s="2">
        <v>1</v>
      </c>
      <c r="I856" s="2">
        <v>41785</v>
      </c>
      <c r="J856">
        <v>43</v>
      </c>
      <c r="K856">
        <f>VLOOKUP(B856,purchase_dataset!$B$2:$F$2241,2,FALSE)</f>
        <v>0</v>
      </c>
      <c r="L856">
        <f>VLOOKUP(B856,purchase_dataset!$B$2:$F$2241,3,FALSE)</f>
        <v>0</v>
      </c>
      <c r="M856">
        <f>VLOOKUP(B856,purchase_dataset!$B$2:$F$2241,3,FALSE)</f>
        <v>0</v>
      </c>
      <c r="N856">
        <f>VLOOKUP(B856,purchase_dataset!$B$2:$F$2241,5,FALSE)</f>
        <v>2</v>
      </c>
      <c r="O856" s="5">
        <v>60</v>
      </c>
      <c r="P856" s="4" t="str">
        <f t="shared" si="26"/>
        <v>&gt;50</v>
      </c>
      <c r="Q856" s="4">
        <f>M856+N856</f>
        <v>2</v>
      </c>
      <c r="U856" s="28" t="str" cm="1">
        <f t="array" ref="U856">_xlfn.IFS(F856&lt;30000,"30k",F856&lt;=50000,"30k-50k",F856&lt;=75000,"50k-75k",F856&lt;=100000,"75k-100k",F856&gt;100000,"100k")</f>
        <v>30k-50k</v>
      </c>
      <c r="W856" s="1">
        <f t="shared" si="27"/>
        <v>12</v>
      </c>
    </row>
    <row r="857" spans="1:23" x14ac:dyDescent="0.35">
      <c r="A857">
        <v>854</v>
      </c>
      <c r="B857">
        <v>5794</v>
      </c>
      <c r="C857">
        <v>1974</v>
      </c>
      <c r="D857" s="1" t="s">
        <v>13</v>
      </c>
      <c r="E857" s="1" t="s">
        <v>14</v>
      </c>
      <c r="F857">
        <v>46374</v>
      </c>
      <c r="G857">
        <v>0</v>
      </c>
      <c r="H857" s="2">
        <v>1</v>
      </c>
      <c r="I857" s="2">
        <v>41715</v>
      </c>
      <c r="J857">
        <v>1</v>
      </c>
      <c r="K857">
        <f>VLOOKUP(B857,purchase_dataset!$B$2:$F$2241,2,FALSE)</f>
        <v>0</v>
      </c>
      <c r="L857">
        <f>VLOOKUP(B857,purchase_dataset!$B$2:$F$2241,3,FALSE)</f>
        <v>0</v>
      </c>
      <c r="M857">
        <f>VLOOKUP(B857,purchase_dataset!$B$2:$F$2241,3,FALSE)</f>
        <v>0</v>
      </c>
      <c r="N857">
        <f>VLOOKUP(B857,purchase_dataset!$B$2:$F$2241,5,FALSE)</f>
        <v>7</v>
      </c>
      <c r="O857" s="5">
        <v>52</v>
      </c>
      <c r="P857" s="4" t="str">
        <f t="shared" si="26"/>
        <v>&gt;50</v>
      </c>
      <c r="Q857" s="4">
        <f>M857+N857</f>
        <v>7</v>
      </c>
      <c r="U857" s="28" t="str" cm="1">
        <f t="array" ref="U857">_xlfn.IFS(F857&lt;30000,"30k",F857&lt;=50000,"30k-50k",F857&lt;=75000,"50k-75k",F857&lt;=100000,"75k-100k",F857&gt;100000,"100k")</f>
        <v>30k-50k</v>
      </c>
      <c r="W857" s="1">
        <f t="shared" si="27"/>
        <v>12</v>
      </c>
    </row>
    <row r="858" spans="1:23" x14ac:dyDescent="0.35">
      <c r="A858">
        <v>855</v>
      </c>
      <c r="B858">
        <v>1456</v>
      </c>
      <c r="C858">
        <v>1979</v>
      </c>
      <c r="D858" s="1" t="s">
        <v>10</v>
      </c>
      <c r="E858" s="1" t="s">
        <v>11</v>
      </c>
      <c r="F858">
        <v>60474</v>
      </c>
      <c r="G858">
        <v>0</v>
      </c>
      <c r="H858" s="2">
        <v>1</v>
      </c>
      <c r="I858" s="2">
        <v>41365</v>
      </c>
      <c r="J858">
        <v>25</v>
      </c>
      <c r="K858">
        <f>VLOOKUP(B858,purchase_dataset!$B$2:$F$2241,2,FALSE)</f>
        <v>199</v>
      </c>
      <c r="L858">
        <f>VLOOKUP(B858,purchase_dataset!$B$2:$F$2241,3,FALSE)</f>
        <v>9</v>
      </c>
      <c r="M858">
        <f>VLOOKUP(B858,purchase_dataset!$B$2:$F$2241,3,FALSE)</f>
        <v>9</v>
      </c>
      <c r="N858">
        <f>VLOOKUP(B858,purchase_dataset!$B$2:$F$2241,5,FALSE)</f>
        <v>12</v>
      </c>
      <c r="O858" s="5">
        <v>47</v>
      </c>
      <c r="P858" s="4" t="str">
        <f t="shared" si="26"/>
        <v>30-50</v>
      </c>
      <c r="Q858" s="4">
        <f>M858+N858</f>
        <v>21</v>
      </c>
      <c r="U858" s="28" t="str" cm="1">
        <f t="array" ref="U858">_xlfn.IFS(F858&lt;30000,"30k",F858&lt;=50000,"30k-50k",F858&lt;=75000,"50k-75k",F858&lt;=100000,"75k-100k",F858&gt;100000,"100k")</f>
        <v>50k-75k</v>
      </c>
      <c r="W858" s="1">
        <f t="shared" si="27"/>
        <v>13</v>
      </c>
    </row>
    <row r="859" spans="1:23" x14ac:dyDescent="0.35">
      <c r="A859">
        <v>856</v>
      </c>
      <c r="B859">
        <v>4877</v>
      </c>
      <c r="C859">
        <v>1973</v>
      </c>
      <c r="D859" s="1" t="s">
        <v>15</v>
      </c>
      <c r="E859" s="1" t="s">
        <v>14</v>
      </c>
      <c r="F859">
        <v>38576</v>
      </c>
      <c r="G859">
        <v>0</v>
      </c>
      <c r="H859" s="2">
        <v>1</v>
      </c>
      <c r="I859" s="2">
        <v>41702</v>
      </c>
      <c r="J859">
        <v>2</v>
      </c>
      <c r="K859">
        <f>VLOOKUP(B859,purchase_dataset!$B$2:$F$2241,2,FALSE)</f>
        <v>0</v>
      </c>
      <c r="L859">
        <f>VLOOKUP(B859,purchase_dataset!$B$2:$F$2241,3,FALSE)</f>
        <v>0</v>
      </c>
      <c r="M859">
        <f>VLOOKUP(B859,purchase_dataset!$B$2:$F$2241,3,FALSE)</f>
        <v>0</v>
      </c>
      <c r="N859">
        <f>VLOOKUP(B859,purchase_dataset!$B$2:$F$2241,5,FALSE)</f>
        <v>3</v>
      </c>
      <c r="O859" s="5">
        <v>53</v>
      </c>
      <c r="P859" s="4" t="str">
        <f t="shared" si="26"/>
        <v>&gt;50</v>
      </c>
      <c r="Q859" s="4">
        <f>M859+N859</f>
        <v>3</v>
      </c>
      <c r="U859" s="28" t="str" cm="1">
        <f t="array" ref="U859">_xlfn.IFS(F859&lt;30000,"30k",F859&lt;=50000,"30k-50k",F859&lt;=75000,"50k-75k",F859&lt;=100000,"75k-100k",F859&gt;100000,"100k")</f>
        <v>30k-50k</v>
      </c>
      <c r="W859" s="1">
        <f t="shared" si="27"/>
        <v>12</v>
      </c>
    </row>
    <row r="860" spans="1:23" x14ac:dyDescent="0.35">
      <c r="A860">
        <v>857</v>
      </c>
      <c r="B860">
        <v>425</v>
      </c>
      <c r="C860">
        <v>1985</v>
      </c>
      <c r="D860" s="1" t="s">
        <v>10</v>
      </c>
      <c r="E860" s="1" t="s">
        <v>14</v>
      </c>
      <c r="F860">
        <v>55357</v>
      </c>
      <c r="G860">
        <v>2</v>
      </c>
      <c r="H860" s="2">
        <v>0</v>
      </c>
      <c r="I860" s="2">
        <v>41324</v>
      </c>
      <c r="J860">
        <v>66</v>
      </c>
      <c r="K860">
        <f>VLOOKUP(B860,purchase_dataset!$B$2:$F$2241,2,FALSE)</f>
        <v>64</v>
      </c>
      <c r="L860">
        <f>VLOOKUP(B860,purchase_dataset!$B$2:$F$2241,3,FALSE)</f>
        <v>25</v>
      </c>
      <c r="M860">
        <f>VLOOKUP(B860,purchase_dataset!$B$2:$F$2241,3,FALSE)</f>
        <v>25</v>
      </c>
      <c r="N860">
        <f>VLOOKUP(B860,purchase_dataset!$B$2:$F$2241,5,FALSE)</f>
        <v>11</v>
      </c>
      <c r="O860" s="5">
        <v>41</v>
      </c>
      <c r="P860" s="4" t="str">
        <f t="shared" si="26"/>
        <v>30-50</v>
      </c>
      <c r="Q860" s="4">
        <f>M860+N860</f>
        <v>36</v>
      </c>
      <c r="U860" s="28" t="str" cm="1">
        <f t="array" ref="U860">_xlfn.IFS(F860&lt;30000,"30k",F860&lt;=50000,"30k-50k",F860&lt;=75000,"50k-75k",F860&lt;=100000,"75k-100k",F860&gt;100000,"100k")</f>
        <v>50k-75k</v>
      </c>
      <c r="W860" s="1">
        <f t="shared" si="27"/>
        <v>13</v>
      </c>
    </row>
    <row r="861" spans="1:23" x14ac:dyDescent="0.35">
      <c r="A861">
        <v>858</v>
      </c>
      <c r="B861">
        <v>3007</v>
      </c>
      <c r="C861">
        <v>1966</v>
      </c>
      <c r="D861" s="1" t="s">
        <v>10</v>
      </c>
      <c r="E861" s="1" t="s">
        <v>12</v>
      </c>
      <c r="F861">
        <v>37758</v>
      </c>
      <c r="G861">
        <v>1</v>
      </c>
      <c r="H861" s="2">
        <v>1</v>
      </c>
      <c r="I861" s="2">
        <v>41186</v>
      </c>
      <c r="J861">
        <v>49</v>
      </c>
      <c r="K861">
        <f>VLOOKUP(B861,purchase_dataset!$B$2:$F$2241,2,FALSE)</f>
        <v>2</v>
      </c>
      <c r="L861">
        <f>VLOOKUP(B861,purchase_dataset!$B$2:$F$2241,3,FALSE)</f>
        <v>0</v>
      </c>
      <c r="M861">
        <f>VLOOKUP(B861,purchase_dataset!$B$2:$F$2241,3,FALSE)</f>
        <v>0</v>
      </c>
      <c r="N861">
        <f>VLOOKUP(B861,purchase_dataset!$B$2:$F$2241,5,FALSE)</f>
        <v>3</v>
      </c>
      <c r="O861" s="5">
        <v>60</v>
      </c>
      <c r="P861" s="4" t="str">
        <f t="shared" si="26"/>
        <v>&gt;50</v>
      </c>
      <c r="Q861" s="4">
        <f>M861+N861</f>
        <v>3</v>
      </c>
      <c r="U861" s="28" t="str" cm="1">
        <f t="array" ref="U861">_xlfn.IFS(F861&lt;30000,"30k",F861&lt;=50000,"30k-50k",F861&lt;=75000,"50k-75k",F861&lt;=100000,"75k-100k",F861&gt;100000,"100k")</f>
        <v>30k-50k</v>
      </c>
      <c r="W861" s="1">
        <f t="shared" si="27"/>
        <v>14</v>
      </c>
    </row>
    <row r="862" spans="1:23" x14ac:dyDescent="0.35">
      <c r="A862">
        <v>859</v>
      </c>
      <c r="B862">
        <v>1031</v>
      </c>
      <c r="C862">
        <v>1989</v>
      </c>
      <c r="D862" s="1" t="s">
        <v>18</v>
      </c>
      <c r="E862" s="1" t="s">
        <v>14</v>
      </c>
      <c r="F862">
        <v>85710</v>
      </c>
      <c r="G862">
        <v>0</v>
      </c>
      <c r="H862" s="2">
        <v>0</v>
      </c>
      <c r="I862" s="2">
        <v>41399</v>
      </c>
      <c r="J862">
        <v>5</v>
      </c>
      <c r="K862">
        <f>VLOOKUP(B862,purchase_dataset!$B$2:$F$2241,2,FALSE)</f>
        <v>20</v>
      </c>
      <c r="L862">
        <f>VLOOKUP(B862,purchase_dataset!$B$2:$F$2241,3,FALSE)</f>
        <v>30</v>
      </c>
      <c r="M862">
        <f>VLOOKUP(B862,purchase_dataset!$B$2:$F$2241,3,FALSE)</f>
        <v>30</v>
      </c>
      <c r="N862">
        <f>VLOOKUP(B862,purchase_dataset!$B$2:$F$2241,5,FALSE)</f>
        <v>10</v>
      </c>
      <c r="O862" s="5">
        <v>37</v>
      </c>
      <c r="P862" s="4" t="str">
        <f t="shared" si="26"/>
        <v>30-50</v>
      </c>
      <c r="Q862" s="4">
        <f>M862+N862</f>
        <v>40</v>
      </c>
      <c r="U862" s="28" t="str" cm="1">
        <f t="array" ref="U862">_xlfn.IFS(F862&lt;30000,"30k",F862&lt;=50000,"30k-50k",F862&lt;=75000,"50k-75k",F862&lt;=100000,"75k-100k",F862&gt;100000,"100k")</f>
        <v>75k-100k</v>
      </c>
      <c r="W862" s="1">
        <f t="shared" si="27"/>
        <v>13</v>
      </c>
    </row>
    <row r="863" spans="1:23" x14ac:dyDescent="0.35">
      <c r="A863">
        <v>860</v>
      </c>
      <c r="B863">
        <v>4297</v>
      </c>
      <c r="C863">
        <v>1969</v>
      </c>
      <c r="D863" s="1" t="s">
        <v>10</v>
      </c>
      <c r="E863" s="1" t="s">
        <v>12</v>
      </c>
      <c r="F863">
        <v>23228</v>
      </c>
      <c r="G863">
        <v>1</v>
      </c>
      <c r="H863" s="2">
        <v>0</v>
      </c>
      <c r="I863" s="2">
        <v>41665</v>
      </c>
      <c r="J863">
        <v>71</v>
      </c>
      <c r="K863">
        <f>VLOOKUP(B863,purchase_dataset!$B$2:$F$2241,2,FALSE)</f>
        <v>2</v>
      </c>
      <c r="L863">
        <f>VLOOKUP(B863,purchase_dataset!$B$2:$F$2241,3,FALSE)</f>
        <v>1</v>
      </c>
      <c r="M863">
        <f>VLOOKUP(B863,purchase_dataset!$B$2:$F$2241,3,FALSE)</f>
        <v>1</v>
      </c>
      <c r="N863">
        <f>VLOOKUP(B863,purchase_dataset!$B$2:$F$2241,5,FALSE)</f>
        <v>3</v>
      </c>
      <c r="O863" s="5">
        <v>57</v>
      </c>
      <c r="P863" s="4" t="str">
        <f t="shared" si="26"/>
        <v>&gt;50</v>
      </c>
      <c r="Q863" s="4">
        <f>M863+N863</f>
        <v>4</v>
      </c>
      <c r="U863" s="28" t="str" cm="1">
        <f t="array" ref="U863">_xlfn.IFS(F863&lt;30000,"30k",F863&lt;=50000,"30k-50k",F863&lt;=75000,"50k-75k",F863&lt;=100000,"75k-100k",F863&gt;100000,"100k")</f>
        <v>30k</v>
      </c>
      <c r="W863" s="1">
        <f t="shared" si="27"/>
        <v>12</v>
      </c>
    </row>
    <row r="864" spans="1:23" x14ac:dyDescent="0.35">
      <c r="A864">
        <v>861</v>
      </c>
      <c r="B864">
        <v>807</v>
      </c>
      <c r="C864">
        <v>1969</v>
      </c>
      <c r="D864" s="1" t="s">
        <v>15</v>
      </c>
      <c r="E864" s="1" t="s">
        <v>12</v>
      </c>
      <c r="F864">
        <v>44602</v>
      </c>
      <c r="G864">
        <v>1</v>
      </c>
      <c r="H864" s="2">
        <v>1</v>
      </c>
      <c r="I864" s="2">
        <v>41685</v>
      </c>
      <c r="J864">
        <v>35</v>
      </c>
      <c r="K864">
        <f>VLOOKUP(B864,purchase_dataset!$B$2:$F$2241,2,FALSE)</f>
        <v>2</v>
      </c>
      <c r="L864">
        <f>VLOOKUP(B864,purchase_dataset!$B$2:$F$2241,3,FALSE)</f>
        <v>0</v>
      </c>
      <c r="M864">
        <f>VLOOKUP(B864,purchase_dataset!$B$2:$F$2241,3,FALSE)</f>
        <v>0</v>
      </c>
      <c r="N864">
        <f>VLOOKUP(B864,purchase_dataset!$B$2:$F$2241,5,FALSE)</f>
        <v>4</v>
      </c>
      <c r="O864" s="5">
        <v>57</v>
      </c>
      <c r="P864" s="4" t="str">
        <f t="shared" si="26"/>
        <v>&gt;50</v>
      </c>
      <c r="Q864" s="4">
        <f>M864+N864</f>
        <v>4</v>
      </c>
      <c r="U864" s="28" t="str" cm="1">
        <f t="array" ref="U864">_xlfn.IFS(F864&lt;30000,"30k",F864&lt;=50000,"30k-50k",F864&lt;=75000,"50k-75k",F864&lt;=100000,"75k-100k",F864&gt;100000,"100k")</f>
        <v>30k-50k</v>
      </c>
      <c r="W864" s="1">
        <f t="shared" si="27"/>
        <v>12</v>
      </c>
    </row>
    <row r="865" spans="1:23" x14ac:dyDescent="0.35">
      <c r="A865">
        <v>862</v>
      </c>
      <c r="B865">
        <v>9553</v>
      </c>
      <c r="C865">
        <v>1987</v>
      </c>
      <c r="D865" s="1" t="s">
        <v>10</v>
      </c>
      <c r="E865" s="1" t="s">
        <v>14</v>
      </c>
      <c r="F865">
        <v>7500</v>
      </c>
      <c r="G865">
        <v>0</v>
      </c>
      <c r="H865" s="2">
        <v>0</v>
      </c>
      <c r="I865" s="2">
        <v>41283</v>
      </c>
      <c r="J865">
        <v>94</v>
      </c>
      <c r="K865">
        <f>VLOOKUP(B865,purchase_dataset!$B$2:$F$2241,2,FALSE)</f>
        <v>2</v>
      </c>
      <c r="L865">
        <f>VLOOKUP(B865,purchase_dataset!$B$2:$F$2241,3,FALSE)</f>
        <v>1</v>
      </c>
      <c r="M865">
        <f>VLOOKUP(B865,purchase_dataset!$B$2:$F$2241,3,FALSE)</f>
        <v>1</v>
      </c>
      <c r="N865">
        <f>VLOOKUP(B865,purchase_dataset!$B$2:$F$2241,5,FALSE)</f>
        <v>3</v>
      </c>
      <c r="O865" s="5">
        <v>39</v>
      </c>
      <c r="P865" s="4" t="str">
        <f t="shared" si="26"/>
        <v>30-50</v>
      </c>
      <c r="Q865" s="4">
        <f>M865+N865</f>
        <v>4</v>
      </c>
      <c r="U865" s="28" t="str" cm="1">
        <f t="array" ref="U865">_xlfn.IFS(F865&lt;30000,"30k",F865&lt;=50000,"30k-50k",F865&lt;=75000,"50k-75k",F865&lt;=100000,"75k-100k",F865&gt;100000,"100k")</f>
        <v>30k</v>
      </c>
      <c r="W865" s="1">
        <f t="shared" si="27"/>
        <v>13</v>
      </c>
    </row>
    <row r="866" spans="1:23" x14ac:dyDescent="0.35">
      <c r="A866">
        <v>863</v>
      </c>
      <c r="B866">
        <v>4271</v>
      </c>
      <c r="C866">
        <v>1989</v>
      </c>
      <c r="D866" s="1" t="s">
        <v>18</v>
      </c>
      <c r="E866" s="1" t="s">
        <v>12</v>
      </c>
      <c r="F866">
        <v>38683</v>
      </c>
      <c r="G866">
        <v>1</v>
      </c>
      <c r="H866" s="2">
        <v>0</v>
      </c>
      <c r="I866" s="2">
        <v>41186</v>
      </c>
      <c r="J866">
        <v>80</v>
      </c>
      <c r="K866">
        <f>VLOOKUP(B866,purchase_dataset!$B$2:$F$2241,2,FALSE)</f>
        <v>35</v>
      </c>
      <c r="L866">
        <f>VLOOKUP(B866,purchase_dataset!$B$2:$F$2241,3,FALSE)</f>
        <v>41</v>
      </c>
      <c r="M866">
        <f>VLOOKUP(B866,purchase_dataset!$B$2:$F$2241,3,FALSE)</f>
        <v>41</v>
      </c>
      <c r="N866">
        <f>VLOOKUP(B866,purchase_dataset!$B$2:$F$2241,5,FALSE)</f>
        <v>6</v>
      </c>
      <c r="O866" s="5">
        <v>37</v>
      </c>
      <c r="P866" s="4" t="str">
        <f t="shared" si="26"/>
        <v>30-50</v>
      </c>
      <c r="Q866" s="4">
        <f>M866+N866</f>
        <v>47</v>
      </c>
      <c r="U866" s="28" t="str" cm="1">
        <f t="array" ref="U866">_xlfn.IFS(F866&lt;30000,"30k",F866&lt;=50000,"30k-50k",F866&lt;=75000,"50k-75k",F866&lt;=100000,"75k-100k",F866&gt;100000,"100k")</f>
        <v>30k-50k</v>
      </c>
      <c r="W866" s="1">
        <f t="shared" si="27"/>
        <v>14</v>
      </c>
    </row>
    <row r="867" spans="1:23" x14ac:dyDescent="0.35">
      <c r="A867">
        <v>864</v>
      </c>
      <c r="B867">
        <v>4120</v>
      </c>
      <c r="C867">
        <v>1975</v>
      </c>
      <c r="D867" s="1" t="s">
        <v>18</v>
      </c>
      <c r="E867" s="1" t="s">
        <v>11</v>
      </c>
      <c r="F867">
        <v>49514</v>
      </c>
      <c r="G867">
        <v>1</v>
      </c>
      <c r="H867" s="2">
        <v>0</v>
      </c>
      <c r="I867" s="2">
        <v>41625</v>
      </c>
      <c r="J867">
        <v>61</v>
      </c>
      <c r="K867">
        <f>VLOOKUP(B867,purchase_dataset!$B$2:$F$2241,2,FALSE)</f>
        <v>39</v>
      </c>
      <c r="L867">
        <f>VLOOKUP(B867,purchase_dataset!$B$2:$F$2241,3,FALSE)</f>
        <v>13</v>
      </c>
      <c r="M867">
        <f>VLOOKUP(B867,purchase_dataset!$B$2:$F$2241,3,FALSE)</f>
        <v>13</v>
      </c>
      <c r="N867">
        <f>VLOOKUP(B867,purchase_dataset!$B$2:$F$2241,5,FALSE)</f>
        <v>4</v>
      </c>
      <c r="O867" s="5">
        <v>51</v>
      </c>
      <c r="P867" s="4" t="str">
        <f t="shared" si="26"/>
        <v>&gt;50</v>
      </c>
      <c r="Q867" s="4">
        <f>M867+N867</f>
        <v>17</v>
      </c>
      <c r="U867" s="28" t="str" cm="1">
        <f t="array" ref="U867">_xlfn.IFS(F867&lt;30000,"30k",F867&lt;=50000,"30k-50k",F867&lt;=75000,"50k-75k",F867&lt;=100000,"75k-100k",F867&gt;100000,"100k")</f>
        <v>30k-50k</v>
      </c>
      <c r="W867" s="1">
        <f t="shared" si="27"/>
        <v>13</v>
      </c>
    </row>
    <row r="868" spans="1:23" x14ac:dyDescent="0.35">
      <c r="A868">
        <v>865</v>
      </c>
      <c r="B868">
        <v>2036</v>
      </c>
      <c r="C868">
        <v>1973</v>
      </c>
      <c r="D868" s="1" t="s">
        <v>13</v>
      </c>
      <c r="E868" s="1" t="s">
        <v>12</v>
      </c>
      <c r="F868">
        <v>57906</v>
      </c>
      <c r="G868">
        <v>0</v>
      </c>
      <c r="H868" s="2">
        <v>1</v>
      </c>
      <c r="I868" s="2">
        <v>41436</v>
      </c>
      <c r="J868">
        <v>29</v>
      </c>
      <c r="K868">
        <f>VLOOKUP(B868,purchase_dataset!$B$2:$F$2241,2,FALSE)</f>
        <v>11</v>
      </c>
      <c r="L868">
        <f>VLOOKUP(B868,purchase_dataset!$B$2:$F$2241,3,FALSE)</f>
        <v>3</v>
      </c>
      <c r="M868">
        <f>VLOOKUP(B868,purchase_dataset!$B$2:$F$2241,3,FALSE)</f>
        <v>3</v>
      </c>
      <c r="N868">
        <f>VLOOKUP(B868,purchase_dataset!$B$2:$F$2241,5,FALSE)</f>
        <v>8</v>
      </c>
      <c r="O868" s="5">
        <v>53</v>
      </c>
      <c r="P868" s="4" t="str">
        <f t="shared" si="26"/>
        <v>&gt;50</v>
      </c>
      <c r="Q868" s="4">
        <f>M868+N868</f>
        <v>11</v>
      </c>
      <c r="U868" s="28" t="str" cm="1">
        <f t="array" ref="U868">_xlfn.IFS(F868&lt;30000,"30k",F868&lt;=50000,"30k-50k",F868&lt;=75000,"50k-75k",F868&lt;=100000,"75k-100k",F868&gt;100000,"100k")</f>
        <v>50k-75k</v>
      </c>
      <c r="W868" s="1">
        <f t="shared" si="27"/>
        <v>13</v>
      </c>
    </row>
    <row r="869" spans="1:23" x14ac:dyDescent="0.35">
      <c r="A869">
        <v>866</v>
      </c>
      <c r="B869">
        <v>115</v>
      </c>
      <c r="C869">
        <v>1966</v>
      </c>
      <c r="D869" s="1" t="s">
        <v>15</v>
      </c>
      <c r="E869" s="1" t="s">
        <v>11</v>
      </c>
      <c r="F869">
        <v>43456</v>
      </c>
      <c r="G869">
        <v>0</v>
      </c>
      <c r="H869" s="2">
        <v>1</v>
      </c>
      <c r="I869" s="2">
        <v>41359</v>
      </c>
      <c r="J869">
        <v>0</v>
      </c>
      <c r="K869">
        <f>VLOOKUP(B869,purchase_dataset!$B$2:$F$2241,2,FALSE)</f>
        <v>11</v>
      </c>
      <c r="L869">
        <f>VLOOKUP(B869,purchase_dataset!$B$2:$F$2241,3,FALSE)</f>
        <v>7</v>
      </c>
      <c r="M869">
        <f>VLOOKUP(B869,purchase_dataset!$B$2:$F$2241,3,FALSE)</f>
        <v>7</v>
      </c>
      <c r="N869">
        <f>VLOOKUP(B869,purchase_dataset!$B$2:$F$2241,5,FALSE)</f>
        <v>8</v>
      </c>
      <c r="O869" s="5">
        <v>60</v>
      </c>
      <c r="P869" s="4" t="str">
        <f t="shared" si="26"/>
        <v>&gt;50</v>
      </c>
      <c r="Q869" s="4">
        <f>M869+N869</f>
        <v>15</v>
      </c>
      <c r="U869" s="28" t="str" cm="1">
        <f t="array" ref="U869">_xlfn.IFS(F869&lt;30000,"30k",F869&lt;=50000,"30k-50k",F869&lt;=75000,"50k-75k",F869&lt;=100000,"75k-100k",F869&gt;100000,"100k")</f>
        <v>30k-50k</v>
      </c>
      <c r="W869" s="1">
        <f t="shared" si="27"/>
        <v>13</v>
      </c>
    </row>
    <row r="870" spans="1:23" x14ac:dyDescent="0.35">
      <c r="A870">
        <v>867</v>
      </c>
      <c r="B870">
        <v>4259</v>
      </c>
      <c r="C870">
        <v>1986</v>
      </c>
      <c r="D870" s="1" t="s">
        <v>15</v>
      </c>
      <c r="E870" s="1" t="s">
        <v>11</v>
      </c>
      <c r="F870">
        <v>19485</v>
      </c>
      <c r="G870">
        <v>2</v>
      </c>
      <c r="H870" s="2">
        <v>0</v>
      </c>
      <c r="I870" s="2">
        <v>41541</v>
      </c>
      <c r="J870">
        <v>80</v>
      </c>
      <c r="K870">
        <f>VLOOKUP(B870,purchase_dataset!$B$2:$F$2241,2,FALSE)</f>
        <v>0</v>
      </c>
      <c r="L870">
        <f>VLOOKUP(B870,purchase_dataset!$B$2:$F$2241,3,FALSE)</f>
        <v>0</v>
      </c>
      <c r="M870">
        <f>VLOOKUP(B870,purchase_dataset!$B$2:$F$2241,3,FALSE)</f>
        <v>0</v>
      </c>
      <c r="N870">
        <f>VLOOKUP(B870,purchase_dataset!$B$2:$F$2241,5,FALSE)</f>
        <v>2</v>
      </c>
      <c r="O870" s="5">
        <v>40</v>
      </c>
      <c r="P870" s="4" t="str">
        <f t="shared" si="26"/>
        <v>30-50</v>
      </c>
      <c r="Q870" s="4">
        <f>M870+N870</f>
        <v>2</v>
      </c>
      <c r="U870" s="28" t="str" cm="1">
        <f t="array" ref="U870">_xlfn.IFS(F870&lt;30000,"30k",F870&lt;=50000,"30k-50k",F870&lt;=75000,"50k-75k",F870&lt;=100000,"75k-100k",F870&gt;100000,"100k")</f>
        <v>30k</v>
      </c>
      <c r="W870" s="1">
        <f t="shared" si="27"/>
        <v>13</v>
      </c>
    </row>
    <row r="871" spans="1:23" x14ac:dyDescent="0.35">
      <c r="A871">
        <v>868</v>
      </c>
      <c r="B871">
        <v>8687</v>
      </c>
      <c r="C871">
        <v>1978</v>
      </c>
      <c r="D871" s="1" t="s">
        <v>10</v>
      </c>
      <c r="E871" s="1" t="s">
        <v>12</v>
      </c>
      <c r="F871">
        <v>53172</v>
      </c>
      <c r="G871">
        <v>0</v>
      </c>
      <c r="H871" s="2">
        <v>1</v>
      </c>
      <c r="I871" s="2">
        <v>41400</v>
      </c>
      <c r="J871">
        <v>54</v>
      </c>
      <c r="K871">
        <f>VLOOKUP(B871,purchase_dataset!$B$2:$F$2241,2,FALSE)</f>
        <v>62</v>
      </c>
      <c r="L871">
        <f>VLOOKUP(B871,purchase_dataset!$B$2:$F$2241,3,FALSE)</f>
        <v>20</v>
      </c>
      <c r="M871">
        <f>VLOOKUP(B871,purchase_dataset!$B$2:$F$2241,3,FALSE)</f>
        <v>20</v>
      </c>
      <c r="N871">
        <f>VLOOKUP(B871,purchase_dataset!$B$2:$F$2241,5,FALSE)</f>
        <v>8</v>
      </c>
      <c r="O871" s="5">
        <v>48</v>
      </c>
      <c r="P871" s="4" t="str">
        <f t="shared" si="26"/>
        <v>30-50</v>
      </c>
      <c r="Q871" s="4">
        <f>M871+N871</f>
        <v>28</v>
      </c>
      <c r="U871" s="28" t="str" cm="1">
        <f t="array" ref="U871">_xlfn.IFS(F871&lt;30000,"30k",F871&lt;=50000,"30k-50k",F871&lt;=75000,"50k-75k",F871&lt;=100000,"75k-100k",F871&gt;100000,"100k")</f>
        <v>50k-75k</v>
      </c>
      <c r="W871" s="1">
        <f t="shared" si="27"/>
        <v>13</v>
      </c>
    </row>
    <row r="872" spans="1:23" x14ac:dyDescent="0.35">
      <c r="A872">
        <v>869</v>
      </c>
      <c r="B872">
        <v>2447</v>
      </c>
      <c r="C872">
        <v>1979</v>
      </c>
      <c r="D872" s="1" t="s">
        <v>10</v>
      </c>
      <c r="E872" s="1" t="s">
        <v>12</v>
      </c>
      <c r="F872">
        <v>30545</v>
      </c>
      <c r="G872">
        <v>1</v>
      </c>
      <c r="H872" s="2">
        <v>0</v>
      </c>
      <c r="I872" s="2">
        <v>41199</v>
      </c>
      <c r="J872">
        <v>71</v>
      </c>
      <c r="K872">
        <f>VLOOKUP(B872,purchase_dataset!$B$2:$F$2241,2,FALSE)</f>
        <v>12</v>
      </c>
      <c r="L872">
        <f>VLOOKUP(B872,purchase_dataset!$B$2:$F$2241,3,FALSE)</f>
        <v>7</v>
      </c>
      <c r="M872">
        <f>VLOOKUP(B872,purchase_dataset!$B$2:$F$2241,3,FALSE)</f>
        <v>7</v>
      </c>
      <c r="N872">
        <f>VLOOKUP(B872,purchase_dataset!$B$2:$F$2241,5,FALSE)</f>
        <v>3</v>
      </c>
      <c r="O872" s="5">
        <v>47</v>
      </c>
      <c r="P872" s="4" t="str">
        <f t="shared" si="26"/>
        <v>30-50</v>
      </c>
      <c r="Q872" s="4">
        <f>M872+N872</f>
        <v>10</v>
      </c>
      <c r="U872" s="28" t="str" cm="1">
        <f t="array" ref="U872">_xlfn.IFS(F872&lt;30000,"30k",F872&lt;=50000,"30k-50k",F872&lt;=75000,"50k-75k",F872&lt;=100000,"75k-100k",F872&gt;100000,"100k")</f>
        <v>30k-50k</v>
      </c>
      <c r="W872" s="1">
        <f t="shared" si="27"/>
        <v>14</v>
      </c>
    </row>
    <row r="873" spans="1:23" x14ac:dyDescent="0.35">
      <c r="A873">
        <v>870</v>
      </c>
      <c r="B873">
        <v>10140</v>
      </c>
      <c r="C873">
        <v>1983</v>
      </c>
      <c r="D873" s="1" t="s">
        <v>13</v>
      </c>
      <c r="E873" s="1" t="s">
        <v>12</v>
      </c>
      <c r="F873">
        <v>70123</v>
      </c>
      <c r="G873">
        <v>0</v>
      </c>
      <c r="H873" s="2">
        <v>0</v>
      </c>
      <c r="I873" s="2">
        <v>41545</v>
      </c>
      <c r="J873">
        <v>27</v>
      </c>
      <c r="K873">
        <f>VLOOKUP(B873,purchase_dataset!$B$2:$F$2241,2,FALSE)</f>
        <v>0</v>
      </c>
      <c r="L873">
        <f>VLOOKUP(B873,purchase_dataset!$B$2:$F$2241,3,FALSE)</f>
        <v>0</v>
      </c>
      <c r="M873">
        <f>VLOOKUP(B873,purchase_dataset!$B$2:$F$2241,3,FALSE)</f>
        <v>0</v>
      </c>
      <c r="N873">
        <f>VLOOKUP(B873,purchase_dataset!$B$2:$F$2241,5,FALSE)</f>
        <v>4</v>
      </c>
      <c r="O873" s="5">
        <v>43</v>
      </c>
      <c r="P873" s="4" t="str">
        <f t="shared" si="26"/>
        <v>30-50</v>
      </c>
      <c r="Q873" s="4">
        <f>M873+N873</f>
        <v>4</v>
      </c>
      <c r="U873" s="28" t="str" cm="1">
        <f t="array" ref="U873">_xlfn.IFS(F873&lt;30000,"30k",F873&lt;=50000,"30k-50k",F873&lt;=75000,"50k-75k",F873&lt;=100000,"75k-100k",F873&gt;100000,"100k")</f>
        <v>50k-75k</v>
      </c>
      <c r="W873" s="1">
        <f t="shared" si="27"/>
        <v>13</v>
      </c>
    </row>
    <row r="874" spans="1:23" x14ac:dyDescent="0.35">
      <c r="A874">
        <v>871</v>
      </c>
      <c r="B874">
        <v>9353</v>
      </c>
      <c r="C874">
        <v>1959</v>
      </c>
      <c r="D874" s="1" t="s">
        <v>10</v>
      </c>
      <c r="E874" s="1" t="s">
        <v>11</v>
      </c>
      <c r="F874">
        <v>62450</v>
      </c>
      <c r="G874">
        <v>0</v>
      </c>
      <c r="H874" s="2">
        <v>1</v>
      </c>
      <c r="I874" s="2">
        <v>41645</v>
      </c>
      <c r="J874">
        <v>61</v>
      </c>
      <c r="K874">
        <f>VLOOKUP(B874,purchase_dataset!$B$2:$F$2241,2,FALSE)</f>
        <v>47</v>
      </c>
      <c r="L874">
        <f>VLOOKUP(B874,purchase_dataset!$B$2:$F$2241,3,FALSE)</f>
        <v>66</v>
      </c>
      <c r="M874">
        <f>VLOOKUP(B874,purchase_dataset!$B$2:$F$2241,3,FALSE)</f>
        <v>66</v>
      </c>
      <c r="N874">
        <f>VLOOKUP(B874,purchase_dataset!$B$2:$F$2241,5,FALSE)</f>
        <v>4</v>
      </c>
      <c r="O874" s="5">
        <v>67</v>
      </c>
      <c r="P874" s="4" t="str">
        <f t="shared" si="26"/>
        <v>&gt;50</v>
      </c>
      <c r="Q874" s="4">
        <f>M874+N874</f>
        <v>70</v>
      </c>
      <c r="U874" s="28" t="str" cm="1">
        <f t="array" ref="U874">_xlfn.IFS(F874&lt;30000,"30k",F874&lt;=50000,"30k-50k",F874&lt;=75000,"50k-75k",F874&lt;=100000,"75k-100k",F874&gt;100000,"100k")</f>
        <v>50k-75k</v>
      </c>
      <c r="W874" s="1">
        <f t="shared" si="27"/>
        <v>12</v>
      </c>
    </row>
    <row r="875" spans="1:23" x14ac:dyDescent="0.35">
      <c r="A875">
        <v>872</v>
      </c>
      <c r="B875">
        <v>3623</v>
      </c>
      <c r="C875">
        <v>1976</v>
      </c>
      <c r="D875" s="1" t="s">
        <v>10</v>
      </c>
      <c r="E875" s="1" t="s">
        <v>12</v>
      </c>
      <c r="F875">
        <v>21675</v>
      </c>
      <c r="G875">
        <v>1</v>
      </c>
      <c r="H875" s="2">
        <v>0</v>
      </c>
      <c r="I875" s="2">
        <v>41801</v>
      </c>
      <c r="J875">
        <v>55</v>
      </c>
      <c r="K875">
        <f>VLOOKUP(B875,purchase_dataset!$B$2:$F$2241,2,FALSE)</f>
        <v>0</v>
      </c>
      <c r="L875">
        <f>VLOOKUP(B875,purchase_dataset!$B$2:$F$2241,3,FALSE)</f>
        <v>4</v>
      </c>
      <c r="M875">
        <f>VLOOKUP(B875,purchase_dataset!$B$2:$F$2241,3,FALSE)</f>
        <v>4</v>
      </c>
      <c r="N875">
        <f>VLOOKUP(B875,purchase_dataset!$B$2:$F$2241,5,FALSE)</f>
        <v>3</v>
      </c>
      <c r="O875" s="5">
        <v>50</v>
      </c>
      <c r="P875" s="4" t="str">
        <f t="shared" si="26"/>
        <v>30-50</v>
      </c>
      <c r="Q875" s="4">
        <f>M875+N875</f>
        <v>7</v>
      </c>
      <c r="U875" s="28" t="str" cm="1">
        <f t="array" ref="U875">_xlfn.IFS(F875&lt;30000,"30k",F875&lt;=50000,"30k-50k",F875&lt;=75000,"50k-75k",F875&lt;=100000,"75k-100k",F875&gt;100000,"100k")</f>
        <v>30k</v>
      </c>
      <c r="W875" s="1">
        <f t="shared" si="27"/>
        <v>12</v>
      </c>
    </row>
    <row r="876" spans="1:23" x14ac:dyDescent="0.35">
      <c r="A876">
        <v>873</v>
      </c>
      <c r="B876">
        <v>738</v>
      </c>
      <c r="C876">
        <v>1981</v>
      </c>
      <c r="D876" s="1" t="s">
        <v>18</v>
      </c>
      <c r="E876" s="1" t="s">
        <v>11</v>
      </c>
      <c r="F876">
        <v>42395</v>
      </c>
      <c r="G876">
        <v>1</v>
      </c>
      <c r="H876" s="2">
        <v>1</v>
      </c>
      <c r="I876" s="2">
        <v>41733</v>
      </c>
      <c r="J876">
        <v>35</v>
      </c>
      <c r="K876">
        <f>VLOOKUP(B876,purchase_dataset!$B$2:$F$2241,2,FALSE)</f>
        <v>13</v>
      </c>
      <c r="L876">
        <f>VLOOKUP(B876,purchase_dataset!$B$2:$F$2241,3,FALSE)</f>
        <v>15</v>
      </c>
      <c r="M876">
        <f>VLOOKUP(B876,purchase_dataset!$B$2:$F$2241,3,FALSE)</f>
        <v>15</v>
      </c>
      <c r="N876">
        <f>VLOOKUP(B876,purchase_dataset!$B$2:$F$2241,5,FALSE)</f>
        <v>4</v>
      </c>
      <c r="O876" s="5">
        <v>45</v>
      </c>
      <c r="P876" s="4" t="str">
        <f t="shared" si="26"/>
        <v>30-50</v>
      </c>
      <c r="Q876" s="4">
        <f>M876+N876</f>
        <v>19</v>
      </c>
      <c r="U876" s="28" t="str" cm="1">
        <f t="array" ref="U876">_xlfn.IFS(F876&lt;30000,"30k",F876&lt;=50000,"30k-50k",F876&lt;=75000,"50k-75k",F876&lt;=100000,"75k-100k",F876&gt;100000,"100k")</f>
        <v>30k-50k</v>
      </c>
      <c r="W876" s="1">
        <f t="shared" si="27"/>
        <v>12</v>
      </c>
    </row>
    <row r="877" spans="1:23" x14ac:dyDescent="0.35">
      <c r="A877">
        <v>874</v>
      </c>
      <c r="B877">
        <v>7631</v>
      </c>
      <c r="C877">
        <v>1978</v>
      </c>
      <c r="D877" s="1" t="s">
        <v>15</v>
      </c>
      <c r="E877" s="1" t="s">
        <v>12</v>
      </c>
      <c r="F877">
        <v>61346</v>
      </c>
      <c r="G877">
        <v>1</v>
      </c>
      <c r="H877" s="2">
        <v>0</v>
      </c>
      <c r="I877" s="2">
        <v>41553</v>
      </c>
      <c r="J877">
        <v>34</v>
      </c>
      <c r="K877">
        <f>VLOOKUP(B877,purchase_dataset!$B$2:$F$2241,2,FALSE)</f>
        <v>58</v>
      </c>
      <c r="L877">
        <f>VLOOKUP(B877,purchase_dataset!$B$2:$F$2241,3,FALSE)</f>
        <v>16</v>
      </c>
      <c r="M877">
        <f>VLOOKUP(B877,purchase_dataset!$B$2:$F$2241,3,FALSE)</f>
        <v>16</v>
      </c>
      <c r="N877">
        <f>VLOOKUP(B877,purchase_dataset!$B$2:$F$2241,5,FALSE)</f>
        <v>10</v>
      </c>
      <c r="O877" s="5">
        <v>48</v>
      </c>
      <c r="P877" s="4" t="str">
        <f t="shared" si="26"/>
        <v>30-50</v>
      </c>
      <c r="Q877" s="4">
        <f>M877+N877</f>
        <v>26</v>
      </c>
      <c r="U877" s="28" t="str" cm="1">
        <f t="array" ref="U877">_xlfn.IFS(F877&lt;30000,"30k",F877&lt;=50000,"30k-50k",F877&lt;=75000,"50k-75k",F877&lt;=100000,"75k-100k",F877&gt;100000,"100k")</f>
        <v>50k-75k</v>
      </c>
      <c r="W877" s="1">
        <f t="shared" si="27"/>
        <v>13</v>
      </c>
    </row>
    <row r="878" spans="1:23" x14ac:dyDescent="0.35">
      <c r="A878">
        <v>875</v>
      </c>
      <c r="B878">
        <v>4789</v>
      </c>
      <c r="C878">
        <v>1953</v>
      </c>
      <c r="D878" s="1" t="s">
        <v>10</v>
      </c>
      <c r="E878" s="1" t="s">
        <v>12</v>
      </c>
      <c r="F878">
        <v>80812</v>
      </c>
      <c r="G878">
        <v>0</v>
      </c>
      <c r="H878" s="2">
        <v>0</v>
      </c>
      <c r="I878" s="2">
        <v>41534</v>
      </c>
      <c r="J878">
        <v>95</v>
      </c>
      <c r="K878">
        <f>VLOOKUP(B878,purchase_dataset!$B$2:$F$2241,2,FALSE)</f>
        <v>22</v>
      </c>
      <c r="L878">
        <f>VLOOKUP(B878,purchase_dataset!$B$2:$F$2241,3,FALSE)</f>
        <v>143</v>
      </c>
      <c r="M878">
        <f>VLOOKUP(B878,purchase_dataset!$B$2:$F$2241,3,FALSE)</f>
        <v>143</v>
      </c>
      <c r="N878">
        <f>VLOOKUP(B878,purchase_dataset!$B$2:$F$2241,5,FALSE)</f>
        <v>5</v>
      </c>
      <c r="O878" s="5">
        <v>73</v>
      </c>
      <c r="P878" s="4" t="str">
        <f t="shared" si="26"/>
        <v>&gt;50</v>
      </c>
      <c r="Q878" s="4">
        <f>M878+N878</f>
        <v>148</v>
      </c>
      <c r="U878" s="28" t="str" cm="1">
        <f t="array" ref="U878">_xlfn.IFS(F878&lt;30000,"30k",F878&lt;=50000,"30k-50k",F878&lt;=75000,"50k-75k",F878&lt;=100000,"75k-100k",F878&gt;100000,"100k")</f>
        <v>75k-100k</v>
      </c>
      <c r="W878" s="1">
        <f t="shared" si="27"/>
        <v>13</v>
      </c>
    </row>
    <row r="879" spans="1:23" x14ac:dyDescent="0.35">
      <c r="A879">
        <v>876</v>
      </c>
      <c r="B879">
        <v>773</v>
      </c>
      <c r="C879">
        <v>1971</v>
      </c>
      <c r="D879" s="1" t="s">
        <v>15</v>
      </c>
      <c r="E879" s="1" t="s">
        <v>16</v>
      </c>
      <c r="F879">
        <v>42835</v>
      </c>
      <c r="G879">
        <v>1</v>
      </c>
      <c r="H879" s="2">
        <v>1</v>
      </c>
      <c r="I879" s="2">
        <v>41455</v>
      </c>
      <c r="J879">
        <v>64</v>
      </c>
      <c r="K879">
        <f>VLOOKUP(B879,purchase_dataset!$B$2:$F$2241,2,FALSE)</f>
        <v>4</v>
      </c>
      <c r="L879">
        <f>VLOOKUP(B879,purchase_dataset!$B$2:$F$2241,3,FALSE)</f>
        <v>9</v>
      </c>
      <c r="M879">
        <f>VLOOKUP(B879,purchase_dataset!$B$2:$F$2241,3,FALSE)</f>
        <v>9</v>
      </c>
      <c r="N879">
        <f>VLOOKUP(B879,purchase_dataset!$B$2:$F$2241,5,FALSE)</f>
        <v>4</v>
      </c>
      <c r="O879" s="5">
        <v>55</v>
      </c>
      <c r="P879" s="4" t="str">
        <f t="shared" si="26"/>
        <v>&gt;50</v>
      </c>
      <c r="Q879" s="4">
        <f>M879+N879</f>
        <v>13</v>
      </c>
      <c r="U879" s="28" t="str" cm="1">
        <f t="array" ref="U879">_xlfn.IFS(F879&lt;30000,"30k",F879&lt;=50000,"30k-50k",F879&lt;=75000,"50k-75k",F879&lt;=100000,"75k-100k",F879&gt;100000,"100k")</f>
        <v>30k-50k</v>
      </c>
      <c r="W879" s="1">
        <f t="shared" si="27"/>
        <v>13</v>
      </c>
    </row>
    <row r="880" spans="1:23" x14ac:dyDescent="0.35">
      <c r="A880">
        <v>877</v>
      </c>
      <c r="B880">
        <v>10602</v>
      </c>
      <c r="C880">
        <v>1983</v>
      </c>
      <c r="D880" s="1" t="s">
        <v>10</v>
      </c>
      <c r="E880" s="1" t="s">
        <v>14</v>
      </c>
      <c r="F880">
        <v>39922</v>
      </c>
      <c r="G880">
        <v>1</v>
      </c>
      <c r="H880" s="2">
        <v>0</v>
      </c>
      <c r="I880" s="2">
        <v>41319</v>
      </c>
      <c r="J880">
        <v>30</v>
      </c>
      <c r="K880">
        <f>VLOOKUP(B880,purchase_dataset!$B$2:$F$2241,2,FALSE)</f>
        <v>12</v>
      </c>
      <c r="L880">
        <f>VLOOKUP(B880,purchase_dataset!$B$2:$F$2241,3,FALSE)</f>
        <v>1</v>
      </c>
      <c r="M880">
        <f>VLOOKUP(B880,purchase_dataset!$B$2:$F$2241,3,FALSE)</f>
        <v>1</v>
      </c>
      <c r="N880">
        <f>VLOOKUP(B880,purchase_dataset!$B$2:$F$2241,5,FALSE)</f>
        <v>4</v>
      </c>
      <c r="O880" s="5">
        <v>43</v>
      </c>
      <c r="P880" s="4" t="str">
        <f t="shared" si="26"/>
        <v>30-50</v>
      </c>
      <c r="Q880" s="4">
        <f>M880+N880</f>
        <v>5</v>
      </c>
      <c r="U880" s="28" t="str" cm="1">
        <f t="array" ref="U880">_xlfn.IFS(F880&lt;30000,"30k",F880&lt;=50000,"30k-50k",F880&lt;=75000,"50k-75k",F880&lt;=100000,"75k-100k",F880&gt;100000,"100k")</f>
        <v>30k-50k</v>
      </c>
      <c r="W880" s="1">
        <f t="shared" si="27"/>
        <v>13</v>
      </c>
    </row>
    <row r="881" spans="1:23" x14ac:dyDescent="0.35">
      <c r="A881">
        <v>878</v>
      </c>
      <c r="B881">
        <v>1446</v>
      </c>
      <c r="C881">
        <v>1956</v>
      </c>
      <c r="D881" s="1" t="s">
        <v>15</v>
      </c>
      <c r="E881" s="1" t="s">
        <v>11</v>
      </c>
      <c r="F881">
        <v>86424</v>
      </c>
      <c r="G881">
        <v>0</v>
      </c>
      <c r="H881" s="2">
        <v>0</v>
      </c>
      <c r="I881" s="2">
        <v>41734</v>
      </c>
      <c r="J881">
        <v>12</v>
      </c>
      <c r="K881">
        <f>VLOOKUP(B881,purchase_dataset!$B$2:$F$2241,2,FALSE)</f>
        <v>68</v>
      </c>
      <c r="L881">
        <f>VLOOKUP(B881,purchase_dataset!$B$2:$F$2241,3,FALSE)</f>
        <v>45</v>
      </c>
      <c r="M881">
        <f>VLOOKUP(B881,purchase_dataset!$B$2:$F$2241,3,FALSE)</f>
        <v>45</v>
      </c>
      <c r="N881">
        <f>VLOOKUP(B881,purchase_dataset!$B$2:$F$2241,5,FALSE)</f>
        <v>12</v>
      </c>
      <c r="O881" s="5">
        <v>70</v>
      </c>
      <c r="P881" s="4" t="str">
        <f t="shared" si="26"/>
        <v>&gt;50</v>
      </c>
      <c r="Q881" s="4">
        <f>M881+N881</f>
        <v>57</v>
      </c>
      <c r="U881" s="28" t="str" cm="1">
        <f t="array" ref="U881">_xlfn.IFS(F881&lt;30000,"30k",F881&lt;=50000,"30k-50k",F881&lt;=75000,"50k-75k",F881&lt;=100000,"75k-100k",F881&gt;100000,"100k")</f>
        <v>75k-100k</v>
      </c>
      <c r="W881" s="1">
        <f t="shared" si="27"/>
        <v>12</v>
      </c>
    </row>
    <row r="882" spans="1:23" x14ac:dyDescent="0.35">
      <c r="A882">
        <v>879</v>
      </c>
      <c r="B882">
        <v>3270</v>
      </c>
      <c r="C882">
        <v>1978</v>
      </c>
      <c r="D882" s="1" t="s">
        <v>18</v>
      </c>
      <c r="E882" s="1" t="s">
        <v>12</v>
      </c>
      <c r="F882">
        <v>17117</v>
      </c>
      <c r="G882">
        <v>1</v>
      </c>
      <c r="H882" s="2">
        <v>0</v>
      </c>
      <c r="I882" s="2">
        <v>41291</v>
      </c>
      <c r="J882">
        <v>96</v>
      </c>
      <c r="K882">
        <f>VLOOKUP(B882,purchase_dataset!$B$2:$F$2241,2,FALSE)</f>
        <v>23</v>
      </c>
      <c r="L882">
        <f>VLOOKUP(B882,purchase_dataset!$B$2:$F$2241,3,FALSE)</f>
        <v>18</v>
      </c>
      <c r="M882">
        <f>VLOOKUP(B882,purchase_dataset!$B$2:$F$2241,3,FALSE)</f>
        <v>18</v>
      </c>
      <c r="N882">
        <f>VLOOKUP(B882,purchase_dataset!$B$2:$F$2241,5,FALSE)</f>
        <v>3</v>
      </c>
      <c r="O882" s="5">
        <v>48</v>
      </c>
      <c r="P882" s="4" t="str">
        <f t="shared" si="26"/>
        <v>30-50</v>
      </c>
      <c r="Q882" s="4">
        <f>M882+N882</f>
        <v>21</v>
      </c>
      <c r="U882" s="28" t="str" cm="1">
        <f t="array" ref="U882">_xlfn.IFS(F882&lt;30000,"30k",F882&lt;=50000,"30k-50k",F882&lt;=75000,"50k-75k",F882&lt;=100000,"75k-100k",F882&gt;100000,"100k")</f>
        <v>30k</v>
      </c>
      <c r="W882" s="1">
        <f t="shared" si="27"/>
        <v>13</v>
      </c>
    </row>
    <row r="883" spans="1:23" x14ac:dyDescent="0.35">
      <c r="A883">
        <v>880</v>
      </c>
      <c r="B883">
        <v>8443</v>
      </c>
      <c r="C883">
        <v>1972</v>
      </c>
      <c r="D883" s="1" t="s">
        <v>10</v>
      </c>
      <c r="E883" s="1" t="s">
        <v>11</v>
      </c>
      <c r="F883">
        <v>24762</v>
      </c>
      <c r="G883">
        <v>1</v>
      </c>
      <c r="H883" s="2">
        <v>0</v>
      </c>
      <c r="I883" s="2">
        <v>41680</v>
      </c>
      <c r="J883">
        <v>16</v>
      </c>
      <c r="K883">
        <f>VLOOKUP(B883,purchase_dataset!$B$2:$F$2241,2,FALSE)</f>
        <v>10</v>
      </c>
      <c r="L883">
        <f>VLOOKUP(B883,purchase_dataset!$B$2:$F$2241,3,FALSE)</f>
        <v>15</v>
      </c>
      <c r="M883">
        <f>VLOOKUP(B883,purchase_dataset!$B$2:$F$2241,3,FALSE)</f>
        <v>15</v>
      </c>
      <c r="N883">
        <f>VLOOKUP(B883,purchase_dataset!$B$2:$F$2241,5,FALSE)</f>
        <v>2</v>
      </c>
      <c r="O883" s="5">
        <v>54</v>
      </c>
      <c r="P883" s="4" t="str">
        <f t="shared" si="26"/>
        <v>&gt;50</v>
      </c>
      <c r="Q883" s="4">
        <f>M883+N883</f>
        <v>17</v>
      </c>
      <c r="U883" s="28" t="str" cm="1">
        <f t="array" ref="U883">_xlfn.IFS(F883&lt;30000,"30k",F883&lt;=50000,"30k-50k",F883&lt;=75000,"50k-75k",F883&lt;=100000,"75k-100k",F883&gt;100000,"100k")</f>
        <v>30k</v>
      </c>
      <c r="W883" s="1">
        <f t="shared" si="27"/>
        <v>12</v>
      </c>
    </row>
    <row r="884" spans="1:23" x14ac:dyDescent="0.35">
      <c r="A884">
        <v>881</v>
      </c>
      <c r="B884">
        <v>9653</v>
      </c>
      <c r="C884">
        <v>1975</v>
      </c>
      <c r="D884" s="1" t="s">
        <v>10</v>
      </c>
      <c r="E884" s="1" t="s">
        <v>14</v>
      </c>
      <c r="F884">
        <v>35797</v>
      </c>
      <c r="G884">
        <v>0</v>
      </c>
      <c r="H884" s="2">
        <v>1</v>
      </c>
      <c r="I884" s="2">
        <v>41198</v>
      </c>
      <c r="J884">
        <v>16</v>
      </c>
      <c r="K884">
        <f>VLOOKUP(B884,purchase_dataset!$B$2:$F$2241,2,FALSE)</f>
        <v>1</v>
      </c>
      <c r="L884">
        <f>VLOOKUP(B884,purchase_dataset!$B$2:$F$2241,3,FALSE)</f>
        <v>1</v>
      </c>
      <c r="M884">
        <f>VLOOKUP(B884,purchase_dataset!$B$2:$F$2241,3,FALSE)</f>
        <v>1</v>
      </c>
      <c r="N884">
        <f>VLOOKUP(B884,purchase_dataset!$B$2:$F$2241,5,FALSE)</f>
        <v>3</v>
      </c>
      <c r="O884" s="5">
        <v>51</v>
      </c>
      <c r="P884" s="4" t="str">
        <f t="shared" si="26"/>
        <v>&gt;50</v>
      </c>
      <c r="Q884" s="4">
        <f>M884+N884</f>
        <v>4</v>
      </c>
      <c r="U884" s="28" t="str" cm="1">
        <f t="array" ref="U884">_xlfn.IFS(F884&lt;30000,"30k",F884&lt;=50000,"30k-50k",F884&lt;=75000,"50k-75k",F884&lt;=100000,"75k-100k",F884&gt;100000,"100k")</f>
        <v>30k-50k</v>
      </c>
      <c r="W884" s="1">
        <f t="shared" si="27"/>
        <v>14</v>
      </c>
    </row>
    <row r="885" spans="1:23" x14ac:dyDescent="0.35">
      <c r="A885">
        <v>882</v>
      </c>
      <c r="B885">
        <v>8916</v>
      </c>
      <c r="C885">
        <v>1975</v>
      </c>
      <c r="D885" s="1" t="s">
        <v>10</v>
      </c>
      <c r="E885" s="1" t="s">
        <v>16</v>
      </c>
      <c r="F885">
        <v>36627</v>
      </c>
      <c r="G885">
        <v>2</v>
      </c>
      <c r="H885" s="2">
        <v>0</v>
      </c>
      <c r="I885" s="2">
        <v>41478</v>
      </c>
      <c r="J885">
        <v>78</v>
      </c>
      <c r="K885">
        <f>VLOOKUP(B885,purchase_dataset!$B$2:$F$2241,2,FALSE)</f>
        <v>1</v>
      </c>
      <c r="L885">
        <f>VLOOKUP(B885,purchase_dataset!$B$2:$F$2241,3,FALSE)</f>
        <v>0</v>
      </c>
      <c r="M885">
        <f>VLOOKUP(B885,purchase_dataset!$B$2:$F$2241,3,FALSE)</f>
        <v>0</v>
      </c>
      <c r="N885">
        <f>VLOOKUP(B885,purchase_dataset!$B$2:$F$2241,5,FALSE)</f>
        <v>3</v>
      </c>
      <c r="O885" s="5">
        <v>51</v>
      </c>
      <c r="P885" s="4" t="str">
        <f t="shared" si="26"/>
        <v>&gt;50</v>
      </c>
      <c r="Q885" s="4">
        <f>M885+N885</f>
        <v>3</v>
      </c>
      <c r="U885" s="28" t="str" cm="1">
        <f t="array" ref="U885">_xlfn.IFS(F885&lt;30000,"30k",F885&lt;=50000,"30k-50k",F885&lt;=75000,"50k-75k",F885&lt;=100000,"75k-100k",F885&gt;100000,"100k")</f>
        <v>30k-50k</v>
      </c>
      <c r="W885" s="1">
        <f t="shared" si="27"/>
        <v>13</v>
      </c>
    </row>
    <row r="886" spans="1:23" x14ac:dyDescent="0.35">
      <c r="A886">
        <v>883</v>
      </c>
      <c r="B886">
        <v>8017</v>
      </c>
      <c r="C886">
        <v>1981</v>
      </c>
      <c r="D886" s="1" t="s">
        <v>18</v>
      </c>
      <c r="E886" s="1" t="s">
        <v>14</v>
      </c>
      <c r="F886">
        <v>51111</v>
      </c>
      <c r="G886">
        <v>1</v>
      </c>
      <c r="H886" s="2">
        <v>1</v>
      </c>
      <c r="I886" s="2">
        <v>41809</v>
      </c>
      <c r="J886">
        <v>83</v>
      </c>
      <c r="K886">
        <f>VLOOKUP(B886,purchase_dataset!$B$2:$F$2241,2,FALSE)</f>
        <v>0</v>
      </c>
      <c r="L886">
        <f>VLOOKUP(B886,purchase_dataset!$B$2:$F$2241,3,FALSE)</f>
        <v>5</v>
      </c>
      <c r="M886">
        <f>VLOOKUP(B886,purchase_dataset!$B$2:$F$2241,3,FALSE)</f>
        <v>5</v>
      </c>
      <c r="N886">
        <f>VLOOKUP(B886,purchase_dataset!$B$2:$F$2241,5,FALSE)</f>
        <v>3</v>
      </c>
      <c r="O886" s="5">
        <v>45</v>
      </c>
      <c r="P886" s="4" t="str">
        <f t="shared" si="26"/>
        <v>30-50</v>
      </c>
      <c r="Q886" s="4">
        <f>M886+N886</f>
        <v>8</v>
      </c>
      <c r="U886" s="28" t="str" cm="1">
        <f t="array" ref="U886">_xlfn.IFS(F886&lt;30000,"30k",F886&lt;=50000,"30k-50k",F886&lt;=75000,"50k-75k",F886&lt;=100000,"75k-100k",F886&gt;100000,"100k")</f>
        <v>50k-75k</v>
      </c>
      <c r="W886" s="1">
        <f t="shared" si="27"/>
        <v>12</v>
      </c>
    </row>
    <row r="887" spans="1:23" x14ac:dyDescent="0.35">
      <c r="A887">
        <v>884</v>
      </c>
      <c r="B887">
        <v>5830</v>
      </c>
      <c r="C887">
        <v>1972</v>
      </c>
      <c r="D887" s="1" t="s">
        <v>13</v>
      </c>
      <c r="E887" s="1" t="s">
        <v>11</v>
      </c>
      <c r="F887">
        <v>86857</v>
      </c>
      <c r="G887">
        <v>0</v>
      </c>
      <c r="H887" s="2">
        <v>0</v>
      </c>
      <c r="I887" s="2">
        <v>41164</v>
      </c>
      <c r="J887">
        <v>96</v>
      </c>
      <c r="K887">
        <f>VLOOKUP(B887,purchase_dataset!$B$2:$F$2241,2,FALSE)</f>
        <v>102</v>
      </c>
      <c r="L887">
        <f>VLOOKUP(B887,purchase_dataset!$B$2:$F$2241,3,FALSE)</f>
        <v>102</v>
      </c>
      <c r="M887">
        <f>VLOOKUP(B887,purchase_dataset!$B$2:$F$2241,3,FALSE)</f>
        <v>102</v>
      </c>
      <c r="N887">
        <f>VLOOKUP(B887,purchase_dataset!$B$2:$F$2241,5,FALSE)</f>
        <v>10</v>
      </c>
      <c r="O887" s="5">
        <v>54</v>
      </c>
      <c r="P887" s="4" t="str">
        <f t="shared" si="26"/>
        <v>&gt;50</v>
      </c>
      <c r="Q887" s="4">
        <f>M887+N887</f>
        <v>112</v>
      </c>
      <c r="U887" s="28" t="str" cm="1">
        <f t="array" ref="U887">_xlfn.IFS(F887&lt;30000,"30k",F887&lt;=50000,"30k-50k",F887&lt;=75000,"50k-75k",F887&lt;=100000,"75k-100k",F887&gt;100000,"100k")</f>
        <v>75k-100k</v>
      </c>
      <c r="W887" s="1">
        <f t="shared" si="27"/>
        <v>14</v>
      </c>
    </row>
    <row r="888" spans="1:23" x14ac:dyDescent="0.35">
      <c r="A888">
        <v>885</v>
      </c>
      <c r="B888">
        <v>4597</v>
      </c>
      <c r="C888">
        <v>1970</v>
      </c>
      <c r="D888" s="1" t="s">
        <v>13</v>
      </c>
      <c r="E888" s="1" t="s">
        <v>12</v>
      </c>
      <c r="F888">
        <v>82072</v>
      </c>
      <c r="G888">
        <v>0</v>
      </c>
      <c r="H888" s="2">
        <v>0</v>
      </c>
      <c r="I888" s="2">
        <v>41457</v>
      </c>
      <c r="J888">
        <v>67</v>
      </c>
      <c r="K888">
        <f>VLOOKUP(B888,purchase_dataset!$B$2:$F$2241,2,FALSE)</f>
        <v>55</v>
      </c>
      <c r="L888">
        <f>VLOOKUP(B888,purchase_dataset!$B$2:$F$2241,3,FALSE)</f>
        <v>92</v>
      </c>
      <c r="M888">
        <f>VLOOKUP(B888,purchase_dataset!$B$2:$F$2241,3,FALSE)</f>
        <v>92</v>
      </c>
      <c r="N888">
        <f>VLOOKUP(B888,purchase_dataset!$B$2:$F$2241,5,FALSE)</f>
        <v>13</v>
      </c>
      <c r="O888" s="5">
        <v>56</v>
      </c>
      <c r="P888" s="4" t="str">
        <f t="shared" si="26"/>
        <v>&gt;50</v>
      </c>
      <c r="Q888" s="4">
        <f>M888+N888</f>
        <v>105</v>
      </c>
      <c r="U888" s="28" t="str" cm="1">
        <f t="array" ref="U888">_xlfn.IFS(F888&lt;30000,"30k",F888&lt;=50000,"30k-50k",F888&lt;=75000,"50k-75k",F888&lt;=100000,"75k-100k",F888&gt;100000,"100k")</f>
        <v>75k-100k</v>
      </c>
      <c r="W888" s="1">
        <f t="shared" si="27"/>
        <v>13</v>
      </c>
    </row>
    <row r="889" spans="1:23" x14ac:dyDescent="0.35">
      <c r="A889">
        <v>886</v>
      </c>
      <c r="B889">
        <v>7023</v>
      </c>
      <c r="C889">
        <v>1953</v>
      </c>
      <c r="D889" s="1" t="s">
        <v>13</v>
      </c>
      <c r="E889" s="1" t="s">
        <v>11</v>
      </c>
      <c r="F889">
        <v>46231</v>
      </c>
      <c r="G889">
        <v>2</v>
      </c>
      <c r="H889" s="2">
        <v>1</v>
      </c>
      <c r="I889" s="2">
        <v>41239</v>
      </c>
      <c r="J889">
        <v>87</v>
      </c>
      <c r="K889">
        <f>VLOOKUP(B889,purchase_dataset!$B$2:$F$2241,2,FALSE)</f>
        <v>2</v>
      </c>
      <c r="L889">
        <f>VLOOKUP(B889,purchase_dataset!$B$2:$F$2241,3,FALSE)</f>
        <v>5</v>
      </c>
      <c r="M889">
        <f>VLOOKUP(B889,purchase_dataset!$B$2:$F$2241,3,FALSE)</f>
        <v>5</v>
      </c>
      <c r="N889">
        <f>VLOOKUP(B889,purchase_dataset!$B$2:$F$2241,5,FALSE)</f>
        <v>4</v>
      </c>
      <c r="O889" s="5">
        <v>73</v>
      </c>
      <c r="P889" s="4" t="str">
        <f t="shared" si="26"/>
        <v>&gt;50</v>
      </c>
      <c r="Q889" s="4">
        <f>M889+N889</f>
        <v>9</v>
      </c>
      <c r="U889" s="28" t="str" cm="1">
        <f t="array" ref="U889">_xlfn.IFS(F889&lt;30000,"30k",F889&lt;=50000,"30k-50k",F889&lt;=75000,"50k-75k",F889&lt;=100000,"75k-100k",F889&gt;100000,"100k")</f>
        <v>30k-50k</v>
      </c>
      <c r="W889" s="1">
        <f t="shared" si="27"/>
        <v>14</v>
      </c>
    </row>
    <row r="890" spans="1:23" x14ac:dyDescent="0.35">
      <c r="A890">
        <v>887</v>
      </c>
      <c r="B890">
        <v>8086</v>
      </c>
      <c r="C890">
        <v>1959</v>
      </c>
      <c r="D890" s="1" t="s">
        <v>10</v>
      </c>
      <c r="E890" s="1" t="s">
        <v>14</v>
      </c>
      <c r="F890">
        <v>42243</v>
      </c>
      <c r="G890">
        <v>1</v>
      </c>
      <c r="H890" s="2">
        <v>1</v>
      </c>
      <c r="I890" s="2">
        <v>41619</v>
      </c>
      <c r="J890">
        <v>34</v>
      </c>
      <c r="K890">
        <f>VLOOKUP(B890,purchase_dataset!$B$2:$F$2241,2,FALSE)</f>
        <v>0</v>
      </c>
      <c r="L890">
        <f>VLOOKUP(B890,purchase_dataset!$B$2:$F$2241,3,FALSE)</f>
        <v>0</v>
      </c>
      <c r="M890">
        <f>VLOOKUP(B890,purchase_dataset!$B$2:$F$2241,3,FALSE)</f>
        <v>0</v>
      </c>
      <c r="N890">
        <f>VLOOKUP(B890,purchase_dataset!$B$2:$F$2241,5,FALSE)</f>
        <v>3</v>
      </c>
      <c r="O890" s="5">
        <v>67</v>
      </c>
      <c r="P890" s="4" t="str">
        <f t="shared" si="26"/>
        <v>&gt;50</v>
      </c>
      <c r="Q890" s="4">
        <f>M890+N890</f>
        <v>3</v>
      </c>
      <c r="U890" s="28" t="str" cm="1">
        <f t="array" ref="U890">_xlfn.IFS(F890&lt;30000,"30k",F890&lt;=50000,"30k-50k",F890&lt;=75000,"50k-75k",F890&lt;=100000,"75k-100k",F890&gt;100000,"100k")</f>
        <v>30k-50k</v>
      </c>
      <c r="W890" s="1">
        <f t="shared" si="27"/>
        <v>13</v>
      </c>
    </row>
    <row r="891" spans="1:23" x14ac:dyDescent="0.35">
      <c r="A891">
        <v>888</v>
      </c>
      <c r="B891">
        <v>8825</v>
      </c>
      <c r="C891">
        <v>1962</v>
      </c>
      <c r="D891" s="1" t="s">
        <v>10</v>
      </c>
      <c r="E891" s="1" t="s">
        <v>12</v>
      </c>
      <c r="F891">
        <v>51195</v>
      </c>
      <c r="G891">
        <v>1</v>
      </c>
      <c r="H891" s="2">
        <v>1</v>
      </c>
      <c r="I891" s="2">
        <v>41365</v>
      </c>
      <c r="J891">
        <v>46</v>
      </c>
      <c r="K891">
        <f>VLOOKUP(B891,purchase_dataset!$B$2:$F$2241,2,FALSE)</f>
        <v>14</v>
      </c>
      <c r="L891">
        <f>VLOOKUP(B891,purchase_dataset!$B$2:$F$2241,3,FALSE)</f>
        <v>24</v>
      </c>
      <c r="M891">
        <f>VLOOKUP(B891,purchase_dataset!$B$2:$F$2241,3,FALSE)</f>
        <v>24</v>
      </c>
      <c r="N891">
        <f>VLOOKUP(B891,purchase_dataset!$B$2:$F$2241,5,FALSE)</f>
        <v>5</v>
      </c>
      <c r="O891" s="5">
        <v>64</v>
      </c>
      <c r="P891" s="4" t="str">
        <f t="shared" si="26"/>
        <v>&gt;50</v>
      </c>
      <c r="Q891" s="4">
        <f>M891+N891</f>
        <v>29</v>
      </c>
      <c r="U891" s="28" t="str" cm="1">
        <f t="array" ref="U891">_xlfn.IFS(F891&lt;30000,"30k",F891&lt;=50000,"30k-50k",F891&lt;=75000,"50k-75k",F891&lt;=100000,"75k-100k",F891&gt;100000,"100k")</f>
        <v>50k-75k</v>
      </c>
      <c r="W891" s="1">
        <f t="shared" si="27"/>
        <v>13</v>
      </c>
    </row>
    <row r="892" spans="1:23" x14ac:dyDescent="0.35">
      <c r="A892">
        <v>889</v>
      </c>
      <c r="B892">
        <v>2930</v>
      </c>
      <c r="C892">
        <v>1978</v>
      </c>
      <c r="D892" s="1" t="s">
        <v>15</v>
      </c>
      <c r="E892" s="1" t="s">
        <v>11</v>
      </c>
      <c r="F892">
        <v>68092</v>
      </c>
      <c r="G892">
        <v>0</v>
      </c>
      <c r="H892" s="2">
        <v>0</v>
      </c>
      <c r="I892" s="2">
        <v>41624</v>
      </c>
      <c r="J892">
        <v>7</v>
      </c>
      <c r="K892">
        <f>VLOOKUP(B892,purchase_dataset!$B$2:$F$2241,2,FALSE)</f>
        <v>60</v>
      </c>
      <c r="L892">
        <f>VLOOKUP(B892,purchase_dataset!$B$2:$F$2241,3,FALSE)</f>
        <v>36</v>
      </c>
      <c r="M892">
        <f>VLOOKUP(B892,purchase_dataset!$B$2:$F$2241,3,FALSE)</f>
        <v>36</v>
      </c>
      <c r="N892">
        <f>VLOOKUP(B892,purchase_dataset!$B$2:$F$2241,5,FALSE)</f>
        <v>10</v>
      </c>
      <c r="O892" s="5">
        <v>48</v>
      </c>
      <c r="P892" s="4" t="str">
        <f t="shared" si="26"/>
        <v>30-50</v>
      </c>
      <c r="Q892" s="4">
        <f>M892+N892</f>
        <v>46</v>
      </c>
      <c r="U892" s="28" t="str" cm="1">
        <f t="array" ref="U892">_xlfn.IFS(F892&lt;30000,"30k",F892&lt;=50000,"30k-50k",F892&lt;=75000,"50k-75k",F892&lt;=100000,"75k-100k",F892&gt;100000,"100k")</f>
        <v>50k-75k</v>
      </c>
      <c r="W892" s="1">
        <f t="shared" si="27"/>
        <v>13</v>
      </c>
    </row>
    <row r="893" spans="1:23" x14ac:dyDescent="0.35">
      <c r="A893">
        <v>890</v>
      </c>
      <c r="B893">
        <v>1928</v>
      </c>
      <c r="C893">
        <v>1973</v>
      </c>
      <c r="D893" s="1" t="s">
        <v>10</v>
      </c>
      <c r="E893" s="1" t="s">
        <v>14</v>
      </c>
      <c r="F893">
        <v>31814</v>
      </c>
      <c r="G893">
        <v>1</v>
      </c>
      <c r="H893" s="2">
        <v>0</v>
      </c>
      <c r="I893" s="2">
        <v>41314</v>
      </c>
      <c r="J893">
        <v>73</v>
      </c>
      <c r="K893">
        <f>VLOOKUP(B893,purchase_dataset!$B$2:$F$2241,2,FALSE)</f>
        <v>3</v>
      </c>
      <c r="L893">
        <f>VLOOKUP(B893,purchase_dataset!$B$2:$F$2241,3,FALSE)</f>
        <v>1</v>
      </c>
      <c r="M893">
        <f>VLOOKUP(B893,purchase_dataset!$B$2:$F$2241,3,FALSE)</f>
        <v>1</v>
      </c>
      <c r="N893">
        <f>VLOOKUP(B893,purchase_dataset!$B$2:$F$2241,5,FALSE)</f>
        <v>3</v>
      </c>
      <c r="O893" s="5">
        <v>53</v>
      </c>
      <c r="P893" s="4" t="str">
        <f t="shared" si="26"/>
        <v>&gt;50</v>
      </c>
      <c r="Q893" s="4">
        <f>M893+N893</f>
        <v>4</v>
      </c>
      <c r="U893" s="28" t="str" cm="1">
        <f t="array" ref="U893">_xlfn.IFS(F893&lt;30000,"30k",F893&lt;=50000,"30k-50k",F893&lt;=75000,"50k-75k",F893&lt;=100000,"75k-100k",F893&gt;100000,"100k")</f>
        <v>30k-50k</v>
      </c>
      <c r="W893" s="1">
        <f t="shared" si="27"/>
        <v>13</v>
      </c>
    </row>
    <row r="894" spans="1:23" x14ac:dyDescent="0.35">
      <c r="A894">
        <v>891</v>
      </c>
      <c r="B894">
        <v>7108</v>
      </c>
      <c r="C894">
        <v>1965</v>
      </c>
      <c r="D894" s="1" t="s">
        <v>15</v>
      </c>
      <c r="E894" s="1" t="s">
        <v>19</v>
      </c>
      <c r="F894">
        <v>51390</v>
      </c>
      <c r="G894">
        <v>1</v>
      </c>
      <c r="H894" s="2">
        <v>1</v>
      </c>
      <c r="I894" s="2">
        <v>41160</v>
      </c>
      <c r="J894">
        <v>54</v>
      </c>
      <c r="K894">
        <f>VLOOKUP(B894,purchase_dataset!$B$2:$F$2241,2,FALSE)</f>
        <v>20</v>
      </c>
      <c r="L894">
        <f>VLOOKUP(B894,purchase_dataset!$B$2:$F$2241,3,FALSE)</f>
        <v>2</v>
      </c>
      <c r="M894">
        <f>VLOOKUP(B894,purchase_dataset!$B$2:$F$2241,3,FALSE)</f>
        <v>2</v>
      </c>
      <c r="N894">
        <f>VLOOKUP(B894,purchase_dataset!$B$2:$F$2241,5,FALSE)</f>
        <v>5</v>
      </c>
      <c r="O894" s="5">
        <v>61</v>
      </c>
      <c r="P894" s="4" t="str">
        <f t="shared" si="26"/>
        <v>&gt;50</v>
      </c>
      <c r="Q894" s="4">
        <f>M894+N894</f>
        <v>7</v>
      </c>
      <c r="U894" s="28" t="str" cm="1">
        <f t="array" ref="U894">_xlfn.IFS(F894&lt;30000,"30k",F894&lt;=50000,"30k-50k",F894&lt;=75000,"50k-75k",F894&lt;=100000,"75k-100k",F894&gt;100000,"100k")</f>
        <v>50k-75k</v>
      </c>
      <c r="W894" s="1">
        <f t="shared" si="27"/>
        <v>14</v>
      </c>
    </row>
    <row r="895" spans="1:23" x14ac:dyDescent="0.35">
      <c r="A895">
        <v>892</v>
      </c>
      <c r="B895">
        <v>10925</v>
      </c>
      <c r="C895">
        <v>1983</v>
      </c>
      <c r="D895" s="1" t="s">
        <v>10</v>
      </c>
      <c r="E895" s="1" t="s">
        <v>14</v>
      </c>
      <c r="F895">
        <v>76630</v>
      </c>
      <c r="G895">
        <v>0</v>
      </c>
      <c r="H895" s="2">
        <v>0</v>
      </c>
      <c r="I895" s="2">
        <v>41653</v>
      </c>
      <c r="J895">
        <v>93</v>
      </c>
      <c r="K895">
        <f>VLOOKUP(B895,purchase_dataset!$B$2:$F$2241,2,FALSE)</f>
        <v>31</v>
      </c>
      <c r="L895">
        <f>VLOOKUP(B895,purchase_dataset!$B$2:$F$2241,3,FALSE)</f>
        <v>56</v>
      </c>
      <c r="M895">
        <f>VLOOKUP(B895,purchase_dataset!$B$2:$F$2241,3,FALSE)</f>
        <v>56</v>
      </c>
      <c r="N895">
        <f>VLOOKUP(B895,purchase_dataset!$B$2:$F$2241,5,FALSE)</f>
        <v>11</v>
      </c>
      <c r="O895" s="5">
        <v>43</v>
      </c>
      <c r="P895" s="4" t="str">
        <f t="shared" si="26"/>
        <v>30-50</v>
      </c>
      <c r="Q895" s="4">
        <f>M895+N895</f>
        <v>67</v>
      </c>
      <c r="U895" s="28" t="str" cm="1">
        <f t="array" ref="U895">_xlfn.IFS(F895&lt;30000,"30k",F895&lt;=50000,"30k-50k",F895&lt;=75000,"50k-75k",F895&lt;=100000,"75k-100k",F895&gt;100000,"100k")</f>
        <v>75k-100k</v>
      </c>
      <c r="W895" s="1">
        <f t="shared" si="27"/>
        <v>12</v>
      </c>
    </row>
    <row r="896" spans="1:23" x14ac:dyDescent="0.35">
      <c r="A896">
        <v>893</v>
      </c>
      <c r="B896">
        <v>9960</v>
      </c>
      <c r="C896">
        <v>1991</v>
      </c>
      <c r="D896" s="1" t="s">
        <v>17</v>
      </c>
      <c r="E896" s="1" t="s">
        <v>11</v>
      </c>
      <c r="F896">
        <v>26868</v>
      </c>
      <c r="G896">
        <v>1</v>
      </c>
      <c r="H896" s="2">
        <v>0</v>
      </c>
      <c r="I896" s="2">
        <v>41759</v>
      </c>
      <c r="J896">
        <v>52</v>
      </c>
      <c r="K896">
        <f>VLOOKUP(B896,purchase_dataset!$B$2:$F$2241,2,FALSE)</f>
        <v>0</v>
      </c>
      <c r="L896">
        <f>VLOOKUP(B896,purchase_dataset!$B$2:$F$2241,3,FALSE)</f>
        <v>3</v>
      </c>
      <c r="M896">
        <f>VLOOKUP(B896,purchase_dataset!$B$2:$F$2241,3,FALSE)</f>
        <v>3</v>
      </c>
      <c r="N896">
        <f>VLOOKUP(B896,purchase_dataset!$B$2:$F$2241,5,FALSE)</f>
        <v>2</v>
      </c>
      <c r="O896" s="5">
        <v>35</v>
      </c>
      <c r="P896" s="4" t="str">
        <f t="shared" si="26"/>
        <v>30-50</v>
      </c>
      <c r="Q896" s="4">
        <f>M896+N896</f>
        <v>5</v>
      </c>
      <c r="U896" s="28" t="str" cm="1">
        <f t="array" ref="U896">_xlfn.IFS(F896&lt;30000,"30k",F896&lt;=50000,"30k-50k",F896&lt;=75000,"50k-75k",F896&lt;=100000,"75k-100k",F896&gt;100000,"100k")</f>
        <v>30k</v>
      </c>
      <c r="W896" s="1">
        <f t="shared" si="27"/>
        <v>12</v>
      </c>
    </row>
    <row r="897" spans="1:23" x14ac:dyDescent="0.35">
      <c r="A897">
        <v>894</v>
      </c>
      <c r="B897">
        <v>8800</v>
      </c>
      <c r="C897">
        <v>1943</v>
      </c>
      <c r="D897" s="1" t="s">
        <v>13</v>
      </c>
      <c r="E897" s="1" t="s">
        <v>16</v>
      </c>
      <c r="F897">
        <v>48948</v>
      </c>
      <c r="G897">
        <v>0</v>
      </c>
      <c r="H897" s="2">
        <v>0</v>
      </c>
      <c r="I897" s="2">
        <v>41306</v>
      </c>
      <c r="J897">
        <v>53</v>
      </c>
      <c r="K897">
        <f>VLOOKUP(B897,purchase_dataset!$B$2:$F$2241,2,FALSE)</f>
        <v>8</v>
      </c>
      <c r="L897">
        <f>VLOOKUP(B897,purchase_dataset!$B$2:$F$2241,3,FALSE)</f>
        <v>49</v>
      </c>
      <c r="M897">
        <f>VLOOKUP(B897,purchase_dataset!$B$2:$F$2241,3,FALSE)</f>
        <v>49</v>
      </c>
      <c r="N897">
        <f>VLOOKUP(B897,purchase_dataset!$B$2:$F$2241,5,FALSE)</f>
        <v>5</v>
      </c>
      <c r="O897" s="5">
        <v>83</v>
      </c>
      <c r="P897" s="4" t="str">
        <f t="shared" si="26"/>
        <v>&gt;50</v>
      </c>
      <c r="Q897" s="4">
        <f>M897+N897</f>
        <v>54</v>
      </c>
      <c r="U897" s="28" t="str" cm="1">
        <f t="array" ref="U897">_xlfn.IFS(F897&lt;30000,"30k",F897&lt;=50000,"30k-50k",F897&lt;=75000,"50k-75k",F897&lt;=100000,"75k-100k",F897&gt;100000,"100k")</f>
        <v>30k-50k</v>
      </c>
      <c r="W897" s="1">
        <f t="shared" si="27"/>
        <v>13</v>
      </c>
    </row>
    <row r="898" spans="1:23" x14ac:dyDescent="0.35">
      <c r="A898">
        <v>895</v>
      </c>
      <c r="B898">
        <v>9224</v>
      </c>
      <c r="C898">
        <v>1972</v>
      </c>
      <c r="D898" s="1" t="s">
        <v>13</v>
      </c>
      <c r="E898" s="1" t="s">
        <v>11</v>
      </c>
      <c r="F898">
        <v>55260</v>
      </c>
      <c r="G898">
        <v>0</v>
      </c>
      <c r="H898" s="2">
        <v>1</v>
      </c>
      <c r="I898" s="2">
        <v>41255</v>
      </c>
      <c r="J898">
        <v>81</v>
      </c>
      <c r="K898">
        <f>VLOOKUP(B898,purchase_dataset!$B$2:$F$2241,2,FALSE)</f>
        <v>8</v>
      </c>
      <c r="L898">
        <f>VLOOKUP(B898,purchase_dataset!$B$2:$F$2241,3,FALSE)</f>
        <v>0</v>
      </c>
      <c r="M898">
        <f>VLOOKUP(B898,purchase_dataset!$B$2:$F$2241,3,FALSE)</f>
        <v>0</v>
      </c>
      <c r="N898">
        <f>VLOOKUP(B898,purchase_dataset!$B$2:$F$2241,5,FALSE)</f>
        <v>5</v>
      </c>
      <c r="O898" s="5">
        <v>54</v>
      </c>
      <c r="P898" s="4" t="str">
        <f t="shared" si="26"/>
        <v>&gt;50</v>
      </c>
      <c r="Q898" s="4">
        <f>M898+N898</f>
        <v>5</v>
      </c>
      <c r="U898" s="28" t="str" cm="1">
        <f t="array" ref="U898">_xlfn.IFS(F898&lt;30000,"30k",F898&lt;=50000,"30k-50k",F898&lt;=75000,"50k-75k",F898&lt;=100000,"75k-100k",F898&gt;100000,"100k")</f>
        <v>50k-75k</v>
      </c>
      <c r="W898" s="1">
        <f t="shared" si="27"/>
        <v>14</v>
      </c>
    </row>
    <row r="899" spans="1:23" x14ac:dyDescent="0.35">
      <c r="A899">
        <v>896</v>
      </c>
      <c r="B899">
        <v>5519</v>
      </c>
      <c r="C899">
        <v>1956</v>
      </c>
      <c r="D899" s="1" t="s">
        <v>10</v>
      </c>
      <c r="E899" s="1" t="s">
        <v>12</v>
      </c>
      <c r="F899">
        <v>64090</v>
      </c>
      <c r="G899">
        <v>0</v>
      </c>
      <c r="H899" s="2">
        <v>1</v>
      </c>
      <c r="I899" s="2">
        <v>41493</v>
      </c>
      <c r="J899">
        <v>8</v>
      </c>
      <c r="K899">
        <f>VLOOKUP(B899,purchase_dataset!$B$2:$F$2241,2,FALSE)</f>
        <v>58</v>
      </c>
      <c r="L899">
        <f>VLOOKUP(B899,purchase_dataset!$B$2:$F$2241,3,FALSE)</f>
        <v>51</v>
      </c>
      <c r="M899">
        <f>VLOOKUP(B899,purchase_dataset!$B$2:$F$2241,3,FALSE)</f>
        <v>51</v>
      </c>
      <c r="N899">
        <f>VLOOKUP(B899,purchase_dataset!$B$2:$F$2241,5,FALSE)</f>
        <v>4</v>
      </c>
      <c r="O899" s="5">
        <v>70</v>
      </c>
      <c r="P899" s="4" t="str">
        <f t="shared" si="26"/>
        <v>&gt;50</v>
      </c>
      <c r="Q899" s="4">
        <f>M899+N899</f>
        <v>55</v>
      </c>
      <c r="U899" s="28" t="str" cm="1">
        <f t="array" ref="U899">_xlfn.IFS(F899&lt;30000,"30k",F899&lt;=50000,"30k-50k",F899&lt;=75000,"50k-75k",F899&lt;=100000,"75k-100k",F899&gt;100000,"100k")</f>
        <v>50k-75k</v>
      </c>
      <c r="W899" s="1">
        <f t="shared" si="27"/>
        <v>13</v>
      </c>
    </row>
    <row r="900" spans="1:23" x14ac:dyDescent="0.35">
      <c r="A900">
        <v>897</v>
      </c>
      <c r="B900">
        <v>5046</v>
      </c>
      <c r="C900">
        <v>1958</v>
      </c>
      <c r="D900" s="1" t="s">
        <v>10</v>
      </c>
      <c r="E900" s="1" t="s">
        <v>16</v>
      </c>
      <c r="F900">
        <v>78331</v>
      </c>
      <c r="G900">
        <v>0</v>
      </c>
      <c r="H900" s="2">
        <v>1</v>
      </c>
      <c r="I900" s="2">
        <v>41662</v>
      </c>
      <c r="J900">
        <v>97</v>
      </c>
      <c r="K900">
        <f>VLOOKUP(B900,purchase_dataset!$B$2:$F$2241,2,FALSE)</f>
        <v>138</v>
      </c>
      <c r="L900">
        <f>VLOOKUP(B900,purchase_dataset!$B$2:$F$2241,3,FALSE)</f>
        <v>169</v>
      </c>
      <c r="M900">
        <f>VLOOKUP(B900,purchase_dataset!$B$2:$F$2241,3,FALSE)</f>
        <v>169</v>
      </c>
      <c r="N900">
        <f>VLOOKUP(B900,purchase_dataset!$B$2:$F$2241,5,FALSE)</f>
        <v>7</v>
      </c>
      <c r="O900" s="5">
        <v>68</v>
      </c>
      <c r="P900" s="4" t="str">
        <f t="shared" ref="P900:P963" si="28">IF(O900&lt;30,"30",IF(O900&lt;=50,"30-50","&gt;50"))</f>
        <v>&gt;50</v>
      </c>
      <c r="Q900" s="4">
        <f>M900+N900</f>
        <v>176</v>
      </c>
      <c r="U900" s="28" t="str" cm="1">
        <f t="array" ref="U900">_xlfn.IFS(F900&lt;30000,"30k",F900&lt;=50000,"30k-50k",F900&lt;=75000,"50k-75k",F900&lt;=100000,"75k-100k",F900&gt;100000,"100k")</f>
        <v>75k-100k</v>
      </c>
      <c r="W900" s="1">
        <f t="shared" ref="W900:W963" si="29">2026-YEAR(I900)</f>
        <v>12</v>
      </c>
    </row>
    <row r="901" spans="1:23" x14ac:dyDescent="0.35">
      <c r="A901">
        <v>898</v>
      </c>
      <c r="B901">
        <v>7037</v>
      </c>
      <c r="C901">
        <v>1974</v>
      </c>
      <c r="D901" s="1" t="s">
        <v>13</v>
      </c>
      <c r="E901" s="1" t="s">
        <v>14</v>
      </c>
      <c r="F901">
        <v>37087</v>
      </c>
      <c r="G901">
        <v>1</v>
      </c>
      <c r="H901" s="2">
        <v>0</v>
      </c>
      <c r="I901" s="2">
        <v>41497</v>
      </c>
      <c r="J901">
        <v>50</v>
      </c>
      <c r="K901">
        <f>VLOOKUP(B901,purchase_dataset!$B$2:$F$2241,2,FALSE)</f>
        <v>55</v>
      </c>
      <c r="L901">
        <f>VLOOKUP(B901,purchase_dataset!$B$2:$F$2241,3,FALSE)</f>
        <v>0</v>
      </c>
      <c r="M901">
        <f>VLOOKUP(B901,purchase_dataset!$B$2:$F$2241,3,FALSE)</f>
        <v>0</v>
      </c>
      <c r="N901">
        <f>VLOOKUP(B901,purchase_dataset!$B$2:$F$2241,5,FALSE)</f>
        <v>8</v>
      </c>
      <c r="O901" s="5">
        <v>52</v>
      </c>
      <c r="P901" s="4" t="str">
        <f t="shared" si="28"/>
        <v>&gt;50</v>
      </c>
      <c r="Q901" s="4">
        <f>M901+N901</f>
        <v>8</v>
      </c>
      <c r="U901" s="28" t="str" cm="1">
        <f t="array" ref="U901">_xlfn.IFS(F901&lt;30000,"30k",F901&lt;=50000,"30k-50k",F901&lt;=75000,"50k-75k",F901&lt;=100000,"75k-100k",F901&gt;100000,"100k")</f>
        <v>30k-50k</v>
      </c>
      <c r="W901" s="1">
        <f t="shared" si="29"/>
        <v>13</v>
      </c>
    </row>
    <row r="902" spans="1:23" x14ac:dyDescent="0.35">
      <c r="A902">
        <v>899</v>
      </c>
      <c r="B902">
        <v>905</v>
      </c>
      <c r="C902">
        <v>1986</v>
      </c>
      <c r="D902" s="1" t="s">
        <v>10</v>
      </c>
      <c r="E902" s="1" t="s">
        <v>16</v>
      </c>
      <c r="F902">
        <v>21846</v>
      </c>
      <c r="G902">
        <v>1</v>
      </c>
      <c r="H902" s="2">
        <v>0</v>
      </c>
      <c r="I902" s="2">
        <v>41569</v>
      </c>
      <c r="J902">
        <v>38</v>
      </c>
      <c r="K902">
        <f>VLOOKUP(B902,purchase_dataset!$B$2:$F$2241,2,FALSE)</f>
        <v>17</v>
      </c>
      <c r="L902">
        <f>VLOOKUP(B902,purchase_dataset!$B$2:$F$2241,3,FALSE)</f>
        <v>10</v>
      </c>
      <c r="M902">
        <f>VLOOKUP(B902,purchase_dataset!$B$2:$F$2241,3,FALSE)</f>
        <v>10</v>
      </c>
      <c r="N902">
        <f>VLOOKUP(B902,purchase_dataset!$B$2:$F$2241,5,FALSE)</f>
        <v>3</v>
      </c>
      <c r="O902" s="5">
        <v>40</v>
      </c>
      <c r="P902" s="4" t="str">
        <f t="shared" si="28"/>
        <v>30-50</v>
      </c>
      <c r="Q902" s="4">
        <f>M902+N902</f>
        <v>13</v>
      </c>
      <c r="U902" s="28" t="str" cm="1">
        <f t="array" ref="U902">_xlfn.IFS(F902&lt;30000,"30k",F902&lt;=50000,"30k-50k",F902&lt;=75000,"50k-75k",F902&lt;=100000,"75k-100k",F902&gt;100000,"100k")</f>
        <v>30k</v>
      </c>
      <c r="W902" s="1">
        <f t="shared" si="29"/>
        <v>13</v>
      </c>
    </row>
    <row r="903" spans="1:23" x14ac:dyDescent="0.35">
      <c r="A903">
        <v>900</v>
      </c>
      <c r="B903">
        <v>8624</v>
      </c>
      <c r="C903">
        <v>1958</v>
      </c>
      <c r="D903" s="1" t="s">
        <v>10</v>
      </c>
      <c r="E903" s="1" t="s">
        <v>14</v>
      </c>
      <c r="F903">
        <v>81320</v>
      </c>
      <c r="G903">
        <v>0</v>
      </c>
      <c r="H903" s="2">
        <v>0</v>
      </c>
      <c r="I903" s="2">
        <v>41311</v>
      </c>
      <c r="J903">
        <v>61</v>
      </c>
      <c r="K903">
        <f>VLOOKUP(B903,purchase_dataset!$B$2:$F$2241,2,FALSE)</f>
        <v>33</v>
      </c>
      <c r="L903">
        <f>VLOOKUP(B903,purchase_dataset!$B$2:$F$2241,3,FALSE)</f>
        <v>103</v>
      </c>
      <c r="M903">
        <f>VLOOKUP(B903,purchase_dataset!$B$2:$F$2241,3,FALSE)</f>
        <v>103</v>
      </c>
      <c r="N903">
        <f>VLOOKUP(B903,purchase_dataset!$B$2:$F$2241,5,FALSE)</f>
        <v>10</v>
      </c>
      <c r="O903" s="5">
        <v>68</v>
      </c>
      <c r="P903" s="4" t="str">
        <f t="shared" si="28"/>
        <v>&gt;50</v>
      </c>
      <c r="Q903" s="4">
        <f>M903+N903</f>
        <v>113</v>
      </c>
      <c r="U903" s="28" t="str" cm="1">
        <f t="array" ref="U903">_xlfn.IFS(F903&lt;30000,"30k",F903&lt;=50000,"30k-50k",F903&lt;=75000,"50k-75k",F903&lt;=100000,"75k-100k",F903&gt;100000,"100k")</f>
        <v>75k-100k</v>
      </c>
      <c r="W903" s="1">
        <f t="shared" si="29"/>
        <v>13</v>
      </c>
    </row>
    <row r="904" spans="1:23" x14ac:dyDescent="0.35">
      <c r="A904">
        <v>901</v>
      </c>
      <c r="B904">
        <v>8945</v>
      </c>
      <c r="C904">
        <v>1970</v>
      </c>
      <c r="D904" s="1" t="s">
        <v>10</v>
      </c>
      <c r="E904" s="1" t="s">
        <v>16</v>
      </c>
      <c r="F904">
        <v>54137</v>
      </c>
      <c r="G904">
        <v>0</v>
      </c>
      <c r="H904" s="2">
        <v>1</v>
      </c>
      <c r="I904" s="2">
        <v>41502</v>
      </c>
      <c r="J904">
        <v>46</v>
      </c>
      <c r="K904">
        <f>VLOOKUP(B904,purchase_dataset!$B$2:$F$2241,2,FALSE)</f>
        <v>0</v>
      </c>
      <c r="L904">
        <f>VLOOKUP(B904,purchase_dataset!$B$2:$F$2241,3,FALSE)</f>
        <v>1</v>
      </c>
      <c r="M904">
        <f>VLOOKUP(B904,purchase_dataset!$B$2:$F$2241,3,FALSE)</f>
        <v>1</v>
      </c>
      <c r="N904">
        <f>VLOOKUP(B904,purchase_dataset!$B$2:$F$2241,5,FALSE)</f>
        <v>4</v>
      </c>
      <c r="O904" s="5">
        <v>56</v>
      </c>
      <c r="P904" s="4" t="str">
        <f t="shared" si="28"/>
        <v>&gt;50</v>
      </c>
      <c r="Q904" s="4">
        <f>M904+N904</f>
        <v>5</v>
      </c>
      <c r="U904" s="28" t="str" cm="1">
        <f t="array" ref="U904">_xlfn.IFS(F904&lt;30000,"30k",F904&lt;=50000,"30k-50k",F904&lt;=75000,"50k-75k",F904&lt;=100000,"75k-100k",F904&gt;100000,"100k")</f>
        <v>50k-75k</v>
      </c>
      <c r="W904" s="1">
        <f t="shared" si="29"/>
        <v>13</v>
      </c>
    </row>
    <row r="905" spans="1:23" x14ac:dyDescent="0.35">
      <c r="A905">
        <v>902</v>
      </c>
      <c r="B905">
        <v>6445</v>
      </c>
      <c r="C905">
        <v>1967</v>
      </c>
      <c r="D905" s="1" t="s">
        <v>10</v>
      </c>
      <c r="E905" s="1" t="s">
        <v>12</v>
      </c>
      <c r="F905">
        <v>66825</v>
      </c>
      <c r="G905">
        <v>0</v>
      </c>
      <c r="H905" s="2">
        <v>0</v>
      </c>
      <c r="I905" s="2">
        <v>41469</v>
      </c>
      <c r="J905">
        <v>73</v>
      </c>
      <c r="K905">
        <f>VLOOKUP(B905,purchase_dataset!$B$2:$F$2241,2,FALSE)</f>
        <v>101</v>
      </c>
      <c r="L905">
        <f>VLOOKUP(B905,purchase_dataset!$B$2:$F$2241,3,FALSE)</f>
        <v>40</v>
      </c>
      <c r="M905">
        <f>VLOOKUP(B905,purchase_dataset!$B$2:$F$2241,3,FALSE)</f>
        <v>40</v>
      </c>
      <c r="N905">
        <f>VLOOKUP(B905,purchase_dataset!$B$2:$F$2241,5,FALSE)</f>
        <v>6</v>
      </c>
      <c r="O905" s="5">
        <v>59</v>
      </c>
      <c r="P905" s="4" t="str">
        <f t="shared" si="28"/>
        <v>&gt;50</v>
      </c>
      <c r="Q905" s="4">
        <f>M905+N905</f>
        <v>46</v>
      </c>
      <c r="U905" s="28" t="str" cm="1">
        <f t="array" ref="U905">_xlfn.IFS(F905&lt;30000,"30k",F905&lt;=50000,"30k-50k",F905&lt;=75000,"50k-75k",F905&lt;=100000,"75k-100k",F905&gt;100000,"100k")</f>
        <v>50k-75k</v>
      </c>
      <c r="W905" s="1">
        <f t="shared" si="29"/>
        <v>13</v>
      </c>
    </row>
    <row r="906" spans="1:23" x14ac:dyDescent="0.35">
      <c r="A906">
        <v>903</v>
      </c>
      <c r="B906">
        <v>2727</v>
      </c>
      <c r="C906">
        <v>1973</v>
      </c>
      <c r="D906" s="1" t="s">
        <v>10</v>
      </c>
      <c r="E906" s="1" t="s">
        <v>12</v>
      </c>
      <c r="F906">
        <v>57100</v>
      </c>
      <c r="G906">
        <v>0</v>
      </c>
      <c r="H906" s="2">
        <v>0</v>
      </c>
      <c r="I906" s="2">
        <v>41612</v>
      </c>
      <c r="J906">
        <v>19</v>
      </c>
      <c r="K906">
        <f>VLOOKUP(B906,purchase_dataset!$B$2:$F$2241,2,FALSE)</f>
        <v>21</v>
      </c>
      <c r="L906">
        <f>VLOOKUP(B906,purchase_dataset!$B$2:$F$2241,3,FALSE)</f>
        <v>3</v>
      </c>
      <c r="M906">
        <f>VLOOKUP(B906,purchase_dataset!$B$2:$F$2241,3,FALSE)</f>
        <v>3</v>
      </c>
      <c r="N906">
        <f>VLOOKUP(B906,purchase_dataset!$B$2:$F$2241,5,FALSE)</f>
        <v>6</v>
      </c>
      <c r="O906" s="5">
        <v>53</v>
      </c>
      <c r="P906" s="4" t="str">
        <f t="shared" si="28"/>
        <v>&gt;50</v>
      </c>
      <c r="Q906" s="4">
        <f>M906+N906</f>
        <v>9</v>
      </c>
      <c r="U906" s="28" t="str" cm="1">
        <f t="array" ref="U906">_xlfn.IFS(F906&lt;30000,"30k",F906&lt;=50000,"30k-50k",F906&lt;=75000,"50k-75k",F906&lt;=100000,"75k-100k",F906&gt;100000,"100k")</f>
        <v>50k-75k</v>
      </c>
      <c r="W906" s="1">
        <f t="shared" si="29"/>
        <v>13</v>
      </c>
    </row>
    <row r="907" spans="1:23" x14ac:dyDescent="0.35">
      <c r="A907">
        <v>904</v>
      </c>
      <c r="B907">
        <v>6404</v>
      </c>
      <c r="C907">
        <v>1969</v>
      </c>
      <c r="D907" s="1" t="s">
        <v>10</v>
      </c>
      <c r="E907" s="1" t="s">
        <v>12</v>
      </c>
      <c r="F907">
        <v>58917</v>
      </c>
      <c r="G907">
        <v>1</v>
      </c>
      <c r="H907" s="2">
        <v>2</v>
      </c>
      <c r="I907" s="2">
        <v>41357</v>
      </c>
      <c r="J907">
        <v>10</v>
      </c>
      <c r="K907">
        <f>VLOOKUP(B907,purchase_dataset!$B$2:$F$2241,2,FALSE)</f>
        <v>7</v>
      </c>
      <c r="L907">
        <f>VLOOKUP(B907,purchase_dataset!$B$2:$F$2241,3,FALSE)</f>
        <v>7</v>
      </c>
      <c r="M907">
        <f>VLOOKUP(B907,purchase_dataset!$B$2:$F$2241,3,FALSE)</f>
        <v>7</v>
      </c>
      <c r="N907">
        <f>VLOOKUP(B907,purchase_dataset!$B$2:$F$2241,5,FALSE)</f>
        <v>6</v>
      </c>
      <c r="O907" s="5">
        <v>57</v>
      </c>
      <c r="P907" s="4" t="str">
        <f t="shared" si="28"/>
        <v>&gt;50</v>
      </c>
      <c r="Q907" s="4">
        <f>M907+N907</f>
        <v>13</v>
      </c>
      <c r="U907" s="28" t="str" cm="1">
        <f t="array" ref="U907">_xlfn.IFS(F907&lt;30000,"30k",F907&lt;=50000,"30k-50k",F907&lt;=75000,"50k-75k",F907&lt;=100000,"75k-100k",F907&gt;100000,"100k")</f>
        <v>50k-75k</v>
      </c>
      <c r="W907" s="1">
        <f t="shared" si="29"/>
        <v>13</v>
      </c>
    </row>
    <row r="908" spans="1:23" x14ac:dyDescent="0.35">
      <c r="A908">
        <v>905</v>
      </c>
      <c r="B908">
        <v>11074</v>
      </c>
      <c r="C908">
        <v>1977</v>
      </c>
      <c r="D908" s="1" t="s">
        <v>10</v>
      </c>
      <c r="E908" s="1" t="s">
        <v>11</v>
      </c>
      <c r="F908">
        <v>85072</v>
      </c>
      <c r="G908">
        <v>0</v>
      </c>
      <c r="H908" s="2">
        <v>0</v>
      </c>
      <c r="I908" s="2">
        <v>41738</v>
      </c>
      <c r="J908">
        <v>94</v>
      </c>
      <c r="K908">
        <f>VLOOKUP(B908,purchase_dataset!$B$2:$F$2241,2,FALSE)</f>
        <v>92</v>
      </c>
      <c r="L908">
        <f>VLOOKUP(B908,purchase_dataset!$B$2:$F$2241,3,FALSE)</f>
        <v>11</v>
      </c>
      <c r="M908">
        <f>VLOOKUP(B908,purchase_dataset!$B$2:$F$2241,3,FALSE)</f>
        <v>11</v>
      </c>
      <c r="N908">
        <f>VLOOKUP(B908,purchase_dataset!$B$2:$F$2241,5,FALSE)</f>
        <v>10</v>
      </c>
      <c r="O908" s="5">
        <v>49</v>
      </c>
      <c r="P908" s="4" t="str">
        <f t="shared" si="28"/>
        <v>30-50</v>
      </c>
      <c r="Q908" s="4">
        <f>M908+N908</f>
        <v>21</v>
      </c>
      <c r="U908" s="28" t="str" cm="1">
        <f t="array" ref="U908">_xlfn.IFS(F908&lt;30000,"30k",F908&lt;=50000,"30k-50k",F908&lt;=75000,"50k-75k",F908&lt;=100000,"75k-100k",F908&gt;100000,"100k")</f>
        <v>75k-100k</v>
      </c>
      <c r="W908" s="1">
        <f t="shared" si="29"/>
        <v>12</v>
      </c>
    </row>
    <row r="909" spans="1:23" x14ac:dyDescent="0.35">
      <c r="A909">
        <v>906</v>
      </c>
      <c r="B909">
        <v>10150</v>
      </c>
      <c r="C909">
        <v>1961</v>
      </c>
      <c r="D909" s="1" t="s">
        <v>10</v>
      </c>
      <c r="E909" s="1" t="s">
        <v>11</v>
      </c>
      <c r="F909">
        <v>86429</v>
      </c>
      <c r="G909">
        <v>0</v>
      </c>
      <c r="H909" s="2">
        <v>0</v>
      </c>
      <c r="I909" s="2">
        <v>41599</v>
      </c>
      <c r="J909">
        <v>10</v>
      </c>
      <c r="K909">
        <f>VLOOKUP(B909,purchase_dataset!$B$2:$F$2241,2,FALSE)</f>
        <v>28</v>
      </c>
      <c r="L909">
        <f>VLOOKUP(B909,purchase_dataset!$B$2:$F$2241,3,FALSE)</f>
        <v>18</v>
      </c>
      <c r="M909">
        <f>VLOOKUP(B909,purchase_dataset!$B$2:$F$2241,3,FALSE)</f>
        <v>18</v>
      </c>
      <c r="N909">
        <f>VLOOKUP(B909,purchase_dataset!$B$2:$F$2241,5,FALSE)</f>
        <v>7</v>
      </c>
      <c r="O909" s="5">
        <v>65</v>
      </c>
      <c r="P909" s="4" t="str">
        <f t="shared" si="28"/>
        <v>&gt;50</v>
      </c>
      <c r="Q909" s="4">
        <f>M909+N909</f>
        <v>25</v>
      </c>
      <c r="U909" s="28" t="str" cm="1">
        <f t="array" ref="U909">_xlfn.IFS(F909&lt;30000,"30k",F909&lt;=50000,"30k-50k",F909&lt;=75000,"50k-75k",F909&lt;=100000,"75k-100k",F909&gt;100000,"100k")</f>
        <v>75k-100k</v>
      </c>
      <c r="W909" s="1">
        <f t="shared" si="29"/>
        <v>13</v>
      </c>
    </row>
    <row r="910" spans="1:23" x14ac:dyDescent="0.35">
      <c r="A910">
        <v>907</v>
      </c>
      <c r="B910">
        <v>1968</v>
      </c>
      <c r="C910">
        <v>1971</v>
      </c>
      <c r="D910" s="1" t="s">
        <v>10</v>
      </c>
      <c r="E910" s="1" t="s">
        <v>19</v>
      </c>
      <c r="F910">
        <v>45684</v>
      </c>
      <c r="G910">
        <v>1</v>
      </c>
      <c r="H910" s="2">
        <v>0</v>
      </c>
      <c r="I910" s="2">
        <v>41610</v>
      </c>
      <c r="J910">
        <v>37</v>
      </c>
      <c r="K910">
        <f>VLOOKUP(B910,purchase_dataset!$B$2:$F$2241,2,FALSE)</f>
        <v>1</v>
      </c>
      <c r="L910">
        <f>VLOOKUP(B910,purchase_dataset!$B$2:$F$2241,3,FALSE)</f>
        <v>0</v>
      </c>
      <c r="M910">
        <f>VLOOKUP(B910,purchase_dataset!$B$2:$F$2241,3,FALSE)</f>
        <v>0</v>
      </c>
      <c r="N910">
        <f>VLOOKUP(B910,purchase_dataset!$B$2:$F$2241,5,FALSE)</f>
        <v>2</v>
      </c>
      <c r="O910" s="5">
        <v>55</v>
      </c>
      <c r="P910" s="4" t="str">
        <f t="shared" si="28"/>
        <v>&gt;50</v>
      </c>
      <c r="Q910" s="4">
        <f>M910+N910</f>
        <v>2</v>
      </c>
      <c r="U910" s="28" t="str" cm="1">
        <f t="array" ref="U910">_xlfn.IFS(F910&lt;30000,"30k",F910&lt;=50000,"30k-50k",F910&lt;=75000,"50k-75k",F910&lt;=100000,"75k-100k",F910&gt;100000,"100k")</f>
        <v>30k-50k</v>
      </c>
      <c r="W910" s="1">
        <f t="shared" si="29"/>
        <v>13</v>
      </c>
    </row>
    <row r="911" spans="1:23" x14ac:dyDescent="0.35">
      <c r="A911">
        <v>908</v>
      </c>
      <c r="B911">
        <v>6534</v>
      </c>
      <c r="C911">
        <v>1974</v>
      </c>
      <c r="D911" s="1" t="s">
        <v>10</v>
      </c>
      <c r="E911" s="1" t="s">
        <v>12</v>
      </c>
      <c r="F911">
        <v>47889</v>
      </c>
      <c r="G911">
        <v>1</v>
      </c>
      <c r="H911" s="2">
        <v>0</v>
      </c>
      <c r="I911" s="2">
        <v>41643</v>
      </c>
      <c r="J911">
        <v>94</v>
      </c>
      <c r="K911">
        <f>VLOOKUP(B911,purchase_dataset!$B$2:$F$2241,2,FALSE)</f>
        <v>0</v>
      </c>
      <c r="L911">
        <f>VLOOKUP(B911,purchase_dataset!$B$2:$F$2241,3,FALSE)</f>
        <v>5</v>
      </c>
      <c r="M911">
        <f>VLOOKUP(B911,purchase_dataset!$B$2:$F$2241,3,FALSE)</f>
        <v>5</v>
      </c>
      <c r="N911">
        <f>VLOOKUP(B911,purchase_dataset!$B$2:$F$2241,5,FALSE)</f>
        <v>3</v>
      </c>
      <c r="O911" s="5">
        <v>52</v>
      </c>
      <c r="P911" s="4" t="str">
        <f t="shared" si="28"/>
        <v>&gt;50</v>
      </c>
      <c r="Q911" s="4">
        <f>M911+N911</f>
        <v>8</v>
      </c>
      <c r="U911" s="28" t="str" cm="1">
        <f t="array" ref="U911">_xlfn.IFS(F911&lt;30000,"30k",F911&lt;=50000,"30k-50k",F911&lt;=75000,"50k-75k",F911&lt;=100000,"75k-100k",F911&gt;100000,"100k")</f>
        <v>30k-50k</v>
      </c>
      <c r="W911" s="1">
        <f t="shared" si="29"/>
        <v>12</v>
      </c>
    </row>
    <row r="912" spans="1:23" x14ac:dyDescent="0.35">
      <c r="A912">
        <v>909</v>
      </c>
      <c r="B912">
        <v>9485</v>
      </c>
      <c r="C912">
        <v>1986</v>
      </c>
      <c r="D912" s="1" t="s">
        <v>13</v>
      </c>
      <c r="E912" s="1" t="s">
        <v>14</v>
      </c>
      <c r="F912">
        <v>45921</v>
      </c>
      <c r="G912">
        <v>0</v>
      </c>
      <c r="H912" s="2">
        <v>0</v>
      </c>
      <c r="I912" s="2">
        <v>41708</v>
      </c>
      <c r="J912">
        <v>23</v>
      </c>
      <c r="K912">
        <f>VLOOKUP(B912,purchase_dataset!$B$2:$F$2241,2,FALSE)</f>
        <v>9</v>
      </c>
      <c r="L912">
        <f>VLOOKUP(B912,purchase_dataset!$B$2:$F$2241,3,FALSE)</f>
        <v>3</v>
      </c>
      <c r="M912">
        <f>VLOOKUP(B912,purchase_dataset!$B$2:$F$2241,3,FALSE)</f>
        <v>3</v>
      </c>
      <c r="N912">
        <f>VLOOKUP(B912,purchase_dataset!$B$2:$F$2241,5,FALSE)</f>
        <v>6</v>
      </c>
      <c r="O912" s="5">
        <v>40</v>
      </c>
      <c r="P912" s="4" t="str">
        <f t="shared" si="28"/>
        <v>30-50</v>
      </c>
      <c r="Q912" s="4">
        <f>M912+N912</f>
        <v>9</v>
      </c>
      <c r="U912" s="28" t="str" cm="1">
        <f t="array" ref="U912">_xlfn.IFS(F912&lt;30000,"30k",F912&lt;=50000,"30k-50k",F912&lt;=75000,"50k-75k",F912&lt;=100000,"75k-100k",F912&gt;100000,"100k")</f>
        <v>30k-50k</v>
      </c>
      <c r="W912" s="1">
        <f t="shared" si="29"/>
        <v>12</v>
      </c>
    </row>
    <row r="913" spans="1:23" x14ac:dyDescent="0.35">
      <c r="A913">
        <v>910</v>
      </c>
      <c r="B913">
        <v>7053</v>
      </c>
      <c r="C913">
        <v>1966</v>
      </c>
      <c r="D913" s="1" t="s">
        <v>13</v>
      </c>
      <c r="E913" s="1" t="s">
        <v>11</v>
      </c>
      <c r="F913">
        <v>78420</v>
      </c>
      <c r="G913">
        <v>0</v>
      </c>
      <c r="H913" s="2">
        <v>0</v>
      </c>
      <c r="I913" s="2">
        <v>41454</v>
      </c>
      <c r="J913">
        <v>75</v>
      </c>
      <c r="K913">
        <f>VLOOKUP(B913,purchase_dataset!$B$2:$F$2241,2,FALSE)</f>
        <v>28</v>
      </c>
      <c r="L913">
        <f>VLOOKUP(B913,purchase_dataset!$B$2:$F$2241,3,FALSE)</f>
        <v>28</v>
      </c>
      <c r="M913">
        <f>VLOOKUP(B913,purchase_dataset!$B$2:$F$2241,3,FALSE)</f>
        <v>28</v>
      </c>
      <c r="N913">
        <f>VLOOKUP(B913,purchase_dataset!$B$2:$F$2241,5,FALSE)</f>
        <v>8</v>
      </c>
      <c r="O913" s="5">
        <v>60</v>
      </c>
      <c r="P913" s="4" t="str">
        <f t="shared" si="28"/>
        <v>&gt;50</v>
      </c>
      <c r="Q913" s="4">
        <f>M913+N913</f>
        <v>36</v>
      </c>
      <c r="U913" s="28" t="str" cm="1">
        <f t="array" ref="U913">_xlfn.IFS(F913&lt;30000,"30k",F913&lt;=50000,"30k-50k",F913&lt;=75000,"50k-75k",F913&lt;=100000,"75k-100k",F913&gt;100000,"100k")</f>
        <v>75k-100k</v>
      </c>
      <c r="W913" s="1">
        <f t="shared" si="29"/>
        <v>13</v>
      </c>
    </row>
    <row r="914" spans="1:23" x14ac:dyDescent="0.35">
      <c r="A914">
        <v>911</v>
      </c>
      <c r="B914">
        <v>4654</v>
      </c>
      <c r="C914">
        <v>1992</v>
      </c>
      <c r="D914" s="1" t="s">
        <v>10</v>
      </c>
      <c r="E914" s="1" t="s">
        <v>12</v>
      </c>
      <c r="F914">
        <v>75114</v>
      </c>
      <c r="G914">
        <v>0</v>
      </c>
      <c r="H914" s="2">
        <v>0</v>
      </c>
      <c r="I914" s="2">
        <v>41585</v>
      </c>
      <c r="J914">
        <v>40</v>
      </c>
      <c r="K914">
        <f>VLOOKUP(B914,purchase_dataset!$B$2:$F$2241,2,FALSE)</f>
        <v>12</v>
      </c>
      <c r="L914">
        <f>VLOOKUP(B914,purchase_dataset!$B$2:$F$2241,3,FALSE)</f>
        <v>60</v>
      </c>
      <c r="M914">
        <f>VLOOKUP(B914,purchase_dataset!$B$2:$F$2241,3,FALSE)</f>
        <v>60</v>
      </c>
      <c r="N914">
        <f>VLOOKUP(B914,purchase_dataset!$B$2:$F$2241,5,FALSE)</f>
        <v>5</v>
      </c>
      <c r="O914" s="5">
        <v>34</v>
      </c>
      <c r="P914" s="4" t="str">
        <f t="shared" si="28"/>
        <v>30-50</v>
      </c>
      <c r="Q914" s="4">
        <f>M914+N914</f>
        <v>65</v>
      </c>
      <c r="U914" s="28" t="str" cm="1">
        <f t="array" ref="U914">_xlfn.IFS(F914&lt;30000,"30k",F914&lt;=50000,"30k-50k",F914&lt;=75000,"50k-75k",F914&lt;=100000,"75k-100k",F914&gt;100000,"100k")</f>
        <v>75k-100k</v>
      </c>
      <c r="W914" s="1">
        <f t="shared" si="29"/>
        <v>13</v>
      </c>
    </row>
    <row r="915" spans="1:23" x14ac:dyDescent="0.35">
      <c r="A915">
        <v>912</v>
      </c>
      <c r="B915">
        <v>9760</v>
      </c>
      <c r="C915">
        <v>1963</v>
      </c>
      <c r="D915" s="1" t="s">
        <v>13</v>
      </c>
      <c r="E915" s="1" t="s">
        <v>19</v>
      </c>
      <c r="F915">
        <v>52278</v>
      </c>
      <c r="G915">
        <v>0</v>
      </c>
      <c r="H915" s="2">
        <v>1</v>
      </c>
      <c r="I915" s="2">
        <v>41299</v>
      </c>
      <c r="J915">
        <v>24</v>
      </c>
      <c r="K915">
        <f>VLOOKUP(B915,purchase_dataset!$B$2:$F$2241,2,FALSE)</f>
        <v>0</v>
      </c>
      <c r="L915">
        <f>VLOOKUP(B915,purchase_dataset!$B$2:$F$2241,3,FALSE)</f>
        <v>0</v>
      </c>
      <c r="M915">
        <f>VLOOKUP(B915,purchase_dataset!$B$2:$F$2241,3,FALSE)</f>
        <v>0</v>
      </c>
      <c r="N915">
        <f>VLOOKUP(B915,purchase_dataset!$B$2:$F$2241,5,FALSE)</f>
        <v>10</v>
      </c>
      <c r="O915" s="5">
        <v>63</v>
      </c>
      <c r="P915" s="4" t="str">
        <f t="shared" si="28"/>
        <v>&gt;50</v>
      </c>
      <c r="Q915" s="4">
        <f>M915+N915</f>
        <v>10</v>
      </c>
      <c r="U915" s="28" t="str" cm="1">
        <f t="array" ref="U915">_xlfn.IFS(F915&lt;30000,"30k",F915&lt;=50000,"30k-50k",F915&lt;=75000,"50k-75k",F915&lt;=100000,"75k-100k",F915&gt;100000,"100k")</f>
        <v>50k-75k</v>
      </c>
      <c r="W915" s="1">
        <f t="shared" si="29"/>
        <v>13</v>
      </c>
    </row>
    <row r="916" spans="1:23" x14ac:dyDescent="0.35">
      <c r="A916">
        <v>913</v>
      </c>
      <c r="B916">
        <v>1048</v>
      </c>
      <c r="C916">
        <v>1972</v>
      </c>
      <c r="D916" s="1" t="s">
        <v>15</v>
      </c>
      <c r="E916" s="1" t="s">
        <v>14</v>
      </c>
      <c r="F916">
        <v>35641</v>
      </c>
      <c r="G916">
        <v>1</v>
      </c>
      <c r="H916" s="2">
        <v>0</v>
      </c>
      <c r="I916" s="2">
        <v>41469</v>
      </c>
      <c r="J916">
        <v>11</v>
      </c>
      <c r="K916">
        <f>VLOOKUP(B916,purchase_dataset!$B$2:$F$2241,2,FALSE)</f>
        <v>3</v>
      </c>
      <c r="L916">
        <f>VLOOKUP(B916,purchase_dataset!$B$2:$F$2241,3,FALSE)</f>
        <v>9</v>
      </c>
      <c r="M916">
        <f>VLOOKUP(B916,purchase_dataset!$B$2:$F$2241,3,FALSE)</f>
        <v>9</v>
      </c>
      <c r="N916">
        <f>VLOOKUP(B916,purchase_dataset!$B$2:$F$2241,5,FALSE)</f>
        <v>4</v>
      </c>
      <c r="O916" s="5">
        <v>54</v>
      </c>
      <c r="P916" s="4" t="str">
        <f t="shared" si="28"/>
        <v>&gt;50</v>
      </c>
      <c r="Q916" s="4">
        <f>M916+N916</f>
        <v>13</v>
      </c>
      <c r="U916" s="28" t="str" cm="1">
        <f t="array" ref="U916">_xlfn.IFS(F916&lt;30000,"30k",F916&lt;=50000,"30k-50k",F916&lt;=75000,"50k-75k",F916&lt;=100000,"75k-100k",F916&gt;100000,"100k")</f>
        <v>30k-50k</v>
      </c>
      <c r="W916" s="1">
        <f t="shared" si="29"/>
        <v>13</v>
      </c>
    </row>
    <row r="917" spans="1:23" x14ac:dyDescent="0.35">
      <c r="A917">
        <v>914</v>
      </c>
      <c r="B917">
        <v>10619</v>
      </c>
      <c r="C917">
        <v>1994</v>
      </c>
      <c r="D917" s="1" t="s">
        <v>10</v>
      </c>
      <c r="E917" s="1" t="s">
        <v>11</v>
      </c>
      <c r="F917">
        <v>95529</v>
      </c>
      <c r="G917">
        <v>0</v>
      </c>
      <c r="H917" s="2">
        <v>0</v>
      </c>
      <c r="I917" s="2">
        <v>41246</v>
      </c>
      <c r="J917">
        <v>29</v>
      </c>
      <c r="K917">
        <f>VLOOKUP(B917,purchase_dataset!$B$2:$F$2241,2,FALSE)</f>
        <v>29</v>
      </c>
      <c r="L917">
        <f>VLOOKUP(B917,purchase_dataset!$B$2:$F$2241,3,FALSE)</f>
        <v>27</v>
      </c>
      <c r="M917">
        <f>VLOOKUP(B917,purchase_dataset!$B$2:$F$2241,3,FALSE)</f>
        <v>27</v>
      </c>
      <c r="N917">
        <f>VLOOKUP(B917,purchase_dataset!$B$2:$F$2241,5,FALSE)</f>
        <v>7</v>
      </c>
      <c r="O917" s="5">
        <v>32</v>
      </c>
      <c r="P917" s="4" t="str">
        <f t="shared" si="28"/>
        <v>30-50</v>
      </c>
      <c r="Q917" s="4">
        <f>M917+N917</f>
        <v>34</v>
      </c>
      <c r="U917" s="28" t="str" cm="1">
        <f t="array" ref="U917">_xlfn.IFS(F917&lt;30000,"30k",F917&lt;=50000,"30k-50k",F917&lt;=75000,"50k-75k",F917&lt;=100000,"75k-100k",F917&gt;100000,"100k")</f>
        <v>75k-100k</v>
      </c>
      <c r="W917" s="1">
        <f t="shared" si="29"/>
        <v>14</v>
      </c>
    </row>
    <row r="918" spans="1:23" x14ac:dyDescent="0.35">
      <c r="A918">
        <v>915</v>
      </c>
      <c r="B918">
        <v>9308</v>
      </c>
      <c r="C918">
        <v>1954</v>
      </c>
      <c r="D918" s="1" t="s">
        <v>10</v>
      </c>
      <c r="E918" s="1" t="s">
        <v>14</v>
      </c>
      <c r="F918">
        <v>62820</v>
      </c>
      <c r="G918">
        <v>0</v>
      </c>
      <c r="H918" s="2">
        <v>0</v>
      </c>
      <c r="I918" s="2">
        <v>41405</v>
      </c>
      <c r="J918">
        <v>51</v>
      </c>
      <c r="K918">
        <f>VLOOKUP(B918,purchase_dataset!$B$2:$F$2241,2,FALSE)</f>
        <v>61</v>
      </c>
      <c r="L918">
        <f>VLOOKUP(B918,purchase_dataset!$B$2:$F$2241,3,FALSE)</f>
        <v>61</v>
      </c>
      <c r="M918">
        <f>VLOOKUP(B918,purchase_dataset!$B$2:$F$2241,3,FALSE)</f>
        <v>61</v>
      </c>
      <c r="N918">
        <f>VLOOKUP(B918,purchase_dataset!$B$2:$F$2241,5,FALSE)</f>
        <v>6</v>
      </c>
      <c r="O918" s="5">
        <v>72</v>
      </c>
      <c r="P918" s="4" t="str">
        <f t="shared" si="28"/>
        <v>&gt;50</v>
      </c>
      <c r="Q918" s="4">
        <f>M918+N918</f>
        <v>67</v>
      </c>
      <c r="U918" s="28" t="str" cm="1">
        <f t="array" ref="U918">_xlfn.IFS(F918&lt;30000,"30k",F918&lt;=50000,"30k-50k",F918&lt;=75000,"50k-75k",F918&lt;=100000,"75k-100k",F918&gt;100000,"100k")</f>
        <v>50k-75k</v>
      </c>
      <c r="W918" s="1">
        <f t="shared" si="29"/>
        <v>13</v>
      </c>
    </row>
    <row r="919" spans="1:23" x14ac:dyDescent="0.35">
      <c r="A919">
        <v>916</v>
      </c>
      <c r="B919">
        <v>10505</v>
      </c>
      <c r="C919">
        <v>1960</v>
      </c>
      <c r="D919" s="1" t="s">
        <v>15</v>
      </c>
      <c r="E919" s="1" t="s">
        <v>12</v>
      </c>
      <c r="F919">
        <v>73113</v>
      </c>
      <c r="G919">
        <v>0</v>
      </c>
      <c r="H919" s="2">
        <v>0</v>
      </c>
      <c r="I919" s="2">
        <v>41634</v>
      </c>
      <c r="J919">
        <v>86</v>
      </c>
      <c r="K919">
        <f>VLOOKUP(B919,purchase_dataset!$B$2:$F$2241,2,FALSE)</f>
        <v>19</v>
      </c>
      <c r="L919">
        <f>VLOOKUP(B919,purchase_dataset!$B$2:$F$2241,3,FALSE)</f>
        <v>9</v>
      </c>
      <c r="M919">
        <f>VLOOKUP(B919,purchase_dataset!$B$2:$F$2241,3,FALSE)</f>
        <v>9</v>
      </c>
      <c r="N919">
        <f>VLOOKUP(B919,purchase_dataset!$B$2:$F$2241,5,FALSE)</f>
        <v>7</v>
      </c>
      <c r="O919" s="5">
        <v>66</v>
      </c>
      <c r="P919" s="4" t="str">
        <f t="shared" si="28"/>
        <v>&gt;50</v>
      </c>
      <c r="Q919" s="4">
        <f>M919+N919</f>
        <v>16</v>
      </c>
      <c r="U919" s="28" t="str" cm="1">
        <f t="array" ref="U919">_xlfn.IFS(F919&lt;30000,"30k",F919&lt;=50000,"30k-50k",F919&lt;=75000,"50k-75k",F919&lt;=100000,"75k-100k",F919&gt;100000,"100k")</f>
        <v>50k-75k</v>
      </c>
      <c r="W919" s="1">
        <f t="shared" si="29"/>
        <v>13</v>
      </c>
    </row>
    <row r="920" spans="1:23" x14ac:dyDescent="0.35">
      <c r="A920">
        <v>917</v>
      </c>
      <c r="B920">
        <v>8362</v>
      </c>
      <c r="C920">
        <v>1982</v>
      </c>
      <c r="D920" s="1" t="s">
        <v>13</v>
      </c>
      <c r="E920" s="1" t="s">
        <v>14</v>
      </c>
      <c r="F920">
        <v>84169</v>
      </c>
      <c r="G920">
        <v>0</v>
      </c>
      <c r="H920" s="2">
        <v>0</v>
      </c>
      <c r="I920" s="2">
        <v>41493</v>
      </c>
      <c r="J920">
        <v>9</v>
      </c>
      <c r="K920">
        <f>VLOOKUP(B920,purchase_dataset!$B$2:$F$2241,2,FALSE)</f>
        <v>19</v>
      </c>
      <c r="L920">
        <f>VLOOKUP(B920,purchase_dataset!$B$2:$F$2241,3,FALSE)</f>
        <v>19</v>
      </c>
      <c r="M920">
        <f>VLOOKUP(B920,purchase_dataset!$B$2:$F$2241,3,FALSE)</f>
        <v>19</v>
      </c>
      <c r="N920">
        <f>VLOOKUP(B920,purchase_dataset!$B$2:$F$2241,5,FALSE)</f>
        <v>6</v>
      </c>
      <c r="O920" s="5">
        <v>44</v>
      </c>
      <c r="P920" s="4" t="str">
        <f t="shared" si="28"/>
        <v>30-50</v>
      </c>
      <c r="Q920" s="4">
        <f>M920+N920</f>
        <v>25</v>
      </c>
      <c r="U920" s="28" t="str" cm="1">
        <f t="array" ref="U920">_xlfn.IFS(F920&lt;30000,"30k",F920&lt;=50000,"30k-50k",F920&lt;=75000,"50k-75k",F920&lt;=100000,"75k-100k",F920&gt;100000,"100k")</f>
        <v>75k-100k</v>
      </c>
      <c r="W920" s="1">
        <f t="shared" si="29"/>
        <v>13</v>
      </c>
    </row>
    <row r="921" spans="1:23" x14ac:dyDescent="0.35">
      <c r="A921">
        <v>918</v>
      </c>
      <c r="B921">
        <v>2625</v>
      </c>
      <c r="C921">
        <v>1954</v>
      </c>
      <c r="D921" s="1" t="s">
        <v>18</v>
      </c>
      <c r="E921" s="1" t="s">
        <v>11</v>
      </c>
      <c r="F921">
        <v>42607</v>
      </c>
      <c r="G921">
        <v>0</v>
      </c>
      <c r="H921" s="2">
        <v>1</v>
      </c>
      <c r="I921" s="2">
        <v>41595</v>
      </c>
      <c r="J921">
        <v>30</v>
      </c>
      <c r="K921">
        <f>VLOOKUP(B921,purchase_dataset!$B$2:$F$2241,2,FALSE)</f>
        <v>29</v>
      </c>
      <c r="L921">
        <f>VLOOKUP(B921,purchase_dataset!$B$2:$F$2241,3,FALSE)</f>
        <v>32</v>
      </c>
      <c r="M921">
        <f>VLOOKUP(B921,purchase_dataset!$B$2:$F$2241,3,FALSE)</f>
        <v>32</v>
      </c>
      <c r="N921">
        <f>VLOOKUP(B921,purchase_dataset!$B$2:$F$2241,5,FALSE)</f>
        <v>7</v>
      </c>
      <c r="O921" s="5">
        <v>72</v>
      </c>
      <c r="P921" s="4" t="str">
        <f t="shared" si="28"/>
        <v>&gt;50</v>
      </c>
      <c r="Q921" s="4">
        <f>M921+N921</f>
        <v>39</v>
      </c>
      <c r="U921" s="28" t="str" cm="1">
        <f t="array" ref="U921">_xlfn.IFS(F921&lt;30000,"30k",F921&lt;=50000,"30k-50k",F921&lt;=75000,"50k-75k",F921&lt;=100000,"75k-100k",F921&gt;100000,"100k")</f>
        <v>30k-50k</v>
      </c>
      <c r="W921" s="1">
        <f t="shared" si="29"/>
        <v>13</v>
      </c>
    </row>
    <row r="922" spans="1:23" x14ac:dyDescent="0.35">
      <c r="A922">
        <v>919</v>
      </c>
      <c r="B922">
        <v>4637</v>
      </c>
      <c r="C922">
        <v>1954</v>
      </c>
      <c r="D922" s="1" t="s">
        <v>13</v>
      </c>
      <c r="E922" s="1" t="s">
        <v>11</v>
      </c>
      <c r="F922">
        <v>74637</v>
      </c>
      <c r="G922">
        <v>0</v>
      </c>
      <c r="H922" s="2">
        <v>0</v>
      </c>
      <c r="I922" s="2">
        <v>41412</v>
      </c>
      <c r="J922">
        <v>73</v>
      </c>
      <c r="K922">
        <f>VLOOKUP(B922,purchase_dataset!$B$2:$F$2241,2,FALSE)</f>
        <v>64</v>
      </c>
      <c r="L922">
        <f>VLOOKUP(B922,purchase_dataset!$B$2:$F$2241,3,FALSE)</f>
        <v>0</v>
      </c>
      <c r="M922">
        <f>VLOOKUP(B922,purchase_dataset!$B$2:$F$2241,3,FALSE)</f>
        <v>0</v>
      </c>
      <c r="N922">
        <f>VLOOKUP(B922,purchase_dataset!$B$2:$F$2241,5,FALSE)</f>
        <v>9</v>
      </c>
      <c r="O922" s="5">
        <v>72</v>
      </c>
      <c r="P922" s="4" t="str">
        <f t="shared" si="28"/>
        <v>&gt;50</v>
      </c>
      <c r="Q922" s="4">
        <f>M922+N922</f>
        <v>9</v>
      </c>
      <c r="U922" s="28" t="str" cm="1">
        <f t="array" ref="U922">_xlfn.IFS(F922&lt;30000,"30k",F922&lt;=50000,"30k-50k",F922&lt;=75000,"50k-75k",F922&lt;=100000,"75k-100k",F922&gt;100000,"100k")</f>
        <v>50k-75k</v>
      </c>
      <c r="W922" s="1">
        <f t="shared" si="29"/>
        <v>13</v>
      </c>
    </row>
    <row r="923" spans="1:23" x14ac:dyDescent="0.35">
      <c r="A923">
        <v>920</v>
      </c>
      <c r="B923">
        <v>9972</v>
      </c>
      <c r="C923">
        <v>1955</v>
      </c>
      <c r="D923" s="1" t="s">
        <v>13</v>
      </c>
      <c r="E923" s="1" t="s">
        <v>12</v>
      </c>
      <c r="F923">
        <v>46015</v>
      </c>
      <c r="G923">
        <v>1</v>
      </c>
      <c r="H923" s="2">
        <v>1</v>
      </c>
      <c r="I923" s="2">
        <v>41742</v>
      </c>
      <c r="J923">
        <v>25</v>
      </c>
      <c r="K923">
        <f>VLOOKUP(B923,purchase_dataset!$B$2:$F$2241,2,FALSE)</f>
        <v>0</v>
      </c>
      <c r="L923">
        <f>VLOOKUP(B923,purchase_dataset!$B$2:$F$2241,3,FALSE)</f>
        <v>0</v>
      </c>
      <c r="M923">
        <f>VLOOKUP(B923,purchase_dataset!$B$2:$F$2241,3,FALSE)</f>
        <v>0</v>
      </c>
      <c r="N923">
        <f>VLOOKUP(B923,purchase_dataset!$B$2:$F$2241,5,FALSE)</f>
        <v>3</v>
      </c>
      <c r="O923" s="5">
        <v>71</v>
      </c>
      <c r="P923" s="4" t="str">
        <f t="shared" si="28"/>
        <v>&gt;50</v>
      </c>
      <c r="Q923" s="4">
        <f>M923+N923</f>
        <v>3</v>
      </c>
      <c r="U923" s="28" t="str" cm="1">
        <f t="array" ref="U923">_xlfn.IFS(F923&lt;30000,"30k",F923&lt;=50000,"30k-50k",F923&lt;=75000,"50k-75k",F923&lt;=100000,"75k-100k",F923&gt;100000,"100k")</f>
        <v>30k-50k</v>
      </c>
      <c r="W923" s="1">
        <f t="shared" si="29"/>
        <v>12</v>
      </c>
    </row>
    <row r="924" spans="1:23" x14ac:dyDescent="0.35">
      <c r="A924">
        <v>921</v>
      </c>
      <c r="B924">
        <v>4483</v>
      </c>
      <c r="C924">
        <v>1993</v>
      </c>
      <c r="D924" s="1" t="s">
        <v>10</v>
      </c>
      <c r="E924" s="1" t="s">
        <v>11</v>
      </c>
      <c r="F924">
        <v>72354</v>
      </c>
      <c r="G924">
        <v>0</v>
      </c>
      <c r="H924" s="2">
        <v>0</v>
      </c>
      <c r="I924" s="2">
        <v>41381</v>
      </c>
      <c r="J924">
        <v>67</v>
      </c>
      <c r="K924">
        <f>VLOOKUP(B924,purchase_dataset!$B$2:$F$2241,2,FALSE)</f>
        <v>26</v>
      </c>
      <c r="L924">
        <f>VLOOKUP(B924,purchase_dataset!$B$2:$F$2241,3,FALSE)</f>
        <v>12</v>
      </c>
      <c r="M924">
        <f>VLOOKUP(B924,purchase_dataset!$B$2:$F$2241,3,FALSE)</f>
        <v>12</v>
      </c>
      <c r="N924">
        <f>VLOOKUP(B924,purchase_dataset!$B$2:$F$2241,5,FALSE)</f>
        <v>6</v>
      </c>
      <c r="O924" s="5">
        <v>33</v>
      </c>
      <c r="P924" s="4" t="str">
        <f t="shared" si="28"/>
        <v>30-50</v>
      </c>
      <c r="Q924" s="4">
        <f>M924+N924</f>
        <v>18</v>
      </c>
      <c r="U924" s="28" t="str" cm="1">
        <f t="array" ref="U924">_xlfn.IFS(F924&lt;30000,"30k",F924&lt;=50000,"30k-50k",F924&lt;=75000,"50k-75k",F924&lt;=100000,"75k-100k",F924&gt;100000,"100k")</f>
        <v>50k-75k</v>
      </c>
      <c r="W924" s="1">
        <f t="shared" si="29"/>
        <v>13</v>
      </c>
    </row>
    <row r="925" spans="1:23" x14ac:dyDescent="0.35">
      <c r="A925">
        <v>922</v>
      </c>
      <c r="B925">
        <v>4487</v>
      </c>
      <c r="C925">
        <v>1969</v>
      </c>
      <c r="D925" s="1" t="s">
        <v>15</v>
      </c>
      <c r="E925" s="1" t="s">
        <v>11</v>
      </c>
      <c r="F925">
        <v>39858</v>
      </c>
      <c r="G925">
        <v>1</v>
      </c>
      <c r="H925" s="2">
        <v>0</v>
      </c>
      <c r="I925" s="2">
        <v>41298</v>
      </c>
      <c r="J925">
        <v>67</v>
      </c>
      <c r="K925">
        <f>VLOOKUP(B925,purchase_dataset!$B$2:$F$2241,2,FALSE)</f>
        <v>20</v>
      </c>
      <c r="L925">
        <f>VLOOKUP(B925,purchase_dataset!$B$2:$F$2241,3,FALSE)</f>
        <v>7</v>
      </c>
      <c r="M925">
        <f>VLOOKUP(B925,purchase_dataset!$B$2:$F$2241,3,FALSE)</f>
        <v>7</v>
      </c>
      <c r="N925">
        <f>VLOOKUP(B925,purchase_dataset!$B$2:$F$2241,5,FALSE)</f>
        <v>4</v>
      </c>
      <c r="O925" s="5">
        <v>57</v>
      </c>
      <c r="P925" s="4" t="str">
        <f t="shared" si="28"/>
        <v>&gt;50</v>
      </c>
      <c r="Q925" s="4">
        <f>M925+N925</f>
        <v>11</v>
      </c>
      <c r="U925" s="28" t="str" cm="1">
        <f t="array" ref="U925">_xlfn.IFS(F925&lt;30000,"30k",F925&lt;=50000,"30k-50k",F925&lt;=75000,"50k-75k",F925&lt;=100000,"75k-100k",F925&gt;100000,"100k")</f>
        <v>30k-50k</v>
      </c>
      <c r="W925" s="1">
        <f t="shared" si="29"/>
        <v>13</v>
      </c>
    </row>
    <row r="926" spans="1:23" x14ac:dyDescent="0.35">
      <c r="A926">
        <v>923</v>
      </c>
      <c r="B926">
        <v>4988</v>
      </c>
      <c r="C926">
        <v>1948</v>
      </c>
      <c r="D926" s="1" t="s">
        <v>13</v>
      </c>
      <c r="E926" s="1" t="s">
        <v>14</v>
      </c>
      <c r="F926">
        <v>34469</v>
      </c>
      <c r="G926">
        <v>1</v>
      </c>
      <c r="H926" s="2">
        <v>1</v>
      </c>
      <c r="I926" s="2">
        <v>41763</v>
      </c>
      <c r="J926">
        <v>58</v>
      </c>
      <c r="K926">
        <f>VLOOKUP(B926,purchase_dataset!$B$2:$F$2241,2,FALSE)</f>
        <v>6</v>
      </c>
      <c r="L926">
        <f>VLOOKUP(B926,purchase_dataset!$B$2:$F$2241,3,FALSE)</f>
        <v>5</v>
      </c>
      <c r="M926">
        <f>VLOOKUP(B926,purchase_dataset!$B$2:$F$2241,3,FALSE)</f>
        <v>5</v>
      </c>
      <c r="N926">
        <f>VLOOKUP(B926,purchase_dataset!$B$2:$F$2241,5,FALSE)</f>
        <v>4</v>
      </c>
      <c r="O926" s="5">
        <v>78</v>
      </c>
      <c r="P926" s="4" t="str">
        <f t="shared" si="28"/>
        <v>&gt;50</v>
      </c>
      <c r="Q926" s="4">
        <f>M926+N926</f>
        <v>9</v>
      </c>
      <c r="U926" s="28" t="str" cm="1">
        <f t="array" ref="U926">_xlfn.IFS(F926&lt;30000,"30k",F926&lt;=50000,"30k-50k",F926&lt;=75000,"50k-75k",F926&lt;=100000,"75k-100k",F926&gt;100000,"100k")</f>
        <v>30k-50k</v>
      </c>
      <c r="W926" s="1">
        <f t="shared" si="29"/>
        <v>12</v>
      </c>
    </row>
    <row r="927" spans="1:23" x14ac:dyDescent="0.35">
      <c r="A927">
        <v>924</v>
      </c>
      <c r="B927">
        <v>8931</v>
      </c>
      <c r="C927">
        <v>1986</v>
      </c>
      <c r="D927" s="1" t="s">
        <v>10</v>
      </c>
      <c r="E927" s="1" t="s">
        <v>12</v>
      </c>
      <c r="F927">
        <v>83033</v>
      </c>
      <c r="G927">
        <v>1</v>
      </c>
      <c r="H927" s="2">
        <v>0</v>
      </c>
      <c r="I927" s="2">
        <v>41777</v>
      </c>
      <c r="J927">
        <v>82</v>
      </c>
      <c r="K927">
        <f>VLOOKUP(B927,purchase_dataset!$B$2:$F$2241,2,FALSE)</f>
        <v>99</v>
      </c>
      <c r="L927">
        <f>VLOOKUP(B927,purchase_dataset!$B$2:$F$2241,3,FALSE)</f>
        <v>149</v>
      </c>
      <c r="M927">
        <f>VLOOKUP(B927,purchase_dataset!$B$2:$F$2241,3,FALSE)</f>
        <v>149</v>
      </c>
      <c r="N927">
        <f>VLOOKUP(B927,purchase_dataset!$B$2:$F$2241,5,FALSE)</f>
        <v>10</v>
      </c>
      <c r="O927" s="5">
        <v>40</v>
      </c>
      <c r="P927" s="4" t="str">
        <f t="shared" si="28"/>
        <v>30-50</v>
      </c>
      <c r="Q927" s="4">
        <f>M927+N927</f>
        <v>159</v>
      </c>
      <c r="U927" s="28" t="str" cm="1">
        <f t="array" ref="U927">_xlfn.IFS(F927&lt;30000,"30k",F927&lt;=50000,"30k-50k",F927&lt;=75000,"50k-75k",F927&lt;=100000,"75k-100k",F927&gt;100000,"100k")</f>
        <v>75k-100k</v>
      </c>
      <c r="W927" s="1">
        <f t="shared" si="29"/>
        <v>12</v>
      </c>
    </row>
    <row r="928" spans="1:23" x14ac:dyDescent="0.35">
      <c r="A928">
        <v>925</v>
      </c>
      <c r="B928">
        <v>5871</v>
      </c>
      <c r="C928">
        <v>1979</v>
      </c>
      <c r="D928" s="1" t="s">
        <v>15</v>
      </c>
      <c r="E928" s="1" t="s">
        <v>12</v>
      </c>
      <c r="F928">
        <v>24401</v>
      </c>
      <c r="G928">
        <v>0</v>
      </c>
      <c r="H928" s="2">
        <v>0</v>
      </c>
      <c r="I928" s="2">
        <v>41152</v>
      </c>
      <c r="J928">
        <v>98</v>
      </c>
      <c r="K928">
        <f>VLOOKUP(B928,purchase_dataset!$B$2:$F$2241,2,FALSE)</f>
        <v>28</v>
      </c>
      <c r="L928">
        <f>VLOOKUP(B928,purchase_dataset!$B$2:$F$2241,3,FALSE)</f>
        <v>24</v>
      </c>
      <c r="M928">
        <f>VLOOKUP(B928,purchase_dataset!$B$2:$F$2241,3,FALSE)</f>
        <v>24</v>
      </c>
      <c r="N928">
        <f>VLOOKUP(B928,purchase_dataset!$B$2:$F$2241,5,FALSE)</f>
        <v>6</v>
      </c>
      <c r="O928" s="5">
        <v>47</v>
      </c>
      <c r="P928" s="4" t="str">
        <f t="shared" si="28"/>
        <v>30-50</v>
      </c>
      <c r="Q928" s="4">
        <f>M928+N928</f>
        <v>30</v>
      </c>
      <c r="U928" s="28" t="str" cm="1">
        <f t="array" ref="U928">_xlfn.IFS(F928&lt;30000,"30k",F928&lt;=50000,"30k-50k",F928&lt;=75000,"50k-75k",F928&lt;=100000,"75k-100k",F928&gt;100000,"100k")</f>
        <v>30k</v>
      </c>
      <c r="W928" s="1">
        <f t="shared" si="29"/>
        <v>14</v>
      </c>
    </row>
    <row r="929" spans="1:23" x14ac:dyDescent="0.35">
      <c r="A929">
        <v>926</v>
      </c>
      <c r="B929">
        <v>2008</v>
      </c>
      <c r="C929">
        <v>1978</v>
      </c>
      <c r="D929" s="1" t="s">
        <v>10</v>
      </c>
      <c r="E929" s="1" t="s">
        <v>14</v>
      </c>
      <c r="F929">
        <v>77583</v>
      </c>
      <c r="G929">
        <v>0</v>
      </c>
      <c r="H929" s="2">
        <v>0</v>
      </c>
      <c r="I929" s="2">
        <v>41680</v>
      </c>
      <c r="J929">
        <v>93</v>
      </c>
      <c r="K929">
        <f>VLOOKUP(B929,purchase_dataset!$B$2:$F$2241,2,FALSE)</f>
        <v>23</v>
      </c>
      <c r="L929">
        <f>VLOOKUP(B929,purchase_dataset!$B$2:$F$2241,3,FALSE)</f>
        <v>12</v>
      </c>
      <c r="M929">
        <f>VLOOKUP(B929,purchase_dataset!$B$2:$F$2241,3,FALSE)</f>
        <v>12</v>
      </c>
      <c r="N929">
        <f>VLOOKUP(B929,purchase_dataset!$B$2:$F$2241,5,FALSE)</f>
        <v>9</v>
      </c>
      <c r="O929" s="5">
        <v>48</v>
      </c>
      <c r="P929" s="4" t="str">
        <f t="shared" si="28"/>
        <v>30-50</v>
      </c>
      <c r="Q929" s="4">
        <f>M929+N929</f>
        <v>21</v>
      </c>
      <c r="U929" s="28" t="str" cm="1">
        <f t="array" ref="U929">_xlfn.IFS(F929&lt;30000,"30k",F929&lt;=50000,"30k-50k",F929&lt;=75000,"50k-75k",F929&lt;=100000,"75k-100k",F929&gt;100000,"100k")</f>
        <v>75k-100k</v>
      </c>
      <c r="W929" s="1">
        <f t="shared" si="29"/>
        <v>12</v>
      </c>
    </row>
    <row r="930" spans="1:23" x14ac:dyDescent="0.35">
      <c r="A930">
        <v>927</v>
      </c>
      <c r="B930">
        <v>3139</v>
      </c>
      <c r="C930">
        <v>1982</v>
      </c>
      <c r="D930" s="1" t="s">
        <v>18</v>
      </c>
      <c r="E930" s="1" t="s">
        <v>11</v>
      </c>
      <c r="F930">
        <v>74116</v>
      </c>
      <c r="G930">
        <v>0</v>
      </c>
      <c r="H930" s="2">
        <v>0</v>
      </c>
      <c r="I930" s="2">
        <v>41638</v>
      </c>
      <c r="J930">
        <v>53</v>
      </c>
      <c r="K930">
        <f>VLOOKUP(B930,purchase_dataset!$B$2:$F$2241,2,FALSE)</f>
        <v>111</v>
      </c>
      <c r="L930">
        <f>VLOOKUP(B930,purchase_dataset!$B$2:$F$2241,3,FALSE)</f>
        <v>55</v>
      </c>
      <c r="M930">
        <f>VLOOKUP(B930,purchase_dataset!$B$2:$F$2241,3,FALSE)</f>
        <v>55</v>
      </c>
      <c r="N930">
        <f>VLOOKUP(B930,purchase_dataset!$B$2:$F$2241,5,FALSE)</f>
        <v>10</v>
      </c>
      <c r="O930" s="5">
        <v>44</v>
      </c>
      <c r="P930" s="4" t="str">
        <f t="shared" si="28"/>
        <v>30-50</v>
      </c>
      <c r="Q930" s="4">
        <f>M930+N930</f>
        <v>65</v>
      </c>
      <c r="U930" s="28" t="str" cm="1">
        <f t="array" ref="U930">_xlfn.IFS(F930&lt;30000,"30k",F930&lt;=50000,"30k-50k",F930&lt;=75000,"50k-75k",F930&lt;=100000,"75k-100k",F930&gt;100000,"100k")</f>
        <v>50k-75k</v>
      </c>
      <c r="W930" s="1">
        <f t="shared" si="29"/>
        <v>13</v>
      </c>
    </row>
    <row r="931" spans="1:23" x14ac:dyDescent="0.35">
      <c r="A931">
        <v>928</v>
      </c>
      <c r="B931">
        <v>10037</v>
      </c>
      <c r="C931">
        <v>1993</v>
      </c>
      <c r="D931" s="1" t="s">
        <v>10</v>
      </c>
      <c r="E931" s="1" t="s">
        <v>11</v>
      </c>
      <c r="F931">
        <v>74293</v>
      </c>
      <c r="G931">
        <v>0</v>
      </c>
      <c r="H931" s="2">
        <v>0</v>
      </c>
      <c r="I931" s="2">
        <v>41763</v>
      </c>
      <c r="J931">
        <v>66</v>
      </c>
      <c r="K931">
        <f>VLOOKUP(B931,purchase_dataset!$B$2:$F$2241,2,FALSE)</f>
        <v>152</v>
      </c>
      <c r="L931">
        <f>VLOOKUP(B931,purchase_dataset!$B$2:$F$2241,3,FALSE)</f>
        <v>91</v>
      </c>
      <c r="M931">
        <f>VLOOKUP(B931,purchase_dataset!$B$2:$F$2241,3,FALSE)</f>
        <v>91</v>
      </c>
      <c r="N931">
        <f>VLOOKUP(B931,purchase_dataset!$B$2:$F$2241,5,FALSE)</f>
        <v>6</v>
      </c>
      <c r="O931" s="5">
        <v>33</v>
      </c>
      <c r="P931" s="4" t="str">
        <f t="shared" si="28"/>
        <v>30-50</v>
      </c>
      <c r="Q931" s="4">
        <f>M931+N931</f>
        <v>97</v>
      </c>
      <c r="U931" s="28" t="str" cm="1">
        <f t="array" ref="U931">_xlfn.IFS(F931&lt;30000,"30k",F931&lt;=50000,"30k-50k",F931&lt;=75000,"50k-75k",F931&lt;=100000,"75k-100k",F931&gt;100000,"100k")</f>
        <v>50k-75k</v>
      </c>
      <c r="W931" s="1">
        <f t="shared" si="29"/>
        <v>12</v>
      </c>
    </row>
    <row r="932" spans="1:23" x14ac:dyDescent="0.35">
      <c r="A932">
        <v>929</v>
      </c>
      <c r="B932">
        <v>10673</v>
      </c>
      <c r="C932">
        <v>1976</v>
      </c>
      <c r="D932" s="1" t="s">
        <v>13</v>
      </c>
      <c r="E932" s="1" t="s">
        <v>14</v>
      </c>
      <c r="F932">
        <v>68397</v>
      </c>
      <c r="G932">
        <v>0</v>
      </c>
      <c r="H932" s="2">
        <v>1</v>
      </c>
      <c r="I932" s="2">
        <v>41595</v>
      </c>
      <c r="J932">
        <v>6</v>
      </c>
      <c r="K932">
        <f>VLOOKUP(B932,purchase_dataset!$B$2:$F$2241,2,FALSE)</f>
        <v>80</v>
      </c>
      <c r="L932">
        <f>VLOOKUP(B932,purchase_dataset!$B$2:$F$2241,3,FALSE)</f>
        <v>13</v>
      </c>
      <c r="M932">
        <f>VLOOKUP(B932,purchase_dataset!$B$2:$F$2241,3,FALSE)</f>
        <v>13</v>
      </c>
      <c r="N932">
        <f>VLOOKUP(B932,purchase_dataset!$B$2:$F$2241,5,FALSE)</f>
        <v>5</v>
      </c>
      <c r="O932" s="5">
        <v>50</v>
      </c>
      <c r="P932" s="4" t="str">
        <f t="shared" si="28"/>
        <v>30-50</v>
      </c>
      <c r="Q932" s="4">
        <f>M932+N932</f>
        <v>18</v>
      </c>
      <c r="U932" s="28" t="str" cm="1">
        <f t="array" ref="U932">_xlfn.IFS(F932&lt;30000,"30k",F932&lt;=50000,"30k-50k",F932&lt;=75000,"50k-75k",F932&lt;=100000,"75k-100k",F932&gt;100000,"100k")</f>
        <v>50k-75k</v>
      </c>
      <c r="W932" s="1">
        <f t="shared" si="29"/>
        <v>13</v>
      </c>
    </row>
    <row r="933" spans="1:23" x14ac:dyDescent="0.35">
      <c r="A933">
        <v>930</v>
      </c>
      <c r="B933">
        <v>5303</v>
      </c>
      <c r="C933">
        <v>1974</v>
      </c>
      <c r="D933" s="1" t="s">
        <v>13</v>
      </c>
      <c r="E933" s="1" t="s">
        <v>12</v>
      </c>
      <c r="F933">
        <v>79632</v>
      </c>
      <c r="G933">
        <v>0</v>
      </c>
      <c r="H933" s="2">
        <v>0</v>
      </c>
      <c r="I933" s="2">
        <v>41737</v>
      </c>
      <c r="J933">
        <v>42</v>
      </c>
      <c r="K933">
        <f>VLOOKUP(B933,purchase_dataset!$B$2:$F$2241,2,FALSE)</f>
        <v>0</v>
      </c>
      <c r="L933">
        <f>VLOOKUP(B933,purchase_dataset!$B$2:$F$2241,3,FALSE)</f>
        <v>21</v>
      </c>
      <c r="M933">
        <f>VLOOKUP(B933,purchase_dataset!$B$2:$F$2241,3,FALSE)</f>
        <v>21</v>
      </c>
      <c r="N933">
        <f>VLOOKUP(B933,purchase_dataset!$B$2:$F$2241,5,FALSE)</f>
        <v>9</v>
      </c>
      <c r="O933" s="5">
        <v>52</v>
      </c>
      <c r="P933" s="4" t="str">
        <f t="shared" si="28"/>
        <v>&gt;50</v>
      </c>
      <c r="Q933" s="4">
        <f>M933+N933</f>
        <v>30</v>
      </c>
      <c r="U933" s="28" t="str" cm="1">
        <f t="array" ref="U933">_xlfn.IFS(F933&lt;30000,"30k",F933&lt;=50000,"30k-50k",F933&lt;=75000,"50k-75k",F933&lt;=100000,"75k-100k",F933&gt;100000,"100k")</f>
        <v>75k-100k</v>
      </c>
      <c r="W933" s="1">
        <f t="shared" si="29"/>
        <v>12</v>
      </c>
    </row>
    <row r="934" spans="1:23" x14ac:dyDescent="0.35">
      <c r="A934">
        <v>931</v>
      </c>
      <c r="B934">
        <v>538</v>
      </c>
      <c r="C934">
        <v>1989</v>
      </c>
      <c r="D934" s="1" t="s">
        <v>10</v>
      </c>
      <c r="E934" s="1" t="s">
        <v>11</v>
      </c>
      <c r="F934">
        <v>46107</v>
      </c>
      <c r="G934">
        <v>1</v>
      </c>
      <c r="H934" s="2">
        <v>0</v>
      </c>
      <c r="I934" s="2">
        <v>41680</v>
      </c>
      <c r="J934">
        <v>78</v>
      </c>
      <c r="K934">
        <f>VLOOKUP(B934,purchase_dataset!$B$2:$F$2241,2,FALSE)</f>
        <v>9</v>
      </c>
      <c r="L934">
        <f>VLOOKUP(B934,purchase_dataset!$B$2:$F$2241,3,FALSE)</f>
        <v>9</v>
      </c>
      <c r="M934">
        <f>VLOOKUP(B934,purchase_dataset!$B$2:$F$2241,3,FALSE)</f>
        <v>9</v>
      </c>
      <c r="N934">
        <f>VLOOKUP(B934,purchase_dataset!$B$2:$F$2241,5,FALSE)</f>
        <v>4</v>
      </c>
      <c r="O934" s="5">
        <v>37</v>
      </c>
      <c r="P934" s="4" t="str">
        <f t="shared" si="28"/>
        <v>30-50</v>
      </c>
      <c r="Q934" s="4">
        <f>M934+N934</f>
        <v>13</v>
      </c>
      <c r="U934" s="28" t="str" cm="1">
        <f t="array" ref="U934">_xlfn.IFS(F934&lt;30000,"30k",F934&lt;=50000,"30k-50k",F934&lt;=75000,"50k-75k",F934&lt;=100000,"75k-100k",F934&gt;100000,"100k")</f>
        <v>30k-50k</v>
      </c>
      <c r="W934" s="1">
        <f t="shared" si="29"/>
        <v>12</v>
      </c>
    </row>
    <row r="935" spans="1:23" x14ac:dyDescent="0.35">
      <c r="A935">
        <v>932</v>
      </c>
      <c r="B935">
        <v>7922</v>
      </c>
      <c r="C935">
        <v>1951</v>
      </c>
      <c r="D935" s="1" t="s">
        <v>13</v>
      </c>
      <c r="E935" s="1" t="s">
        <v>11</v>
      </c>
      <c r="F935">
        <v>64950</v>
      </c>
      <c r="G935">
        <v>0</v>
      </c>
      <c r="H935" s="2">
        <v>1</v>
      </c>
      <c r="I935" s="2">
        <v>41133</v>
      </c>
      <c r="J935">
        <v>29</v>
      </c>
      <c r="K935">
        <f>VLOOKUP(B935,purchase_dataset!$B$2:$F$2241,2,FALSE)</f>
        <v>0</v>
      </c>
      <c r="L935">
        <f>VLOOKUP(B935,purchase_dataset!$B$2:$F$2241,3,FALSE)</f>
        <v>0</v>
      </c>
      <c r="M935">
        <f>VLOOKUP(B935,purchase_dataset!$B$2:$F$2241,3,FALSE)</f>
        <v>0</v>
      </c>
      <c r="N935">
        <f>VLOOKUP(B935,purchase_dataset!$B$2:$F$2241,5,FALSE)</f>
        <v>10</v>
      </c>
      <c r="O935" s="5">
        <v>75</v>
      </c>
      <c r="P935" s="4" t="str">
        <f t="shared" si="28"/>
        <v>&gt;50</v>
      </c>
      <c r="Q935" s="4">
        <f>M935+N935</f>
        <v>10</v>
      </c>
      <c r="U935" s="28" t="str" cm="1">
        <f t="array" ref="U935">_xlfn.IFS(F935&lt;30000,"30k",F935&lt;=50000,"30k-50k",F935&lt;=75000,"50k-75k",F935&lt;=100000,"75k-100k",F935&gt;100000,"100k")</f>
        <v>50k-75k</v>
      </c>
      <c r="W935" s="1">
        <f t="shared" si="29"/>
        <v>14</v>
      </c>
    </row>
    <row r="936" spans="1:23" x14ac:dyDescent="0.35">
      <c r="A936">
        <v>933</v>
      </c>
      <c r="B936">
        <v>5692</v>
      </c>
      <c r="C936">
        <v>1989</v>
      </c>
      <c r="D936" s="1" t="s">
        <v>17</v>
      </c>
      <c r="E936" s="1" t="s">
        <v>14</v>
      </c>
      <c r="F936">
        <v>25443</v>
      </c>
      <c r="G936">
        <v>1</v>
      </c>
      <c r="H936" s="2">
        <v>0</v>
      </c>
      <c r="I936" s="2">
        <v>41265</v>
      </c>
      <c r="J936">
        <v>82</v>
      </c>
      <c r="K936">
        <f>VLOOKUP(B936,purchase_dataset!$B$2:$F$2241,2,FALSE)</f>
        <v>4</v>
      </c>
      <c r="L936">
        <f>VLOOKUP(B936,purchase_dataset!$B$2:$F$2241,3,FALSE)</f>
        <v>9</v>
      </c>
      <c r="M936">
        <f>VLOOKUP(B936,purchase_dataset!$B$2:$F$2241,3,FALSE)</f>
        <v>9</v>
      </c>
      <c r="N936">
        <f>VLOOKUP(B936,purchase_dataset!$B$2:$F$2241,5,FALSE)</f>
        <v>3</v>
      </c>
      <c r="O936" s="5">
        <v>37</v>
      </c>
      <c r="P936" s="4" t="str">
        <f t="shared" si="28"/>
        <v>30-50</v>
      </c>
      <c r="Q936" s="4">
        <f>M936+N936</f>
        <v>12</v>
      </c>
      <c r="U936" s="28" t="str" cm="1">
        <f t="array" ref="U936">_xlfn.IFS(F936&lt;30000,"30k",F936&lt;=50000,"30k-50k",F936&lt;=75000,"50k-75k",F936&lt;=100000,"75k-100k",F936&gt;100000,"100k")</f>
        <v>30k</v>
      </c>
      <c r="W936" s="1">
        <f t="shared" si="29"/>
        <v>14</v>
      </c>
    </row>
    <row r="937" spans="1:23" x14ac:dyDescent="0.35">
      <c r="A937">
        <v>934</v>
      </c>
      <c r="B937">
        <v>4843</v>
      </c>
      <c r="C937">
        <v>1952</v>
      </c>
      <c r="D937" s="1" t="s">
        <v>10</v>
      </c>
      <c r="E937" s="1" t="s">
        <v>11</v>
      </c>
      <c r="F937">
        <v>75127</v>
      </c>
      <c r="G937">
        <v>0</v>
      </c>
      <c r="H937" s="2">
        <v>0</v>
      </c>
      <c r="I937" s="2">
        <v>41781</v>
      </c>
      <c r="J937">
        <v>92</v>
      </c>
      <c r="K937">
        <f>VLOOKUP(B937,purchase_dataset!$B$2:$F$2241,2,FALSE)</f>
        <v>35</v>
      </c>
      <c r="L937">
        <f>VLOOKUP(B937,purchase_dataset!$B$2:$F$2241,3,FALSE)</f>
        <v>17</v>
      </c>
      <c r="M937">
        <f>VLOOKUP(B937,purchase_dataset!$B$2:$F$2241,3,FALSE)</f>
        <v>17</v>
      </c>
      <c r="N937">
        <f>VLOOKUP(B937,purchase_dataset!$B$2:$F$2241,5,FALSE)</f>
        <v>5</v>
      </c>
      <c r="O937" s="5">
        <v>74</v>
      </c>
      <c r="P937" s="4" t="str">
        <f t="shared" si="28"/>
        <v>&gt;50</v>
      </c>
      <c r="Q937" s="4">
        <f>M937+N937</f>
        <v>22</v>
      </c>
      <c r="U937" s="28" t="str" cm="1">
        <f t="array" ref="U937">_xlfn.IFS(F937&lt;30000,"30k",F937&lt;=50000,"30k-50k",F937&lt;=75000,"50k-75k",F937&lt;=100000,"75k-100k",F937&gt;100000,"100k")</f>
        <v>75k-100k</v>
      </c>
      <c r="W937" s="1">
        <f t="shared" si="29"/>
        <v>12</v>
      </c>
    </row>
    <row r="938" spans="1:23" x14ac:dyDescent="0.35">
      <c r="A938">
        <v>935</v>
      </c>
      <c r="B938">
        <v>6383</v>
      </c>
      <c r="C938">
        <v>1971</v>
      </c>
      <c r="D938" s="1" t="s">
        <v>13</v>
      </c>
      <c r="E938" s="1" t="s">
        <v>12</v>
      </c>
      <c r="F938">
        <v>32892</v>
      </c>
      <c r="G938">
        <v>1</v>
      </c>
      <c r="H938" s="2">
        <v>0</v>
      </c>
      <c r="I938" s="2">
        <v>41784</v>
      </c>
      <c r="J938">
        <v>78</v>
      </c>
      <c r="K938">
        <f>VLOOKUP(B938,purchase_dataset!$B$2:$F$2241,2,FALSE)</f>
        <v>0</v>
      </c>
      <c r="L938">
        <f>VLOOKUP(B938,purchase_dataset!$B$2:$F$2241,3,FALSE)</f>
        <v>1</v>
      </c>
      <c r="M938">
        <f>VLOOKUP(B938,purchase_dataset!$B$2:$F$2241,3,FALSE)</f>
        <v>1</v>
      </c>
      <c r="N938">
        <f>VLOOKUP(B938,purchase_dataset!$B$2:$F$2241,5,FALSE)</f>
        <v>3</v>
      </c>
      <c r="O938" s="5">
        <v>55</v>
      </c>
      <c r="P938" s="4" t="str">
        <f t="shared" si="28"/>
        <v>&gt;50</v>
      </c>
      <c r="Q938" s="4">
        <f>M938+N938</f>
        <v>4</v>
      </c>
      <c r="U938" s="28" t="str" cm="1">
        <f t="array" ref="U938">_xlfn.IFS(F938&lt;30000,"30k",F938&lt;=50000,"30k-50k",F938&lt;=75000,"50k-75k",F938&lt;=100000,"75k-100k",F938&gt;100000,"100k")</f>
        <v>30k-50k</v>
      </c>
      <c r="W938" s="1">
        <f t="shared" si="29"/>
        <v>12</v>
      </c>
    </row>
    <row r="939" spans="1:23" x14ac:dyDescent="0.35">
      <c r="A939">
        <v>936</v>
      </c>
      <c r="B939">
        <v>1628</v>
      </c>
      <c r="C939">
        <v>1971</v>
      </c>
      <c r="D939" s="1" t="s">
        <v>10</v>
      </c>
      <c r="E939" s="1" t="s">
        <v>12</v>
      </c>
      <c r="F939">
        <v>71796</v>
      </c>
      <c r="G939">
        <v>0</v>
      </c>
      <c r="H939" s="2">
        <v>0</v>
      </c>
      <c r="I939" s="2">
        <v>41571</v>
      </c>
      <c r="J939">
        <v>54</v>
      </c>
      <c r="K939">
        <f>VLOOKUP(B939,purchase_dataset!$B$2:$F$2241,2,FALSE)</f>
        <v>21</v>
      </c>
      <c r="L939">
        <f>VLOOKUP(B939,purchase_dataset!$B$2:$F$2241,3,FALSE)</f>
        <v>75</v>
      </c>
      <c r="M939">
        <f>VLOOKUP(B939,purchase_dataset!$B$2:$F$2241,3,FALSE)</f>
        <v>75</v>
      </c>
      <c r="N939">
        <f>VLOOKUP(B939,purchase_dataset!$B$2:$F$2241,5,FALSE)</f>
        <v>4</v>
      </c>
      <c r="O939" s="5">
        <v>55</v>
      </c>
      <c r="P939" s="4" t="str">
        <f t="shared" si="28"/>
        <v>&gt;50</v>
      </c>
      <c r="Q939" s="4">
        <f>M939+N939</f>
        <v>79</v>
      </c>
      <c r="U939" s="28" t="str" cm="1">
        <f t="array" ref="U939">_xlfn.IFS(F939&lt;30000,"30k",F939&lt;=50000,"30k-50k",F939&lt;=75000,"50k-75k",F939&lt;=100000,"75k-100k",F939&gt;100000,"100k")</f>
        <v>50k-75k</v>
      </c>
      <c r="W939" s="1">
        <f t="shared" si="29"/>
        <v>13</v>
      </c>
    </row>
    <row r="940" spans="1:23" x14ac:dyDescent="0.35">
      <c r="A940">
        <v>937</v>
      </c>
      <c r="B940">
        <v>1204</v>
      </c>
      <c r="C940">
        <v>1970</v>
      </c>
      <c r="D940" s="1" t="s">
        <v>13</v>
      </c>
      <c r="E940" s="1" t="s">
        <v>14</v>
      </c>
      <c r="F940">
        <v>67536</v>
      </c>
      <c r="G940">
        <v>0</v>
      </c>
      <c r="H940" s="2">
        <v>1</v>
      </c>
      <c r="I940" s="2">
        <v>41416</v>
      </c>
      <c r="J940">
        <v>45</v>
      </c>
      <c r="K940">
        <f>VLOOKUP(B940,purchase_dataset!$B$2:$F$2241,2,FALSE)</f>
        <v>0</v>
      </c>
      <c r="L940">
        <f>VLOOKUP(B940,purchase_dataset!$B$2:$F$2241,3,FALSE)</f>
        <v>71</v>
      </c>
      <c r="M940">
        <f>VLOOKUP(B940,purchase_dataset!$B$2:$F$2241,3,FALSE)</f>
        <v>71</v>
      </c>
      <c r="N940">
        <f>VLOOKUP(B940,purchase_dataset!$B$2:$F$2241,5,FALSE)</f>
        <v>11</v>
      </c>
      <c r="O940" s="5">
        <v>56</v>
      </c>
      <c r="P940" s="4" t="str">
        <f t="shared" si="28"/>
        <v>&gt;50</v>
      </c>
      <c r="Q940" s="4">
        <f>M940+N940</f>
        <v>82</v>
      </c>
      <c r="U940" s="28" t="str" cm="1">
        <f t="array" ref="U940">_xlfn.IFS(F940&lt;30000,"30k",F940&lt;=50000,"30k-50k",F940&lt;=75000,"50k-75k",F940&lt;=100000,"75k-100k",F940&gt;100000,"100k")</f>
        <v>50k-75k</v>
      </c>
      <c r="W940" s="1">
        <f t="shared" si="29"/>
        <v>13</v>
      </c>
    </row>
    <row r="941" spans="1:23" x14ac:dyDescent="0.35">
      <c r="A941">
        <v>938</v>
      </c>
      <c r="B941">
        <v>3673</v>
      </c>
      <c r="C941">
        <v>1971</v>
      </c>
      <c r="D941" s="1" t="s">
        <v>10</v>
      </c>
      <c r="E941" s="1" t="s">
        <v>11</v>
      </c>
      <c r="F941">
        <v>55239</v>
      </c>
      <c r="G941">
        <v>0</v>
      </c>
      <c r="H941" s="2">
        <v>1</v>
      </c>
      <c r="I941" s="2">
        <v>41469</v>
      </c>
      <c r="J941">
        <v>59</v>
      </c>
      <c r="K941">
        <f>VLOOKUP(B941,purchase_dataset!$B$2:$F$2241,2,FALSE)</f>
        <v>17</v>
      </c>
      <c r="L941">
        <f>VLOOKUP(B941,purchase_dataset!$B$2:$F$2241,3,FALSE)</f>
        <v>24</v>
      </c>
      <c r="M941">
        <f>VLOOKUP(B941,purchase_dataset!$B$2:$F$2241,3,FALSE)</f>
        <v>24</v>
      </c>
      <c r="N941">
        <f>VLOOKUP(B941,purchase_dataset!$B$2:$F$2241,5,FALSE)</f>
        <v>11</v>
      </c>
      <c r="O941" s="5">
        <v>55</v>
      </c>
      <c r="P941" s="4" t="str">
        <f t="shared" si="28"/>
        <v>&gt;50</v>
      </c>
      <c r="Q941" s="4">
        <f>M941+N941</f>
        <v>35</v>
      </c>
      <c r="U941" s="28" t="str" cm="1">
        <f t="array" ref="U941">_xlfn.IFS(F941&lt;30000,"30k",F941&lt;=50000,"30k-50k",F941&lt;=75000,"50k-75k",F941&lt;=100000,"75k-100k",F941&gt;100000,"100k")</f>
        <v>50k-75k</v>
      </c>
      <c r="W941" s="1">
        <f t="shared" si="29"/>
        <v>13</v>
      </c>
    </row>
    <row r="942" spans="1:23" x14ac:dyDescent="0.35">
      <c r="A942">
        <v>939</v>
      </c>
      <c r="B942">
        <v>760</v>
      </c>
      <c r="C942">
        <v>1975</v>
      </c>
      <c r="D942" s="1" t="s">
        <v>13</v>
      </c>
      <c r="E942" s="1" t="s">
        <v>16</v>
      </c>
      <c r="F942">
        <v>60554</v>
      </c>
      <c r="G942">
        <v>1</v>
      </c>
      <c r="H942" s="2">
        <v>0</v>
      </c>
      <c r="I942" s="2">
        <v>41495</v>
      </c>
      <c r="J942">
        <v>8</v>
      </c>
      <c r="K942">
        <f>VLOOKUP(B942,purchase_dataset!$B$2:$F$2241,2,FALSE)</f>
        <v>7</v>
      </c>
      <c r="L942">
        <f>VLOOKUP(B942,purchase_dataset!$B$2:$F$2241,3,FALSE)</f>
        <v>15</v>
      </c>
      <c r="M942">
        <f>VLOOKUP(B942,purchase_dataset!$B$2:$F$2241,3,FALSE)</f>
        <v>15</v>
      </c>
      <c r="N942">
        <f>VLOOKUP(B942,purchase_dataset!$B$2:$F$2241,5,FALSE)</f>
        <v>9</v>
      </c>
      <c r="O942" s="5">
        <v>51</v>
      </c>
      <c r="P942" s="4" t="str">
        <f t="shared" si="28"/>
        <v>&gt;50</v>
      </c>
      <c r="Q942" s="4">
        <f>M942+N942</f>
        <v>24</v>
      </c>
      <c r="U942" s="28" t="str" cm="1">
        <f t="array" ref="U942">_xlfn.IFS(F942&lt;30000,"30k",F942&lt;=50000,"30k-50k",F942&lt;=75000,"50k-75k",F942&lt;=100000,"75k-100k",F942&gt;100000,"100k")</f>
        <v>50k-75k</v>
      </c>
      <c r="W942" s="1">
        <f t="shared" si="29"/>
        <v>13</v>
      </c>
    </row>
    <row r="943" spans="1:23" x14ac:dyDescent="0.35">
      <c r="A943">
        <v>940</v>
      </c>
      <c r="B943">
        <v>8957</v>
      </c>
      <c r="C943">
        <v>1952</v>
      </c>
      <c r="D943" s="1" t="s">
        <v>18</v>
      </c>
      <c r="E943" s="1" t="s">
        <v>11</v>
      </c>
      <c r="F943">
        <v>64831</v>
      </c>
      <c r="G943">
        <v>1</v>
      </c>
      <c r="H943" s="2">
        <v>1</v>
      </c>
      <c r="I943" s="2">
        <v>41435</v>
      </c>
      <c r="J943">
        <v>51</v>
      </c>
      <c r="K943">
        <f>VLOOKUP(B943,purchase_dataset!$B$2:$F$2241,2,FALSE)</f>
        <v>86</v>
      </c>
      <c r="L943">
        <f>VLOOKUP(B943,purchase_dataset!$B$2:$F$2241,3,FALSE)</f>
        <v>86</v>
      </c>
      <c r="M943">
        <f>VLOOKUP(B943,purchase_dataset!$B$2:$F$2241,3,FALSE)</f>
        <v>86</v>
      </c>
      <c r="N943">
        <f>VLOOKUP(B943,purchase_dataset!$B$2:$F$2241,5,FALSE)</f>
        <v>5</v>
      </c>
      <c r="O943" s="5">
        <v>74</v>
      </c>
      <c r="P943" s="4" t="str">
        <f t="shared" si="28"/>
        <v>&gt;50</v>
      </c>
      <c r="Q943" s="4">
        <f>M943+N943</f>
        <v>91</v>
      </c>
      <c r="U943" s="28" t="str" cm="1">
        <f t="array" ref="U943">_xlfn.IFS(F943&lt;30000,"30k",F943&lt;=50000,"30k-50k",F943&lt;=75000,"50k-75k",F943&lt;=100000,"75k-100k",F943&gt;100000,"100k")</f>
        <v>50k-75k</v>
      </c>
      <c r="W943" s="1">
        <f t="shared" si="29"/>
        <v>13</v>
      </c>
    </row>
    <row r="944" spans="1:23" x14ac:dyDescent="0.35">
      <c r="A944">
        <v>941</v>
      </c>
      <c r="B944">
        <v>4128</v>
      </c>
      <c r="C944">
        <v>1962</v>
      </c>
      <c r="D944" s="1" t="s">
        <v>13</v>
      </c>
      <c r="E944" s="1" t="s">
        <v>12</v>
      </c>
      <c r="F944">
        <v>56067</v>
      </c>
      <c r="G944">
        <v>0</v>
      </c>
      <c r="H944" s="2">
        <v>1</v>
      </c>
      <c r="I944" s="2">
        <v>41475</v>
      </c>
      <c r="J944">
        <v>51</v>
      </c>
      <c r="K944">
        <f>VLOOKUP(B944,purchase_dataset!$B$2:$F$2241,2,FALSE)</f>
        <v>12</v>
      </c>
      <c r="L944">
        <f>VLOOKUP(B944,purchase_dataset!$B$2:$F$2241,3,FALSE)</f>
        <v>6</v>
      </c>
      <c r="M944">
        <f>VLOOKUP(B944,purchase_dataset!$B$2:$F$2241,3,FALSE)</f>
        <v>6</v>
      </c>
      <c r="N944">
        <f>VLOOKUP(B944,purchase_dataset!$B$2:$F$2241,5,FALSE)</f>
        <v>7</v>
      </c>
      <c r="O944" s="5">
        <v>64</v>
      </c>
      <c r="P944" s="4" t="str">
        <f t="shared" si="28"/>
        <v>&gt;50</v>
      </c>
      <c r="Q944" s="4">
        <f>M944+N944</f>
        <v>13</v>
      </c>
      <c r="U944" s="28" t="str" cm="1">
        <f t="array" ref="U944">_xlfn.IFS(F944&lt;30000,"30k",F944&lt;=50000,"30k-50k",F944&lt;=75000,"50k-75k",F944&lt;=100000,"75k-100k",F944&gt;100000,"100k")</f>
        <v>50k-75k</v>
      </c>
      <c r="W944" s="1">
        <f t="shared" si="29"/>
        <v>13</v>
      </c>
    </row>
    <row r="945" spans="1:23" x14ac:dyDescent="0.35">
      <c r="A945">
        <v>942</v>
      </c>
      <c r="B945">
        <v>6810</v>
      </c>
      <c r="C945">
        <v>1983</v>
      </c>
      <c r="D945" s="1" t="s">
        <v>10</v>
      </c>
      <c r="E945" s="1" t="s">
        <v>16</v>
      </c>
      <c r="F945">
        <v>82025</v>
      </c>
      <c r="G945">
        <v>0</v>
      </c>
      <c r="H945" s="2">
        <v>0</v>
      </c>
      <c r="I945" s="2">
        <v>41422</v>
      </c>
      <c r="J945">
        <v>76</v>
      </c>
      <c r="K945">
        <f>VLOOKUP(B945,purchase_dataset!$B$2:$F$2241,2,FALSE)</f>
        <v>98</v>
      </c>
      <c r="L945">
        <f>VLOOKUP(B945,purchase_dataset!$B$2:$F$2241,3,FALSE)</f>
        <v>70</v>
      </c>
      <c r="M945">
        <f>VLOOKUP(B945,purchase_dataset!$B$2:$F$2241,3,FALSE)</f>
        <v>70</v>
      </c>
      <c r="N945">
        <f>VLOOKUP(B945,purchase_dataset!$B$2:$F$2241,5,FALSE)</f>
        <v>6</v>
      </c>
      <c r="O945" s="5">
        <v>43</v>
      </c>
      <c r="P945" s="4" t="str">
        <f t="shared" si="28"/>
        <v>30-50</v>
      </c>
      <c r="Q945" s="4">
        <f>M945+N945</f>
        <v>76</v>
      </c>
      <c r="U945" s="28" t="str" cm="1">
        <f t="array" ref="U945">_xlfn.IFS(F945&lt;30000,"30k",F945&lt;=50000,"30k-50k",F945&lt;=75000,"50k-75k",F945&lt;=100000,"75k-100k",F945&gt;100000,"100k")</f>
        <v>75k-100k</v>
      </c>
      <c r="W945" s="1">
        <f t="shared" si="29"/>
        <v>13</v>
      </c>
    </row>
    <row r="946" spans="1:23" x14ac:dyDescent="0.35">
      <c r="A946">
        <v>943</v>
      </c>
      <c r="B946">
        <v>5386</v>
      </c>
      <c r="C946">
        <v>1953</v>
      </c>
      <c r="D946" s="1" t="s">
        <v>10</v>
      </c>
      <c r="E946" s="1" t="s">
        <v>12</v>
      </c>
      <c r="F946">
        <v>94384</v>
      </c>
      <c r="G946">
        <v>0</v>
      </c>
      <c r="H946" s="2">
        <v>0</v>
      </c>
      <c r="I946" s="2">
        <v>41337</v>
      </c>
      <c r="J946">
        <v>62</v>
      </c>
      <c r="K946">
        <f>VLOOKUP(B946,purchase_dataset!$B$2:$F$2241,2,FALSE)</f>
        <v>24</v>
      </c>
      <c r="L946">
        <f>VLOOKUP(B946,purchase_dataset!$B$2:$F$2241,3,FALSE)</f>
        <v>45</v>
      </c>
      <c r="M946">
        <f>VLOOKUP(B946,purchase_dataset!$B$2:$F$2241,3,FALSE)</f>
        <v>45</v>
      </c>
      <c r="N946">
        <f>VLOOKUP(B946,purchase_dataset!$B$2:$F$2241,5,FALSE)</f>
        <v>5</v>
      </c>
      <c r="O946" s="5">
        <v>73</v>
      </c>
      <c r="P946" s="4" t="str">
        <f t="shared" si="28"/>
        <v>&gt;50</v>
      </c>
      <c r="Q946" s="4">
        <f>M946+N946</f>
        <v>50</v>
      </c>
      <c r="U946" s="28" t="str" cm="1">
        <f t="array" ref="U946">_xlfn.IFS(F946&lt;30000,"30k",F946&lt;=50000,"30k-50k",F946&lt;=75000,"50k-75k",F946&lt;=100000,"75k-100k",F946&gt;100000,"100k")</f>
        <v>75k-100k</v>
      </c>
      <c r="W946" s="1">
        <f t="shared" si="29"/>
        <v>13</v>
      </c>
    </row>
    <row r="947" spans="1:23" x14ac:dyDescent="0.35">
      <c r="A947">
        <v>944</v>
      </c>
      <c r="B947">
        <v>8700</v>
      </c>
      <c r="C947">
        <v>1986</v>
      </c>
      <c r="D947" s="1" t="s">
        <v>17</v>
      </c>
      <c r="E947" s="1" t="s">
        <v>11</v>
      </c>
      <c r="F947">
        <v>14906</v>
      </c>
      <c r="G947">
        <v>0</v>
      </c>
      <c r="H947" s="2">
        <v>0</v>
      </c>
      <c r="I947" s="2">
        <v>41265</v>
      </c>
      <c r="J947">
        <v>86</v>
      </c>
      <c r="K947">
        <f>VLOOKUP(B947,purchase_dataset!$B$2:$F$2241,2,FALSE)</f>
        <v>7</v>
      </c>
      <c r="L947">
        <f>VLOOKUP(B947,purchase_dataset!$B$2:$F$2241,3,FALSE)</f>
        <v>16</v>
      </c>
      <c r="M947">
        <f>VLOOKUP(B947,purchase_dataset!$B$2:$F$2241,3,FALSE)</f>
        <v>16</v>
      </c>
      <c r="N947">
        <f>VLOOKUP(B947,purchase_dataset!$B$2:$F$2241,5,FALSE)</f>
        <v>3</v>
      </c>
      <c r="O947" s="5">
        <v>40</v>
      </c>
      <c r="P947" s="4" t="str">
        <f t="shared" si="28"/>
        <v>30-50</v>
      </c>
      <c r="Q947" s="4">
        <f>M947+N947</f>
        <v>19</v>
      </c>
      <c r="U947" s="28" t="str" cm="1">
        <f t="array" ref="U947">_xlfn.IFS(F947&lt;30000,"30k",F947&lt;=50000,"30k-50k",F947&lt;=75000,"50k-75k",F947&lt;=100000,"75k-100k",F947&gt;100000,"100k")</f>
        <v>30k</v>
      </c>
      <c r="W947" s="1">
        <f t="shared" si="29"/>
        <v>14</v>
      </c>
    </row>
    <row r="948" spans="1:23" x14ac:dyDescent="0.35">
      <c r="A948">
        <v>945</v>
      </c>
      <c r="B948">
        <v>3202</v>
      </c>
      <c r="C948">
        <v>1987</v>
      </c>
      <c r="D948" s="1" t="s">
        <v>13</v>
      </c>
      <c r="E948" s="1" t="s">
        <v>14</v>
      </c>
      <c r="F948">
        <v>51563</v>
      </c>
      <c r="G948">
        <v>0</v>
      </c>
      <c r="H948" s="2">
        <v>0</v>
      </c>
      <c r="I948" s="2">
        <v>41183</v>
      </c>
      <c r="J948">
        <v>60</v>
      </c>
      <c r="K948">
        <f>VLOOKUP(B948,purchase_dataset!$B$2:$F$2241,2,FALSE)</f>
        <v>0</v>
      </c>
      <c r="L948">
        <f>VLOOKUP(B948,purchase_dataset!$B$2:$F$2241,3,FALSE)</f>
        <v>0</v>
      </c>
      <c r="M948">
        <f>VLOOKUP(B948,purchase_dataset!$B$2:$F$2241,3,FALSE)</f>
        <v>0</v>
      </c>
      <c r="N948">
        <f>VLOOKUP(B948,purchase_dataset!$B$2:$F$2241,5,FALSE)</f>
        <v>10</v>
      </c>
      <c r="O948" s="5">
        <v>39</v>
      </c>
      <c r="P948" s="4" t="str">
        <f t="shared" si="28"/>
        <v>30-50</v>
      </c>
      <c r="Q948" s="4">
        <f>M948+N948</f>
        <v>10</v>
      </c>
      <c r="U948" s="28" t="str" cm="1">
        <f t="array" ref="U948">_xlfn.IFS(F948&lt;30000,"30k",F948&lt;=50000,"30k-50k",F948&lt;=75000,"50k-75k",F948&lt;=100000,"75k-100k",F948&gt;100000,"100k")</f>
        <v>50k-75k</v>
      </c>
      <c r="W948" s="1">
        <f t="shared" si="29"/>
        <v>14</v>
      </c>
    </row>
    <row r="949" spans="1:23" x14ac:dyDescent="0.35">
      <c r="A949">
        <v>946</v>
      </c>
      <c r="B949">
        <v>1328</v>
      </c>
      <c r="C949">
        <v>1982</v>
      </c>
      <c r="D949" s="1" t="s">
        <v>18</v>
      </c>
      <c r="E949" s="1" t="s">
        <v>14</v>
      </c>
      <c r="F949">
        <v>57937</v>
      </c>
      <c r="G949">
        <v>0</v>
      </c>
      <c r="H949" s="2">
        <v>1</v>
      </c>
      <c r="I949" s="2">
        <v>41686</v>
      </c>
      <c r="J949">
        <v>56</v>
      </c>
      <c r="K949">
        <f>VLOOKUP(B949,purchase_dataset!$B$2:$F$2241,2,FALSE)</f>
        <v>42</v>
      </c>
      <c r="L949">
        <f>VLOOKUP(B949,purchase_dataset!$B$2:$F$2241,3,FALSE)</f>
        <v>48</v>
      </c>
      <c r="M949">
        <f>VLOOKUP(B949,purchase_dataset!$B$2:$F$2241,3,FALSE)</f>
        <v>48</v>
      </c>
      <c r="N949">
        <f>VLOOKUP(B949,purchase_dataset!$B$2:$F$2241,5,FALSE)</f>
        <v>9</v>
      </c>
      <c r="O949" s="5">
        <v>44</v>
      </c>
      <c r="P949" s="4" t="str">
        <f t="shared" si="28"/>
        <v>30-50</v>
      </c>
      <c r="Q949" s="4">
        <f>M949+N949</f>
        <v>57</v>
      </c>
      <c r="U949" s="28" t="str" cm="1">
        <f t="array" ref="U949">_xlfn.IFS(F949&lt;30000,"30k",F949&lt;=50000,"30k-50k",F949&lt;=75000,"50k-75k",F949&lt;=100000,"75k-100k",F949&gt;100000,"100k")</f>
        <v>50k-75k</v>
      </c>
      <c r="W949" s="1">
        <f t="shared" si="29"/>
        <v>12</v>
      </c>
    </row>
    <row r="950" spans="1:23" x14ac:dyDescent="0.35">
      <c r="A950">
        <v>947</v>
      </c>
      <c r="B950">
        <v>8405</v>
      </c>
      <c r="C950">
        <v>1979</v>
      </c>
      <c r="D950" s="1" t="s">
        <v>10</v>
      </c>
      <c r="E950" s="1" t="s">
        <v>16</v>
      </c>
      <c r="F950">
        <v>68274</v>
      </c>
      <c r="G950">
        <v>1</v>
      </c>
      <c r="H950" s="2">
        <v>1</v>
      </c>
      <c r="I950" s="2">
        <v>41547</v>
      </c>
      <c r="J950">
        <v>83</v>
      </c>
      <c r="K950">
        <f>VLOOKUP(B950,purchase_dataset!$B$2:$F$2241,2,FALSE)</f>
        <v>25</v>
      </c>
      <c r="L950">
        <f>VLOOKUP(B950,purchase_dataset!$B$2:$F$2241,3,FALSE)</f>
        <v>25</v>
      </c>
      <c r="M950">
        <f>VLOOKUP(B950,purchase_dataset!$B$2:$F$2241,3,FALSE)</f>
        <v>25</v>
      </c>
      <c r="N950">
        <f>VLOOKUP(B950,purchase_dataset!$B$2:$F$2241,5,FALSE)</f>
        <v>5</v>
      </c>
      <c r="O950" s="5">
        <v>47</v>
      </c>
      <c r="P950" s="4" t="str">
        <f t="shared" si="28"/>
        <v>30-50</v>
      </c>
      <c r="Q950" s="4">
        <f>M950+N950</f>
        <v>30</v>
      </c>
      <c r="U950" s="28" t="str" cm="1">
        <f t="array" ref="U950">_xlfn.IFS(F950&lt;30000,"30k",F950&lt;=50000,"30k-50k",F950&lt;=75000,"50k-75k",F950&lt;=100000,"75k-100k",F950&gt;100000,"100k")</f>
        <v>50k-75k</v>
      </c>
      <c r="W950" s="1">
        <f t="shared" si="29"/>
        <v>13</v>
      </c>
    </row>
    <row r="951" spans="1:23" x14ac:dyDescent="0.35">
      <c r="A951">
        <v>948</v>
      </c>
      <c r="B951">
        <v>6515</v>
      </c>
      <c r="C951">
        <v>1977</v>
      </c>
      <c r="D951" s="1" t="s">
        <v>10</v>
      </c>
      <c r="E951" s="1" t="s">
        <v>12</v>
      </c>
      <c r="F951">
        <v>39771</v>
      </c>
      <c r="G951">
        <v>1</v>
      </c>
      <c r="H951" s="2">
        <v>0</v>
      </c>
      <c r="I951" s="2">
        <v>41614</v>
      </c>
      <c r="J951">
        <v>92</v>
      </c>
      <c r="K951">
        <f>VLOOKUP(B951,purchase_dataset!$B$2:$F$2241,2,FALSE)</f>
        <v>2</v>
      </c>
      <c r="L951">
        <f>VLOOKUP(B951,purchase_dataset!$B$2:$F$2241,3,FALSE)</f>
        <v>8</v>
      </c>
      <c r="M951">
        <f>VLOOKUP(B951,purchase_dataset!$B$2:$F$2241,3,FALSE)</f>
        <v>8</v>
      </c>
      <c r="N951">
        <f>VLOOKUP(B951,purchase_dataset!$B$2:$F$2241,5,FALSE)</f>
        <v>3</v>
      </c>
      <c r="O951" s="5">
        <v>49</v>
      </c>
      <c r="P951" s="4" t="str">
        <f t="shared" si="28"/>
        <v>30-50</v>
      </c>
      <c r="Q951" s="4">
        <f>M951+N951</f>
        <v>11</v>
      </c>
      <c r="U951" s="28" t="str" cm="1">
        <f t="array" ref="U951">_xlfn.IFS(F951&lt;30000,"30k",F951&lt;=50000,"30k-50k",F951&lt;=75000,"50k-75k",F951&lt;=100000,"75k-100k",F951&gt;100000,"100k")</f>
        <v>30k-50k</v>
      </c>
      <c r="W951" s="1">
        <f t="shared" si="29"/>
        <v>13</v>
      </c>
    </row>
    <row r="952" spans="1:23" x14ac:dyDescent="0.35">
      <c r="A952">
        <v>949</v>
      </c>
      <c r="B952">
        <v>2882</v>
      </c>
      <c r="C952">
        <v>1975</v>
      </c>
      <c r="D952" s="1" t="s">
        <v>18</v>
      </c>
      <c r="E952" s="1" t="s">
        <v>16</v>
      </c>
      <c r="F952">
        <v>67893</v>
      </c>
      <c r="G952">
        <v>0</v>
      </c>
      <c r="H952" s="2">
        <v>1</v>
      </c>
      <c r="I952" s="2">
        <v>41183</v>
      </c>
      <c r="J952">
        <v>31</v>
      </c>
      <c r="K952">
        <f>VLOOKUP(B952,purchase_dataset!$B$2:$F$2241,2,FALSE)</f>
        <v>28</v>
      </c>
      <c r="L952">
        <f>VLOOKUP(B952,purchase_dataset!$B$2:$F$2241,3,FALSE)</f>
        <v>18</v>
      </c>
      <c r="M952">
        <f>VLOOKUP(B952,purchase_dataset!$B$2:$F$2241,3,FALSE)</f>
        <v>18</v>
      </c>
      <c r="N952">
        <f>VLOOKUP(B952,purchase_dataset!$B$2:$F$2241,5,FALSE)</f>
        <v>9</v>
      </c>
      <c r="O952" s="5">
        <v>51</v>
      </c>
      <c r="P952" s="4" t="str">
        <f t="shared" si="28"/>
        <v>&gt;50</v>
      </c>
      <c r="Q952" s="4">
        <f>M952+N952</f>
        <v>27</v>
      </c>
      <c r="U952" s="28" t="str" cm="1">
        <f t="array" ref="U952">_xlfn.IFS(F952&lt;30000,"30k",F952&lt;=50000,"30k-50k",F952&lt;=75000,"50k-75k",F952&lt;=100000,"75k-100k",F952&gt;100000,"100k")</f>
        <v>50k-75k</v>
      </c>
      <c r="W952" s="1">
        <f t="shared" si="29"/>
        <v>14</v>
      </c>
    </row>
    <row r="953" spans="1:23" x14ac:dyDescent="0.35">
      <c r="A953">
        <v>950</v>
      </c>
      <c r="B953">
        <v>7574</v>
      </c>
      <c r="C953">
        <v>1979</v>
      </c>
      <c r="D953" s="1" t="s">
        <v>13</v>
      </c>
      <c r="E953" s="1" t="s">
        <v>12</v>
      </c>
      <c r="F953">
        <v>27922</v>
      </c>
      <c r="G953">
        <v>1</v>
      </c>
      <c r="H953" s="2">
        <v>0</v>
      </c>
      <c r="I953" s="2">
        <v>41769</v>
      </c>
      <c r="J953">
        <v>80</v>
      </c>
      <c r="K953">
        <f>VLOOKUP(B953,purchase_dataset!$B$2:$F$2241,2,FALSE)</f>
        <v>0</v>
      </c>
      <c r="L953">
        <f>VLOOKUP(B953,purchase_dataset!$B$2:$F$2241,3,FALSE)</f>
        <v>4</v>
      </c>
      <c r="M953">
        <f>VLOOKUP(B953,purchase_dataset!$B$2:$F$2241,3,FALSE)</f>
        <v>4</v>
      </c>
      <c r="N953">
        <f>VLOOKUP(B953,purchase_dataset!$B$2:$F$2241,5,FALSE)</f>
        <v>3</v>
      </c>
      <c r="O953" s="5">
        <v>47</v>
      </c>
      <c r="P953" s="4" t="str">
        <f t="shared" si="28"/>
        <v>30-50</v>
      </c>
      <c r="Q953" s="4">
        <f>M953+N953</f>
        <v>7</v>
      </c>
      <c r="U953" s="28" t="str" cm="1">
        <f t="array" ref="U953">_xlfn.IFS(F953&lt;30000,"30k",F953&lt;=50000,"30k-50k",F953&lt;=75000,"50k-75k",F953&lt;=100000,"75k-100k",F953&gt;100000,"100k")</f>
        <v>30k</v>
      </c>
      <c r="W953" s="1">
        <f t="shared" si="29"/>
        <v>12</v>
      </c>
    </row>
    <row r="954" spans="1:23" x14ac:dyDescent="0.35">
      <c r="A954">
        <v>951</v>
      </c>
      <c r="B954">
        <v>6387</v>
      </c>
      <c r="C954">
        <v>1976</v>
      </c>
      <c r="D954" s="1" t="s">
        <v>13</v>
      </c>
      <c r="E954" s="1" t="s">
        <v>12</v>
      </c>
      <c r="F954">
        <v>52190</v>
      </c>
      <c r="G954">
        <v>1</v>
      </c>
      <c r="H954" s="2">
        <v>1</v>
      </c>
      <c r="I954" s="2">
        <v>41767</v>
      </c>
      <c r="J954">
        <v>39</v>
      </c>
      <c r="K954">
        <f>VLOOKUP(B954,purchase_dataset!$B$2:$F$2241,2,FALSE)</f>
        <v>0</v>
      </c>
      <c r="L954">
        <f>VLOOKUP(B954,purchase_dataset!$B$2:$F$2241,3,FALSE)</f>
        <v>0</v>
      </c>
      <c r="M954">
        <f>VLOOKUP(B954,purchase_dataset!$B$2:$F$2241,3,FALSE)</f>
        <v>0</v>
      </c>
      <c r="N954">
        <f>VLOOKUP(B954,purchase_dataset!$B$2:$F$2241,5,FALSE)</f>
        <v>3</v>
      </c>
      <c r="O954" s="5">
        <v>50</v>
      </c>
      <c r="P954" s="4" t="str">
        <f t="shared" si="28"/>
        <v>30-50</v>
      </c>
      <c r="Q954" s="4">
        <f>M954+N954</f>
        <v>3</v>
      </c>
      <c r="U954" s="28" t="str" cm="1">
        <f t="array" ref="U954">_xlfn.IFS(F954&lt;30000,"30k",F954&lt;=50000,"30k-50k",F954&lt;=75000,"50k-75k",F954&lt;=100000,"75k-100k",F954&gt;100000,"100k")</f>
        <v>50k-75k</v>
      </c>
      <c r="W954" s="1">
        <f t="shared" si="29"/>
        <v>12</v>
      </c>
    </row>
    <row r="955" spans="1:23" x14ac:dyDescent="0.35">
      <c r="A955">
        <v>952</v>
      </c>
      <c r="B955">
        <v>5320</v>
      </c>
      <c r="C955">
        <v>1973</v>
      </c>
      <c r="D955" s="1" t="s">
        <v>15</v>
      </c>
      <c r="E955" s="1" t="s">
        <v>16</v>
      </c>
      <c r="F955">
        <v>44051</v>
      </c>
      <c r="G955">
        <v>1</v>
      </c>
      <c r="H955" s="2">
        <v>1</v>
      </c>
      <c r="I955" s="2">
        <v>41303</v>
      </c>
      <c r="J955">
        <v>20</v>
      </c>
      <c r="K955">
        <f>VLOOKUP(B955,purchase_dataset!$B$2:$F$2241,2,FALSE)</f>
        <v>7</v>
      </c>
      <c r="L955">
        <f>VLOOKUP(B955,purchase_dataset!$B$2:$F$2241,3,FALSE)</f>
        <v>3</v>
      </c>
      <c r="M955">
        <f>VLOOKUP(B955,purchase_dataset!$B$2:$F$2241,3,FALSE)</f>
        <v>3</v>
      </c>
      <c r="N955">
        <f>VLOOKUP(B955,purchase_dataset!$B$2:$F$2241,5,FALSE)</f>
        <v>4</v>
      </c>
      <c r="O955" s="5">
        <v>53</v>
      </c>
      <c r="P955" s="4" t="str">
        <f t="shared" si="28"/>
        <v>&gt;50</v>
      </c>
      <c r="Q955" s="4">
        <f>M955+N955</f>
        <v>7</v>
      </c>
      <c r="U955" s="28" t="str" cm="1">
        <f t="array" ref="U955">_xlfn.IFS(F955&lt;30000,"30k",F955&lt;=50000,"30k-50k",F955&lt;=75000,"50k-75k",F955&lt;=100000,"75k-100k",F955&gt;100000,"100k")</f>
        <v>30k-50k</v>
      </c>
      <c r="W955" s="1">
        <f t="shared" si="29"/>
        <v>13</v>
      </c>
    </row>
    <row r="956" spans="1:23" x14ac:dyDescent="0.35">
      <c r="A956">
        <v>953</v>
      </c>
      <c r="B956">
        <v>5048</v>
      </c>
      <c r="C956">
        <v>1971</v>
      </c>
      <c r="D956" s="1" t="s">
        <v>13</v>
      </c>
      <c r="E956" s="1" t="s">
        <v>11</v>
      </c>
      <c r="F956">
        <v>42767</v>
      </c>
      <c r="G956">
        <v>2</v>
      </c>
      <c r="H956" s="2">
        <v>0</v>
      </c>
      <c r="I956" s="2">
        <v>41405</v>
      </c>
      <c r="J956">
        <v>53</v>
      </c>
      <c r="K956">
        <f>VLOOKUP(B956,purchase_dataset!$B$2:$F$2241,2,FALSE)</f>
        <v>6</v>
      </c>
      <c r="L956">
        <f>VLOOKUP(B956,purchase_dataset!$B$2:$F$2241,3,FALSE)</f>
        <v>5</v>
      </c>
      <c r="M956">
        <f>VLOOKUP(B956,purchase_dataset!$B$2:$F$2241,3,FALSE)</f>
        <v>5</v>
      </c>
      <c r="N956">
        <f>VLOOKUP(B956,purchase_dataset!$B$2:$F$2241,5,FALSE)</f>
        <v>2</v>
      </c>
      <c r="O956" s="5">
        <v>55</v>
      </c>
      <c r="P956" s="4" t="str">
        <f t="shared" si="28"/>
        <v>&gt;50</v>
      </c>
      <c r="Q956" s="4">
        <f>M956+N956</f>
        <v>7</v>
      </c>
      <c r="U956" s="28" t="str" cm="1">
        <f t="array" ref="U956">_xlfn.IFS(F956&lt;30000,"30k",F956&lt;=50000,"30k-50k",F956&lt;=75000,"50k-75k",F956&lt;=100000,"75k-100k",F956&gt;100000,"100k")</f>
        <v>30k-50k</v>
      </c>
      <c r="W956" s="1">
        <f t="shared" si="29"/>
        <v>13</v>
      </c>
    </row>
    <row r="957" spans="1:23" x14ac:dyDescent="0.35">
      <c r="A957">
        <v>954</v>
      </c>
      <c r="B957">
        <v>8146</v>
      </c>
      <c r="C957">
        <v>1976</v>
      </c>
      <c r="D957" s="1" t="s">
        <v>15</v>
      </c>
      <c r="E957" s="1" t="s">
        <v>12</v>
      </c>
      <c r="F957">
        <v>46106</v>
      </c>
      <c r="G957">
        <v>1</v>
      </c>
      <c r="H957" s="2">
        <v>1</v>
      </c>
      <c r="I957" s="2">
        <v>41770</v>
      </c>
      <c r="J957">
        <v>84</v>
      </c>
      <c r="K957">
        <f>VLOOKUP(B957,purchase_dataset!$B$2:$F$2241,2,FALSE)</f>
        <v>0</v>
      </c>
      <c r="L957">
        <f>VLOOKUP(B957,purchase_dataset!$B$2:$F$2241,3,FALSE)</f>
        <v>0</v>
      </c>
      <c r="M957">
        <f>VLOOKUP(B957,purchase_dataset!$B$2:$F$2241,3,FALSE)</f>
        <v>0</v>
      </c>
      <c r="N957">
        <f>VLOOKUP(B957,purchase_dataset!$B$2:$F$2241,5,FALSE)</f>
        <v>2</v>
      </c>
      <c r="O957" s="5">
        <v>50</v>
      </c>
      <c r="P957" s="4" t="str">
        <f t="shared" si="28"/>
        <v>30-50</v>
      </c>
      <c r="Q957" s="4">
        <f>M957+N957</f>
        <v>2</v>
      </c>
      <c r="U957" s="28" t="str" cm="1">
        <f t="array" ref="U957">_xlfn.IFS(F957&lt;30000,"30k",F957&lt;=50000,"30k-50k",F957&lt;=75000,"50k-75k",F957&lt;=100000,"75k-100k",F957&gt;100000,"100k")</f>
        <v>30k-50k</v>
      </c>
      <c r="W957" s="1">
        <f t="shared" si="29"/>
        <v>12</v>
      </c>
    </row>
    <row r="958" spans="1:23" x14ac:dyDescent="0.35">
      <c r="A958">
        <v>955</v>
      </c>
      <c r="B958">
        <v>10031</v>
      </c>
      <c r="C958">
        <v>1976</v>
      </c>
      <c r="D958" s="1" t="s">
        <v>13</v>
      </c>
      <c r="E958" s="1" t="s">
        <v>14</v>
      </c>
      <c r="F958">
        <v>16927</v>
      </c>
      <c r="G958">
        <v>1</v>
      </c>
      <c r="H958" s="2">
        <v>1</v>
      </c>
      <c r="I958" s="2">
        <v>41315</v>
      </c>
      <c r="J958">
        <v>50</v>
      </c>
      <c r="K958">
        <f>VLOOKUP(B958,purchase_dataset!$B$2:$F$2241,2,FALSE)</f>
        <v>2</v>
      </c>
      <c r="L958">
        <f>VLOOKUP(B958,purchase_dataset!$B$2:$F$2241,3,FALSE)</f>
        <v>1</v>
      </c>
      <c r="M958">
        <f>VLOOKUP(B958,purchase_dataset!$B$2:$F$2241,3,FALSE)</f>
        <v>1</v>
      </c>
      <c r="N958">
        <f>VLOOKUP(B958,purchase_dataset!$B$2:$F$2241,5,FALSE)</f>
        <v>4</v>
      </c>
      <c r="O958" s="5">
        <v>50</v>
      </c>
      <c r="P958" s="4" t="str">
        <f t="shared" si="28"/>
        <v>30-50</v>
      </c>
      <c r="Q958" s="4">
        <f>M958+N958</f>
        <v>5</v>
      </c>
      <c r="U958" s="28" t="str" cm="1">
        <f t="array" ref="U958">_xlfn.IFS(F958&lt;30000,"30k",F958&lt;=50000,"30k-50k",F958&lt;=75000,"50k-75k",F958&lt;=100000,"75k-100k",F958&gt;100000,"100k")</f>
        <v>30k</v>
      </c>
      <c r="W958" s="1">
        <f t="shared" si="29"/>
        <v>13</v>
      </c>
    </row>
    <row r="959" spans="1:23" x14ac:dyDescent="0.35">
      <c r="A959">
        <v>956</v>
      </c>
      <c r="B959">
        <v>5748</v>
      </c>
      <c r="C959">
        <v>1965</v>
      </c>
      <c r="D959" s="1" t="s">
        <v>10</v>
      </c>
      <c r="E959" s="1" t="s">
        <v>14</v>
      </c>
      <c r="F959">
        <v>59754</v>
      </c>
      <c r="G959">
        <v>0</v>
      </c>
      <c r="H959" s="2">
        <v>1</v>
      </c>
      <c r="I959" s="2">
        <v>41244</v>
      </c>
      <c r="J959">
        <v>96</v>
      </c>
      <c r="K959">
        <f>VLOOKUP(B959,purchase_dataset!$B$2:$F$2241,2,FALSE)</f>
        <v>27</v>
      </c>
      <c r="L959">
        <f>VLOOKUP(B959,purchase_dataset!$B$2:$F$2241,3,FALSE)</f>
        <v>146</v>
      </c>
      <c r="M959">
        <f>VLOOKUP(B959,purchase_dataset!$B$2:$F$2241,3,FALSE)</f>
        <v>146</v>
      </c>
      <c r="N959">
        <f>VLOOKUP(B959,purchase_dataset!$B$2:$F$2241,5,FALSE)</f>
        <v>6</v>
      </c>
      <c r="O959" s="5">
        <v>61</v>
      </c>
      <c r="P959" s="4" t="str">
        <f t="shared" si="28"/>
        <v>&gt;50</v>
      </c>
      <c r="Q959" s="4">
        <f>M959+N959</f>
        <v>152</v>
      </c>
      <c r="U959" s="28" t="str" cm="1">
        <f t="array" ref="U959">_xlfn.IFS(F959&lt;30000,"30k",F959&lt;=50000,"30k-50k",F959&lt;=75000,"50k-75k",F959&lt;=100000,"75k-100k",F959&gt;100000,"100k")</f>
        <v>50k-75k</v>
      </c>
      <c r="W959" s="1">
        <f t="shared" si="29"/>
        <v>14</v>
      </c>
    </row>
    <row r="960" spans="1:23" x14ac:dyDescent="0.35">
      <c r="A960">
        <v>957</v>
      </c>
      <c r="B960">
        <v>2134</v>
      </c>
      <c r="C960">
        <v>1952</v>
      </c>
      <c r="D960" s="1" t="s">
        <v>10</v>
      </c>
      <c r="E960" s="1" t="s">
        <v>11</v>
      </c>
      <c r="F960">
        <v>53700</v>
      </c>
      <c r="G960">
        <v>0</v>
      </c>
      <c r="H960" s="2">
        <v>1</v>
      </c>
      <c r="I960" s="2">
        <v>41138</v>
      </c>
      <c r="J960">
        <v>94</v>
      </c>
      <c r="K960">
        <f>VLOOKUP(B960,purchase_dataset!$B$2:$F$2241,2,FALSE)</f>
        <v>5</v>
      </c>
      <c r="L960">
        <f>VLOOKUP(B960,purchase_dataset!$B$2:$F$2241,3,FALSE)</f>
        <v>41</v>
      </c>
      <c r="M960">
        <f>VLOOKUP(B960,purchase_dataset!$B$2:$F$2241,3,FALSE)</f>
        <v>41</v>
      </c>
      <c r="N960">
        <f>VLOOKUP(B960,purchase_dataset!$B$2:$F$2241,5,FALSE)</f>
        <v>8</v>
      </c>
      <c r="O960" s="5">
        <v>74</v>
      </c>
      <c r="P960" s="4" t="str">
        <f t="shared" si="28"/>
        <v>&gt;50</v>
      </c>
      <c r="Q960" s="4">
        <f>M960+N960</f>
        <v>49</v>
      </c>
      <c r="U960" s="28" t="str" cm="1">
        <f t="array" ref="U960">_xlfn.IFS(F960&lt;30000,"30k",F960&lt;=50000,"30k-50k",F960&lt;=75000,"50k-75k",F960&lt;=100000,"75k-100k",F960&gt;100000,"100k")</f>
        <v>50k-75k</v>
      </c>
      <c r="W960" s="1">
        <f t="shared" si="29"/>
        <v>14</v>
      </c>
    </row>
    <row r="961" spans="1:23" x14ac:dyDescent="0.35">
      <c r="A961">
        <v>958</v>
      </c>
      <c r="B961">
        <v>1523</v>
      </c>
      <c r="C961">
        <v>1973</v>
      </c>
      <c r="D961" s="1" t="s">
        <v>10</v>
      </c>
      <c r="E961" s="1" t="s">
        <v>14</v>
      </c>
      <c r="F961">
        <v>59041</v>
      </c>
      <c r="G961">
        <v>1</v>
      </c>
      <c r="H961" s="2">
        <v>1</v>
      </c>
      <c r="I961" s="2">
        <v>41766</v>
      </c>
      <c r="J961">
        <v>25</v>
      </c>
      <c r="K961">
        <f>VLOOKUP(B961,purchase_dataset!$B$2:$F$2241,2,FALSE)</f>
        <v>2</v>
      </c>
      <c r="L961">
        <f>VLOOKUP(B961,purchase_dataset!$B$2:$F$2241,3,FALSE)</f>
        <v>2</v>
      </c>
      <c r="M961">
        <f>VLOOKUP(B961,purchase_dataset!$B$2:$F$2241,3,FALSE)</f>
        <v>2</v>
      </c>
      <c r="N961">
        <f>VLOOKUP(B961,purchase_dataset!$B$2:$F$2241,5,FALSE)</f>
        <v>4</v>
      </c>
      <c r="O961" s="5">
        <v>53</v>
      </c>
      <c r="P961" s="4" t="str">
        <f t="shared" si="28"/>
        <v>&gt;50</v>
      </c>
      <c r="Q961" s="4">
        <f>M961+N961</f>
        <v>6</v>
      </c>
      <c r="U961" s="28" t="str" cm="1">
        <f t="array" ref="U961">_xlfn.IFS(F961&lt;30000,"30k",F961&lt;=50000,"30k-50k",F961&lt;=75000,"50k-75k",F961&lt;=100000,"75k-100k",F961&gt;100000,"100k")</f>
        <v>50k-75k</v>
      </c>
      <c r="W961" s="1">
        <f t="shared" si="29"/>
        <v>12</v>
      </c>
    </row>
    <row r="962" spans="1:23" x14ac:dyDescent="0.35">
      <c r="A962">
        <v>959</v>
      </c>
      <c r="B962">
        <v>9665</v>
      </c>
      <c r="C962">
        <v>1957</v>
      </c>
      <c r="D962" s="1" t="s">
        <v>13</v>
      </c>
      <c r="E962" s="1" t="s">
        <v>16</v>
      </c>
      <c r="F962">
        <v>54237</v>
      </c>
      <c r="G962">
        <v>0</v>
      </c>
      <c r="H962" s="2">
        <v>1</v>
      </c>
      <c r="I962" s="2">
        <v>41391</v>
      </c>
      <c r="J962">
        <v>48</v>
      </c>
      <c r="K962">
        <f>VLOOKUP(B962,purchase_dataset!$B$2:$F$2241,2,FALSE)</f>
        <v>3</v>
      </c>
      <c r="L962">
        <f>VLOOKUP(B962,purchase_dataset!$B$2:$F$2241,3,FALSE)</f>
        <v>0</v>
      </c>
      <c r="M962">
        <f>VLOOKUP(B962,purchase_dataset!$B$2:$F$2241,3,FALSE)</f>
        <v>0</v>
      </c>
      <c r="N962">
        <f>VLOOKUP(B962,purchase_dataset!$B$2:$F$2241,5,FALSE)</f>
        <v>5</v>
      </c>
      <c r="O962" s="5">
        <v>69</v>
      </c>
      <c r="P962" s="4" t="str">
        <f t="shared" si="28"/>
        <v>&gt;50</v>
      </c>
      <c r="Q962" s="4">
        <f>M962+N962</f>
        <v>5</v>
      </c>
      <c r="U962" s="28" t="str" cm="1">
        <f t="array" ref="U962">_xlfn.IFS(F962&lt;30000,"30k",F962&lt;=50000,"30k-50k",F962&lt;=75000,"50k-75k",F962&lt;=100000,"75k-100k",F962&gt;100000,"100k")</f>
        <v>50k-75k</v>
      </c>
      <c r="W962" s="1">
        <f t="shared" si="29"/>
        <v>13</v>
      </c>
    </row>
    <row r="963" spans="1:23" x14ac:dyDescent="0.35">
      <c r="A963">
        <v>960</v>
      </c>
      <c r="B963">
        <v>4640</v>
      </c>
      <c r="C963">
        <v>1967</v>
      </c>
      <c r="D963" s="1" t="s">
        <v>10</v>
      </c>
      <c r="E963" s="1" t="s">
        <v>16</v>
      </c>
      <c r="F963">
        <v>70647</v>
      </c>
      <c r="G963">
        <v>0</v>
      </c>
      <c r="H963" s="2">
        <v>1</v>
      </c>
      <c r="I963" s="2">
        <v>41173</v>
      </c>
      <c r="J963">
        <v>65</v>
      </c>
      <c r="K963">
        <f>VLOOKUP(B963,purchase_dataset!$B$2:$F$2241,2,FALSE)</f>
        <v>85</v>
      </c>
      <c r="L963">
        <f>VLOOKUP(B963,purchase_dataset!$B$2:$F$2241,3,FALSE)</f>
        <v>123</v>
      </c>
      <c r="M963">
        <f>VLOOKUP(B963,purchase_dataset!$B$2:$F$2241,3,FALSE)</f>
        <v>123</v>
      </c>
      <c r="N963">
        <f>VLOOKUP(B963,purchase_dataset!$B$2:$F$2241,5,FALSE)</f>
        <v>13</v>
      </c>
      <c r="O963" s="5">
        <v>59</v>
      </c>
      <c r="P963" s="4" t="str">
        <f t="shared" si="28"/>
        <v>&gt;50</v>
      </c>
      <c r="Q963" s="4">
        <f>M963+N963</f>
        <v>136</v>
      </c>
      <c r="U963" s="28" t="str" cm="1">
        <f t="array" ref="U963">_xlfn.IFS(F963&lt;30000,"30k",F963&lt;=50000,"30k-50k",F963&lt;=75000,"50k-75k",F963&lt;=100000,"75k-100k",F963&gt;100000,"100k")</f>
        <v>50k-75k</v>
      </c>
      <c r="W963" s="1">
        <f t="shared" si="29"/>
        <v>14</v>
      </c>
    </row>
    <row r="964" spans="1:23" x14ac:dyDescent="0.35">
      <c r="A964">
        <v>961</v>
      </c>
      <c r="B964">
        <v>3635</v>
      </c>
      <c r="C964">
        <v>1962</v>
      </c>
      <c r="D964" s="1" t="s">
        <v>13</v>
      </c>
      <c r="E964" s="1" t="s">
        <v>11</v>
      </c>
      <c r="F964">
        <v>52597</v>
      </c>
      <c r="G964">
        <v>0</v>
      </c>
      <c r="H964" s="2">
        <v>1</v>
      </c>
      <c r="I964" s="2">
        <v>41766</v>
      </c>
      <c r="J964">
        <v>69</v>
      </c>
      <c r="K964">
        <f>VLOOKUP(B964,purchase_dataset!$B$2:$F$2241,2,FALSE)</f>
        <v>0</v>
      </c>
      <c r="L964">
        <f>VLOOKUP(B964,purchase_dataset!$B$2:$F$2241,3,FALSE)</f>
        <v>0</v>
      </c>
      <c r="M964">
        <f>VLOOKUP(B964,purchase_dataset!$B$2:$F$2241,3,FALSE)</f>
        <v>0</v>
      </c>
      <c r="N964">
        <f>VLOOKUP(B964,purchase_dataset!$B$2:$F$2241,5,FALSE)</f>
        <v>8</v>
      </c>
      <c r="O964" s="5">
        <v>64</v>
      </c>
      <c r="P964" s="4" t="str">
        <f t="shared" ref="P964:P1027" si="30">IF(O964&lt;30,"30",IF(O964&lt;=50,"30-50","&gt;50"))</f>
        <v>&gt;50</v>
      </c>
      <c r="Q964" s="4">
        <f>M964+N964</f>
        <v>8</v>
      </c>
      <c r="U964" s="28" t="str" cm="1">
        <f t="array" ref="U964">_xlfn.IFS(F964&lt;30000,"30k",F964&lt;=50000,"30k-50k",F964&lt;=75000,"50k-75k",F964&lt;=100000,"75k-100k",F964&gt;100000,"100k")</f>
        <v>50k-75k</v>
      </c>
      <c r="W964" s="1">
        <f t="shared" ref="W964:W1027" si="31">2026-YEAR(I964)</f>
        <v>12</v>
      </c>
    </row>
    <row r="965" spans="1:23" x14ac:dyDescent="0.35">
      <c r="A965">
        <v>962</v>
      </c>
      <c r="B965">
        <v>3547</v>
      </c>
      <c r="C965">
        <v>1969</v>
      </c>
      <c r="D965" s="1" t="s">
        <v>15</v>
      </c>
      <c r="E965" s="1" t="s">
        <v>12</v>
      </c>
      <c r="F965">
        <v>41021</v>
      </c>
      <c r="G965">
        <v>1</v>
      </c>
      <c r="H965" s="2">
        <v>0</v>
      </c>
      <c r="I965" s="2">
        <v>41273</v>
      </c>
      <c r="J965">
        <v>12</v>
      </c>
      <c r="K965">
        <f>VLOOKUP(B965,purchase_dataset!$B$2:$F$2241,2,FALSE)</f>
        <v>7</v>
      </c>
      <c r="L965">
        <f>VLOOKUP(B965,purchase_dataset!$B$2:$F$2241,3,FALSE)</f>
        <v>16</v>
      </c>
      <c r="M965">
        <f>VLOOKUP(B965,purchase_dataset!$B$2:$F$2241,3,FALSE)</f>
        <v>16</v>
      </c>
      <c r="N965">
        <f>VLOOKUP(B965,purchase_dataset!$B$2:$F$2241,5,FALSE)</f>
        <v>3</v>
      </c>
      <c r="O965" s="5">
        <v>57</v>
      </c>
      <c r="P965" s="4" t="str">
        <f t="shared" si="30"/>
        <v>&gt;50</v>
      </c>
      <c r="Q965" s="4">
        <f>M965+N965</f>
        <v>19</v>
      </c>
      <c r="U965" s="28" t="str" cm="1">
        <f t="array" ref="U965">_xlfn.IFS(F965&lt;30000,"30k",F965&lt;=50000,"30k-50k",F965&lt;=75000,"50k-75k",F965&lt;=100000,"75k-100k",F965&gt;100000,"100k")</f>
        <v>30k-50k</v>
      </c>
      <c r="W965" s="1">
        <f t="shared" si="31"/>
        <v>14</v>
      </c>
    </row>
    <row r="966" spans="1:23" x14ac:dyDescent="0.35">
      <c r="A966">
        <v>963</v>
      </c>
      <c r="B966">
        <v>2456</v>
      </c>
      <c r="C966">
        <v>1975</v>
      </c>
      <c r="D966" s="1" t="s">
        <v>13</v>
      </c>
      <c r="E966" s="1" t="s">
        <v>14</v>
      </c>
      <c r="F966">
        <v>40233</v>
      </c>
      <c r="G966">
        <v>0</v>
      </c>
      <c r="H966" s="2">
        <v>1</v>
      </c>
      <c r="I966" s="2">
        <v>41561</v>
      </c>
      <c r="J966">
        <v>84</v>
      </c>
      <c r="K966">
        <f>VLOOKUP(B966,purchase_dataset!$B$2:$F$2241,2,FALSE)</f>
        <v>4</v>
      </c>
      <c r="L966">
        <f>VLOOKUP(B966,purchase_dataset!$B$2:$F$2241,3,FALSE)</f>
        <v>17</v>
      </c>
      <c r="M966">
        <f>VLOOKUP(B966,purchase_dataset!$B$2:$F$2241,3,FALSE)</f>
        <v>17</v>
      </c>
      <c r="N966">
        <f>VLOOKUP(B966,purchase_dataset!$B$2:$F$2241,5,FALSE)</f>
        <v>5</v>
      </c>
      <c r="O966" s="5">
        <v>51</v>
      </c>
      <c r="P966" s="4" t="str">
        <f t="shared" si="30"/>
        <v>&gt;50</v>
      </c>
      <c r="Q966" s="4">
        <f>M966+N966</f>
        <v>22</v>
      </c>
      <c r="U966" s="28" t="str" cm="1">
        <f t="array" ref="U966">_xlfn.IFS(F966&lt;30000,"30k",F966&lt;=50000,"30k-50k",F966&lt;=75000,"50k-75k",F966&lt;=100000,"75k-100k",F966&gt;100000,"100k")</f>
        <v>30k-50k</v>
      </c>
      <c r="W966" s="1">
        <f t="shared" si="31"/>
        <v>13</v>
      </c>
    </row>
    <row r="967" spans="1:23" x14ac:dyDescent="0.35">
      <c r="A967">
        <v>964</v>
      </c>
      <c r="B967">
        <v>5633</v>
      </c>
      <c r="C967">
        <v>1980</v>
      </c>
      <c r="D967" s="1" t="s">
        <v>10</v>
      </c>
      <c r="E967" s="1" t="s">
        <v>14</v>
      </c>
      <c r="F967">
        <v>50183</v>
      </c>
      <c r="G967">
        <v>1</v>
      </c>
      <c r="H967" s="2">
        <v>1</v>
      </c>
      <c r="I967" s="2">
        <v>41815</v>
      </c>
      <c r="J967">
        <v>47</v>
      </c>
      <c r="K967">
        <f>VLOOKUP(B967,purchase_dataset!$B$2:$F$2241,2,FALSE)</f>
        <v>12</v>
      </c>
      <c r="L967">
        <f>VLOOKUP(B967,purchase_dataset!$B$2:$F$2241,3,FALSE)</f>
        <v>10</v>
      </c>
      <c r="M967">
        <f>VLOOKUP(B967,purchase_dataset!$B$2:$F$2241,3,FALSE)</f>
        <v>10</v>
      </c>
      <c r="N967">
        <f>VLOOKUP(B967,purchase_dataset!$B$2:$F$2241,5,FALSE)</f>
        <v>6</v>
      </c>
      <c r="O967" s="5">
        <v>46</v>
      </c>
      <c r="P967" s="4" t="str">
        <f t="shared" si="30"/>
        <v>30-50</v>
      </c>
      <c r="Q967" s="4">
        <f>M967+N967</f>
        <v>16</v>
      </c>
      <c r="U967" s="28" t="str" cm="1">
        <f t="array" ref="U967">_xlfn.IFS(F967&lt;30000,"30k",F967&lt;=50000,"30k-50k",F967&lt;=75000,"50k-75k",F967&lt;=100000,"75k-100k",F967&gt;100000,"100k")</f>
        <v>50k-75k</v>
      </c>
      <c r="W967" s="1">
        <f t="shared" si="31"/>
        <v>12</v>
      </c>
    </row>
    <row r="968" spans="1:23" x14ac:dyDescent="0.35">
      <c r="A968">
        <v>965</v>
      </c>
      <c r="B968">
        <v>7801</v>
      </c>
      <c r="C968">
        <v>1959</v>
      </c>
      <c r="D968" s="1" t="s">
        <v>10</v>
      </c>
      <c r="E968" s="1" t="s">
        <v>12</v>
      </c>
      <c r="F968">
        <v>54753</v>
      </c>
      <c r="G968">
        <v>0</v>
      </c>
      <c r="H968" s="2">
        <v>1</v>
      </c>
      <c r="I968" s="2">
        <v>41529</v>
      </c>
      <c r="J968">
        <v>87</v>
      </c>
      <c r="K968">
        <f>VLOOKUP(B968,purchase_dataset!$B$2:$F$2241,2,FALSE)</f>
        <v>107</v>
      </c>
      <c r="L968">
        <f>VLOOKUP(B968,purchase_dataset!$B$2:$F$2241,3,FALSE)</f>
        <v>59</v>
      </c>
      <c r="M968">
        <f>VLOOKUP(B968,purchase_dataset!$B$2:$F$2241,3,FALSE)</f>
        <v>59</v>
      </c>
      <c r="N968">
        <f>VLOOKUP(B968,purchase_dataset!$B$2:$F$2241,5,FALSE)</f>
        <v>11</v>
      </c>
      <c r="O968" s="5">
        <v>67</v>
      </c>
      <c r="P968" s="4" t="str">
        <f t="shared" si="30"/>
        <v>&gt;50</v>
      </c>
      <c r="Q968" s="4">
        <f>M968+N968</f>
        <v>70</v>
      </c>
      <c r="U968" s="28" t="str" cm="1">
        <f t="array" ref="U968">_xlfn.IFS(F968&lt;30000,"30k",F968&lt;=50000,"30k-50k",F968&lt;=75000,"50k-75k",F968&lt;=100000,"75k-100k",F968&gt;100000,"100k")</f>
        <v>50k-75k</v>
      </c>
      <c r="W968" s="1">
        <f t="shared" si="31"/>
        <v>13</v>
      </c>
    </row>
    <row r="969" spans="1:23" x14ac:dyDescent="0.35">
      <c r="A969">
        <v>966</v>
      </c>
      <c r="B969">
        <v>10489</v>
      </c>
      <c r="C969">
        <v>1973</v>
      </c>
      <c r="D969" s="1" t="s">
        <v>10</v>
      </c>
      <c r="E969" s="1" t="s">
        <v>14</v>
      </c>
      <c r="F969">
        <v>92955</v>
      </c>
      <c r="G969">
        <v>0</v>
      </c>
      <c r="H969" s="2">
        <v>0</v>
      </c>
      <c r="I969" s="2">
        <v>41505</v>
      </c>
      <c r="J969">
        <v>35</v>
      </c>
      <c r="K969">
        <f>VLOOKUP(B969,purchase_dataset!$B$2:$F$2241,2,FALSE)</f>
        <v>21</v>
      </c>
      <c r="L969">
        <f>VLOOKUP(B969,purchase_dataset!$B$2:$F$2241,3,FALSE)</f>
        <v>24</v>
      </c>
      <c r="M969">
        <f>VLOOKUP(B969,purchase_dataset!$B$2:$F$2241,3,FALSE)</f>
        <v>24</v>
      </c>
      <c r="N969">
        <f>VLOOKUP(B969,purchase_dataset!$B$2:$F$2241,5,FALSE)</f>
        <v>9</v>
      </c>
      <c r="O969" s="5">
        <v>53</v>
      </c>
      <c r="P969" s="4" t="str">
        <f t="shared" si="30"/>
        <v>&gt;50</v>
      </c>
      <c r="Q969" s="4">
        <f>M969+N969</f>
        <v>33</v>
      </c>
      <c r="U969" s="28" t="str" cm="1">
        <f t="array" ref="U969">_xlfn.IFS(F969&lt;30000,"30k",F969&lt;=50000,"30k-50k",F969&lt;=75000,"50k-75k",F969&lt;=100000,"75k-100k",F969&gt;100000,"100k")</f>
        <v>75k-100k</v>
      </c>
      <c r="W969" s="1">
        <f t="shared" si="31"/>
        <v>13</v>
      </c>
    </row>
    <row r="970" spans="1:23" x14ac:dyDescent="0.35">
      <c r="A970">
        <v>967</v>
      </c>
      <c r="B970">
        <v>7011</v>
      </c>
      <c r="C970">
        <v>1973</v>
      </c>
      <c r="D970" s="1" t="s">
        <v>10</v>
      </c>
      <c r="E970" s="1" t="s">
        <v>14</v>
      </c>
      <c r="F970">
        <v>33471</v>
      </c>
      <c r="G970">
        <v>1</v>
      </c>
      <c r="H970" s="2">
        <v>0</v>
      </c>
      <c r="I970" s="2">
        <v>41194</v>
      </c>
      <c r="J970">
        <v>47</v>
      </c>
      <c r="K970">
        <f>VLOOKUP(B970,purchase_dataset!$B$2:$F$2241,2,FALSE)</f>
        <v>2</v>
      </c>
      <c r="L970">
        <f>VLOOKUP(B970,purchase_dataset!$B$2:$F$2241,3,FALSE)</f>
        <v>9</v>
      </c>
      <c r="M970">
        <f>VLOOKUP(B970,purchase_dataset!$B$2:$F$2241,3,FALSE)</f>
        <v>9</v>
      </c>
      <c r="N970">
        <f>VLOOKUP(B970,purchase_dataset!$B$2:$F$2241,5,FALSE)</f>
        <v>4</v>
      </c>
      <c r="O970" s="5">
        <v>53</v>
      </c>
      <c r="P970" s="4" t="str">
        <f t="shared" si="30"/>
        <v>&gt;50</v>
      </c>
      <c r="Q970" s="4">
        <f>M970+N970</f>
        <v>13</v>
      </c>
      <c r="U970" s="28" t="str" cm="1">
        <f t="array" ref="U970">_xlfn.IFS(F970&lt;30000,"30k",F970&lt;=50000,"30k-50k",F970&lt;=75000,"50k-75k",F970&lt;=100000,"75k-100k",F970&gt;100000,"100k")</f>
        <v>30k-50k</v>
      </c>
      <c r="W970" s="1">
        <f t="shared" si="31"/>
        <v>14</v>
      </c>
    </row>
    <row r="971" spans="1:23" x14ac:dyDescent="0.35">
      <c r="A971">
        <v>968</v>
      </c>
      <c r="B971">
        <v>2620</v>
      </c>
      <c r="C971">
        <v>1974</v>
      </c>
      <c r="D971" s="1" t="s">
        <v>13</v>
      </c>
      <c r="E971" s="1" t="s">
        <v>14</v>
      </c>
      <c r="F971">
        <v>34596</v>
      </c>
      <c r="G971">
        <v>1</v>
      </c>
      <c r="H971" s="2">
        <v>0</v>
      </c>
      <c r="I971" s="2">
        <v>41377</v>
      </c>
      <c r="J971">
        <v>48</v>
      </c>
      <c r="K971">
        <f>VLOOKUP(B971,purchase_dataset!$B$2:$F$2241,2,FALSE)</f>
        <v>0</v>
      </c>
      <c r="L971">
        <f>VLOOKUP(B971,purchase_dataset!$B$2:$F$2241,3,FALSE)</f>
        <v>0</v>
      </c>
      <c r="M971">
        <f>VLOOKUP(B971,purchase_dataset!$B$2:$F$2241,3,FALSE)</f>
        <v>0</v>
      </c>
      <c r="N971">
        <f>VLOOKUP(B971,purchase_dataset!$B$2:$F$2241,5,FALSE)</f>
        <v>2</v>
      </c>
      <c r="O971" s="5">
        <v>52</v>
      </c>
      <c r="P971" s="4" t="str">
        <f t="shared" si="30"/>
        <v>&gt;50</v>
      </c>
      <c r="Q971" s="4">
        <f>M971+N971</f>
        <v>2</v>
      </c>
      <c r="U971" s="28" t="str" cm="1">
        <f t="array" ref="U971">_xlfn.IFS(F971&lt;30000,"30k",F971&lt;=50000,"30k-50k",F971&lt;=75000,"50k-75k",F971&lt;=100000,"75k-100k",F971&gt;100000,"100k")</f>
        <v>30k-50k</v>
      </c>
      <c r="W971" s="1">
        <f t="shared" si="31"/>
        <v>13</v>
      </c>
    </row>
    <row r="972" spans="1:23" x14ac:dyDescent="0.35">
      <c r="A972">
        <v>969</v>
      </c>
      <c r="B972">
        <v>3933</v>
      </c>
      <c r="C972">
        <v>1980</v>
      </c>
      <c r="D972" s="1" t="s">
        <v>10</v>
      </c>
      <c r="E972" s="1" t="s">
        <v>12</v>
      </c>
      <c r="F972">
        <v>44010</v>
      </c>
      <c r="G972">
        <v>1</v>
      </c>
      <c r="H972" s="2">
        <v>0</v>
      </c>
      <c r="I972" s="2">
        <v>41195</v>
      </c>
      <c r="J972">
        <v>46</v>
      </c>
      <c r="K972">
        <f>VLOOKUP(B972,purchase_dataset!$B$2:$F$2241,2,FALSE)</f>
        <v>36</v>
      </c>
      <c r="L972">
        <f>VLOOKUP(B972,purchase_dataset!$B$2:$F$2241,3,FALSE)</f>
        <v>72</v>
      </c>
      <c r="M972">
        <f>VLOOKUP(B972,purchase_dataset!$B$2:$F$2241,3,FALSE)</f>
        <v>72</v>
      </c>
      <c r="N972">
        <f>VLOOKUP(B972,purchase_dataset!$B$2:$F$2241,5,FALSE)</f>
        <v>6</v>
      </c>
      <c r="O972" s="5">
        <v>46</v>
      </c>
      <c r="P972" s="4" t="str">
        <f t="shared" si="30"/>
        <v>30-50</v>
      </c>
      <c r="Q972" s="4">
        <f>M972+N972</f>
        <v>78</v>
      </c>
      <c r="U972" s="28" t="str" cm="1">
        <f t="array" ref="U972">_xlfn.IFS(F972&lt;30000,"30k",F972&lt;=50000,"30k-50k",F972&lt;=75000,"50k-75k",F972&lt;=100000,"75k-100k",F972&gt;100000,"100k")</f>
        <v>30k-50k</v>
      </c>
      <c r="W972" s="1">
        <f t="shared" si="31"/>
        <v>14</v>
      </c>
    </row>
    <row r="973" spans="1:23" x14ac:dyDescent="0.35">
      <c r="A973">
        <v>970</v>
      </c>
      <c r="B973">
        <v>10981</v>
      </c>
      <c r="C973">
        <v>1988</v>
      </c>
      <c r="D973" s="1" t="s">
        <v>10</v>
      </c>
      <c r="E973" s="1" t="s">
        <v>14</v>
      </c>
      <c r="F973">
        <v>84219</v>
      </c>
      <c r="G973">
        <v>0</v>
      </c>
      <c r="H973" s="2">
        <v>0</v>
      </c>
      <c r="I973" s="2">
        <v>41672</v>
      </c>
      <c r="J973">
        <v>27</v>
      </c>
      <c r="K973">
        <f>VLOOKUP(B973,purchase_dataset!$B$2:$F$2241,2,FALSE)</f>
        <v>137</v>
      </c>
      <c r="L973">
        <f>VLOOKUP(B973,purchase_dataset!$B$2:$F$2241,3,FALSE)</f>
        <v>137</v>
      </c>
      <c r="M973">
        <f>VLOOKUP(B973,purchase_dataset!$B$2:$F$2241,3,FALSE)</f>
        <v>137</v>
      </c>
      <c r="N973">
        <f>VLOOKUP(B973,purchase_dataset!$B$2:$F$2241,5,FALSE)</f>
        <v>10</v>
      </c>
      <c r="O973" s="5">
        <v>38</v>
      </c>
      <c r="P973" s="4" t="str">
        <f t="shared" si="30"/>
        <v>30-50</v>
      </c>
      <c r="Q973" s="4">
        <f>M973+N973</f>
        <v>147</v>
      </c>
      <c r="U973" s="28" t="str" cm="1">
        <f t="array" ref="U973">_xlfn.IFS(F973&lt;30000,"30k",F973&lt;=50000,"30k-50k",F973&lt;=75000,"50k-75k",F973&lt;=100000,"75k-100k",F973&gt;100000,"100k")</f>
        <v>75k-100k</v>
      </c>
      <c r="W973" s="1">
        <f t="shared" si="31"/>
        <v>12</v>
      </c>
    </row>
    <row r="974" spans="1:23" x14ac:dyDescent="0.35">
      <c r="A974">
        <v>971</v>
      </c>
      <c r="B974">
        <v>1734</v>
      </c>
      <c r="C974">
        <v>1968</v>
      </c>
      <c r="D974" s="1" t="s">
        <v>13</v>
      </c>
      <c r="E974" s="1" t="s">
        <v>12</v>
      </c>
      <c r="F974">
        <v>40706</v>
      </c>
      <c r="G974">
        <v>2</v>
      </c>
      <c r="H974" s="2">
        <v>1</v>
      </c>
      <c r="I974" s="2">
        <v>41291</v>
      </c>
      <c r="J974">
        <v>37</v>
      </c>
      <c r="K974">
        <f>VLOOKUP(B974,purchase_dataset!$B$2:$F$2241,2,FALSE)</f>
        <v>0</v>
      </c>
      <c r="L974">
        <f>VLOOKUP(B974,purchase_dataset!$B$2:$F$2241,3,FALSE)</f>
        <v>2</v>
      </c>
      <c r="M974">
        <f>VLOOKUP(B974,purchase_dataset!$B$2:$F$2241,3,FALSE)</f>
        <v>2</v>
      </c>
      <c r="N974">
        <f>VLOOKUP(B974,purchase_dataset!$B$2:$F$2241,5,FALSE)</f>
        <v>4</v>
      </c>
      <c r="O974" s="5">
        <v>58</v>
      </c>
      <c r="P974" s="4" t="str">
        <f t="shared" si="30"/>
        <v>&gt;50</v>
      </c>
      <c r="Q974" s="4">
        <f>M974+N974</f>
        <v>6</v>
      </c>
      <c r="U974" s="28" t="str" cm="1">
        <f t="array" ref="U974">_xlfn.IFS(F974&lt;30000,"30k",F974&lt;=50000,"30k-50k",F974&lt;=75000,"50k-75k",F974&lt;=100000,"75k-100k",F974&gt;100000,"100k")</f>
        <v>30k-50k</v>
      </c>
      <c r="W974" s="1">
        <f t="shared" si="31"/>
        <v>13</v>
      </c>
    </row>
    <row r="975" spans="1:23" x14ac:dyDescent="0.35">
      <c r="A975">
        <v>972</v>
      </c>
      <c r="B975">
        <v>10995</v>
      </c>
      <c r="C975">
        <v>1988</v>
      </c>
      <c r="D975" s="1" t="s">
        <v>18</v>
      </c>
      <c r="E975" s="1" t="s">
        <v>14</v>
      </c>
      <c r="F975">
        <v>15716</v>
      </c>
      <c r="G975">
        <v>1</v>
      </c>
      <c r="H975" s="2">
        <v>0</v>
      </c>
      <c r="I975" s="2">
        <v>41225</v>
      </c>
      <c r="J975">
        <v>8</v>
      </c>
      <c r="K975">
        <f>VLOOKUP(B975,purchase_dataset!$B$2:$F$2241,2,FALSE)</f>
        <v>5</v>
      </c>
      <c r="L975">
        <f>VLOOKUP(B975,purchase_dataset!$B$2:$F$2241,3,FALSE)</f>
        <v>7</v>
      </c>
      <c r="M975">
        <f>VLOOKUP(B975,purchase_dataset!$B$2:$F$2241,3,FALSE)</f>
        <v>7</v>
      </c>
      <c r="N975">
        <f>VLOOKUP(B975,purchase_dataset!$B$2:$F$2241,5,FALSE)</f>
        <v>4</v>
      </c>
      <c r="O975" s="5">
        <v>38</v>
      </c>
      <c r="P975" s="4" t="str">
        <f t="shared" si="30"/>
        <v>30-50</v>
      </c>
      <c r="Q975" s="4">
        <f>M975+N975</f>
        <v>11</v>
      </c>
      <c r="U975" s="28" t="str" cm="1">
        <f t="array" ref="U975">_xlfn.IFS(F975&lt;30000,"30k",F975&lt;=50000,"30k-50k",F975&lt;=75000,"50k-75k",F975&lt;=100000,"75k-100k",F975&gt;100000,"100k")</f>
        <v>30k</v>
      </c>
      <c r="W975" s="1">
        <f t="shared" si="31"/>
        <v>14</v>
      </c>
    </row>
    <row r="976" spans="1:23" x14ac:dyDescent="0.35">
      <c r="A976">
        <v>973</v>
      </c>
      <c r="B976">
        <v>6357</v>
      </c>
      <c r="C976">
        <v>1959</v>
      </c>
      <c r="D976" s="1" t="s">
        <v>18</v>
      </c>
      <c r="E976" s="1" t="s">
        <v>16</v>
      </c>
      <c r="F976">
        <v>59052</v>
      </c>
      <c r="G976">
        <v>0</v>
      </c>
      <c r="H976" s="2">
        <v>1</v>
      </c>
      <c r="I976" s="2">
        <v>41595</v>
      </c>
      <c r="J976">
        <v>29</v>
      </c>
      <c r="K976">
        <f>VLOOKUP(B976,purchase_dataset!$B$2:$F$2241,2,FALSE)</f>
        <v>35</v>
      </c>
      <c r="L976">
        <f>VLOOKUP(B976,purchase_dataset!$B$2:$F$2241,3,FALSE)</f>
        <v>57</v>
      </c>
      <c r="M976">
        <f>VLOOKUP(B976,purchase_dataset!$B$2:$F$2241,3,FALSE)</f>
        <v>57</v>
      </c>
      <c r="N976">
        <f>VLOOKUP(B976,purchase_dataset!$B$2:$F$2241,5,FALSE)</f>
        <v>7</v>
      </c>
      <c r="O976" s="5">
        <v>67</v>
      </c>
      <c r="P976" s="4" t="str">
        <f t="shared" si="30"/>
        <v>&gt;50</v>
      </c>
      <c r="Q976" s="4">
        <f>M976+N976</f>
        <v>64</v>
      </c>
      <c r="U976" s="28" t="str" cm="1">
        <f t="array" ref="U976">_xlfn.IFS(F976&lt;30000,"30k",F976&lt;=50000,"30k-50k",F976&lt;=75000,"50k-75k",F976&lt;=100000,"75k-100k",F976&gt;100000,"100k")</f>
        <v>50k-75k</v>
      </c>
      <c r="W976" s="1">
        <f t="shared" si="31"/>
        <v>13</v>
      </c>
    </row>
    <row r="977" spans="1:23" x14ac:dyDescent="0.35">
      <c r="A977">
        <v>974</v>
      </c>
      <c r="B977">
        <v>9209</v>
      </c>
      <c r="C977">
        <v>1971</v>
      </c>
      <c r="D977" s="1" t="s">
        <v>15</v>
      </c>
      <c r="E977" s="1" t="s">
        <v>12</v>
      </c>
      <c r="F977">
        <v>80573</v>
      </c>
      <c r="G977">
        <v>0</v>
      </c>
      <c r="H977" s="2">
        <v>0</v>
      </c>
      <c r="I977" s="2">
        <v>41196</v>
      </c>
      <c r="J977">
        <v>85</v>
      </c>
      <c r="K977">
        <f>VLOOKUP(B977,purchase_dataset!$B$2:$F$2241,2,FALSE)</f>
        <v>138</v>
      </c>
      <c r="L977">
        <f>VLOOKUP(B977,purchase_dataset!$B$2:$F$2241,3,FALSE)</f>
        <v>92</v>
      </c>
      <c r="M977">
        <f>VLOOKUP(B977,purchase_dataset!$B$2:$F$2241,3,FALSE)</f>
        <v>92</v>
      </c>
      <c r="N977">
        <f>VLOOKUP(B977,purchase_dataset!$B$2:$F$2241,5,FALSE)</f>
        <v>13</v>
      </c>
      <c r="O977" s="5">
        <v>55</v>
      </c>
      <c r="P977" s="4" t="str">
        <f t="shared" si="30"/>
        <v>&gt;50</v>
      </c>
      <c r="Q977" s="4">
        <f>M977+N977</f>
        <v>105</v>
      </c>
      <c r="U977" s="28" t="str" cm="1">
        <f t="array" ref="U977">_xlfn.IFS(F977&lt;30000,"30k",F977&lt;=50000,"30k-50k",F977&lt;=75000,"50k-75k",F977&lt;=100000,"75k-100k",F977&gt;100000,"100k")</f>
        <v>75k-100k</v>
      </c>
      <c r="W977" s="1">
        <f t="shared" si="31"/>
        <v>14</v>
      </c>
    </row>
    <row r="978" spans="1:23" x14ac:dyDescent="0.35">
      <c r="A978">
        <v>975</v>
      </c>
      <c r="B978">
        <v>10286</v>
      </c>
      <c r="C978">
        <v>1962</v>
      </c>
      <c r="D978" s="1" t="s">
        <v>10</v>
      </c>
      <c r="E978" s="1" t="s">
        <v>14</v>
      </c>
      <c r="F978">
        <v>83715</v>
      </c>
      <c r="G978">
        <v>0</v>
      </c>
      <c r="H978" s="2">
        <v>0</v>
      </c>
      <c r="I978" s="2">
        <v>41673</v>
      </c>
      <c r="J978">
        <v>2</v>
      </c>
      <c r="K978">
        <f>VLOOKUP(B978,purchase_dataset!$B$2:$F$2241,2,FALSE)</f>
        <v>8</v>
      </c>
      <c r="L978">
        <f>VLOOKUP(B978,purchase_dataset!$B$2:$F$2241,3,FALSE)</f>
        <v>35</v>
      </c>
      <c r="M978">
        <f>VLOOKUP(B978,purchase_dataset!$B$2:$F$2241,3,FALSE)</f>
        <v>35</v>
      </c>
      <c r="N978">
        <f>VLOOKUP(B978,purchase_dataset!$B$2:$F$2241,5,FALSE)</f>
        <v>13</v>
      </c>
      <c r="O978" s="5">
        <v>64</v>
      </c>
      <c r="P978" s="4" t="str">
        <f t="shared" si="30"/>
        <v>&gt;50</v>
      </c>
      <c r="Q978" s="4">
        <f>M978+N978</f>
        <v>48</v>
      </c>
      <c r="U978" s="28" t="str" cm="1">
        <f t="array" ref="U978">_xlfn.IFS(F978&lt;30000,"30k",F978&lt;=50000,"30k-50k",F978&lt;=75000,"50k-75k",F978&lt;=100000,"75k-100k",F978&gt;100000,"100k")</f>
        <v>75k-100k</v>
      </c>
      <c r="W978" s="1">
        <f t="shared" si="31"/>
        <v>12</v>
      </c>
    </row>
    <row r="979" spans="1:23" x14ac:dyDescent="0.35">
      <c r="A979">
        <v>976</v>
      </c>
      <c r="B979">
        <v>2611</v>
      </c>
      <c r="C979">
        <v>1959</v>
      </c>
      <c r="D979" s="1" t="s">
        <v>15</v>
      </c>
      <c r="E979" s="1" t="s">
        <v>12</v>
      </c>
      <c r="F979">
        <v>82576</v>
      </c>
      <c r="G979">
        <v>0</v>
      </c>
      <c r="H979" s="2">
        <v>0</v>
      </c>
      <c r="I979" s="2">
        <v>41122</v>
      </c>
      <c r="J979">
        <v>66</v>
      </c>
      <c r="K979">
        <f>VLOOKUP(B979,purchase_dataset!$B$2:$F$2241,2,FALSE)</f>
        <v>55</v>
      </c>
      <c r="L979">
        <f>VLOOKUP(B979,purchase_dataset!$B$2:$F$2241,3,FALSE)</f>
        <v>18</v>
      </c>
      <c r="M979">
        <f>VLOOKUP(B979,purchase_dataset!$B$2:$F$2241,3,FALSE)</f>
        <v>18</v>
      </c>
      <c r="N979">
        <f>VLOOKUP(B979,purchase_dataset!$B$2:$F$2241,5,FALSE)</f>
        <v>12</v>
      </c>
      <c r="O979" s="5">
        <v>67</v>
      </c>
      <c r="P979" s="4" t="str">
        <f t="shared" si="30"/>
        <v>&gt;50</v>
      </c>
      <c r="Q979" s="4">
        <f>M979+N979</f>
        <v>30</v>
      </c>
      <c r="U979" s="28" t="str" cm="1">
        <f t="array" ref="U979">_xlfn.IFS(F979&lt;30000,"30k",F979&lt;=50000,"30k-50k",F979&lt;=75000,"50k-75k",F979&lt;=100000,"75k-100k",F979&gt;100000,"100k")</f>
        <v>75k-100k</v>
      </c>
      <c r="W979" s="1">
        <f t="shared" si="31"/>
        <v>14</v>
      </c>
    </row>
    <row r="980" spans="1:23" x14ac:dyDescent="0.35">
      <c r="A980">
        <v>977</v>
      </c>
      <c r="B980">
        <v>1600</v>
      </c>
      <c r="C980">
        <v>1965</v>
      </c>
      <c r="D980" s="1" t="s">
        <v>15</v>
      </c>
      <c r="E980" s="1" t="s">
        <v>14</v>
      </c>
      <c r="F980">
        <v>56962</v>
      </c>
      <c r="G980">
        <v>2</v>
      </c>
      <c r="H980" s="2">
        <v>1</v>
      </c>
      <c r="I980" s="2">
        <v>41558</v>
      </c>
      <c r="J980">
        <v>60</v>
      </c>
      <c r="K980">
        <f>VLOOKUP(B980,purchase_dataset!$B$2:$F$2241,2,FALSE)</f>
        <v>3</v>
      </c>
      <c r="L980">
        <f>VLOOKUP(B980,purchase_dataset!$B$2:$F$2241,3,FALSE)</f>
        <v>3</v>
      </c>
      <c r="M980">
        <f>VLOOKUP(B980,purchase_dataset!$B$2:$F$2241,3,FALSE)</f>
        <v>3</v>
      </c>
      <c r="N980">
        <f>VLOOKUP(B980,purchase_dataset!$B$2:$F$2241,5,FALSE)</f>
        <v>5</v>
      </c>
      <c r="O980" s="5">
        <v>61</v>
      </c>
      <c r="P980" s="4" t="str">
        <f t="shared" si="30"/>
        <v>&gt;50</v>
      </c>
      <c r="Q980" s="4">
        <f>M980+N980</f>
        <v>8</v>
      </c>
      <c r="U980" s="28" t="str" cm="1">
        <f t="array" ref="U980">_xlfn.IFS(F980&lt;30000,"30k",F980&lt;=50000,"30k-50k",F980&lt;=75000,"50k-75k",F980&lt;=100000,"75k-100k",F980&gt;100000,"100k")</f>
        <v>50k-75k</v>
      </c>
      <c r="W980" s="1">
        <f t="shared" si="31"/>
        <v>13</v>
      </c>
    </row>
    <row r="981" spans="1:23" x14ac:dyDescent="0.35">
      <c r="A981">
        <v>978</v>
      </c>
      <c r="B981">
        <v>3308</v>
      </c>
      <c r="C981">
        <v>1952</v>
      </c>
      <c r="D981" s="1" t="s">
        <v>10</v>
      </c>
      <c r="E981" s="1" t="s">
        <v>14</v>
      </c>
      <c r="F981">
        <v>35704</v>
      </c>
      <c r="G981">
        <v>1</v>
      </c>
      <c r="H981" s="2">
        <v>1</v>
      </c>
      <c r="I981" s="2">
        <v>41642</v>
      </c>
      <c r="J981">
        <v>54</v>
      </c>
      <c r="K981">
        <f>VLOOKUP(B981,purchase_dataset!$B$2:$F$2241,2,FALSE)</f>
        <v>9</v>
      </c>
      <c r="L981">
        <f>VLOOKUP(B981,purchase_dataset!$B$2:$F$2241,3,FALSE)</f>
        <v>11</v>
      </c>
      <c r="M981">
        <f>VLOOKUP(B981,purchase_dataset!$B$2:$F$2241,3,FALSE)</f>
        <v>11</v>
      </c>
      <c r="N981">
        <f>VLOOKUP(B981,purchase_dataset!$B$2:$F$2241,5,FALSE)</f>
        <v>4</v>
      </c>
      <c r="O981" s="5">
        <v>74</v>
      </c>
      <c r="P981" s="4" t="str">
        <f t="shared" si="30"/>
        <v>&gt;50</v>
      </c>
      <c r="Q981" s="4">
        <f>M981+N981</f>
        <v>15</v>
      </c>
      <c r="U981" s="28" t="str" cm="1">
        <f t="array" ref="U981">_xlfn.IFS(F981&lt;30000,"30k",F981&lt;=50000,"30k-50k",F981&lt;=75000,"50k-75k",F981&lt;=100000,"75k-100k",F981&gt;100000,"100k")</f>
        <v>30k-50k</v>
      </c>
      <c r="W981" s="1">
        <f t="shared" si="31"/>
        <v>12</v>
      </c>
    </row>
    <row r="982" spans="1:23" x14ac:dyDescent="0.35">
      <c r="A982">
        <v>979</v>
      </c>
      <c r="B982">
        <v>5407</v>
      </c>
      <c r="C982">
        <v>1954</v>
      </c>
      <c r="D982" s="1" t="s">
        <v>10</v>
      </c>
      <c r="E982" s="1" t="s">
        <v>12</v>
      </c>
      <c r="F982">
        <v>53103</v>
      </c>
      <c r="G982">
        <v>0</v>
      </c>
      <c r="H982" s="2">
        <v>1</v>
      </c>
      <c r="I982" s="2">
        <v>41529</v>
      </c>
      <c r="J982">
        <v>70</v>
      </c>
      <c r="K982">
        <f>VLOOKUP(B982,purchase_dataset!$B$2:$F$2241,2,FALSE)</f>
        <v>17</v>
      </c>
      <c r="L982">
        <f>VLOOKUP(B982,purchase_dataset!$B$2:$F$2241,3,FALSE)</f>
        <v>0</v>
      </c>
      <c r="M982">
        <f>VLOOKUP(B982,purchase_dataset!$B$2:$F$2241,3,FALSE)</f>
        <v>0</v>
      </c>
      <c r="N982">
        <f>VLOOKUP(B982,purchase_dataset!$B$2:$F$2241,5,FALSE)</f>
        <v>7</v>
      </c>
      <c r="O982" s="5">
        <v>72</v>
      </c>
      <c r="P982" s="4" t="str">
        <f t="shared" si="30"/>
        <v>&gt;50</v>
      </c>
      <c r="Q982" s="4">
        <f>M982+N982</f>
        <v>7</v>
      </c>
      <c r="U982" s="28" t="str" cm="1">
        <f t="array" ref="U982">_xlfn.IFS(F982&lt;30000,"30k",F982&lt;=50000,"30k-50k",F982&lt;=75000,"50k-75k",F982&lt;=100000,"75k-100k",F982&gt;100000,"100k")</f>
        <v>50k-75k</v>
      </c>
      <c r="W982" s="1">
        <f t="shared" si="31"/>
        <v>13</v>
      </c>
    </row>
    <row r="983" spans="1:23" x14ac:dyDescent="0.35">
      <c r="A983">
        <v>980</v>
      </c>
      <c r="B983">
        <v>2166</v>
      </c>
      <c r="C983">
        <v>1960</v>
      </c>
      <c r="D983" s="1" t="s">
        <v>18</v>
      </c>
      <c r="E983" s="1" t="s">
        <v>19</v>
      </c>
      <c r="F983">
        <v>46779</v>
      </c>
      <c r="G983">
        <v>1</v>
      </c>
      <c r="H983" s="2">
        <v>1</v>
      </c>
      <c r="I983" s="2">
        <v>41467</v>
      </c>
      <c r="J983">
        <v>55</v>
      </c>
      <c r="K983">
        <f>VLOOKUP(B983,purchase_dataset!$B$2:$F$2241,2,FALSE)</f>
        <v>1</v>
      </c>
      <c r="L983">
        <f>VLOOKUP(B983,purchase_dataset!$B$2:$F$2241,3,FALSE)</f>
        <v>0</v>
      </c>
      <c r="M983">
        <f>VLOOKUP(B983,purchase_dataset!$B$2:$F$2241,3,FALSE)</f>
        <v>0</v>
      </c>
      <c r="N983">
        <f>VLOOKUP(B983,purchase_dataset!$B$2:$F$2241,5,FALSE)</f>
        <v>2</v>
      </c>
      <c r="O983" s="5">
        <v>66</v>
      </c>
      <c r="P983" s="4" t="str">
        <f t="shared" si="30"/>
        <v>&gt;50</v>
      </c>
      <c r="Q983" s="4">
        <f>M983+N983</f>
        <v>2</v>
      </c>
      <c r="U983" s="28" t="str" cm="1">
        <f t="array" ref="U983">_xlfn.IFS(F983&lt;30000,"30k",F983&lt;=50000,"30k-50k",F983&lt;=75000,"50k-75k",F983&lt;=100000,"75k-100k",F983&gt;100000,"100k")</f>
        <v>30k-50k</v>
      </c>
      <c r="W983" s="1">
        <f t="shared" si="31"/>
        <v>13</v>
      </c>
    </row>
    <row r="984" spans="1:23" x14ac:dyDescent="0.35">
      <c r="A984">
        <v>981</v>
      </c>
      <c r="B984">
        <v>3955</v>
      </c>
      <c r="C984">
        <v>1965</v>
      </c>
      <c r="D984" s="1" t="s">
        <v>10</v>
      </c>
      <c r="E984" s="1" t="s">
        <v>16</v>
      </c>
      <c r="F984">
        <v>4861</v>
      </c>
      <c r="G984">
        <v>0</v>
      </c>
      <c r="H984" s="2">
        <v>0</v>
      </c>
      <c r="I984" s="2">
        <v>41812</v>
      </c>
      <c r="J984">
        <v>20</v>
      </c>
      <c r="K984">
        <f>VLOOKUP(B984,purchase_dataset!$B$2:$F$2241,2,FALSE)</f>
        <v>1</v>
      </c>
      <c r="L984">
        <f>VLOOKUP(B984,purchase_dataset!$B$2:$F$2241,3,FALSE)</f>
        <v>0</v>
      </c>
      <c r="M984">
        <f>VLOOKUP(B984,purchase_dataset!$B$2:$F$2241,3,FALSE)</f>
        <v>0</v>
      </c>
      <c r="N984">
        <f>VLOOKUP(B984,purchase_dataset!$B$2:$F$2241,5,FALSE)</f>
        <v>0</v>
      </c>
      <c r="O984" s="5">
        <v>61</v>
      </c>
      <c r="P984" s="4" t="str">
        <f t="shared" si="30"/>
        <v>&gt;50</v>
      </c>
      <c r="Q984" s="4">
        <f>M984+N984</f>
        <v>0</v>
      </c>
      <c r="U984" s="28" t="str" cm="1">
        <f t="array" ref="U984">_xlfn.IFS(F984&lt;30000,"30k",F984&lt;=50000,"30k-50k",F984&lt;=75000,"50k-75k",F984&lt;=100000,"75k-100k",F984&gt;100000,"100k")</f>
        <v>30k</v>
      </c>
      <c r="W984" s="1">
        <f t="shared" si="31"/>
        <v>12</v>
      </c>
    </row>
    <row r="985" spans="1:23" x14ac:dyDescent="0.35">
      <c r="A985">
        <v>982</v>
      </c>
      <c r="B985">
        <v>6634</v>
      </c>
      <c r="C985">
        <v>1979</v>
      </c>
      <c r="D985" s="1" t="s">
        <v>15</v>
      </c>
      <c r="E985" s="1" t="s">
        <v>16</v>
      </c>
      <c r="F985">
        <v>33462</v>
      </c>
      <c r="G985">
        <v>1</v>
      </c>
      <c r="H985" s="2">
        <v>0</v>
      </c>
      <c r="I985" s="2">
        <v>41493</v>
      </c>
      <c r="J985">
        <v>78</v>
      </c>
      <c r="K985">
        <f>VLOOKUP(B985,purchase_dataset!$B$2:$F$2241,2,FALSE)</f>
        <v>3</v>
      </c>
      <c r="L985">
        <f>VLOOKUP(B985,purchase_dataset!$B$2:$F$2241,3,FALSE)</f>
        <v>0</v>
      </c>
      <c r="M985">
        <f>VLOOKUP(B985,purchase_dataset!$B$2:$F$2241,3,FALSE)</f>
        <v>0</v>
      </c>
      <c r="N985">
        <f>VLOOKUP(B985,purchase_dataset!$B$2:$F$2241,5,FALSE)</f>
        <v>3</v>
      </c>
      <c r="O985" s="5">
        <v>47</v>
      </c>
      <c r="P985" s="4" t="str">
        <f t="shared" si="30"/>
        <v>30-50</v>
      </c>
      <c r="Q985" s="4">
        <f>M985+N985</f>
        <v>3</v>
      </c>
      <c r="U985" s="28" t="str" cm="1">
        <f t="array" ref="U985">_xlfn.IFS(F985&lt;30000,"30k",F985&lt;=50000,"30k-50k",F985&lt;=75000,"50k-75k",F985&lt;=100000,"75k-100k",F985&gt;100000,"100k")</f>
        <v>30k-50k</v>
      </c>
      <c r="W985" s="1">
        <f t="shared" si="31"/>
        <v>13</v>
      </c>
    </row>
    <row r="986" spans="1:23" x14ac:dyDescent="0.35">
      <c r="A986">
        <v>983</v>
      </c>
      <c r="B986">
        <v>3056</v>
      </c>
      <c r="C986">
        <v>1978</v>
      </c>
      <c r="D986" s="1" t="s">
        <v>10</v>
      </c>
      <c r="E986" s="1" t="s">
        <v>16</v>
      </c>
      <c r="F986">
        <v>63693</v>
      </c>
      <c r="G986">
        <v>0</v>
      </c>
      <c r="H986" s="2">
        <v>1</v>
      </c>
      <c r="I986" s="2">
        <v>41561</v>
      </c>
      <c r="J986">
        <v>63</v>
      </c>
      <c r="K986">
        <f>VLOOKUP(B986,purchase_dataset!$B$2:$F$2241,2,FALSE)</f>
        <v>43</v>
      </c>
      <c r="L986">
        <f>VLOOKUP(B986,purchase_dataset!$B$2:$F$2241,3,FALSE)</f>
        <v>87</v>
      </c>
      <c r="M986">
        <f>VLOOKUP(B986,purchase_dataset!$B$2:$F$2241,3,FALSE)</f>
        <v>87</v>
      </c>
      <c r="N986">
        <f>VLOOKUP(B986,purchase_dataset!$B$2:$F$2241,5,FALSE)</f>
        <v>9</v>
      </c>
      <c r="O986" s="5">
        <v>48</v>
      </c>
      <c r="P986" s="4" t="str">
        <f t="shared" si="30"/>
        <v>30-50</v>
      </c>
      <c r="Q986" s="4">
        <f>M986+N986</f>
        <v>96</v>
      </c>
      <c r="U986" s="28" t="str" cm="1">
        <f t="array" ref="U986">_xlfn.IFS(F986&lt;30000,"30k",F986&lt;=50000,"30k-50k",F986&lt;=75000,"50k-75k",F986&lt;=100000,"75k-100k",F986&gt;100000,"100k")</f>
        <v>50k-75k</v>
      </c>
      <c r="W986" s="1">
        <f t="shared" si="31"/>
        <v>13</v>
      </c>
    </row>
    <row r="987" spans="1:23" x14ac:dyDescent="0.35">
      <c r="A987">
        <v>984</v>
      </c>
      <c r="B987">
        <v>5718</v>
      </c>
      <c r="C987">
        <v>1950</v>
      </c>
      <c r="D987" s="1" t="s">
        <v>10</v>
      </c>
      <c r="E987" s="1" t="s">
        <v>14</v>
      </c>
      <c r="F987">
        <v>80763</v>
      </c>
      <c r="G987">
        <v>0</v>
      </c>
      <c r="H987" s="2">
        <v>0</v>
      </c>
      <c r="I987" s="2">
        <v>41501</v>
      </c>
      <c r="J987">
        <v>17</v>
      </c>
      <c r="K987">
        <f>VLOOKUP(B987,purchase_dataset!$B$2:$F$2241,2,FALSE)</f>
        <v>168</v>
      </c>
      <c r="L987">
        <f>VLOOKUP(B987,purchase_dataset!$B$2:$F$2241,3,FALSE)</f>
        <v>42</v>
      </c>
      <c r="M987">
        <f>VLOOKUP(B987,purchase_dataset!$B$2:$F$2241,3,FALSE)</f>
        <v>42</v>
      </c>
      <c r="N987">
        <f>VLOOKUP(B987,purchase_dataset!$B$2:$F$2241,5,FALSE)</f>
        <v>6</v>
      </c>
      <c r="O987" s="5">
        <v>76</v>
      </c>
      <c r="P987" s="4" t="str">
        <f t="shared" si="30"/>
        <v>&gt;50</v>
      </c>
      <c r="Q987" s="4">
        <f>M987+N987</f>
        <v>48</v>
      </c>
      <c r="U987" s="28" t="str" cm="1">
        <f t="array" ref="U987">_xlfn.IFS(F987&lt;30000,"30k",F987&lt;=50000,"30k-50k",F987&lt;=75000,"50k-75k",F987&lt;=100000,"75k-100k",F987&gt;100000,"100k")</f>
        <v>75k-100k</v>
      </c>
      <c r="W987" s="1">
        <f t="shared" si="31"/>
        <v>13</v>
      </c>
    </row>
    <row r="988" spans="1:23" x14ac:dyDescent="0.35">
      <c r="A988">
        <v>985</v>
      </c>
      <c r="B988">
        <v>6872</v>
      </c>
      <c r="C988">
        <v>1974</v>
      </c>
      <c r="D988" s="1" t="s">
        <v>13</v>
      </c>
      <c r="E988" s="1" t="s">
        <v>14</v>
      </c>
      <c r="F988">
        <v>65352</v>
      </c>
      <c r="G988">
        <v>0</v>
      </c>
      <c r="H988" s="2">
        <v>1</v>
      </c>
      <c r="I988" s="2">
        <v>41507</v>
      </c>
      <c r="J988">
        <v>43</v>
      </c>
      <c r="K988">
        <f>VLOOKUP(B988,purchase_dataset!$B$2:$F$2241,2,FALSE)</f>
        <v>3</v>
      </c>
      <c r="L988">
        <f>VLOOKUP(B988,purchase_dataset!$B$2:$F$2241,3,FALSE)</f>
        <v>7</v>
      </c>
      <c r="M988">
        <f>VLOOKUP(B988,purchase_dataset!$B$2:$F$2241,3,FALSE)</f>
        <v>7</v>
      </c>
      <c r="N988">
        <f>VLOOKUP(B988,purchase_dataset!$B$2:$F$2241,5,FALSE)</f>
        <v>8</v>
      </c>
      <c r="O988" s="5">
        <v>52</v>
      </c>
      <c r="P988" s="4" t="str">
        <f t="shared" si="30"/>
        <v>&gt;50</v>
      </c>
      <c r="Q988" s="4">
        <f>M988+N988</f>
        <v>15</v>
      </c>
      <c r="U988" s="28" t="str" cm="1">
        <f t="array" ref="U988">_xlfn.IFS(F988&lt;30000,"30k",F988&lt;=50000,"30k-50k",F988&lt;=75000,"50k-75k",F988&lt;=100000,"75k-100k",F988&gt;100000,"100k")</f>
        <v>50k-75k</v>
      </c>
      <c r="W988" s="1">
        <f t="shared" si="31"/>
        <v>13</v>
      </c>
    </row>
    <row r="989" spans="1:23" x14ac:dyDescent="0.35">
      <c r="A989">
        <v>986</v>
      </c>
      <c r="B989">
        <v>8164</v>
      </c>
      <c r="C989">
        <v>1978</v>
      </c>
      <c r="D989" s="1" t="s">
        <v>13</v>
      </c>
      <c r="E989" s="1" t="s">
        <v>14</v>
      </c>
      <c r="F989">
        <v>82170</v>
      </c>
      <c r="G989">
        <v>0</v>
      </c>
      <c r="H989" s="2">
        <v>0</v>
      </c>
      <c r="I989" s="2">
        <v>41603</v>
      </c>
      <c r="J989">
        <v>13</v>
      </c>
      <c r="K989">
        <f>VLOOKUP(B989,purchase_dataset!$B$2:$F$2241,2,FALSE)</f>
        <v>93</v>
      </c>
      <c r="L989">
        <f>VLOOKUP(B989,purchase_dataset!$B$2:$F$2241,3,FALSE)</f>
        <v>55</v>
      </c>
      <c r="M989">
        <f>VLOOKUP(B989,purchase_dataset!$B$2:$F$2241,3,FALSE)</f>
        <v>55</v>
      </c>
      <c r="N989">
        <f>VLOOKUP(B989,purchase_dataset!$B$2:$F$2241,5,FALSE)</f>
        <v>7</v>
      </c>
      <c r="O989" s="5">
        <v>48</v>
      </c>
      <c r="P989" s="4" t="str">
        <f t="shared" si="30"/>
        <v>30-50</v>
      </c>
      <c r="Q989" s="4">
        <f>M989+N989</f>
        <v>62</v>
      </c>
      <c r="U989" s="28" t="str" cm="1">
        <f t="array" ref="U989">_xlfn.IFS(F989&lt;30000,"30k",F989&lt;=50000,"30k-50k",F989&lt;=75000,"50k-75k",F989&lt;=100000,"75k-100k",F989&gt;100000,"100k")</f>
        <v>75k-100k</v>
      </c>
      <c r="W989" s="1">
        <f t="shared" si="31"/>
        <v>13</v>
      </c>
    </row>
    <row r="990" spans="1:23" x14ac:dyDescent="0.35">
      <c r="A990">
        <v>987</v>
      </c>
      <c r="B990">
        <v>4580</v>
      </c>
      <c r="C990">
        <v>1969</v>
      </c>
      <c r="D990" s="1" t="s">
        <v>10</v>
      </c>
      <c r="E990" s="1" t="s">
        <v>14</v>
      </c>
      <c r="F990">
        <v>75759</v>
      </c>
      <c r="G990">
        <v>0</v>
      </c>
      <c r="H990" s="2">
        <v>0</v>
      </c>
      <c r="I990" s="2">
        <v>41572</v>
      </c>
      <c r="J990">
        <v>46</v>
      </c>
      <c r="K990">
        <f>VLOOKUP(B990,purchase_dataset!$B$2:$F$2241,2,FALSE)</f>
        <v>22</v>
      </c>
      <c r="L990">
        <f>VLOOKUP(B990,purchase_dataset!$B$2:$F$2241,3,FALSE)</f>
        <v>91</v>
      </c>
      <c r="M990">
        <f>VLOOKUP(B990,purchase_dataset!$B$2:$F$2241,3,FALSE)</f>
        <v>91</v>
      </c>
      <c r="N990">
        <f>VLOOKUP(B990,purchase_dataset!$B$2:$F$2241,5,FALSE)</f>
        <v>9</v>
      </c>
      <c r="O990" s="5">
        <v>57</v>
      </c>
      <c r="P990" s="4" t="str">
        <f t="shared" si="30"/>
        <v>&gt;50</v>
      </c>
      <c r="Q990" s="4">
        <f>M990+N990</f>
        <v>100</v>
      </c>
      <c r="U990" s="28" t="str" cm="1">
        <f t="array" ref="U990">_xlfn.IFS(F990&lt;30000,"30k",F990&lt;=50000,"30k-50k",F990&lt;=75000,"50k-75k",F990&lt;=100000,"75k-100k",F990&gt;100000,"100k")</f>
        <v>75k-100k</v>
      </c>
      <c r="W990" s="1">
        <f t="shared" si="31"/>
        <v>13</v>
      </c>
    </row>
    <row r="991" spans="1:23" x14ac:dyDescent="0.35">
      <c r="A991">
        <v>988</v>
      </c>
      <c r="B991">
        <v>9305</v>
      </c>
      <c r="C991">
        <v>1976</v>
      </c>
      <c r="D991" s="1" t="s">
        <v>18</v>
      </c>
      <c r="E991" s="1" t="s">
        <v>11</v>
      </c>
      <c r="F991">
        <v>79689</v>
      </c>
      <c r="G991">
        <v>0</v>
      </c>
      <c r="H991" s="2">
        <v>0</v>
      </c>
      <c r="I991" s="2">
        <v>41406</v>
      </c>
      <c r="J991">
        <v>65</v>
      </c>
      <c r="K991">
        <f>VLOOKUP(B991,purchase_dataset!$B$2:$F$2241,2,FALSE)</f>
        <v>26</v>
      </c>
      <c r="L991">
        <f>VLOOKUP(B991,purchase_dataset!$B$2:$F$2241,3,FALSE)</f>
        <v>37</v>
      </c>
      <c r="M991">
        <f>VLOOKUP(B991,purchase_dataset!$B$2:$F$2241,3,FALSE)</f>
        <v>37</v>
      </c>
      <c r="N991">
        <f>VLOOKUP(B991,purchase_dataset!$B$2:$F$2241,5,FALSE)</f>
        <v>13</v>
      </c>
      <c r="O991" s="5">
        <v>50</v>
      </c>
      <c r="P991" s="4" t="str">
        <f t="shared" si="30"/>
        <v>30-50</v>
      </c>
      <c r="Q991" s="4">
        <f>M991+N991</f>
        <v>50</v>
      </c>
      <c r="U991" s="28" t="str" cm="1">
        <f t="array" ref="U991">_xlfn.IFS(F991&lt;30000,"30k",F991&lt;=50000,"30k-50k",F991&lt;=75000,"50k-75k",F991&lt;=100000,"75k-100k",F991&gt;100000,"100k")</f>
        <v>75k-100k</v>
      </c>
      <c r="W991" s="1">
        <f t="shared" si="31"/>
        <v>13</v>
      </c>
    </row>
    <row r="992" spans="1:23" x14ac:dyDescent="0.35">
      <c r="A992">
        <v>989</v>
      </c>
      <c r="B992">
        <v>453</v>
      </c>
      <c r="C992">
        <v>1956</v>
      </c>
      <c r="D992" s="1" t="s">
        <v>13</v>
      </c>
      <c r="E992" s="1" t="s">
        <v>19</v>
      </c>
      <c r="F992">
        <v>35340</v>
      </c>
      <c r="G992">
        <v>1</v>
      </c>
      <c r="H992" s="2">
        <v>1</v>
      </c>
      <c r="I992" s="2">
        <v>41819</v>
      </c>
      <c r="J992">
        <v>1</v>
      </c>
      <c r="K992">
        <f>VLOOKUP(B992,purchase_dataset!$B$2:$F$2241,2,FALSE)</f>
        <v>0</v>
      </c>
      <c r="L992">
        <f>VLOOKUP(B992,purchase_dataset!$B$2:$F$2241,3,FALSE)</f>
        <v>1</v>
      </c>
      <c r="M992">
        <f>VLOOKUP(B992,purchase_dataset!$B$2:$F$2241,3,FALSE)</f>
        <v>1</v>
      </c>
      <c r="N992">
        <f>VLOOKUP(B992,purchase_dataset!$B$2:$F$2241,5,FALSE)</f>
        <v>3</v>
      </c>
      <c r="O992" s="5">
        <v>70</v>
      </c>
      <c r="P992" s="4" t="str">
        <f t="shared" si="30"/>
        <v>&gt;50</v>
      </c>
      <c r="Q992" s="4">
        <f>M992+N992</f>
        <v>4</v>
      </c>
      <c r="U992" s="28" t="str" cm="1">
        <f t="array" ref="U992">_xlfn.IFS(F992&lt;30000,"30k",F992&lt;=50000,"30k-50k",F992&lt;=75000,"50k-75k",F992&lt;=100000,"75k-100k",F992&gt;100000,"100k")</f>
        <v>30k-50k</v>
      </c>
      <c r="W992" s="1">
        <f t="shared" si="31"/>
        <v>12</v>
      </c>
    </row>
    <row r="993" spans="1:23" x14ac:dyDescent="0.35">
      <c r="A993">
        <v>990</v>
      </c>
      <c r="B993">
        <v>8545</v>
      </c>
      <c r="C993">
        <v>1954</v>
      </c>
      <c r="D993" s="1" t="s">
        <v>10</v>
      </c>
      <c r="E993" s="1" t="s">
        <v>16</v>
      </c>
      <c r="F993">
        <v>85683</v>
      </c>
      <c r="G993">
        <v>0</v>
      </c>
      <c r="H993" s="2">
        <v>0</v>
      </c>
      <c r="I993" s="2">
        <v>41719</v>
      </c>
      <c r="J993">
        <v>6</v>
      </c>
      <c r="K993">
        <f>VLOOKUP(B993,purchase_dataset!$B$2:$F$2241,2,FALSE)</f>
        <v>17</v>
      </c>
      <c r="L993">
        <f>VLOOKUP(B993,purchase_dataset!$B$2:$F$2241,3,FALSE)</f>
        <v>69</v>
      </c>
      <c r="M993">
        <f>VLOOKUP(B993,purchase_dataset!$B$2:$F$2241,3,FALSE)</f>
        <v>69</v>
      </c>
      <c r="N993">
        <f>VLOOKUP(B993,purchase_dataset!$B$2:$F$2241,5,FALSE)</f>
        <v>10</v>
      </c>
      <c r="O993" s="5">
        <v>72</v>
      </c>
      <c r="P993" s="4" t="str">
        <f t="shared" si="30"/>
        <v>&gt;50</v>
      </c>
      <c r="Q993" s="4">
        <f>M993+N993</f>
        <v>79</v>
      </c>
      <c r="U993" s="28" t="str" cm="1">
        <f t="array" ref="U993">_xlfn.IFS(F993&lt;30000,"30k",F993&lt;=50000,"30k-50k",F993&lt;=75000,"50k-75k",F993&lt;=100000,"75k-100k",F993&gt;100000,"100k")</f>
        <v>75k-100k</v>
      </c>
      <c r="W993" s="1">
        <f t="shared" si="31"/>
        <v>12</v>
      </c>
    </row>
    <row r="994" spans="1:23" x14ac:dyDescent="0.35">
      <c r="A994">
        <v>991</v>
      </c>
      <c r="B994">
        <v>9850</v>
      </c>
      <c r="C994">
        <v>1972</v>
      </c>
      <c r="D994" s="1" t="s">
        <v>18</v>
      </c>
      <c r="E994" s="1" t="s">
        <v>14</v>
      </c>
      <c r="F994">
        <v>24884</v>
      </c>
      <c r="G994">
        <v>1</v>
      </c>
      <c r="H994" s="2">
        <v>0</v>
      </c>
      <c r="I994" s="2">
        <v>41242</v>
      </c>
      <c r="J994">
        <v>32</v>
      </c>
      <c r="K994">
        <f>VLOOKUP(B994,purchase_dataset!$B$2:$F$2241,2,FALSE)</f>
        <v>6</v>
      </c>
      <c r="L994">
        <f>VLOOKUP(B994,purchase_dataset!$B$2:$F$2241,3,FALSE)</f>
        <v>0</v>
      </c>
      <c r="M994">
        <f>VLOOKUP(B994,purchase_dataset!$B$2:$F$2241,3,FALSE)</f>
        <v>0</v>
      </c>
      <c r="N994">
        <f>VLOOKUP(B994,purchase_dataset!$B$2:$F$2241,5,FALSE)</f>
        <v>3</v>
      </c>
      <c r="O994" s="5">
        <v>54</v>
      </c>
      <c r="P994" s="4" t="str">
        <f t="shared" si="30"/>
        <v>&gt;50</v>
      </c>
      <c r="Q994" s="4">
        <f>M994+N994</f>
        <v>3</v>
      </c>
      <c r="U994" s="28" t="str" cm="1">
        <f t="array" ref="U994">_xlfn.IFS(F994&lt;30000,"30k",F994&lt;=50000,"30k-50k",F994&lt;=75000,"50k-75k",F994&lt;=100000,"75k-100k",F994&gt;100000,"100k")</f>
        <v>30k</v>
      </c>
      <c r="W994" s="1">
        <f t="shared" si="31"/>
        <v>14</v>
      </c>
    </row>
    <row r="995" spans="1:23" x14ac:dyDescent="0.35">
      <c r="A995">
        <v>992</v>
      </c>
      <c r="B995">
        <v>7378</v>
      </c>
      <c r="C995">
        <v>1981</v>
      </c>
      <c r="D995" s="1" t="s">
        <v>15</v>
      </c>
      <c r="E995" s="1" t="s">
        <v>12</v>
      </c>
      <c r="F995">
        <v>42021</v>
      </c>
      <c r="G995">
        <v>1</v>
      </c>
      <c r="H995" s="2">
        <v>0</v>
      </c>
      <c r="I995" s="2">
        <v>41152</v>
      </c>
      <c r="J995">
        <v>34</v>
      </c>
      <c r="K995">
        <f>VLOOKUP(B995,purchase_dataset!$B$2:$F$2241,2,FALSE)</f>
        <v>5</v>
      </c>
      <c r="L995">
        <f>VLOOKUP(B995,purchase_dataset!$B$2:$F$2241,3,FALSE)</f>
        <v>5</v>
      </c>
      <c r="M995">
        <f>VLOOKUP(B995,purchase_dataset!$B$2:$F$2241,3,FALSE)</f>
        <v>5</v>
      </c>
      <c r="N995">
        <f>VLOOKUP(B995,purchase_dataset!$B$2:$F$2241,5,FALSE)</f>
        <v>6</v>
      </c>
      <c r="O995" s="5">
        <v>45</v>
      </c>
      <c r="P995" s="4" t="str">
        <f t="shared" si="30"/>
        <v>30-50</v>
      </c>
      <c r="Q995" s="4">
        <f>M995+N995</f>
        <v>11</v>
      </c>
      <c r="U995" s="28" t="str" cm="1">
        <f t="array" ref="U995">_xlfn.IFS(F995&lt;30000,"30k",F995&lt;=50000,"30k-50k",F995&lt;=75000,"50k-75k",F995&lt;=100000,"75k-100k",F995&gt;100000,"100k")</f>
        <v>30k-50k</v>
      </c>
      <c r="W995" s="1">
        <f t="shared" si="31"/>
        <v>14</v>
      </c>
    </row>
    <row r="996" spans="1:23" x14ac:dyDescent="0.35">
      <c r="A996">
        <v>993</v>
      </c>
      <c r="B996">
        <v>7646</v>
      </c>
      <c r="C996">
        <v>1989</v>
      </c>
      <c r="D996" s="1" t="s">
        <v>10</v>
      </c>
      <c r="E996" s="1" t="s">
        <v>11</v>
      </c>
      <c r="F996">
        <v>64449</v>
      </c>
      <c r="G996">
        <v>1</v>
      </c>
      <c r="H996" s="2">
        <v>0</v>
      </c>
      <c r="I996" s="2">
        <v>41688</v>
      </c>
      <c r="J996">
        <v>70</v>
      </c>
      <c r="K996">
        <f>VLOOKUP(B996,purchase_dataset!$B$2:$F$2241,2,FALSE)</f>
        <v>63</v>
      </c>
      <c r="L996">
        <f>VLOOKUP(B996,purchase_dataset!$B$2:$F$2241,3,FALSE)</f>
        <v>35</v>
      </c>
      <c r="M996">
        <f>VLOOKUP(B996,purchase_dataset!$B$2:$F$2241,3,FALSE)</f>
        <v>35</v>
      </c>
      <c r="N996">
        <f>VLOOKUP(B996,purchase_dataset!$B$2:$F$2241,5,FALSE)</f>
        <v>12</v>
      </c>
      <c r="O996" s="5">
        <v>37</v>
      </c>
      <c r="P996" s="4" t="str">
        <f t="shared" si="30"/>
        <v>30-50</v>
      </c>
      <c r="Q996" s="4">
        <f>M996+N996</f>
        <v>47</v>
      </c>
      <c r="U996" s="28" t="str" cm="1">
        <f t="array" ref="U996">_xlfn.IFS(F996&lt;30000,"30k",F996&lt;=50000,"30k-50k",F996&lt;=75000,"50k-75k",F996&lt;=100000,"75k-100k",F996&gt;100000,"100k")</f>
        <v>50k-75k</v>
      </c>
      <c r="W996" s="1">
        <f t="shared" si="31"/>
        <v>12</v>
      </c>
    </row>
    <row r="997" spans="1:23" x14ac:dyDescent="0.35">
      <c r="A997">
        <v>994</v>
      </c>
      <c r="B997">
        <v>1640</v>
      </c>
      <c r="C997">
        <v>1954</v>
      </c>
      <c r="D997" s="1" t="s">
        <v>10</v>
      </c>
      <c r="E997" s="1" t="s">
        <v>16</v>
      </c>
      <c r="F997">
        <v>64587</v>
      </c>
      <c r="G997">
        <v>1</v>
      </c>
      <c r="H997" s="2">
        <v>1</v>
      </c>
      <c r="I997" s="2">
        <v>41812</v>
      </c>
      <c r="J997">
        <v>49</v>
      </c>
      <c r="K997">
        <f>VLOOKUP(B997,purchase_dataset!$B$2:$F$2241,2,FALSE)</f>
        <v>0</v>
      </c>
      <c r="L997">
        <f>VLOOKUP(B997,purchase_dataset!$B$2:$F$2241,3,FALSE)</f>
        <v>6</v>
      </c>
      <c r="M997">
        <f>VLOOKUP(B997,purchase_dataset!$B$2:$F$2241,3,FALSE)</f>
        <v>6</v>
      </c>
      <c r="N997">
        <f>VLOOKUP(B997,purchase_dataset!$B$2:$F$2241,5,FALSE)</f>
        <v>4</v>
      </c>
      <c r="O997" s="5">
        <v>72</v>
      </c>
      <c r="P997" s="4" t="str">
        <f t="shared" si="30"/>
        <v>&gt;50</v>
      </c>
      <c r="Q997" s="4">
        <f>M997+N997</f>
        <v>10</v>
      </c>
      <c r="U997" s="28" t="str" cm="1">
        <f t="array" ref="U997">_xlfn.IFS(F997&lt;30000,"30k",F997&lt;=50000,"30k-50k",F997&lt;=75000,"50k-75k",F997&lt;=100000,"75k-100k",F997&gt;100000,"100k")</f>
        <v>50k-75k</v>
      </c>
      <c r="W997" s="1">
        <f t="shared" si="31"/>
        <v>12</v>
      </c>
    </row>
    <row r="998" spans="1:23" x14ac:dyDescent="0.35">
      <c r="A998">
        <v>995</v>
      </c>
      <c r="B998">
        <v>5184</v>
      </c>
      <c r="C998">
        <v>1995</v>
      </c>
      <c r="D998" s="1" t="s">
        <v>10</v>
      </c>
      <c r="E998" s="1" t="s">
        <v>11</v>
      </c>
      <c r="F998">
        <v>34824</v>
      </c>
      <c r="G998">
        <v>0</v>
      </c>
      <c r="H998" s="2">
        <v>0</v>
      </c>
      <c r="I998" s="2">
        <v>41724</v>
      </c>
      <c r="J998">
        <v>65</v>
      </c>
      <c r="K998">
        <f>VLOOKUP(B998,purchase_dataset!$B$2:$F$2241,2,FALSE)</f>
        <v>2</v>
      </c>
      <c r="L998">
        <f>VLOOKUP(B998,purchase_dataset!$B$2:$F$2241,3,FALSE)</f>
        <v>0</v>
      </c>
      <c r="M998">
        <f>VLOOKUP(B998,purchase_dataset!$B$2:$F$2241,3,FALSE)</f>
        <v>0</v>
      </c>
      <c r="N998">
        <f>VLOOKUP(B998,purchase_dataset!$B$2:$F$2241,5,FALSE)</f>
        <v>2</v>
      </c>
      <c r="O998" s="5">
        <v>31</v>
      </c>
      <c r="P998" s="4" t="str">
        <f t="shared" si="30"/>
        <v>30-50</v>
      </c>
      <c r="Q998" s="4">
        <f>M998+N998</f>
        <v>2</v>
      </c>
      <c r="U998" s="28" t="str" cm="1">
        <f t="array" ref="U998">_xlfn.IFS(F998&lt;30000,"30k",F998&lt;=50000,"30k-50k",F998&lt;=75000,"50k-75k",F998&lt;=100000,"75k-100k",F998&gt;100000,"100k")</f>
        <v>30k-50k</v>
      </c>
      <c r="W998" s="1">
        <f t="shared" si="31"/>
        <v>12</v>
      </c>
    </row>
    <row r="999" spans="1:23" x14ac:dyDescent="0.35">
      <c r="A999">
        <v>996</v>
      </c>
      <c r="B999">
        <v>8492</v>
      </c>
      <c r="C999">
        <v>1978</v>
      </c>
      <c r="D999" s="1" t="s">
        <v>10</v>
      </c>
      <c r="E999" s="1" t="s">
        <v>12</v>
      </c>
      <c r="F999">
        <v>75437</v>
      </c>
      <c r="G999">
        <v>0</v>
      </c>
      <c r="H999" s="2">
        <v>0</v>
      </c>
      <c r="I999" s="2">
        <v>41587</v>
      </c>
      <c r="J999">
        <v>25</v>
      </c>
      <c r="K999">
        <f>VLOOKUP(B999,purchase_dataset!$B$2:$F$2241,2,FALSE)</f>
        <v>0</v>
      </c>
      <c r="L999">
        <f>VLOOKUP(B999,purchase_dataset!$B$2:$F$2241,3,FALSE)</f>
        <v>58</v>
      </c>
      <c r="M999">
        <f>VLOOKUP(B999,purchase_dataset!$B$2:$F$2241,3,FALSE)</f>
        <v>58</v>
      </c>
      <c r="N999">
        <f>VLOOKUP(B999,purchase_dataset!$B$2:$F$2241,5,FALSE)</f>
        <v>10</v>
      </c>
      <c r="O999" s="5">
        <v>48</v>
      </c>
      <c r="P999" s="4" t="str">
        <f t="shared" si="30"/>
        <v>30-50</v>
      </c>
      <c r="Q999" s="4">
        <f>M999+N999</f>
        <v>68</v>
      </c>
      <c r="U999" s="28" t="str" cm="1">
        <f t="array" ref="U999">_xlfn.IFS(F999&lt;30000,"30k",F999&lt;=50000,"30k-50k",F999&lt;=75000,"50k-75k",F999&lt;=100000,"75k-100k",F999&gt;100000,"100k")</f>
        <v>75k-100k</v>
      </c>
      <c r="W999" s="1">
        <f t="shared" si="31"/>
        <v>13</v>
      </c>
    </row>
    <row r="1000" spans="1:23" x14ac:dyDescent="0.35">
      <c r="A1000">
        <v>997</v>
      </c>
      <c r="B1000">
        <v>11188</v>
      </c>
      <c r="C1000">
        <v>1957</v>
      </c>
      <c r="D1000" s="1" t="s">
        <v>10</v>
      </c>
      <c r="E1000" s="1" t="s">
        <v>12</v>
      </c>
      <c r="F1000">
        <v>26091</v>
      </c>
      <c r="G1000">
        <v>1</v>
      </c>
      <c r="H1000" s="2">
        <v>1</v>
      </c>
      <c r="I1000" s="2">
        <v>41695</v>
      </c>
      <c r="J1000">
        <v>84</v>
      </c>
      <c r="K1000">
        <f>VLOOKUP(B1000,purchase_dataset!$B$2:$F$2241,2,FALSE)</f>
        <v>10</v>
      </c>
      <c r="L1000">
        <f>VLOOKUP(B1000,purchase_dataset!$B$2:$F$2241,3,FALSE)</f>
        <v>17</v>
      </c>
      <c r="M1000">
        <f>VLOOKUP(B1000,purchase_dataset!$B$2:$F$2241,3,FALSE)</f>
        <v>17</v>
      </c>
      <c r="N1000">
        <f>VLOOKUP(B1000,purchase_dataset!$B$2:$F$2241,5,FALSE)</f>
        <v>3</v>
      </c>
      <c r="O1000" s="5">
        <v>69</v>
      </c>
      <c r="P1000" s="4" t="str">
        <f t="shared" si="30"/>
        <v>&gt;50</v>
      </c>
      <c r="Q1000" s="4">
        <f>M1000+N1000</f>
        <v>20</v>
      </c>
      <c r="U1000" s="28" t="str" cm="1">
        <f t="array" ref="U1000">_xlfn.IFS(F1000&lt;30000,"30k",F1000&lt;=50000,"30k-50k",F1000&lt;=75000,"50k-75k",F1000&lt;=100000,"75k-100k",F1000&gt;100000,"100k")</f>
        <v>30k</v>
      </c>
      <c r="W1000" s="1">
        <f t="shared" si="31"/>
        <v>12</v>
      </c>
    </row>
    <row r="1001" spans="1:23" x14ac:dyDescent="0.35">
      <c r="A1001">
        <v>998</v>
      </c>
      <c r="B1001">
        <v>1212</v>
      </c>
      <c r="C1001">
        <v>1973</v>
      </c>
      <c r="D1001" s="1" t="s">
        <v>10</v>
      </c>
      <c r="E1001" s="1" t="s">
        <v>14</v>
      </c>
      <c r="F1001">
        <v>52845</v>
      </c>
      <c r="G1001">
        <v>1</v>
      </c>
      <c r="H1001" s="2">
        <v>0</v>
      </c>
      <c r="I1001" s="2">
        <v>41499</v>
      </c>
      <c r="J1001">
        <v>7</v>
      </c>
      <c r="K1001">
        <f>VLOOKUP(B1001,purchase_dataset!$B$2:$F$2241,2,FALSE)</f>
        <v>25</v>
      </c>
      <c r="L1001">
        <f>VLOOKUP(B1001,purchase_dataset!$B$2:$F$2241,3,FALSE)</f>
        <v>41</v>
      </c>
      <c r="M1001">
        <f>VLOOKUP(B1001,purchase_dataset!$B$2:$F$2241,3,FALSE)</f>
        <v>41</v>
      </c>
      <c r="N1001">
        <f>VLOOKUP(B1001,purchase_dataset!$B$2:$F$2241,5,FALSE)</f>
        <v>6</v>
      </c>
      <c r="O1001" s="5">
        <v>53</v>
      </c>
      <c r="P1001" s="4" t="str">
        <f t="shared" si="30"/>
        <v>&gt;50</v>
      </c>
      <c r="Q1001" s="4">
        <f>M1001+N1001</f>
        <v>47</v>
      </c>
      <c r="U1001" s="28" t="str" cm="1">
        <f t="array" ref="U1001">_xlfn.IFS(F1001&lt;30000,"30k",F1001&lt;=50000,"30k-50k",F1001&lt;=75000,"50k-75k",F1001&lt;=100000,"75k-100k",F1001&gt;100000,"100k")</f>
        <v>50k-75k</v>
      </c>
      <c r="W1001" s="1">
        <f t="shared" si="31"/>
        <v>13</v>
      </c>
    </row>
    <row r="1002" spans="1:23" x14ac:dyDescent="0.35">
      <c r="A1002">
        <v>999</v>
      </c>
      <c r="B1002">
        <v>9097</v>
      </c>
      <c r="C1002">
        <v>1956</v>
      </c>
      <c r="D1002" s="1" t="s">
        <v>10</v>
      </c>
      <c r="E1002" s="1" t="s">
        <v>16</v>
      </c>
      <c r="F1002">
        <v>46086</v>
      </c>
      <c r="G1002">
        <v>0</v>
      </c>
      <c r="H1002" s="2">
        <v>1</v>
      </c>
      <c r="I1002" s="2">
        <v>41581</v>
      </c>
      <c r="J1002">
        <v>34</v>
      </c>
      <c r="K1002">
        <f>VLOOKUP(B1002,purchase_dataset!$B$2:$F$2241,2,FALSE)</f>
        <v>8</v>
      </c>
      <c r="L1002">
        <f>VLOOKUP(B1002,purchase_dataset!$B$2:$F$2241,3,FALSE)</f>
        <v>2</v>
      </c>
      <c r="M1002">
        <f>VLOOKUP(B1002,purchase_dataset!$B$2:$F$2241,3,FALSE)</f>
        <v>2</v>
      </c>
      <c r="N1002">
        <f>VLOOKUP(B1002,purchase_dataset!$B$2:$F$2241,5,FALSE)</f>
        <v>8</v>
      </c>
      <c r="O1002" s="5">
        <v>70</v>
      </c>
      <c r="P1002" s="4" t="str">
        <f t="shared" si="30"/>
        <v>&gt;50</v>
      </c>
      <c r="Q1002" s="4">
        <f>M1002+N1002</f>
        <v>10</v>
      </c>
      <c r="U1002" s="28" t="str" cm="1">
        <f t="array" ref="U1002">_xlfn.IFS(F1002&lt;30000,"30k",F1002&lt;=50000,"30k-50k",F1002&lt;=75000,"50k-75k",F1002&lt;=100000,"75k-100k",F1002&gt;100000,"100k")</f>
        <v>30k-50k</v>
      </c>
      <c r="W1002" s="1">
        <f t="shared" si="31"/>
        <v>13</v>
      </c>
    </row>
    <row r="1003" spans="1:23" x14ac:dyDescent="0.35">
      <c r="A1003">
        <v>1000</v>
      </c>
      <c r="B1003">
        <v>10473</v>
      </c>
      <c r="C1003">
        <v>1956</v>
      </c>
      <c r="D1003" s="1" t="s">
        <v>13</v>
      </c>
      <c r="E1003" s="1" t="s">
        <v>19</v>
      </c>
      <c r="F1003">
        <v>78028</v>
      </c>
      <c r="G1003">
        <v>0</v>
      </c>
      <c r="H1003" s="2">
        <v>1</v>
      </c>
      <c r="I1003" s="2">
        <v>41162</v>
      </c>
      <c r="J1003">
        <v>38</v>
      </c>
      <c r="K1003">
        <f>VLOOKUP(B1003,purchase_dataset!$B$2:$F$2241,2,FALSE)</f>
        <v>19</v>
      </c>
      <c r="L1003">
        <f>VLOOKUP(B1003,purchase_dataset!$B$2:$F$2241,3,FALSE)</f>
        <v>0</v>
      </c>
      <c r="M1003">
        <f>VLOOKUP(B1003,purchase_dataset!$B$2:$F$2241,3,FALSE)</f>
        <v>0</v>
      </c>
      <c r="N1003">
        <f>VLOOKUP(B1003,purchase_dataset!$B$2:$F$2241,5,FALSE)</f>
        <v>9</v>
      </c>
      <c r="O1003" s="5">
        <v>70</v>
      </c>
      <c r="P1003" s="4" t="str">
        <f t="shared" si="30"/>
        <v>&gt;50</v>
      </c>
      <c r="Q1003" s="4">
        <f>M1003+N1003</f>
        <v>9</v>
      </c>
      <c r="U1003" s="28" t="str" cm="1">
        <f t="array" ref="U1003">_xlfn.IFS(F1003&lt;30000,"30k",F1003&lt;=50000,"30k-50k",F1003&lt;=75000,"50k-75k",F1003&lt;=100000,"75k-100k",F1003&gt;100000,"100k")</f>
        <v>75k-100k</v>
      </c>
      <c r="W1003" s="1">
        <f t="shared" si="31"/>
        <v>14</v>
      </c>
    </row>
    <row r="1004" spans="1:23" x14ac:dyDescent="0.35">
      <c r="A1004">
        <v>1001</v>
      </c>
      <c r="B1004">
        <v>7962</v>
      </c>
      <c r="C1004">
        <v>1987</v>
      </c>
      <c r="D1004" s="1" t="s">
        <v>13</v>
      </c>
      <c r="E1004" s="1" t="s">
        <v>11</v>
      </c>
      <c r="F1004">
        <v>95169</v>
      </c>
      <c r="G1004">
        <v>0</v>
      </c>
      <c r="H1004" s="2">
        <v>0</v>
      </c>
      <c r="I1004" s="2">
        <v>41556</v>
      </c>
      <c r="J1004">
        <v>1</v>
      </c>
      <c r="K1004">
        <f>VLOOKUP(B1004,purchase_dataset!$B$2:$F$2241,2,FALSE)</f>
        <v>21</v>
      </c>
      <c r="L1004">
        <f>VLOOKUP(B1004,purchase_dataset!$B$2:$F$2241,3,FALSE)</f>
        <v>20</v>
      </c>
      <c r="M1004">
        <f>VLOOKUP(B1004,purchase_dataset!$B$2:$F$2241,3,FALSE)</f>
        <v>20</v>
      </c>
      <c r="N1004">
        <f>VLOOKUP(B1004,purchase_dataset!$B$2:$F$2241,5,FALSE)</f>
        <v>4</v>
      </c>
      <c r="O1004" s="5">
        <v>39</v>
      </c>
      <c r="P1004" s="4" t="str">
        <f t="shared" si="30"/>
        <v>30-50</v>
      </c>
      <c r="Q1004" s="4">
        <f>M1004+N1004</f>
        <v>24</v>
      </c>
      <c r="U1004" s="28" t="str" cm="1">
        <f t="array" ref="U1004">_xlfn.IFS(F1004&lt;30000,"30k",F1004&lt;=50000,"30k-50k",F1004&lt;=75000,"50k-75k",F1004&lt;=100000,"75k-100k",F1004&gt;100000,"100k")</f>
        <v>75k-100k</v>
      </c>
      <c r="W1004" s="1">
        <f t="shared" si="31"/>
        <v>13</v>
      </c>
    </row>
    <row r="1005" spans="1:23" x14ac:dyDescent="0.35">
      <c r="A1005">
        <v>1002</v>
      </c>
      <c r="B1005">
        <v>9984</v>
      </c>
      <c r="C1005">
        <v>1981</v>
      </c>
      <c r="D1005" s="1" t="s">
        <v>18</v>
      </c>
      <c r="E1005" s="1" t="s">
        <v>14</v>
      </c>
      <c r="F1005">
        <v>56337</v>
      </c>
      <c r="G1005">
        <v>1</v>
      </c>
      <c r="H1005" s="2">
        <v>1</v>
      </c>
      <c r="I1005" s="2">
        <v>41360</v>
      </c>
      <c r="J1005">
        <v>25</v>
      </c>
      <c r="K1005">
        <f>VLOOKUP(B1005,purchase_dataset!$B$2:$F$2241,2,FALSE)</f>
        <v>16</v>
      </c>
      <c r="L1005">
        <f>VLOOKUP(B1005,purchase_dataset!$B$2:$F$2241,3,FALSE)</f>
        <v>5</v>
      </c>
      <c r="M1005">
        <f>VLOOKUP(B1005,purchase_dataset!$B$2:$F$2241,3,FALSE)</f>
        <v>5</v>
      </c>
      <c r="N1005">
        <f>VLOOKUP(B1005,purchase_dataset!$B$2:$F$2241,5,FALSE)</f>
        <v>4</v>
      </c>
      <c r="O1005" s="5">
        <v>45</v>
      </c>
      <c r="P1005" s="4" t="str">
        <f t="shared" si="30"/>
        <v>30-50</v>
      </c>
      <c r="Q1005" s="4">
        <f>M1005+N1005</f>
        <v>9</v>
      </c>
      <c r="U1005" s="28" t="str" cm="1">
        <f t="array" ref="U1005">_xlfn.IFS(F1005&lt;30000,"30k",F1005&lt;=50000,"30k-50k",F1005&lt;=75000,"50k-75k",F1005&lt;=100000,"75k-100k",F1005&gt;100000,"100k")</f>
        <v>50k-75k</v>
      </c>
      <c r="W1005" s="1">
        <f t="shared" si="31"/>
        <v>13</v>
      </c>
    </row>
    <row r="1006" spans="1:23" x14ac:dyDescent="0.35">
      <c r="A1006">
        <v>1003</v>
      </c>
      <c r="B1006">
        <v>5527</v>
      </c>
      <c r="C1006">
        <v>1987</v>
      </c>
      <c r="D1006" s="1" t="s">
        <v>10</v>
      </c>
      <c r="E1006" s="1" t="s">
        <v>12</v>
      </c>
      <c r="F1006">
        <v>22434</v>
      </c>
      <c r="G1006">
        <v>1</v>
      </c>
      <c r="H1006" s="2">
        <v>0</v>
      </c>
      <c r="I1006" s="2">
        <v>41318</v>
      </c>
      <c r="J1006">
        <v>25</v>
      </c>
      <c r="K1006">
        <f>VLOOKUP(B1006,purchase_dataset!$B$2:$F$2241,2,FALSE)</f>
        <v>12</v>
      </c>
      <c r="L1006">
        <f>VLOOKUP(B1006,purchase_dataset!$B$2:$F$2241,3,FALSE)</f>
        <v>13</v>
      </c>
      <c r="M1006">
        <f>VLOOKUP(B1006,purchase_dataset!$B$2:$F$2241,3,FALSE)</f>
        <v>13</v>
      </c>
      <c r="N1006">
        <f>VLOOKUP(B1006,purchase_dataset!$B$2:$F$2241,5,FALSE)</f>
        <v>3</v>
      </c>
      <c r="O1006" s="5">
        <v>39</v>
      </c>
      <c r="P1006" s="4" t="str">
        <f t="shared" si="30"/>
        <v>30-50</v>
      </c>
      <c r="Q1006" s="4">
        <f>M1006+N1006</f>
        <v>16</v>
      </c>
      <c r="U1006" s="28" t="str" cm="1">
        <f t="array" ref="U1006">_xlfn.IFS(F1006&lt;30000,"30k",F1006&lt;=50000,"30k-50k",F1006&lt;=75000,"50k-75k",F1006&lt;=100000,"75k-100k",F1006&gt;100000,"100k")</f>
        <v>30k</v>
      </c>
      <c r="W1006" s="1">
        <f t="shared" si="31"/>
        <v>13</v>
      </c>
    </row>
    <row r="1007" spans="1:23" x14ac:dyDescent="0.35">
      <c r="A1007">
        <v>1004</v>
      </c>
      <c r="B1007">
        <v>6374</v>
      </c>
      <c r="C1007">
        <v>1954</v>
      </c>
      <c r="D1007" s="1" t="s">
        <v>13</v>
      </c>
      <c r="E1007" s="1" t="s">
        <v>14</v>
      </c>
      <c r="F1007">
        <v>36930</v>
      </c>
      <c r="G1007">
        <v>0</v>
      </c>
      <c r="H1007" s="2">
        <v>1</v>
      </c>
      <c r="I1007" s="2">
        <v>41411</v>
      </c>
      <c r="J1007">
        <v>50</v>
      </c>
      <c r="K1007">
        <f>VLOOKUP(B1007,purchase_dataset!$B$2:$F$2241,2,FALSE)</f>
        <v>2</v>
      </c>
      <c r="L1007">
        <f>VLOOKUP(B1007,purchase_dataset!$B$2:$F$2241,3,FALSE)</f>
        <v>2</v>
      </c>
      <c r="M1007">
        <f>VLOOKUP(B1007,purchase_dataset!$B$2:$F$2241,3,FALSE)</f>
        <v>2</v>
      </c>
      <c r="N1007">
        <f>VLOOKUP(B1007,purchase_dataset!$B$2:$F$2241,5,FALSE)</f>
        <v>4</v>
      </c>
      <c r="O1007" s="5">
        <v>72</v>
      </c>
      <c r="P1007" s="4" t="str">
        <f t="shared" si="30"/>
        <v>&gt;50</v>
      </c>
      <c r="Q1007" s="4">
        <f>M1007+N1007</f>
        <v>6</v>
      </c>
      <c r="U1007" s="28" t="str" cm="1">
        <f t="array" ref="U1007">_xlfn.IFS(F1007&lt;30000,"30k",F1007&lt;=50000,"30k-50k",F1007&lt;=75000,"50k-75k",F1007&lt;=100000,"75k-100k",F1007&gt;100000,"100k")</f>
        <v>30k-50k</v>
      </c>
      <c r="W1007" s="1">
        <f t="shared" si="31"/>
        <v>13</v>
      </c>
    </row>
    <row r="1008" spans="1:23" x14ac:dyDescent="0.35">
      <c r="A1008">
        <v>1005</v>
      </c>
      <c r="B1008">
        <v>7453</v>
      </c>
      <c r="C1008">
        <v>1954</v>
      </c>
      <c r="D1008" s="1" t="s">
        <v>10</v>
      </c>
      <c r="E1008" s="1" t="s">
        <v>11</v>
      </c>
      <c r="F1008">
        <v>36130</v>
      </c>
      <c r="G1008">
        <v>0</v>
      </c>
      <c r="H1008" s="2">
        <v>1</v>
      </c>
      <c r="I1008" s="2">
        <v>41307</v>
      </c>
      <c r="J1008">
        <v>46</v>
      </c>
      <c r="K1008">
        <f>VLOOKUP(B1008,purchase_dataset!$B$2:$F$2241,2,FALSE)</f>
        <v>43</v>
      </c>
      <c r="L1008">
        <f>VLOOKUP(B1008,purchase_dataset!$B$2:$F$2241,3,FALSE)</f>
        <v>56</v>
      </c>
      <c r="M1008">
        <f>VLOOKUP(B1008,purchase_dataset!$B$2:$F$2241,3,FALSE)</f>
        <v>56</v>
      </c>
      <c r="N1008">
        <f>VLOOKUP(B1008,purchase_dataset!$B$2:$F$2241,5,FALSE)</f>
        <v>4</v>
      </c>
      <c r="O1008" s="5">
        <v>72</v>
      </c>
      <c r="P1008" s="4" t="str">
        <f t="shared" si="30"/>
        <v>&gt;50</v>
      </c>
      <c r="Q1008" s="4">
        <f>M1008+N1008</f>
        <v>60</v>
      </c>
      <c r="U1008" s="28" t="str" cm="1">
        <f t="array" ref="U1008">_xlfn.IFS(F1008&lt;30000,"30k",F1008&lt;=50000,"30k-50k",F1008&lt;=75000,"50k-75k",F1008&lt;=100000,"75k-100k",F1008&gt;100000,"100k")</f>
        <v>30k-50k</v>
      </c>
      <c r="W1008" s="1">
        <f t="shared" si="31"/>
        <v>13</v>
      </c>
    </row>
    <row r="1009" spans="1:23" x14ac:dyDescent="0.35">
      <c r="A1009">
        <v>1006</v>
      </c>
      <c r="B1009">
        <v>8952</v>
      </c>
      <c r="C1009">
        <v>1953</v>
      </c>
      <c r="D1009" s="1" t="s">
        <v>15</v>
      </c>
      <c r="E1009" s="1" t="s">
        <v>14</v>
      </c>
      <c r="F1009">
        <v>65569</v>
      </c>
      <c r="G1009">
        <v>0</v>
      </c>
      <c r="H1009" s="2">
        <v>1</v>
      </c>
      <c r="I1009" s="2">
        <v>41218</v>
      </c>
      <c r="J1009">
        <v>96</v>
      </c>
      <c r="K1009">
        <f>VLOOKUP(B1009,purchase_dataset!$B$2:$F$2241,2,FALSE)</f>
        <v>46</v>
      </c>
      <c r="L1009">
        <f>VLOOKUP(B1009,purchase_dataset!$B$2:$F$2241,3,FALSE)</f>
        <v>38</v>
      </c>
      <c r="M1009">
        <f>VLOOKUP(B1009,purchase_dataset!$B$2:$F$2241,3,FALSE)</f>
        <v>38</v>
      </c>
      <c r="N1009">
        <f>VLOOKUP(B1009,purchase_dataset!$B$2:$F$2241,5,FALSE)</f>
        <v>10</v>
      </c>
      <c r="O1009" s="5">
        <v>73</v>
      </c>
      <c r="P1009" s="4" t="str">
        <f t="shared" si="30"/>
        <v>&gt;50</v>
      </c>
      <c r="Q1009" s="4">
        <f>M1009+N1009</f>
        <v>48</v>
      </c>
      <c r="U1009" s="28" t="str" cm="1">
        <f t="array" ref="U1009">_xlfn.IFS(F1009&lt;30000,"30k",F1009&lt;=50000,"30k-50k",F1009&lt;=75000,"50k-75k",F1009&lt;=100000,"75k-100k",F1009&gt;100000,"100k")</f>
        <v>50k-75k</v>
      </c>
      <c r="W1009" s="1">
        <f t="shared" si="31"/>
        <v>14</v>
      </c>
    </row>
    <row r="1010" spans="1:23" x14ac:dyDescent="0.35">
      <c r="A1010">
        <v>1007</v>
      </c>
      <c r="B1010">
        <v>241</v>
      </c>
      <c r="C1010">
        <v>1952</v>
      </c>
      <c r="D1010" s="1" t="s">
        <v>10</v>
      </c>
      <c r="E1010" s="1" t="s">
        <v>12</v>
      </c>
      <c r="F1010">
        <v>83844</v>
      </c>
      <c r="G1010">
        <v>0</v>
      </c>
      <c r="H1010" s="2">
        <v>0</v>
      </c>
      <c r="I1010" s="2">
        <v>41406</v>
      </c>
      <c r="J1010">
        <v>57</v>
      </c>
      <c r="K1010">
        <f>VLOOKUP(B1010,purchase_dataset!$B$2:$F$2241,2,FALSE)</f>
        <v>31</v>
      </c>
      <c r="L1010">
        <f>VLOOKUP(B1010,purchase_dataset!$B$2:$F$2241,3,FALSE)</f>
        <v>31</v>
      </c>
      <c r="M1010">
        <f>VLOOKUP(B1010,purchase_dataset!$B$2:$F$2241,3,FALSE)</f>
        <v>31</v>
      </c>
      <c r="N1010">
        <f>VLOOKUP(B1010,purchase_dataset!$B$2:$F$2241,5,FALSE)</f>
        <v>11</v>
      </c>
      <c r="O1010" s="5">
        <v>74</v>
      </c>
      <c r="P1010" s="4" t="str">
        <f t="shared" si="30"/>
        <v>&gt;50</v>
      </c>
      <c r="Q1010" s="4">
        <f>M1010+N1010</f>
        <v>42</v>
      </c>
      <c r="U1010" s="28" t="str" cm="1">
        <f t="array" ref="U1010">_xlfn.IFS(F1010&lt;30000,"30k",F1010&lt;=50000,"30k-50k",F1010&lt;=75000,"50k-75k",F1010&lt;=100000,"75k-100k",F1010&gt;100000,"100k")</f>
        <v>75k-100k</v>
      </c>
      <c r="W1010" s="1">
        <f t="shared" si="31"/>
        <v>13</v>
      </c>
    </row>
    <row r="1011" spans="1:23" x14ac:dyDescent="0.35">
      <c r="A1011">
        <v>1008</v>
      </c>
      <c r="B1011">
        <v>8975</v>
      </c>
      <c r="C1011">
        <v>1968</v>
      </c>
      <c r="D1011" s="1" t="s">
        <v>10</v>
      </c>
      <c r="E1011" s="1" t="s">
        <v>14</v>
      </c>
      <c r="F1011">
        <v>19514</v>
      </c>
      <c r="G1011">
        <v>1</v>
      </c>
      <c r="H1011" s="2">
        <v>1</v>
      </c>
      <c r="I1011" s="2">
        <v>41665</v>
      </c>
      <c r="J1011">
        <v>47</v>
      </c>
      <c r="K1011">
        <f>VLOOKUP(B1011,purchase_dataset!$B$2:$F$2241,2,FALSE)</f>
        <v>3</v>
      </c>
      <c r="L1011">
        <f>VLOOKUP(B1011,purchase_dataset!$B$2:$F$2241,3,FALSE)</f>
        <v>1</v>
      </c>
      <c r="M1011">
        <f>VLOOKUP(B1011,purchase_dataset!$B$2:$F$2241,3,FALSE)</f>
        <v>1</v>
      </c>
      <c r="N1011">
        <f>VLOOKUP(B1011,purchase_dataset!$B$2:$F$2241,5,FALSE)</f>
        <v>2</v>
      </c>
      <c r="O1011" s="5">
        <v>58</v>
      </c>
      <c r="P1011" s="4" t="str">
        <f t="shared" si="30"/>
        <v>&gt;50</v>
      </c>
      <c r="Q1011" s="4">
        <f>M1011+N1011</f>
        <v>3</v>
      </c>
      <c r="U1011" s="28" t="str" cm="1">
        <f t="array" ref="U1011">_xlfn.IFS(F1011&lt;30000,"30k",F1011&lt;=50000,"30k-50k",F1011&lt;=75000,"50k-75k",F1011&lt;=100000,"75k-100k",F1011&gt;100000,"100k")</f>
        <v>30k</v>
      </c>
      <c r="W1011" s="1">
        <f t="shared" si="31"/>
        <v>12</v>
      </c>
    </row>
    <row r="1012" spans="1:23" x14ac:dyDescent="0.35">
      <c r="A1012">
        <v>1009</v>
      </c>
      <c r="B1012">
        <v>6119</v>
      </c>
      <c r="C1012">
        <v>1963</v>
      </c>
      <c r="D1012" s="1" t="s">
        <v>13</v>
      </c>
      <c r="E1012" s="1" t="s">
        <v>11</v>
      </c>
      <c r="F1012">
        <v>36736</v>
      </c>
      <c r="G1012">
        <v>1</v>
      </c>
      <c r="H1012" s="2">
        <v>1</v>
      </c>
      <c r="I1012" s="2">
        <v>41404</v>
      </c>
      <c r="J1012">
        <v>52</v>
      </c>
      <c r="K1012">
        <f>VLOOKUP(B1012,purchase_dataset!$B$2:$F$2241,2,FALSE)</f>
        <v>0</v>
      </c>
      <c r="L1012">
        <f>VLOOKUP(B1012,purchase_dataset!$B$2:$F$2241,3,FALSE)</f>
        <v>0</v>
      </c>
      <c r="M1012">
        <f>VLOOKUP(B1012,purchase_dataset!$B$2:$F$2241,3,FALSE)</f>
        <v>0</v>
      </c>
      <c r="N1012">
        <f>VLOOKUP(B1012,purchase_dataset!$B$2:$F$2241,5,FALSE)</f>
        <v>2</v>
      </c>
      <c r="O1012" s="5">
        <v>63</v>
      </c>
      <c r="P1012" s="4" t="str">
        <f t="shared" si="30"/>
        <v>&gt;50</v>
      </c>
      <c r="Q1012" s="4">
        <f>M1012+N1012</f>
        <v>2</v>
      </c>
      <c r="U1012" s="28" t="str" cm="1">
        <f t="array" ref="U1012">_xlfn.IFS(F1012&lt;30000,"30k",F1012&lt;=50000,"30k-50k",F1012&lt;=75000,"50k-75k",F1012&lt;=100000,"75k-100k",F1012&gt;100000,"100k")</f>
        <v>30k-50k</v>
      </c>
      <c r="W1012" s="1">
        <f t="shared" si="31"/>
        <v>13</v>
      </c>
    </row>
    <row r="1013" spans="1:23" x14ac:dyDescent="0.35">
      <c r="A1013">
        <v>1010</v>
      </c>
      <c r="B1013">
        <v>5236</v>
      </c>
      <c r="C1013">
        <v>1979</v>
      </c>
      <c r="D1013" s="1" t="s">
        <v>10</v>
      </c>
      <c r="E1013" s="1" t="s">
        <v>12</v>
      </c>
      <c r="F1013">
        <v>77568</v>
      </c>
      <c r="G1013">
        <v>0</v>
      </c>
      <c r="H1013" s="2">
        <v>1</v>
      </c>
      <c r="I1013" s="2">
        <v>41146</v>
      </c>
      <c r="J1013">
        <v>30</v>
      </c>
      <c r="K1013">
        <f>VLOOKUP(B1013,purchase_dataset!$B$2:$F$2241,2,FALSE)</f>
        <v>0</v>
      </c>
      <c r="L1013">
        <f>VLOOKUP(B1013,purchase_dataset!$B$2:$F$2241,3,FALSE)</f>
        <v>178</v>
      </c>
      <c r="M1013">
        <f>VLOOKUP(B1013,purchase_dataset!$B$2:$F$2241,3,FALSE)</f>
        <v>178</v>
      </c>
      <c r="N1013">
        <f>VLOOKUP(B1013,purchase_dataset!$B$2:$F$2241,5,FALSE)</f>
        <v>8</v>
      </c>
      <c r="O1013" s="5">
        <v>47</v>
      </c>
      <c r="P1013" s="4" t="str">
        <f t="shared" si="30"/>
        <v>30-50</v>
      </c>
      <c r="Q1013" s="4">
        <f>M1013+N1013</f>
        <v>186</v>
      </c>
      <c r="U1013" s="28" t="str" cm="1">
        <f t="array" ref="U1013">_xlfn.IFS(F1013&lt;30000,"30k",F1013&lt;=50000,"30k-50k",F1013&lt;=75000,"50k-75k",F1013&lt;=100000,"75k-100k",F1013&gt;100000,"100k")</f>
        <v>75k-100k</v>
      </c>
      <c r="W1013" s="1">
        <f t="shared" si="31"/>
        <v>14</v>
      </c>
    </row>
    <row r="1014" spans="1:23" x14ac:dyDescent="0.35">
      <c r="A1014">
        <v>1011</v>
      </c>
      <c r="B1014">
        <v>5723</v>
      </c>
      <c r="C1014">
        <v>1976</v>
      </c>
      <c r="D1014" s="1" t="s">
        <v>13</v>
      </c>
      <c r="E1014" s="1" t="s">
        <v>12</v>
      </c>
      <c r="F1014">
        <v>49187</v>
      </c>
      <c r="G1014">
        <v>0</v>
      </c>
      <c r="H1014" s="2">
        <v>1</v>
      </c>
      <c r="I1014" s="2">
        <v>41650</v>
      </c>
      <c r="J1014">
        <v>63</v>
      </c>
      <c r="K1014">
        <f>VLOOKUP(B1014,purchase_dataset!$B$2:$F$2241,2,FALSE)</f>
        <v>1</v>
      </c>
      <c r="L1014">
        <f>VLOOKUP(B1014,purchase_dataset!$B$2:$F$2241,3,FALSE)</f>
        <v>1</v>
      </c>
      <c r="M1014">
        <f>VLOOKUP(B1014,purchase_dataset!$B$2:$F$2241,3,FALSE)</f>
        <v>1</v>
      </c>
      <c r="N1014">
        <f>VLOOKUP(B1014,purchase_dataset!$B$2:$F$2241,5,FALSE)</f>
        <v>5</v>
      </c>
      <c r="O1014" s="5">
        <v>50</v>
      </c>
      <c r="P1014" s="4" t="str">
        <f t="shared" si="30"/>
        <v>30-50</v>
      </c>
      <c r="Q1014" s="4">
        <f>M1014+N1014</f>
        <v>6</v>
      </c>
      <c r="U1014" s="28" t="str" cm="1">
        <f t="array" ref="U1014">_xlfn.IFS(F1014&lt;30000,"30k",F1014&lt;=50000,"30k-50k",F1014&lt;=75000,"50k-75k",F1014&lt;=100000,"75k-100k",F1014&gt;100000,"100k")</f>
        <v>30k-50k</v>
      </c>
      <c r="W1014" s="1">
        <f t="shared" si="31"/>
        <v>12</v>
      </c>
    </row>
    <row r="1015" spans="1:23" x14ac:dyDescent="0.35">
      <c r="A1015">
        <v>1012</v>
      </c>
      <c r="B1015">
        <v>1710</v>
      </c>
      <c r="C1015">
        <v>1978</v>
      </c>
      <c r="D1015" s="1" t="s">
        <v>10</v>
      </c>
      <c r="E1015" s="1" t="s">
        <v>11</v>
      </c>
      <c r="F1015">
        <v>30168</v>
      </c>
      <c r="G1015">
        <v>1</v>
      </c>
      <c r="H1015" s="2">
        <v>0</v>
      </c>
      <c r="I1015" s="2">
        <v>41340</v>
      </c>
      <c r="J1015">
        <v>51</v>
      </c>
      <c r="K1015">
        <f>VLOOKUP(B1015,purchase_dataset!$B$2:$F$2241,2,FALSE)</f>
        <v>20</v>
      </c>
      <c r="L1015">
        <f>VLOOKUP(B1015,purchase_dataset!$B$2:$F$2241,3,FALSE)</f>
        <v>12</v>
      </c>
      <c r="M1015">
        <f>VLOOKUP(B1015,purchase_dataset!$B$2:$F$2241,3,FALSE)</f>
        <v>12</v>
      </c>
      <c r="N1015">
        <f>VLOOKUP(B1015,purchase_dataset!$B$2:$F$2241,5,FALSE)</f>
        <v>4</v>
      </c>
      <c r="O1015" s="5">
        <v>48</v>
      </c>
      <c r="P1015" s="4" t="str">
        <f t="shared" si="30"/>
        <v>30-50</v>
      </c>
      <c r="Q1015" s="4">
        <f>M1015+N1015</f>
        <v>16</v>
      </c>
      <c r="U1015" s="28" t="str" cm="1">
        <f t="array" ref="U1015">_xlfn.IFS(F1015&lt;30000,"30k",F1015&lt;=50000,"30k-50k",F1015&lt;=75000,"50k-75k",F1015&lt;=100000,"75k-100k",F1015&gt;100000,"100k")</f>
        <v>30k-50k</v>
      </c>
      <c r="W1015" s="1">
        <f t="shared" si="31"/>
        <v>13</v>
      </c>
    </row>
    <row r="1016" spans="1:23" x14ac:dyDescent="0.35">
      <c r="A1016">
        <v>1013</v>
      </c>
      <c r="B1016">
        <v>1970</v>
      </c>
      <c r="C1016">
        <v>1968</v>
      </c>
      <c r="D1016" s="1" t="s">
        <v>15</v>
      </c>
      <c r="E1016" s="1" t="s">
        <v>12</v>
      </c>
      <c r="F1016">
        <v>34053</v>
      </c>
      <c r="G1016">
        <v>0</v>
      </c>
      <c r="H1016" s="2">
        <v>1</v>
      </c>
      <c r="I1016" s="2">
        <v>41162</v>
      </c>
      <c r="J1016">
        <v>14</v>
      </c>
      <c r="K1016">
        <f>VLOOKUP(B1016,purchase_dataset!$B$2:$F$2241,2,FALSE)</f>
        <v>0</v>
      </c>
      <c r="L1016">
        <f>VLOOKUP(B1016,purchase_dataset!$B$2:$F$2241,3,FALSE)</f>
        <v>0</v>
      </c>
      <c r="M1016">
        <f>VLOOKUP(B1016,purchase_dataset!$B$2:$F$2241,3,FALSE)</f>
        <v>0</v>
      </c>
      <c r="N1016">
        <f>VLOOKUP(B1016,purchase_dataset!$B$2:$F$2241,5,FALSE)</f>
        <v>3</v>
      </c>
      <c r="O1016" s="5">
        <v>58</v>
      </c>
      <c r="P1016" s="4" t="str">
        <f t="shared" si="30"/>
        <v>&gt;50</v>
      </c>
      <c r="Q1016" s="4">
        <f>M1016+N1016</f>
        <v>3</v>
      </c>
      <c r="U1016" s="28" t="str" cm="1">
        <f t="array" ref="U1016">_xlfn.IFS(F1016&lt;30000,"30k",F1016&lt;=50000,"30k-50k",F1016&lt;=75000,"50k-75k",F1016&lt;=100000,"75k-100k",F1016&gt;100000,"100k")</f>
        <v>30k-50k</v>
      </c>
      <c r="W1016" s="1">
        <f t="shared" si="31"/>
        <v>14</v>
      </c>
    </row>
    <row r="1017" spans="1:23" x14ac:dyDescent="0.35">
      <c r="A1017">
        <v>1014</v>
      </c>
      <c r="B1017">
        <v>5313</v>
      </c>
      <c r="C1017">
        <v>1971</v>
      </c>
      <c r="D1017" s="1" t="s">
        <v>15</v>
      </c>
      <c r="E1017" s="1" t="s">
        <v>14</v>
      </c>
      <c r="F1017">
        <v>38196</v>
      </c>
      <c r="G1017">
        <v>1</v>
      </c>
      <c r="H1017" s="2">
        <v>1</v>
      </c>
      <c r="I1017" s="2">
        <v>41747</v>
      </c>
      <c r="J1017">
        <v>20</v>
      </c>
      <c r="K1017">
        <f>VLOOKUP(B1017,purchase_dataset!$B$2:$F$2241,2,FALSE)</f>
        <v>0</v>
      </c>
      <c r="L1017">
        <f>VLOOKUP(B1017,purchase_dataset!$B$2:$F$2241,3,FALSE)</f>
        <v>0</v>
      </c>
      <c r="M1017">
        <f>VLOOKUP(B1017,purchase_dataset!$B$2:$F$2241,3,FALSE)</f>
        <v>0</v>
      </c>
      <c r="N1017">
        <f>VLOOKUP(B1017,purchase_dataset!$B$2:$F$2241,5,FALSE)</f>
        <v>4</v>
      </c>
      <c r="O1017" s="5">
        <v>55</v>
      </c>
      <c r="P1017" s="4" t="str">
        <f t="shared" si="30"/>
        <v>&gt;50</v>
      </c>
      <c r="Q1017" s="4">
        <f>M1017+N1017</f>
        <v>4</v>
      </c>
      <c r="U1017" s="28" t="str" cm="1">
        <f t="array" ref="U1017">_xlfn.IFS(F1017&lt;30000,"30k",F1017&lt;=50000,"30k-50k",F1017&lt;=75000,"50k-75k",F1017&lt;=100000,"75k-100k",F1017&gt;100000,"100k")</f>
        <v>30k-50k</v>
      </c>
      <c r="W1017" s="1">
        <f t="shared" si="31"/>
        <v>12</v>
      </c>
    </row>
    <row r="1018" spans="1:23" x14ac:dyDescent="0.35">
      <c r="A1018">
        <v>1015</v>
      </c>
      <c r="B1018">
        <v>10634</v>
      </c>
      <c r="C1018">
        <v>1951</v>
      </c>
      <c r="D1018" s="1" t="s">
        <v>15</v>
      </c>
      <c r="E1018" s="1" t="s">
        <v>14</v>
      </c>
      <c r="F1018">
        <v>59412</v>
      </c>
      <c r="G1018">
        <v>0</v>
      </c>
      <c r="H1018" s="2">
        <v>0</v>
      </c>
      <c r="I1018" s="2">
        <v>41748</v>
      </c>
      <c r="J1018">
        <v>56</v>
      </c>
      <c r="K1018">
        <f>VLOOKUP(B1018,purchase_dataset!$B$2:$F$2241,2,FALSE)</f>
        <v>67</v>
      </c>
      <c r="L1018">
        <f>VLOOKUP(B1018,purchase_dataset!$B$2:$F$2241,3,FALSE)</f>
        <v>43</v>
      </c>
      <c r="M1018">
        <f>VLOOKUP(B1018,purchase_dataset!$B$2:$F$2241,3,FALSE)</f>
        <v>43</v>
      </c>
      <c r="N1018">
        <f>VLOOKUP(B1018,purchase_dataset!$B$2:$F$2241,5,FALSE)</f>
        <v>8</v>
      </c>
      <c r="O1018" s="5">
        <v>75</v>
      </c>
      <c r="P1018" s="4" t="str">
        <f t="shared" si="30"/>
        <v>&gt;50</v>
      </c>
      <c r="Q1018" s="4">
        <f>M1018+N1018</f>
        <v>51</v>
      </c>
      <c r="U1018" s="28" t="str" cm="1">
        <f t="array" ref="U1018">_xlfn.IFS(F1018&lt;30000,"30k",F1018&lt;=50000,"30k-50k",F1018&lt;=75000,"50k-75k",F1018&lt;=100000,"75k-100k",F1018&gt;100000,"100k")</f>
        <v>50k-75k</v>
      </c>
      <c r="W1018" s="1">
        <f t="shared" si="31"/>
        <v>12</v>
      </c>
    </row>
    <row r="1019" spans="1:23" x14ac:dyDescent="0.35">
      <c r="A1019">
        <v>1016</v>
      </c>
      <c r="B1019">
        <v>7010</v>
      </c>
      <c r="C1019">
        <v>1965</v>
      </c>
      <c r="D1019" s="1" t="s">
        <v>18</v>
      </c>
      <c r="E1019" s="1" t="s">
        <v>14</v>
      </c>
      <c r="F1019">
        <v>70924</v>
      </c>
      <c r="G1019">
        <v>0</v>
      </c>
      <c r="H1019" s="2">
        <v>0</v>
      </c>
      <c r="I1019" s="2">
        <v>41736</v>
      </c>
      <c r="J1019">
        <v>41</v>
      </c>
      <c r="K1019">
        <f>VLOOKUP(B1019,purchase_dataset!$B$2:$F$2241,2,FALSE)</f>
        <v>114</v>
      </c>
      <c r="L1019">
        <f>VLOOKUP(B1019,purchase_dataset!$B$2:$F$2241,3,FALSE)</f>
        <v>152</v>
      </c>
      <c r="M1019">
        <f>VLOOKUP(B1019,purchase_dataset!$B$2:$F$2241,3,FALSE)</f>
        <v>152</v>
      </c>
      <c r="N1019">
        <f>VLOOKUP(B1019,purchase_dataset!$B$2:$F$2241,5,FALSE)</f>
        <v>7</v>
      </c>
      <c r="O1019" s="5">
        <v>61</v>
      </c>
      <c r="P1019" s="4" t="str">
        <f t="shared" si="30"/>
        <v>&gt;50</v>
      </c>
      <c r="Q1019" s="4">
        <f>M1019+N1019</f>
        <v>159</v>
      </c>
      <c r="U1019" s="28" t="str" cm="1">
        <f t="array" ref="U1019">_xlfn.IFS(F1019&lt;30000,"30k",F1019&lt;=50000,"30k-50k",F1019&lt;=75000,"50k-75k",F1019&lt;=100000,"75k-100k",F1019&gt;100000,"100k")</f>
        <v>50k-75k</v>
      </c>
      <c r="W1019" s="1">
        <f t="shared" si="31"/>
        <v>12</v>
      </c>
    </row>
    <row r="1020" spans="1:23" x14ac:dyDescent="0.35">
      <c r="A1020">
        <v>1017</v>
      </c>
      <c r="B1020">
        <v>8562</v>
      </c>
      <c r="C1020">
        <v>1969</v>
      </c>
      <c r="D1020" s="1" t="s">
        <v>10</v>
      </c>
      <c r="E1020" s="1" t="s">
        <v>12</v>
      </c>
      <c r="F1020">
        <v>54165</v>
      </c>
      <c r="G1020">
        <v>0</v>
      </c>
      <c r="H1020" s="2">
        <v>0</v>
      </c>
      <c r="I1020" s="2">
        <v>41422</v>
      </c>
      <c r="J1020">
        <v>72</v>
      </c>
      <c r="K1020">
        <f>VLOOKUP(B1020,purchase_dataset!$B$2:$F$2241,2,FALSE)</f>
        <v>4</v>
      </c>
      <c r="L1020">
        <f>VLOOKUP(B1020,purchase_dataset!$B$2:$F$2241,3,FALSE)</f>
        <v>6</v>
      </c>
      <c r="M1020">
        <f>VLOOKUP(B1020,purchase_dataset!$B$2:$F$2241,3,FALSE)</f>
        <v>6</v>
      </c>
      <c r="N1020">
        <f>VLOOKUP(B1020,purchase_dataset!$B$2:$F$2241,5,FALSE)</f>
        <v>7</v>
      </c>
      <c r="O1020" s="5">
        <v>57</v>
      </c>
      <c r="P1020" s="4" t="str">
        <f t="shared" si="30"/>
        <v>&gt;50</v>
      </c>
      <c r="Q1020" s="4">
        <f>M1020+N1020</f>
        <v>13</v>
      </c>
      <c r="U1020" s="28" t="str" cm="1">
        <f t="array" ref="U1020">_xlfn.IFS(F1020&lt;30000,"30k",F1020&lt;=50000,"30k-50k",F1020&lt;=75000,"50k-75k",F1020&lt;=100000,"75k-100k",F1020&gt;100000,"100k")</f>
        <v>50k-75k</v>
      </c>
      <c r="W1020" s="1">
        <f t="shared" si="31"/>
        <v>13</v>
      </c>
    </row>
    <row r="1021" spans="1:23" x14ac:dyDescent="0.35">
      <c r="A1021">
        <v>1018</v>
      </c>
      <c r="B1021">
        <v>3158</v>
      </c>
      <c r="C1021">
        <v>1973</v>
      </c>
      <c r="D1021" s="1" t="s">
        <v>10</v>
      </c>
      <c r="E1021" s="1" t="s">
        <v>14</v>
      </c>
      <c r="F1021">
        <v>32300</v>
      </c>
      <c r="G1021">
        <v>1</v>
      </c>
      <c r="H1021" s="2">
        <v>0</v>
      </c>
      <c r="I1021" s="2">
        <v>41277</v>
      </c>
      <c r="J1021">
        <v>1</v>
      </c>
      <c r="K1021">
        <f>VLOOKUP(B1021,purchase_dataset!$B$2:$F$2241,2,FALSE)</f>
        <v>3</v>
      </c>
      <c r="L1021">
        <f>VLOOKUP(B1021,purchase_dataset!$B$2:$F$2241,3,FALSE)</f>
        <v>5</v>
      </c>
      <c r="M1021">
        <f>VLOOKUP(B1021,purchase_dataset!$B$2:$F$2241,3,FALSE)</f>
        <v>5</v>
      </c>
      <c r="N1021">
        <f>VLOOKUP(B1021,purchase_dataset!$B$2:$F$2241,5,FALSE)</f>
        <v>3</v>
      </c>
      <c r="O1021" s="5">
        <v>53</v>
      </c>
      <c r="P1021" s="4" t="str">
        <f t="shared" si="30"/>
        <v>&gt;50</v>
      </c>
      <c r="Q1021" s="4">
        <f>M1021+N1021</f>
        <v>8</v>
      </c>
      <c r="U1021" s="28" t="str" cm="1">
        <f t="array" ref="U1021">_xlfn.IFS(F1021&lt;30000,"30k",F1021&lt;=50000,"30k-50k",F1021&lt;=75000,"50k-75k",F1021&lt;=100000,"75k-100k",F1021&gt;100000,"100k")</f>
        <v>30k-50k</v>
      </c>
      <c r="W1021" s="1">
        <f t="shared" si="31"/>
        <v>13</v>
      </c>
    </row>
    <row r="1022" spans="1:23" x14ac:dyDescent="0.35">
      <c r="A1022">
        <v>1019</v>
      </c>
      <c r="B1022">
        <v>4436</v>
      </c>
      <c r="C1022">
        <v>1976</v>
      </c>
      <c r="D1022" s="1" t="s">
        <v>10</v>
      </c>
      <c r="E1022" s="1" t="s">
        <v>11</v>
      </c>
      <c r="F1022">
        <v>20180</v>
      </c>
      <c r="G1022">
        <v>0</v>
      </c>
      <c r="H1022" s="2">
        <v>0</v>
      </c>
      <c r="I1022" s="2">
        <v>41325</v>
      </c>
      <c r="J1022">
        <v>27</v>
      </c>
      <c r="K1022">
        <f>VLOOKUP(B1022,purchase_dataset!$B$2:$F$2241,2,FALSE)</f>
        <v>42</v>
      </c>
      <c r="L1022">
        <f>VLOOKUP(B1022,purchase_dataset!$B$2:$F$2241,3,FALSE)</f>
        <v>20</v>
      </c>
      <c r="M1022">
        <f>VLOOKUP(B1022,purchase_dataset!$B$2:$F$2241,3,FALSE)</f>
        <v>20</v>
      </c>
      <c r="N1022">
        <f>VLOOKUP(B1022,purchase_dataset!$B$2:$F$2241,5,FALSE)</f>
        <v>4</v>
      </c>
      <c r="O1022" s="5">
        <v>50</v>
      </c>
      <c r="P1022" s="4" t="str">
        <f t="shared" si="30"/>
        <v>30-50</v>
      </c>
      <c r="Q1022" s="4">
        <f>M1022+N1022</f>
        <v>24</v>
      </c>
      <c r="U1022" s="28" t="str" cm="1">
        <f t="array" ref="U1022">_xlfn.IFS(F1022&lt;30000,"30k",F1022&lt;=50000,"30k-50k",F1022&lt;=75000,"50k-75k",F1022&lt;=100000,"75k-100k",F1022&gt;100000,"100k")</f>
        <v>30k</v>
      </c>
      <c r="W1022" s="1">
        <f t="shared" si="31"/>
        <v>13</v>
      </c>
    </row>
    <row r="1023" spans="1:23" x14ac:dyDescent="0.35">
      <c r="A1023">
        <v>1020</v>
      </c>
      <c r="B1023">
        <v>5287</v>
      </c>
      <c r="C1023">
        <v>1973</v>
      </c>
      <c r="D1023" s="1" t="s">
        <v>10</v>
      </c>
      <c r="E1023" s="1" t="s">
        <v>14</v>
      </c>
      <c r="F1023">
        <v>34961</v>
      </c>
      <c r="G1023">
        <v>1</v>
      </c>
      <c r="H1023" s="2">
        <v>0</v>
      </c>
      <c r="I1023" s="2">
        <v>41809</v>
      </c>
      <c r="J1023">
        <v>77</v>
      </c>
      <c r="K1023">
        <f>VLOOKUP(B1023,purchase_dataset!$B$2:$F$2241,2,FALSE)</f>
        <v>2</v>
      </c>
      <c r="L1023">
        <f>VLOOKUP(B1023,purchase_dataset!$B$2:$F$2241,3,FALSE)</f>
        <v>1</v>
      </c>
      <c r="M1023">
        <f>VLOOKUP(B1023,purchase_dataset!$B$2:$F$2241,3,FALSE)</f>
        <v>1</v>
      </c>
      <c r="N1023">
        <f>VLOOKUP(B1023,purchase_dataset!$B$2:$F$2241,5,FALSE)</f>
        <v>3</v>
      </c>
      <c r="O1023" s="5">
        <v>53</v>
      </c>
      <c r="P1023" s="4" t="str">
        <f t="shared" si="30"/>
        <v>&gt;50</v>
      </c>
      <c r="Q1023" s="4">
        <f>M1023+N1023</f>
        <v>4</v>
      </c>
      <c r="U1023" s="28" t="str" cm="1">
        <f t="array" ref="U1023">_xlfn.IFS(F1023&lt;30000,"30k",F1023&lt;=50000,"30k-50k",F1023&lt;=75000,"50k-75k",F1023&lt;=100000,"75k-100k",F1023&gt;100000,"100k")</f>
        <v>30k-50k</v>
      </c>
      <c r="W1023" s="1">
        <f t="shared" si="31"/>
        <v>12</v>
      </c>
    </row>
    <row r="1024" spans="1:23" x14ac:dyDescent="0.35">
      <c r="A1024">
        <v>1021</v>
      </c>
      <c r="B1024">
        <v>2445</v>
      </c>
      <c r="C1024">
        <v>1974</v>
      </c>
      <c r="D1024" s="1" t="s">
        <v>13</v>
      </c>
      <c r="E1024" s="1" t="s">
        <v>12</v>
      </c>
      <c r="F1024">
        <v>28440</v>
      </c>
      <c r="G1024">
        <v>1</v>
      </c>
      <c r="H1024" s="2">
        <v>0</v>
      </c>
      <c r="I1024" s="2">
        <v>41462</v>
      </c>
      <c r="J1024">
        <v>87</v>
      </c>
      <c r="K1024">
        <f>VLOOKUP(B1024,purchase_dataset!$B$2:$F$2241,2,FALSE)</f>
        <v>1</v>
      </c>
      <c r="L1024">
        <f>VLOOKUP(B1024,purchase_dataset!$B$2:$F$2241,3,FALSE)</f>
        <v>0</v>
      </c>
      <c r="M1024">
        <f>VLOOKUP(B1024,purchase_dataset!$B$2:$F$2241,3,FALSE)</f>
        <v>0</v>
      </c>
      <c r="N1024">
        <f>VLOOKUP(B1024,purchase_dataset!$B$2:$F$2241,5,FALSE)</f>
        <v>3</v>
      </c>
      <c r="O1024" s="5">
        <v>52</v>
      </c>
      <c r="P1024" s="4" t="str">
        <f t="shared" si="30"/>
        <v>&gt;50</v>
      </c>
      <c r="Q1024" s="4">
        <f>M1024+N1024</f>
        <v>3</v>
      </c>
      <c r="U1024" s="28" t="str" cm="1">
        <f t="array" ref="U1024">_xlfn.IFS(F1024&lt;30000,"30k",F1024&lt;=50000,"30k-50k",F1024&lt;=75000,"50k-75k",F1024&lt;=100000,"75k-100k",F1024&gt;100000,"100k")</f>
        <v>30k</v>
      </c>
      <c r="W1024" s="1">
        <f t="shared" si="31"/>
        <v>13</v>
      </c>
    </row>
    <row r="1025" spans="1:23" x14ac:dyDescent="0.35">
      <c r="A1025">
        <v>1022</v>
      </c>
      <c r="B1025">
        <v>6059</v>
      </c>
      <c r="C1025">
        <v>1953</v>
      </c>
      <c r="D1025" s="1" t="s">
        <v>13</v>
      </c>
      <c r="E1025" s="1" t="s">
        <v>12</v>
      </c>
      <c r="F1025">
        <v>64504</v>
      </c>
      <c r="G1025">
        <v>1</v>
      </c>
      <c r="H1025" s="2">
        <v>2</v>
      </c>
      <c r="I1025" s="2">
        <v>41337</v>
      </c>
      <c r="J1025">
        <v>81</v>
      </c>
      <c r="K1025">
        <f>VLOOKUP(B1025,purchase_dataset!$B$2:$F$2241,2,FALSE)</f>
        <v>36</v>
      </c>
      <c r="L1025">
        <f>VLOOKUP(B1025,purchase_dataset!$B$2:$F$2241,3,FALSE)</f>
        <v>0</v>
      </c>
      <c r="M1025">
        <f>VLOOKUP(B1025,purchase_dataset!$B$2:$F$2241,3,FALSE)</f>
        <v>0</v>
      </c>
      <c r="N1025">
        <f>VLOOKUP(B1025,purchase_dataset!$B$2:$F$2241,5,FALSE)</f>
        <v>4</v>
      </c>
      <c r="O1025" s="5">
        <v>73</v>
      </c>
      <c r="P1025" s="4" t="str">
        <f t="shared" si="30"/>
        <v>&gt;50</v>
      </c>
      <c r="Q1025" s="4">
        <f>M1025+N1025</f>
        <v>4</v>
      </c>
      <c r="U1025" s="28" t="str" cm="1">
        <f t="array" ref="U1025">_xlfn.IFS(F1025&lt;30000,"30k",F1025&lt;=50000,"30k-50k",F1025&lt;=75000,"50k-75k",F1025&lt;=100000,"75k-100k",F1025&gt;100000,"100k")</f>
        <v>50k-75k</v>
      </c>
      <c r="W1025" s="1">
        <f t="shared" si="31"/>
        <v>13</v>
      </c>
    </row>
    <row r="1026" spans="1:23" x14ac:dyDescent="0.35">
      <c r="A1026">
        <v>1023</v>
      </c>
      <c r="B1026">
        <v>4550</v>
      </c>
      <c r="C1026">
        <v>1966</v>
      </c>
      <c r="D1026" s="1" t="s">
        <v>15</v>
      </c>
      <c r="E1026" s="1" t="s">
        <v>12</v>
      </c>
      <c r="F1026">
        <v>33564</v>
      </c>
      <c r="G1026">
        <v>0</v>
      </c>
      <c r="H1026" s="2">
        <v>1</v>
      </c>
      <c r="I1026" s="2">
        <v>41814</v>
      </c>
      <c r="J1026">
        <v>51</v>
      </c>
      <c r="K1026">
        <f>VLOOKUP(B1026,purchase_dataset!$B$2:$F$2241,2,FALSE)</f>
        <v>0</v>
      </c>
      <c r="L1026">
        <f>VLOOKUP(B1026,purchase_dataset!$B$2:$F$2241,3,FALSE)</f>
        <v>0</v>
      </c>
      <c r="M1026">
        <f>VLOOKUP(B1026,purchase_dataset!$B$2:$F$2241,3,FALSE)</f>
        <v>0</v>
      </c>
      <c r="N1026">
        <f>VLOOKUP(B1026,purchase_dataset!$B$2:$F$2241,5,FALSE)</f>
        <v>3</v>
      </c>
      <c r="O1026" s="5">
        <v>60</v>
      </c>
      <c r="P1026" s="4" t="str">
        <f t="shared" si="30"/>
        <v>&gt;50</v>
      </c>
      <c r="Q1026" s="4">
        <f>M1026+N1026</f>
        <v>3</v>
      </c>
      <c r="U1026" s="28" t="str" cm="1">
        <f t="array" ref="U1026">_xlfn.IFS(F1026&lt;30000,"30k",F1026&lt;=50000,"30k-50k",F1026&lt;=75000,"50k-75k",F1026&lt;=100000,"75k-100k",F1026&gt;100000,"100k")</f>
        <v>30k-50k</v>
      </c>
      <c r="W1026" s="1">
        <f t="shared" si="31"/>
        <v>12</v>
      </c>
    </row>
    <row r="1027" spans="1:23" x14ac:dyDescent="0.35">
      <c r="A1027">
        <v>1024</v>
      </c>
      <c r="B1027">
        <v>4240</v>
      </c>
      <c r="C1027">
        <v>1978</v>
      </c>
      <c r="D1027" s="1" t="s">
        <v>10</v>
      </c>
      <c r="E1027" s="1" t="s">
        <v>14</v>
      </c>
      <c r="F1027">
        <v>17345</v>
      </c>
      <c r="G1027">
        <v>1</v>
      </c>
      <c r="H1027" s="2">
        <v>0</v>
      </c>
      <c r="I1027" s="2">
        <v>41216</v>
      </c>
      <c r="J1027">
        <v>79</v>
      </c>
      <c r="K1027">
        <f>VLOOKUP(B1027,purchase_dataset!$B$2:$F$2241,2,FALSE)</f>
        <v>9</v>
      </c>
      <c r="L1027">
        <f>VLOOKUP(B1027,purchase_dataset!$B$2:$F$2241,3,FALSE)</f>
        <v>0</v>
      </c>
      <c r="M1027">
        <f>VLOOKUP(B1027,purchase_dataset!$B$2:$F$2241,3,FALSE)</f>
        <v>0</v>
      </c>
      <c r="N1027">
        <f>VLOOKUP(B1027,purchase_dataset!$B$2:$F$2241,5,FALSE)</f>
        <v>2</v>
      </c>
      <c r="O1027" s="5">
        <v>48</v>
      </c>
      <c r="P1027" s="4" t="str">
        <f t="shared" si="30"/>
        <v>30-50</v>
      </c>
      <c r="Q1027" s="4">
        <f>M1027+N1027</f>
        <v>2</v>
      </c>
      <c r="U1027" s="28" t="str" cm="1">
        <f t="array" ref="U1027">_xlfn.IFS(F1027&lt;30000,"30k",F1027&lt;=50000,"30k-50k",F1027&lt;=75000,"50k-75k",F1027&lt;=100000,"75k-100k",F1027&gt;100000,"100k")</f>
        <v>30k</v>
      </c>
      <c r="W1027" s="1">
        <f t="shared" si="31"/>
        <v>14</v>
      </c>
    </row>
    <row r="1028" spans="1:23" x14ac:dyDescent="0.35">
      <c r="A1028">
        <v>1025</v>
      </c>
      <c r="B1028">
        <v>8911</v>
      </c>
      <c r="C1028">
        <v>1967</v>
      </c>
      <c r="D1028" s="1" t="s">
        <v>13</v>
      </c>
      <c r="E1028" s="1" t="s">
        <v>14</v>
      </c>
      <c r="F1028">
        <v>56320</v>
      </c>
      <c r="G1028">
        <v>0</v>
      </c>
      <c r="H1028" s="2">
        <v>1</v>
      </c>
      <c r="I1028" s="2">
        <v>41372</v>
      </c>
      <c r="J1028">
        <v>11</v>
      </c>
      <c r="K1028">
        <f>VLOOKUP(B1028,purchase_dataset!$B$2:$F$2241,2,FALSE)</f>
        <v>53</v>
      </c>
      <c r="L1028">
        <f>VLOOKUP(B1028,purchase_dataset!$B$2:$F$2241,3,FALSE)</f>
        <v>77</v>
      </c>
      <c r="M1028">
        <f>VLOOKUP(B1028,purchase_dataset!$B$2:$F$2241,3,FALSE)</f>
        <v>77</v>
      </c>
      <c r="N1028">
        <f>VLOOKUP(B1028,purchase_dataset!$B$2:$F$2241,5,FALSE)</f>
        <v>9</v>
      </c>
      <c r="O1028" s="5">
        <v>59</v>
      </c>
      <c r="P1028" s="4" t="str">
        <f t="shared" ref="P1028:P1091" si="32">IF(O1028&lt;30,"30",IF(O1028&lt;=50,"30-50","&gt;50"))</f>
        <v>&gt;50</v>
      </c>
      <c r="Q1028" s="4">
        <f>M1028+N1028</f>
        <v>86</v>
      </c>
      <c r="U1028" s="28" t="str" cm="1">
        <f t="array" ref="U1028">_xlfn.IFS(F1028&lt;30000,"30k",F1028&lt;=50000,"30k-50k",F1028&lt;=75000,"50k-75k",F1028&lt;=100000,"75k-100k",F1028&gt;100000,"100k")</f>
        <v>50k-75k</v>
      </c>
      <c r="W1028" s="1">
        <f t="shared" ref="W1028:W1091" si="33">2026-YEAR(I1028)</f>
        <v>13</v>
      </c>
    </row>
    <row r="1029" spans="1:23" x14ac:dyDescent="0.35">
      <c r="A1029">
        <v>1026</v>
      </c>
      <c r="B1029">
        <v>3706</v>
      </c>
      <c r="C1029">
        <v>1978</v>
      </c>
      <c r="D1029" s="1" t="s">
        <v>10</v>
      </c>
      <c r="E1029" s="1" t="s">
        <v>11</v>
      </c>
      <c r="F1029">
        <v>28647</v>
      </c>
      <c r="G1029">
        <v>1</v>
      </c>
      <c r="H1029" s="2">
        <v>0</v>
      </c>
      <c r="I1029" s="2">
        <v>41507</v>
      </c>
      <c r="J1029">
        <v>54</v>
      </c>
      <c r="K1029">
        <f>VLOOKUP(B1029,purchase_dataset!$B$2:$F$2241,2,FALSE)</f>
        <v>8</v>
      </c>
      <c r="L1029">
        <f>VLOOKUP(B1029,purchase_dataset!$B$2:$F$2241,3,FALSE)</f>
        <v>12</v>
      </c>
      <c r="M1029">
        <f>VLOOKUP(B1029,purchase_dataset!$B$2:$F$2241,3,FALSE)</f>
        <v>12</v>
      </c>
      <c r="N1029">
        <f>VLOOKUP(B1029,purchase_dataset!$B$2:$F$2241,5,FALSE)</f>
        <v>2</v>
      </c>
      <c r="O1029" s="5">
        <v>48</v>
      </c>
      <c r="P1029" s="4" t="str">
        <f t="shared" si="32"/>
        <v>30-50</v>
      </c>
      <c r="Q1029" s="4">
        <f>M1029+N1029</f>
        <v>14</v>
      </c>
      <c r="U1029" s="28" t="str" cm="1">
        <f t="array" ref="U1029">_xlfn.IFS(F1029&lt;30000,"30k",F1029&lt;=50000,"30k-50k",F1029&lt;=75000,"50k-75k",F1029&lt;=100000,"75k-100k",F1029&gt;100000,"100k")</f>
        <v>30k</v>
      </c>
      <c r="W1029" s="1">
        <f t="shared" si="33"/>
        <v>13</v>
      </c>
    </row>
    <row r="1030" spans="1:23" x14ac:dyDescent="0.35">
      <c r="A1030">
        <v>1027</v>
      </c>
      <c r="B1030">
        <v>3628</v>
      </c>
      <c r="C1030">
        <v>1987</v>
      </c>
      <c r="D1030" s="1" t="s">
        <v>17</v>
      </c>
      <c r="E1030" s="1" t="s">
        <v>11</v>
      </c>
      <c r="F1030">
        <v>15038</v>
      </c>
      <c r="G1030">
        <v>1</v>
      </c>
      <c r="H1030" s="2">
        <v>0</v>
      </c>
      <c r="I1030" s="2">
        <v>41303</v>
      </c>
      <c r="J1030">
        <v>93</v>
      </c>
      <c r="K1030">
        <f>VLOOKUP(B1030,purchase_dataset!$B$2:$F$2241,2,FALSE)</f>
        <v>8</v>
      </c>
      <c r="L1030">
        <f>VLOOKUP(B1030,purchase_dataset!$B$2:$F$2241,3,FALSE)</f>
        <v>12</v>
      </c>
      <c r="M1030">
        <f>VLOOKUP(B1030,purchase_dataset!$B$2:$F$2241,3,FALSE)</f>
        <v>12</v>
      </c>
      <c r="N1030">
        <f>VLOOKUP(B1030,purchase_dataset!$B$2:$F$2241,5,FALSE)</f>
        <v>2</v>
      </c>
      <c r="O1030" s="5">
        <v>39</v>
      </c>
      <c r="P1030" s="4" t="str">
        <f t="shared" si="32"/>
        <v>30-50</v>
      </c>
      <c r="Q1030" s="4">
        <f>M1030+N1030</f>
        <v>14</v>
      </c>
      <c r="U1030" s="28" t="str" cm="1">
        <f t="array" ref="U1030">_xlfn.IFS(F1030&lt;30000,"30k",F1030&lt;=50000,"30k-50k",F1030&lt;=75000,"50k-75k",F1030&lt;=100000,"75k-100k",F1030&gt;100000,"100k")</f>
        <v>30k</v>
      </c>
      <c r="W1030" s="1">
        <f t="shared" si="33"/>
        <v>13</v>
      </c>
    </row>
    <row r="1031" spans="1:23" x14ac:dyDescent="0.35">
      <c r="A1031">
        <v>1028</v>
      </c>
      <c r="B1031">
        <v>10175</v>
      </c>
      <c r="C1031">
        <v>1958</v>
      </c>
      <c r="D1031" s="1" t="s">
        <v>13</v>
      </c>
      <c r="E1031" s="1" t="s">
        <v>16</v>
      </c>
      <c r="F1031">
        <v>32173</v>
      </c>
      <c r="G1031">
        <v>0</v>
      </c>
      <c r="H1031" s="2">
        <v>1</v>
      </c>
      <c r="I1031" s="2">
        <v>41487</v>
      </c>
      <c r="J1031">
        <v>0</v>
      </c>
      <c r="K1031">
        <f>VLOOKUP(B1031,purchase_dataset!$B$2:$F$2241,2,FALSE)</f>
        <v>0</v>
      </c>
      <c r="L1031">
        <f>VLOOKUP(B1031,purchase_dataset!$B$2:$F$2241,3,FALSE)</f>
        <v>0</v>
      </c>
      <c r="M1031">
        <f>VLOOKUP(B1031,purchase_dataset!$B$2:$F$2241,3,FALSE)</f>
        <v>0</v>
      </c>
      <c r="N1031">
        <f>VLOOKUP(B1031,purchase_dataset!$B$2:$F$2241,5,FALSE)</f>
        <v>3</v>
      </c>
      <c r="O1031" s="5">
        <v>68</v>
      </c>
      <c r="P1031" s="4" t="str">
        <f t="shared" si="32"/>
        <v>&gt;50</v>
      </c>
      <c r="Q1031" s="4">
        <f>M1031+N1031</f>
        <v>3</v>
      </c>
      <c r="U1031" s="28" t="str" cm="1">
        <f t="array" ref="U1031">_xlfn.IFS(F1031&lt;30000,"30k",F1031&lt;=50000,"30k-50k",F1031&lt;=75000,"50k-75k",F1031&lt;=100000,"75k-100k",F1031&gt;100000,"100k")</f>
        <v>30k-50k</v>
      </c>
      <c r="W1031" s="1">
        <f t="shared" si="33"/>
        <v>13</v>
      </c>
    </row>
    <row r="1032" spans="1:23" x14ac:dyDescent="0.35">
      <c r="A1032">
        <v>1029</v>
      </c>
      <c r="B1032">
        <v>8985</v>
      </c>
      <c r="C1032">
        <v>1964</v>
      </c>
      <c r="D1032" s="1" t="s">
        <v>18</v>
      </c>
      <c r="E1032" s="1" t="s">
        <v>12</v>
      </c>
      <c r="F1032">
        <v>68316</v>
      </c>
      <c r="G1032">
        <v>0</v>
      </c>
      <c r="H1032" s="2">
        <v>1</v>
      </c>
      <c r="I1032" s="2">
        <v>41217</v>
      </c>
      <c r="J1032">
        <v>54</v>
      </c>
      <c r="K1032">
        <f>VLOOKUP(B1032,purchase_dataset!$B$2:$F$2241,2,FALSE)</f>
        <v>80</v>
      </c>
      <c r="L1032">
        <f>VLOOKUP(B1032,purchase_dataset!$B$2:$F$2241,3,FALSE)</f>
        <v>11</v>
      </c>
      <c r="M1032">
        <f>VLOOKUP(B1032,purchase_dataset!$B$2:$F$2241,3,FALSE)</f>
        <v>11</v>
      </c>
      <c r="N1032">
        <f>VLOOKUP(B1032,purchase_dataset!$B$2:$F$2241,5,FALSE)</f>
        <v>10</v>
      </c>
      <c r="O1032" s="5">
        <v>62</v>
      </c>
      <c r="P1032" s="4" t="str">
        <f t="shared" si="32"/>
        <v>&gt;50</v>
      </c>
      <c r="Q1032" s="4">
        <f>M1032+N1032</f>
        <v>21</v>
      </c>
      <c r="U1032" s="28" t="str" cm="1">
        <f t="array" ref="U1032">_xlfn.IFS(F1032&lt;30000,"30k",F1032&lt;=50000,"30k-50k",F1032&lt;=75000,"50k-75k",F1032&lt;=100000,"75k-100k",F1032&gt;100000,"100k")</f>
        <v>50k-75k</v>
      </c>
      <c r="W1032" s="1">
        <f t="shared" si="33"/>
        <v>14</v>
      </c>
    </row>
    <row r="1033" spans="1:23" x14ac:dyDescent="0.35">
      <c r="A1033">
        <v>1030</v>
      </c>
      <c r="B1033">
        <v>5204</v>
      </c>
      <c r="C1033">
        <v>1971</v>
      </c>
      <c r="D1033" s="1" t="s">
        <v>10</v>
      </c>
      <c r="E1033" s="1" t="s">
        <v>12</v>
      </c>
      <c r="F1033">
        <v>74538</v>
      </c>
      <c r="G1033">
        <v>0</v>
      </c>
      <c r="H1033" s="2">
        <v>0</v>
      </c>
      <c r="I1033" s="2">
        <v>41454</v>
      </c>
      <c r="J1033">
        <v>21</v>
      </c>
      <c r="K1033">
        <f>VLOOKUP(B1033,purchase_dataset!$B$2:$F$2241,2,FALSE)</f>
        <v>98</v>
      </c>
      <c r="L1033">
        <f>VLOOKUP(B1033,purchase_dataset!$B$2:$F$2241,3,FALSE)</f>
        <v>112</v>
      </c>
      <c r="M1033">
        <f>VLOOKUP(B1033,purchase_dataset!$B$2:$F$2241,3,FALSE)</f>
        <v>112</v>
      </c>
      <c r="N1033">
        <f>VLOOKUP(B1033,purchase_dataset!$B$2:$F$2241,5,FALSE)</f>
        <v>5</v>
      </c>
      <c r="O1033" s="5">
        <v>55</v>
      </c>
      <c r="P1033" s="4" t="str">
        <f t="shared" si="32"/>
        <v>&gt;50</v>
      </c>
      <c r="Q1033" s="4">
        <f>M1033+N1033</f>
        <v>117</v>
      </c>
      <c r="U1033" s="28" t="str" cm="1">
        <f t="array" ref="U1033">_xlfn.IFS(F1033&lt;30000,"30k",F1033&lt;=50000,"30k-50k",F1033&lt;=75000,"50k-75k",F1033&lt;=100000,"75k-100k",F1033&gt;100000,"100k")</f>
        <v>50k-75k</v>
      </c>
      <c r="W1033" s="1">
        <f t="shared" si="33"/>
        <v>13</v>
      </c>
    </row>
    <row r="1034" spans="1:23" x14ac:dyDescent="0.35">
      <c r="A1034">
        <v>1031</v>
      </c>
      <c r="B1034">
        <v>9220</v>
      </c>
      <c r="C1034">
        <v>1971</v>
      </c>
      <c r="D1034" s="1" t="s">
        <v>10</v>
      </c>
      <c r="E1034" s="1" t="s">
        <v>11</v>
      </c>
      <c r="F1034">
        <v>91700</v>
      </c>
      <c r="G1034">
        <v>0</v>
      </c>
      <c r="H1034" s="2">
        <v>0</v>
      </c>
      <c r="I1034" s="2">
        <v>41291</v>
      </c>
      <c r="J1034">
        <v>58</v>
      </c>
      <c r="K1034">
        <f>VLOOKUP(B1034,purchase_dataset!$B$2:$F$2241,2,FALSE)</f>
        <v>172</v>
      </c>
      <c r="L1034">
        <f>VLOOKUP(B1034,purchase_dataset!$B$2:$F$2241,3,FALSE)</f>
        <v>115</v>
      </c>
      <c r="M1034">
        <f>VLOOKUP(B1034,purchase_dataset!$B$2:$F$2241,3,FALSE)</f>
        <v>115</v>
      </c>
      <c r="N1034">
        <f>VLOOKUP(B1034,purchase_dataset!$B$2:$F$2241,5,FALSE)</f>
        <v>5</v>
      </c>
      <c r="O1034" s="5">
        <v>55</v>
      </c>
      <c r="P1034" s="4" t="str">
        <f t="shared" si="32"/>
        <v>&gt;50</v>
      </c>
      <c r="Q1034" s="4">
        <f>M1034+N1034</f>
        <v>120</v>
      </c>
      <c r="U1034" s="28" t="str" cm="1">
        <f t="array" ref="U1034">_xlfn.IFS(F1034&lt;30000,"30k",F1034&lt;=50000,"30k-50k",F1034&lt;=75000,"50k-75k",F1034&lt;=100000,"75k-100k",F1034&gt;100000,"100k")</f>
        <v>75k-100k</v>
      </c>
      <c r="W1034" s="1">
        <f t="shared" si="33"/>
        <v>13</v>
      </c>
    </row>
    <row r="1035" spans="1:23" x14ac:dyDescent="0.35">
      <c r="A1035">
        <v>1032</v>
      </c>
      <c r="B1035">
        <v>9888</v>
      </c>
      <c r="C1035">
        <v>1969</v>
      </c>
      <c r="D1035" s="1" t="s">
        <v>10</v>
      </c>
      <c r="E1035" s="1" t="s">
        <v>12</v>
      </c>
      <c r="F1035">
        <v>68695</v>
      </c>
      <c r="G1035">
        <v>0</v>
      </c>
      <c r="H1035" s="2">
        <v>0</v>
      </c>
      <c r="I1035" s="2">
        <v>41815</v>
      </c>
      <c r="J1035">
        <v>3</v>
      </c>
      <c r="K1035">
        <f>VLOOKUP(B1035,purchase_dataset!$B$2:$F$2241,2,FALSE)</f>
        <v>81</v>
      </c>
      <c r="L1035">
        <f>VLOOKUP(B1035,purchase_dataset!$B$2:$F$2241,3,FALSE)</f>
        <v>50</v>
      </c>
      <c r="M1035">
        <f>VLOOKUP(B1035,purchase_dataset!$B$2:$F$2241,3,FALSE)</f>
        <v>50</v>
      </c>
      <c r="N1035">
        <f>VLOOKUP(B1035,purchase_dataset!$B$2:$F$2241,5,FALSE)</f>
        <v>7</v>
      </c>
      <c r="O1035" s="5">
        <v>57</v>
      </c>
      <c r="P1035" s="4" t="str">
        <f t="shared" si="32"/>
        <v>&gt;50</v>
      </c>
      <c r="Q1035" s="4">
        <f>M1035+N1035</f>
        <v>57</v>
      </c>
      <c r="U1035" s="28" t="str" cm="1">
        <f t="array" ref="U1035">_xlfn.IFS(F1035&lt;30000,"30k",F1035&lt;=50000,"30k-50k",F1035&lt;=75000,"50k-75k",F1035&lt;=100000,"75k-100k",F1035&gt;100000,"100k")</f>
        <v>50k-75k</v>
      </c>
      <c r="W1035" s="1">
        <f t="shared" si="33"/>
        <v>12</v>
      </c>
    </row>
    <row r="1036" spans="1:23" x14ac:dyDescent="0.35">
      <c r="A1036">
        <v>1033</v>
      </c>
      <c r="B1036">
        <v>5263</v>
      </c>
      <c r="C1036">
        <v>1977</v>
      </c>
      <c r="D1036" s="1" t="s">
        <v>18</v>
      </c>
      <c r="E1036" s="1" t="s">
        <v>14</v>
      </c>
      <c r="F1036">
        <v>31056</v>
      </c>
      <c r="G1036">
        <v>1</v>
      </c>
      <c r="H1036" s="2">
        <v>0</v>
      </c>
      <c r="I1036" s="2">
        <v>41296</v>
      </c>
      <c r="J1036">
        <v>99</v>
      </c>
      <c r="K1036">
        <f>VLOOKUP(B1036,purchase_dataset!$B$2:$F$2241,2,FALSE)</f>
        <v>10</v>
      </c>
      <c r="L1036">
        <f>VLOOKUP(B1036,purchase_dataset!$B$2:$F$2241,3,FALSE)</f>
        <v>8</v>
      </c>
      <c r="M1036">
        <f>VLOOKUP(B1036,purchase_dataset!$B$2:$F$2241,3,FALSE)</f>
        <v>8</v>
      </c>
      <c r="N1036">
        <f>VLOOKUP(B1036,purchase_dataset!$B$2:$F$2241,5,FALSE)</f>
        <v>3</v>
      </c>
      <c r="O1036" s="5">
        <v>49</v>
      </c>
      <c r="P1036" s="4" t="str">
        <f t="shared" si="32"/>
        <v>30-50</v>
      </c>
      <c r="Q1036" s="4">
        <f>M1036+N1036</f>
        <v>11</v>
      </c>
      <c r="U1036" s="28" t="str" cm="1">
        <f t="array" ref="U1036">_xlfn.IFS(F1036&lt;30000,"30k",F1036&lt;=50000,"30k-50k",F1036&lt;=75000,"50k-75k",F1036&lt;=100000,"75k-100k",F1036&gt;100000,"100k")</f>
        <v>30k-50k</v>
      </c>
      <c r="W1036" s="1">
        <f t="shared" si="33"/>
        <v>13</v>
      </c>
    </row>
    <row r="1037" spans="1:23" x14ac:dyDescent="0.35">
      <c r="A1037">
        <v>1034</v>
      </c>
      <c r="B1037">
        <v>1020</v>
      </c>
      <c r="C1037">
        <v>1973</v>
      </c>
      <c r="D1037" s="1" t="s">
        <v>10</v>
      </c>
      <c r="E1037" s="1" t="s">
        <v>14</v>
      </c>
      <c r="F1037">
        <v>79593</v>
      </c>
      <c r="G1037">
        <v>0</v>
      </c>
      <c r="H1037" s="2">
        <v>0</v>
      </c>
      <c r="I1037" s="2">
        <v>41771</v>
      </c>
      <c r="J1037">
        <v>70</v>
      </c>
      <c r="K1037">
        <f>VLOOKUP(B1037,purchase_dataset!$B$2:$F$2241,2,FALSE)</f>
        <v>60</v>
      </c>
      <c r="L1037">
        <f>VLOOKUP(B1037,purchase_dataset!$B$2:$F$2241,3,FALSE)</f>
        <v>133</v>
      </c>
      <c r="M1037">
        <f>VLOOKUP(B1037,purchase_dataset!$B$2:$F$2241,3,FALSE)</f>
        <v>133</v>
      </c>
      <c r="N1037">
        <f>VLOOKUP(B1037,purchase_dataset!$B$2:$F$2241,5,FALSE)</f>
        <v>7</v>
      </c>
      <c r="O1037" s="5">
        <v>53</v>
      </c>
      <c r="P1037" s="4" t="str">
        <f t="shared" si="32"/>
        <v>&gt;50</v>
      </c>
      <c r="Q1037" s="4">
        <f>M1037+N1037</f>
        <v>140</v>
      </c>
      <c r="U1037" s="28" t="str" cm="1">
        <f t="array" ref="U1037">_xlfn.IFS(F1037&lt;30000,"30k",F1037&lt;=50000,"30k-50k",F1037&lt;=75000,"50k-75k",F1037&lt;=100000,"75k-100k",F1037&gt;100000,"100k")</f>
        <v>75k-100k</v>
      </c>
      <c r="W1037" s="1">
        <f t="shared" si="33"/>
        <v>12</v>
      </c>
    </row>
    <row r="1038" spans="1:23" x14ac:dyDescent="0.35">
      <c r="A1038">
        <v>1035</v>
      </c>
      <c r="B1038">
        <v>9503</v>
      </c>
      <c r="C1038">
        <v>1980</v>
      </c>
      <c r="D1038" s="1" t="s">
        <v>10</v>
      </c>
      <c r="E1038" s="1" t="s">
        <v>11</v>
      </c>
      <c r="F1038">
        <v>28071</v>
      </c>
      <c r="G1038">
        <v>0</v>
      </c>
      <c r="H1038" s="2">
        <v>0</v>
      </c>
      <c r="I1038" s="2">
        <v>41150</v>
      </c>
      <c r="J1038">
        <v>65</v>
      </c>
      <c r="K1038">
        <f>VLOOKUP(B1038,purchase_dataset!$B$2:$F$2241,2,FALSE)</f>
        <v>33</v>
      </c>
      <c r="L1038">
        <f>VLOOKUP(B1038,purchase_dataset!$B$2:$F$2241,3,FALSE)</f>
        <v>26</v>
      </c>
      <c r="M1038">
        <f>VLOOKUP(B1038,purchase_dataset!$B$2:$F$2241,3,FALSE)</f>
        <v>26</v>
      </c>
      <c r="N1038">
        <f>VLOOKUP(B1038,purchase_dataset!$B$2:$F$2241,5,FALSE)</f>
        <v>5</v>
      </c>
      <c r="O1038" s="5">
        <v>46</v>
      </c>
      <c r="P1038" s="4" t="str">
        <f t="shared" si="32"/>
        <v>30-50</v>
      </c>
      <c r="Q1038" s="4">
        <f>M1038+N1038</f>
        <v>31</v>
      </c>
      <c r="U1038" s="28" t="str" cm="1">
        <f t="array" ref="U1038">_xlfn.IFS(F1038&lt;30000,"30k",F1038&lt;=50000,"30k-50k",F1038&lt;=75000,"50k-75k",F1038&lt;=100000,"75k-100k",F1038&gt;100000,"100k")</f>
        <v>30k</v>
      </c>
      <c r="W1038" s="1">
        <f t="shared" si="33"/>
        <v>14</v>
      </c>
    </row>
    <row r="1039" spans="1:23" x14ac:dyDescent="0.35">
      <c r="A1039">
        <v>1036</v>
      </c>
      <c r="B1039">
        <v>10613</v>
      </c>
      <c r="C1039">
        <v>1958</v>
      </c>
      <c r="D1039" s="1" t="s">
        <v>13</v>
      </c>
      <c r="E1039" s="1" t="s">
        <v>12</v>
      </c>
      <c r="F1039">
        <v>37334</v>
      </c>
      <c r="G1039">
        <v>1</v>
      </c>
      <c r="H1039" s="2">
        <v>1</v>
      </c>
      <c r="I1039" s="2">
        <v>41696</v>
      </c>
      <c r="J1039">
        <v>44</v>
      </c>
      <c r="K1039">
        <f>VLOOKUP(B1039,purchase_dataset!$B$2:$F$2241,2,FALSE)</f>
        <v>1</v>
      </c>
      <c r="L1039">
        <f>VLOOKUP(B1039,purchase_dataset!$B$2:$F$2241,3,FALSE)</f>
        <v>2</v>
      </c>
      <c r="M1039">
        <f>VLOOKUP(B1039,purchase_dataset!$B$2:$F$2241,3,FALSE)</f>
        <v>2</v>
      </c>
      <c r="N1039">
        <f>VLOOKUP(B1039,purchase_dataset!$B$2:$F$2241,5,FALSE)</f>
        <v>4</v>
      </c>
      <c r="O1039" s="5">
        <v>68</v>
      </c>
      <c r="P1039" s="4" t="str">
        <f t="shared" si="32"/>
        <v>&gt;50</v>
      </c>
      <c r="Q1039" s="4">
        <f>M1039+N1039</f>
        <v>6</v>
      </c>
      <c r="U1039" s="28" t="str" cm="1">
        <f t="array" ref="U1039">_xlfn.IFS(F1039&lt;30000,"30k",F1039&lt;=50000,"30k-50k",F1039&lt;=75000,"50k-75k",F1039&lt;=100000,"75k-100k",F1039&gt;100000,"100k")</f>
        <v>30k-50k</v>
      </c>
      <c r="W1039" s="1">
        <f t="shared" si="33"/>
        <v>12</v>
      </c>
    </row>
    <row r="1040" spans="1:23" x14ac:dyDescent="0.35">
      <c r="A1040">
        <v>1037</v>
      </c>
      <c r="B1040">
        <v>67</v>
      </c>
      <c r="C1040">
        <v>1972</v>
      </c>
      <c r="D1040" s="1" t="s">
        <v>15</v>
      </c>
      <c r="E1040" s="1" t="s">
        <v>11</v>
      </c>
      <c r="F1040">
        <v>46423</v>
      </c>
      <c r="G1040">
        <v>1</v>
      </c>
      <c r="H1040" s="2">
        <v>1</v>
      </c>
      <c r="I1040" s="2">
        <v>41535</v>
      </c>
      <c r="J1040">
        <v>6</v>
      </c>
      <c r="K1040">
        <f>VLOOKUP(B1040,purchase_dataset!$B$2:$F$2241,2,FALSE)</f>
        <v>0</v>
      </c>
      <c r="L1040">
        <f>VLOOKUP(B1040,purchase_dataset!$B$2:$F$2241,3,FALSE)</f>
        <v>0</v>
      </c>
      <c r="M1040">
        <f>VLOOKUP(B1040,purchase_dataset!$B$2:$F$2241,3,FALSE)</f>
        <v>0</v>
      </c>
      <c r="N1040">
        <f>VLOOKUP(B1040,purchase_dataset!$B$2:$F$2241,5,FALSE)</f>
        <v>4</v>
      </c>
      <c r="O1040" s="5">
        <v>54</v>
      </c>
      <c r="P1040" s="4" t="str">
        <f t="shared" si="32"/>
        <v>&gt;50</v>
      </c>
      <c r="Q1040" s="4">
        <f>M1040+N1040</f>
        <v>4</v>
      </c>
      <c r="U1040" s="28" t="str" cm="1">
        <f t="array" ref="U1040">_xlfn.IFS(F1040&lt;30000,"30k",F1040&lt;=50000,"30k-50k",F1040&lt;=75000,"50k-75k",F1040&lt;=100000,"75k-100k",F1040&gt;100000,"100k")</f>
        <v>30k-50k</v>
      </c>
      <c r="W1040" s="1">
        <f t="shared" si="33"/>
        <v>13</v>
      </c>
    </row>
    <row r="1041" spans="1:23" x14ac:dyDescent="0.35">
      <c r="A1041">
        <v>1038</v>
      </c>
      <c r="B1041">
        <v>6019</v>
      </c>
      <c r="C1041">
        <v>1971</v>
      </c>
      <c r="D1041" s="1" t="s">
        <v>13</v>
      </c>
      <c r="E1041" s="1" t="s">
        <v>14</v>
      </c>
      <c r="F1041">
        <v>37126</v>
      </c>
      <c r="G1041">
        <v>1</v>
      </c>
      <c r="H1041" s="2">
        <v>0</v>
      </c>
      <c r="I1041" s="2">
        <v>41728</v>
      </c>
      <c r="J1041">
        <v>9</v>
      </c>
      <c r="K1041">
        <f>VLOOKUP(B1041,purchase_dataset!$B$2:$F$2241,2,FALSE)</f>
        <v>3</v>
      </c>
      <c r="L1041">
        <f>VLOOKUP(B1041,purchase_dataset!$B$2:$F$2241,3,FALSE)</f>
        <v>4</v>
      </c>
      <c r="M1041">
        <f>VLOOKUP(B1041,purchase_dataset!$B$2:$F$2241,3,FALSE)</f>
        <v>4</v>
      </c>
      <c r="N1041">
        <f>VLOOKUP(B1041,purchase_dataset!$B$2:$F$2241,5,FALSE)</f>
        <v>2</v>
      </c>
      <c r="O1041" s="5">
        <v>55</v>
      </c>
      <c r="P1041" s="4" t="str">
        <f t="shared" si="32"/>
        <v>&gt;50</v>
      </c>
      <c r="Q1041" s="4">
        <f>M1041+N1041</f>
        <v>6</v>
      </c>
      <c r="U1041" s="28" t="str" cm="1">
        <f t="array" ref="U1041">_xlfn.IFS(F1041&lt;30000,"30k",F1041&lt;=50000,"30k-50k",F1041&lt;=75000,"50k-75k",F1041&lt;=100000,"75k-100k",F1041&gt;100000,"100k")</f>
        <v>30k-50k</v>
      </c>
      <c r="W1041" s="1">
        <f t="shared" si="33"/>
        <v>12</v>
      </c>
    </row>
    <row r="1042" spans="1:23" x14ac:dyDescent="0.35">
      <c r="A1042">
        <v>1039</v>
      </c>
      <c r="B1042">
        <v>5863</v>
      </c>
      <c r="C1042">
        <v>1953</v>
      </c>
      <c r="D1042" s="1" t="s">
        <v>10</v>
      </c>
      <c r="E1042" s="1" t="s">
        <v>14</v>
      </c>
      <c r="F1042">
        <v>47703</v>
      </c>
      <c r="G1042">
        <v>0</v>
      </c>
      <c r="H1042" s="2">
        <v>1</v>
      </c>
      <c r="I1042" s="2">
        <v>41423</v>
      </c>
      <c r="J1042">
        <v>95</v>
      </c>
      <c r="K1042">
        <f>VLOOKUP(B1042,purchase_dataset!$B$2:$F$2241,2,FALSE)</f>
        <v>0</v>
      </c>
      <c r="L1042">
        <f>VLOOKUP(B1042,purchase_dataset!$B$2:$F$2241,3,FALSE)</f>
        <v>26</v>
      </c>
      <c r="M1042">
        <f>VLOOKUP(B1042,purchase_dataset!$B$2:$F$2241,3,FALSE)</f>
        <v>26</v>
      </c>
      <c r="N1042">
        <f>VLOOKUP(B1042,purchase_dataset!$B$2:$F$2241,5,FALSE)</f>
        <v>8</v>
      </c>
      <c r="O1042" s="5">
        <v>73</v>
      </c>
      <c r="P1042" s="4" t="str">
        <f t="shared" si="32"/>
        <v>&gt;50</v>
      </c>
      <c r="Q1042" s="4">
        <f>M1042+N1042</f>
        <v>34</v>
      </c>
      <c r="U1042" s="28" t="str" cm="1">
        <f t="array" ref="U1042">_xlfn.IFS(F1042&lt;30000,"30k",F1042&lt;=50000,"30k-50k",F1042&lt;=75000,"50k-75k",F1042&lt;=100000,"75k-100k",F1042&gt;100000,"100k")</f>
        <v>30k-50k</v>
      </c>
      <c r="W1042" s="1">
        <f t="shared" si="33"/>
        <v>13</v>
      </c>
    </row>
    <row r="1043" spans="1:23" x14ac:dyDescent="0.35">
      <c r="A1043">
        <v>1040</v>
      </c>
      <c r="B1043">
        <v>3717</v>
      </c>
      <c r="C1043">
        <v>1959</v>
      </c>
      <c r="D1043" s="1" t="s">
        <v>10</v>
      </c>
      <c r="E1043" s="1" t="s">
        <v>14</v>
      </c>
      <c r="F1043">
        <v>61180</v>
      </c>
      <c r="G1043">
        <v>0</v>
      </c>
      <c r="H1043" s="2">
        <v>1</v>
      </c>
      <c r="I1043" s="2">
        <v>41752</v>
      </c>
      <c r="J1043">
        <v>70</v>
      </c>
      <c r="K1043">
        <f>VLOOKUP(B1043,purchase_dataset!$B$2:$F$2241,2,FALSE)</f>
        <v>24</v>
      </c>
      <c r="L1043">
        <f>VLOOKUP(B1043,purchase_dataset!$B$2:$F$2241,3,FALSE)</f>
        <v>24</v>
      </c>
      <c r="M1043">
        <f>VLOOKUP(B1043,purchase_dataset!$B$2:$F$2241,3,FALSE)</f>
        <v>24</v>
      </c>
      <c r="N1043">
        <f>VLOOKUP(B1043,purchase_dataset!$B$2:$F$2241,5,FALSE)</f>
        <v>6</v>
      </c>
      <c r="O1043" s="5">
        <v>67</v>
      </c>
      <c r="P1043" s="4" t="str">
        <f t="shared" si="32"/>
        <v>&gt;50</v>
      </c>
      <c r="Q1043" s="4">
        <f>M1043+N1043</f>
        <v>30</v>
      </c>
      <c r="U1043" s="28" t="str" cm="1">
        <f t="array" ref="U1043">_xlfn.IFS(F1043&lt;30000,"30k",F1043&lt;=50000,"30k-50k",F1043&lt;=75000,"50k-75k",F1043&lt;=100000,"75k-100k",F1043&gt;100000,"100k")</f>
        <v>50k-75k</v>
      </c>
      <c r="W1043" s="1">
        <f t="shared" si="33"/>
        <v>12</v>
      </c>
    </row>
    <row r="1044" spans="1:23" x14ac:dyDescent="0.35">
      <c r="A1044">
        <v>1041</v>
      </c>
      <c r="B1044">
        <v>6730</v>
      </c>
      <c r="C1044">
        <v>1954</v>
      </c>
      <c r="D1044" s="1" t="s">
        <v>10</v>
      </c>
      <c r="E1044" s="1" t="s">
        <v>14</v>
      </c>
      <c r="F1044">
        <v>38998</v>
      </c>
      <c r="G1044">
        <v>1</v>
      </c>
      <c r="H1044" s="2">
        <v>1</v>
      </c>
      <c r="I1044" s="2">
        <v>41216</v>
      </c>
      <c r="J1044">
        <v>92</v>
      </c>
      <c r="K1044">
        <f>VLOOKUP(B1044,purchase_dataset!$B$2:$F$2241,2,FALSE)</f>
        <v>1</v>
      </c>
      <c r="L1044">
        <f>VLOOKUP(B1044,purchase_dataset!$B$2:$F$2241,3,FALSE)</f>
        <v>0</v>
      </c>
      <c r="M1044">
        <f>VLOOKUP(B1044,purchase_dataset!$B$2:$F$2241,3,FALSE)</f>
        <v>0</v>
      </c>
      <c r="N1044">
        <f>VLOOKUP(B1044,purchase_dataset!$B$2:$F$2241,5,FALSE)</f>
        <v>3</v>
      </c>
      <c r="O1044" s="5">
        <v>72</v>
      </c>
      <c r="P1044" s="4" t="str">
        <f t="shared" si="32"/>
        <v>&gt;50</v>
      </c>
      <c r="Q1044" s="4">
        <f>M1044+N1044</f>
        <v>3</v>
      </c>
      <c r="U1044" s="28" t="str" cm="1">
        <f t="array" ref="U1044">_xlfn.IFS(F1044&lt;30000,"30k",F1044&lt;=50000,"30k-50k",F1044&lt;=75000,"50k-75k",F1044&lt;=100000,"75k-100k",F1044&gt;100000,"100k")</f>
        <v>30k-50k</v>
      </c>
      <c r="W1044" s="1">
        <f t="shared" si="33"/>
        <v>14</v>
      </c>
    </row>
    <row r="1045" spans="1:23" x14ac:dyDescent="0.35">
      <c r="A1045">
        <v>1042</v>
      </c>
      <c r="B1045">
        <v>10749</v>
      </c>
      <c r="C1045">
        <v>1991</v>
      </c>
      <c r="D1045" s="1" t="s">
        <v>10</v>
      </c>
      <c r="E1045" s="1" t="s">
        <v>11</v>
      </c>
      <c r="F1045">
        <v>8028</v>
      </c>
      <c r="G1045">
        <v>0</v>
      </c>
      <c r="H1045" s="2">
        <v>0</v>
      </c>
      <c r="I1045" s="2">
        <v>41170</v>
      </c>
      <c r="J1045">
        <v>62</v>
      </c>
      <c r="K1045">
        <f>VLOOKUP(B1045,purchase_dataset!$B$2:$F$2241,2,FALSE)</f>
        <v>18</v>
      </c>
      <c r="L1045">
        <f>VLOOKUP(B1045,purchase_dataset!$B$2:$F$2241,3,FALSE)</f>
        <v>12</v>
      </c>
      <c r="M1045">
        <f>VLOOKUP(B1045,purchase_dataset!$B$2:$F$2241,3,FALSE)</f>
        <v>12</v>
      </c>
      <c r="N1045">
        <f>VLOOKUP(B1045,purchase_dataset!$B$2:$F$2241,5,FALSE)</f>
        <v>0</v>
      </c>
      <c r="O1045" s="5">
        <v>35</v>
      </c>
      <c r="P1045" s="4" t="str">
        <f t="shared" si="32"/>
        <v>30-50</v>
      </c>
      <c r="Q1045" s="4">
        <f>M1045+N1045</f>
        <v>12</v>
      </c>
      <c r="U1045" s="28" t="str" cm="1">
        <f t="array" ref="U1045">_xlfn.IFS(F1045&lt;30000,"30k",F1045&lt;=50000,"30k-50k",F1045&lt;=75000,"50k-75k",F1045&lt;=100000,"75k-100k",F1045&gt;100000,"100k")</f>
        <v>30k</v>
      </c>
      <c r="W1045" s="1">
        <f t="shared" si="33"/>
        <v>14</v>
      </c>
    </row>
    <row r="1046" spans="1:23" x14ac:dyDescent="0.35">
      <c r="A1046">
        <v>1043</v>
      </c>
      <c r="B1046">
        <v>4998</v>
      </c>
      <c r="C1046">
        <v>1962</v>
      </c>
      <c r="D1046" s="1" t="s">
        <v>10</v>
      </c>
      <c r="E1046" s="1" t="s">
        <v>12</v>
      </c>
      <c r="F1046">
        <v>76081</v>
      </c>
      <c r="G1046">
        <v>0</v>
      </c>
      <c r="H1046" s="2">
        <v>0</v>
      </c>
      <c r="I1046" s="2">
        <v>41782</v>
      </c>
      <c r="J1046">
        <v>85</v>
      </c>
      <c r="K1046">
        <f>VLOOKUP(B1046,purchase_dataset!$B$2:$F$2241,2,FALSE)</f>
        <v>30</v>
      </c>
      <c r="L1046">
        <f>VLOOKUP(B1046,purchase_dataset!$B$2:$F$2241,3,FALSE)</f>
        <v>33</v>
      </c>
      <c r="M1046">
        <f>VLOOKUP(B1046,purchase_dataset!$B$2:$F$2241,3,FALSE)</f>
        <v>33</v>
      </c>
      <c r="N1046">
        <f>VLOOKUP(B1046,purchase_dataset!$B$2:$F$2241,5,FALSE)</f>
        <v>4</v>
      </c>
      <c r="O1046" s="5">
        <v>64</v>
      </c>
      <c r="P1046" s="4" t="str">
        <f t="shared" si="32"/>
        <v>&gt;50</v>
      </c>
      <c r="Q1046" s="4">
        <f>M1046+N1046</f>
        <v>37</v>
      </c>
      <c r="U1046" s="28" t="str" cm="1">
        <f t="array" ref="U1046">_xlfn.IFS(F1046&lt;30000,"30k",F1046&lt;=50000,"30k-50k",F1046&lt;=75000,"50k-75k",F1046&lt;=100000,"75k-100k",F1046&gt;100000,"100k")</f>
        <v>75k-100k</v>
      </c>
      <c r="W1046" s="1">
        <f t="shared" si="33"/>
        <v>12</v>
      </c>
    </row>
    <row r="1047" spans="1:23" x14ac:dyDescent="0.35">
      <c r="A1047">
        <v>1044</v>
      </c>
      <c r="B1047">
        <v>6287</v>
      </c>
      <c r="C1047">
        <v>1986</v>
      </c>
      <c r="D1047" s="1" t="s">
        <v>10</v>
      </c>
      <c r="E1047" s="1" t="s">
        <v>12</v>
      </c>
      <c r="F1047">
        <v>34728</v>
      </c>
      <c r="G1047">
        <v>1</v>
      </c>
      <c r="H1047" s="2">
        <v>0</v>
      </c>
      <c r="I1047" s="2">
        <v>41485</v>
      </c>
      <c r="J1047">
        <v>2</v>
      </c>
      <c r="K1047">
        <f>VLOOKUP(B1047,purchase_dataset!$B$2:$F$2241,2,FALSE)</f>
        <v>0</v>
      </c>
      <c r="L1047">
        <f>VLOOKUP(B1047,purchase_dataset!$B$2:$F$2241,3,FALSE)</f>
        <v>0</v>
      </c>
      <c r="M1047">
        <f>VLOOKUP(B1047,purchase_dataset!$B$2:$F$2241,3,FALSE)</f>
        <v>0</v>
      </c>
      <c r="N1047">
        <f>VLOOKUP(B1047,purchase_dataset!$B$2:$F$2241,5,FALSE)</f>
        <v>2</v>
      </c>
      <c r="O1047" s="5">
        <v>40</v>
      </c>
      <c r="P1047" s="4" t="str">
        <f t="shared" si="32"/>
        <v>30-50</v>
      </c>
      <c r="Q1047" s="4">
        <f>M1047+N1047</f>
        <v>2</v>
      </c>
      <c r="U1047" s="28" t="str" cm="1">
        <f t="array" ref="U1047">_xlfn.IFS(F1047&lt;30000,"30k",F1047&lt;=50000,"30k-50k",F1047&lt;=75000,"50k-75k",F1047&lt;=100000,"75k-100k",F1047&gt;100000,"100k")</f>
        <v>30k-50k</v>
      </c>
      <c r="W1047" s="1">
        <f t="shared" si="33"/>
        <v>13</v>
      </c>
    </row>
    <row r="1048" spans="1:23" x14ac:dyDescent="0.35">
      <c r="A1048">
        <v>1045</v>
      </c>
      <c r="B1048">
        <v>5985</v>
      </c>
      <c r="C1048">
        <v>1965</v>
      </c>
      <c r="D1048" s="1" t="s">
        <v>15</v>
      </c>
      <c r="E1048" s="1" t="s">
        <v>11</v>
      </c>
      <c r="F1048">
        <v>33168</v>
      </c>
      <c r="G1048">
        <v>0</v>
      </c>
      <c r="H1048" s="2">
        <v>1</v>
      </c>
      <c r="I1048" s="2">
        <v>41195</v>
      </c>
      <c r="J1048">
        <v>0</v>
      </c>
      <c r="K1048">
        <f>VLOOKUP(B1048,purchase_dataset!$B$2:$F$2241,2,FALSE)</f>
        <v>1</v>
      </c>
      <c r="L1048">
        <f>VLOOKUP(B1048,purchase_dataset!$B$2:$F$2241,3,FALSE)</f>
        <v>1</v>
      </c>
      <c r="M1048">
        <f>VLOOKUP(B1048,purchase_dataset!$B$2:$F$2241,3,FALSE)</f>
        <v>1</v>
      </c>
      <c r="N1048">
        <f>VLOOKUP(B1048,purchase_dataset!$B$2:$F$2241,5,FALSE)</f>
        <v>4</v>
      </c>
      <c r="O1048" s="5">
        <v>61</v>
      </c>
      <c r="P1048" s="4" t="str">
        <f t="shared" si="32"/>
        <v>&gt;50</v>
      </c>
      <c r="Q1048" s="4">
        <f>M1048+N1048</f>
        <v>5</v>
      </c>
      <c r="U1048" s="28" t="str" cm="1">
        <f t="array" ref="U1048">_xlfn.IFS(F1048&lt;30000,"30k",F1048&lt;=50000,"30k-50k",F1048&lt;=75000,"50k-75k",F1048&lt;=100000,"75k-100k",F1048&gt;100000,"100k")</f>
        <v>30k-50k</v>
      </c>
      <c r="W1048" s="1">
        <f t="shared" si="33"/>
        <v>14</v>
      </c>
    </row>
    <row r="1049" spans="1:23" x14ac:dyDescent="0.35">
      <c r="A1049">
        <v>1046</v>
      </c>
      <c r="B1049">
        <v>4754</v>
      </c>
      <c r="C1049">
        <v>1966</v>
      </c>
      <c r="D1049" s="1" t="s">
        <v>15</v>
      </c>
      <c r="E1049" s="1" t="s">
        <v>14</v>
      </c>
      <c r="F1049">
        <v>33585</v>
      </c>
      <c r="G1049">
        <v>0</v>
      </c>
      <c r="H1049" s="2">
        <v>1</v>
      </c>
      <c r="I1049" s="2">
        <v>41542</v>
      </c>
      <c r="J1049">
        <v>91</v>
      </c>
      <c r="K1049">
        <f>VLOOKUP(B1049,purchase_dataset!$B$2:$F$2241,2,FALSE)</f>
        <v>11</v>
      </c>
      <c r="L1049">
        <f>VLOOKUP(B1049,purchase_dataset!$B$2:$F$2241,3,FALSE)</f>
        <v>6</v>
      </c>
      <c r="M1049">
        <f>VLOOKUP(B1049,purchase_dataset!$B$2:$F$2241,3,FALSE)</f>
        <v>6</v>
      </c>
      <c r="N1049">
        <f>VLOOKUP(B1049,purchase_dataset!$B$2:$F$2241,5,FALSE)</f>
        <v>4</v>
      </c>
      <c r="O1049" s="5">
        <v>60</v>
      </c>
      <c r="P1049" s="4" t="str">
        <f t="shared" si="32"/>
        <v>&gt;50</v>
      </c>
      <c r="Q1049" s="4">
        <f>M1049+N1049</f>
        <v>10</v>
      </c>
      <c r="U1049" s="28" t="str" cm="1">
        <f t="array" ref="U1049">_xlfn.IFS(F1049&lt;30000,"30k",F1049&lt;=50000,"30k-50k",F1049&lt;=75000,"50k-75k",F1049&lt;=100000,"75k-100k",F1049&gt;100000,"100k")</f>
        <v>30k-50k</v>
      </c>
      <c r="W1049" s="1">
        <f t="shared" si="33"/>
        <v>13</v>
      </c>
    </row>
    <row r="1050" spans="1:23" x14ac:dyDescent="0.35">
      <c r="A1050">
        <v>1047</v>
      </c>
      <c r="B1050">
        <v>4002</v>
      </c>
      <c r="C1050">
        <v>1960</v>
      </c>
      <c r="D1050" s="1" t="s">
        <v>13</v>
      </c>
      <c r="E1050" s="1" t="s">
        <v>14</v>
      </c>
      <c r="F1050">
        <v>77037</v>
      </c>
      <c r="G1050">
        <v>0</v>
      </c>
      <c r="H1050" s="2">
        <v>1</v>
      </c>
      <c r="I1050" s="2">
        <v>41560</v>
      </c>
      <c r="J1050">
        <v>3</v>
      </c>
      <c r="K1050">
        <f>VLOOKUP(B1050,purchase_dataset!$B$2:$F$2241,2,FALSE)</f>
        <v>96</v>
      </c>
      <c r="L1050">
        <f>VLOOKUP(B1050,purchase_dataset!$B$2:$F$2241,3,FALSE)</f>
        <v>53</v>
      </c>
      <c r="M1050">
        <f>VLOOKUP(B1050,purchase_dataset!$B$2:$F$2241,3,FALSE)</f>
        <v>53</v>
      </c>
      <c r="N1050">
        <f>VLOOKUP(B1050,purchase_dataset!$B$2:$F$2241,5,FALSE)</f>
        <v>12</v>
      </c>
      <c r="O1050" s="5">
        <v>66</v>
      </c>
      <c r="P1050" s="4" t="str">
        <f t="shared" si="32"/>
        <v>&gt;50</v>
      </c>
      <c r="Q1050" s="4">
        <f>M1050+N1050</f>
        <v>65</v>
      </c>
      <c r="U1050" s="28" t="str" cm="1">
        <f t="array" ref="U1050">_xlfn.IFS(F1050&lt;30000,"30k",F1050&lt;=50000,"30k-50k",F1050&lt;=75000,"50k-75k",F1050&lt;=100000,"75k-100k",F1050&gt;100000,"100k")</f>
        <v>75k-100k</v>
      </c>
      <c r="W1050" s="1">
        <f t="shared" si="33"/>
        <v>13</v>
      </c>
    </row>
    <row r="1051" spans="1:23" x14ac:dyDescent="0.35">
      <c r="A1051">
        <v>1048</v>
      </c>
      <c r="B1051">
        <v>8870</v>
      </c>
      <c r="C1051">
        <v>1984</v>
      </c>
      <c r="D1051" s="1" t="s">
        <v>10</v>
      </c>
      <c r="E1051" s="1" t="s">
        <v>12</v>
      </c>
      <c r="F1051">
        <v>35196</v>
      </c>
      <c r="G1051">
        <v>1</v>
      </c>
      <c r="H1051" s="2">
        <v>0</v>
      </c>
      <c r="I1051" s="2">
        <v>41226</v>
      </c>
      <c r="J1051">
        <v>68</v>
      </c>
      <c r="K1051">
        <f>VLOOKUP(B1051,purchase_dataset!$B$2:$F$2241,2,FALSE)</f>
        <v>12</v>
      </c>
      <c r="L1051">
        <f>VLOOKUP(B1051,purchase_dataset!$B$2:$F$2241,3,FALSE)</f>
        <v>39</v>
      </c>
      <c r="M1051">
        <f>VLOOKUP(B1051,purchase_dataset!$B$2:$F$2241,3,FALSE)</f>
        <v>39</v>
      </c>
      <c r="N1051">
        <f>VLOOKUP(B1051,purchase_dataset!$B$2:$F$2241,5,FALSE)</f>
        <v>5</v>
      </c>
      <c r="O1051" s="5">
        <v>42</v>
      </c>
      <c r="P1051" s="4" t="str">
        <f t="shared" si="32"/>
        <v>30-50</v>
      </c>
      <c r="Q1051" s="4">
        <f>M1051+N1051</f>
        <v>44</v>
      </c>
      <c r="U1051" s="28" t="str" cm="1">
        <f t="array" ref="U1051">_xlfn.IFS(F1051&lt;30000,"30k",F1051&lt;=50000,"30k-50k",F1051&lt;=75000,"50k-75k",F1051&lt;=100000,"75k-100k",F1051&gt;100000,"100k")</f>
        <v>30k-50k</v>
      </c>
      <c r="W1051" s="1">
        <f t="shared" si="33"/>
        <v>14</v>
      </c>
    </row>
    <row r="1052" spans="1:23" x14ac:dyDescent="0.35">
      <c r="A1052">
        <v>1049</v>
      </c>
      <c r="B1052">
        <v>966</v>
      </c>
      <c r="C1052">
        <v>1966</v>
      </c>
      <c r="D1052" s="1" t="s">
        <v>10</v>
      </c>
      <c r="E1052" s="1" t="s">
        <v>14</v>
      </c>
      <c r="F1052">
        <v>44529</v>
      </c>
      <c r="G1052">
        <v>0</v>
      </c>
      <c r="H1052" s="2">
        <v>1</v>
      </c>
      <c r="I1052" s="2">
        <v>41460</v>
      </c>
      <c r="J1052">
        <v>98</v>
      </c>
      <c r="K1052">
        <f>VLOOKUP(B1052,purchase_dataset!$B$2:$F$2241,2,FALSE)</f>
        <v>13</v>
      </c>
      <c r="L1052">
        <f>VLOOKUP(B1052,purchase_dataset!$B$2:$F$2241,3,FALSE)</f>
        <v>6</v>
      </c>
      <c r="M1052">
        <f>VLOOKUP(B1052,purchase_dataset!$B$2:$F$2241,3,FALSE)</f>
        <v>6</v>
      </c>
      <c r="N1052">
        <f>VLOOKUP(B1052,purchase_dataset!$B$2:$F$2241,5,FALSE)</f>
        <v>11</v>
      </c>
      <c r="O1052" s="5">
        <v>60</v>
      </c>
      <c r="P1052" s="4" t="str">
        <f t="shared" si="32"/>
        <v>&gt;50</v>
      </c>
      <c r="Q1052" s="4">
        <f>M1052+N1052</f>
        <v>17</v>
      </c>
      <c r="U1052" s="28" t="str" cm="1">
        <f t="array" ref="U1052">_xlfn.IFS(F1052&lt;30000,"30k",F1052&lt;=50000,"30k-50k",F1052&lt;=75000,"50k-75k",F1052&lt;=100000,"75k-100k",F1052&gt;100000,"100k")</f>
        <v>30k-50k</v>
      </c>
      <c r="W1052" s="1">
        <f t="shared" si="33"/>
        <v>13</v>
      </c>
    </row>
    <row r="1053" spans="1:23" x14ac:dyDescent="0.35">
      <c r="A1053">
        <v>1050</v>
      </c>
      <c r="B1053">
        <v>4767</v>
      </c>
      <c r="C1053">
        <v>1965</v>
      </c>
      <c r="D1053" s="1" t="s">
        <v>18</v>
      </c>
      <c r="E1053" s="1" t="s">
        <v>14</v>
      </c>
      <c r="F1053">
        <v>70924</v>
      </c>
      <c r="G1053">
        <v>0</v>
      </c>
      <c r="H1053" s="2">
        <v>0</v>
      </c>
      <c r="I1053" s="2">
        <v>41736</v>
      </c>
      <c r="J1053">
        <v>41</v>
      </c>
      <c r="K1053">
        <f>VLOOKUP(B1053,purchase_dataset!$B$2:$F$2241,2,FALSE)</f>
        <v>114</v>
      </c>
      <c r="L1053">
        <f>VLOOKUP(B1053,purchase_dataset!$B$2:$F$2241,3,FALSE)</f>
        <v>152</v>
      </c>
      <c r="M1053">
        <f>VLOOKUP(B1053,purchase_dataset!$B$2:$F$2241,3,FALSE)</f>
        <v>152</v>
      </c>
      <c r="N1053">
        <f>VLOOKUP(B1053,purchase_dataset!$B$2:$F$2241,5,FALSE)</f>
        <v>7</v>
      </c>
      <c r="O1053" s="5">
        <v>61</v>
      </c>
      <c r="P1053" s="4" t="str">
        <f t="shared" si="32"/>
        <v>&gt;50</v>
      </c>
      <c r="Q1053" s="4">
        <f>M1053+N1053</f>
        <v>159</v>
      </c>
      <c r="U1053" s="28" t="str" cm="1">
        <f t="array" ref="U1053">_xlfn.IFS(F1053&lt;30000,"30k",F1053&lt;=50000,"30k-50k",F1053&lt;=75000,"50k-75k",F1053&lt;=100000,"75k-100k",F1053&gt;100000,"100k")</f>
        <v>50k-75k</v>
      </c>
      <c r="W1053" s="1">
        <f t="shared" si="33"/>
        <v>12</v>
      </c>
    </row>
    <row r="1054" spans="1:23" x14ac:dyDescent="0.35">
      <c r="A1054">
        <v>1051</v>
      </c>
      <c r="B1054">
        <v>9725</v>
      </c>
      <c r="C1054">
        <v>1966</v>
      </c>
      <c r="D1054" s="1" t="s">
        <v>13</v>
      </c>
      <c r="E1054" s="1" t="s">
        <v>12</v>
      </c>
      <c r="F1054">
        <v>28764</v>
      </c>
      <c r="G1054">
        <v>1</v>
      </c>
      <c r="H1054" s="2">
        <v>1</v>
      </c>
      <c r="I1054" s="2">
        <v>41795</v>
      </c>
      <c r="J1054">
        <v>16</v>
      </c>
      <c r="K1054">
        <f>VLOOKUP(B1054,purchase_dataset!$B$2:$F$2241,2,FALSE)</f>
        <v>0</v>
      </c>
      <c r="L1054">
        <f>VLOOKUP(B1054,purchase_dataset!$B$2:$F$2241,3,FALSE)</f>
        <v>0</v>
      </c>
      <c r="M1054">
        <f>VLOOKUP(B1054,purchase_dataset!$B$2:$F$2241,3,FALSE)</f>
        <v>0</v>
      </c>
      <c r="N1054">
        <f>VLOOKUP(B1054,purchase_dataset!$B$2:$F$2241,5,FALSE)</f>
        <v>2</v>
      </c>
      <c r="O1054" s="5">
        <v>60</v>
      </c>
      <c r="P1054" s="4" t="str">
        <f t="shared" si="32"/>
        <v>&gt;50</v>
      </c>
      <c r="Q1054" s="4">
        <f>M1054+N1054</f>
        <v>2</v>
      </c>
      <c r="U1054" s="28" t="str" cm="1">
        <f t="array" ref="U1054">_xlfn.IFS(F1054&lt;30000,"30k",F1054&lt;=50000,"30k-50k",F1054&lt;=75000,"50k-75k",F1054&lt;=100000,"75k-100k",F1054&gt;100000,"100k")</f>
        <v>30k</v>
      </c>
      <c r="W1054" s="1">
        <f t="shared" si="33"/>
        <v>12</v>
      </c>
    </row>
    <row r="1055" spans="1:23" x14ac:dyDescent="0.35">
      <c r="A1055">
        <v>1052</v>
      </c>
      <c r="B1055">
        <v>4475</v>
      </c>
      <c r="C1055">
        <v>1949</v>
      </c>
      <c r="D1055" s="1" t="s">
        <v>13</v>
      </c>
      <c r="E1055" s="1" t="s">
        <v>14</v>
      </c>
      <c r="F1055">
        <v>69098</v>
      </c>
      <c r="G1055">
        <v>0</v>
      </c>
      <c r="H1055" s="2">
        <v>0</v>
      </c>
      <c r="I1055" s="2">
        <v>41321</v>
      </c>
      <c r="J1055">
        <v>82</v>
      </c>
      <c r="K1055">
        <f>VLOOKUP(B1055,purchase_dataset!$B$2:$F$2241,2,FALSE)</f>
        <v>22</v>
      </c>
      <c r="L1055">
        <f>VLOOKUP(B1055,purchase_dataset!$B$2:$F$2241,3,FALSE)</f>
        <v>0</v>
      </c>
      <c r="M1055">
        <f>VLOOKUP(B1055,purchase_dataset!$B$2:$F$2241,3,FALSE)</f>
        <v>0</v>
      </c>
      <c r="N1055">
        <f>VLOOKUP(B1055,purchase_dataset!$B$2:$F$2241,5,FALSE)</f>
        <v>9</v>
      </c>
      <c r="O1055" s="5">
        <v>77</v>
      </c>
      <c r="P1055" s="4" t="str">
        <f t="shared" si="32"/>
        <v>&gt;50</v>
      </c>
      <c r="Q1055" s="4">
        <f>M1055+N1055</f>
        <v>9</v>
      </c>
      <c r="U1055" s="28" t="str" cm="1">
        <f t="array" ref="U1055">_xlfn.IFS(F1055&lt;30000,"30k",F1055&lt;=50000,"30k-50k",F1055&lt;=75000,"50k-75k",F1055&lt;=100000,"75k-100k",F1055&gt;100000,"100k")</f>
        <v>50k-75k</v>
      </c>
      <c r="W1055" s="1">
        <f t="shared" si="33"/>
        <v>13</v>
      </c>
    </row>
    <row r="1056" spans="1:23" x14ac:dyDescent="0.35">
      <c r="A1056">
        <v>1053</v>
      </c>
      <c r="B1056">
        <v>5740</v>
      </c>
      <c r="C1056">
        <v>1970</v>
      </c>
      <c r="D1056" s="1" t="s">
        <v>18</v>
      </c>
      <c r="E1056" s="1" t="s">
        <v>16</v>
      </c>
      <c r="F1056">
        <v>25959</v>
      </c>
      <c r="G1056">
        <v>1</v>
      </c>
      <c r="H1056" s="2">
        <v>1</v>
      </c>
      <c r="I1056" s="2">
        <v>41319</v>
      </c>
      <c r="J1056">
        <v>1</v>
      </c>
      <c r="K1056">
        <f>VLOOKUP(B1056,purchase_dataset!$B$2:$F$2241,2,FALSE)</f>
        <v>2</v>
      </c>
      <c r="L1056">
        <f>VLOOKUP(B1056,purchase_dataset!$B$2:$F$2241,3,FALSE)</f>
        <v>5</v>
      </c>
      <c r="M1056">
        <f>VLOOKUP(B1056,purchase_dataset!$B$2:$F$2241,3,FALSE)</f>
        <v>5</v>
      </c>
      <c r="N1056">
        <f>VLOOKUP(B1056,purchase_dataset!$B$2:$F$2241,5,FALSE)</f>
        <v>2</v>
      </c>
      <c r="O1056" s="5">
        <v>56</v>
      </c>
      <c r="P1056" s="4" t="str">
        <f t="shared" si="32"/>
        <v>&gt;50</v>
      </c>
      <c r="Q1056" s="4">
        <f>M1056+N1056</f>
        <v>7</v>
      </c>
      <c r="U1056" s="28" t="str" cm="1">
        <f t="array" ref="U1056">_xlfn.IFS(F1056&lt;30000,"30k",F1056&lt;=50000,"30k-50k",F1056&lt;=75000,"50k-75k",F1056&lt;=100000,"75k-100k",F1056&gt;100000,"100k")</f>
        <v>30k</v>
      </c>
      <c r="W1056" s="1">
        <f t="shared" si="33"/>
        <v>13</v>
      </c>
    </row>
    <row r="1057" spans="1:23" x14ac:dyDescent="0.35">
      <c r="A1057">
        <v>1054</v>
      </c>
      <c r="B1057">
        <v>5731</v>
      </c>
      <c r="C1057">
        <v>1983</v>
      </c>
      <c r="D1057" s="1" t="s">
        <v>15</v>
      </c>
      <c r="E1057" s="1" t="s">
        <v>14</v>
      </c>
      <c r="F1057">
        <v>27100</v>
      </c>
      <c r="G1057">
        <v>1</v>
      </c>
      <c r="H1057" s="2">
        <v>0</v>
      </c>
      <c r="I1057" s="2">
        <v>41369</v>
      </c>
      <c r="J1057">
        <v>64</v>
      </c>
      <c r="K1057">
        <f>VLOOKUP(B1057,purchase_dataset!$B$2:$F$2241,2,FALSE)</f>
        <v>0</v>
      </c>
      <c r="L1057">
        <f>VLOOKUP(B1057,purchase_dataset!$B$2:$F$2241,3,FALSE)</f>
        <v>0</v>
      </c>
      <c r="M1057">
        <f>VLOOKUP(B1057,purchase_dataset!$B$2:$F$2241,3,FALSE)</f>
        <v>0</v>
      </c>
      <c r="N1057">
        <f>VLOOKUP(B1057,purchase_dataset!$B$2:$F$2241,5,FALSE)</f>
        <v>3</v>
      </c>
      <c r="O1057" s="5">
        <v>43</v>
      </c>
      <c r="P1057" s="4" t="str">
        <f t="shared" si="32"/>
        <v>30-50</v>
      </c>
      <c r="Q1057" s="4">
        <f>M1057+N1057</f>
        <v>3</v>
      </c>
      <c r="U1057" s="28" t="str" cm="1">
        <f t="array" ref="U1057">_xlfn.IFS(F1057&lt;30000,"30k",F1057&lt;=50000,"30k-50k",F1057&lt;=75000,"50k-75k",F1057&lt;=100000,"75k-100k",F1057&gt;100000,"100k")</f>
        <v>30k</v>
      </c>
      <c r="W1057" s="1">
        <f t="shared" si="33"/>
        <v>13</v>
      </c>
    </row>
    <row r="1058" spans="1:23" x14ac:dyDescent="0.35">
      <c r="A1058">
        <v>1055</v>
      </c>
      <c r="B1058">
        <v>7290</v>
      </c>
      <c r="C1058">
        <v>1985</v>
      </c>
      <c r="D1058" s="1" t="s">
        <v>10</v>
      </c>
      <c r="E1058" s="1" t="s">
        <v>11</v>
      </c>
      <c r="F1058">
        <v>70596</v>
      </c>
      <c r="G1058">
        <v>0</v>
      </c>
      <c r="H1058" s="2">
        <v>0</v>
      </c>
      <c r="I1058" s="2">
        <v>41187</v>
      </c>
      <c r="J1058">
        <v>68</v>
      </c>
      <c r="K1058">
        <f>VLOOKUP(B1058,purchase_dataset!$B$2:$F$2241,2,FALSE)</f>
        <v>44</v>
      </c>
      <c r="L1058">
        <f>VLOOKUP(B1058,purchase_dataset!$B$2:$F$2241,3,FALSE)</f>
        <v>0</v>
      </c>
      <c r="M1058">
        <f>VLOOKUP(B1058,purchase_dataset!$B$2:$F$2241,3,FALSE)</f>
        <v>0</v>
      </c>
      <c r="N1058">
        <f>VLOOKUP(B1058,purchase_dataset!$B$2:$F$2241,5,FALSE)</f>
        <v>12</v>
      </c>
      <c r="O1058" s="5">
        <v>41</v>
      </c>
      <c r="P1058" s="4" t="str">
        <f t="shared" si="32"/>
        <v>30-50</v>
      </c>
      <c r="Q1058" s="4">
        <f>M1058+N1058</f>
        <v>12</v>
      </c>
      <c r="U1058" s="28" t="str" cm="1">
        <f t="array" ref="U1058">_xlfn.IFS(F1058&lt;30000,"30k",F1058&lt;=50000,"30k-50k",F1058&lt;=75000,"50k-75k",F1058&lt;=100000,"75k-100k",F1058&gt;100000,"100k")</f>
        <v>50k-75k</v>
      </c>
      <c r="W1058" s="1">
        <f t="shared" si="33"/>
        <v>14</v>
      </c>
    </row>
    <row r="1059" spans="1:23" x14ac:dyDescent="0.35">
      <c r="A1059">
        <v>1056</v>
      </c>
      <c r="B1059">
        <v>3846</v>
      </c>
      <c r="C1059">
        <v>1974</v>
      </c>
      <c r="D1059" s="1" t="s">
        <v>10</v>
      </c>
      <c r="E1059" s="1" t="s">
        <v>14</v>
      </c>
      <c r="F1059">
        <v>42557</v>
      </c>
      <c r="G1059">
        <v>0</v>
      </c>
      <c r="H1059" s="2">
        <v>1</v>
      </c>
      <c r="I1059" s="2">
        <v>41150</v>
      </c>
      <c r="J1059">
        <v>98</v>
      </c>
      <c r="K1059">
        <f>VLOOKUP(B1059,purchase_dataset!$B$2:$F$2241,2,FALSE)</f>
        <v>5</v>
      </c>
      <c r="L1059">
        <f>VLOOKUP(B1059,purchase_dataset!$B$2:$F$2241,3,FALSE)</f>
        <v>5</v>
      </c>
      <c r="M1059">
        <f>VLOOKUP(B1059,purchase_dataset!$B$2:$F$2241,3,FALSE)</f>
        <v>5</v>
      </c>
      <c r="N1059">
        <f>VLOOKUP(B1059,purchase_dataset!$B$2:$F$2241,5,FALSE)</f>
        <v>4</v>
      </c>
      <c r="O1059" s="5">
        <v>52</v>
      </c>
      <c r="P1059" s="4" t="str">
        <f t="shared" si="32"/>
        <v>&gt;50</v>
      </c>
      <c r="Q1059" s="4">
        <f>M1059+N1059</f>
        <v>9</v>
      </c>
      <c r="U1059" s="28" t="str" cm="1">
        <f t="array" ref="U1059">_xlfn.IFS(F1059&lt;30000,"30k",F1059&lt;=50000,"30k-50k",F1059&lt;=75000,"50k-75k",F1059&lt;=100000,"75k-100k",F1059&gt;100000,"100k")</f>
        <v>30k-50k</v>
      </c>
      <c r="W1059" s="1">
        <f t="shared" si="33"/>
        <v>14</v>
      </c>
    </row>
    <row r="1060" spans="1:23" x14ac:dyDescent="0.35">
      <c r="A1060">
        <v>1057</v>
      </c>
      <c r="B1060">
        <v>8104</v>
      </c>
      <c r="C1060">
        <v>1951</v>
      </c>
      <c r="D1060" s="1" t="s">
        <v>13</v>
      </c>
      <c r="E1060" s="1" t="s">
        <v>14</v>
      </c>
      <c r="F1060">
        <v>53312</v>
      </c>
      <c r="G1060">
        <v>0</v>
      </c>
      <c r="H1060" s="2">
        <v>0</v>
      </c>
      <c r="I1060" s="2">
        <v>41495</v>
      </c>
      <c r="J1060">
        <v>32</v>
      </c>
      <c r="K1060">
        <f>VLOOKUP(B1060,purchase_dataset!$B$2:$F$2241,2,FALSE)</f>
        <v>0</v>
      </c>
      <c r="L1060">
        <f>VLOOKUP(B1060,purchase_dataset!$B$2:$F$2241,3,FALSE)</f>
        <v>0</v>
      </c>
      <c r="M1060">
        <f>VLOOKUP(B1060,purchase_dataset!$B$2:$F$2241,3,FALSE)</f>
        <v>0</v>
      </c>
      <c r="N1060">
        <f>VLOOKUP(B1060,purchase_dataset!$B$2:$F$2241,5,FALSE)</f>
        <v>5</v>
      </c>
      <c r="O1060" s="5">
        <v>75</v>
      </c>
      <c r="P1060" s="4" t="str">
        <f t="shared" si="32"/>
        <v>&gt;50</v>
      </c>
      <c r="Q1060" s="4">
        <f>M1060+N1060</f>
        <v>5</v>
      </c>
      <c r="U1060" s="28" t="str" cm="1">
        <f t="array" ref="U1060">_xlfn.IFS(F1060&lt;30000,"30k",F1060&lt;=50000,"30k-50k",F1060&lt;=75000,"50k-75k",F1060&lt;=100000,"75k-100k",F1060&gt;100000,"100k")</f>
        <v>50k-75k</v>
      </c>
      <c r="W1060" s="1">
        <f t="shared" si="33"/>
        <v>13</v>
      </c>
    </row>
    <row r="1061" spans="1:23" x14ac:dyDescent="0.35">
      <c r="A1061">
        <v>1058</v>
      </c>
      <c r="B1061">
        <v>4507</v>
      </c>
      <c r="C1061">
        <v>1952</v>
      </c>
      <c r="D1061" s="1" t="s">
        <v>10</v>
      </c>
      <c r="E1061" s="1" t="s">
        <v>11</v>
      </c>
      <c r="F1061">
        <v>72228</v>
      </c>
      <c r="G1061">
        <v>0</v>
      </c>
      <c r="H1061" s="2">
        <v>0</v>
      </c>
      <c r="I1061" s="2">
        <v>41240</v>
      </c>
      <c r="J1061">
        <v>87</v>
      </c>
      <c r="K1061">
        <f>VLOOKUP(B1061,purchase_dataset!$B$2:$F$2241,2,FALSE)</f>
        <v>28</v>
      </c>
      <c r="L1061">
        <f>VLOOKUP(B1061,purchase_dataset!$B$2:$F$2241,3,FALSE)</f>
        <v>14</v>
      </c>
      <c r="M1061">
        <f>VLOOKUP(B1061,purchase_dataset!$B$2:$F$2241,3,FALSE)</f>
        <v>14</v>
      </c>
      <c r="N1061">
        <f>VLOOKUP(B1061,purchase_dataset!$B$2:$F$2241,5,FALSE)</f>
        <v>8</v>
      </c>
      <c r="O1061" s="5">
        <v>74</v>
      </c>
      <c r="P1061" s="4" t="str">
        <f t="shared" si="32"/>
        <v>&gt;50</v>
      </c>
      <c r="Q1061" s="4">
        <f>M1061+N1061</f>
        <v>22</v>
      </c>
      <c r="U1061" s="28" t="str" cm="1">
        <f t="array" ref="U1061">_xlfn.IFS(F1061&lt;30000,"30k",F1061&lt;=50000,"30k-50k",F1061&lt;=75000,"50k-75k",F1061&lt;=100000,"75k-100k",F1061&gt;100000,"100k")</f>
        <v>50k-75k</v>
      </c>
      <c r="W1061" s="1">
        <f t="shared" si="33"/>
        <v>14</v>
      </c>
    </row>
    <row r="1062" spans="1:23" x14ac:dyDescent="0.35">
      <c r="A1062">
        <v>1059</v>
      </c>
      <c r="B1062">
        <v>11013</v>
      </c>
      <c r="C1062">
        <v>1987</v>
      </c>
      <c r="D1062" s="1" t="s">
        <v>10</v>
      </c>
      <c r="E1062" s="1" t="s">
        <v>12</v>
      </c>
      <c r="F1062">
        <v>67605</v>
      </c>
      <c r="G1062">
        <v>0</v>
      </c>
      <c r="H1062" s="2">
        <v>0</v>
      </c>
      <c r="I1062" s="2">
        <v>41364</v>
      </c>
      <c r="J1062">
        <v>84</v>
      </c>
      <c r="K1062">
        <f>VLOOKUP(B1062,purchase_dataset!$B$2:$F$2241,2,FALSE)</f>
        <v>28</v>
      </c>
      <c r="L1062">
        <f>VLOOKUP(B1062,purchase_dataset!$B$2:$F$2241,3,FALSE)</f>
        <v>54</v>
      </c>
      <c r="M1062">
        <f>VLOOKUP(B1062,purchase_dataset!$B$2:$F$2241,3,FALSE)</f>
        <v>54</v>
      </c>
      <c r="N1062">
        <f>VLOOKUP(B1062,purchase_dataset!$B$2:$F$2241,5,FALSE)</f>
        <v>6</v>
      </c>
      <c r="O1062" s="5">
        <v>39</v>
      </c>
      <c r="P1062" s="4" t="str">
        <f t="shared" si="32"/>
        <v>30-50</v>
      </c>
      <c r="Q1062" s="4">
        <f>M1062+N1062</f>
        <v>60</v>
      </c>
      <c r="U1062" s="28" t="str" cm="1">
        <f t="array" ref="U1062">_xlfn.IFS(F1062&lt;30000,"30k",F1062&lt;=50000,"30k-50k",F1062&lt;=75000,"50k-75k",F1062&lt;=100000,"75k-100k",F1062&gt;100000,"100k")</f>
        <v>50k-75k</v>
      </c>
      <c r="W1062" s="1">
        <f t="shared" si="33"/>
        <v>13</v>
      </c>
    </row>
    <row r="1063" spans="1:23" x14ac:dyDescent="0.35">
      <c r="A1063">
        <v>1060</v>
      </c>
      <c r="B1063">
        <v>4491</v>
      </c>
      <c r="C1063">
        <v>1949</v>
      </c>
      <c r="D1063" s="1" t="s">
        <v>15</v>
      </c>
      <c r="E1063" s="1" t="s">
        <v>14</v>
      </c>
      <c r="F1063">
        <v>62845</v>
      </c>
      <c r="G1063">
        <v>1</v>
      </c>
      <c r="H1063" s="2">
        <v>1</v>
      </c>
      <c r="I1063" s="2">
        <v>41183</v>
      </c>
      <c r="J1063">
        <v>3</v>
      </c>
      <c r="K1063">
        <f>VLOOKUP(B1063,purchase_dataset!$B$2:$F$2241,2,FALSE)</f>
        <v>0</v>
      </c>
      <c r="L1063">
        <f>VLOOKUP(B1063,purchase_dataset!$B$2:$F$2241,3,FALSE)</f>
        <v>0</v>
      </c>
      <c r="M1063">
        <f>VLOOKUP(B1063,purchase_dataset!$B$2:$F$2241,3,FALSE)</f>
        <v>0</v>
      </c>
      <c r="N1063">
        <f>VLOOKUP(B1063,purchase_dataset!$B$2:$F$2241,5,FALSE)</f>
        <v>10</v>
      </c>
      <c r="O1063" s="5">
        <v>77</v>
      </c>
      <c r="P1063" s="4" t="str">
        <f t="shared" si="32"/>
        <v>&gt;50</v>
      </c>
      <c r="Q1063" s="4">
        <f>M1063+N1063</f>
        <v>10</v>
      </c>
      <c r="U1063" s="28" t="str" cm="1">
        <f t="array" ref="U1063">_xlfn.IFS(F1063&lt;30000,"30k",F1063&lt;=50000,"30k-50k",F1063&lt;=75000,"50k-75k",F1063&lt;=100000,"75k-100k",F1063&gt;100000,"100k")</f>
        <v>50k-75k</v>
      </c>
      <c r="W1063" s="1">
        <f t="shared" si="33"/>
        <v>14</v>
      </c>
    </row>
    <row r="1064" spans="1:23" x14ac:dyDescent="0.35">
      <c r="A1064">
        <v>1061</v>
      </c>
      <c r="B1064">
        <v>3759</v>
      </c>
      <c r="C1064">
        <v>1958</v>
      </c>
      <c r="D1064" s="1" t="s">
        <v>10</v>
      </c>
      <c r="E1064" s="1" t="s">
        <v>12</v>
      </c>
      <c r="F1064">
        <v>65196</v>
      </c>
      <c r="G1064">
        <v>0</v>
      </c>
      <c r="H1064" s="2">
        <v>2</v>
      </c>
      <c r="I1064" s="2">
        <v>41480</v>
      </c>
      <c r="J1064">
        <v>34</v>
      </c>
      <c r="K1064">
        <f>VLOOKUP(B1064,purchase_dataset!$B$2:$F$2241,2,FALSE)</f>
        <v>19</v>
      </c>
      <c r="L1064">
        <f>VLOOKUP(B1064,purchase_dataset!$B$2:$F$2241,3,FALSE)</f>
        <v>0</v>
      </c>
      <c r="M1064">
        <f>VLOOKUP(B1064,purchase_dataset!$B$2:$F$2241,3,FALSE)</f>
        <v>0</v>
      </c>
      <c r="N1064">
        <f>VLOOKUP(B1064,purchase_dataset!$B$2:$F$2241,5,FALSE)</f>
        <v>11</v>
      </c>
      <c r="O1064" s="5">
        <v>68</v>
      </c>
      <c r="P1064" s="4" t="str">
        <f t="shared" si="32"/>
        <v>&gt;50</v>
      </c>
      <c r="Q1064" s="4">
        <f>M1064+N1064</f>
        <v>11</v>
      </c>
      <c r="U1064" s="28" t="str" cm="1">
        <f t="array" ref="U1064">_xlfn.IFS(F1064&lt;30000,"30k",F1064&lt;=50000,"30k-50k",F1064&lt;=75000,"50k-75k",F1064&lt;=100000,"75k-100k",F1064&gt;100000,"100k")</f>
        <v>50k-75k</v>
      </c>
      <c r="W1064" s="1">
        <f t="shared" si="33"/>
        <v>13</v>
      </c>
    </row>
    <row r="1065" spans="1:23" x14ac:dyDescent="0.35">
      <c r="A1065">
        <v>1062</v>
      </c>
      <c r="B1065">
        <v>1162</v>
      </c>
      <c r="C1065">
        <v>1987</v>
      </c>
      <c r="D1065" s="1" t="s">
        <v>13</v>
      </c>
      <c r="E1065" s="1" t="s">
        <v>11</v>
      </c>
      <c r="F1065">
        <v>42000</v>
      </c>
      <c r="G1065">
        <v>0</v>
      </c>
      <c r="H1065" s="2">
        <v>0</v>
      </c>
      <c r="I1065" s="2">
        <v>41284</v>
      </c>
      <c r="J1065">
        <v>23</v>
      </c>
      <c r="K1065">
        <f>VLOOKUP(B1065,purchase_dataset!$B$2:$F$2241,2,FALSE)</f>
        <v>83</v>
      </c>
      <c r="L1065">
        <f>VLOOKUP(B1065,purchase_dataset!$B$2:$F$2241,3,FALSE)</f>
        <v>59</v>
      </c>
      <c r="M1065">
        <f>VLOOKUP(B1065,purchase_dataset!$B$2:$F$2241,3,FALSE)</f>
        <v>59</v>
      </c>
      <c r="N1065">
        <f>VLOOKUP(B1065,purchase_dataset!$B$2:$F$2241,5,FALSE)</f>
        <v>11</v>
      </c>
      <c r="O1065" s="5">
        <v>39</v>
      </c>
      <c r="P1065" s="4" t="str">
        <f t="shared" si="32"/>
        <v>30-50</v>
      </c>
      <c r="Q1065" s="4">
        <f>M1065+N1065</f>
        <v>70</v>
      </c>
      <c r="U1065" s="28" t="str" cm="1">
        <f t="array" ref="U1065">_xlfn.IFS(F1065&lt;30000,"30k",F1065&lt;=50000,"30k-50k",F1065&lt;=75000,"50k-75k",F1065&lt;=100000,"75k-100k",F1065&gt;100000,"100k")</f>
        <v>30k-50k</v>
      </c>
      <c r="W1065" s="1">
        <f t="shared" si="33"/>
        <v>13</v>
      </c>
    </row>
    <row r="1066" spans="1:23" x14ac:dyDescent="0.35">
      <c r="A1066">
        <v>1063</v>
      </c>
      <c r="B1066">
        <v>2055</v>
      </c>
      <c r="C1066">
        <v>1973</v>
      </c>
      <c r="D1066" s="1" t="s">
        <v>13</v>
      </c>
      <c r="E1066" s="1" t="s">
        <v>16</v>
      </c>
      <c r="F1066">
        <v>35860</v>
      </c>
      <c r="G1066">
        <v>1</v>
      </c>
      <c r="H1066" s="2">
        <v>1</v>
      </c>
      <c r="I1066" s="2">
        <v>41778</v>
      </c>
      <c r="J1066">
        <v>37</v>
      </c>
      <c r="K1066">
        <f>VLOOKUP(B1066,purchase_dataset!$B$2:$F$2241,2,FALSE)</f>
        <v>0</v>
      </c>
      <c r="L1066">
        <f>VLOOKUP(B1066,purchase_dataset!$B$2:$F$2241,3,FALSE)</f>
        <v>2</v>
      </c>
      <c r="M1066">
        <f>VLOOKUP(B1066,purchase_dataset!$B$2:$F$2241,3,FALSE)</f>
        <v>2</v>
      </c>
      <c r="N1066">
        <f>VLOOKUP(B1066,purchase_dataset!$B$2:$F$2241,5,FALSE)</f>
        <v>2</v>
      </c>
      <c r="O1066" s="5">
        <v>53</v>
      </c>
      <c r="P1066" s="4" t="str">
        <f t="shared" si="32"/>
        <v>&gt;50</v>
      </c>
      <c r="Q1066" s="4">
        <f>M1066+N1066</f>
        <v>4</v>
      </c>
      <c r="U1066" s="28" t="str" cm="1">
        <f t="array" ref="U1066">_xlfn.IFS(F1066&lt;30000,"30k",F1066&lt;=50000,"30k-50k",F1066&lt;=75000,"50k-75k",F1066&lt;=100000,"75k-100k",F1066&gt;100000,"100k")</f>
        <v>30k-50k</v>
      </c>
      <c r="W1066" s="1">
        <f t="shared" si="33"/>
        <v>12</v>
      </c>
    </row>
    <row r="1067" spans="1:23" x14ac:dyDescent="0.35">
      <c r="A1067">
        <v>1064</v>
      </c>
      <c r="B1067">
        <v>10766</v>
      </c>
      <c r="C1067">
        <v>1964</v>
      </c>
      <c r="D1067" s="1" t="s">
        <v>13</v>
      </c>
      <c r="E1067" s="1" t="s">
        <v>14</v>
      </c>
      <c r="F1067">
        <v>65526</v>
      </c>
      <c r="G1067">
        <v>0</v>
      </c>
      <c r="H1067" s="2">
        <v>1</v>
      </c>
      <c r="I1067" s="2">
        <v>41740</v>
      </c>
      <c r="J1067">
        <v>22</v>
      </c>
      <c r="K1067">
        <f>VLOOKUP(B1067,purchase_dataset!$B$2:$F$2241,2,FALSE)</f>
        <v>19</v>
      </c>
      <c r="L1067">
        <f>VLOOKUP(B1067,purchase_dataset!$B$2:$F$2241,3,FALSE)</f>
        <v>0</v>
      </c>
      <c r="M1067">
        <f>VLOOKUP(B1067,purchase_dataset!$B$2:$F$2241,3,FALSE)</f>
        <v>0</v>
      </c>
      <c r="N1067">
        <f>VLOOKUP(B1067,purchase_dataset!$B$2:$F$2241,5,FALSE)</f>
        <v>8</v>
      </c>
      <c r="O1067" s="5">
        <v>62</v>
      </c>
      <c r="P1067" s="4" t="str">
        <f t="shared" si="32"/>
        <v>&gt;50</v>
      </c>
      <c r="Q1067" s="4">
        <f>M1067+N1067</f>
        <v>8</v>
      </c>
      <c r="U1067" s="28" t="str" cm="1">
        <f t="array" ref="U1067">_xlfn.IFS(F1067&lt;30000,"30k",F1067&lt;=50000,"30k-50k",F1067&lt;=75000,"50k-75k",F1067&lt;=100000,"75k-100k",F1067&gt;100000,"100k")</f>
        <v>50k-75k</v>
      </c>
      <c r="W1067" s="1">
        <f t="shared" si="33"/>
        <v>12</v>
      </c>
    </row>
    <row r="1068" spans="1:23" x14ac:dyDescent="0.35">
      <c r="A1068">
        <v>1065</v>
      </c>
      <c r="B1068">
        <v>4415</v>
      </c>
      <c r="C1068">
        <v>1961</v>
      </c>
      <c r="D1068" s="1" t="s">
        <v>10</v>
      </c>
      <c r="E1068" s="1" t="s">
        <v>14</v>
      </c>
      <c r="F1068">
        <v>16860</v>
      </c>
      <c r="G1068">
        <v>1</v>
      </c>
      <c r="H1068" s="2">
        <v>1</v>
      </c>
      <c r="I1068" s="2">
        <v>41164</v>
      </c>
      <c r="J1068">
        <v>19</v>
      </c>
      <c r="K1068">
        <f>VLOOKUP(B1068,purchase_dataset!$B$2:$F$2241,2,FALSE)</f>
        <v>4</v>
      </c>
      <c r="L1068">
        <f>VLOOKUP(B1068,purchase_dataset!$B$2:$F$2241,3,FALSE)</f>
        <v>3</v>
      </c>
      <c r="M1068">
        <f>VLOOKUP(B1068,purchase_dataset!$B$2:$F$2241,3,FALSE)</f>
        <v>3</v>
      </c>
      <c r="N1068">
        <f>VLOOKUP(B1068,purchase_dataset!$B$2:$F$2241,5,FALSE)</f>
        <v>3</v>
      </c>
      <c r="O1068" s="5">
        <v>65</v>
      </c>
      <c r="P1068" s="4" t="str">
        <f t="shared" si="32"/>
        <v>&gt;50</v>
      </c>
      <c r="Q1068" s="4">
        <f>M1068+N1068</f>
        <v>6</v>
      </c>
      <c r="U1068" s="28" t="str" cm="1">
        <f t="array" ref="U1068">_xlfn.IFS(F1068&lt;30000,"30k",F1068&lt;=50000,"30k-50k",F1068&lt;=75000,"50k-75k",F1068&lt;=100000,"75k-100k",F1068&gt;100000,"100k")</f>
        <v>30k</v>
      </c>
      <c r="W1068" s="1">
        <f t="shared" si="33"/>
        <v>14</v>
      </c>
    </row>
    <row r="1069" spans="1:23" x14ac:dyDescent="0.35">
      <c r="A1069">
        <v>1066</v>
      </c>
      <c r="B1069">
        <v>3005</v>
      </c>
      <c r="C1069">
        <v>1992</v>
      </c>
      <c r="D1069" s="1" t="s">
        <v>10</v>
      </c>
      <c r="E1069" s="1" t="s">
        <v>11</v>
      </c>
      <c r="F1069">
        <v>83528</v>
      </c>
      <c r="G1069">
        <v>0</v>
      </c>
      <c r="H1069" s="2">
        <v>0</v>
      </c>
      <c r="I1069" s="2">
        <v>41760</v>
      </c>
      <c r="J1069">
        <v>7</v>
      </c>
      <c r="K1069">
        <f>VLOOKUP(B1069,purchase_dataset!$B$2:$F$2241,2,FALSE)</f>
        <v>117</v>
      </c>
      <c r="L1069">
        <f>VLOOKUP(B1069,purchase_dataset!$B$2:$F$2241,3,FALSE)</f>
        <v>44</v>
      </c>
      <c r="M1069">
        <f>VLOOKUP(B1069,purchase_dataset!$B$2:$F$2241,3,FALSE)</f>
        <v>44</v>
      </c>
      <c r="N1069">
        <f>VLOOKUP(B1069,purchase_dataset!$B$2:$F$2241,5,FALSE)</f>
        <v>8</v>
      </c>
      <c r="O1069" s="5">
        <v>34</v>
      </c>
      <c r="P1069" s="4" t="str">
        <f t="shared" si="32"/>
        <v>30-50</v>
      </c>
      <c r="Q1069" s="4">
        <f>M1069+N1069</f>
        <v>52</v>
      </c>
      <c r="U1069" s="28" t="str" cm="1">
        <f t="array" ref="U1069">_xlfn.IFS(F1069&lt;30000,"30k",F1069&lt;=50000,"30k-50k",F1069&lt;=75000,"50k-75k",F1069&lt;=100000,"75k-100k",F1069&gt;100000,"100k")</f>
        <v>75k-100k</v>
      </c>
      <c r="W1069" s="1">
        <f t="shared" si="33"/>
        <v>12</v>
      </c>
    </row>
    <row r="1070" spans="1:23" x14ac:dyDescent="0.35">
      <c r="A1070">
        <v>1067</v>
      </c>
      <c r="B1070">
        <v>2223</v>
      </c>
      <c r="C1070">
        <v>1965</v>
      </c>
      <c r="D1070" s="1" t="s">
        <v>18</v>
      </c>
      <c r="E1070" s="1" t="s">
        <v>16</v>
      </c>
      <c r="F1070">
        <v>64176</v>
      </c>
      <c r="G1070">
        <v>0</v>
      </c>
      <c r="H1070" s="2">
        <v>1</v>
      </c>
      <c r="I1070" s="2">
        <v>41124</v>
      </c>
      <c r="J1070">
        <v>52</v>
      </c>
      <c r="K1070">
        <f>VLOOKUP(B1070,purchase_dataset!$B$2:$F$2241,2,FALSE)</f>
        <v>33</v>
      </c>
      <c r="L1070">
        <f>VLOOKUP(B1070,purchase_dataset!$B$2:$F$2241,3,FALSE)</f>
        <v>116</v>
      </c>
      <c r="M1070">
        <f>VLOOKUP(B1070,purchase_dataset!$B$2:$F$2241,3,FALSE)</f>
        <v>116</v>
      </c>
      <c r="N1070">
        <f>VLOOKUP(B1070,purchase_dataset!$B$2:$F$2241,5,FALSE)</f>
        <v>8</v>
      </c>
      <c r="O1070" s="5">
        <v>61</v>
      </c>
      <c r="P1070" s="4" t="str">
        <f t="shared" si="32"/>
        <v>&gt;50</v>
      </c>
      <c r="Q1070" s="4">
        <f>M1070+N1070</f>
        <v>124</v>
      </c>
      <c r="U1070" s="28" t="str" cm="1">
        <f t="array" ref="U1070">_xlfn.IFS(F1070&lt;30000,"30k",F1070&lt;=50000,"30k-50k",F1070&lt;=75000,"50k-75k",F1070&lt;=100000,"75k-100k",F1070&gt;100000,"100k")</f>
        <v>50k-75k</v>
      </c>
      <c r="W1070" s="1">
        <f t="shared" si="33"/>
        <v>14</v>
      </c>
    </row>
    <row r="1071" spans="1:23" x14ac:dyDescent="0.35">
      <c r="A1071">
        <v>1068</v>
      </c>
      <c r="B1071">
        <v>4817</v>
      </c>
      <c r="C1071">
        <v>1956</v>
      </c>
      <c r="D1071" s="1" t="s">
        <v>10</v>
      </c>
      <c r="E1071" s="1" t="s">
        <v>16</v>
      </c>
      <c r="F1071">
        <v>22304</v>
      </c>
      <c r="G1071">
        <v>0</v>
      </c>
      <c r="H1071" s="2">
        <v>0</v>
      </c>
      <c r="I1071" s="2">
        <v>41125</v>
      </c>
      <c r="J1071">
        <v>91</v>
      </c>
      <c r="K1071">
        <f>VLOOKUP(B1071,purchase_dataset!$B$2:$F$2241,2,FALSE)</f>
        <v>2</v>
      </c>
      <c r="L1071">
        <f>VLOOKUP(B1071,purchase_dataset!$B$2:$F$2241,3,FALSE)</f>
        <v>4</v>
      </c>
      <c r="M1071">
        <f>VLOOKUP(B1071,purchase_dataset!$B$2:$F$2241,3,FALSE)</f>
        <v>4</v>
      </c>
      <c r="N1071">
        <f>VLOOKUP(B1071,purchase_dataset!$B$2:$F$2241,5,FALSE)</f>
        <v>2</v>
      </c>
      <c r="O1071" s="5">
        <v>70</v>
      </c>
      <c r="P1071" s="4" t="str">
        <f t="shared" si="32"/>
        <v>&gt;50</v>
      </c>
      <c r="Q1071" s="4">
        <f>M1071+N1071</f>
        <v>6</v>
      </c>
      <c r="U1071" s="28" t="str" cm="1">
        <f t="array" ref="U1071">_xlfn.IFS(F1071&lt;30000,"30k",F1071&lt;=50000,"30k-50k",F1071&lt;=75000,"50k-75k",F1071&lt;=100000,"75k-100k",F1071&gt;100000,"100k")</f>
        <v>30k</v>
      </c>
      <c r="W1071" s="1">
        <f t="shared" si="33"/>
        <v>14</v>
      </c>
    </row>
    <row r="1072" spans="1:23" x14ac:dyDescent="0.35">
      <c r="A1072">
        <v>1069</v>
      </c>
      <c r="B1072">
        <v>2875</v>
      </c>
      <c r="C1072">
        <v>1978</v>
      </c>
      <c r="D1072" s="1" t="s">
        <v>10</v>
      </c>
      <c r="E1072" s="1" t="s">
        <v>14</v>
      </c>
      <c r="F1072">
        <v>67023</v>
      </c>
      <c r="G1072">
        <v>0</v>
      </c>
      <c r="H1072" s="2">
        <v>0</v>
      </c>
      <c r="I1072" s="2">
        <v>41702</v>
      </c>
      <c r="J1072">
        <v>93</v>
      </c>
      <c r="K1072">
        <f>VLOOKUP(B1072,purchase_dataset!$B$2:$F$2241,2,FALSE)</f>
        <v>44</v>
      </c>
      <c r="L1072">
        <f>VLOOKUP(B1072,purchase_dataset!$B$2:$F$2241,3,FALSE)</f>
        <v>8</v>
      </c>
      <c r="M1072">
        <f>VLOOKUP(B1072,purchase_dataset!$B$2:$F$2241,3,FALSE)</f>
        <v>8</v>
      </c>
      <c r="N1072">
        <f>VLOOKUP(B1072,purchase_dataset!$B$2:$F$2241,5,FALSE)</f>
        <v>13</v>
      </c>
      <c r="O1072" s="5">
        <v>48</v>
      </c>
      <c r="P1072" s="4" t="str">
        <f t="shared" si="32"/>
        <v>30-50</v>
      </c>
      <c r="Q1072" s="4">
        <f>M1072+N1072</f>
        <v>21</v>
      </c>
      <c r="U1072" s="28" t="str" cm="1">
        <f t="array" ref="U1072">_xlfn.IFS(F1072&lt;30000,"30k",F1072&lt;=50000,"30k-50k",F1072&lt;=75000,"50k-75k",F1072&lt;=100000,"75k-100k",F1072&gt;100000,"100k")</f>
        <v>50k-75k</v>
      </c>
      <c r="W1072" s="1">
        <f t="shared" si="33"/>
        <v>12</v>
      </c>
    </row>
    <row r="1073" spans="1:23" x14ac:dyDescent="0.35">
      <c r="A1073">
        <v>1070</v>
      </c>
      <c r="B1073">
        <v>10536</v>
      </c>
      <c r="C1073">
        <v>1971</v>
      </c>
      <c r="D1073" s="1" t="s">
        <v>13</v>
      </c>
      <c r="E1073" s="1" t="s">
        <v>12</v>
      </c>
      <c r="F1073">
        <v>32892</v>
      </c>
      <c r="G1073">
        <v>1</v>
      </c>
      <c r="H1073" s="2">
        <v>0</v>
      </c>
      <c r="I1073" s="2">
        <v>41784</v>
      </c>
      <c r="J1073">
        <v>78</v>
      </c>
      <c r="K1073">
        <f>VLOOKUP(B1073,purchase_dataset!$B$2:$F$2241,2,FALSE)</f>
        <v>0</v>
      </c>
      <c r="L1073">
        <f>VLOOKUP(B1073,purchase_dataset!$B$2:$F$2241,3,FALSE)</f>
        <v>1</v>
      </c>
      <c r="M1073">
        <f>VLOOKUP(B1073,purchase_dataset!$B$2:$F$2241,3,FALSE)</f>
        <v>1</v>
      </c>
      <c r="N1073">
        <f>VLOOKUP(B1073,purchase_dataset!$B$2:$F$2241,5,FALSE)</f>
        <v>3</v>
      </c>
      <c r="O1073" s="5">
        <v>55</v>
      </c>
      <c r="P1073" s="4" t="str">
        <f t="shared" si="32"/>
        <v>&gt;50</v>
      </c>
      <c r="Q1073" s="4">
        <f>M1073+N1073</f>
        <v>4</v>
      </c>
      <c r="U1073" s="28" t="str" cm="1">
        <f t="array" ref="U1073">_xlfn.IFS(F1073&lt;30000,"30k",F1073&lt;=50000,"30k-50k",F1073&lt;=75000,"50k-75k",F1073&lt;=100000,"75k-100k",F1073&gt;100000,"100k")</f>
        <v>30k-50k</v>
      </c>
      <c r="W1073" s="1">
        <f t="shared" si="33"/>
        <v>12</v>
      </c>
    </row>
    <row r="1074" spans="1:23" x14ac:dyDescent="0.35">
      <c r="A1074">
        <v>1071</v>
      </c>
      <c r="B1074">
        <v>11112</v>
      </c>
      <c r="C1074">
        <v>1966</v>
      </c>
      <c r="D1074" s="1" t="s">
        <v>10</v>
      </c>
      <c r="E1074" s="1" t="s">
        <v>12</v>
      </c>
      <c r="F1074">
        <v>70713</v>
      </c>
      <c r="G1074">
        <v>0</v>
      </c>
      <c r="H1074" s="2">
        <v>1</v>
      </c>
      <c r="I1074" s="2">
        <v>41246</v>
      </c>
      <c r="J1074">
        <v>23</v>
      </c>
      <c r="K1074">
        <f>VLOOKUP(B1074,purchase_dataset!$B$2:$F$2241,2,FALSE)</f>
        <v>114</v>
      </c>
      <c r="L1074">
        <f>VLOOKUP(B1074,purchase_dataset!$B$2:$F$2241,3,FALSE)</f>
        <v>76</v>
      </c>
      <c r="M1074">
        <f>VLOOKUP(B1074,purchase_dataset!$B$2:$F$2241,3,FALSE)</f>
        <v>76</v>
      </c>
      <c r="N1074">
        <f>VLOOKUP(B1074,purchase_dataset!$B$2:$F$2241,5,FALSE)</f>
        <v>8</v>
      </c>
      <c r="O1074" s="5">
        <v>60</v>
      </c>
      <c r="P1074" s="4" t="str">
        <f t="shared" si="32"/>
        <v>&gt;50</v>
      </c>
      <c r="Q1074" s="4">
        <f>M1074+N1074</f>
        <v>84</v>
      </c>
      <c r="U1074" s="28" t="str" cm="1">
        <f t="array" ref="U1074">_xlfn.IFS(F1074&lt;30000,"30k",F1074&lt;=50000,"30k-50k",F1074&lt;=75000,"50k-75k",F1074&lt;=100000,"75k-100k",F1074&gt;100000,"100k")</f>
        <v>50k-75k</v>
      </c>
      <c r="W1074" s="1">
        <f t="shared" si="33"/>
        <v>14</v>
      </c>
    </row>
    <row r="1075" spans="1:23" x14ac:dyDescent="0.35">
      <c r="A1075">
        <v>1072</v>
      </c>
      <c r="B1075">
        <v>3807</v>
      </c>
      <c r="C1075">
        <v>1955</v>
      </c>
      <c r="D1075" s="1" t="s">
        <v>10</v>
      </c>
      <c r="E1075" s="1" t="s">
        <v>12</v>
      </c>
      <c r="F1075">
        <v>59925</v>
      </c>
      <c r="G1075">
        <v>0</v>
      </c>
      <c r="H1075" s="2">
        <v>1</v>
      </c>
      <c r="I1075" s="2">
        <v>41243</v>
      </c>
      <c r="J1075">
        <v>83</v>
      </c>
      <c r="K1075">
        <f>VLOOKUP(B1075,purchase_dataset!$B$2:$F$2241,2,FALSE)</f>
        <v>21</v>
      </c>
      <c r="L1075">
        <f>VLOOKUP(B1075,purchase_dataset!$B$2:$F$2241,3,FALSE)</f>
        <v>21</v>
      </c>
      <c r="M1075">
        <f>VLOOKUP(B1075,purchase_dataset!$B$2:$F$2241,3,FALSE)</f>
        <v>21</v>
      </c>
      <c r="N1075">
        <f>VLOOKUP(B1075,purchase_dataset!$B$2:$F$2241,5,FALSE)</f>
        <v>9</v>
      </c>
      <c r="O1075" s="5">
        <v>71</v>
      </c>
      <c r="P1075" s="4" t="str">
        <f t="shared" si="32"/>
        <v>&gt;50</v>
      </c>
      <c r="Q1075" s="4">
        <f>M1075+N1075</f>
        <v>30</v>
      </c>
      <c r="U1075" s="28" t="str" cm="1">
        <f t="array" ref="U1075">_xlfn.IFS(F1075&lt;30000,"30k",F1075&lt;=50000,"30k-50k",F1075&lt;=75000,"50k-75k",F1075&lt;=100000,"75k-100k",F1075&gt;100000,"100k")</f>
        <v>50k-75k</v>
      </c>
      <c r="W1075" s="1">
        <f t="shared" si="33"/>
        <v>14</v>
      </c>
    </row>
    <row r="1076" spans="1:23" x14ac:dyDescent="0.35">
      <c r="A1076">
        <v>1073</v>
      </c>
      <c r="B1076">
        <v>9197</v>
      </c>
      <c r="C1076">
        <v>1953</v>
      </c>
      <c r="D1076" s="1" t="s">
        <v>10</v>
      </c>
      <c r="E1076" s="1" t="s">
        <v>14</v>
      </c>
      <c r="F1076">
        <v>39722</v>
      </c>
      <c r="G1076">
        <v>0</v>
      </c>
      <c r="H1076" s="2">
        <v>1</v>
      </c>
      <c r="I1076" s="2">
        <v>41694</v>
      </c>
      <c r="J1076">
        <v>92</v>
      </c>
      <c r="K1076">
        <f>VLOOKUP(B1076,purchase_dataset!$B$2:$F$2241,2,FALSE)</f>
        <v>0</v>
      </c>
      <c r="L1076">
        <f>VLOOKUP(B1076,purchase_dataset!$B$2:$F$2241,3,FALSE)</f>
        <v>0</v>
      </c>
      <c r="M1076">
        <f>VLOOKUP(B1076,purchase_dataset!$B$2:$F$2241,3,FALSE)</f>
        <v>0</v>
      </c>
      <c r="N1076">
        <f>VLOOKUP(B1076,purchase_dataset!$B$2:$F$2241,5,FALSE)</f>
        <v>3</v>
      </c>
      <c r="O1076" s="5">
        <v>73</v>
      </c>
      <c r="P1076" s="4" t="str">
        <f t="shared" si="32"/>
        <v>&gt;50</v>
      </c>
      <c r="Q1076" s="4">
        <f>M1076+N1076</f>
        <v>3</v>
      </c>
      <c r="U1076" s="28" t="str" cm="1">
        <f t="array" ref="U1076">_xlfn.IFS(F1076&lt;30000,"30k",F1076&lt;=50000,"30k-50k",F1076&lt;=75000,"50k-75k",F1076&lt;=100000,"75k-100k",F1076&gt;100000,"100k")</f>
        <v>30k-50k</v>
      </c>
      <c r="W1076" s="1">
        <f t="shared" si="33"/>
        <v>12</v>
      </c>
    </row>
    <row r="1077" spans="1:23" x14ac:dyDescent="0.35">
      <c r="A1077">
        <v>1074</v>
      </c>
      <c r="B1077">
        <v>10832</v>
      </c>
      <c r="C1077">
        <v>1958</v>
      </c>
      <c r="D1077" s="1" t="s">
        <v>10</v>
      </c>
      <c r="E1077" s="1" t="s">
        <v>12</v>
      </c>
      <c r="F1077">
        <v>46610</v>
      </c>
      <c r="G1077">
        <v>0</v>
      </c>
      <c r="H1077" s="2">
        <v>0</v>
      </c>
      <c r="I1077" s="2">
        <v>41473</v>
      </c>
      <c r="J1077">
        <v>4</v>
      </c>
      <c r="K1077">
        <f>VLOOKUP(B1077,purchase_dataset!$B$2:$F$2241,2,FALSE)</f>
        <v>10</v>
      </c>
      <c r="L1077">
        <f>VLOOKUP(B1077,purchase_dataset!$B$2:$F$2241,3,FALSE)</f>
        <v>10</v>
      </c>
      <c r="M1077">
        <f>VLOOKUP(B1077,purchase_dataset!$B$2:$F$2241,3,FALSE)</f>
        <v>10</v>
      </c>
      <c r="N1077">
        <f>VLOOKUP(B1077,purchase_dataset!$B$2:$F$2241,5,FALSE)</f>
        <v>6</v>
      </c>
      <c r="O1077" s="5">
        <v>68</v>
      </c>
      <c r="P1077" s="4" t="str">
        <f t="shared" si="32"/>
        <v>&gt;50</v>
      </c>
      <c r="Q1077" s="4">
        <f>M1077+N1077</f>
        <v>16</v>
      </c>
      <c r="U1077" s="28" t="str" cm="1">
        <f t="array" ref="U1077">_xlfn.IFS(F1077&lt;30000,"30k",F1077&lt;=50000,"30k-50k",F1077&lt;=75000,"50k-75k",F1077&lt;=100000,"75k-100k",F1077&gt;100000,"100k")</f>
        <v>30k-50k</v>
      </c>
      <c r="W1077" s="1">
        <f t="shared" si="33"/>
        <v>13</v>
      </c>
    </row>
    <row r="1078" spans="1:23" x14ac:dyDescent="0.35">
      <c r="A1078">
        <v>1075</v>
      </c>
      <c r="B1078">
        <v>6421</v>
      </c>
      <c r="C1078">
        <v>1961</v>
      </c>
      <c r="D1078" s="1" t="s">
        <v>10</v>
      </c>
      <c r="E1078" s="1" t="s">
        <v>12</v>
      </c>
      <c r="F1078">
        <v>88347</v>
      </c>
      <c r="G1078">
        <v>0</v>
      </c>
      <c r="H1078" s="2">
        <v>0</v>
      </c>
      <c r="I1078" s="2">
        <v>41458</v>
      </c>
      <c r="J1078">
        <v>32</v>
      </c>
      <c r="K1078">
        <f>VLOOKUP(B1078,purchase_dataset!$B$2:$F$2241,2,FALSE)</f>
        <v>178</v>
      </c>
      <c r="L1078">
        <f>VLOOKUP(B1078,purchase_dataset!$B$2:$F$2241,3,FALSE)</f>
        <v>138</v>
      </c>
      <c r="M1078">
        <f>VLOOKUP(B1078,purchase_dataset!$B$2:$F$2241,3,FALSE)</f>
        <v>138</v>
      </c>
      <c r="N1078">
        <f>VLOOKUP(B1078,purchase_dataset!$B$2:$F$2241,5,FALSE)</f>
        <v>9</v>
      </c>
      <c r="O1078" s="5">
        <v>65</v>
      </c>
      <c r="P1078" s="4" t="str">
        <f t="shared" si="32"/>
        <v>&gt;50</v>
      </c>
      <c r="Q1078" s="4">
        <f>M1078+N1078</f>
        <v>147</v>
      </c>
      <c r="U1078" s="28" t="str" cm="1">
        <f t="array" ref="U1078">_xlfn.IFS(F1078&lt;30000,"30k",F1078&lt;=50000,"30k-50k",F1078&lt;=75000,"50k-75k",F1078&lt;=100000,"75k-100k",F1078&gt;100000,"100k")</f>
        <v>75k-100k</v>
      </c>
      <c r="W1078" s="1">
        <f t="shared" si="33"/>
        <v>13</v>
      </c>
    </row>
    <row r="1079" spans="1:23" x14ac:dyDescent="0.35">
      <c r="A1079">
        <v>1076</v>
      </c>
      <c r="B1079">
        <v>4207</v>
      </c>
      <c r="C1079">
        <v>1981</v>
      </c>
      <c r="D1079" s="1" t="s">
        <v>13</v>
      </c>
      <c r="E1079" s="1" t="s">
        <v>14</v>
      </c>
      <c r="F1079">
        <v>87171</v>
      </c>
      <c r="G1079">
        <v>0</v>
      </c>
      <c r="H1079" s="2">
        <v>0</v>
      </c>
      <c r="I1079" s="2">
        <v>41395</v>
      </c>
      <c r="J1079">
        <v>27</v>
      </c>
      <c r="K1079">
        <f>VLOOKUP(B1079,purchase_dataset!$B$2:$F$2241,2,FALSE)</f>
        <v>44</v>
      </c>
      <c r="L1079">
        <f>VLOOKUP(B1079,purchase_dataset!$B$2:$F$2241,3,FALSE)</f>
        <v>44</v>
      </c>
      <c r="M1079">
        <f>VLOOKUP(B1079,purchase_dataset!$B$2:$F$2241,3,FALSE)</f>
        <v>44</v>
      </c>
      <c r="N1079">
        <f>VLOOKUP(B1079,purchase_dataset!$B$2:$F$2241,5,FALSE)</f>
        <v>11</v>
      </c>
      <c r="O1079" s="5">
        <v>45</v>
      </c>
      <c r="P1079" s="4" t="str">
        <f t="shared" si="32"/>
        <v>30-50</v>
      </c>
      <c r="Q1079" s="4">
        <f>M1079+N1079</f>
        <v>55</v>
      </c>
      <c r="U1079" s="28" t="str" cm="1">
        <f t="array" ref="U1079">_xlfn.IFS(F1079&lt;30000,"30k",F1079&lt;=50000,"30k-50k",F1079&lt;=75000,"50k-75k",F1079&lt;=100000,"75k-100k",F1079&gt;100000,"100k")</f>
        <v>75k-100k</v>
      </c>
      <c r="W1079" s="1">
        <f t="shared" si="33"/>
        <v>13</v>
      </c>
    </row>
    <row r="1080" spans="1:23" x14ac:dyDescent="0.35">
      <c r="A1080">
        <v>1077</v>
      </c>
      <c r="B1080">
        <v>577</v>
      </c>
      <c r="C1080">
        <v>1976</v>
      </c>
      <c r="D1080" s="1" t="s">
        <v>18</v>
      </c>
      <c r="E1080" s="1" t="s">
        <v>12</v>
      </c>
      <c r="F1080">
        <v>26907</v>
      </c>
      <c r="G1080">
        <v>1</v>
      </c>
      <c r="H1080" s="2">
        <v>1</v>
      </c>
      <c r="I1080" s="2">
        <v>41506</v>
      </c>
      <c r="J1080">
        <v>10</v>
      </c>
      <c r="K1080">
        <f>VLOOKUP(B1080,purchase_dataset!$B$2:$F$2241,2,FALSE)</f>
        <v>1</v>
      </c>
      <c r="L1080">
        <f>VLOOKUP(B1080,purchase_dataset!$B$2:$F$2241,3,FALSE)</f>
        <v>3</v>
      </c>
      <c r="M1080">
        <f>VLOOKUP(B1080,purchase_dataset!$B$2:$F$2241,3,FALSE)</f>
        <v>3</v>
      </c>
      <c r="N1080">
        <f>VLOOKUP(B1080,purchase_dataset!$B$2:$F$2241,5,FALSE)</f>
        <v>3</v>
      </c>
      <c r="O1080" s="5">
        <v>50</v>
      </c>
      <c r="P1080" s="4" t="str">
        <f t="shared" si="32"/>
        <v>30-50</v>
      </c>
      <c r="Q1080" s="4">
        <f>M1080+N1080</f>
        <v>6</v>
      </c>
      <c r="U1080" s="28" t="str" cm="1">
        <f t="array" ref="U1080">_xlfn.IFS(F1080&lt;30000,"30k",F1080&lt;=50000,"30k-50k",F1080&lt;=75000,"50k-75k",F1080&lt;=100000,"75k-100k",F1080&gt;100000,"100k")</f>
        <v>30k</v>
      </c>
      <c r="W1080" s="1">
        <f t="shared" si="33"/>
        <v>13</v>
      </c>
    </row>
    <row r="1081" spans="1:23" x14ac:dyDescent="0.35">
      <c r="A1081">
        <v>1078</v>
      </c>
      <c r="B1081">
        <v>10855</v>
      </c>
      <c r="C1081">
        <v>1968</v>
      </c>
      <c r="D1081" s="1" t="s">
        <v>15</v>
      </c>
      <c r="E1081" s="1" t="s">
        <v>11</v>
      </c>
      <c r="F1081">
        <v>50014</v>
      </c>
      <c r="G1081">
        <v>1</v>
      </c>
      <c r="H1081" s="2">
        <v>0</v>
      </c>
      <c r="I1081" s="2">
        <v>41661</v>
      </c>
      <c r="J1081">
        <v>9</v>
      </c>
      <c r="K1081">
        <f>VLOOKUP(B1081,purchase_dataset!$B$2:$F$2241,2,FALSE)</f>
        <v>14</v>
      </c>
      <c r="L1081">
        <f>VLOOKUP(B1081,purchase_dataset!$B$2:$F$2241,3,FALSE)</f>
        <v>10</v>
      </c>
      <c r="M1081">
        <f>VLOOKUP(B1081,purchase_dataset!$B$2:$F$2241,3,FALSE)</f>
        <v>10</v>
      </c>
      <c r="N1081">
        <f>VLOOKUP(B1081,purchase_dataset!$B$2:$F$2241,5,FALSE)</f>
        <v>8</v>
      </c>
      <c r="O1081" s="5">
        <v>58</v>
      </c>
      <c r="P1081" s="4" t="str">
        <f t="shared" si="32"/>
        <v>&gt;50</v>
      </c>
      <c r="Q1081" s="4">
        <f>M1081+N1081</f>
        <v>18</v>
      </c>
      <c r="U1081" s="28" t="str" cm="1">
        <f t="array" ref="U1081">_xlfn.IFS(F1081&lt;30000,"30k",F1081&lt;=50000,"30k-50k",F1081&lt;=75000,"50k-75k",F1081&lt;=100000,"75k-100k",F1081&gt;100000,"100k")</f>
        <v>50k-75k</v>
      </c>
      <c r="W1081" s="1">
        <f t="shared" si="33"/>
        <v>12</v>
      </c>
    </row>
    <row r="1082" spans="1:23" x14ac:dyDescent="0.35">
      <c r="A1082">
        <v>1079</v>
      </c>
      <c r="B1082">
        <v>3081</v>
      </c>
      <c r="C1082">
        <v>1978</v>
      </c>
      <c r="D1082" s="1" t="s">
        <v>13</v>
      </c>
      <c r="E1082" s="1" t="s">
        <v>14</v>
      </c>
      <c r="F1082">
        <v>41014</v>
      </c>
      <c r="G1082">
        <v>1</v>
      </c>
      <c r="H1082" s="2">
        <v>0</v>
      </c>
      <c r="I1082" s="2">
        <v>41386</v>
      </c>
      <c r="J1082">
        <v>65</v>
      </c>
      <c r="K1082">
        <f>VLOOKUP(B1082,purchase_dataset!$B$2:$F$2241,2,FALSE)</f>
        <v>2</v>
      </c>
      <c r="L1082">
        <f>VLOOKUP(B1082,purchase_dataset!$B$2:$F$2241,3,FALSE)</f>
        <v>0</v>
      </c>
      <c r="M1082">
        <f>VLOOKUP(B1082,purchase_dataset!$B$2:$F$2241,3,FALSE)</f>
        <v>0</v>
      </c>
      <c r="N1082">
        <f>VLOOKUP(B1082,purchase_dataset!$B$2:$F$2241,5,FALSE)</f>
        <v>2</v>
      </c>
      <c r="O1082" s="5">
        <v>48</v>
      </c>
      <c r="P1082" s="4" t="str">
        <f t="shared" si="32"/>
        <v>30-50</v>
      </c>
      <c r="Q1082" s="4">
        <f>M1082+N1082</f>
        <v>2</v>
      </c>
      <c r="U1082" s="28" t="str" cm="1">
        <f t="array" ref="U1082">_xlfn.IFS(F1082&lt;30000,"30k",F1082&lt;=50000,"30k-50k",F1082&lt;=75000,"50k-75k",F1082&lt;=100000,"75k-100k",F1082&gt;100000,"100k")</f>
        <v>30k-50k</v>
      </c>
      <c r="W1082" s="1">
        <f t="shared" si="33"/>
        <v>13</v>
      </c>
    </row>
    <row r="1083" spans="1:23" x14ac:dyDescent="0.35">
      <c r="A1083">
        <v>1080</v>
      </c>
      <c r="B1083">
        <v>3535</v>
      </c>
      <c r="C1083">
        <v>1965</v>
      </c>
      <c r="D1083" s="1" t="s">
        <v>10</v>
      </c>
      <c r="E1083" s="1" t="s">
        <v>11</v>
      </c>
      <c r="F1083">
        <v>66294</v>
      </c>
      <c r="G1083">
        <v>0</v>
      </c>
      <c r="H1083" s="2">
        <v>0</v>
      </c>
      <c r="I1083" s="2">
        <v>41715</v>
      </c>
      <c r="J1083">
        <v>68</v>
      </c>
      <c r="K1083">
        <f>VLOOKUP(B1083,purchase_dataset!$B$2:$F$2241,2,FALSE)</f>
        <v>108</v>
      </c>
      <c r="L1083">
        <f>VLOOKUP(B1083,purchase_dataset!$B$2:$F$2241,3,FALSE)</f>
        <v>92</v>
      </c>
      <c r="M1083">
        <f>VLOOKUP(B1083,purchase_dataset!$B$2:$F$2241,3,FALSE)</f>
        <v>92</v>
      </c>
      <c r="N1083">
        <f>VLOOKUP(B1083,purchase_dataset!$B$2:$F$2241,5,FALSE)</f>
        <v>5</v>
      </c>
      <c r="O1083" s="5">
        <v>61</v>
      </c>
      <c r="P1083" s="4" t="str">
        <f t="shared" si="32"/>
        <v>&gt;50</v>
      </c>
      <c r="Q1083" s="4">
        <f>M1083+N1083</f>
        <v>97</v>
      </c>
      <c r="U1083" s="28" t="str" cm="1">
        <f t="array" ref="U1083">_xlfn.IFS(F1083&lt;30000,"30k",F1083&lt;=50000,"30k-50k",F1083&lt;=75000,"50k-75k",F1083&lt;=100000,"75k-100k",F1083&gt;100000,"100k")</f>
        <v>50k-75k</v>
      </c>
      <c r="W1083" s="1">
        <f t="shared" si="33"/>
        <v>12</v>
      </c>
    </row>
    <row r="1084" spans="1:23" x14ac:dyDescent="0.35">
      <c r="A1084">
        <v>1081</v>
      </c>
      <c r="B1084">
        <v>247</v>
      </c>
      <c r="C1084">
        <v>1971</v>
      </c>
      <c r="D1084" s="1" t="s">
        <v>10</v>
      </c>
      <c r="E1084" s="1" t="s">
        <v>14</v>
      </c>
      <c r="F1084">
        <v>36715</v>
      </c>
      <c r="G1084">
        <v>1</v>
      </c>
      <c r="H1084" s="2">
        <v>0</v>
      </c>
      <c r="I1084" s="2">
        <v>41230</v>
      </c>
      <c r="J1084">
        <v>16</v>
      </c>
      <c r="K1084">
        <f>VLOOKUP(B1084,purchase_dataset!$B$2:$F$2241,2,FALSE)</f>
        <v>10</v>
      </c>
      <c r="L1084">
        <f>VLOOKUP(B1084,purchase_dataset!$B$2:$F$2241,3,FALSE)</f>
        <v>13</v>
      </c>
      <c r="M1084">
        <f>VLOOKUP(B1084,purchase_dataset!$B$2:$F$2241,3,FALSE)</f>
        <v>13</v>
      </c>
      <c r="N1084">
        <f>VLOOKUP(B1084,purchase_dataset!$B$2:$F$2241,5,FALSE)</f>
        <v>4</v>
      </c>
      <c r="O1084" s="5">
        <v>55</v>
      </c>
      <c r="P1084" s="4" t="str">
        <f t="shared" si="32"/>
        <v>&gt;50</v>
      </c>
      <c r="Q1084" s="4">
        <f>M1084+N1084</f>
        <v>17</v>
      </c>
      <c r="U1084" s="28" t="str" cm="1">
        <f t="array" ref="U1084">_xlfn.IFS(F1084&lt;30000,"30k",F1084&lt;=50000,"30k-50k",F1084&lt;=75000,"50k-75k",F1084&lt;=100000,"75k-100k",F1084&gt;100000,"100k")</f>
        <v>30k-50k</v>
      </c>
      <c r="W1084" s="1">
        <f t="shared" si="33"/>
        <v>14</v>
      </c>
    </row>
    <row r="1085" spans="1:23" x14ac:dyDescent="0.35">
      <c r="A1085">
        <v>1082</v>
      </c>
      <c r="B1085">
        <v>8707</v>
      </c>
      <c r="C1085">
        <v>1956</v>
      </c>
      <c r="D1085" s="1" t="s">
        <v>10</v>
      </c>
      <c r="E1085" s="1" t="s">
        <v>14</v>
      </c>
      <c r="F1085">
        <v>79456</v>
      </c>
      <c r="G1085">
        <v>0</v>
      </c>
      <c r="H1085" s="2">
        <v>0</v>
      </c>
      <c r="I1085" s="2">
        <v>41143</v>
      </c>
      <c r="J1085">
        <v>12</v>
      </c>
      <c r="K1085">
        <f>VLOOKUP(B1085,purchase_dataset!$B$2:$F$2241,2,FALSE)</f>
        <v>42</v>
      </c>
      <c r="L1085">
        <f>VLOOKUP(B1085,purchase_dataset!$B$2:$F$2241,3,FALSE)</f>
        <v>83</v>
      </c>
      <c r="M1085">
        <f>VLOOKUP(B1085,purchase_dataset!$B$2:$F$2241,3,FALSE)</f>
        <v>83</v>
      </c>
      <c r="N1085">
        <f>VLOOKUP(B1085,purchase_dataset!$B$2:$F$2241,5,FALSE)</f>
        <v>4</v>
      </c>
      <c r="O1085" s="5">
        <v>70</v>
      </c>
      <c r="P1085" s="4" t="str">
        <f t="shared" si="32"/>
        <v>&gt;50</v>
      </c>
      <c r="Q1085" s="4">
        <f>M1085+N1085</f>
        <v>87</v>
      </c>
      <c r="U1085" s="28" t="str" cm="1">
        <f t="array" ref="U1085">_xlfn.IFS(F1085&lt;30000,"30k",F1085&lt;=50000,"30k-50k",F1085&lt;=75000,"50k-75k",F1085&lt;=100000,"75k-100k",F1085&gt;100000,"100k")</f>
        <v>75k-100k</v>
      </c>
      <c r="W1085" s="1">
        <f t="shared" si="33"/>
        <v>14</v>
      </c>
    </row>
    <row r="1086" spans="1:23" x14ac:dyDescent="0.35">
      <c r="A1086">
        <v>1083</v>
      </c>
      <c r="B1086">
        <v>9523</v>
      </c>
      <c r="C1086">
        <v>1982</v>
      </c>
      <c r="D1086" s="1" t="s">
        <v>10</v>
      </c>
      <c r="E1086" s="1" t="s">
        <v>12</v>
      </c>
      <c r="F1086">
        <v>40479</v>
      </c>
      <c r="G1086">
        <v>1</v>
      </c>
      <c r="H1086" s="2">
        <v>0</v>
      </c>
      <c r="I1086" s="2">
        <v>41503</v>
      </c>
      <c r="J1086">
        <v>95</v>
      </c>
      <c r="K1086">
        <f>VLOOKUP(B1086,purchase_dataset!$B$2:$F$2241,2,FALSE)</f>
        <v>0</v>
      </c>
      <c r="L1086">
        <f>VLOOKUP(B1086,purchase_dataset!$B$2:$F$2241,3,FALSE)</f>
        <v>0</v>
      </c>
      <c r="M1086">
        <f>VLOOKUP(B1086,purchase_dataset!$B$2:$F$2241,3,FALSE)</f>
        <v>0</v>
      </c>
      <c r="N1086">
        <f>VLOOKUP(B1086,purchase_dataset!$B$2:$F$2241,5,FALSE)</f>
        <v>3</v>
      </c>
      <c r="O1086" s="5">
        <v>44</v>
      </c>
      <c r="P1086" s="4" t="str">
        <f t="shared" si="32"/>
        <v>30-50</v>
      </c>
      <c r="Q1086" s="4">
        <f>M1086+N1086</f>
        <v>3</v>
      </c>
      <c r="U1086" s="28" t="str" cm="1">
        <f t="array" ref="U1086">_xlfn.IFS(F1086&lt;30000,"30k",F1086&lt;=50000,"30k-50k",F1086&lt;=75000,"50k-75k",F1086&lt;=100000,"75k-100k",F1086&gt;100000,"100k")</f>
        <v>30k-50k</v>
      </c>
      <c r="W1086" s="1">
        <f t="shared" si="33"/>
        <v>13</v>
      </c>
    </row>
    <row r="1087" spans="1:23" x14ac:dyDescent="0.35">
      <c r="A1087">
        <v>1084</v>
      </c>
      <c r="B1087">
        <v>6072</v>
      </c>
      <c r="C1087">
        <v>1970</v>
      </c>
      <c r="D1087" s="1" t="s">
        <v>15</v>
      </c>
      <c r="E1087" s="1" t="s">
        <v>11</v>
      </c>
      <c r="F1087">
        <v>75345</v>
      </c>
      <c r="G1087">
        <v>0</v>
      </c>
      <c r="H1087" s="2">
        <v>0</v>
      </c>
      <c r="I1087" s="2">
        <v>41307</v>
      </c>
      <c r="J1087">
        <v>16</v>
      </c>
      <c r="K1087">
        <f>VLOOKUP(B1087,purchase_dataset!$B$2:$F$2241,2,FALSE)</f>
        <v>57</v>
      </c>
      <c r="L1087">
        <f>VLOOKUP(B1087,purchase_dataset!$B$2:$F$2241,3,FALSE)</f>
        <v>38</v>
      </c>
      <c r="M1087">
        <f>VLOOKUP(B1087,purchase_dataset!$B$2:$F$2241,3,FALSE)</f>
        <v>38</v>
      </c>
      <c r="N1087">
        <f>VLOOKUP(B1087,purchase_dataset!$B$2:$F$2241,5,FALSE)</f>
        <v>6</v>
      </c>
      <c r="O1087" s="5">
        <v>56</v>
      </c>
      <c r="P1087" s="4" t="str">
        <f t="shared" si="32"/>
        <v>&gt;50</v>
      </c>
      <c r="Q1087" s="4">
        <f>M1087+N1087</f>
        <v>44</v>
      </c>
      <c r="U1087" s="28" t="str" cm="1">
        <f t="array" ref="U1087">_xlfn.IFS(F1087&lt;30000,"30k",F1087&lt;=50000,"30k-50k",F1087&lt;=75000,"50k-75k",F1087&lt;=100000,"75k-100k",F1087&gt;100000,"100k")</f>
        <v>75k-100k</v>
      </c>
      <c r="W1087" s="1">
        <f t="shared" si="33"/>
        <v>13</v>
      </c>
    </row>
    <row r="1088" spans="1:23" x14ac:dyDescent="0.35">
      <c r="A1088">
        <v>1085</v>
      </c>
      <c r="B1088">
        <v>6295</v>
      </c>
      <c r="C1088">
        <v>1977</v>
      </c>
      <c r="D1088" s="1" t="s">
        <v>10</v>
      </c>
      <c r="E1088" s="1" t="s">
        <v>14</v>
      </c>
      <c r="F1088">
        <v>54233</v>
      </c>
      <c r="G1088">
        <v>0</v>
      </c>
      <c r="H1088" s="2">
        <v>1</v>
      </c>
      <c r="I1088" s="2">
        <v>41309</v>
      </c>
      <c r="J1088">
        <v>46</v>
      </c>
      <c r="K1088">
        <f>VLOOKUP(B1088,purchase_dataset!$B$2:$F$2241,2,FALSE)</f>
        <v>8</v>
      </c>
      <c r="L1088">
        <f>VLOOKUP(B1088,purchase_dataset!$B$2:$F$2241,3,FALSE)</f>
        <v>0</v>
      </c>
      <c r="M1088">
        <f>VLOOKUP(B1088,purchase_dataset!$B$2:$F$2241,3,FALSE)</f>
        <v>0</v>
      </c>
      <c r="N1088">
        <f>VLOOKUP(B1088,purchase_dataset!$B$2:$F$2241,5,FALSE)</f>
        <v>5</v>
      </c>
      <c r="O1088" s="5">
        <v>49</v>
      </c>
      <c r="P1088" s="4" t="str">
        <f t="shared" si="32"/>
        <v>30-50</v>
      </c>
      <c r="Q1088" s="4">
        <f>M1088+N1088</f>
        <v>5</v>
      </c>
      <c r="U1088" s="28" t="str" cm="1">
        <f t="array" ref="U1088">_xlfn.IFS(F1088&lt;30000,"30k",F1088&lt;=50000,"30k-50k",F1088&lt;=75000,"50k-75k",F1088&lt;=100000,"75k-100k",F1088&gt;100000,"100k")</f>
        <v>50k-75k</v>
      </c>
      <c r="W1088" s="1">
        <f t="shared" si="33"/>
        <v>13</v>
      </c>
    </row>
    <row r="1089" spans="1:23" x14ac:dyDescent="0.35">
      <c r="A1089">
        <v>1086</v>
      </c>
      <c r="B1089">
        <v>10914</v>
      </c>
      <c r="C1089">
        <v>1970</v>
      </c>
      <c r="D1089" s="1" t="s">
        <v>10</v>
      </c>
      <c r="E1089" s="1" t="s">
        <v>11</v>
      </c>
      <c r="F1089">
        <v>24163</v>
      </c>
      <c r="G1089">
        <v>1</v>
      </c>
      <c r="H1089" s="2">
        <v>1</v>
      </c>
      <c r="I1089" s="2">
        <v>41559</v>
      </c>
      <c r="J1089">
        <v>3</v>
      </c>
      <c r="K1089">
        <f>VLOOKUP(B1089,purchase_dataset!$B$2:$F$2241,2,FALSE)</f>
        <v>1</v>
      </c>
      <c r="L1089">
        <f>VLOOKUP(B1089,purchase_dataset!$B$2:$F$2241,3,FALSE)</f>
        <v>1</v>
      </c>
      <c r="M1089">
        <f>VLOOKUP(B1089,purchase_dataset!$B$2:$F$2241,3,FALSE)</f>
        <v>1</v>
      </c>
      <c r="N1089">
        <f>VLOOKUP(B1089,purchase_dataset!$B$2:$F$2241,5,FALSE)</f>
        <v>3</v>
      </c>
      <c r="O1089" s="5">
        <v>56</v>
      </c>
      <c r="P1089" s="4" t="str">
        <f t="shared" si="32"/>
        <v>&gt;50</v>
      </c>
      <c r="Q1089" s="4">
        <f>M1089+N1089</f>
        <v>4</v>
      </c>
      <c r="U1089" s="28" t="str" cm="1">
        <f t="array" ref="U1089">_xlfn.IFS(F1089&lt;30000,"30k",F1089&lt;=50000,"30k-50k",F1089&lt;=75000,"50k-75k",F1089&lt;=100000,"75k-100k",F1089&gt;100000,"100k")</f>
        <v>30k</v>
      </c>
      <c r="W1089" s="1">
        <f t="shared" si="33"/>
        <v>13</v>
      </c>
    </row>
    <row r="1090" spans="1:23" x14ac:dyDescent="0.35">
      <c r="A1090">
        <v>1087</v>
      </c>
      <c r="B1090">
        <v>1509</v>
      </c>
      <c r="C1090">
        <v>1958</v>
      </c>
      <c r="D1090" s="1" t="s">
        <v>13</v>
      </c>
      <c r="E1090" s="1" t="s">
        <v>12</v>
      </c>
      <c r="F1090">
        <v>84460</v>
      </c>
      <c r="G1090">
        <v>0</v>
      </c>
      <c r="H1090" s="2">
        <v>0</v>
      </c>
      <c r="I1090" s="2">
        <v>41278</v>
      </c>
      <c r="J1090">
        <v>80</v>
      </c>
      <c r="K1090">
        <f>VLOOKUP(B1090,purchase_dataset!$B$2:$F$2241,2,FALSE)</f>
        <v>27</v>
      </c>
      <c r="L1090">
        <f>VLOOKUP(B1090,purchase_dataset!$B$2:$F$2241,3,FALSE)</f>
        <v>54</v>
      </c>
      <c r="M1090">
        <f>VLOOKUP(B1090,purchase_dataset!$B$2:$F$2241,3,FALSE)</f>
        <v>54</v>
      </c>
      <c r="N1090">
        <f>VLOOKUP(B1090,purchase_dataset!$B$2:$F$2241,5,FALSE)</f>
        <v>4</v>
      </c>
      <c r="O1090" s="5">
        <v>68</v>
      </c>
      <c r="P1090" s="4" t="str">
        <f t="shared" si="32"/>
        <v>&gt;50</v>
      </c>
      <c r="Q1090" s="4">
        <f>M1090+N1090</f>
        <v>58</v>
      </c>
      <c r="U1090" s="28" t="str" cm="1">
        <f t="array" ref="U1090">_xlfn.IFS(F1090&lt;30000,"30k",F1090&lt;=50000,"30k-50k",F1090&lt;=75000,"50k-75k",F1090&lt;=100000,"75k-100k",F1090&gt;100000,"100k")</f>
        <v>75k-100k</v>
      </c>
      <c r="W1090" s="1">
        <f t="shared" si="33"/>
        <v>13</v>
      </c>
    </row>
    <row r="1091" spans="1:23" x14ac:dyDescent="0.35">
      <c r="A1091">
        <v>1088</v>
      </c>
      <c r="B1091">
        <v>5577</v>
      </c>
      <c r="C1091">
        <v>1983</v>
      </c>
      <c r="D1091" s="1" t="s">
        <v>10</v>
      </c>
      <c r="E1091" s="1" t="s">
        <v>12</v>
      </c>
      <c r="F1091">
        <v>43776</v>
      </c>
      <c r="G1091">
        <v>1</v>
      </c>
      <c r="H1091" s="2">
        <v>0</v>
      </c>
      <c r="I1091" s="2">
        <v>41762</v>
      </c>
      <c r="J1091">
        <v>77</v>
      </c>
      <c r="K1091">
        <f>VLOOKUP(B1091,purchase_dataset!$B$2:$F$2241,2,FALSE)</f>
        <v>0</v>
      </c>
      <c r="L1091">
        <f>VLOOKUP(B1091,purchase_dataset!$B$2:$F$2241,3,FALSE)</f>
        <v>1</v>
      </c>
      <c r="M1091">
        <f>VLOOKUP(B1091,purchase_dataset!$B$2:$F$2241,3,FALSE)</f>
        <v>1</v>
      </c>
      <c r="N1091">
        <f>VLOOKUP(B1091,purchase_dataset!$B$2:$F$2241,5,FALSE)</f>
        <v>2</v>
      </c>
      <c r="O1091" s="5">
        <v>43</v>
      </c>
      <c r="P1091" s="4" t="str">
        <f t="shared" si="32"/>
        <v>30-50</v>
      </c>
      <c r="Q1091" s="4">
        <f>M1091+N1091</f>
        <v>3</v>
      </c>
      <c r="U1091" s="28" t="str" cm="1">
        <f t="array" ref="U1091">_xlfn.IFS(F1091&lt;30000,"30k",F1091&lt;=50000,"30k-50k",F1091&lt;=75000,"50k-75k",F1091&lt;=100000,"75k-100k",F1091&gt;100000,"100k")</f>
        <v>30k-50k</v>
      </c>
      <c r="W1091" s="1">
        <f t="shared" si="33"/>
        <v>12</v>
      </c>
    </row>
    <row r="1092" spans="1:23" x14ac:dyDescent="0.35">
      <c r="A1092">
        <v>1089</v>
      </c>
      <c r="B1092">
        <v>7348</v>
      </c>
      <c r="C1092">
        <v>1958</v>
      </c>
      <c r="D1092" s="1" t="s">
        <v>13</v>
      </c>
      <c r="E1092" s="1" t="s">
        <v>11</v>
      </c>
      <c r="F1092">
        <v>71691</v>
      </c>
      <c r="G1092">
        <v>0</v>
      </c>
      <c r="H1092" s="2">
        <v>0</v>
      </c>
      <c r="I1092" s="2">
        <v>41715</v>
      </c>
      <c r="J1092">
        <v>0</v>
      </c>
      <c r="K1092">
        <f>VLOOKUP(B1092,purchase_dataset!$B$2:$F$2241,2,FALSE)</f>
        <v>130</v>
      </c>
      <c r="L1092">
        <f>VLOOKUP(B1092,purchase_dataset!$B$2:$F$2241,3,FALSE)</f>
        <v>32</v>
      </c>
      <c r="M1092">
        <f>VLOOKUP(B1092,purchase_dataset!$B$2:$F$2241,3,FALSE)</f>
        <v>32</v>
      </c>
      <c r="N1092">
        <f>VLOOKUP(B1092,purchase_dataset!$B$2:$F$2241,5,FALSE)</f>
        <v>5</v>
      </c>
      <c r="O1092" s="5">
        <v>68</v>
      </c>
      <c r="P1092" s="4" t="str">
        <f t="shared" ref="P1092:P1155" si="34">IF(O1092&lt;30,"30",IF(O1092&lt;=50,"30-50","&gt;50"))</f>
        <v>&gt;50</v>
      </c>
      <c r="Q1092" s="4">
        <f>M1092+N1092</f>
        <v>37</v>
      </c>
      <c r="U1092" s="28" t="str" cm="1">
        <f t="array" ref="U1092">_xlfn.IFS(F1092&lt;30000,"30k",F1092&lt;=50000,"30k-50k",F1092&lt;=75000,"50k-75k",F1092&lt;=100000,"75k-100k",F1092&gt;100000,"100k")</f>
        <v>50k-75k</v>
      </c>
      <c r="W1092" s="1">
        <f t="shared" ref="W1092:W1155" si="35">2026-YEAR(I1092)</f>
        <v>12</v>
      </c>
    </row>
    <row r="1093" spans="1:23" x14ac:dyDescent="0.35">
      <c r="A1093">
        <v>1090</v>
      </c>
      <c r="B1093">
        <v>1127</v>
      </c>
      <c r="C1093">
        <v>1973</v>
      </c>
      <c r="D1093" s="1" t="s">
        <v>13</v>
      </c>
      <c r="E1093" s="1" t="s">
        <v>14</v>
      </c>
      <c r="F1093">
        <v>85844</v>
      </c>
      <c r="G1093">
        <v>0</v>
      </c>
      <c r="H1093" s="2">
        <v>0</v>
      </c>
      <c r="I1093" s="2">
        <v>41788</v>
      </c>
      <c r="J1093">
        <v>62</v>
      </c>
      <c r="K1093">
        <f>VLOOKUP(B1093,purchase_dataset!$B$2:$F$2241,2,FALSE)</f>
        <v>19</v>
      </c>
      <c r="L1093">
        <f>VLOOKUP(B1093,purchase_dataset!$B$2:$F$2241,3,FALSE)</f>
        <v>95</v>
      </c>
      <c r="M1093">
        <f>VLOOKUP(B1093,purchase_dataset!$B$2:$F$2241,3,FALSE)</f>
        <v>95</v>
      </c>
      <c r="N1093">
        <f>VLOOKUP(B1093,purchase_dataset!$B$2:$F$2241,5,FALSE)</f>
        <v>7</v>
      </c>
      <c r="O1093" s="5">
        <v>53</v>
      </c>
      <c r="P1093" s="4" t="str">
        <f t="shared" si="34"/>
        <v>&gt;50</v>
      </c>
      <c r="Q1093" s="4">
        <f>M1093+N1093</f>
        <v>102</v>
      </c>
      <c r="U1093" s="28" t="str" cm="1">
        <f t="array" ref="U1093">_xlfn.IFS(F1093&lt;30000,"30k",F1093&lt;=50000,"30k-50k",F1093&lt;=75000,"50k-75k",F1093&lt;=100000,"75k-100k",F1093&gt;100000,"100k")</f>
        <v>75k-100k</v>
      </c>
      <c r="W1093" s="1">
        <f t="shared" si="35"/>
        <v>12</v>
      </c>
    </row>
    <row r="1094" spans="1:23" x14ac:dyDescent="0.35">
      <c r="A1094">
        <v>1091</v>
      </c>
      <c r="B1094">
        <v>1833</v>
      </c>
      <c r="C1094">
        <v>1974</v>
      </c>
      <c r="D1094" s="1" t="s">
        <v>13</v>
      </c>
      <c r="E1094" s="1" t="s">
        <v>11</v>
      </c>
      <c r="F1094">
        <v>39190</v>
      </c>
      <c r="G1094">
        <v>1</v>
      </c>
      <c r="H1094" s="2">
        <v>0</v>
      </c>
      <c r="I1094" s="2">
        <v>41755</v>
      </c>
      <c r="J1094">
        <v>91</v>
      </c>
      <c r="K1094">
        <f>VLOOKUP(B1094,purchase_dataset!$B$2:$F$2241,2,FALSE)</f>
        <v>8</v>
      </c>
      <c r="L1094">
        <f>VLOOKUP(B1094,purchase_dataset!$B$2:$F$2241,3,FALSE)</f>
        <v>8</v>
      </c>
      <c r="M1094">
        <f>VLOOKUP(B1094,purchase_dataset!$B$2:$F$2241,3,FALSE)</f>
        <v>8</v>
      </c>
      <c r="N1094">
        <f>VLOOKUP(B1094,purchase_dataset!$B$2:$F$2241,5,FALSE)</f>
        <v>4</v>
      </c>
      <c r="O1094" s="5">
        <v>52</v>
      </c>
      <c r="P1094" s="4" t="str">
        <f t="shared" si="34"/>
        <v>&gt;50</v>
      </c>
      <c r="Q1094" s="4">
        <f>M1094+N1094</f>
        <v>12</v>
      </c>
      <c r="U1094" s="28" t="str" cm="1">
        <f t="array" ref="U1094">_xlfn.IFS(F1094&lt;30000,"30k",F1094&lt;=50000,"30k-50k",F1094&lt;=75000,"50k-75k",F1094&lt;=100000,"75k-100k",F1094&gt;100000,"100k")</f>
        <v>30k-50k</v>
      </c>
      <c r="W1094" s="1">
        <f t="shared" si="35"/>
        <v>12</v>
      </c>
    </row>
    <row r="1095" spans="1:23" x14ac:dyDescent="0.35">
      <c r="A1095">
        <v>1092</v>
      </c>
      <c r="B1095">
        <v>4944</v>
      </c>
      <c r="C1095">
        <v>1959</v>
      </c>
      <c r="D1095" s="1" t="s">
        <v>10</v>
      </c>
      <c r="E1095" s="1" t="s">
        <v>12</v>
      </c>
      <c r="F1095">
        <v>71367</v>
      </c>
      <c r="G1095">
        <v>0</v>
      </c>
      <c r="H1095" s="2">
        <v>0</v>
      </c>
      <c r="I1095" s="2">
        <v>41509</v>
      </c>
      <c r="J1095">
        <v>24</v>
      </c>
      <c r="K1095">
        <f>VLOOKUP(B1095,purchase_dataset!$B$2:$F$2241,2,FALSE)</f>
        <v>23</v>
      </c>
      <c r="L1095">
        <f>VLOOKUP(B1095,purchase_dataset!$B$2:$F$2241,3,FALSE)</f>
        <v>21</v>
      </c>
      <c r="M1095">
        <f>VLOOKUP(B1095,purchase_dataset!$B$2:$F$2241,3,FALSE)</f>
        <v>21</v>
      </c>
      <c r="N1095">
        <f>VLOOKUP(B1095,purchase_dataset!$B$2:$F$2241,5,FALSE)</f>
        <v>7</v>
      </c>
      <c r="O1095" s="5">
        <v>67</v>
      </c>
      <c r="P1095" s="4" t="str">
        <f t="shared" si="34"/>
        <v>&gt;50</v>
      </c>
      <c r="Q1095" s="4">
        <f>M1095+N1095</f>
        <v>28</v>
      </c>
      <c r="U1095" s="28" t="str" cm="1">
        <f t="array" ref="U1095">_xlfn.IFS(F1095&lt;30000,"30k",F1095&lt;=50000,"30k-50k",F1095&lt;=75000,"50k-75k",F1095&lt;=100000,"75k-100k",F1095&gt;100000,"100k")</f>
        <v>50k-75k</v>
      </c>
      <c r="W1095" s="1">
        <f t="shared" si="35"/>
        <v>13</v>
      </c>
    </row>
    <row r="1096" spans="1:23" x14ac:dyDescent="0.35">
      <c r="A1096">
        <v>1093</v>
      </c>
      <c r="B1096">
        <v>9080</v>
      </c>
      <c r="C1096">
        <v>1972</v>
      </c>
      <c r="D1096" s="1" t="s">
        <v>13</v>
      </c>
      <c r="E1096" s="1" t="s">
        <v>11</v>
      </c>
      <c r="F1096">
        <v>38578</v>
      </c>
      <c r="G1096">
        <v>1</v>
      </c>
      <c r="H1096" s="2">
        <v>1</v>
      </c>
      <c r="I1096" s="2">
        <v>41447</v>
      </c>
      <c r="J1096">
        <v>2</v>
      </c>
      <c r="K1096">
        <f>VLOOKUP(B1096,purchase_dataset!$B$2:$F$2241,2,FALSE)</f>
        <v>4</v>
      </c>
      <c r="L1096">
        <f>VLOOKUP(B1096,purchase_dataset!$B$2:$F$2241,3,FALSE)</f>
        <v>3</v>
      </c>
      <c r="M1096">
        <f>VLOOKUP(B1096,purchase_dataset!$B$2:$F$2241,3,FALSE)</f>
        <v>3</v>
      </c>
      <c r="N1096">
        <f>VLOOKUP(B1096,purchase_dataset!$B$2:$F$2241,5,FALSE)</f>
        <v>3</v>
      </c>
      <c r="O1096" s="5">
        <v>54</v>
      </c>
      <c r="P1096" s="4" t="str">
        <f t="shared" si="34"/>
        <v>&gt;50</v>
      </c>
      <c r="Q1096" s="4">
        <f>M1096+N1096</f>
        <v>6</v>
      </c>
      <c r="U1096" s="28" t="str" cm="1">
        <f t="array" ref="U1096">_xlfn.IFS(F1096&lt;30000,"30k",F1096&lt;=50000,"30k-50k",F1096&lt;=75000,"50k-75k",F1096&lt;=100000,"75k-100k",F1096&gt;100000,"100k")</f>
        <v>30k-50k</v>
      </c>
      <c r="W1096" s="1">
        <f t="shared" si="35"/>
        <v>13</v>
      </c>
    </row>
    <row r="1097" spans="1:23" x14ac:dyDescent="0.35">
      <c r="A1097">
        <v>1094</v>
      </c>
      <c r="B1097">
        <v>6466</v>
      </c>
      <c r="C1097">
        <v>1965</v>
      </c>
      <c r="D1097" s="1" t="s">
        <v>13</v>
      </c>
      <c r="E1097" s="1" t="s">
        <v>14</v>
      </c>
      <c r="F1097">
        <v>57236</v>
      </c>
      <c r="G1097">
        <v>1</v>
      </c>
      <c r="H1097" s="2">
        <v>1</v>
      </c>
      <c r="I1097" s="2">
        <v>41710</v>
      </c>
      <c r="J1097">
        <v>22</v>
      </c>
      <c r="K1097">
        <f>VLOOKUP(B1097,purchase_dataset!$B$2:$F$2241,2,FALSE)</f>
        <v>0</v>
      </c>
      <c r="L1097">
        <f>VLOOKUP(B1097,purchase_dataset!$B$2:$F$2241,3,FALSE)</f>
        <v>1</v>
      </c>
      <c r="M1097">
        <f>VLOOKUP(B1097,purchase_dataset!$B$2:$F$2241,3,FALSE)</f>
        <v>1</v>
      </c>
      <c r="N1097">
        <f>VLOOKUP(B1097,purchase_dataset!$B$2:$F$2241,5,FALSE)</f>
        <v>4</v>
      </c>
      <c r="O1097" s="5">
        <v>61</v>
      </c>
      <c r="P1097" s="4" t="str">
        <f t="shared" si="34"/>
        <v>&gt;50</v>
      </c>
      <c r="Q1097" s="4">
        <f>M1097+N1097</f>
        <v>5</v>
      </c>
      <c r="U1097" s="28" t="str" cm="1">
        <f t="array" ref="U1097">_xlfn.IFS(F1097&lt;30000,"30k",F1097&lt;=50000,"30k-50k",F1097&lt;=75000,"50k-75k",F1097&lt;=100000,"75k-100k",F1097&gt;100000,"100k")</f>
        <v>50k-75k</v>
      </c>
      <c r="W1097" s="1">
        <f t="shared" si="35"/>
        <v>12</v>
      </c>
    </row>
    <row r="1098" spans="1:23" x14ac:dyDescent="0.35">
      <c r="A1098">
        <v>1095</v>
      </c>
      <c r="B1098">
        <v>9964</v>
      </c>
      <c r="C1098">
        <v>1979</v>
      </c>
      <c r="D1098" s="1" t="s">
        <v>10</v>
      </c>
      <c r="E1098" s="1" t="s">
        <v>11</v>
      </c>
      <c r="F1098">
        <v>61825</v>
      </c>
      <c r="G1098">
        <v>0</v>
      </c>
      <c r="H1098" s="2">
        <v>1</v>
      </c>
      <c r="I1098" s="2">
        <v>41493</v>
      </c>
      <c r="J1098">
        <v>56</v>
      </c>
      <c r="K1098">
        <f>VLOOKUP(B1098,purchase_dataset!$B$2:$F$2241,2,FALSE)</f>
        <v>50</v>
      </c>
      <c r="L1098">
        <f>VLOOKUP(B1098,purchase_dataset!$B$2:$F$2241,3,FALSE)</f>
        <v>30</v>
      </c>
      <c r="M1098">
        <f>VLOOKUP(B1098,purchase_dataset!$B$2:$F$2241,3,FALSE)</f>
        <v>30</v>
      </c>
      <c r="N1098">
        <f>VLOOKUP(B1098,purchase_dataset!$B$2:$F$2241,5,FALSE)</f>
        <v>8</v>
      </c>
      <c r="O1098" s="5">
        <v>47</v>
      </c>
      <c r="P1098" s="4" t="str">
        <f t="shared" si="34"/>
        <v>30-50</v>
      </c>
      <c r="Q1098" s="4">
        <f>M1098+N1098</f>
        <v>38</v>
      </c>
      <c r="U1098" s="28" t="str" cm="1">
        <f t="array" ref="U1098">_xlfn.IFS(F1098&lt;30000,"30k",F1098&lt;=50000,"30k-50k",F1098&lt;=75000,"50k-75k",F1098&lt;=100000,"75k-100k",F1098&gt;100000,"100k")</f>
        <v>50k-75k</v>
      </c>
      <c r="W1098" s="1">
        <f t="shared" si="35"/>
        <v>13</v>
      </c>
    </row>
    <row r="1099" spans="1:23" x14ac:dyDescent="0.35">
      <c r="A1099">
        <v>1096</v>
      </c>
      <c r="B1099">
        <v>4790</v>
      </c>
      <c r="C1099">
        <v>1958</v>
      </c>
      <c r="D1099" s="1" t="s">
        <v>10</v>
      </c>
      <c r="E1099" s="1" t="s">
        <v>16</v>
      </c>
      <c r="F1099">
        <v>79803</v>
      </c>
      <c r="G1099">
        <v>0</v>
      </c>
      <c r="H1099" s="2">
        <v>1</v>
      </c>
      <c r="I1099" s="2">
        <v>41792</v>
      </c>
      <c r="J1099">
        <v>54</v>
      </c>
      <c r="K1099">
        <f>VLOOKUP(B1099,purchase_dataset!$B$2:$F$2241,2,FALSE)</f>
        <v>8</v>
      </c>
      <c r="L1099">
        <f>VLOOKUP(B1099,purchase_dataset!$B$2:$F$2241,3,FALSE)</f>
        <v>16</v>
      </c>
      <c r="M1099">
        <f>VLOOKUP(B1099,purchase_dataset!$B$2:$F$2241,3,FALSE)</f>
        <v>16</v>
      </c>
      <c r="N1099">
        <f>VLOOKUP(B1099,purchase_dataset!$B$2:$F$2241,5,FALSE)</f>
        <v>5</v>
      </c>
      <c r="O1099" s="5">
        <v>68</v>
      </c>
      <c r="P1099" s="4" t="str">
        <f t="shared" si="34"/>
        <v>&gt;50</v>
      </c>
      <c r="Q1099" s="4">
        <f>M1099+N1099</f>
        <v>21</v>
      </c>
      <c r="U1099" s="28" t="str" cm="1">
        <f t="array" ref="U1099">_xlfn.IFS(F1099&lt;30000,"30k",F1099&lt;=50000,"30k-50k",F1099&lt;=75000,"50k-75k",F1099&lt;=100000,"75k-100k",F1099&gt;100000,"100k")</f>
        <v>75k-100k</v>
      </c>
      <c r="W1099" s="1">
        <f t="shared" si="35"/>
        <v>12</v>
      </c>
    </row>
    <row r="1100" spans="1:23" x14ac:dyDescent="0.35">
      <c r="A1100">
        <v>1097</v>
      </c>
      <c r="B1100">
        <v>10245</v>
      </c>
      <c r="C1100">
        <v>1986</v>
      </c>
      <c r="D1100" s="1" t="s">
        <v>18</v>
      </c>
      <c r="E1100" s="1" t="s">
        <v>11</v>
      </c>
      <c r="F1100">
        <v>80910</v>
      </c>
      <c r="G1100">
        <v>0</v>
      </c>
      <c r="H1100" s="2">
        <v>0</v>
      </c>
      <c r="I1100" s="2">
        <v>41213</v>
      </c>
      <c r="J1100">
        <v>71</v>
      </c>
      <c r="K1100">
        <f>VLOOKUP(B1100,purchase_dataset!$B$2:$F$2241,2,FALSE)</f>
        <v>80</v>
      </c>
      <c r="L1100">
        <f>VLOOKUP(B1100,purchase_dataset!$B$2:$F$2241,3,FALSE)</f>
        <v>39</v>
      </c>
      <c r="M1100">
        <f>VLOOKUP(B1100,purchase_dataset!$B$2:$F$2241,3,FALSE)</f>
        <v>39</v>
      </c>
      <c r="N1100">
        <f>VLOOKUP(B1100,purchase_dataset!$B$2:$F$2241,5,FALSE)</f>
        <v>8</v>
      </c>
      <c r="O1100" s="5">
        <v>40</v>
      </c>
      <c r="P1100" s="4" t="str">
        <f t="shared" si="34"/>
        <v>30-50</v>
      </c>
      <c r="Q1100" s="4">
        <f>M1100+N1100</f>
        <v>47</v>
      </c>
      <c r="U1100" s="28" t="str" cm="1">
        <f t="array" ref="U1100">_xlfn.IFS(F1100&lt;30000,"30k",F1100&lt;=50000,"30k-50k",F1100&lt;=75000,"50k-75k",F1100&lt;=100000,"75k-100k",F1100&gt;100000,"100k")</f>
        <v>75k-100k</v>
      </c>
      <c r="W1100" s="1">
        <f t="shared" si="35"/>
        <v>14</v>
      </c>
    </row>
    <row r="1101" spans="1:23" x14ac:dyDescent="0.35">
      <c r="A1101">
        <v>1098</v>
      </c>
      <c r="B1101">
        <v>1109</v>
      </c>
      <c r="C1101">
        <v>1982</v>
      </c>
      <c r="D1101" s="1" t="s">
        <v>15</v>
      </c>
      <c r="E1101" s="1" t="s">
        <v>12</v>
      </c>
      <c r="F1101">
        <v>27590</v>
      </c>
      <c r="G1101">
        <v>1</v>
      </c>
      <c r="H1101" s="2">
        <v>0</v>
      </c>
      <c r="I1101" s="2">
        <v>41387</v>
      </c>
      <c r="J1101">
        <v>38</v>
      </c>
      <c r="K1101">
        <f>VLOOKUP(B1101,purchase_dataset!$B$2:$F$2241,2,FALSE)</f>
        <v>0</v>
      </c>
      <c r="L1101">
        <f>VLOOKUP(B1101,purchase_dataset!$B$2:$F$2241,3,FALSE)</f>
        <v>0</v>
      </c>
      <c r="M1101">
        <f>VLOOKUP(B1101,purchase_dataset!$B$2:$F$2241,3,FALSE)</f>
        <v>0</v>
      </c>
      <c r="N1101">
        <f>VLOOKUP(B1101,purchase_dataset!$B$2:$F$2241,5,FALSE)</f>
        <v>2</v>
      </c>
      <c r="O1101" s="5">
        <v>44</v>
      </c>
      <c r="P1101" s="4" t="str">
        <f t="shared" si="34"/>
        <v>30-50</v>
      </c>
      <c r="Q1101" s="4">
        <f>M1101+N1101</f>
        <v>2</v>
      </c>
      <c r="U1101" s="28" t="str" cm="1">
        <f t="array" ref="U1101">_xlfn.IFS(F1101&lt;30000,"30k",F1101&lt;=50000,"30k-50k",F1101&lt;=75000,"50k-75k",F1101&lt;=100000,"75k-100k",F1101&gt;100000,"100k")</f>
        <v>30k</v>
      </c>
      <c r="W1101" s="1">
        <f t="shared" si="35"/>
        <v>13</v>
      </c>
    </row>
    <row r="1102" spans="1:23" x14ac:dyDescent="0.35">
      <c r="A1102">
        <v>1099</v>
      </c>
      <c r="B1102">
        <v>6001</v>
      </c>
      <c r="C1102">
        <v>1979</v>
      </c>
      <c r="D1102" s="1" t="s">
        <v>10</v>
      </c>
      <c r="E1102" s="1" t="s">
        <v>14</v>
      </c>
      <c r="F1102">
        <v>56775</v>
      </c>
      <c r="G1102">
        <v>0</v>
      </c>
      <c r="H1102" s="2">
        <v>1</v>
      </c>
      <c r="I1102" s="2">
        <v>41276</v>
      </c>
      <c r="J1102">
        <v>62</v>
      </c>
      <c r="K1102">
        <f>VLOOKUP(B1102,purchase_dataset!$B$2:$F$2241,2,FALSE)</f>
        <v>35</v>
      </c>
      <c r="L1102">
        <f>VLOOKUP(B1102,purchase_dataset!$B$2:$F$2241,3,FALSE)</f>
        <v>35</v>
      </c>
      <c r="M1102">
        <f>VLOOKUP(B1102,purchase_dataset!$B$2:$F$2241,3,FALSE)</f>
        <v>35</v>
      </c>
      <c r="N1102">
        <f>VLOOKUP(B1102,purchase_dataset!$B$2:$F$2241,5,FALSE)</f>
        <v>10</v>
      </c>
      <c r="O1102" s="5">
        <v>47</v>
      </c>
      <c r="P1102" s="4" t="str">
        <f t="shared" si="34"/>
        <v>30-50</v>
      </c>
      <c r="Q1102" s="4">
        <f>M1102+N1102</f>
        <v>45</v>
      </c>
      <c r="U1102" s="28" t="str" cm="1">
        <f t="array" ref="U1102">_xlfn.IFS(F1102&lt;30000,"30k",F1102&lt;=50000,"30k-50k",F1102&lt;=75000,"50k-75k",F1102&lt;=100000,"75k-100k",F1102&gt;100000,"100k")</f>
        <v>50k-75k</v>
      </c>
      <c r="W1102" s="1">
        <f t="shared" si="35"/>
        <v>13</v>
      </c>
    </row>
    <row r="1103" spans="1:23" x14ac:dyDescent="0.35">
      <c r="A1103">
        <v>1100</v>
      </c>
      <c r="B1103">
        <v>5538</v>
      </c>
      <c r="C1103">
        <v>1975</v>
      </c>
      <c r="D1103" s="1" t="s">
        <v>10</v>
      </c>
      <c r="E1103" s="1" t="s">
        <v>16</v>
      </c>
      <c r="F1103">
        <v>83829</v>
      </c>
      <c r="G1103">
        <v>0</v>
      </c>
      <c r="H1103" s="2">
        <v>0</v>
      </c>
      <c r="I1103" s="2">
        <v>41555</v>
      </c>
      <c r="J1103">
        <v>78</v>
      </c>
      <c r="K1103">
        <f>VLOOKUP(B1103,purchase_dataset!$B$2:$F$2241,2,FALSE)</f>
        <v>161</v>
      </c>
      <c r="L1103">
        <f>VLOOKUP(B1103,purchase_dataset!$B$2:$F$2241,3,FALSE)</f>
        <v>161</v>
      </c>
      <c r="M1103">
        <f>VLOOKUP(B1103,purchase_dataset!$B$2:$F$2241,3,FALSE)</f>
        <v>161</v>
      </c>
      <c r="N1103">
        <f>VLOOKUP(B1103,purchase_dataset!$B$2:$F$2241,5,FALSE)</f>
        <v>6</v>
      </c>
      <c r="O1103" s="5">
        <v>51</v>
      </c>
      <c r="P1103" s="4" t="str">
        <f t="shared" si="34"/>
        <v>&gt;50</v>
      </c>
      <c r="Q1103" s="4">
        <f>M1103+N1103</f>
        <v>167</v>
      </c>
      <c r="U1103" s="28" t="str" cm="1">
        <f t="array" ref="U1103">_xlfn.IFS(F1103&lt;30000,"30k",F1103&lt;=50000,"30k-50k",F1103&lt;=75000,"50k-75k",F1103&lt;=100000,"75k-100k",F1103&gt;100000,"100k")</f>
        <v>75k-100k</v>
      </c>
      <c r="W1103" s="1">
        <f t="shared" si="35"/>
        <v>13</v>
      </c>
    </row>
    <row r="1104" spans="1:23" x14ac:dyDescent="0.35">
      <c r="A1104">
        <v>1101</v>
      </c>
      <c r="B1104">
        <v>10552</v>
      </c>
      <c r="C1104">
        <v>1979</v>
      </c>
      <c r="D1104" s="1" t="s">
        <v>18</v>
      </c>
      <c r="E1104" s="1" t="s">
        <v>14</v>
      </c>
      <c r="F1104">
        <v>54210</v>
      </c>
      <c r="G1104">
        <v>0</v>
      </c>
      <c r="H1104" s="2">
        <v>1</v>
      </c>
      <c r="I1104" s="2">
        <v>41414</v>
      </c>
      <c r="J1104">
        <v>18</v>
      </c>
      <c r="K1104">
        <f>VLOOKUP(B1104,purchase_dataset!$B$2:$F$2241,2,FALSE)</f>
        <v>54</v>
      </c>
      <c r="L1104">
        <f>VLOOKUP(B1104,purchase_dataset!$B$2:$F$2241,3,FALSE)</f>
        <v>9</v>
      </c>
      <c r="M1104">
        <f>VLOOKUP(B1104,purchase_dataset!$B$2:$F$2241,3,FALSE)</f>
        <v>9</v>
      </c>
      <c r="N1104">
        <f>VLOOKUP(B1104,purchase_dataset!$B$2:$F$2241,5,FALSE)</f>
        <v>7</v>
      </c>
      <c r="O1104" s="5">
        <v>47</v>
      </c>
      <c r="P1104" s="4" t="str">
        <f t="shared" si="34"/>
        <v>30-50</v>
      </c>
      <c r="Q1104" s="4">
        <f>M1104+N1104</f>
        <v>16</v>
      </c>
      <c r="U1104" s="28" t="str" cm="1">
        <f t="array" ref="U1104">_xlfn.IFS(F1104&lt;30000,"30k",F1104&lt;=50000,"30k-50k",F1104&lt;=75000,"50k-75k",F1104&lt;=100000,"75k-100k",F1104&gt;100000,"100k")</f>
        <v>50k-75k</v>
      </c>
      <c r="W1104" s="1">
        <f t="shared" si="35"/>
        <v>13</v>
      </c>
    </row>
    <row r="1105" spans="1:23" x14ac:dyDescent="0.35">
      <c r="A1105">
        <v>1102</v>
      </c>
      <c r="B1105">
        <v>1545</v>
      </c>
      <c r="C1105">
        <v>1986</v>
      </c>
      <c r="D1105" s="1" t="s">
        <v>10</v>
      </c>
      <c r="E1105" s="1" t="s">
        <v>14</v>
      </c>
      <c r="F1105">
        <v>38508</v>
      </c>
      <c r="G1105">
        <v>1</v>
      </c>
      <c r="H1105" s="2">
        <v>0</v>
      </c>
      <c r="I1105" s="2">
        <v>41488</v>
      </c>
      <c r="J1105">
        <v>95</v>
      </c>
      <c r="K1105">
        <f>VLOOKUP(B1105,purchase_dataset!$B$2:$F$2241,2,FALSE)</f>
        <v>19</v>
      </c>
      <c r="L1105">
        <f>VLOOKUP(B1105,purchase_dataset!$B$2:$F$2241,3,FALSE)</f>
        <v>19</v>
      </c>
      <c r="M1105">
        <f>VLOOKUP(B1105,purchase_dataset!$B$2:$F$2241,3,FALSE)</f>
        <v>19</v>
      </c>
      <c r="N1105">
        <f>VLOOKUP(B1105,purchase_dataset!$B$2:$F$2241,5,FALSE)</f>
        <v>5</v>
      </c>
      <c r="O1105" s="5">
        <v>40</v>
      </c>
      <c r="P1105" s="4" t="str">
        <f t="shared" si="34"/>
        <v>30-50</v>
      </c>
      <c r="Q1105" s="4">
        <f>M1105+N1105</f>
        <v>24</v>
      </c>
      <c r="U1105" s="28" t="str" cm="1">
        <f t="array" ref="U1105">_xlfn.IFS(F1105&lt;30000,"30k",F1105&lt;=50000,"30k-50k",F1105&lt;=75000,"50k-75k",F1105&lt;=100000,"75k-100k",F1105&gt;100000,"100k")</f>
        <v>30k-50k</v>
      </c>
      <c r="W1105" s="1">
        <f t="shared" si="35"/>
        <v>13</v>
      </c>
    </row>
    <row r="1106" spans="1:23" x14ac:dyDescent="0.35">
      <c r="A1106">
        <v>1103</v>
      </c>
      <c r="B1106">
        <v>7409</v>
      </c>
      <c r="C1106">
        <v>1970</v>
      </c>
      <c r="D1106" s="1" t="s">
        <v>10</v>
      </c>
      <c r="E1106" s="1" t="s">
        <v>12</v>
      </c>
      <c r="F1106">
        <v>53187</v>
      </c>
      <c r="G1106">
        <v>1</v>
      </c>
      <c r="H1106" s="2">
        <v>0</v>
      </c>
      <c r="I1106" s="2">
        <v>41573</v>
      </c>
      <c r="J1106">
        <v>66</v>
      </c>
      <c r="K1106">
        <f>VLOOKUP(B1106,purchase_dataset!$B$2:$F$2241,2,FALSE)</f>
        <v>2</v>
      </c>
      <c r="L1106">
        <f>VLOOKUP(B1106,purchase_dataset!$B$2:$F$2241,3,FALSE)</f>
        <v>7</v>
      </c>
      <c r="M1106">
        <f>VLOOKUP(B1106,purchase_dataset!$B$2:$F$2241,3,FALSE)</f>
        <v>7</v>
      </c>
      <c r="N1106">
        <f>VLOOKUP(B1106,purchase_dataset!$B$2:$F$2241,5,FALSE)</f>
        <v>6</v>
      </c>
      <c r="O1106" s="5">
        <v>56</v>
      </c>
      <c r="P1106" s="4" t="str">
        <f t="shared" si="34"/>
        <v>&gt;50</v>
      </c>
      <c r="Q1106" s="4">
        <f>M1106+N1106</f>
        <v>13</v>
      </c>
      <c r="U1106" s="28" t="str" cm="1">
        <f t="array" ref="U1106">_xlfn.IFS(F1106&lt;30000,"30k",F1106&lt;=50000,"30k-50k",F1106&lt;=75000,"50k-75k",F1106&lt;=100000,"75k-100k",F1106&gt;100000,"100k")</f>
        <v>50k-75k</v>
      </c>
      <c r="W1106" s="1">
        <f t="shared" si="35"/>
        <v>13</v>
      </c>
    </row>
    <row r="1107" spans="1:23" x14ac:dyDescent="0.35">
      <c r="A1107">
        <v>1104</v>
      </c>
      <c r="B1107">
        <v>4444</v>
      </c>
      <c r="C1107">
        <v>1972</v>
      </c>
      <c r="D1107" s="1" t="s">
        <v>10</v>
      </c>
      <c r="E1107" s="1" t="s">
        <v>14</v>
      </c>
      <c r="F1107">
        <v>30023</v>
      </c>
      <c r="G1107">
        <v>1</v>
      </c>
      <c r="H1107" s="2">
        <v>0</v>
      </c>
      <c r="I1107" s="2">
        <v>41722</v>
      </c>
      <c r="J1107">
        <v>28</v>
      </c>
      <c r="K1107">
        <f>VLOOKUP(B1107,purchase_dataset!$B$2:$F$2241,2,FALSE)</f>
        <v>0</v>
      </c>
      <c r="L1107">
        <f>VLOOKUP(B1107,purchase_dataset!$B$2:$F$2241,3,FALSE)</f>
        <v>6</v>
      </c>
      <c r="M1107">
        <f>VLOOKUP(B1107,purchase_dataset!$B$2:$F$2241,3,FALSE)</f>
        <v>6</v>
      </c>
      <c r="N1107">
        <f>VLOOKUP(B1107,purchase_dataset!$B$2:$F$2241,5,FALSE)</f>
        <v>3</v>
      </c>
      <c r="O1107" s="5">
        <v>54</v>
      </c>
      <c r="P1107" s="4" t="str">
        <f t="shared" si="34"/>
        <v>&gt;50</v>
      </c>
      <c r="Q1107" s="4">
        <f>M1107+N1107</f>
        <v>9</v>
      </c>
      <c r="U1107" s="28" t="str" cm="1">
        <f t="array" ref="U1107">_xlfn.IFS(F1107&lt;30000,"30k",F1107&lt;=50000,"30k-50k",F1107&lt;=75000,"50k-75k",F1107&lt;=100000,"75k-100k",F1107&gt;100000,"100k")</f>
        <v>30k-50k</v>
      </c>
      <c r="W1107" s="1">
        <f t="shared" si="35"/>
        <v>12</v>
      </c>
    </row>
    <row r="1108" spans="1:23" x14ac:dyDescent="0.35">
      <c r="A1108">
        <v>1105</v>
      </c>
      <c r="B1108">
        <v>146</v>
      </c>
      <c r="C1108">
        <v>1960</v>
      </c>
      <c r="D1108" s="1" t="s">
        <v>13</v>
      </c>
      <c r="E1108" s="1" t="s">
        <v>11</v>
      </c>
      <c r="F1108">
        <v>76045</v>
      </c>
      <c r="G1108">
        <v>0</v>
      </c>
      <c r="H1108" s="2">
        <v>0</v>
      </c>
      <c r="I1108" s="2">
        <v>41593</v>
      </c>
      <c r="J1108">
        <v>78</v>
      </c>
      <c r="K1108">
        <f>VLOOKUP(B1108,purchase_dataset!$B$2:$F$2241,2,FALSE)</f>
        <v>53</v>
      </c>
      <c r="L1108">
        <f>VLOOKUP(B1108,purchase_dataset!$B$2:$F$2241,3,FALSE)</f>
        <v>93</v>
      </c>
      <c r="M1108">
        <f>VLOOKUP(B1108,purchase_dataset!$B$2:$F$2241,3,FALSE)</f>
        <v>93</v>
      </c>
      <c r="N1108">
        <f>VLOOKUP(B1108,purchase_dataset!$B$2:$F$2241,5,FALSE)</f>
        <v>11</v>
      </c>
      <c r="O1108" s="5">
        <v>66</v>
      </c>
      <c r="P1108" s="4" t="str">
        <f t="shared" si="34"/>
        <v>&gt;50</v>
      </c>
      <c r="Q1108" s="4">
        <f>M1108+N1108</f>
        <v>104</v>
      </c>
      <c r="U1108" s="28" t="str" cm="1">
        <f t="array" ref="U1108">_xlfn.IFS(F1108&lt;30000,"30k",F1108&lt;=50000,"30k-50k",F1108&lt;=75000,"50k-75k",F1108&lt;=100000,"75k-100k",F1108&gt;100000,"100k")</f>
        <v>75k-100k</v>
      </c>
      <c r="W1108" s="1">
        <f t="shared" si="35"/>
        <v>13</v>
      </c>
    </row>
    <row r="1109" spans="1:23" x14ac:dyDescent="0.35">
      <c r="A1109">
        <v>1106</v>
      </c>
      <c r="B1109">
        <v>6271</v>
      </c>
      <c r="C1109">
        <v>1952</v>
      </c>
      <c r="D1109" s="1" t="s">
        <v>13</v>
      </c>
      <c r="E1109" s="1" t="s">
        <v>14</v>
      </c>
      <c r="F1109">
        <v>50870</v>
      </c>
      <c r="G1109">
        <v>0</v>
      </c>
      <c r="H1109" s="2">
        <v>1</v>
      </c>
      <c r="I1109" s="2">
        <v>41809</v>
      </c>
      <c r="J1109">
        <v>13</v>
      </c>
      <c r="K1109">
        <f>VLOOKUP(B1109,purchase_dataset!$B$2:$F$2241,2,FALSE)</f>
        <v>0</v>
      </c>
      <c r="L1109">
        <f>VLOOKUP(B1109,purchase_dataset!$B$2:$F$2241,3,FALSE)</f>
        <v>0</v>
      </c>
      <c r="M1109">
        <f>VLOOKUP(B1109,purchase_dataset!$B$2:$F$2241,3,FALSE)</f>
        <v>0</v>
      </c>
      <c r="N1109">
        <f>VLOOKUP(B1109,purchase_dataset!$B$2:$F$2241,5,FALSE)</f>
        <v>3</v>
      </c>
      <c r="O1109" s="5">
        <v>74</v>
      </c>
      <c r="P1109" s="4" t="str">
        <f t="shared" si="34"/>
        <v>&gt;50</v>
      </c>
      <c r="Q1109" s="4">
        <f>M1109+N1109</f>
        <v>3</v>
      </c>
      <c r="U1109" s="28" t="str" cm="1">
        <f t="array" ref="U1109">_xlfn.IFS(F1109&lt;30000,"30k",F1109&lt;=50000,"30k-50k",F1109&lt;=75000,"50k-75k",F1109&lt;=100000,"75k-100k",F1109&gt;100000,"100k")</f>
        <v>50k-75k</v>
      </c>
      <c r="W1109" s="1">
        <f t="shared" si="35"/>
        <v>12</v>
      </c>
    </row>
    <row r="1110" spans="1:23" x14ac:dyDescent="0.35">
      <c r="A1110">
        <v>1107</v>
      </c>
      <c r="B1110">
        <v>10065</v>
      </c>
      <c r="C1110">
        <v>1970</v>
      </c>
      <c r="D1110" s="1" t="s">
        <v>18</v>
      </c>
      <c r="E1110" s="1" t="s">
        <v>14</v>
      </c>
      <c r="F1110">
        <v>15315</v>
      </c>
      <c r="G1110">
        <v>0</v>
      </c>
      <c r="H1110" s="2">
        <v>0</v>
      </c>
      <c r="I1110" s="2">
        <v>41489</v>
      </c>
      <c r="J1110">
        <v>27</v>
      </c>
      <c r="K1110">
        <f>VLOOKUP(B1110,purchase_dataset!$B$2:$F$2241,2,FALSE)</f>
        <v>4</v>
      </c>
      <c r="L1110">
        <f>VLOOKUP(B1110,purchase_dataset!$B$2:$F$2241,3,FALSE)</f>
        <v>8</v>
      </c>
      <c r="M1110">
        <f>VLOOKUP(B1110,purchase_dataset!$B$2:$F$2241,3,FALSE)</f>
        <v>8</v>
      </c>
      <c r="N1110">
        <f>VLOOKUP(B1110,purchase_dataset!$B$2:$F$2241,5,FALSE)</f>
        <v>4</v>
      </c>
      <c r="O1110" s="5">
        <v>56</v>
      </c>
      <c r="P1110" s="4" t="str">
        <f t="shared" si="34"/>
        <v>&gt;50</v>
      </c>
      <c r="Q1110" s="4">
        <f>M1110+N1110</f>
        <v>12</v>
      </c>
      <c r="U1110" s="28" t="str" cm="1">
        <f t="array" ref="U1110">_xlfn.IFS(F1110&lt;30000,"30k",F1110&lt;=50000,"30k-50k",F1110&lt;=75000,"50k-75k",F1110&lt;=100000,"75k-100k",F1110&gt;100000,"100k")</f>
        <v>30k</v>
      </c>
      <c r="W1110" s="1">
        <f t="shared" si="35"/>
        <v>13</v>
      </c>
    </row>
    <row r="1111" spans="1:23" x14ac:dyDescent="0.35">
      <c r="A1111">
        <v>1108</v>
      </c>
      <c r="B1111">
        <v>4741</v>
      </c>
      <c r="C1111">
        <v>1974</v>
      </c>
      <c r="D1111" s="1" t="s">
        <v>18</v>
      </c>
      <c r="E1111" s="1" t="s">
        <v>14</v>
      </c>
      <c r="F1111">
        <v>65463</v>
      </c>
      <c r="G1111">
        <v>1</v>
      </c>
      <c r="H1111" s="2">
        <v>0</v>
      </c>
      <c r="I1111" s="2">
        <v>41669</v>
      </c>
      <c r="J1111">
        <v>17</v>
      </c>
      <c r="K1111">
        <f>VLOOKUP(B1111,purchase_dataset!$B$2:$F$2241,2,FALSE)</f>
        <v>32</v>
      </c>
      <c r="L1111">
        <f>VLOOKUP(B1111,purchase_dataset!$B$2:$F$2241,3,FALSE)</f>
        <v>32</v>
      </c>
      <c r="M1111">
        <f>VLOOKUP(B1111,purchase_dataset!$B$2:$F$2241,3,FALSE)</f>
        <v>32</v>
      </c>
      <c r="N1111">
        <f>VLOOKUP(B1111,purchase_dataset!$B$2:$F$2241,5,FALSE)</f>
        <v>9</v>
      </c>
      <c r="O1111" s="5">
        <v>52</v>
      </c>
      <c r="P1111" s="4" t="str">
        <f t="shared" si="34"/>
        <v>&gt;50</v>
      </c>
      <c r="Q1111" s="4">
        <f>M1111+N1111</f>
        <v>41</v>
      </c>
      <c r="U1111" s="28" t="str" cm="1">
        <f t="array" ref="U1111">_xlfn.IFS(F1111&lt;30000,"30k",F1111&lt;=50000,"30k-50k",F1111&lt;=75000,"50k-75k",F1111&lt;=100000,"75k-100k",F1111&gt;100000,"100k")</f>
        <v>50k-75k</v>
      </c>
      <c r="W1111" s="1">
        <f t="shared" si="35"/>
        <v>12</v>
      </c>
    </row>
    <row r="1112" spans="1:23" x14ac:dyDescent="0.35">
      <c r="A1112">
        <v>1109</v>
      </c>
      <c r="B1112">
        <v>246</v>
      </c>
      <c r="C1112">
        <v>1965</v>
      </c>
      <c r="D1112" s="1" t="s">
        <v>10</v>
      </c>
      <c r="E1112" s="1" t="s">
        <v>14</v>
      </c>
      <c r="F1112">
        <v>66480</v>
      </c>
      <c r="G1112">
        <v>1</v>
      </c>
      <c r="H1112" s="2">
        <v>1</v>
      </c>
      <c r="I1112" s="2">
        <v>41790</v>
      </c>
      <c r="J1112">
        <v>71</v>
      </c>
      <c r="K1112">
        <f>VLOOKUP(B1112,purchase_dataset!$B$2:$F$2241,2,FALSE)</f>
        <v>9</v>
      </c>
      <c r="L1112">
        <f>VLOOKUP(B1112,purchase_dataset!$B$2:$F$2241,3,FALSE)</f>
        <v>21</v>
      </c>
      <c r="M1112">
        <f>VLOOKUP(B1112,purchase_dataset!$B$2:$F$2241,3,FALSE)</f>
        <v>21</v>
      </c>
      <c r="N1112">
        <f>VLOOKUP(B1112,purchase_dataset!$B$2:$F$2241,5,FALSE)</f>
        <v>7</v>
      </c>
      <c r="O1112" s="5">
        <v>61</v>
      </c>
      <c r="P1112" s="4" t="str">
        <f t="shared" si="34"/>
        <v>&gt;50</v>
      </c>
      <c r="Q1112" s="4">
        <f>M1112+N1112</f>
        <v>28</v>
      </c>
      <c r="U1112" s="28" t="str" cm="1">
        <f t="array" ref="U1112">_xlfn.IFS(F1112&lt;30000,"30k",F1112&lt;=50000,"30k-50k",F1112&lt;=75000,"50k-75k",F1112&lt;=100000,"75k-100k",F1112&gt;100000,"100k")</f>
        <v>50k-75k</v>
      </c>
      <c r="W1112" s="1">
        <f t="shared" si="35"/>
        <v>12</v>
      </c>
    </row>
    <row r="1113" spans="1:23" x14ac:dyDescent="0.35">
      <c r="A1113">
        <v>1110</v>
      </c>
      <c r="B1113">
        <v>375</v>
      </c>
      <c r="C1113">
        <v>1954</v>
      </c>
      <c r="D1113" s="1" t="s">
        <v>10</v>
      </c>
      <c r="E1113" s="1" t="s">
        <v>16</v>
      </c>
      <c r="F1113">
        <v>76773</v>
      </c>
      <c r="G1113">
        <v>0</v>
      </c>
      <c r="H1113" s="2">
        <v>0</v>
      </c>
      <c r="I1113" s="2">
        <v>41330</v>
      </c>
      <c r="J1113">
        <v>79</v>
      </c>
      <c r="K1113">
        <f>VLOOKUP(B1113,purchase_dataset!$B$2:$F$2241,2,FALSE)</f>
        <v>56</v>
      </c>
      <c r="L1113">
        <f>VLOOKUP(B1113,purchase_dataset!$B$2:$F$2241,3,FALSE)</f>
        <v>33</v>
      </c>
      <c r="M1113">
        <f>VLOOKUP(B1113,purchase_dataset!$B$2:$F$2241,3,FALSE)</f>
        <v>33</v>
      </c>
      <c r="N1113">
        <f>VLOOKUP(B1113,purchase_dataset!$B$2:$F$2241,5,FALSE)</f>
        <v>11</v>
      </c>
      <c r="O1113" s="5">
        <v>72</v>
      </c>
      <c r="P1113" s="4" t="str">
        <f t="shared" si="34"/>
        <v>&gt;50</v>
      </c>
      <c r="Q1113" s="4">
        <f>M1113+N1113</f>
        <v>44</v>
      </c>
      <c r="U1113" s="28" t="str" cm="1">
        <f t="array" ref="U1113">_xlfn.IFS(F1113&lt;30000,"30k",F1113&lt;=50000,"30k-50k",F1113&lt;=75000,"50k-75k",F1113&lt;=100000,"75k-100k",F1113&gt;100000,"100k")</f>
        <v>75k-100k</v>
      </c>
      <c r="W1113" s="1">
        <f t="shared" si="35"/>
        <v>13</v>
      </c>
    </row>
    <row r="1114" spans="1:23" x14ac:dyDescent="0.35">
      <c r="A1114">
        <v>1111</v>
      </c>
      <c r="B1114">
        <v>1524</v>
      </c>
      <c r="C1114">
        <v>1983</v>
      </c>
      <c r="D1114" s="1" t="s">
        <v>18</v>
      </c>
      <c r="E1114" s="1" t="s">
        <v>11</v>
      </c>
      <c r="F1114">
        <v>81698</v>
      </c>
      <c r="G1114">
        <v>0</v>
      </c>
      <c r="H1114" s="2">
        <v>0</v>
      </c>
      <c r="I1114" s="2">
        <v>41334</v>
      </c>
      <c r="J1114">
        <v>1</v>
      </c>
      <c r="K1114">
        <f>VLOOKUP(B1114,purchase_dataset!$B$2:$F$2241,2,FALSE)</f>
        <v>45</v>
      </c>
      <c r="L1114">
        <f>VLOOKUP(B1114,purchase_dataset!$B$2:$F$2241,3,FALSE)</f>
        <v>160</v>
      </c>
      <c r="M1114">
        <f>VLOOKUP(B1114,purchase_dataset!$B$2:$F$2241,3,FALSE)</f>
        <v>160</v>
      </c>
      <c r="N1114">
        <f>VLOOKUP(B1114,purchase_dataset!$B$2:$F$2241,5,FALSE)</f>
        <v>5</v>
      </c>
      <c r="O1114" s="5">
        <v>43</v>
      </c>
      <c r="P1114" s="4" t="str">
        <f t="shared" si="34"/>
        <v>30-50</v>
      </c>
      <c r="Q1114" s="4">
        <f>M1114+N1114</f>
        <v>165</v>
      </c>
      <c r="U1114" s="28" t="str" cm="1">
        <f t="array" ref="U1114">_xlfn.IFS(F1114&lt;30000,"30k",F1114&lt;=50000,"30k-50k",F1114&lt;=75000,"50k-75k",F1114&lt;=100000,"75k-100k",F1114&gt;100000,"100k")</f>
        <v>75k-100k</v>
      </c>
      <c r="W1114" s="1">
        <f t="shared" si="35"/>
        <v>13</v>
      </c>
    </row>
    <row r="1115" spans="1:23" x14ac:dyDescent="0.35">
      <c r="A1115">
        <v>1112</v>
      </c>
      <c r="B1115">
        <v>10022</v>
      </c>
      <c r="C1115">
        <v>1973</v>
      </c>
      <c r="D1115" s="1" t="s">
        <v>13</v>
      </c>
      <c r="E1115" s="1" t="s">
        <v>11</v>
      </c>
      <c r="F1115">
        <v>54466</v>
      </c>
      <c r="G1115">
        <v>1</v>
      </c>
      <c r="H1115" s="2">
        <v>1</v>
      </c>
      <c r="I1115" s="2">
        <v>41679</v>
      </c>
      <c r="J1115">
        <v>78</v>
      </c>
      <c r="K1115">
        <f>VLOOKUP(B1115,purchase_dataset!$B$2:$F$2241,2,FALSE)</f>
        <v>0</v>
      </c>
      <c r="L1115">
        <f>VLOOKUP(B1115,purchase_dataset!$B$2:$F$2241,3,FALSE)</f>
        <v>0</v>
      </c>
      <c r="M1115">
        <f>VLOOKUP(B1115,purchase_dataset!$B$2:$F$2241,3,FALSE)</f>
        <v>0</v>
      </c>
      <c r="N1115">
        <f>VLOOKUP(B1115,purchase_dataset!$B$2:$F$2241,5,FALSE)</f>
        <v>2</v>
      </c>
      <c r="O1115" s="5">
        <v>53</v>
      </c>
      <c r="P1115" s="4" t="str">
        <f t="shared" si="34"/>
        <v>&gt;50</v>
      </c>
      <c r="Q1115" s="4">
        <f>M1115+N1115</f>
        <v>2</v>
      </c>
      <c r="U1115" s="28" t="str" cm="1">
        <f t="array" ref="U1115">_xlfn.IFS(F1115&lt;30000,"30k",F1115&lt;=50000,"30k-50k",F1115&lt;=75000,"50k-75k",F1115&lt;=100000,"75k-100k",F1115&gt;100000,"100k")</f>
        <v>50k-75k</v>
      </c>
      <c r="W1115" s="1">
        <f t="shared" si="35"/>
        <v>12</v>
      </c>
    </row>
    <row r="1116" spans="1:23" x14ac:dyDescent="0.35">
      <c r="A1116">
        <v>1113</v>
      </c>
      <c r="B1116">
        <v>7451</v>
      </c>
      <c r="C1116">
        <v>1960</v>
      </c>
      <c r="D1116" s="1" t="s">
        <v>15</v>
      </c>
      <c r="E1116" s="1" t="s">
        <v>11</v>
      </c>
      <c r="F1116">
        <v>98777</v>
      </c>
      <c r="G1116">
        <v>0</v>
      </c>
      <c r="H1116" s="2">
        <v>0</v>
      </c>
      <c r="I1116" s="2">
        <v>41687</v>
      </c>
      <c r="J1116">
        <v>23</v>
      </c>
      <c r="K1116">
        <f>VLOOKUP(B1116,purchase_dataset!$B$2:$F$2241,2,FALSE)</f>
        <v>19</v>
      </c>
      <c r="L1116">
        <f>VLOOKUP(B1116,purchase_dataset!$B$2:$F$2241,3,FALSE)</f>
        <v>115</v>
      </c>
      <c r="M1116">
        <f>VLOOKUP(B1116,purchase_dataset!$B$2:$F$2241,3,FALSE)</f>
        <v>115</v>
      </c>
      <c r="N1116">
        <f>VLOOKUP(B1116,purchase_dataset!$B$2:$F$2241,5,FALSE)</f>
        <v>9</v>
      </c>
      <c r="O1116" s="5">
        <v>66</v>
      </c>
      <c r="P1116" s="4" t="str">
        <f t="shared" si="34"/>
        <v>&gt;50</v>
      </c>
      <c r="Q1116" s="4">
        <f>M1116+N1116</f>
        <v>124</v>
      </c>
      <c r="U1116" s="28" t="str" cm="1">
        <f t="array" ref="U1116">_xlfn.IFS(F1116&lt;30000,"30k",F1116&lt;=50000,"30k-50k",F1116&lt;=75000,"50k-75k",F1116&lt;=100000,"75k-100k",F1116&gt;100000,"100k")</f>
        <v>75k-100k</v>
      </c>
      <c r="W1116" s="1">
        <f t="shared" si="35"/>
        <v>12</v>
      </c>
    </row>
    <row r="1117" spans="1:23" x14ac:dyDescent="0.35">
      <c r="A1117">
        <v>1114</v>
      </c>
      <c r="B1117">
        <v>11010</v>
      </c>
      <c r="C1117">
        <v>1984</v>
      </c>
      <c r="D1117" s="1" t="s">
        <v>13</v>
      </c>
      <c r="E1117" s="1" t="s">
        <v>11</v>
      </c>
      <c r="F1117">
        <v>16269</v>
      </c>
      <c r="G1117">
        <v>1</v>
      </c>
      <c r="H1117" s="2">
        <v>0</v>
      </c>
      <c r="I1117" s="2">
        <v>41516</v>
      </c>
      <c r="J1117">
        <v>75</v>
      </c>
      <c r="K1117">
        <f>VLOOKUP(B1117,purchase_dataset!$B$2:$F$2241,2,FALSE)</f>
        <v>3</v>
      </c>
      <c r="L1117">
        <f>VLOOKUP(B1117,purchase_dataset!$B$2:$F$2241,3,FALSE)</f>
        <v>1</v>
      </c>
      <c r="M1117">
        <f>VLOOKUP(B1117,purchase_dataset!$B$2:$F$2241,3,FALSE)</f>
        <v>1</v>
      </c>
      <c r="N1117">
        <f>VLOOKUP(B1117,purchase_dataset!$B$2:$F$2241,5,FALSE)</f>
        <v>3</v>
      </c>
      <c r="O1117" s="5">
        <v>42</v>
      </c>
      <c r="P1117" s="4" t="str">
        <f t="shared" si="34"/>
        <v>30-50</v>
      </c>
      <c r="Q1117" s="4">
        <f>M1117+N1117</f>
        <v>4</v>
      </c>
      <c r="U1117" s="28" t="str" cm="1">
        <f t="array" ref="U1117">_xlfn.IFS(F1117&lt;30000,"30k",F1117&lt;=50000,"30k-50k",F1117&lt;=75000,"50k-75k",F1117&lt;=100000,"75k-100k",F1117&gt;100000,"100k")</f>
        <v>30k</v>
      </c>
      <c r="W1117" s="1">
        <f t="shared" si="35"/>
        <v>13</v>
      </c>
    </row>
    <row r="1118" spans="1:23" x14ac:dyDescent="0.35">
      <c r="A1118">
        <v>1115</v>
      </c>
      <c r="B1118">
        <v>4356</v>
      </c>
      <c r="C1118">
        <v>1971</v>
      </c>
      <c r="D1118" s="1" t="s">
        <v>10</v>
      </c>
      <c r="E1118" s="1" t="s">
        <v>12</v>
      </c>
      <c r="F1118">
        <v>71819</v>
      </c>
      <c r="G1118">
        <v>0</v>
      </c>
      <c r="H1118" s="2">
        <v>1</v>
      </c>
      <c r="I1118" s="2">
        <v>41514</v>
      </c>
      <c r="J1118">
        <v>70</v>
      </c>
      <c r="K1118">
        <f>VLOOKUP(B1118,purchase_dataset!$B$2:$F$2241,2,FALSE)</f>
        <v>28</v>
      </c>
      <c r="L1118">
        <f>VLOOKUP(B1118,purchase_dataset!$B$2:$F$2241,3,FALSE)</f>
        <v>14</v>
      </c>
      <c r="M1118">
        <f>VLOOKUP(B1118,purchase_dataset!$B$2:$F$2241,3,FALSE)</f>
        <v>14</v>
      </c>
      <c r="N1118">
        <f>VLOOKUP(B1118,purchase_dataset!$B$2:$F$2241,5,FALSE)</f>
        <v>5</v>
      </c>
      <c r="O1118" s="5">
        <v>55</v>
      </c>
      <c r="P1118" s="4" t="str">
        <f t="shared" si="34"/>
        <v>&gt;50</v>
      </c>
      <c r="Q1118" s="4">
        <f>M1118+N1118</f>
        <v>19</v>
      </c>
      <c r="U1118" s="28" t="str" cm="1">
        <f t="array" ref="U1118">_xlfn.IFS(F1118&lt;30000,"30k",F1118&lt;=50000,"30k-50k",F1118&lt;=75000,"50k-75k",F1118&lt;=100000,"75k-100k",F1118&gt;100000,"100k")</f>
        <v>50k-75k</v>
      </c>
      <c r="W1118" s="1">
        <f t="shared" si="35"/>
        <v>13</v>
      </c>
    </row>
    <row r="1119" spans="1:23" x14ac:dyDescent="0.35">
      <c r="A1119">
        <v>1116</v>
      </c>
      <c r="B1119">
        <v>3885</v>
      </c>
      <c r="C1119">
        <v>1983</v>
      </c>
      <c r="D1119" s="1" t="s">
        <v>13</v>
      </c>
      <c r="E1119" s="1" t="s">
        <v>14</v>
      </c>
      <c r="F1119">
        <v>33569</v>
      </c>
      <c r="G1119">
        <v>1</v>
      </c>
      <c r="H1119" s="2">
        <v>0</v>
      </c>
      <c r="I1119" s="2">
        <v>41563</v>
      </c>
      <c r="J1119">
        <v>10</v>
      </c>
      <c r="K1119">
        <f>VLOOKUP(B1119,purchase_dataset!$B$2:$F$2241,2,FALSE)</f>
        <v>2</v>
      </c>
      <c r="L1119">
        <f>VLOOKUP(B1119,purchase_dataset!$B$2:$F$2241,3,FALSE)</f>
        <v>0</v>
      </c>
      <c r="M1119">
        <f>VLOOKUP(B1119,purchase_dataset!$B$2:$F$2241,3,FALSE)</f>
        <v>0</v>
      </c>
      <c r="N1119">
        <f>VLOOKUP(B1119,purchase_dataset!$B$2:$F$2241,5,FALSE)</f>
        <v>2</v>
      </c>
      <c r="O1119" s="5">
        <v>43</v>
      </c>
      <c r="P1119" s="4" t="str">
        <f t="shared" si="34"/>
        <v>30-50</v>
      </c>
      <c r="Q1119" s="4">
        <f>M1119+N1119</f>
        <v>2</v>
      </c>
      <c r="U1119" s="28" t="str" cm="1">
        <f t="array" ref="U1119">_xlfn.IFS(F1119&lt;30000,"30k",F1119&lt;=50000,"30k-50k",F1119&lt;=75000,"50k-75k",F1119&lt;=100000,"75k-100k",F1119&gt;100000,"100k")</f>
        <v>30k-50k</v>
      </c>
      <c r="W1119" s="1">
        <f t="shared" si="35"/>
        <v>13</v>
      </c>
    </row>
    <row r="1120" spans="1:23" x14ac:dyDescent="0.35">
      <c r="A1120">
        <v>1117</v>
      </c>
      <c r="B1120">
        <v>1175</v>
      </c>
      <c r="C1120">
        <v>1983</v>
      </c>
      <c r="D1120" s="1" t="s">
        <v>15</v>
      </c>
      <c r="E1120" s="1" t="s">
        <v>14</v>
      </c>
      <c r="F1120">
        <v>36262</v>
      </c>
      <c r="G1120">
        <v>0</v>
      </c>
      <c r="H1120" s="2">
        <v>0</v>
      </c>
      <c r="I1120" s="2">
        <v>41537</v>
      </c>
      <c r="J1120">
        <v>24</v>
      </c>
      <c r="K1120">
        <f>VLOOKUP(B1120,purchase_dataset!$B$2:$F$2241,2,FALSE)</f>
        <v>39</v>
      </c>
      <c r="L1120">
        <f>VLOOKUP(B1120,purchase_dataset!$B$2:$F$2241,3,FALSE)</f>
        <v>28</v>
      </c>
      <c r="M1120">
        <f>VLOOKUP(B1120,purchase_dataset!$B$2:$F$2241,3,FALSE)</f>
        <v>28</v>
      </c>
      <c r="N1120">
        <f>VLOOKUP(B1120,purchase_dataset!$B$2:$F$2241,5,FALSE)</f>
        <v>3</v>
      </c>
      <c r="O1120" s="5">
        <v>43</v>
      </c>
      <c r="P1120" s="4" t="str">
        <f t="shared" si="34"/>
        <v>30-50</v>
      </c>
      <c r="Q1120" s="4">
        <f>M1120+N1120</f>
        <v>31</v>
      </c>
      <c r="U1120" s="28" t="str" cm="1">
        <f t="array" ref="U1120">_xlfn.IFS(F1120&lt;30000,"30k",F1120&lt;=50000,"30k-50k",F1120&lt;=75000,"50k-75k",F1120&lt;=100000,"75k-100k",F1120&gt;100000,"100k")</f>
        <v>30k-50k</v>
      </c>
      <c r="W1120" s="1">
        <f t="shared" si="35"/>
        <v>13</v>
      </c>
    </row>
    <row r="1121" spans="1:23" x14ac:dyDescent="0.35">
      <c r="A1121">
        <v>1118</v>
      </c>
      <c r="B1121">
        <v>880</v>
      </c>
      <c r="C1121">
        <v>1966</v>
      </c>
      <c r="D1121" s="1" t="s">
        <v>17</v>
      </c>
      <c r="E1121" s="1" t="s">
        <v>12</v>
      </c>
      <c r="F1121">
        <v>22634</v>
      </c>
      <c r="G1121">
        <v>0</v>
      </c>
      <c r="H1121" s="2">
        <v>0</v>
      </c>
      <c r="I1121" s="2">
        <v>41290</v>
      </c>
      <c r="J1121">
        <v>47</v>
      </c>
      <c r="K1121">
        <f>VLOOKUP(B1121,purchase_dataset!$B$2:$F$2241,2,FALSE)</f>
        <v>23</v>
      </c>
      <c r="L1121">
        <f>VLOOKUP(B1121,purchase_dataset!$B$2:$F$2241,3,FALSE)</f>
        <v>6</v>
      </c>
      <c r="M1121">
        <f>VLOOKUP(B1121,purchase_dataset!$B$2:$F$2241,3,FALSE)</f>
        <v>6</v>
      </c>
      <c r="N1121">
        <f>VLOOKUP(B1121,purchase_dataset!$B$2:$F$2241,5,FALSE)</f>
        <v>2</v>
      </c>
      <c r="O1121" s="5">
        <v>60</v>
      </c>
      <c r="P1121" s="4" t="str">
        <f t="shared" si="34"/>
        <v>&gt;50</v>
      </c>
      <c r="Q1121" s="4">
        <f>M1121+N1121</f>
        <v>8</v>
      </c>
      <c r="U1121" s="28" t="str" cm="1">
        <f t="array" ref="U1121">_xlfn.IFS(F1121&lt;30000,"30k",F1121&lt;=50000,"30k-50k",F1121&lt;=75000,"50k-75k",F1121&lt;=100000,"75k-100k",F1121&gt;100000,"100k")</f>
        <v>30k</v>
      </c>
      <c r="W1121" s="1">
        <f t="shared" si="35"/>
        <v>13</v>
      </c>
    </row>
    <row r="1122" spans="1:23" x14ac:dyDescent="0.35">
      <c r="A1122">
        <v>1119</v>
      </c>
      <c r="B1122">
        <v>2320</v>
      </c>
      <c r="C1122">
        <v>1978</v>
      </c>
      <c r="D1122" s="1" t="s">
        <v>18</v>
      </c>
      <c r="E1122" s="1" t="s">
        <v>14</v>
      </c>
      <c r="F1122">
        <v>47025</v>
      </c>
      <c r="G1122">
        <v>0</v>
      </c>
      <c r="H1122" s="2">
        <v>1</v>
      </c>
      <c r="I1122" s="2">
        <v>41529</v>
      </c>
      <c r="J1122">
        <v>98</v>
      </c>
      <c r="K1122">
        <f>VLOOKUP(B1122,purchase_dataset!$B$2:$F$2241,2,FALSE)</f>
        <v>11</v>
      </c>
      <c r="L1122">
        <f>VLOOKUP(B1122,purchase_dataset!$B$2:$F$2241,3,FALSE)</f>
        <v>5</v>
      </c>
      <c r="M1122">
        <f>VLOOKUP(B1122,purchase_dataset!$B$2:$F$2241,3,FALSE)</f>
        <v>5</v>
      </c>
      <c r="N1122">
        <f>VLOOKUP(B1122,purchase_dataset!$B$2:$F$2241,5,FALSE)</f>
        <v>6</v>
      </c>
      <c r="O1122" s="5">
        <v>48</v>
      </c>
      <c r="P1122" s="4" t="str">
        <f t="shared" si="34"/>
        <v>30-50</v>
      </c>
      <c r="Q1122" s="4">
        <f>M1122+N1122</f>
        <v>11</v>
      </c>
      <c r="U1122" s="28" t="str" cm="1">
        <f t="array" ref="U1122">_xlfn.IFS(F1122&lt;30000,"30k",F1122&lt;=50000,"30k-50k",F1122&lt;=75000,"50k-75k",F1122&lt;=100000,"75k-100k",F1122&gt;100000,"100k")</f>
        <v>30k-50k</v>
      </c>
      <c r="W1122" s="1">
        <f t="shared" si="35"/>
        <v>13</v>
      </c>
    </row>
    <row r="1123" spans="1:23" x14ac:dyDescent="0.35">
      <c r="A1123">
        <v>1120</v>
      </c>
      <c r="B1123">
        <v>850</v>
      </c>
      <c r="C1123">
        <v>1968</v>
      </c>
      <c r="D1123" s="1" t="s">
        <v>10</v>
      </c>
      <c r="E1123" s="1" t="s">
        <v>11</v>
      </c>
      <c r="F1123">
        <v>70566</v>
      </c>
      <c r="G1123">
        <v>0</v>
      </c>
      <c r="H1123" s="2">
        <v>1</v>
      </c>
      <c r="I1123" s="2">
        <v>41553</v>
      </c>
      <c r="J1123">
        <v>4</v>
      </c>
      <c r="K1123">
        <f>VLOOKUP(B1123,purchase_dataset!$B$2:$F$2241,2,FALSE)</f>
        <v>28</v>
      </c>
      <c r="L1123">
        <f>VLOOKUP(B1123,purchase_dataset!$B$2:$F$2241,3,FALSE)</f>
        <v>28</v>
      </c>
      <c r="M1123">
        <f>VLOOKUP(B1123,purchase_dataset!$B$2:$F$2241,3,FALSE)</f>
        <v>28</v>
      </c>
      <c r="N1123">
        <f>VLOOKUP(B1123,purchase_dataset!$B$2:$F$2241,5,FALSE)</f>
        <v>9</v>
      </c>
      <c r="O1123" s="5">
        <v>58</v>
      </c>
      <c r="P1123" s="4" t="str">
        <f t="shared" si="34"/>
        <v>&gt;50</v>
      </c>
      <c r="Q1123" s="4">
        <f>M1123+N1123</f>
        <v>37</v>
      </c>
      <c r="U1123" s="28" t="str" cm="1">
        <f t="array" ref="U1123">_xlfn.IFS(F1123&lt;30000,"30k",F1123&lt;=50000,"30k-50k",F1123&lt;=75000,"50k-75k",F1123&lt;=100000,"75k-100k",F1123&gt;100000,"100k")</f>
        <v>50k-75k</v>
      </c>
      <c r="W1123" s="1">
        <f t="shared" si="35"/>
        <v>13</v>
      </c>
    </row>
    <row r="1124" spans="1:23" x14ac:dyDescent="0.35">
      <c r="A1124">
        <v>1121</v>
      </c>
      <c r="B1124">
        <v>4713</v>
      </c>
      <c r="C1124">
        <v>1979</v>
      </c>
      <c r="D1124" s="1" t="s">
        <v>13</v>
      </c>
      <c r="E1124" s="1" t="s">
        <v>14</v>
      </c>
      <c r="F1124">
        <v>31605</v>
      </c>
      <c r="G1124">
        <v>1</v>
      </c>
      <c r="H1124" s="2">
        <v>0</v>
      </c>
      <c r="I1124" s="2">
        <v>41235</v>
      </c>
      <c r="J1124">
        <v>15</v>
      </c>
      <c r="K1124">
        <f>VLOOKUP(B1124,purchase_dataset!$B$2:$F$2241,2,FALSE)</f>
        <v>0</v>
      </c>
      <c r="L1124">
        <f>VLOOKUP(B1124,purchase_dataset!$B$2:$F$2241,3,FALSE)</f>
        <v>1</v>
      </c>
      <c r="M1124">
        <f>VLOOKUP(B1124,purchase_dataset!$B$2:$F$2241,3,FALSE)</f>
        <v>1</v>
      </c>
      <c r="N1124">
        <f>VLOOKUP(B1124,purchase_dataset!$B$2:$F$2241,5,FALSE)</f>
        <v>4</v>
      </c>
      <c r="O1124" s="5">
        <v>47</v>
      </c>
      <c r="P1124" s="4" t="str">
        <f t="shared" si="34"/>
        <v>30-50</v>
      </c>
      <c r="Q1124" s="4">
        <f>M1124+N1124</f>
        <v>5</v>
      </c>
      <c r="U1124" s="28" t="str" cm="1">
        <f t="array" ref="U1124">_xlfn.IFS(F1124&lt;30000,"30k",F1124&lt;=50000,"30k-50k",F1124&lt;=75000,"50k-75k",F1124&lt;=100000,"75k-100k",F1124&gt;100000,"100k")</f>
        <v>30k-50k</v>
      </c>
      <c r="W1124" s="1">
        <f t="shared" si="35"/>
        <v>14</v>
      </c>
    </row>
    <row r="1125" spans="1:23" x14ac:dyDescent="0.35">
      <c r="A1125">
        <v>1122</v>
      </c>
      <c r="B1125">
        <v>675</v>
      </c>
      <c r="C1125">
        <v>1973</v>
      </c>
      <c r="D1125" s="1" t="s">
        <v>15</v>
      </c>
      <c r="E1125" s="1" t="s">
        <v>16</v>
      </c>
      <c r="F1125">
        <v>52034</v>
      </c>
      <c r="G1125">
        <v>1</v>
      </c>
      <c r="H1125" s="2">
        <v>1</v>
      </c>
      <c r="I1125" s="2">
        <v>41411</v>
      </c>
      <c r="J1125">
        <v>67</v>
      </c>
      <c r="K1125">
        <f>VLOOKUP(B1125,purchase_dataset!$B$2:$F$2241,2,FALSE)</f>
        <v>0</v>
      </c>
      <c r="L1125">
        <f>VLOOKUP(B1125,purchase_dataset!$B$2:$F$2241,3,FALSE)</f>
        <v>13</v>
      </c>
      <c r="M1125">
        <f>VLOOKUP(B1125,purchase_dataset!$B$2:$F$2241,3,FALSE)</f>
        <v>13</v>
      </c>
      <c r="N1125">
        <f>VLOOKUP(B1125,purchase_dataset!$B$2:$F$2241,5,FALSE)</f>
        <v>5</v>
      </c>
      <c r="O1125" s="5">
        <v>53</v>
      </c>
      <c r="P1125" s="4" t="str">
        <f t="shared" si="34"/>
        <v>&gt;50</v>
      </c>
      <c r="Q1125" s="4">
        <f>M1125+N1125</f>
        <v>18</v>
      </c>
      <c r="U1125" s="28" t="str" cm="1">
        <f t="array" ref="U1125">_xlfn.IFS(F1125&lt;30000,"30k",F1125&lt;=50000,"30k-50k",F1125&lt;=75000,"50k-75k",F1125&lt;=100000,"75k-100k",F1125&gt;100000,"100k")</f>
        <v>50k-75k</v>
      </c>
      <c r="W1125" s="1">
        <f t="shared" si="35"/>
        <v>13</v>
      </c>
    </row>
    <row r="1126" spans="1:23" x14ac:dyDescent="0.35">
      <c r="A1126">
        <v>1123</v>
      </c>
      <c r="B1126">
        <v>5025</v>
      </c>
      <c r="C1126">
        <v>1979</v>
      </c>
      <c r="D1126" s="1" t="s">
        <v>10</v>
      </c>
      <c r="E1126" s="1" t="s">
        <v>11</v>
      </c>
      <c r="F1126">
        <v>48526</v>
      </c>
      <c r="G1126">
        <v>1</v>
      </c>
      <c r="H1126" s="2">
        <v>0</v>
      </c>
      <c r="I1126" s="2">
        <v>41632</v>
      </c>
      <c r="J1126">
        <v>32</v>
      </c>
      <c r="K1126">
        <f>VLOOKUP(B1126,purchase_dataset!$B$2:$F$2241,2,FALSE)</f>
        <v>17</v>
      </c>
      <c r="L1126">
        <f>VLOOKUP(B1126,purchase_dataset!$B$2:$F$2241,3,FALSE)</f>
        <v>20</v>
      </c>
      <c r="M1126">
        <f>VLOOKUP(B1126,purchase_dataset!$B$2:$F$2241,3,FALSE)</f>
        <v>20</v>
      </c>
      <c r="N1126">
        <f>VLOOKUP(B1126,purchase_dataset!$B$2:$F$2241,5,FALSE)</f>
        <v>4</v>
      </c>
      <c r="O1126" s="5">
        <v>47</v>
      </c>
      <c r="P1126" s="4" t="str">
        <f t="shared" si="34"/>
        <v>30-50</v>
      </c>
      <c r="Q1126" s="4">
        <f>M1126+N1126</f>
        <v>24</v>
      </c>
      <c r="U1126" s="28" t="str" cm="1">
        <f t="array" ref="U1126">_xlfn.IFS(F1126&lt;30000,"30k",F1126&lt;=50000,"30k-50k",F1126&lt;=75000,"50k-75k",F1126&lt;=100000,"75k-100k",F1126&gt;100000,"100k")</f>
        <v>30k-50k</v>
      </c>
      <c r="W1126" s="1">
        <f t="shared" si="35"/>
        <v>13</v>
      </c>
    </row>
    <row r="1127" spans="1:23" x14ac:dyDescent="0.35">
      <c r="A1127">
        <v>1124</v>
      </c>
      <c r="B1127">
        <v>2308</v>
      </c>
      <c r="C1127">
        <v>1954</v>
      </c>
      <c r="D1127" s="1" t="s">
        <v>10</v>
      </c>
      <c r="E1127" s="1" t="s">
        <v>14</v>
      </c>
      <c r="F1127">
        <v>46734</v>
      </c>
      <c r="G1127">
        <v>0</v>
      </c>
      <c r="H1127" s="2">
        <v>1</v>
      </c>
      <c r="I1127" s="2">
        <v>41231</v>
      </c>
      <c r="J1127">
        <v>40</v>
      </c>
      <c r="K1127">
        <f>VLOOKUP(B1127,purchase_dataset!$B$2:$F$2241,2,FALSE)</f>
        <v>5</v>
      </c>
      <c r="L1127">
        <f>VLOOKUP(B1127,purchase_dataset!$B$2:$F$2241,3,FALSE)</f>
        <v>23</v>
      </c>
      <c r="M1127">
        <f>VLOOKUP(B1127,purchase_dataset!$B$2:$F$2241,3,FALSE)</f>
        <v>23</v>
      </c>
      <c r="N1127">
        <f>VLOOKUP(B1127,purchase_dataset!$B$2:$F$2241,5,FALSE)</f>
        <v>5</v>
      </c>
      <c r="O1127" s="5">
        <v>72</v>
      </c>
      <c r="P1127" s="4" t="str">
        <f t="shared" si="34"/>
        <v>&gt;50</v>
      </c>
      <c r="Q1127" s="4">
        <f>M1127+N1127</f>
        <v>28</v>
      </c>
      <c r="U1127" s="28" t="str" cm="1">
        <f t="array" ref="U1127">_xlfn.IFS(F1127&lt;30000,"30k",F1127&lt;=50000,"30k-50k",F1127&lt;=75000,"50k-75k",F1127&lt;=100000,"75k-100k",F1127&gt;100000,"100k")</f>
        <v>30k-50k</v>
      </c>
      <c r="W1127" s="1">
        <f t="shared" si="35"/>
        <v>14</v>
      </c>
    </row>
    <row r="1128" spans="1:23" x14ac:dyDescent="0.35">
      <c r="A1128">
        <v>1125</v>
      </c>
      <c r="B1128">
        <v>5995</v>
      </c>
      <c r="C1128">
        <v>1962</v>
      </c>
      <c r="D1128" s="1" t="s">
        <v>10</v>
      </c>
      <c r="E1128" s="1" t="s">
        <v>16</v>
      </c>
      <c r="F1128">
        <v>39552</v>
      </c>
      <c r="G1128">
        <v>1</v>
      </c>
      <c r="H1128" s="2">
        <v>1</v>
      </c>
      <c r="I1128" s="2">
        <v>41261</v>
      </c>
      <c r="J1128">
        <v>54</v>
      </c>
      <c r="K1128">
        <f>VLOOKUP(B1128,purchase_dataset!$B$2:$F$2241,2,FALSE)</f>
        <v>3</v>
      </c>
      <c r="L1128">
        <f>VLOOKUP(B1128,purchase_dataset!$B$2:$F$2241,3,FALSE)</f>
        <v>24</v>
      </c>
      <c r="M1128">
        <f>VLOOKUP(B1128,purchase_dataset!$B$2:$F$2241,3,FALSE)</f>
        <v>24</v>
      </c>
      <c r="N1128">
        <f>VLOOKUP(B1128,purchase_dataset!$B$2:$F$2241,5,FALSE)</f>
        <v>5</v>
      </c>
      <c r="O1128" s="5">
        <v>64</v>
      </c>
      <c r="P1128" s="4" t="str">
        <f t="shared" si="34"/>
        <v>&gt;50</v>
      </c>
      <c r="Q1128" s="4">
        <f>M1128+N1128</f>
        <v>29</v>
      </c>
      <c r="U1128" s="28" t="str" cm="1">
        <f t="array" ref="U1128">_xlfn.IFS(F1128&lt;30000,"30k",F1128&lt;=50000,"30k-50k",F1128&lt;=75000,"50k-75k",F1128&lt;=100000,"75k-100k",F1128&gt;100000,"100k")</f>
        <v>30k-50k</v>
      </c>
      <c r="W1128" s="1">
        <f t="shared" si="35"/>
        <v>14</v>
      </c>
    </row>
    <row r="1129" spans="1:23" x14ac:dyDescent="0.35">
      <c r="A1129">
        <v>1126</v>
      </c>
      <c r="B1129">
        <v>6749</v>
      </c>
      <c r="C1129">
        <v>1966</v>
      </c>
      <c r="D1129" s="1" t="s">
        <v>10</v>
      </c>
      <c r="E1129" s="1" t="s">
        <v>11</v>
      </c>
      <c r="F1129">
        <v>86358</v>
      </c>
      <c r="G1129">
        <v>1</v>
      </c>
      <c r="H1129" s="2">
        <v>1</v>
      </c>
      <c r="I1129" s="2">
        <v>41129</v>
      </c>
      <c r="J1129">
        <v>78</v>
      </c>
      <c r="K1129">
        <f>VLOOKUP(B1129,purchase_dataset!$B$2:$F$2241,2,FALSE)</f>
        <v>47</v>
      </c>
      <c r="L1129">
        <f>VLOOKUP(B1129,purchase_dataset!$B$2:$F$2241,3,FALSE)</f>
        <v>47</v>
      </c>
      <c r="M1129">
        <f>VLOOKUP(B1129,purchase_dataset!$B$2:$F$2241,3,FALSE)</f>
        <v>47</v>
      </c>
      <c r="N1129">
        <f>VLOOKUP(B1129,purchase_dataset!$B$2:$F$2241,5,FALSE)</f>
        <v>6</v>
      </c>
      <c r="O1129" s="5">
        <v>60</v>
      </c>
      <c r="P1129" s="4" t="str">
        <f t="shared" si="34"/>
        <v>&gt;50</v>
      </c>
      <c r="Q1129" s="4">
        <f>M1129+N1129</f>
        <v>53</v>
      </c>
      <c r="U1129" s="28" t="str" cm="1">
        <f t="array" ref="U1129">_xlfn.IFS(F1129&lt;30000,"30k",F1129&lt;=50000,"30k-50k",F1129&lt;=75000,"50k-75k",F1129&lt;=100000,"75k-100k",F1129&gt;100000,"100k")</f>
        <v>75k-100k</v>
      </c>
      <c r="W1129" s="1">
        <f t="shared" si="35"/>
        <v>14</v>
      </c>
    </row>
    <row r="1130" spans="1:23" x14ac:dyDescent="0.35">
      <c r="A1130">
        <v>1127</v>
      </c>
      <c r="B1130">
        <v>1010</v>
      </c>
      <c r="C1130">
        <v>1977</v>
      </c>
      <c r="D1130" s="1" t="s">
        <v>10</v>
      </c>
      <c r="E1130" s="1" t="s">
        <v>12</v>
      </c>
      <c r="F1130">
        <v>46931</v>
      </c>
      <c r="G1130">
        <v>2</v>
      </c>
      <c r="H1130" s="2">
        <v>1</v>
      </c>
      <c r="I1130" s="2">
        <v>41753</v>
      </c>
      <c r="J1130">
        <v>94</v>
      </c>
      <c r="K1130">
        <f>VLOOKUP(B1130,purchase_dataset!$B$2:$F$2241,2,FALSE)</f>
        <v>0</v>
      </c>
      <c r="L1130">
        <f>VLOOKUP(B1130,purchase_dataset!$B$2:$F$2241,3,FALSE)</f>
        <v>1</v>
      </c>
      <c r="M1130">
        <f>VLOOKUP(B1130,purchase_dataset!$B$2:$F$2241,3,FALSE)</f>
        <v>1</v>
      </c>
      <c r="N1130">
        <f>VLOOKUP(B1130,purchase_dataset!$B$2:$F$2241,5,FALSE)</f>
        <v>3</v>
      </c>
      <c r="O1130" s="5">
        <v>49</v>
      </c>
      <c r="P1130" s="4" t="str">
        <f t="shared" si="34"/>
        <v>30-50</v>
      </c>
      <c r="Q1130" s="4">
        <f>M1130+N1130</f>
        <v>4</v>
      </c>
      <c r="U1130" s="28" t="str" cm="1">
        <f t="array" ref="U1130">_xlfn.IFS(F1130&lt;30000,"30k",F1130&lt;=50000,"30k-50k",F1130&lt;=75000,"50k-75k",F1130&lt;=100000,"75k-100k",F1130&gt;100000,"100k")</f>
        <v>30k-50k</v>
      </c>
      <c r="W1130" s="1">
        <f t="shared" si="35"/>
        <v>12</v>
      </c>
    </row>
    <row r="1131" spans="1:23" x14ac:dyDescent="0.35">
      <c r="A1131">
        <v>1128</v>
      </c>
      <c r="B1131">
        <v>8977</v>
      </c>
      <c r="C1131">
        <v>1985</v>
      </c>
      <c r="D1131" s="1" t="s">
        <v>17</v>
      </c>
      <c r="E1131" s="1" t="s">
        <v>11</v>
      </c>
      <c r="F1131">
        <v>16581</v>
      </c>
      <c r="G1131">
        <v>0</v>
      </c>
      <c r="H1131" s="2">
        <v>0</v>
      </c>
      <c r="I1131" s="2">
        <v>41286</v>
      </c>
      <c r="J1131">
        <v>51</v>
      </c>
      <c r="K1131">
        <f>VLOOKUP(B1131,purchase_dataset!$B$2:$F$2241,2,FALSE)</f>
        <v>3</v>
      </c>
      <c r="L1131">
        <f>VLOOKUP(B1131,purchase_dataset!$B$2:$F$2241,3,FALSE)</f>
        <v>3</v>
      </c>
      <c r="M1131">
        <f>VLOOKUP(B1131,purchase_dataset!$B$2:$F$2241,3,FALSE)</f>
        <v>3</v>
      </c>
      <c r="N1131">
        <f>VLOOKUP(B1131,purchase_dataset!$B$2:$F$2241,5,FALSE)</f>
        <v>3</v>
      </c>
      <c r="O1131" s="5">
        <v>41</v>
      </c>
      <c r="P1131" s="4" t="str">
        <f t="shared" si="34"/>
        <v>30-50</v>
      </c>
      <c r="Q1131" s="4">
        <f>M1131+N1131</f>
        <v>6</v>
      </c>
      <c r="U1131" s="28" t="str" cm="1">
        <f t="array" ref="U1131">_xlfn.IFS(F1131&lt;30000,"30k",F1131&lt;=50000,"30k-50k",F1131&lt;=75000,"50k-75k",F1131&lt;=100000,"75k-100k",F1131&gt;100000,"100k")</f>
        <v>30k</v>
      </c>
      <c r="W1131" s="1">
        <f t="shared" si="35"/>
        <v>13</v>
      </c>
    </row>
    <row r="1132" spans="1:23" x14ac:dyDescent="0.35">
      <c r="A1132">
        <v>1129</v>
      </c>
      <c r="B1132">
        <v>4756</v>
      </c>
      <c r="C1132">
        <v>1952</v>
      </c>
      <c r="D1132" s="1" t="s">
        <v>18</v>
      </c>
      <c r="E1132" s="1" t="s">
        <v>16</v>
      </c>
      <c r="F1132">
        <v>63998</v>
      </c>
      <c r="G1132">
        <v>0</v>
      </c>
      <c r="H1132" s="2">
        <v>0</v>
      </c>
      <c r="I1132" s="2">
        <v>41628</v>
      </c>
      <c r="J1132">
        <v>42</v>
      </c>
      <c r="K1132">
        <f>VLOOKUP(B1132,purchase_dataset!$B$2:$F$2241,2,FALSE)</f>
        <v>29</v>
      </c>
      <c r="L1132">
        <f>VLOOKUP(B1132,purchase_dataset!$B$2:$F$2241,3,FALSE)</f>
        <v>33</v>
      </c>
      <c r="M1132">
        <f>VLOOKUP(B1132,purchase_dataset!$B$2:$F$2241,3,FALSE)</f>
        <v>33</v>
      </c>
      <c r="N1132">
        <f>VLOOKUP(B1132,purchase_dataset!$B$2:$F$2241,5,FALSE)</f>
        <v>11</v>
      </c>
      <c r="O1132" s="5">
        <v>74</v>
      </c>
      <c r="P1132" s="4" t="str">
        <f t="shared" si="34"/>
        <v>&gt;50</v>
      </c>
      <c r="Q1132" s="4">
        <f>M1132+N1132</f>
        <v>44</v>
      </c>
      <c r="U1132" s="28" t="str" cm="1">
        <f t="array" ref="U1132">_xlfn.IFS(F1132&lt;30000,"30k",F1132&lt;=50000,"30k-50k",F1132&lt;=75000,"50k-75k",F1132&lt;=100000,"75k-100k",F1132&gt;100000,"100k")</f>
        <v>50k-75k</v>
      </c>
      <c r="W1132" s="1">
        <f t="shared" si="35"/>
        <v>13</v>
      </c>
    </row>
    <row r="1133" spans="1:23" x14ac:dyDescent="0.35">
      <c r="A1133">
        <v>1130</v>
      </c>
      <c r="B1133">
        <v>3412</v>
      </c>
      <c r="C1133">
        <v>1951</v>
      </c>
      <c r="D1133" s="1" t="s">
        <v>15</v>
      </c>
      <c r="E1133" s="1" t="s">
        <v>14</v>
      </c>
      <c r="F1133">
        <v>67381</v>
      </c>
      <c r="G1133">
        <v>0</v>
      </c>
      <c r="H1133" s="2">
        <v>1</v>
      </c>
      <c r="I1133" s="2">
        <v>41289</v>
      </c>
      <c r="J1133">
        <v>67</v>
      </c>
      <c r="K1133">
        <f>VLOOKUP(B1133,purchase_dataset!$B$2:$F$2241,2,FALSE)</f>
        <v>8</v>
      </c>
      <c r="L1133">
        <f>VLOOKUP(B1133,purchase_dataset!$B$2:$F$2241,3,FALSE)</f>
        <v>0</v>
      </c>
      <c r="M1133">
        <f>VLOOKUP(B1133,purchase_dataset!$B$2:$F$2241,3,FALSE)</f>
        <v>0</v>
      </c>
      <c r="N1133">
        <f>VLOOKUP(B1133,purchase_dataset!$B$2:$F$2241,5,FALSE)</f>
        <v>9</v>
      </c>
      <c r="O1133" s="5">
        <v>75</v>
      </c>
      <c r="P1133" s="4" t="str">
        <f t="shared" si="34"/>
        <v>&gt;50</v>
      </c>
      <c r="Q1133" s="4">
        <f>M1133+N1133</f>
        <v>9</v>
      </c>
      <c r="U1133" s="28" t="str" cm="1">
        <f t="array" ref="U1133">_xlfn.IFS(F1133&lt;30000,"30k",F1133&lt;=50000,"30k-50k",F1133&lt;=75000,"50k-75k",F1133&lt;=100000,"75k-100k",F1133&gt;100000,"100k")</f>
        <v>50k-75k</v>
      </c>
      <c r="W1133" s="1">
        <f t="shared" si="35"/>
        <v>13</v>
      </c>
    </row>
    <row r="1134" spans="1:23" x14ac:dyDescent="0.35">
      <c r="A1134">
        <v>1131</v>
      </c>
      <c r="B1134">
        <v>606</v>
      </c>
      <c r="C1134">
        <v>1967</v>
      </c>
      <c r="D1134" s="1" t="s">
        <v>10</v>
      </c>
      <c r="E1134" s="1" t="s">
        <v>11</v>
      </c>
      <c r="F1134">
        <v>25930</v>
      </c>
      <c r="G1134">
        <v>1</v>
      </c>
      <c r="H1134" s="2">
        <v>1</v>
      </c>
      <c r="I1134" s="2">
        <v>41557</v>
      </c>
      <c r="J1134">
        <v>87</v>
      </c>
      <c r="K1134">
        <f>VLOOKUP(B1134,purchase_dataset!$B$2:$F$2241,2,FALSE)</f>
        <v>1</v>
      </c>
      <c r="L1134">
        <f>VLOOKUP(B1134,purchase_dataset!$B$2:$F$2241,3,FALSE)</f>
        <v>0</v>
      </c>
      <c r="M1134">
        <f>VLOOKUP(B1134,purchase_dataset!$B$2:$F$2241,3,FALSE)</f>
        <v>0</v>
      </c>
      <c r="N1134">
        <f>VLOOKUP(B1134,purchase_dataset!$B$2:$F$2241,5,FALSE)</f>
        <v>2</v>
      </c>
      <c r="O1134" s="5">
        <v>59</v>
      </c>
      <c r="P1134" s="4" t="str">
        <f t="shared" si="34"/>
        <v>&gt;50</v>
      </c>
      <c r="Q1134" s="4">
        <f>M1134+N1134</f>
        <v>2</v>
      </c>
      <c r="U1134" s="28" t="str" cm="1">
        <f t="array" ref="U1134">_xlfn.IFS(F1134&lt;30000,"30k",F1134&lt;=50000,"30k-50k",F1134&lt;=75000,"50k-75k",F1134&lt;=100000,"75k-100k",F1134&gt;100000,"100k")</f>
        <v>30k</v>
      </c>
      <c r="W1134" s="1">
        <f t="shared" si="35"/>
        <v>13</v>
      </c>
    </row>
    <row r="1135" spans="1:23" x14ac:dyDescent="0.35">
      <c r="A1135">
        <v>1132</v>
      </c>
      <c r="B1135">
        <v>5961</v>
      </c>
      <c r="C1135">
        <v>1978</v>
      </c>
      <c r="D1135" s="1" t="s">
        <v>10</v>
      </c>
      <c r="E1135" s="1" t="s">
        <v>14</v>
      </c>
      <c r="F1135">
        <v>42693</v>
      </c>
      <c r="G1135">
        <v>1</v>
      </c>
      <c r="H1135" s="2">
        <v>0</v>
      </c>
      <c r="I1135" s="2">
        <v>41797</v>
      </c>
      <c r="J1135">
        <v>29</v>
      </c>
      <c r="K1135">
        <f>VLOOKUP(B1135,purchase_dataset!$B$2:$F$2241,2,FALSE)</f>
        <v>4</v>
      </c>
      <c r="L1135">
        <f>VLOOKUP(B1135,purchase_dataset!$B$2:$F$2241,3,FALSE)</f>
        <v>3</v>
      </c>
      <c r="M1135">
        <f>VLOOKUP(B1135,purchase_dataset!$B$2:$F$2241,3,FALSE)</f>
        <v>3</v>
      </c>
      <c r="N1135">
        <f>VLOOKUP(B1135,purchase_dataset!$B$2:$F$2241,5,FALSE)</f>
        <v>3</v>
      </c>
      <c r="O1135" s="5">
        <v>48</v>
      </c>
      <c r="P1135" s="4" t="str">
        <f t="shared" si="34"/>
        <v>30-50</v>
      </c>
      <c r="Q1135" s="4">
        <f>M1135+N1135</f>
        <v>6</v>
      </c>
      <c r="U1135" s="28" t="str" cm="1">
        <f t="array" ref="U1135">_xlfn.IFS(F1135&lt;30000,"30k",F1135&lt;=50000,"30k-50k",F1135&lt;=75000,"50k-75k",F1135&lt;=100000,"75k-100k",F1135&gt;100000,"100k")</f>
        <v>30k-50k</v>
      </c>
      <c r="W1135" s="1">
        <f t="shared" si="35"/>
        <v>12</v>
      </c>
    </row>
    <row r="1136" spans="1:23" x14ac:dyDescent="0.35">
      <c r="A1136">
        <v>1133</v>
      </c>
      <c r="B1136">
        <v>2975</v>
      </c>
      <c r="C1136">
        <v>1976</v>
      </c>
      <c r="D1136" s="1" t="s">
        <v>10</v>
      </c>
      <c r="E1136" s="1" t="s">
        <v>12</v>
      </c>
      <c r="F1136">
        <v>85606</v>
      </c>
      <c r="G1136">
        <v>0</v>
      </c>
      <c r="H1136" s="2">
        <v>1</v>
      </c>
      <c r="I1136" s="2">
        <v>41225</v>
      </c>
      <c r="J1136">
        <v>89</v>
      </c>
      <c r="K1136">
        <f>VLOOKUP(B1136,purchase_dataset!$B$2:$F$2241,2,FALSE)</f>
        <v>42</v>
      </c>
      <c r="L1136">
        <f>VLOOKUP(B1136,purchase_dataset!$B$2:$F$2241,3,FALSE)</f>
        <v>30</v>
      </c>
      <c r="M1136">
        <f>VLOOKUP(B1136,purchase_dataset!$B$2:$F$2241,3,FALSE)</f>
        <v>30</v>
      </c>
      <c r="N1136">
        <f>VLOOKUP(B1136,purchase_dataset!$B$2:$F$2241,5,FALSE)</f>
        <v>9</v>
      </c>
      <c r="O1136" s="5">
        <v>50</v>
      </c>
      <c r="P1136" s="4" t="str">
        <f t="shared" si="34"/>
        <v>30-50</v>
      </c>
      <c r="Q1136" s="4">
        <f>M1136+N1136</f>
        <v>39</v>
      </c>
      <c r="U1136" s="28" t="str" cm="1">
        <f t="array" ref="U1136">_xlfn.IFS(F1136&lt;30000,"30k",F1136&lt;=50000,"30k-50k",F1136&lt;=75000,"50k-75k",F1136&lt;=100000,"75k-100k",F1136&gt;100000,"100k")</f>
        <v>75k-100k</v>
      </c>
      <c r="W1136" s="1">
        <f t="shared" si="35"/>
        <v>14</v>
      </c>
    </row>
    <row r="1137" spans="1:23" x14ac:dyDescent="0.35">
      <c r="A1137">
        <v>1134</v>
      </c>
      <c r="B1137">
        <v>2894</v>
      </c>
      <c r="C1137">
        <v>1985</v>
      </c>
      <c r="D1137" s="1" t="s">
        <v>10</v>
      </c>
      <c r="E1137" s="1" t="s">
        <v>11</v>
      </c>
      <c r="F1137">
        <v>72903</v>
      </c>
      <c r="G1137">
        <v>0</v>
      </c>
      <c r="H1137" s="2">
        <v>0</v>
      </c>
      <c r="I1137" s="2">
        <v>41576</v>
      </c>
      <c r="J1137">
        <v>74</v>
      </c>
      <c r="K1137">
        <f>VLOOKUP(B1137,purchase_dataset!$B$2:$F$2241,2,FALSE)</f>
        <v>138</v>
      </c>
      <c r="L1137">
        <f>VLOOKUP(B1137,purchase_dataset!$B$2:$F$2241,3,FALSE)</f>
        <v>19</v>
      </c>
      <c r="M1137">
        <f>VLOOKUP(B1137,purchase_dataset!$B$2:$F$2241,3,FALSE)</f>
        <v>19</v>
      </c>
      <c r="N1137">
        <f>VLOOKUP(B1137,purchase_dataset!$B$2:$F$2241,5,FALSE)</f>
        <v>8</v>
      </c>
      <c r="O1137" s="5">
        <v>41</v>
      </c>
      <c r="P1137" s="4" t="str">
        <f t="shared" si="34"/>
        <v>30-50</v>
      </c>
      <c r="Q1137" s="4">
        <f>M1137+N1137</f>
        <v>27</v>
      </c>
      <c r="U1137" s="28" t="str" cm="1">
        <f t="array" ref="U1137">_xlfn.IFS(F1137&lt;30000,"30k",F1137&lt;=50000,"30k-50k",F1137&lt;=75000,"50k-75k",F1137&lt;=100000,"75k-100k",F1137&gt;100000,"100k")</f>
        <v>50k-75k</v>
      </c>
      <c r="W1137" s="1">
        <f t="shared" si="35"/>
        <v>13</v>
      </c>
    </row>
    <row r="1138" spans="1:23" x14ac:dyDescent="0.35">
      <c r="A1138">
        <v>1135</v>
      </c>
      <c r="B1138">
        <v>7613</v>
      </c>
      <c r="C1138">
        <v>1974</v>
      </c>
      <c r="D1138" s="1" t="s">
        <v>18</v>
      </c>
      <c r="E1138" s="1" t="s">
        <v>12</v>
      </c>
      <c r="F1138">
        <v>49669</v>
      </c>
      <c r="G1138">
        <v>1</v>
      </c>
      <c r="H1138" s="2">
        <v>0</v>
      </c>
      <c r="I1138" s="2">
        <v>41783</v>
      </c>
      <c r="J1138">
        <v>97</v>
      </c>
      <c r="K1138">
        <f>VLOOKUP(B1138,purchase_dataset!$B$2:$F$2241,2,FALSE)</f>
        <v>5</v>
      </c>
      <c r="L1138">
        <f>VLOOKUP(B1138,purchase_dataset!$B$2:$F$2241,3,FALSE)</f>
        <v>8</v>
      </c>
      <c r="M1138">
        <f>VLOOKUP(B1138,purchase_dataset!$B$2:$F$2241,3,FALSE)</f>
        <v>8</v>
      </c>
      <c r="N1138">
        <f>VLOOKUP(B1138,purchase_dataset!$B$2:$F$2241,5,FALSE)</f>
        <v>6</v>
      </c>
      <c r="O1138" s="5">
        <v>52</v>
      </c>
      <c r="P1138" s="4" t="str">
        <f t="shared" si="34"/>
        <v>&gt;50</v>
      </c>
      <c r="Q1138" s="4">
        <f>M1138+N1138</f>
        <v>14</v>
      </c>
      <c r="U1138" s="28" t="str" cm="1">
        <f t="array" ref="U1138">_xlfn.IFS(F1138&lt;30000,"30k",F1138&lt;=50000,"30k-50k",F1138&lt;=75000,"50k-75k",F1138&lt;=100000,"75k-100k",F1138&gt;100000,"100k")</f>
        <v>30k-50k</v>
      </c>
      <c r="W1138" s="1">
        <f t="shared" si="35"/>
        <v>12</v>
      </c>
    </row>
    <row r="1139" spans="1:23" x14ac:dyDescent="0.35">
      <c r="A1139">
        <v>1136</v>
      </c>
      <c r="B1139">
        <v>10542</v>
      </c>
      <c r="C1139">
        <v>1968</v>
      </c>
      <c r="D1139" s="1" t="s">
        <v>13</v>
      </c>
      <c r="E1139" s="1" t="s">
        <v>14</v>
      </c>
      <c r="F1139">
        <v>36778</v>
      </c>
      <c r="G1139">
        <v>1</v>
      </c>
      <c r="H1139" s="2">
        <v>1</v>
      </c>
      <c r="I1139" s="2">
        <v>41126</v>
      </c>
      <c r="J1139">
        <v>63</v>
      </c>
      <c r="K1139">
        <f>VLOOKUP(B1139,purchase_dataset!$B$2:$F$2241,2,FALSE)</f>
        <v>4</v>
      </c>
      <c r="L1139">
        <f>VLOOKUP(B1139,purchase_dataset!$B$2:$F$2241,3,FALSE)</f>
        <v>4</v>
      </c>
      <c r="M1139">
        <f>VLOOKUP(B1139,purchase_dataset!$B$2:$F$2241,3,FALSE)</f>
        <v>4</v>
      </c>
      <c r="N1139">
        <f>VLOOKUP(B1139,purchase_dataset!$B$2:$F$2241,5,FALSE)</f>
        <v>3</v>
      </c>
      <c r="O1139" s="5">
        <v>58</v>
      </c>
      <c r="P1139" s="4" t="str">
        <f t="shared" si="34"/>
        <v>&gt;50</v>
      </c>
      <c r="Q1139" s="4">
        <f>M1139+N1139</f>
        <v>7</v>
      </c>
      <c r="U1139" s="28" t="str" cm="1">
        <f t="array" ref="U1139">_xlfn.IFS(F1139&lt;30000,"30k",F1139&lt;=50000,"30k-50k",F1139&lt;=75000,"50k-75k",F1139&lt;=100000,"75k-100k",F1139&gt;100000,"100k")</f>
        <v>30k-50k</v>
      </c>
      <c r="W1139" s="1">
        <f t="shared" si="35"/>
        <v>14</v>
      </c>
    </row>
    <row r="1140" spans="1:23" x14ac:dyDescent="0.35">
      <c r="A1140">
        <v>1137</v>
      </c>
      <c r="B1140">
        <v>8015</v>
      </c>
      <c r="C1140">
        <v>1962</v>
      </c>
      <c r="D1140" s="1" t="s">
        <v>13</v>
      </c>
      <c r="E1140" s="1" t="s">
        <v>16</v>
      </c>
      <c r="F1140">
        <v>85696</v>
      </c>
      <c r="G1140">
        <v>0</v>
      </c>
      <c r="H1140" s="2">
        <v>0</v>
      </c>
      <c r="I1140" s="2">
        <v>41397</v>
      </c>
      <c r="J1140">
        <v>88</v>
      </c>
      <c r="K1140">
        <f>VLOOKUP(B1140,purchase_dataset!$B$2:$F$2241,2,FALSE)</f>
        <v>76</v>
      </c>
      <c r="L1140">
        <f>VLOOKUP(B1140,purchase_dataset!$B$2:$F$2241,3,FALSE)</f>
        <v>0</v>
      </c>
      <c r="M1140">
        <f>VLOOKUP(B1140,purchase_dataset!$B$2:$F$2241,3,FALSE)</f>
        <v>0</v>
      </c>
      <c r="N1140">
        <f>VLOOKUP(B1140,purchase_dataset!$B$2:$F$2241,5,FALSE)</f>
        <v>9</v>
      </c>
      <c r="O1140" s="5">
        <v>64</v>
      </c>
      <c r="P1140" s="4" t="str">
        <f t="shared" si="34"/>
        <v>&gt;50</v>
      </c>
      <c r="Q1140" s="4">
        <f>M1140+N1140</f>
        <v>9</v>
      </c>
      <c r="U1140" s="28" t="str" cm="1">
        <f t="array" ref="U1140">_xlfn.IFS(F1140&lt;30000,"30k",F1140&lt;=50000,"30k-50k",F1140&lt;=75000,"50k-75k",F1140&lt;=100000,"75k-100k",F1140&gt;100000,"100k")</f>
        <v>75k-100k</v>
      </c>
      <c r="W1140" s="1">
        <f t="shared" si="35"/>
        <v>13</v>
      </c>
    </row>
    <row r="1141" spans="1:23" x14ac:dyDescent="0.35">
      <c r="A1141">
        <v>1138</v>
      </c>
      <c r="B1141">
        <v>10617</v>
      </c>
      <c r="C1141">
        <v>1989</v>
      </c>
      <c r="D1141" s="1" t="s">
        <v>15</v>
      </c>
      <c r="E1141" s="1" t="s">
        <v>16</v>
      </c>
      <c r="F1141">
        <v>10979</v>
      </c>
      <c r="G1141">
        <v>0</v>
      </c>
      <c r="H1141" s="2">
        <v>0</v>
      </c>
      <c r="I1141" s="2">
        <v>41781</v>
      </c>
      <c r="J1141">
        <v>34</v>
      </c>
      <c r="K1141">
        <f>VLOOKUP(B1141,purchase_dataset!$B$2:$F$2241,2,FALSE)</f>
        <v>4</v>
      </c>
      <c r="L1141">
        <f>VLOOKUP(B1141,purchase_dataset!$B$2:$F$2241,3,FALSE)</f>
        <v>2</v>
      </c>
      <c r="M1141">
        <f>VLOOKUP(B1141,purchase_dataset!$B$2:$F$2241,3,FALSE)</f>
        <v>2</v>
      </c>
      <c r="N1141">
        <f>VLOOKUP(B1141,purchase_dataset!$B$2:$F$2241,5,FALSE)</f>
        <v>3</v>
      </c>
      <c r="O1141" s="5">
        <v>37</v>
      </c>
      <c r="P1141" s="4" t="str">
        <f t="shared" si="34"/>
        <v>30-50</v>
      </c>
      <c r="Q1141" s="4">
        <f>M1141+N1141</f>
        <v>5</v>
      </c>
      <c r="U1141" s="28" t="str" cm="1">
        <f t="array" ref="U1141">_xlfn.IFS(F1141&lt;30000,"30k",F1141&lt;=50000,"30k-50k",F1141&lt;=75000,"50k-75k",F1141&lt;=100000,"75k-100k",F1141&gt;100000,"100k")</f>
        <v>30k</v>
      </c>
      <c r="W1141" s="1">
        <f t="shared" si="35"/>
        <v>12</v>
      </c>
    </row>
    <row r="1142" spans="1:23" x14ac:dyDescent="0.35">
      <c r="A1142">
        <v>1139</v>
      </c>
      <c r="B1142">
        <v>11166</v>
      </c>
      <c r="C1142">
        <v>1961</v>
      </c>
      <c r="D1142" s="1" t="s">
        <v>10</v>
      </c>
      <c r="E1142" s="1" t="s">
        <v>14</v>
      </c>
      <c r="F1142">
        <v>49678</v>
      </c>
      <c r="G1142">
        <v>0</v>
      </c>
      <c r="H1142" s="2">
        <v>1</v>
      </c>
      <c r="I1142" s="2">
        <v>41307</v>
      </c>
      <c r="J1142">
        <v>81</v>
      </c>
      <c r="K1142">
        <f>VLOOKUP(B1142,purchase_dataset!$B$2:$F$2241,2,FALSE)</f>
        <v>5</v>
      </c>
      <c r="L1142">
        <f>VLOOKUP(B1142,purchase_dataset!$B$2:$F$2241,3,FALSE)</f>
        <v>2</v>
      </c>
      <c r="M1142">
        <f>VLOOKUP(B1142,purchase_dataset!$B$2:$F$2241,3,FALSE)</f>
        <v>2</v>
      </c>
      <c r="N1142">
        <f>VLOOKUP(B1142,purchase_dataset!$B$2:$F$2241,5,FALSE)</f>
        <v>4</v>
      </c>
      <c r="O1142" s="5">
        <v>65</v>
      </c>
      <c r="P1142" s="4" t="str">
        <f t="shared" si="34"/>
        <v>&gt;50</v>
      </c>
      <c r="Q1142" s="4">
        <f>M1142+N1142</f>
        <v>6</v>
      </c>
      <c r="U1142" s="28" t="str" cm="1">
        <f t="array" ref="U1142">_xlfn.IFS(F1142&lt;30000,"30k",F1142&lt;=50000,"30k-50k",F1142&lt;=75000,"50k-75k",F1142&lt;=100000,"75k-100k",F1142&gt;100000,"100k")</f>
        <v>30k-50k</v>
      </c>
      <c r="W1142" s="1">
        <f t="shared" si="35"/>
        <v>13</v>
      </c>
    </row>
    <row r="1143" spans="1:23" x14ac:dyDescent="0.35">
      <c r="A1143">
        <v>1140</v>
      </c>
      <c r="B1143">
        <v>849</v>
      </c>
      <c r="C1143">
        <v>1953</v>
      </c>
      <c r="D1143" s="1" t="s">
        <v>15</v>
      </c>
      <c r="E1143" s="1" t="s">
        <v>12</v>
      </c>
      <c r="F1143">
        <v>56129</v>
      </c>
      <c r="G1143">
        <v>0</v>
      </c>
      <c r="H1143" s="2">
        <v>1</v>
      </c>
      <c r="I1143" s="2">
        <v>41445</v>
      </c>
      <c r="J1143">
        <v>65</v>
      </c>
      <c r="K1143">
        <f>VLOOKUP(B1143,purchase_dataset!$B$2:$F$2241,2,FALSE)</f>
        <v>48</v>
      </c>
      <c r="L1143">
        <f>VLOOKUP(B1143,purchase_dataset!$B$2:$F$2241,3,FALSE)</f>
        <v>72</v>
      </c>
      <c r="M1143">
        <f>VLOOKUP(B1143,purchase_dataset!$B$2:$F$2241,3,FALSE)</f>
        <v>72</v>
      </c>
      <c r="N1143">
        <f>VLOOKUP(B1143,purchase_dataset!$B$2:$F$2241,5,FALSE)</f>
        <v>10</v>
      </c>
      <c r="O1143" s="5">
        <v>73</v>
      </c>
      <c r="P1143" s="4" t="str">
        <f t="shared" si="34"/>
        <v>&gt;50</v>
      </c>
      <c r="Q1143" s="4">
        <f>M1143+N1143</f>
        <v>82</v>
      </c>
      <c r="U1143" s="28" t="str" cm="1">
        <f t="array" ref="U1143">_xlfn.IFS(F1143&lt;30000,"30k",F1143&lt;=50000,"30k-50k",F1143&lt;=75000,"50k-75k",F1143&lt;=100000,"75k-100k",F1143&gt;100000,"100k")</f>
        <v>50k-75k</v>
      </c>
      <c r="W1143" s="1">
        <f t="shared" si="35"/>
        <v>13</v>
      </c>
    </row>
    <row r="1144" spans="1:23" x14ac:dyDescent="0.35">
      <c r="A1144">
        <v>1141</v>
      </c>
      <c r="B1144">
        <v>523</v>
      </c>
      <c r="C1144">
        <v>1989</v>
      </c>
      <c r="D1144" s="1" t="s">
        <v>10</v>
      </c>
      <c r="E1144" s="1" t="s">
        <v>14</v>
      </c>
      <c r="F1144">
        <v>37155</v>
      </c>
      <c r="G1144">
        <v>1</v>
      </c>
      <c r="H1144" s="2">
        <v>0</v>
      </c>
      <c r="I1144" s="2">
        <v>41305</v>
      </c>
      <c r="J1144">
        <v>51</v>
      </c>
      <c r="K1144">
        <f>VLOOKUP(B1144,purchase_dataset!$B$2:$F$2241,2,FALSE)</f>
        <v>0</v>
      </c>
      <c r="L1144">
        <f>VLOOKUP(B1144,purchase_dataset!$B$2:$F$2241,3,FALSE)</f>
        <v>15</v>
      </c>
      <c r="M1144">
        <f>VLOOKUP(B1144,purchase_dataset!$B$2:$F$2241,3,FALSE)</f>
        <v>15</v>
      </c>
      <c r="N1144">
        <f>VLOOKUP(B1144,purchase_dataset!$B$2:$F$2241,5,FALSE)</f>
        <v>4</v>
      </c>
      <c r="O1144" s="5">
        <v>37</v>
      </c>
      <c r="P1144" s="4" t="str">
        <f t="shared" si="34"/>
        <v>30-50</v>
      </c>
      <c r="Q1144" s="4">
        <f>M1144+N1144</f>
        <v>19</v>
      </c>
      <c r="U1144" s="28" t="str" cm="1">
        <f t="array" ref="U1144">_xlfn.IFS(F1144&lt;30000,"30k",F1144&lt;=50000,"30k-50k",F1144&lt;=75000,"50k-75k",F1144&lt;=100000,"75k-100k",F1144&gt;100000,"100k")</f>
        <v>30k-50k</v>
      </c>
      <c r="W1144" s="1">
        <f t="shared" si="35"/>
        <v>13</v>
      </c>
    </row>
    <row r="1145" spans="1:23" x14ac:dyDescent="0.35">
      <c r="A1145">
        <v>1142</v>
      </c>
      <c r="B1145">
        <v>4066</v>
      </c>
      <c r="C1145">
        <v>1978</v>
      </c>
      <c r="D1145" s="1" t="s">
        <v>18</v>
      </c>
      <c r="E1145" s="1" t="s">
        <v>16</v>
      </c>
      <c r="F1145">
        <v>21282</v>
      </c>
      <c r="G1145">
        <v>1</v>
      </c>
      <c r="H1145" s="2">
        <v>0</v>
      </c>
      <c r="I1145" s="2">
        <v>41770</v>
      </c>
      <c r="J1145">
        <v>76</v>
      </c>
      <c r="K1145">
        <f>VLOOKUP(B1145,purchase_dataset!$B$2:$F$2241,2,FALSE)</f>
        <v>5</v>
      </c>
      <c r="L1145">
        <f>VLOOKUP(B1145,purchase_dataset!$B$2:$F$2241,3,FALSE)</f>
        <v>8</v>
      </c>
      <c r="M1145">
        <f>VLOOKUP(B1145,purchase_dataset!$B$2:$F$2241,3,FALSE)</f>
        <v>8</v>
      </c>
      <c r="N1145">
        <f>VLOOKUP(B1145,purchase_dataset!$B$2:$F$2241,5,FALSE)</f>
        <v>2</v>
      </c>
      <c r="O1145" s="5">
        <v>48</v>
      </c>
      <c r="P1145" s="4" t="str">
        <f t="shared" si="34"/>
        <v>30-50</v>
      </c>
      <c r="Q1145" s="4">
        <f>M1145+N1145</f>
        <v>10</v>
      </c>
      <c r="U1145" s="28" t="str" cm="1">
        <f t="array" ref="U1145">_xlfn.IFS(F1145&lt;30000,"30k",F1145&lt;=50000,"30k-50k",F1145&lt;=75000,"50k-75k",F1145&lt;=100000,"75k-100k",F1145&gt;100000,"100k")</f>
        <v>30k</v>
      </c>
      <c r="W1145" s="1">
        <f t="shared" si="35"/>
        <v>12</v>
      </c>
    </row>
    <row r="1146" spans="1:23" x14ac:dyDescent="0.35">
      <c r="A1146">
        <v>1143</v>
      </c>
      <c r="B1146">
        <v>8414</v>
      </c>
      <c r="C1146">
        <v>1962</v>
      </c>
      <c r="D1146" s="1" t="s">
        <v>13</v>
      </c>
      <c r="E1146" s="1" t="s">
        <v>11</v>
      </c>
      <c r="F1146">
        <v>33419</v>
      </c>
      <c r="G1146">
        <v>0</v>
      </c>
      <c r="H1146" s="2">
        <v>1</v>
      </c>
      <c r="I1146" s="2">
        <v>41503</v>
      </c>
      <c r="J1146">
        <v>76</v>
      </c>
      <c r="K1146">
        <f>VLOOKUP(B1146,purchase_dataset!$B$2:$F$2241,2,FALSE)</f>
        <v>0</v>
      </c>
      <c r="L1146">
        <f>VLOOKUP(B1146,purchase_dataset!$B$2:$F$2241,3,FALSE)</f>
        <v>0</v>
      </c>
      <c r="M1146">
        <f>VLOOKUP(B1146,purchase_dataset!$B$2:$F$2241,3,FALSE)</f>
        <v>0</v>
      </c>
      <c r="N1146">
        <f>VLOOKUP(B1146,purchase_dataset!$B$2:$F$2241,5,FALSE)</f>
        <v>4</v>
      </c>
      <c r="O1146" s="5">
        <v>64</v>
      </c>
      <c r="P1146" s="4" t="str">
        <f t="shared" si="34"/>
        <v>&gt;50</v>
      </c>
      <c r="Q1146" s="4">
        <f>M1146+N1146</f>
        <v>4</v>
      </c>
      <c r="U1146" s="28" t="str" cm="1">
        <f t="array" ref="U1146">_xlfn.IFS(F1146&lt;30000,"30k",F1146&lt;=50000,"30k-50k",F1146&lt;=75000,"50k-75k",F1146&lt;=100000,"75k-100k",F1146&gt;100000,"100k")</f>
        <v>30k-50k</v>
      </c>
      <c r="W1146" s="1">
        <f t="shared" si="35"/>
        <v>13</v>
      </c>
    </row>
    <row r="1147" spans="1:23" x14ac:dyDescent="0.35">
      <c r="A1147">
        <v>1144</v>
      </c>
      <c r="B1147">
        <v>819</v>
      </c>
      <c r="C1147">
        <v>1945</v>
      </c>
      <c r="D1147" s="1" t="s">
        <v>10</v>
      </c>
      <c r="E1147" s="1" t="s">
        <v>19</v>
      </c>
      <c r="F1147">
        <v>63285</v>
      </c>
      <c r="G1147">
        <v>0</v>
      </c>
      <c r="H1147" s="2">
        <v>0</v>
      </c>
      <c r="I1147" s="2">
        <v>41583</v>
      </c>
      <c r="J1147">
        <v>84</v>
      </c>
      <c r="K1147">
        <f>VLOOKUP(B1147,purchase_dataset!$B$2:$F$2241,2,FALSE)</f>
        <v>124</v>
      </c>
      <c r="L1147">
        <f>VLOOKUP(B1147,purchase_dataset!$B$2:$F$2241,3,FALSE)</f>
        <v>38</v>
      </c>
      <c r="M1147">
        <f>VLOOKUP(B1147,purchase_dataset!$B$2:$F$2241,3,FALSE)</f>
        <v>38</v>
      </c>
      <c r="N1147">
        <f>VLOOKUP(B1147,purchase_dataset!$B$2:$F$2241,5,FALSE)</f>
        <v>13</v>
      </c>
      <c r="O1147" s="5">
        <v>81</v>
      </c>
      <c r="P1147" s="4" t="str">
        <f t="shared" si="34"/>
        <v>&gt;50</v>
      </c>
      <c r="Q1147" s="4">
        <f>M1147+N1147</f>
        <v>51</v>
      </c>
      <c r="U1147" s="28" t="str" cm="1">
        <f t="array" ref="U1147">_xlfn.IFS(F1147&lt;30000,"30k",F1147&lt;=50000,"30k-50k",F1147&lt;=75000,"50k-75k",F1147&lt;=100000,"75k-100k",F1147&gt;100000,"100k")</f>
        <v>50k-75k</v>
      </c>
      <c r="W1147" s="1">
        <f t="shared" si="35"/>
        <v>13</v>
      </c>
    </row>
    <row r="1148" spans="1:23" x14ac:dyDescent="0.35">
      <c r="A1148">
        <v>1145</v>
      </c>
      <c r="B1148">
        <v>4961</v>
      </c>
      <c r="C1148">
        <v>1974</v>
      </c>
      <c r="D1148" s="1" t="s">
        <v>15</v>
      </c>
      <c r="E1148" s="1" t="s">
        <v>12</v>
      </c>
      <c r="F1148">
        <v>21255</v>
      </c>
      <c r="G1148">
        <v>1</v>
      </c>
      <c r="H1148" s="2">
        <v>0</v>
      </c>
      <c r="I1148" s="2">
        <v>41660</v>
      </c>
      <c r="J1148">
        <v>56</v>
      </c>
      <c r="K1148">
        <f>VLOOKUP(B1148,purchase_dataset!$B$2:$F$2241,2,FALSE)</f>
        <v>0</v>
      </c>
      <c r="L1148">
        <f>VLOOKUP(B1148,purchase_dataset!$B$2:$F$2241,3,FALSE)</f>
        <v>2</v>
      </c>
      <c r="M1148">
        <f>VLOOKUP(B1148,purchase_dataset!$B$2:$F$2241,3,FALSE)</f>
        <v>2</v>
      </c>
      <c r="N1148">
        <f>VLOOKUP(B1148,purchase_dataset!$B$2:$F$2241,5,FALSE)</f>
        <v>4</v>
      </c>
      <c r="O1148" s="5">
        <v>52</v>
      </c>
      <c r="P1148" s="4" t="str">
        <f t="shared" si="34"/>
        <v>&gt;50</v>
      </c>
      <c r="Q1148" s="4">
        <f>M1148+N1148</f>
        <v>6</v>
      </c>
      <c r="U1148" s="28" t="str" cm="1">
        <f t="array" ref="U1148">_xlfn.IFS(F1148&lt;30000,"30k",F1148&lt;=50000,"30k-50k",F1148&lt;=75000,"50k-75k",F1148&lt;=100000,"75k-100k",F1148&gt;100000,"100k")</f>
        <v>30k</v>
      </c>
      <c r="W1148" s="1">
        <f t="shared" si="35"/>
        <v>12</v>
      </c>
    </row>
    <row r="1149" spans="1:23" x14ac:dyDescent="0.35">
      <c r="A1149">
        <v>1146</v>
      </c>
      <c r="B1149">
        <v>749</v>
      </c>
      <c r="C1149">
        <v>1981</v>
      </c>
      <c r="D1149" s="1" t="s">
        <v>10</v>
      </c>
      <c r="E1149" s="1" t="s">
        <v>12</v>
      </c>
      <c r="F1149">
        <v>42162</v>
      </c>
      <c r="G1149">
        <v>1</v>
      </c>
      <c r="H1149" s="2">
        <v>0</v>
      </c>
      <c r="I1149" s="2">
        <v>41597</v>
      </c>
      <c r="J1149">
        <v>31</v>
      </c>
      <c r="K1149">
        <f>VLOOKUP(B1149,purchase_dataset!$B$2:$F$2241,2,FALSE)</f>
        <v>7</v>
      </c>
      <c r="L1149">
        <f>VLOOKUP(B1149,purchase_dataset!$B$2:$F$2241,3,FALSE)</f>
        <v>4</v>
      </c>
      <c r="M1149">
        <f>VLOOKUP(B1149,purchase_dataset!$B$2:$F$2241,3,FALSE)</f>
        <v>4</v>
      </c>
      <c r="N1149">
        <f>VLOOKUP(B1149,purchase_dataset!$B$2:$F$2241,5,FALSE)</f>
        <v>3</v>
      </c>
      <c r="O1149" s="5">
        <v>45</v>
      </c>
      <c r="P1149" s="4" t="str">
        <f t="shared" si="34"/>
        <v>30-50</v>
      </c>
      <c r="Q1149" s="4">
        <f>M1149+N1149</f>
        <v>7</v>
      </c>
      <c r="U1149" s="28" t="str" cm="1">
        <f t="array" ref="U1149">_xlfn.IFS(F1149&lt;30000,"30k",F1149&lt;=50000,"30k-50k",F1149&lt;=75000,"50k-75k",F1149&lt;=100000,"75k-100k",F1149&gt;100000,"100k")</f>
        <v>30k-50k</v>
      </c>
      <c r="W1149" s="1">
        <f t="shared" si="35"/>
        <v>13</v>
      </c>
    </row>
    <row r="1150" spans="1:23" x14ac:dyDescent="0.35">
      <c r="A1150">
        <v>1147</v>
      </c>
      <c r="B1150">
        <v>5430</v>
      </c>
      <c r="C1150">
        <v>1956</v>
      </c>
      <c r="D1150" s="1" t="s">
        <v>10</v>
      </c>
      <c r="E1150" s="1" t="s">
        <v>12</v>
      </c>
      <c r="F1150">
        <v>54450</v>
      </c>
      <c r="G1150">
        <v>1</v>
      </c>
      <c r="H1150" s="2">
        <v>1</v>
      </c>
      <c r="I1150" s="2">
        <v>41166</v>
      </c>
      <c r="J1150">
        <v>0</v>
      </c>
      <c r="K1150">
        <f>VLOOKUP(B1150,purchase_dataset!$B$2:$F$2241,2,FALSE)</f>
        <v>0</v>
      </c>
      <c r="L1150">
        <f>VLOOKUP(B1150,purchase_dataset!$B$2:$F$2241,3,FALSE)</f>
        <v>19</v>
      </c>
      <c r="M1150">
        <f>VLOOKUP(B1150,purchase_dataset!$B$2:$F$2241,3,FALSE)</f>
        <v>19</v>
      </c>
      <c r="N1150">
        <f>VLOOKUP(B1150,purchase_dataset!$B$2:$F$2241,5,FALSE)</f>
        <v>8</v>
      </c>
      <c r="O1150" s="5">
        <v>70</v>
      </c>
      <c r="P1150" s="4" t="str">
        <f t="shared" si="34"/>
        <v>&gt;50</v>
      </c>
      <c r="Q1150" s="4">
        <f>M1150+N1150</f>
        <v>27</v>
      </c>
      <c r="U1150" s="28" t="str" cm="1">
        <f t="array" ref="U1150">_xlfn.IFS(F1150&lt;30000,"30k",F1150&lt;=50000,"30k-50k",F1150&lt;=75000,"50k-75k",F1150&lt;=100000,"75k-100k",F1150&gt;100000,"100k")</f>
        <v>50k-75k</v>
      </c>
      <c r="W1150" s="1">
        <f t="shared" si="35"/>
        <v>14</v>
      </c>
    </row>
    <row r="1151" spans="1:23" x14ac:dyDescent="0.35">
      <c r="A1151">
        <v>1148</v>
      </c>
      <c r="B1151">
        <v>7755</v>
      </c>
      <c r="C1151">
        <v>1954</v>
      </c>
      <c r="D1151" s="1" t="s">
        <v>13</v>
      </c>
      <c r="E1151" s="1" t="s">
        <v>14</v>
      </c>
      <c r="F1151">
        <v>57744</v>
      </c>
      <c r="G1151">
        <v>0</v>
      </c>
      <c r="H1151" s="2">
        <v>1</v>
      </c>
      <c r="I1151" s="2">
        <v>41590</v>
      </c>
      <c r="J1151">
        <v>91</v>
      </c>
      <c r="K1151">
        <f>VLOOKUP(B1151,purchase_dataset!$B$2:$F$2241,2,FALSE)</f>
        <v>3</v>
      </c>
      <c r="L1151">
        <f>VLOOKUP(B1151,purchase_dataset!$B$2:$F$2241,3,FALSE)</f>
        <v>0</v>
      </c>
      <c r="M1151">
        <f>VLOOKUP(B1151,purchase_dataset!$B$2:$F$2241,3,FALSE)</f>
        <v>0</v>
      </c>
      <c r="N1151">
        <f>VLOOKUP(B1151,purchase_dataset!$B$2:$F$2241,5,FALSE)</f>
        <v>4</v>
      </c>
      <c r="O1151" s="5">
        <v>72</v>
      </c>
      <c r="P1151" s="4" t="str">
        <f t="shared" si="34"/>
        <v>&gt;50</v>
      </c>
      <c r="Q1151" s="4">
        <f>M1151+N1151</f>
        <v>4</v>
      </c>
      <c r="U1151" s="28" t="str" cm="1">
        <f t="array" ref="U1151">_xlfn.IFS(F1151&lt;30000,"30k",F1151&lt;=50000,"30k-50k",F1151&lt;=75000,"50k-75k",F1151&lt;=100000,"75k-100k",F1151&gt;100000,"100k")</f>
        <v>50k-75k</v>
      </c>
      <c r="W1151" s="1">
        <f t="shared" si="35"/>
        <v>13</v>
      </c>
    </row>
    <row r="1152" spans="1:23" x14ac:dyDescent="0.35">
      <c r="A1152">
        <v>1149</v>
      </c>
      <c r="B1152">
        <v>10525</v>
      </c>
      <c r="C1152">
        <v>1986</v>
      </c>
      <c r="D1152" s="1" t="s">
        <v>10</v>
      </c>
      <c r="E1152" s="1" t="s">
        <v>11</v>
      </c>
      <c r="F1152">
        <v>26576</v>
      </c>
      <c r="G1152">
        <v>1</v>
      </c>
      <c r="H1152" s="2">
        <v>0</v>
      </c>
      <c r="I1152" s="2">
        <v>41195</v>
      </c>
      <c r="J1152">
        <v>40</v>
      </c>
      <c r="K1152">
        <f>VLOOKUP(B1152,purchase_dataset!$B$2:$F$2241,2,FALSE)</f>
        <v>0</v>
      </c>
      <c r="L1152">
        <f>VLOOKUP(B1152,purchase_dataset!$B$2:$F$2241,3,FALSE)</f>
        <v>0</v>
      </c>
      <c r="M1152">
        <f>VLOOKUP(B1152,purchase_dataset!$B$2:$F$2241,3,FALSE)</f>
        <v>0</v>
      </c>
      <c r="N1152">
        <f>VLOOKUP(B1152,purchase_dataset!$B$2:$F$2241,5,FALSE)</f>
        <v>2</v>
      </c>
      <c r="O1152" s="5">
        <v>40</v>
      </c>
      <c r="P1152" s="4" t="str">
        <f t="shared" si="34"/>
        <v>30-50</v>
      </c>
      <c r="Q1152" s="4">
        <f>M1152+N1152</f>
        <v>2</v>
      </c>
      <c r="U1152" s="28" t="str" cm="1">
        <f t="array" ref="U1152">_xlfn.IFS(F1152&lt;30000,"30k",F1152&lt;=50000,"30k-50k",F1152&lt;=75000,"50k-75k",F1152&lt;=100000,"75k-100k",F1152&gt;100000,"100k")</f>
        <v>30k</v>
      </c>
      <c r="W1152" s="1">
        <f t="shared" si="35"/>
        <v>14</v>
      </c>
    </row>
    <row r="1153" spans="1:23" x14ac:dyDescent="0.35">
      <c r="A1153">
        <v>1150</v>
      </c>
      <c r="B1153">
        <v>1453</v>
      </c>
      <c r="C1153">
        <v>1943</v>
      </c>
      <c r="D1153" s="1" t="s">
        <v>13</v>
      </c>
      <c r="E1153" s="1" t="s">
        <v>19</v>
      </c>
      <c r="F1153">
        <v>57513</v>
      </c>
      <c r="G1153">
        <v>0</v>
      </c>
      <c r="H1153" s="2">
        <v>0</v>
      </c>
      <c r="I1153" s="2">
        <v>41461</v>
      </c>
      <c r="J1153">
        <v>59</v>
      </c>
      <c r="K1153">
        <f>VLOOKUP(B1153,purchase_dataset!$B$2:$F$2241,2,FALSE)</f>
        <v>40</v>
      </c>
      <c r="L1153">
        <f>VLOOKUP(B1153,purchase_dataset!$B$2:$F$2241,3,FALSE)</f>
        <v>20</v>
      </c>
      <c r="M1153">
        <f>VLOOKUP(B1153,purchase_dataset!$B$2:$F$2241,3,FALSE)</f>
        <v>20</v>
      </c>
      <c r="N1153">
        <f>VLOOKUP(B1153,purchase_dataset!$B$2:$F$2241,5,FALSE)</f>
        <v>13</v>
      </c>
      <c r="O1153" s="5">
        <v>83</v>
      </c>
      <c r="P1153" s="4" t="str">
        <f t="shared" si="34"/>
        <v>&gt;50</v>
      </c>
      <c r="Q1153" s="4">
        <f>M1153+N1153</f>
        <v>33</v>
      </c>
      <c r="U1153" s="28" t="str" cm="1">
        <f t="array" ref="U1153">_xlfn.IFS(F1153&lt;30000,"30k",F1153&lt;=50000,"30k-50k",F1153&lt;=75000,"50k-75k",F1153&lt;=100000,"75k-100k",F1153&gt;100000,"100k")</f>
        <v>50k-75k</v>
      </c>
      <c r="W1153" s="1">
        <f t="shared" si="35"/>
        <v>13</v>
      </c>
    </row>
    <row r="1154" spans="1:23" x14ac:dyDescent="0.35">
      <c r="A1154">
        <v>1151</v>
      </c>
      <c r="B1154">
        <v>8310</v>
      </c>
      <c r="C1154">
        <v>1964</v>
      </c>
      <c r="D1154" s="1" t="s">
        <v>10</v>
      </c>
      <c r="E1154" s="1" t="s">
        <v>12</v>
      </c>
      <c r="F1154">
        <v>68142</v>
      </c>
      <c r="G1154">
        <v>0</v>
      </c>
      <c r="H1154" s="2">
        <v>1</v>
      </c>
      <c r="I1154" s="2">
        <v>41150</v>
      </c>
      <c r="J1154">
        <v>96</v>
      </c>
      <c r="K1154">
        <f>VLOOKUP(B1154,purchase_dataset!$B$2:$F$2241,2,FALSE)</f>
        <v>126</v>
      </c>
      <c r="L1154">
        <f>VLOOKUP(B1154,purchase_dataset!$B$2:$F$2241,3,FALSE)</f>
        <v>112</v>
      </c>
      <c r="M1154">
        <f>VLOOKUP(B1154,purchase_dataset!$B$2:$F$2241,3,FALSE)</f>
        <v>112</v>
      </c>
      <c r="N1154">
        <f>VLOOKUP(B1154,purchase_dataset!$B$2:$F$2241,5,FALSE)</f>
        <v>7</v>
      </c>
      <c r="O1154" s="5">
        <v>62</v>
      </c>
      <c r="P1154" s="4" t="str">
        <f t="shared" si="34"/>
        <v>&gt;50</v>
      </c>
      <c r="Q1154" s="4">
        <f>M1154+N1154</f>
        <v>119</v>
      </c>
      <c r="U1154" s="28" t="str" cm="1">
        <f t="array" ref="U1154">_xlfn.IFS(F1154&lt;30000,"30k",F1154&lt;=50000,"30k-50k",F1154&lt;=75000,"50k-75k",F1154&lt;=100000,"75k-100k",F1154&gt;100000,"100k")</f>
        <v>50k-75k</v>
      </c>
      <c r="W1154" s="1">
        <f t="shared" si="35"/>
        <v>14</v>
      </c>
    </row>
    <row r="1155" spans="1:23" x14ac:dyDescent="0.35">
      <c r="A1155">
        <v>1152</v>
      </c>
      <c r="B1155">
        <v>10710</v>
      </c>
      <c r="C1155">
        <v>1979</v>
      </c>
      <c r="D1155" s="1" t="s">
        <v>10</v>
      </c>
      <c r="E1155" s="1" t="s">
        <v>14</v>
      </c>
      <c r="F1155">
        <v>7500</v>
      </c>
      <c r="G1155">
        <v>0</v>
      </c>
      <c r="H1155" s="2">
        <v>1</v>
      </c>
      <c r="I1155" s="2">
        <v>41150</v>
      </c>
      <c r="J1155">
        <v>61</v>
      </c>
      <c r="K1155">
        <f>VLOOKUP(B1155,purchase_dataset!$B$2:$F$2241,2,FALSE)</f>
        <v>2</v>
      </c>
      <c r="L1155">
        <f>VLOOKUP(B1155,purchase_dataset!$B$2:$F$2241,3,FALSE)</f>
        <v>0</v>
      </c>
      <c r="M1155">
        <f>VLOOKUP(B1155,purchase_dataset!$B$2:$F$2241,3,FALSE)</f>
        <v>0</v>
      </c>
      <c r="N1155">
        <f>VLOOKUP(B1155,purchase_dataset!$B$2:$F$2241,5,FALSE)</f>
        <v>2</v>
      </c>
      <c r="O1155" s="5">
        <v>47</v>
      </c>
      <c r="P1155" s="4" t="str">
        <f t="shared" si="34"/>
        <v>30-50</v>
      </c>
      <c r="Q1155" s="4">
        <f>M1155+N1155</f>
        <v>2</v>
      </c>
      <c r="U1155" s="28" t="str" cm="1">
        <f t="array" ref="U1155">_xlfn.IFS(F1155&lt;30000,"30k",F1155&lt;=50000,"30k-50k",F1155&lt;=75000,"50k-75k",F1155&lt;=100000,"75k-100k",F1155&gt;100000,"100k")</f>
        <v>30k</v>
      </c>
      <c r="W1155" s="1">
        <f t="shared" si="35"/>
        <v>14</v>
      </c>
    </row>
    <row r="1156" spans="1:23" x14ac:dyDescent="0.35">
      <c r="A1156">
        <v>1153</v>
      </c>
      <c r="B1156">
        <v>5031</v>
      </c>
      <c r="C1156">
        <v>1974</v>
      </c>
      <c r="D1156" s="1" t="s">
        <v>10</v>
      </c>
      <c r="E1156" s="1" t="s">
        <v>12</v>
      </c>
      <c r="F1156">
        <v>83145</v>
      </c>
      <c r="G1156">
        <v>0</v>
      </c>
      <c r="H1156" s="2">
        <v>0</v>
      </c>
      <c r="I1156" s="2">
        <v>41174</v>
      </c>
      <c r="J1156">
        <v>14</v>
      </c>
      <c r="K1156">
        <f>VLOOKUP(B1156,purchase_dataset!$B$2:$F$2241,2,FALSE)</f>
        <v>35</v>
      </c>
      <c r="L1156">
        <f>VLOOKUP(B1156,purchase_dataset!$B$2:$F$2241,3,FALSE)</f>
        <v>137</v>
      </c>
      <c r="M1156">
        <f>VLOOKUP(B1156,purchase_dataset!$B$2:$F$2241,3,FALSE)</f>
        <v>137</v>
      </c>
      <c r="N1156">
        <f>VLOOKUP(B1156,purchase_dataset!$B$2:$F$2241,5,FALSE)</f>
        <v>11</v>
      </c>
      <c r="O1156" s="5">
        <v>52</v>
      </c>
      <c r="P1156" s="4" t="str">
        <f t="shared" ref="P1156:P1219" si="36">IF(O1156&lt;30,"30",IF(O1156&lt;=50,"30-50","&gt;50"))</f>
        <v>&gt;50</v>
      </c>
      <c r="Q1156" s="4">
        <f>M1156+N1156</f>
        <v>148</v>
      </c>
      <c r="U1156" s="28" t="str" cm="1">
        <f t="array" ref="U1156">_xlfn.IFS(F1156&lt;30000,"30k",F1156&lt;=50000,"30k-50k",F1156&lt;=75000,"50k-75k",F1156&lt;=100000,"75k-100k",F1156&gt;100000,"100k")</f>
        <v>75k-100k</v>
      </c>
      <c r="W1156" s="1">
        <f t="shared" ref="W1156:W1219" si="37">2026-YEAR(I1156)</f>
        <v>14</v>
      </c>
    </row>
    <row r="1157" spans="1:23" x14ac:dyDescent="0.35">
      <c r="A1157">
        <v>1154</v>
      </c>
      <c r="B1157">
        <v>2613</v>
      </c>
      <c r="C1157">
        <v>1960</v>
      </c>
      <c r="D1157" s="1" t="s">
        <v>15</v>
      </c>
      <c r="E1157" s="1" t="s">
        <v>14</v>
      </c>
      <c r="F1157">
        <v>54197</v>
      </c>
      <c r="G1157">
        <v>0</v>
      </c>
      <c r="H1157" s="2">
        <v>1</v>
      </c>
      <c r="I1157" s="2">
        <v>41732</v>
      </c>
      <c r="J1157">
        <v>16</v>
      </c>
      <c r="K1157">
        <f>VLOOKUP(B1157,purchase_dataset!$B$2:$F$2241,2,FALSE)</f>
        <v>6</v>
      </c>
      <c r="L1157">
        <f>VLOOKUP(B1157,purchase_dataset!$B$2:$F$2241,3,FALSE)</f>
        <v>13</v>
      </c>
      <c r="M1157">
        <f>VLOOKUP(B1157,purchase_dataset!$B$2:$F$2241,3,FALSE)</f>
        <v>13</v>
      </c>
      <c r="N1157">
        <f>VLOOKUP(B1157,purchase_dataset!$B$2:$F$2241,5,FALSE)</f>
        <v>6</v>
      </c>
      <c r="O1157" s="5">
        <v>66</v>
      </c>
      <c r="P1157" s="4" t="str">
        <f t="shared" si="36"/>
        <v>&gt;50</v>
      </c>
      <c r="Q1157" s="4">
        <f>M1157+N1157</f>
        <v>19</v>
      </c>
      <c r="U1157" s="28" t="str" cm="1">
        <f t="array" ref="U1157">_xlfn.IFS(F1157&lt;30000,"30k",F1157&lt;=50000,"30k-50k",F1157&lt;=75000,"50k-75k",F1157&lt;=100000,"75k-100k",F1157&gt;100000,"100k")</f>
        <v>50k-75k</v>
      </c>
      <c r="W1157" s="1">
        <f t="shared" si="37"/>
        <v>12</v>
      </c>
    </row>
    <row r="1158" spans="1:23" x14ac:dyDescent="0.35">
      <c r="A1158">
        <v>1155</v>
      </c>
      <c r="B1158">
        <v>213</v>
      </c>
      <c r="C1158">
        <v>1963</v>
      </c>
      <c r="D1158" s="1" t="s">
        <v>13</v>
      </c>
      <c r="E1158" s="1" t="s">
        <v>11</v>
      </c>
      <c r="F1158">
        <v>23091</v>
      </c>
      <c r="G1158">
        <v>1</v>
      </c>
      <c r="H1158" s="2">
        <v>1</v>
      </c>
      <c r="I1158" s="2">
        <v>41787</v>
      </c>
      <c r="J1158">
        <v>98</v>
      </c>
      <c r="K1158">
        <f>VLOOKUP(B1158,purchase_dataset!$B$2:$F$2241,2,FALSE)</f>
        <v>0</v>
      </c>
      <c r="L1158">
        <f>VLOOKUP(B1158,purchase_dataset!$B$2:$F$2241,3,FALSE)</f>
        <v>0</v>
      </c>
      <c r="M1158">
        <f>VLOOKUP(B1158,purchase_dataset!$B$2:$F$2241,3,FALSE)</f>
        <v>0</v>
      </c>
      <c r="N1158">
        <f>VLOOKUP(B1158,purchase_dataset!$B$2:$F$2241,5,FALSE)</f>
        <v>3</v>
      </c>
      <c r="O1158" s="5">
        <v>63</v>
      </c>
      <c r="P1158" s="4" t="str">
        <f t="shared" si="36"/>
        <v>&gt;50</v>
      </c>
      <c r="Q1158" s="4">
        <f>M1158+N1158</f>
        <v>3</v>
      </c>
      <c r="U1158" s="28" t="str" cm="1">
        <f t="array" ref="U1158">_xlfn.IFS(F1158&lt;30000,"30k",F1158&lt;=50000,"30k-50k",F1158&lt;=75000,"50k-75k",F1158&lt;=100000,"75k-100k",F1158&gt;100000,"100k")</f>
        <v>30k</v>
      </c>
      <c r="W1158" s="1">
        <f t="shared" si="37"/>
        <v>12</v>
      </c>
    </row>
    <row r="1159" spans="1:23" x14ac:dyDescent="0.35">
      <c r="A1159">
        <v>1156</v>
      </c>
      <c r="B1159">
        <v>967</v>
      </c>
      <c r="C1159">
        <v>1976</v>
      </c>
      <c r="D1159" s="1" t="s">
        <v>10</v>
      </c>
      <c r="E1159" s="1" t="s">
        <v>14</v>
      </c>
      <c r="F1159">
        <v>46049</v>
      </c>
      <c r="G1159">
        <v>1</v>
      </c>
      <c r="H1159" s="2">
        <v>1</v>
      </c>
      <c r="I1159" s="2">
        <v>41476</v>
      </c>
      <c r="J1159">
        <v>11</v>
      </c>
      <c r="K1159">
        <f>VLOOKUP(B1159,purchase_dataset!$B$2:$F$2241,2,FALSE)</f>
        <v>9</v>
      </c>
      <c r="L1159">
        <f>VLOOKUP(B1159,purchase_dataset!$B$2:$F$2241,3,FALSE)</f>
        <v>14</v>
      </c>
      <c r="M1159">
        <f>VLOOKUP(B1159,purchase_dataset!$B$2:$F$2241,3,FALSE)</f>
        <v>14</v>
      </c>
      <c r="N1159">
        <f>VLOOKUP(B1159,purchase_dataset!$B$2:$F$2241,5,FALSE)</f>
        <v>9</v>
      </c>
      <c r="O1159" s="5">
        <v>50</v>
      </c>
      <c r="P1159" s="4" t="str">
        <f t="shared" si="36"/>
        <v>30-50</v>
      </c>
      <c r="Q1159" s="4">
        <f>M1159+N1159</f>
        <v>23</v>
      </c>
      <c r="U1159" s="28" t="str" cm="1">
        <f t="array" ref="U1159">_xlfn.IFS(F1159&lt;30000,"30k",F1159&lt;=50000,"30k-50k",F1159&lt;=75000,"50k-75k",F1159&lt;=100000,"75k-100k",F1159&gt;100000,"100k")</f>
        <v>30k-50k</v>
      </c>
      <c r="W1159" s="1">
        <f t="shared" si="37"/>
        <v>13</v>
      </c>
    </row>
    <row r="1160" spans="1:23" x14ac:dyDescent="0.35">
      <c r="A1160">
        <v>1157</v>
      </c>
      <c r="B1160">
        <v>1077</v>
      </c>
      <c r="C1160">
        <v>1974</v>
      </c>
      <c r="D1160" s="1" t="s">
        <v>10</v>
      </c>
      <c r="E1160" s="1" t="s">
        <v>12</v>
      </c>
      <c r="F1160">
        <v>56715</v>
      </c>
      <c r="G1160">
        <v>0</v>
      </c>
      <c r="H1160" s="2">
        <v>0</v>
      </c>
      <c r="I1160" s="2">
        <v>41248</v>
      </c>
      <c r="J1160">
        <v>52</v>
      </c>
      <c r="K1160">
        <f>VLOOKUP(B1160,purchase_dataset!$B$2:$F$2241,2,FALSE)</f>
        <v>105</v>
      </c>
      <c r="L1160">
        <f>VLOOKUP(B1160,purchase_dataset!$B$2:$F$2241,3,FALSE)</f>
        <v>172</v>
      </c>
      <c r="M1160">
        <f>VLOOKUP(B1160,purchase_dataset!$B$2:$F$2241,3,FALSE)</f>
        <v>172</v>
      </c>
      <c r="N1160">
        <f>VLOOKUP(B1160,purchase_dataset!$B$2:$F$2241,5,FALSE)</f>
        <v>4</v>
      </c>
      <c r="O1160" s="5">
        <v>52</v>
      </c>
      <c r="P1160" s="4" t="str">
        <f t="shared" si="36"/>
        <v>&gt;50</v>
      </c>
      <c r="Q1160" s="4">
        <f>M1160+N1160</f>
        <v>176</v>
      </c>
      <c r="U1160" s="28" t="str" cm="1">
        <f t="array" ref="U1160">_xlfn.IFS(F1160&lt;30000,"30k",F1160&lt;=50000,"30k-50k",F1160&lt;=75000,"50k-75k",F1160&lt;=100000,"75k-100k",F1160&gt;100000,"100k")</f>
        <v>50k-75k</v>
      </c>
      <c r="W1160" s="1">
        <f t="shared" si="37"/>
        <v>14</v>
      </c>
    </row>
    <row r="1161" spans="1:23" x14ac:dyDescent="0.35">
      <c r="A1161">
        <v>1158</v>
      </c>
      <c r="B1161">
        <v>7959</v>
      </c>
      <c r="C1161">
        <v>1961</v>
      </c>
      <c r="D1161" s="1" t="s">
        <v>10</v>
      </c>
      <c r="E1161" s="1" t="s">
        <v>14</v>
      </c>
      <c r="F1161">
        <v>79410</v>
      </c>
      <c r="G1161">
        <v>0</v>
      </c>
      <c r="H1161" s="2">
        <v>0</v>
      </c>
      <c r="I1161" s="2">
        <v>41788</v>
      </c>
      <c r="J1161">
        <v>19</v>
      </c>
      <c r="K1161">
        <f>VLOOKUP(B1161,purchase_dataset!$B$2:$F$2241,2,FALSE)</f>
        <v>80</v>
      </c>
      <c r="L1161">
        <f>VLOOKUP(B1161,purchase_dataset!$B$2:$F$2241,3,FALSE)</f>
        <v>13</v>
      </c>
      <c r="M1161">
        <f>VLOOKUP(B1161,purchase_dataset!$B$2:$F$2241,3,FALSE)</f>
        <v>13</v>
      </c>
      <c r="N1161">
        <f>VLOOKUP(B1161,purchase_dataset!$B$2:$F$2241,5,FALSE)</f>
        <v>5</v>
      </c>
      <c r="O1161" s="5">
        <v>65</v>
      </c>
      <c r="P1161" s="4" t="str">
        <f t="shared" si="36"/>
        <v>&gt;50</v>
      </c>
      <c r="Q1161" s="4">
        <f>M1161+N1161</f>
        <v>18</v>
      </c>
      <c r="U1161" s="28" t="str" cm="1">
        <f t="array" ref="U1161">_xlfn.IFS(F1161&lt;30000,"30k",F1161&lt;=50000,"30k-50k",F1161&lt;=75000,"50k-75k",F1161&lt;=100000,"75k-100k",F1161&gt;100000,"100k")</f>
        <v>75k-100k</v>
      </c>
      <c r="W1161" s="1">
        <f t="shared" si="37"/>
        <v>12</v>
      </c>
    </row>
    <row r="1162" spans="1:23" x14ac:dyDescent="0.35">
      <c r="A1162">
        <v>1159</v>
      </c>
      <c r="B1162">
        <v>640</v>
      </c>
      <c r="C1162">
        <v>1951</v>
      </c>
      <c r="D1162" s="1" t="s">
        <v>10</v>
      </c>
      <c r="E1162" s="1" t="s">
        <v>14</v>
      </c>
      <c r="F1162">
        <v>57304</v>
      </c>
      <c r="G1162">
        <v>0</v>
      </c>
      <c r="H1162" s="2">
        <v>1</v>
      </c>
      <c r="I1162" s="2">
        <v>41344</v>
      </c>
      <c r="J1162">
        <v>61</v>
      </c>
      <c r="K1162">
        <f>VLOOKUP(B1162,purchase_dataset!$B$2:$F$2241,2,FALSE)</f>
        <v>80</v>
      </c>
      <c r="L1162">
        <f>VLOOKUP(B1162,purchase_dataset!$B$2:$F$2241,3,FALSE)</f>
        <v>17</v>
      </c>
      <c r="M1162">
        <f>VLOOKUP(B1162,purchase_dataset!$B$2:$F$2241,3,FALSE)</f>
        <v>17</v>
      </c>
      <c r="N1162">
        <f>VLOOKUP(B1162,purchase_dataset!$B$2:$F$2241,5,FALSE)</f>
        <v>10</v>
      </c>
      <c r="O1162" s="5">
        <v>75</v>
      </c>
      <c r="P1162" s="4" t="str">
        <f t="shared" si="36"/>
        <v>&gt;50</v>
      </c>
      <c r="Q1162" s="4">
        <f>M1162+N1162</f>
        <v>27</v>
      </c>
      <c r="U1162" s="28" t="str" cm="1">
        <f t="array" ref="U1162">_xlfn.IFS(F1162&lt;30000,"30k",F1162&lt;=50000,"30k-50k",F1162&lt;=75000,"50k-75k",F1162&lt;=100000,"75k-100k",F1162&gt;100000,"100k")</f>
        <v>50k-75k</v>
      </c>
      <c r="W1162" s="1">
        <f t="shared" si="37"/>
        <v>13</v>
      </c>
    </row>
    <row r="1163" spans="1:23" x14ac:dyDescent="0.35">
      <c r="A1163">
        <v>1160</v>
      </c>
      <c r="B1163">
        <v>4252</v>
      </c>
      <c r="C1163">
        <v>1965</v>
      </c>
      <c r="D1163" s="1" t="s">
        <v>10</v>
      </c>
      <c r="E1163" s="1" t="s">
        <v>14</v>
      </c>
      <c r="F1163">
        <v>44375</v>
      </c>
      <c r="G1163">
        <v>0</v>
      </c>
      <c r="H1163" s="2">
        <v>1</v>
      </c>
      <c r="I1163" s="2">
        <v>41721</v>
      </c>
      <c r="J1163">
        <v>73</v>
      </c>
      <c r="K1163">
        <f>VLOOKUP(B1163,purchase_dataset!$B$2:$F$2241,2,FALSE)</f>
        <v>5</v>
      </c>
      <c r="L1163">
        <f>VLOOKUP(B1163,purchase_dataset!$B$2:$F$2241,3,FALSE)</f>
        <v>7</v>
      </c>
      <c r="M1163">
        <f>VLOOKUP(B1163,purchase_dataset!$B$2:$F$2241,3,FALSE)</f>
        <v>7</v>
      </c>
      <c r="N1163">
        <f>VLOOKUP(B1163,purchase_dataset!$B$2:$F$2241,5,FALSE)</f>
        <v>6</v>
      </c>
      <c r="O1163" s="5">
        <v>61</v>
      </c>
      <c r="P1163" s="4" t="str">
        <f t="shared" si="36"/>
        <v>&gt;50</v>
      </c>
      <c r="Q1163" s="4">
        <f>M1163+N1163</f>
        <v>13</v>
      </c>
      <c r="U1163" s="28" t="str" cm="1">
        <f t="array" ref="U1163">_xlfn.IFS(F1163&lt;30000,"30k",F1163&lt;=50000,"30k-50k",F1163&lt;=75000,"50k-75k",F1163&lt;=100000,"75k-100k",F1163&gt;100000,"100k")</f>
        <v>30k-50k</v>
      </c>
      <c r="W1163" s="1">
        <f t="shared" si="37"/>
        <v>12</v>
      </c>
    </row>
    <row r="1164" spans="1:23" x14ac:dyDescent="0.35">
      <c r="A1164">
        <v>1161</v>
      </c>
      <c r="B1164">
        <v>8432</v>
      </c>
      <c r="C1164">
        <v>1956</v>
      </c>
      <c r="D1164" s="1" t="s">
        <v>10</v>
      </c>
      <c r="E1164" s="1" t="s">
        <v>12</v>
      </c>
      <c r="F1164">
        <v>54450</v>
      </c>
      <c r="G1164">
        <v>1</v>
      </c>
      <c r="H1164" s="2">
        <v>1</v>
      </c>
      <c r="I1164" s="2">
        <v>41166</v>
      </c>
      <c r="J1164">
        <v>0</v>
      </c>
      <c r="K1164">
        <f>VLOOKUP(B1164,purchase_dataset!$B$2:$F$2241,2,FALSE)</f>
        <v>0</v>
      </c>
      <c r="L1164">
        <f>VLOOKUP(B1164,purchase_dataset!$B$2:$F$2241,3,FALSE)</f>
        <v>19</v>
      </c>
      <c r="M1164">
        <f>VLOOKUP(B1164,purchase_dataset!$B$2:$F$2241,3,FALSE)</f>
        <v>19</v>
      </c>
      <c r="N1164">
        <f>VLOOKUP(B1164,purchase_dataset!$B$2:$F$2241,5,FALSE)</f>
        <v>8</v>
      </c>
      <c r="O1164" s="5">
        <v>70</v>
      </c>
      <c r="P1164" s="4" t="str">
        <f t="shared" si="36"/>
        <v>&gt;50</v>
      </c>
      <c r="Q1164" s="4">
        <f>M1164+N1164</f>
        <v>27</v>
      </c>
      <c r="U1164" s="28" t="str" cm="1">
        <f t="array" ref="U1164">_xlfn.IFS(F1164&lt;30000,"30k",F1164&lt;=50000,"30k-50k",F1164&lt;=75000,"50k-75k",F1164&lt;=100000,"75k-100k",F1164&gt;100000,"100k")</f>
        <v>50k-75k</v>
      </c>
      <c r="W1164" s="1">
        <f t="shared" si="37"/>
        <v>14</v>
      </c>
    </row>
    <row r="1165" spans="1:23" x14ac:dyDescent="0.35">
      <c r="A1165">
        <v>1162</v>
      </c>
      <c r="B1165">
        <v>6218</v>
      </c>
      <c r="C1165">
        <v>1965</v>
      </c>
      <c r="D1165" s="1" t="s">
        <v>10</v>
      </c>
      <c r="E1165" s="1" t="s">
        <v>14</v>
      </c>
      <c r="F1165">
        <v>59594</v>
      </c>
      <c r="G1165">
        <v>0</v>
      </c>
      <c r="H1165" s="2">
        <v>1</v>
      </c>
      <c r="I1165" s="2">
        <v>41202</v>
      </c>
      <c r="J1165">
        <v>74</v>
      </c>
      <c r="K1165">
        <f>VLOOKUP(B1165,purchase_dataset!$B$2:$F$2241,2,FALSE)</f>
        <v>4</v>
      </c>
      <c r="L1165">
        <f>VLOOKUP(B1165,purchase_dataset!$B$2:$F$2241,3,FALSE)</f>
        <v>0</v>
      </c>
      <c r="M1165">
        <f>VLOOKUP(B1165,purchase_dataset!$B$2:$F$2241,3,FALSE)</f>
        <v>0</v>
      </c>
      <c r="N1165">
        <f>VLOOKUP(B1165,purchase_dataset!$B$2:$F$2241,5,FALSE)</f>
        <v>7</v>
      </c>
      <c r="O1165" s="5">
        <v>61</v>
      </c>
      <c r="P1165" s="4" t="str">
        <f t="shared" si="36"/>
        <v>&gt;50</v>
      </c>
      <c r="Q1165" s="4">
        <f>M1165+N1165</f>
        <v>7</v>
      </c>
      <c r="U1165" s="28" t="str" cm="1">
        <f t="array" ref="U1165">_xlfn.IFS(F1165&lt;30000,"30k",F1165&lt;=50000,"30k-50k",F1165&lt;=75000,"50k-75k",F1165&lt;=100000,"75k-100k",F1165&gt;100000,"100k")</f>
        <v>50k-75k</v>
      </c>
      <c r="W1165" s="1">
        <f t="shared" si="37"/>
        <v>14</v>
      </c>
    </row>
    <row r="1166" spans="1:23" x14ac:dyDescent="0.35">
      <c r="A1166">
        <v>1163</v>
      </c>
      <c r="B1166">
        <v>6905</v>
      </c>
      <c r="C1166">
        <v>1994</v>
      </c>
      <c r="D1166" s="1" t="s">
        <v>10</v>
      </c>
      <c r="E1166" s="1" t="s">
        <v>12</v>
      </c>
      <c r="F1166">
        <v>80685</v>
      </c>
      <c r="G1166">
        <v>0</v>
      </c>
      <c r="H1166" s="2">
        <v>0</v>
      </c>
      <c r="I1166" s="2">
        <v>41143</v>
      </c>
      <c r="J1166">
        <v>55</v>
      </c>
      <c r="K1166">
        <f>VLOOKUP(B1166,purchase_dataset!$B$2:$F$2241,2,FALSE)</f>
        <v>45</v>
      </c>
      <c r="L1166">
        <f>VLOOKUP(B1166,purchase_dataset!$B$2:$F$2241,3,FALSE)</f>
        <v>26</v>
      </c>
      <c r="M1166">
        <f>VLOOKUP(B1166,purchase_dataset!$B$2:$F$2241,3,FALSE)</f>
        <v>26</v>
      </c>
      <c r="N1166">
        <f>VLOOKUP(B1166,purchase_dataset!$B$2:$F$2241,5,FALSE)</f>
        <v>10</v>
      </c>
      <c r="O1166" s="5">
        <v>32</v>
      </c>
      <c r="P1166" s="4" t="str">
        <f t="shared" si="36"/>
        <v>30-50</v>
      </c>
      <c r="Q1166" s="4">
        <f>M1166+N1166</f>
        <v>36</v>
      </c>
      <c r="U1166" s="28" t="str" cm="1">
        <f t="array" ref="U1166">_xlfn.IFS(F1166&lt;30000,"30k",F1166&lt;=50000,"30k-50k",F1166&lt;=75000,"50k-75k",F1166&lt;=100000,"75k-100k",F1166&gt;100000,"100k")</f>
        <v>75k-100k</v>
      </c>
      <c r="W1166" s="1">
        <f t="shared" si="37"/>
        <v>14</v>
      </c>
    </row>
    <row r="1167" spans="1:23" x14ac:dyDescent="0.35">
      <c r="A1167">
        <v>1164</v>
      </c>
      <c r="B1167">
        <v>5922</v>
      </c>
      <c r="C1167">
        <v>1974</v>
      </c>
      <c r="D1167" s="1" t="s">
        <v>13</v>
      </c>
      <c r="E1167" s="1" t="s">
        <v>14</v>
      </c>
      <c r="F1167">
        <v>40344</v>
      </c>
      <c r="G1167">
        <v>0</v>
      </c>
      <c r="H1167" s="2">
        <v>1</v>
      </c>
      <c r="I1167" s="2">
        <v>41560</v>
      </c>
      <c r="J1167">
        <v>48</v>
      </c>
      <c r="K1167">
        <f>VLOOKUP(B1167,purchase_dataset!$B$2:$F$2241,2,FALSE)</f>
        <v>0</v>
      </c>
      <c r="L1167">
        <f>VLOOKUP(B1167,purchase_dataset!$B$2:$F$2241,3,FALSE)</f>
        <v>0</v>
      </c>
      <c r="M1167">
        <f>VLOOKUP(B1167,purchase_dataset!$B$2:$F$2241,3,FALSE)</f>
        <v>0</v>
      </c>
      <c r="N1167">
        <f>VLOOKUP(B1167,purchase_dataset!$B$2:$F$2241,5,FALSE)</f>
        <v>5</v>
      </c>
      <c r="O1167" s="5">
        <v>52</v>
      </c>
      <c r="P1167" s="4" t="str">
        <f t="shared" si="36"/>
        <v>&gt;50</v>
      </c>
      <c r="Q1167" s="4">
        <f>M1167+N1167</f>
        <v>5</v>
      </c>
      <c r="U1167" s="28" t="str" cm="1">
        <f t="array" ref="U1167">_xlfn.IFS(F1167&lt;30000,"30k",F1167&lt;=50000,"30k-50k",F1167&lt;=75000,"50k-75k",F1167&lt;=100000,"75k-100k",F1167&gt;100000,"100k")</f>
        <v>30k-50k</v>
      </c>
      <c r="W1167" s="1">
        <f t="shared" si="37"/>
        <v>13</v>
      </c>
    </row>
    <row r="1168" spans="1:23" x14ac:dyDescent="0.35">
      <c r="A1168">
        <v>1165</v>
      </c>
      <c r="B1168">
        <v>3598</v>
      </c>
      <c r="C1168">
        <v>1972</v>
      </c>
      <c r="D1168" s="1" t="s">
        <v>10</v>
      </c>
      <c r="E1168" s="1" t="s">
        <v>14</v>
      </c>
      <c r="F1168">
        <v>62710</v>
      </c>
      <c r="G1168">
        <v>0</v>
      </c>
      <c r="H1168" s="2">
        <v>1</v>
      </c>
      <c r="I1168" s="2">
        <v>41417</v>
      </c>
      <c r="J1168">
        <v>53</v>
      </c>
      <c r="K1168">
        <f>VLOOKUP(B1168,purchase_dataset!$B$2:$F$2241,2,FALSE)</f>
        <v>35</v>
      </c>
      <c r="L1168">
        <f>VLOOKUP(B1168,purchase_dataset!$B$2:$F$2241,3,FALSE)</f>
        <v>29</v>
      </c>
      <c r="M1168">
        <f>VLOOKUP(B1168,purchase_dataset!$B$2:$F$2241,3,FALSE)</f>
        <v>29</v>
      </c>
      <c r="N1168">
        <f>VLOOKUP(B1168,purchase_dataset!$B$2:$F$2241,5,FALSE)</f>
        <v>12</v>
      </c>
      <c r="O1168" s="5">
        <v>54</v>
      </c>
      <c r="P1168" s="4" t="str">
        <f t="shared" si="36"/>
        <v>&gt;50</v>
      </c>
      <c r="Q1168" s="4">
        <f>M1168+N1168</f>
        <v>41</v>
      </c>
      <c r="U1168" s="28" t="str" cm="1">
        <f t="array" ref="U1168">_xlfn.IFS(F1168&lt;30000,"30k",F1168&lt;=50000,"30k-50k",F1168&lt;=75000,"50k-75k",F1168&lt;=100000,"75k-100k",F1168&gt;100000,"100k")</f>
        <v>50k-75k</v>
      </c>
      <c r="W1168" s="1">
        <f t="shared" si="37"/>
        <v>13</v>
      </c>
    </row>
    <row r="1169" spans="1:23" x14ac:dyDescent="0.35">
      <c r="A1169">
        <v>1166</v>
      </c>
      <c r="B1169">
        <v>6116</v>
      </c>
      <c r="C1169">
        <v>1968</v>
      </c>
      <c r="D1169" s="1" t="s">
        <v>18</v>
      </c>
      <c r="E1169" s="1" t="s">
        <v>14</v>
      </c>
      <c r="F1169">
        <v>48985</v>
      </c>
      <c r="G1169">
        <v>0</v>
      </c>
      <c r="H1169" s="2">
        <v>1</v>
      </c>
      <c r="I1169" s="2">
        <v>41460</v>
      </c>
      <c r="J1169">
        <v>13</v>
      </c>
      <c r="K1169">
        <f>VLOOKUP(B1169,purchase_dataset!$B$2:$F$2241,2,FALSE)</f>
        <v>13</v>
      </c>
      <c r="L1169">
        <f>VLOOKUP(B1169,purchase_dataset!$B$2:$F$2241,3,FALSE)</f>
        <v>7</v>
      </c>
      <c r="M1169">
        <f>VLOOKUP(B1169,purchase_dataset!$B$2:$F$2241,3,FALSE)</f>
        <v>7</v>
      </c>
      <c r="N1169">
        <f>VLOOKUP(B1169,purchase_dataset!$B$2:$F$2241,5,FALSE)</f>
        <v>3</v>
      </c>
      <c r="O1169" s="5">
        <v>58</v>
      </c>
      <c r="P1169" s="4" t="str">
        <f t="shared" si="36"/>
        <v>&gt;50</v>
      </c>
      <c r="Q1169" s="4">
        <f>M1169+N1169</f>
        <v>10</v>
      </c>
      <c r="U1169" s="28" t="str" cm="1">
        <f t="array" ref="U1169">_xlfn.IFS(F1169&lt;30000,"30k",F1169&lt;=50000,"30k-50k",F1169&lt;=75000,"50k-75k",F1169&lt;=100000,"75k-100k",F1169&gt;100000,"100k")</f>
        <v>30k-50k</v>
      </c>
      <c r="W1169" s="1">
        <f t="shared" si="37"/>
        <v>13</v>
      </c>
    </row>
    <row r="1170" spans="1:23" x14ac:dyDescent="0.35">
      <c r="A1170">
        <v>1167</v>
      </c>
      <c r="B1170">
        <v>6263</v>
      </c>
      <c r="C1170">
        <v>1968</v>
      </c>
      <c r="D1170" s="1" t="s">
        <v>10</v>
      </c>
      <c r="E1170" s="1" t="s">
        <v>12</v>
      </c>
      <c r="F1170">
        <v>35322</v>
      </c>
      <c r="G1170">
        <v>1</v>
      </c>
      <c r="H1170" s="2">
        <v>2</v>
      </c>
      <c r="I1170" s="2">
        <v>41143</v>
      </c>
      <c r="J1170">
        <v>34</v>
      </c>
      <c r="K1170">
        <f>VLOOKUP(B1170,purchase_dataset!$B$2:$F$2241,2,FALSE)</f>
        <v>9</v>
      </c>
      <c r="L1170">
        <f>VLOOKUP(B1170,purchase_dataset!$B$2:$F$2241,3,FALSE)</f>
        <v>7</v>
      </c>
      <c r="M1170">
        <f>VLOOKUP(B1170,purchase_dataset!$B$2:$F$2241,3,FALSE)</f>
        <v>7</v>
      </c>
      <c r="N1170">
        <f>VLOOKUP(B1170,purchase_dataset!$B$2:$F$2241,5,FALSE)</f>
        <v>4</v>
      </c>
      <c r="O1170" s="5">
        <v>58</v>
      </c>
      <c r="P1170" s="4" t="str">
        <f t="shared" si="36"/>
        <v>&gt;50</v>
      </c>
      <c r="Q1170" s="4">
        <f>M1170+N1170</f>
        <v>11</v>
      </c>
      <c r="U1170" s="28" t="str" cm="1">
        <f t="array" ref="U1170">_xlfn.IFS(F1170&lt;30000,"30k",F1170&lt;=50000,"30k-50k",F1170&lt;=75000,"50k-75k",F1170&lt;=100000,"75k-100k",F1170&gt;100000,"100k")</f>
        <v>30k-50k</v>
      </c>
      <c r="W1170" s="1">
        <f t="shared" si="37"/>
        <v>14</v>
      </c>
    </row>
    <row r="1171" spans="1:23" x14ac:dyDescent="0.35">
      <c r="A1171">
        <v>1168</v>
      </c>
      <c r="B1171">
        <v>10486</v>
      </c>
      <c r="C1171">
        <v>1948</v>
      </c>
      <c r="D1171" s="1" t="s">
        <v>10</v>
      </c>
      <c r="E1171" s="1" t="s">
        <v>14</v>
      </c>
      <c r="F1171">
        <v>77142</v>
      </c>
      <c r="G1171">
        <v>0</v>
      </c>
      <c r="H1171" s="2">
        <v>0</v>
      </c>
      <c r="I1171" s="2">
        <v>41423</v>
      </c>
      <c r="J1171">
        <v>54</v>
      </c>
      <c r="K1171">
        <f>VLOOKUP(B1171,purchase_dataset!$B$2:$F$2241,2,FALSE)</f>
        <v>75</v>
      </c>
      <c r="L1171">
        <f>VLOOKUP(B1171,purchase_dataset!$B$2:$F$2241,3,FALSE)</f>
        <v>151</v>
      </c>
      <c r="M1171">
        <f>VLOOKUP(B1171,purchase_dataset!$B$2:$F$2241,3,FALSE)</f>
        <v>151</v>
      </c>
      <c r="N1171">
        <f>VLOOKUP(B1171,purchase_dataset!$B$2:$F$2241,5,FALSE)</f>
        <v>8</v>
      </c>
      <c r="O1171" s="5">
        <v>78</v>
      </c>
      <c r="P1171" s="4" t="str">
        <f t="shared" si="36"/>
        <v>&gt;50</v>
      </c>
      <c r="Q1171" s="4">
        <f>M1171+N1171</f>
        <v>159</v>
      </c>
      <c r="U1171" s="28" t="str" cm="1">
        <f t="array" ref="U1171">_xlfn.IFS(F1171&lt;30000,"30k",F1171&lt;=50000,"30k-50k",F1171&lt;=75000,"50k-75k",F1171&lt;=100000,"75k-100k",F1171&gt;100000,"100k")</f>
        <v>75k-100k</v>
      </c>
      <c r="W1171" s="1">
        <f t="shared" si="37"/>
        <v>13</v>
      </c>
    </row>
    <row r="1172" spans="1:23" x14ac:dyDescent="0.35">
      <c r="A1172">
        <v>1169</v>
      </c>
      <c r="B1172">
        <v>2410</v>
      </c>
      <c r="C1172">
        <v>1969</v>
      </c>
      <c r="D1172" s="1" t="s">
        <v>10</v>
      </c>
      <c r="E1172" s="1" t="s">
        <v>11</v>
      </c>
      <c r="F1172">
        <v>81657</v>
      </c>
      <c r="G1172">
        <v>0</v>
      </c>
      <c r="H1172" s="2">
        <v>0</v>
      </c>
      <c r="I1172" s="2">
        <v>41661</v>
      </c>
      <c r="J1172">
        <v>69</v>
      </c>
      <c r="K1172">
        <f>VLOOKUP(B1172,purchase_dataset!$B$2:$F$2241,2,FALSE)</f>
        <v>40</v>
      </c>
      <c r="L1172">
        <f>VLOOKUP(B1172,purchase_dataset!$B$2:$F$2241,3,FALSE)</f>
        <v>60</v>
      </c>
      <c r="M1172">
        <f>VLOOKUP(B1172,purchase_dataset!$B$2:$F$2241,3,FALSE)</f>
        <v>60</v>
      </c>
      <c r="N1172">
        <f>VLOOKUP(B1172,purchase_dataset!$B$2:$F$2241,5,FALSE)</f>
        <v>8</v>
      </c>
      <c r="O1172" s="5">
        <v>57</v>
      </c>
      <c r="P1172" s="4" t="str">
        <f t="shared" si="36"/>
        <v>&gt;50</v>
      </c>
      <c r="Q1172" s="4">
        <f>M1172+N1172</f>
        <v>68</v>
      </c>
      <c r="U1172" s="28" t="str" cm="1">
        <f t="array" ref="U1172">_xlfn.IFS(F1172&lt;30000,"30k",F1172&lt;=50000,"30k-50k",F1172&lt;=75000,"50k-75k",F1172&lt;=100000,"75k-100k",F1172&gt;100000,"100k")</f>
        <v>75k-100k</v>
      </c>
      <c r="W1172" s="1">
        <f t="shared" si="37"/>
        <v>12</v>
      </c>
    </row>
    <row r="1173" spans="1:23" x14ac:dyDescent="0.35">
      <c r="A1173">
        <v>1170</v>
      </c>
      <c r="B1173">
        <v>193</v>
      </c>
      <c r="C1173">
        <v>1996</v>
      </c>
      <c r="D1173" s="1" t="s">
        <v>17</v>
      </c>
      <c r="E1173" s="1" t="s">
        <v>14</v>
      </c>
      <c r="F1173">
        <v>14421</v>
      </c>
      <c r="G1173">
        <v>0</v>
      </c>
      <c r="H1173" s="2">
        <v>0</v>
      </c>
      <c r="I1173" s="2">
        <v>41687</v>
      </c>
      <c r="J1173">
        <v>81</v>
      </c>
      <c r="K1173">
        <f>VLOOKUP(B1173,purchase_dataset!$B$2:$F$2241,2,FALSE)</f>
        <v>0</v>
      </c>
      <c r="L1173">
        <f>VLOOKUP(B1173,purchase_dataset!$B$2:$F$2241,3,FALSE)</f>
        <v>3</v>
      </c>
      <c r="M1173">
        <f>VLOOKUP(B1173,purchase_dataset!$B$2:$F$2241,3,FALSE)</f>
        <v>3</v>
      </c>
      <c r="N1173">
        <f>VLOOKUP(B1173,purchase_dataset!$B$2:$F$2241,5,FALSE)</f>
        <v>2</v>
      </c>
      <c r="O1173" s="5">
        <v>30</v>
      </c>
      <c r="P1173" s="4" t="str">
        <f t="shared" si="36"/>
        <v>30-50</v>
      </c>
      <c r="Q1173" s="4">
        <f>M1173+N1173</f>
        <v>5</v>
      </c>
      <c r="U1173" s="28" t="str" cm="1">
        <f t="array" ref="U1173">_xlfn.IFS(F1173&lt;30000,"30k",F1173&lt;=50000,"30k-50k",F1173&lt;=75000,"50k-75k",F1173&lt;=100000,"75k-100k",F1173&gt;100000,"100k")</f>
        <v>30k</v>
      </c>
      <c r="W1173" s="1">
        <f t="shared" si="37"/>
        <v>12</v>
      </c>
    </row>
    <row r="1174" spans="1:23" x14ac:dyDescent="0.35">
      <c r="A1174">
        <v>1171</v>
      </c>
      <c r="B1174">
        <v>3363</v>
      </c>
      <c r="C1174">
        <v>1974</v>
      </c>
      <c r="D1174" s="1" t="s">
        <v>18</v>
      </c>
      <c r="E1174" s="1" t="s">
        <v>14</v>
      </c>
      <c r="F1174">
        <v>20130</v>
      </c>
      <c r="G1174">
        <v>0</v>
      </c>
      <c r="H1174" s="2">
        <v>0</v>
      </c>
      <c r="I1174" s="2">
        <v>41715</v>
      </c>
      <c r="J1174">
        <v>99</v>
      </c>
      <c r="K1174">
        <f>VLOOKUP(B1174,purchase_dataset!$B$2:$F$2241,2,FALSE)</f>
        <v>6</v>
      </c>
      <c r="L1174">
        <f>VLOOKUP(B1174,purchase_dataset!$B$2:$F$2241,3,FALSE)</f>
        <v>6</v>
      </c>
      <c r="M1174">
        <f>VLOOKUP(B1174,purchase_dataset!$B$2:$F$2241,3,FALSE)</f>
        <v>6</v>
      </c>
      <c r="N1174">
        <f>VLOOKUP(B1174,purchase_dataset!$B$2:$F$2241,5,FALSE)</f>
        <v>3</v>
      </c>
      <c r="O1174" s="5">
        <v>52</v>
      </c>
      <c r="P1174" s="4" t="str">
        <f t="shared" si="36"/>
        <v>&gt;50</v>
      </c>
      <c r="Q1174" s="4">
        <f>M1174+N1174</f>
        <v>9</v>
      </c>
      <c r="U1174" s="28" t="str" cm="1">
        <f t="array" ref="U1174">_xlfn.IFS(F1174&lt;30000,"30k",F1174&lt;=50000,"30k-50k",F1174&lt;=75000,"50k-75k",F1174&lt;=100000,"75k-100k",F1174&gt;100000,"100k")</f>
        <v>30k</v>
      </c>
      <c r="W1174" s="1">
        <f t="shared" si="37"/>
        <v>12</v>
      </c>
    </row>
    <row r="1175" spans="1:23" x14ac:dyDescent="0.35">
      <c r="A1175">
        <v>1172</v>
      </c>
      <c r="B1175">
        <v>8278</v>
      </c>
      <c r="C1175">
        <v>1990</v>
      </c>
      <c r="D1175" s="1" t="s">
        <v>13</v>
      </c>
      <c r="E1175" s="1" t="s">
        <v>14</v>
      </c>
      <c r="F1175">
        <v>74214</v>
      </c>
      <c r="G1175">
        <v>0</v>
      </c>
      <c r="H1175" s="2">
        <v>0</v>
      </c>
      <c r="I1175" s="2">
        <v>41147</v>
      </c>
      <c r="J1175">
        <v>3</v>
      </c>
      <c r="K1175">
        <f>VLOOKUP(B1175,purchase_dataset!$B$2:$F$2241,2,FALSE)</f>
        <v>83</v>
      </c>
      <c r="L1175">
        <f>VLOOKUP(B1175,purchase_dataset!$B$2:$F$2241,3,FALSE)</f>
        <v>99</v>
      </c>
      <c r="M1175">
        <f>VLOOKUP(B1175,purchase_dataset!$B$2:$F$2241,3,FALSE)</f>
        <v>99</v>
      </c>
      <c r="N1175">
        <f>VLOOKUP(B1175,purchase_dataset!$B$2:$F$2241,5,FALSE)</f>
        <v>5</v>
      </c>
      <c r="O1175" s="5">
        <v>36</v>
      </c>
      <c r="P1175" s="4" t="str">
        <f t="shared" si="36"/>
        <v>30-50</v>
      </c>
      <c r="Q1175" s="4">
        <f>M1175+N1175</f>
        <v>104</v>
      </c>
      <c r="U1175" s="28" t="str" cm="1">
        <f t="array" ref="U1175">_xlfn.IFS(F1175&lt;30000,"30k",F1175&lt;=50000,"30k-50k",F1175&lt;=75000,"50k-75k",F1175&lt;=100000,"75k-100k",F1175&gt;100000,"100k")</f>
        <v>50k-75k</v>
      </c>
      <c r="W1175" s="1">
        <f t="shared" si="37"/>
        <v>14</v>
      </c>
    </row>
    <row r="1176" spans="1:23" x14ac:dyDescent="0.35">
      <c r="A1176">
        <v>1173</v>
      </c>
      <c r="B1176">
        <v>10660</v>
      </c>
      <c r="C1176">
        <v>1957</v>
      </c>
      <c r="D1176" s="1" t="s">
        <v>15</v>
      </c>
      <c r="E1176" s="1" t="s">
        <v>14</v>
      </c>
      <c r="F1176">
        <v>66726</v>
      </c>
      <c r="G1176">
        <v>1</v>
      </c>
      <c r="H1176" s="2">
        <v>1</v>
      </c>
      <c r="I1176" s="2">
        <v>41651</v>
      </c>
      <c r="J1176">
        <v>61</v>
      </c>
      <c r="K1176">
        <f>VLOOKUP(B1176,purchase_dataset!$B$2:$F$2241,2,FALSE)</f>
        <v>7</v>
      </c>
      <c r="L1176">
        <f>VLOOKUP(B1176,purchase_dataset!$B$2:$F$2241,3,FALSE)</f>
        <v>0</v>
      </c>
      <c r="M1176">
        <f>VLOOKUP(B1176,purchase_dataset!$B$2:$F$2241,3,FALSE)</f>
        <v>0</v>
      </c>
      <c r="N1176">
        <f>VLOOKUP(B1176,purchase_dataset!$B$2:$F$2241,5,FALSE)</f>
        <v>4</v>
      </c>
      <c r="O1176" s="5">
        <v>69</v>
      </c>
      <c r="P1176" s="4" t="str">
        <f t="shared" si="36"/>
        <v>&gt;50</v>
      </c>
      <c r="Q1176" s="4">
        <f>M1176+N1176</f>
        <v>4</v>
      </c>
      <c r="U1176" s="28" t="str" cm="1">
        <f t="array" ref="U1176">_xlfn.IFS(F1176&lt;30000,"30k",F1176&lt;=50000,"30k-50k",F1176&lt;=75000,"50k-75k",F1176&lt;=100000,"75k-100k",F1176&gt;100000,"100k")</f>
        <v>50k-75k</v>
      </c>
      <c r="W1176" s="1">
        <f t="shared" si="37"/>
        <v>12</v>
      </c>
    </row>
    <row r="1177" spans="1:23" x14ac:dyDescent="0.35">
      <c r="A1177">
        <v>1174</v>
      </c>
      <c r="B1177">
        <v>8686</v>
      </c>
      <c r="C1177">
        <v>1979</v>
      </c>
      <c r="D1177" s="1" t="s">
        <v>17</v>
      </c>
      <c r="E1177" s="1" t="s">
        <v>12</v>
      </c>
      <c r="F1177">
        <v>23724</v>
      </c>
      <c r="G1177">
        <v>1</v>
      </c>
      <c r="H1177" s="2">
        <v>0</v>
      </c>
      <c r="I1177" s="2">
        <v>41282</v>
      </c>
      <c r="J1177">
        <v>65</v>
      </c>
      <c r="K1177">
        <f>VLOOKUP(B1177,purchase_dataset!$B$2:$F$2241,2,FALSE)</f>
        <v>23</v>
      </c>
      <c r="L1177">
        <f>VLOOKUP(B1177,purchase_dataset!$B$2:$F$2241,3,FALSE)</f>
        <v>18</v>
      </c>
      <c r="M1177">
        <f>VLOOKUP(B1177,purchase_dataset!$B$2:$F$2241,3,FALSE)</f>
        <v>18</v>
      </c>
      <c r="N1177">
        <f>VLOOKUP(B1177,purchase_dataset!$B$2:$F$2241,5,FALSE)</f>
        <v>3</v>
      </c>
      <c r="O1177" s="5">
        <v>47</v>
      </c>
      <c r="P1177" s="4" t="str">
        <f t="shared" si="36"/>
        <v>30-50</v>
      </c>
      <c r="Q1177" s="4">
        <f>M1177+N1177</f>
        <v>21</v>
      </c>
      <c r="U1177" s="28" t="str" cm="1">
        <f t="array" ref="U1177">_xlfn.IFS(F1177&lt;30000,"30k",F1177&lt;=50000,"30k-50k",F1177&lt;=75000,"50k-75k",F1177&lt;=100000,"75k-100k",F1177&gt;100000,"100k")</f>
        <v>30k</v>
      </c>
      <c r="W1177" s="1">
        <f t="shared" si="37"/>
        <v>13</v>
      </c>
    </row>
    <row r="1178" spans="1:23" x14ac:dyDescent="0.35">
      <c r="A1178">
        <v>1175</v>
      </c>
      <c r="B1178">
        <v>1604</v>
      </c>
      <c r="C1178">
        <v>1960</v>
      </c>
      <c r="D1178" s="1" t="s">
        <v>15</v>
      </c>
      <c r="E1178" s="1" t="s">
        <v>14</v>
      </c>
      <c r="F1178">
        <v>47353</v>
      </c>
      <c r="G1178">
        <v>0</v>
      </c>
      <c r="H1178" s="2">
        <v>1</v>
      </c>
      <c r="I1178" s="2">
        <v>41591</v>
      </c>
      <c r="J1178">
        <v>93</v>
      </c>
      <c r="K1178">
        <f>VLOOKUP(B1178,purchase_dataset!$B$2:$F$2241,2,FALSE)</f>
        <v>2</v>
      </c>
      <c r="L1178">
        <f>VLOOKUP(B1178,purchase_dataset!$B$2:$F$2241,3,FALSE)</f>
        <v>8</v>
      </c>
      <c r="M1178">
        <f>VLOOKUP(B1178,purchase_dataset!$B$2:$F$2241,3,FALSE)</f>
        <v>8</v>
      </c>
      <c r="N1178">
        <f>VLOOKUP(B1178,purchase_dataset!$B$2:$F$2241,5,FALSE)</f>
        <v>6</v>
      </c>
      <c r="O1178" s="5">
        <v>66</v>
      </c>
      <c r="P1178" s="4" t="str">
        <f t="shared" si="36"/>
        <v>&gt;50</v>
      </c>
      <c r="Q1178" s="4">
        <f>M1178+N1178</f>
        <v>14</v>
      </c>
      <c r="U1178" s="28" t="str" cm="1">
        <f t="array" ref="U1178">_xlfn.IFS(F1178&lt;30000,"30k",F1178&lt;=50000,"30k-50k",F1178&lt;=75000,"50k-75k",F1178&lt;=100000,"75k-100k",F1178&gt;100000,"100k")</f>
        <v>30k-50k</v>
      </c>
      <c r="W1178" s="1">
        <f t="shared" si="37"/>
        <v>13</v>
      </c>
    </row>
    <row r="1179" spans="1:23" x14ac:dyDescent="0.35">
      <c r="A1179">
        <v>1176</v>
      </c>
      <c r="B1179">
        <v>5907</v>
      </c>
      <c r="C1179">
        <v>1952</v>
      </c>
      <c r="D1179" s="1" t="s">
        <v>15</v>
      </c>
      <c r="E1179" s="1" t="s">
        <v>14</v>
      </c>
      <c r="F1179">
        <v>33444</v>
      </c>
      <c r="G1179">
        <v>1</v>
      </c>
      <c r="H1179" s="2">
        <v>1</v>
      </c>
      <c r="I1179" s="2">
        <v>41216</v>
      </c>
      <c r="J1179">
        <v>24</v>
      </c>
      <c r="K1179">
        <f>VLOOKUP(B1179,purchase_dataset!$B$2:$F$2241,2,FALSE)</f>
        <v>0</v>
      </c>
      <c r="L1179">
        <f>VLOOKUP(B1179,purchase_dataset!$B$2:$F$2241,3,FALSE)</f>
        <v>0</v>
      </c>
      <c r="M1179">
        <f>VLOOKUP(B1179,purchase_dataset!$B$2:$F$2241,3,FALSE)</f>
        <v>0</v>
      </c>
      <c r="N1179">
        <f>VLOOKUP(B1179,purchase_dataset!$B$2:$F$2241,5,FALSE)</f>
        <v>2</v>
      </c>
      <c r="O1179" s="5">
        <v>74</v>
      </c>
      <c r="P1179" s="4" t="str">
        <f t="shared" si="36"/>
        <v>&gt;50</v>
      </c>
      <c r="Q1179" s="4">
        <f>M1179+N1179</f>
        <v>2</v>
      </c>
      <c r="U1179" s="28" t="str" cm="1">
        <f t="array" ref="U1179">_xlfn.IFS(F1179&lt;30000,"30k",F1179&lt;=50000,"30k-50k",F1179&lt;=75000,"50k-75k",F1179&lt;=100000,"75k-100k",F1179&gt;100000,"100k")</f>
        <v>30k-50k</v>
      </c>
      <c r="W1179" s="1">
        <f t="shared" si="37"/>
        <v>14</v>
      </c>
    </row>
    <row r="1180" spans="1:23" x14ac:dyDescent="0.35">
      <c r="A1180">
        <v>1177</v>
      </c>
      <c r="B1180">
        <v>10669</v>
      </c>
      <c r="C1180">
        <v>1981</v>
      </c>
      <c r="D1180" s="1" t="s">
        <v>10</v>
      </c>
      <c r="E1180" s="1" t="s">
        <v>14</v>
      </c>
      <c r="F1180">
        <v>54386</v>
      </c>
      <c r="G1180">
        <v>0</v>
      </c>
      <c r="H1180" s="2">
        <v>1</v>
      </c>
      <c r="I1180" s="2">
        <v>41411</v>
      </c>
      <c r="J1180">
        <v>8</v>
      </c>
      <c r="K1180">
        <f>VLOOKUP(B1180,purchase_dataset!$B$2:$F$2241,2,FALSE)</f>
        <v>21</v>
      </c>
      <c r="L1180">
        <f>VLOOKUP(B1180,purchase_dataset!$B$2:$F$2241,3,FALSE)</f>
        <v>21</v>
      </c>
      <c r="M1180">
        <f>VLOOKUP(B1180,purchase_dataset!$B$2:$F$2241,3,FALSE)</f>
        <v>21</v>
      </c>
      <c r="N1180">
        <f>VLOOKUP(B1180,purchase_dataset!$B$2:$F$2241,5,FALSE)</f>
        <v>10</v>
      </c>
      <c r="O1180" s="5">
        <v>45</v>
      </c>
      <c r="P1180" s="4" t="str">
        <f t="shared" si="36"/>
        <v>30-50</v>
      </c>
      <c r="Q1180" s="4">
        <f>M1180+N1180</f>
        <v>31</v>
      </c>
      <c r="U1180" s="28" t="str" cm="1">
        <f t="array" ref="U1180">_xlfn.IFS(F1180&lt;30000,"30k",F1180&lt;=50000,"30k-50k",F1180&lt;=75000,"50k-75k",F1180&lt;=100000,"75k-100k",F1180&gt;100000,"100k")</f>
        <v>50k-75k</v>
      </c>
      <c r="W1180" s="1">
        <f t="shared" si="37"/>
        <v>13</v>
      </c>
    </row>
    <row r="1181" spans="1:23" x14ac:dyDescent="0.35">
      <c r="A1181">
        <v>1178</v>
      </c>
      <c r="B1181">
        <v>2918</v>
      </c>
      <c r="C1181">
        <v>1981</v>
      </c>
      <c r="D1181" s="1" t="s">
        <v>10</v>
      </c>
      <c r="E1181" s="1" t="s">
        <v>16</v>
      </c>
      <c r="F1181">
        <v>28510</v>
      </c>
      <c r="G1181">
        <v>1</v>
      </c>
      <c r="H1181" s="2">
        <v>1</v>
      </c>
      <c r="I1181" s="2">
        <v>41377</v>
      </c>
      <c r="J1181">
        <v>72</v>
      </c>
      <c r="K1181">
        <f>VLOOKUP(B1181,purchase_dataset!$B$2:$F$2241,2,FALSE)</f>
        <v>5</v>
      </c>
      <c r="L1181">
        <f>VLOOKUP(B1181,purchase_dataset!$B$2:$F$2241,3,FALSE)</f>
        <v>4</v>
      </c>
      <c r="M1181">
        <f>VLOOKUP(B1181,purchase_dataset!$B$2:$F$2241,3,FALSE)</f>
        <v>4</v>
      </c>
      <c r="N1181">
        <f>VLOOKUP(B1181,purchase_dataset!$B$2:$F$2241,5,FALSE)</f>
        <v>4</v>
      </c>
      <c r="O1181" s="5">
        <v>45</v>
      </c>
      <c r="P1181" s="4" t="str">
        <f t="shared" si="36"/>
        <v>30-50</v>
      </c>
      <c r="Q1181" s="4">
        <f>M1181+N1181</f>
        <v>8</v>
      </c>
      <c r="U1181" s="28" t="str" cm="1">
        <f t="array" ref="U1181">_xlfn.IFS(F1181&lt;30000,"30k",F1181&lt;=50000,"30k-50k",F1181&lt;=75000,"50k-75k",F1181&lt;=100000,"75k-100k",F1181&gt;100000,"100k")</f>
        <v>30k</v>
      </c>
      <c r="W1181" s="1">
        <f t="shared" si="37"/>
        <v>13</v>
      </c>
    </row>
    <row r="1182" spans="1:23" x14ac:dyDescent="0.35">
      <c r="A1182">
        <v>1179</v>
      </c>
      <c r="B1182">
        <v>5735</v>
      </c>
      <c r="C1182">
        <v>1991</v>
      </c>
      <c r="D1182" s="1" t="s">
        <v>15</v>
      </c>
      <c r="E1182" s="1" t="s">
        <v>11</v>
      </c>
      <c r="F1182">
        <v>90638</v>
      </c>
      <c r="G1182">
        <v>0</v>
      </c>
      <c r="H1182" s="2">
        <v>0</v>
      </c>
      <c r="I1182" s="2">
        <v>41683</v>
      </c>
      <c r="J1182">
        <v>29</v>
      </c>
      <c r="K1182">
        <f>VLOOKUP(B1182,purchase_dataset!$B$2:$F$2241,2,FALSE)</f>
        <v>120</v>
      </c>
      <c r="L1182">
        <f>VLOOKUP(B1182,purchase_dataset!$B$2:$F$2241,3,FALSE)</f>
        <v>144</v>
      </c>
      <c r="M1182">
        <f>VLOOKUP(B1182,purchase_dataset!$B$2:$F$2241,3,FALSE)</f>
        <v>144</v>
      </c>
      <c r="N1182">
        <f>VLOOKUP(B1182,purchase_dataset!$B$2:$F$2241,5,FALSE)</f>
        <v>10</v>
      </c>
      <c r="O1182" s="5">
        <v>35</v>
      </c>
      <c r="P1182" s="4" t="str">
        <f t="shared" si="36"/>
        <v>30-50</v>
      </c>
      <c r="Q1182" s="4">
        <f>M1182+N1182</f>
        <v>154</v>
      </c>
      <c r="U1182" s="28" t="str" cm="1">
        <f t="array" ref="U1182">_xlfn.IFS(F1182&lt;30000,"30k",F1182&lt;=50000,"30k-50k",F1182&lt;=75000,"50k-75k",F1182&lt;=100000,"75k-100k",F1182&gt;100000,"100k")</f>
        <v>75k-100k</v>
      </c>
      <c r="W1182" s="1">
        <f t="shared" si="37"/>
        <v>12</v>
      </c>
    </row>
    <row r="1183" spans="1:23" x14ac:dyDescent="0.35">
      <c r="A1183">
        <v>1180</v>
      </c>
      <c r="B1183">
        <v>359</v>
      </c>
      <c r="C1183">
        <v>1950</v>
      </c>
      <c r="D1183" s="1" t="s">
        <v>10</v>
      </c>
      <c r="E1183" s="1" t="s">
        <v>12</v>
      </c>
      <c r="F1183">
        <v>48070</v>
      </c>
      <c r="G1183">
        <v>0</v>
      </c>
      <c r="H1183" s="2">
        <v>1</v>
      </c>
      <c r="I1183" s="2">
        <v>41287</v>
      </c>
      <c r="J1183">
        <v>33</v>
      </c>
      <c r="K1183">
        <f>VLOOKUP(B1183,purchase_dataset!$B$2:$F$2241,2,FALSE)</f>
        <v>14</v>
      </c>
      <c r="L1183">
        <f>VLOOKUP(B1183,purchase_dataset!$B$2:$F$2241,3,FALSE)</f>
        <v>9</v>
      </c>
      <c r="M1183">
        <f>VLOOKUP(B1183,purchase_dataset!$B$2:$F$2241,3,FALSE)</f>
        <v>9</v>
      </c>
      <c r="N1183">
        <f>VLOOKUP(B1183,purchase_dataset!$B$2:$F$2241,5,FALSE)</f>
        <v>6</v>
      </c>
      <c r="O1183" s="5">
        <v>76</v>
      </c>
      <c r="P1183" s="4" t="str">
        <f t="shared" si="36"/>
        <v>&gt;50</v>
      </c>
      <c r="Q1183" s="4">
        <f>M1183+N1183</f>
        <v>15</v>
      </c>
      <c r="U1183" s="28" t="str" cm="1">
        <f t="array" ref="U1183">_xlfn.IFS(F1183&lt;30000,"30k",F1183&lt;=50000,"30k-50k",F1183&lt;=75000,"50k-75k",F1183&lt;=100000,"75k-100k",F1183&gt;100000,"100k")</f>
        <v>30k-50k</v>
      </c>
      <c r="W1183" s="1">
        <f t="shared" si="37"/>
        <v>13</v>
      </c>
    </row>
    <row r="1184" spans="1:23" x14ac:dyDescent="0.35">
      <c r="A1184">
        <v>1181</v>
      </c>
      <c r="B1184">
        <v>8387</v>
      </c>
      <c r="C1184">
        <v>1957</v>
      </c>
      <c r="D1184" s="1" t="s">
        <v>10</v>
      </c>
      <c r="E1184" s="1" t="s">
        <v>14</v>
      </c>
      <c r="F1184">
        <v>43140</v>
      </c>
      <c r="G1184">
        <v>0</v>
      </c>
      <c r="H1184" s="2">
        <v>1</v>
      </c>
      <c r="I1184" s="2">
        <v>41279</v>
      </c>
      <c r="J1184">
        <v>68</v>
      </c>
      <c r="K1184">
        <f>VLOOKUP(B1184,purchase_dataset!$B$2:$F$2241,2,FALSE)</f>
        <v>8</v>
      </c>
      <c r="L1184">
        <f>VLOOKUP(B1184,purchase_dataset!$B$2:$F$2241,3,FALSE)</f>
        <v>0</v>
      </c>
      <c r="M1184">
        <f>VLOOKUP(B1184,purchase_dataset!$B$2:$F$2241,3,FALSE)</f>
        <v>0</v>
      </c>
      <c r="N1184">
        <f>VLOOKUP(B1184,purchase_dataset!$B$2:$F$2241,5,FALSE)</f>
        <v>5</v>
      </c>
      <c r="O1184" s="5">
        <v>69</v>
      </c>
      <c r="P1184" s="4" t="str">
        <f t="shared" si="36"/>
        <v>&gt;50</v>
      </c>
      <c r="Q1184" s="4">
        <f>M1184+N1184</f>
        <v>5</v>
      </c>
      <c r="U1184" s="28" t="str" cm="1">
        <f t="array" ref="U1184">_xlfn.IFS(F1184&lt;30000,"30k",F1184&lt;=50000,"30k-50k",F1184&lt;=75000,"50k-75k",F1184&lt;=100000,"75k-100k",F1184&gt;100000,"100k")</f>
        <v>30k-50k</v>
      </c>
      <c r="W1184" s="1">
        <f t="shared" si="37"/>
        <v>13</v>
      </c>
    </row>
    <row r="1185" spans="1:23" x14ac:dyDescent="0.35">
      <c r="A1185">
        <v>1182</v>
      </c>
      <c r="B1185">
        <v>1829</v>
      </c>
      <c r="C1185">
        <v>1961</v>
      </c>
      <c r="D1185" s="1" t="s">
        <v>13</v>
      </c>
      <c r="E1185" s="1" t="s">
        <v>16</v>
      </c>
      <c r="F1185">
        <v>54959</v>
      </c>
      <c r="G1185">
        <v>0</v>
      </c>
      <c r="H1185" s="2">
        <v>1</v>
      </c>
      <c r="I1185" s="2">
        <v>41293</v>
      </c>
      <c r="J1185">
        <v>55</v>
      </c>
      <c r="K1185">
        <f>VLOOKUP(B1185,purchase_dataset!$B$2:$F$2241,2,FALSE)</f>
        <v>0</v>
      </c>
      <c r="L1185">
        <f>VLOOKUP(B1185,purchase_dataset!$B$2:$F$2241,3,FALSE)</f>
        <v>0</v>
      </c>
      <c r="M1185">
        <f>VLOOKUP(B1185,purchase_dataset!$B$2:$F$2241,3,FALSE)</f>
        <v>0</v>
      </c>
      <c r="N1185">
        <f>VLOOKUP(B1185,purchase_dataset!$B$2:$F$2241,5,FALSE)</f>
        <v>4</v>
      </c>
      <c r="O1185" s="5">
        <v>65</v>
      </c>
      <c r="P1185" s="4" t="str">
        <f t="shared" si="36"/>
        <v>&gt;50</v>
      </c>
      <c r="Q1185" s="4">
        <f>M1185+N1185</f>
        <v>4</v>
      </c>
      <c r="U1185" s="28" t="str" cm="1">
        <f t="array" ref="U1185">_xlfn.IFS(F1185&lt;30000,"30k",F1185&lt;=50000,"30k-50k",F1185&lt;=75000,"50k-75k",F1185&lt;=100000,"75k-100k",F1185&gt;100000,"100k")</f>
        <v>50k-75k</v>
      </c>
      <c r="W1185" s="1">
        <f t="shared" si="37"/>
        <v>13</v>
      </c>
    </row>
    <row r="1186" spans="1:23" x14ac:dyDescent="0.35">
      <c r="A1186">
        <v>1183</v>
      </c>
      <c r="B1186">
        <v>3839</v>
      </c>
      <c r="C1186">
        <v>1958</v>
      </c>
      <c r="D1186" s="1" t="s">
        <v>17</v>
      </c>
      <c r="E1186" s="1" t="s">
        <v>11</v>
      </c>
      <c r="F1186">
        <v>15056</v>
      </c>
      <c r="G1186">
        <v>1</v>
      </c>
      <c r="H1186" s="2">
        <v>1</v>
      </c>
      <c r="I1186" s="2">
        <v>41397</v>
      </c>
      <c r="J1186">
        <v>76</v>
      </c>
      <c r="K1186">
        <f>VLOOKUP(B1186,purchase_dataset!$B$2:$F$2241,2,FALSE)</f>
        <v>12</v>
      </c>
      <c r="L1186">
        <f>VLOOKUP(B1186,purchase_dataset!$B$2:$F$2241,3,FALSE)</f>
        <v>6</v>
      </c>
      <c r="M1186">
        <f>VLOOKUP(B1186,purchase_dataset!$B$2:$F$2241,3,FALSE)</f>
        <v>6</v>
      </c>
      <c r="N1186">
        <f>VLOOKUP(B1186,purchase_dataset!$B$2:$F$2241,5,FALSE)</f>
        <v>3</v>
      </c>
      <c r="O1186" s="5">
        <v>68</v>
      </c>
      <c r="P1186" s="4" t="str">
        <f t="shared" si="36"/>
        <v>&gt;50</v>
      </c>
      <c r="Q1186" s="4">
        <f>M1186+N1186</f>
        <v>9</v>
      </c>
      <c r="U1186" s="28" t="str" cm="1">
        <f t="array" ref="U1186">_xlfn.IFS(F1186&lt;30000,"30k",F1186&lt;=50000,"30k-50k",F1186&lt;=75000,"50k-75k",F1186&lt;=100000,"75k-100k",F1186&gt;100000,"100k")</f>
        <v>30k</v>
      </c>
      <c r="W1186" s="1">
        <f t="shared" si="37"/>
        <v>13</v>
      </c>
    </row>
    <row r="1187" spans="1:23" x14ac:dyDescent="0.35">
      <c r="A1187">
        <v>1184</v>
      </c>
      <c r="B1187">
        <v>9392</v>
      </c>
      <c r="C1187">
        <v>1971</v>
      </c>
      <c r="D1187" s="1" t="s">
        <v>10</v>
      </c>
      <c r="E1187" s="1" t="s">
        <v>11</v>
      </c>
      <c r="F1187">
        <v>26954</v>
      </c>
      <c r="G1187">
        <v>1</v>
      </c>
      <c r="H1187" s="2">
        <v>0</v>
      </c>
      <c r="I1187" s="2">
        <v>41767</v>
      </c>
      <c r="J1187">
        <v>17</v>
      </c>
      <c r="K1187">
        <f>VLOOKUP(B1187,purchase_dataset!$B$2:$F$2241,2,FALSE)</f>
        <v>1</v>
      </c>
      <c r="L1187">
        <f>VLOOKUP(B1187,purchase_dataset!$B$2:$F$2241,3,FALSE)</f>
        <v>0</v>
      </c>
      <c r="M1187">
        <f>VLOOKUP(B1187,purchase_dataset!$B$2:$F$2241,3,FALSE)</f>
        <v>0</v>
      </c>
      <c r="N1187">
        <f>VLOOKUP(B1187,purchase_dataset!$B$2:$F$2241,5,FALSE)</f>
        <v>2</v>
      </c>
      <c r="O1187" s="5">
        <v>55</v>
      </c>
      <c r="P1187" s="4" t="str">
        <f t="shared" si="36"/>
        <v>&gt;50</v>
      </c>
      <c r="Q1187" s="4">
        <f>M1187+N1187</f>
        <v>2</v>
      </c>
      <c r="U1187" s="28" t="str" cm="1">
        <f t="array" ref="U1187">_xlfn.IFS(F1187&lt;30000,"30k",F1187&lt;=50000,"30k-50k",F1187&lt;=75000,"50k-75k",F1187&lt;=100000,"75k-100k",F1187&gt;100000,"100k")</f>
        <v>30k</v>
      </c>
      <c r="W1187" s="1">
        <f t="shared" si="37"/>
        <v>12</v>
      </c>
    </row>
    <row r="1188" spans="1:23" x14ac:dyDescent="0.35">
      <c r="A1188">
        <v>1185</v>
      </c>
      <c r="B1188">
        <v>2292</v>
      </c>
      <c r="C1188">
        <v>1985</v>
      </c>
      <c r="D1188" s="1" t="s">
        <v>10</v>
      </c>
      <c r="E1188" s="1" t="s">
        <v>11</v>
      </c>
      <c r="F1188">
        <v>22327</v>
      </c>
      <c r="G1188">
        <v>1</v>
      </c>
      <c r="H1188" s="2">
        <v>0</v>
      </c>
      <c r="I1188" s="2">
        <v>41488</v>
      </c>
      <c r="J1188">
        <v>94</v>
      </c>
      <c r="K1188">
        <f>VLOOKUP(B1188,purchase_dataset!$B$2:$F$2241,2,FALSE)</f>
        <v>4</v>
      </c>
      <c r="L1188">
        <f>VLOOKUP(B1188,purchase_dataset!$B$2:$F$2241,3,FALSE)</f>
        <v>0</v>
      </c>
      <c r="M1188">
        <f>VLOOKUP(B1188,purchase_dataset!$B$2:$F$2241,3,FALSE)</f>
        <v>0</v>
      </c>
      <c r="N1188">
        <f>VLOOKUP(B1188,purchase_dataset!$B$2:$F$2241,5,FALSE)</f>
        <v>3</v>
      </c>
      <c r="O1188" s="5">
        <v>41</v>
      </c>
      <c r="P1188" s="4" t="str">
        <f t="shared" si="36"/>
        <v>30-50</v>
      </c>
      <c r="Q1188" s="4">
        <f>M1188+N1188</f>
        <v>3</v>
      </c>
      <c r="U1188" s="28" t="str" cm="1">
        <f t="array" ref="U1188">_xlfn.IFS(F1188&lt;30000,"30k",F1188&lt;=50000,"30k-50k",F1188&lt;=75000,"50k-75k",F1188&lt;=100000,"75k-100k",F1188&gt;100000,"100k")</f>
        <v>30k</v>
      </c>
      <c r="W1188" s="1">
        <f t="shared" si="37"/>
        <v>13</v>
      </c>
    </row>
    <row r="1189" spans="1:23" x14ac:dyDescent="0.35">
      <c r="A1189">
        <v>1186</v>
      </c>
      <c r="B1189">
        <v>10466</v>
      </c>
      <c r="C1189">
        <v>1965</v>
      </c>
      <c r="D1189" s="1" t="s">
        <v>10</v>
      </c>
      <c r="E1189" s="1" t="s">
        <v>14</v>
      </c>
      <c r="F1189">
        <v>44393</v>
      </c>
      <c r="G1189">
        <v>1</v>
      </c>
      <c r="H1189" s="2">
        <v>1</v>
      </c>
      <c r="I1189" s="2">
        <v>41508</v>
      </c>
      <c r="J1189">
        <v>86</v>
      </c>
      <c r="K1189">
        <f>VLOOKUP(B1189,purchase_dataset!$B$2:$F$2241,2,FALSE)</f>
        <v>2</v>
      </c>
      <c r="L1189">
        <f>VLOOKUP(B1189,purchase_dataset!$B$2:$F$2241,3,FALSE)</f>
        <v>2</v>
      </c>
      <c r="M1189">
        <f>VLOOKUP(B1189,purchase_dataset!$B$2:$F$2241,3,FALSE)</f>
        <v>2</v>
      </c>
      <c r="N1189">
        <f>VLOOKUP(B1189,purchase_dataset!$B$2:$F$2241,5,FALSE)</f>
        <v>4</v>
      </c>
      <c r="O1189" s="5">
        <v>61</v>
      </c>
      <c r="P1189" s="4" t="str">
        <f t="shared" si="36"/>
        <v>&gt;50</v>
      </c>
      <c r="Q1189" s="4">
        <f>M1189+N1189</f>
        <v>6</v>
      </c>
      <c r="U1189" s="28" t="str" cm="1">
        <f t="array" ref="U1189">_xlfn.IFS(F1189&lt;30000,"30k",F1189&lt;=50000,"30k-50k",F1189&lt;=75000,"50k-75k",F1189&lt;=100000,"75k-100k",F1189&gt;100000,"100k")</f>
        <v>30k-50k</v>
      </c>
      <c r="W1189" s="1">
        <f t="shared" si="37"/>
        <v>13</v>
      </c>
    </row>
    <row r="1190" spans="1:23" x14ac:dyDescent="0.35">
      <c r="A1190">
        <v>1187</v>
      </c>
      <c r="B1190">
        <v>9855</v>
      </c>
      <c r="C1190">
        <v>1952</v>
      </c>
      <c r="D1190" s="1" t="s">
        <v>13</v>
      </c>
      <c r="E1190" s="1" t="s">
        <v>11</v>
      </c>
      <c r="F1190">
        <v>62000</v>
      </c>
      <c r="G1190">
        <v>0</v>
      </c>
      <c r="H1190" s="2">
        <v>1</v>
      </c>
      <c r="I1190" s="2">
        <v>41511</v>
      </c>
      <c r="J1190">
        <v>25</v>
      </c>
      <c r="K1190">
        <f>VLOOKUP(B1190,purchase_dataset!$B$2:$F$2241,2,FALSE)</f>
        <v>0</v>
      </c>
      <c r="L1190">
        <f>VLOOKUP(B1190,purchase_dataset!$B$2:$F$2241,3,FALSE)</f>
        <v>0</v>
      </c>
      <c r="M1190">
        <f>VLOOKUP(B1190,purchase_dataset!$B$2:$F$2241,3,FALSE)</f>
        <v>0</v>
      </c>
      <c r="N1190">
        <f>VLOOKUP(B1190,purchase_dataset!$B$2:$F$2241,5,FALSE)</f>
        <v>13</v>
      </c>
      <c r="O1190" s="5">
        <v>74</v>
      </c>
      <c r="P1190" s="4" t="str">
        <f t="shared" si="36"/>
        <v>&gt;50</v>
      </c>
      <c r="Q1190" s="4">
        <f>M1190+N1190</f>
        <v>13</v>
      </c>
      <c r="U1190" s="28" t="str" cm="1">
        <f t="array" ref="U1190">_xlfn.IFS(F1190&lt;30000,"30k",F1190&lt;=50000,"30k-50k",F1190&lt;=75000,"50k-75k",F1190&lt;=100000,"75k-100k",F1190&gt;100000,"100k")</f>
        <v>50k-75k</v>
      </c>
      <c r="W1190" s="1">
        <f t="shared" si="37"/>
        <v>13</v>
      </c>
    </row>
    <row r="1191" spans="1:23" x14ac:dyDescent="0.35">
      <c r="A1191">
        <v>1188</v>
      </c>
      <c r="B1191">
        <v>4088</v>
      </c>
      <c r="C1191">
        <v>1962</v>
      </c>
      <c r="D1191" s="1" t="s">
        <v>13</v>
      </c>
      <c r="E1191" s="1" t="s">
        <v>12</v>
      </c>
      <c r="F1191">
        <v>31497</v>
      </c>
      <c r="G1191">
        <v>0</v>
      </c>
      <c r="H1191" s="2">
        <v>1</v>
      </c>
      <c r="I1191" s="2">
        <v>41249</v>
      </c>
      <c r="J1191">
        <v>22</v>
      </c>
      <c r="K1191">
        <f>VLOOKUP(B1191,purchase_dataset!$B$2:$F$2241,2,FALSE)</f>
        <v>1</v>
      </c>
      <c r="L1191">
        <f>VLOOKUP(B1191,purchase_dataset!$B$2:$F$2241,3,FALSE)</f>
        <v>1</v>
      </c>
      <c r="M1191">
        <f>VLOOKUP(B1191,purchase_dataset!$B$2:$F$2241,3,FALSE)</f>
        <v>1</v>
      </c>
      <c r="N1191">
        <f>VLOOKUP(B1191,purchase_dataset!$B$2:$F$2241,5,FALSE)</f>
        <v>4</v>
      </c>
      <c r="O1191" s="5">
        <v>64</v>
      </c>
      <c r="P1191" s="4" t="str">
        <f t="shared" si="36"/>
        <v>&gt;50</v>
      </c>
      <c r="Q1191" s="4">
        <f>M1191+N1191</f>
        <v>5</v>
      </c>
      <c r="U1191" s="28" t="str" cm="1">
        <f t="array" ref="U1191">_xlfn.IFS(F1191&lt;30000,"30k",F1191&lt;=50000,"30k-50k",F1191&lt;=75000,"50k-75k",F1191&lt;=100000,"75k-100k",F1191&gt;100000,"100k")</f>
        <v>30k-50k</v>
      </c>
      <c r="W1191" s="1">
        <f t="shared" si="37"/>
        <v>14</v>
      </c>
    </row>
    <row r="1192" spans="1:23" x14ac:dyDescent="0.35">
      <c r="A1192">
        <v>1189</v>
      </c>
      <c r="B1192">
        <v>5231</v>
      </c>
      <c r="C1192">
        <v>1974</v>
      </c>
      <c r="D1192" s="1" t="s">
        <v>18</v>
      </c>
      <c r="E1192" s="1" t="s">
        <v>14</v>
      </c>
      <c r="F1192">
        <v>45894</v>
      </c>
      <c r="G1192">
        <v>0</v>
      </c>
      <c r="H1192" s="2">
        <v>2</v>
      </c>
      <c r="I1192" s="2">
        <v>41697</v>
      </c>
      <c r="J1192">
        <v>15</v>
      </c>
      <c r="K1192">
        <f>VLOOKUP(B1192,purchase_dataset!$B$2:$F$2241,2,FALSE)</f>
        <v>2</v>
      </c>
      <c r="L1192">
        <f>VLOOKUP(B1192,purchase_dataset!$B$2:$F$2241,3,FALSE)</f>
        <v>2</v>
      </c>
      <c r="M1192">
        <f>VLOOKUP(B1192,purchase_dataset!$B$2:$F$2241,3,FALSE)</f>
        <v>2</v>
      </c>
      <c r="N1192">
        <f>VLOOKUP(B1192,purchase_dataset!$B$2:$F$2241,5,FALSE)</f>
        <v>3</v>
      </c>
      <c r="O1192" s="5">
        <v>52</v>
      </c>
      <c r="P1192" s="4" t="str">
        <f t="shared" si="36"/>
        <v>&gt;50</v>
      </c>
      <c r="Q1192" s="4">
        <f>M1192+N1192</f>
        <v>5</v>
      </c>
      <c r="U1192" s="28" t="str" cm="1">
        <f t="array" ref="U1192">_xlfn.IFS(F1192&lt;30000,"30k",F1192&lt;=50000,"30k-50k",F1192&lt;=75000,"50k-75k",F1192&lt;=100000,"75k-100k",F1192&gt;100000,"100k")</f>
        <v>30k-50k</v>
      </c>
      <c r="W1192" s="1">
        <f t="shared" si="37"/>
        <v>12</v>
      </c>
    </row>
    <row r="1193" spans="1:23" x14ac:dyDescent="0.35">
      <c r="A1193">
        <v>1190</v>
      </c>
      <c r="B1193">
        <v>590</v>
      </c>
      <c r="C1193">
        <v>1970</v>
      </c>
      <c r="D1193" s="1" t="s">
        <v>15</v>
      </c>
      <c r="E1193" s="1" t="s">
        <v>16</v>
      </c>
      <c r="F1193">
        <v>78579</v>
      </c>
      <c r="G1193">
        <v>0</v>
      </c>
      <c r="H1193" s="2">
        <v>0</v>
      </c>
      <c r="I1193" s="2">
        <v>41265</v>
      </c>
      <c r="J1193">
        <v>35</v>
      </c>
      <c r="K1193">
        <f>VLOOKUP(B1193,purchase_dataset!$B$2:$F$2241,2,FALSE)</f>
        <v>66</v>
      </c>
      <c r="L1193">
        <f>VLOOKUP(B1193,purchase_dataset!$B$2:$F$2241,3,FALSE)</f>
        <v>66</v>
      </c>
      <c r="M1193">
        <f>VLOOKUP(B1193,purchase_dataset!$B$2:$F$2241,3,FALSE)</f>
        <v>66</v>
      </c>
      <c r="N1193">
        <f>VLOOKUP(B1193,purchase_dataset!$B$2:$F$2241,5,FALSE)</f>
        <v>4</v>
      </c>
      <c r="O1193" s="5">
        <v>56</v>
      </c>
      <c r="P1193" s="4" t="str">
        <f t="shared" si="36"/>
        <v>&gt;50</v>
      </c>
      <c r="Q1193" s="4">
        <f>M1193+N1193</f>
        <v>70</v>
      </c>
      <c r="U1193" s="28" t="str" cm="1">
        <f t="array" ref="U1193">_xlfn.IFS(F1193&lt;30000,"30k",F1193&lt;=50000,"30k-50k",F1193&lt;=75000,"50k-75k",F1193&lt;=100000,"75k-100k",F1193&gt;100000,"100k")</f>
        <v>75k-100k</v>
      </c>
      <c r="W1193" s="1">
        <f t="shared" si="37"/>
        <v>14</v>
      </c>
    </row>
    <row r="1194" spans="1:23" x14ac:dyDescent="0.35">
      <c r="A1194">
        <v>1191</v>
      </c>
      <c r="B1194">
        <v>8732</v>
      </c>
      <c r="C1194">
        <v>1969</v>
      </c>
      <c r="D1194" s="1" t="s">
        <v>15</v>
      </c>
      <c r="E1194" s="1" t="s">
        <v>19</v>
      </c>
      <c r="F1194">
        <v>67369</v>
      </c>
      <c r="G1194">
        <v>0</v>
      </c>
      <c r="H1194" s="2">
        <v>1</v>
      </c>
      <c r="I1194" s="2">
        <v>41230</v>
      </c>
      <c r="J1194">
        <v>81</v>
      </c>
      <c r="K1194">
        <f>VLOOKUP(B1194,purchase_dataset!$B$2:$F$2241,2,FALSE)</f>
        <v>0</v>
      </c>
      <c r="L1194">
        <f>VLOOKUP(B1194,purchase_dataset!$B$2:$F$2241,3,FALSE)</f>
        <v>14</v>
      </c>
      <c r="M1194">
        <f>VLOOKUP(B1194,purchase_dataset!$B$2:$F$2241,3,FALSE)</f>
        <v>14</v>
      </c>
      <c r="N1194">
        <f>VLOOKUP(B1194,purchase_dataset!$B$2:$F$2241,5,FALSE)</f>
        <v>10</v>
      </c>
      <c r="O1194" s="5">
        <v>57</v>
      </c>
      <c r="P1194" s="4" t="str">
        <f t="shared" si="36"/>
        <v>&gt;50</v>
      </c>
      <c r="Q1194" s="4">
        <f>M1194+N1194</f>
        <v>24</v>
      </c>
      <c r="U1194" s="28" t="str" cm="1">
        <f t="array" ref="U1194">_xlfn.IFS(F1194&lt;30000,"30k",F1194&lt;=50000,"30k-50k",F1194&lt;=75000,"50k-75k",F1194&lt;=100000,"75k-100k",F1194&gt;100000,"100k")</f>
        <v>50k-75k</v>
      </c>
      <c r="W1194" s="1">
        <f t="shared" si="37"/>
        <v>14</v>
      </c>
    </row>
    <row r="1195" spans="1:23" x14ac:dyDescent="0.35">
      <c r="A1195">
        <v>1192</v>
      </c>
      <c r="B1195">
        <v>2315</v>
      </c>
      <c r="C1195">
        <v>1960</v>
      </c>
      <c r="D1195" s="1" t="s">
        <v>10</v>
      </c>
      <c r="E1195" s="1" t="s">
        <v>16</v>
      </c>
      <c r="F1195">
        <v>58401</v>
      </c>
      <c r="G1195">
        <v>0</v>
      </c>
      <c r="H1195" s="2">
        <v>1</v>
      </c>
      <c r="I1195" s="2">
        <v>41749</v>
      </c>
      <c r="J1195">
        <v>55</v>
      </c>
      <c r="K1195">
        <f>VLOOKUP(B1195,purchase_dataset!$B$2:$F$2241,2,FALSE)</f>
        <v>0</v>
      </c>
      <c r="L1195">
        <f>VLOOKUP(B1195,purchase_dataset!$B$2:$F$2241,3,FALSE)</f>
        <v>29</v>
      </c>
      <c r="M1195">
        <f>VLOOKUP(B1195,purchase_dataset!$B$2:$F$2241,3,FALSE)</f>
        <v>29</v>
      </c>
      <c r="N1195">
        <f>VLOOKUP(B1195,purchase_dataset!$B$2:$F$2241,5,FALSE)</f>
        <v>2</v>
      </c>
      <c r="O1195" s="5">
        <v>66</v>
      </c>
      <c r="P1195" s="4" t="str">
        <f t="shared" si="36"/>
        <v>&gt;50</v>
      </c>
      <c r="Q1195" s="4">
        <f>M1195+N1195</f>
        <v>31</v>
      </c>
      <c r="U1195" s="28" t="str" cm="1">
        <f t="array" ref="U1195">_xlfn.IFS(F1195&lt;30000,"30k",F1195&lt;=50000,"30k-50k",F1195&lt;=75000,"50k-75k",F1195&lt;=100000,"75k-100k",F1195&gt;100000,"100k")</f>
        <v>50k-75k</v>
      </c>
      <c r="W1195" s="1">
        <f t="shared" si="37"/>
        <v>12</v>
      </c>
    </row>
    <row r="1196" spans="1:23" x14ac:dyDescent="0.35">
      <c r="A1196">
        <v>1193</v>
      </c>
      <c r="B1196">
        <v>3515</v>
      </c>
      <c r="C1196">
        <v>1952</v>
      </c>
      <c r="D1196" s="1" t="s">
        <v>10</v>
      </c>
      <c r="E1196" s="1" t="s">
        <v>11</v>
      </c>
      <c r="F1196">
        <v>62307</v>
      </c>
      <c r="G1196">
        <v>0</v>
      </c>
      <c r="H1196" s="2">
        <v>1</v>
      </c>
      <c r="I1196" s="2">
        <v>41687</v>
      </c>
      <c r="J1196">
        <v>94</v>
      </c>
      <c r="K1196">
        <f>VLOOKUP(B1196,purchase_dataset!$B$2:$F$2241,2,FALSE)</f>
        <v>13</v>
      </c>
      <c r="L1196">
        <f>VLOOKUP(B1196,purchase_dataset!$B$2:$F$2241,3,FALSE)</f>
        <v>6</v>
      </c>
      <c r="M1196">
        <f>VLOOKUP(B1196,purchase_dataset!$B$2:$F$2241,3,FALSE)</f>
        <v>6</v>
      </c>
      <c r="N1196">
        <f>VLOOKUP(B1196,purchase_dataset!$B$2:$F$2241,5,FALSE)</f>
        <v>4</v>
      </c>
      <c r="O1196" s="5">
        <v>74</v>
      </c>
      <c r="P1196" s="4" t="str">
        <f t="shared" si="36"/>
        <v>&gt;50</v>
      </c>
      <c r="Q1196" s="4">
        <f>M1196+N1196</f>
        <v>10</v>
      </c>
      <c r="U1196" s="28" t="str" cm="1">
        <f t="array" ref="U1196">_xlfn.IFS(F1196&lt;30000,"30k",F1196&lt;=50000,"30k-50k",F1196&lt;=75000,"50k-75k",F1196&lt;=100000,"75k-100k",F1196&gt;100000,"100k")</f>
        <v>50k-75k</v>
      </c>
      <c r="W1196" s="1">
        <f t="shared" si="37"/>
        <v>12</v>
      </c>
    </row>
    <row r="1197" spans="1:23" x14ac:dyDescent="0.35">
      <c r="A1197">
        <v>1194</v>
      </c>
      <c r="B1197">
        <v>2245</v>
      </c>
      <c r="C1197">
        <v>1969</v>
      </c>
      <c r="D1197" s="1" t="s">
        <v>15</v>
      </c>
      <c r="E1197" s="1" t="s">
        <v>14</v>
      </c>
      <c r="F1197">
        <v>43641</v>
      </c>
      <c r="G1197">
        <v>1</v>
      </c>
      <c r="H1197" s="2">
        <v>1</v>
      </c>
      <c r="I1197" s="2">
        <v>41386</v>
      </c>
      <c r="J1197">
        <v>50</v>
      </c>
      <c r="K1197">
        <f>VLOOKUP(B1197,purchase_dataset!$B$2:$F$2241,2,FALSE)</f>
        <v>2</v>
      </c>
      <c r="L1197">
        <f>VLOOKUP(B1197,purchase_dataset!$B$2:$F$2241,3,FALSE)</f>
        <v>2</v>
      </c>
      <c r="M1197">
        <f>VLOOKUP(B1197,purchase_dataset!$B$2:$F$2241,3,FALSE)</f>
        <v>2</v>
      </c>
      <c r="N1197">
        <f>VLOOKUP(B1197,purchase_dataset!$B$2:$F$2241,5,FALSE)</f>
        <v>4</v>
      </c>
      <c r="O1197" s="5">
        <v>57</v>
      </c>
      <c r="P1197" s="4" t="str">
        <f t="shared" si="36"/>
        <v>&gt;50</v>
      </c>
      <c r="Q1197" s="4">
        <f>M1197+N1197</f>
        <v>6</v>
      </c>
      <c r="U1197" s="28" t="str" cm="1">
        <f t="array" ref="U1197">_xlfn.IFS(F1197&lt;30000,"30k",F1197&lt;=50000,"30k-50k",F1197&lt;=75000,"50k-75k",F1197&lt;=100000,"75k-100k",F1197&gt;100000,"100k")</f>
        <v>30k-50k</v>
      </c>
      <c r="W1197" s="1">
        <f t="shared" si="37"/>
        <v>13</v>
      </c>
    </row>
    <row r="1198" spans="1:23" x14ac:dyDescent="0.35">
      <c r="A1198">
        <v>1195</v>
      </c>
      <c r="B1198">
        <v>6283</v>
      </c>
      <c r="C1198">
        <v>1968</v>
      </c>
      <c r="D1198" s="1" t="s">
        <v>15</v>
      </c>
      <c r="E1198" s="1" t="s">
        <v>16</v>
      </c>
      <c r="F1198">
        <v>63841</v>
      </c>
      <c r="G1198">
        <v>0</v>
      </c>
      <c r="H1198" s="2">
        <v>1</v>
      </c>
      <c r="I1198" s="2">
        <v>41385</v>
      </c>
      <c r="J1198">
        <v>64</v>
      </c>
      <c r="K1198">
        <f>VLOOKUP(B1198,purchase_dataset!$B$2:$F$2241,2,FALSE)</f>
        <v>15</v>
      </c>
      <c r="L1198">
        <f>VLOOKUP(B1198,purchase_dataset!$B$2:$F$2241,3,FALSE)</f>
        <v>7</v>
      </c>
      <c r="M1198">
        <f>VLOOKUP(B1198,purchase_dataset!$B$2:$F$2241,3,FALSE)</f>
        <v>7</v>
      </c>
      <c r="N1198">
        <f>VLOOKUP(B1198,purchase_dataset!$B$2:$F$2241,5,FALSE)</f>
        <v>9</v>
      </c>
      <c r="O1198" s="5">
        <v>58</v>
      </c>
      <c r="P1198" s="4" t="str">
        <f t="shared" si="36"/>
        <v>&gt;50</v>
      </c>
      <c r="Q1198" s="4">
        <f>M1198+N1198</f>
        <v>16</v>
      </c>
      <c r="U1198" s="28" t="str" cm="1">
        <f t="array" ref="U1198">_xlfn.IFS(F1198&lt;30000,"30k",F1198&lt;=50000,"30k-50k",F1198&lt;=75000,"50k-75k",F1198&lt;=100000,"75k-100k",F1198&gt;100000,"100k")</f>
        <v>50k-75k</v>
      </c>
      <c r="W1198" s="1">
        <f t="shared" si="37"/>
        <v>13</v>
      </c>
    </row>
    <row r="1199" spans="1:23" x14ac:dyDescent="0.35">
      <c r="A1199">
        <v>1196</v>
      </c>
      <c r="B1199">
        <v>2246</v>
      </c>
      <c r="C1199">
        <v>1965</v>
      </c>
      <c r="D1199" s="1" t="s">
        <v>18</v>
      </c>
      <c r="E1199" s="1" t="s">
        <v>14</v>
      </c>
      <c r="F1199">
        <v>46891</v>
      </c>
      <c r="G1199">
        <v>0</v>
      </c>
      <c r="H1199" s="2">
        <v>1</v>
      </c>
      <c r="I1199" s="2">
        <v>41518</v>
      </c>
      <c r="J1199">
        <v>91</v>
      </c>
      <c r="K1199">
        <f>VLOOKUP(B1199,purchase_dataset!$B$2:$F$2241,2,FALSE)</f>
        <v>12</v>
      </c>
      <c r="L1199">
        <f>VLOOKUP(B1199,purchase_dataset!$B$2:$F$2241,3,FALSE)</f>
        <v>15</v>
      </c>
      <c r="M1199">
        <f>VLOOKUP(B1199,purchase_dataset!$B$2:$F$2241,3,FALSE)</f>
        <v>15</v>
      </c>
      <c r="N1199">
        <f>VLOOKUP(B1199,purchase_dataset!$B$2:$F$2241,5,FALSE)</f>
        <v>4</v>
      </c>
      <c r="O1199" s="5">
        <v>61</v>
      </c>
      <c r="P1199" s="4" t="str">
        <f t="shared" si="36"/>
        <v>&gt;50</v>
      </c>
      <c r="Q1199" s="4">
        <f>M1199+N1199</f>
        <v>19</v>
      </c>
      <c r="U1199" s="28" t="str" cm="1">
        <f t="array" ref="U1199">_xlfn.IFS(F1199&lt;30000,"30k",F1199&lt;=50000,"30k-50k",F1199&lt;=75000,"50k-75k",F1199&lt;=100000,"75k-100k",F1199&gt;100000,"100k")</f>
        <v>30k-50k</v>
      </c>
      <c r="W1199" s="1">
        <f t="shared" si="37"/>
        <v>13</v>
      </c>
    </row>
    <row r="1200" spans="1:23" x14ac:dyDescent="0.35">
      <c r="A1200">
        <v>1197</v>
      </c>
      <c r="B1200">
        <v>6606</v>
      </c>
      <c r="C1200">
        <v>1969</v>
      </c>
      <c r="D1200" s="1" t="s">
        <v>15</v>
      </c>
      <c r="E1200" s="1" t="s">
        <v>14</v>
      </c>
      <c r="F1200">
        <v>70091</v>
      </c>
      <c r="G1200">
        <v>1</v>
      </c>
      <c r="H1200" s="2">
        <v>0</v>
      </c>
      <c r="I1200" s="2">
        <v>41364</v>
      </c>
      <c r="J1200">
        <v>11</v>
      </c>
      <c r="K1200">
        <f>VLOOKUP(B1200,purchase_dataset!$B$2:$F$2241,2,FALSE)</f>
        <v>34</v>
      </c>
      <c r="L1200">
        <f>VLOOKUP(B1200,purchase_dataset!$B$2:$F$2241,3,FALSE)</f>
        <v>0</v>
      </c>
      <c r="M1200">
        <f>VLOOKUP(B1200,purchase_dataset!$B$2:$F$2241,3,FALSE)</f>
        <v>0</v>
      </c>
      <c r="N1200">
        <f>VLOOKUP(B1200,purchase_dataset!$B$2:$F$2241,5,FALSE)</f>
        <v>10</v>
      </c>
      <c r="O1200" s="5">
        <v>57</v>
      </c>
      <c r="P1200" s="4" t="str">
        <f t="shared" si="36"/>
        <v>&gt;50</v>
      </c>
      <c r="Q1200" s="4">
        <f>M1200+N1200</f>
        <v>10</v>
      </c>
      <c r="U1200" s="28" t="str" cm="1">
        <f t="array" ref="U1200">_xlfn.IFS(F1200&lt;30000,"30k",F1200&lt;=50000,"30k-50k",F1200&lt;=75000,"50k-75k",F1200&lt;=100000,"75k-100k",F1200&gt;100000,"100k")</f>
        <v>50k-75k</v>
      </c>
      <c r="W1200" s="1">
        <f t="shared" si="37"/>
        <v>13</v>
      </c>
    </row>
    <row r="1201" spans="1:23" x14ac:dyDescent="0.35">
      <c r="A1201">
        <v>1198</v>
      </c>
      <c r="B1201">
        <v>5545</v>
      </c>
      <c r="C1201">
        <v>1972</v>
      </c>
      <c r="D1201" s="1" t="s">
        <v>13</v>
      </c>
      <c r="E1201" s="1" t="s">
        <v>14</v>
      </c>
      <c r="F1201">
        <v>78075</v>
      </c>
      <c r="G1201">
        <v>0</v>
      </c>
      <c r="H1201" s="2">
        <v>0</v>
      </c>
      <c r="I1201" s="2">
        <v>41734</v>
      </c>
      <c r="J1201">
        <v>72</v>
      </c>
      <c r="K1201">
        <f>VLOOKUP(B1201,purchase_dataset!$B$2:$F$2241,2,FALSE)</f>
        <v>8</v>
      </c>
      <c r="L1201">
        <f>VLOOKUP(B1201,purchase_dataset!$B$2:$F$2241,3,FALSE)</f>
        <v>35</v>
      </c>
      <c r="M1201">
        <f>VLOOKUP(B1201,purchase_dataset!$B$2:$F$2241,3,FALSE)</f>
        <v>35</v>
      </c>
      <c r="N1201">
        <f>VLOOKUP(B1201,purchase_dataset!$B$2:$F$2241,5,FALSE)</f>
        <v>5</v>
      </c>
      <c r="O1201" s="5">
        <v>54</v>
      </c>
      <c r="P1201" s="4" t="str">
        <f t="shared" si="36"/>
        <v>&gt;50</v>
      </c>
      <c r="Q1201" s="4">
        <f>M1201+N1201</f>
        <v>40</v>
      </c>
      <c r="U1201" s="28" t="str" cm="1">
        <f t="array" ref="U1201">_xlfn.IFS(F1201&lt;30000,"30k",F1201&lt;=50000,"30k-50k",F1201&lt;=75000,"50k-75k",F1201&lt;=100000,"75k-100k",F1201&gt;100000,"100k")</f>
        <v>75k-100k</v>
      </c>
      <c r="W1201" s="1">
        <f t="shared" si="37"/>
        <v>12</v>
      </c>
    </row>
    <row r="1202" spans="1:23" x14ac:dyDescent="0.35">
      <c r="A1202">
        <v>1199</v>
      </c>
      <c r="B1202">
        <v>7342</v>
      </c>
      <c r="C1202">
        <v>1961</v>
      </c>
      <c r="D1202" s="1" t="s">
        <v>18</v>
      </c>
      <c r="E1202" s="1" t="s">
        <v>19</v>
      </c>
      <c r="F1202">
        <v>59184</v>
      </c>
      <c r="G1202">
        <v>0</v>
      </c>
      <c r="H1202" s="2">
        <v>1</v>
      </c>
      <c r="I1202" s="2">
        <v>41161</v>
      </c>
      <c r="J1202">
        <v>6</v>
      </c>
      <c r="K1202">
        <f>VLOOKUP(B1202,purchase_dataset!$B$2:$F$2241,2,FALSE)</f>
        <v>142</v>
      </c>
      <c r="L1202">
        <f>VLOOKUP(B1202,purchase_dataset!$B$2:$F$2241,3,FALSE)</f>
        <v>151</v>
      </c>
      <c r="M1202">
        <f>VLOOKUP(B1202,purchase_dataset!$B$2:$F$2241,3,FALSE)</f>
        <v>151</v>
      </c>
      <c r="N1202">
        <f>VLOOKUP(B1202,purchase_dataset!$B$2:$F$2241,5,FALSE)</f>
        <v>12</v>
      </c>
      <c r="O1202" s="5">
        <v>65</v>
      </c>
      <c r="P1202" s="4" t="str">
        <f t="shared" si="36"/>
        <v>&gt;50</v>
      </c>
      <c r="Q1202" s="4">
        <f>M1202+N1202</f>
        <v>163</v>
      </c>
      <c r="U1202" s="28" t="str" cm="1">
        <f t="array" ref="U1202">_xlfn.IFS(F1202&lt;30000,"30k",F1202&lt;=50000,"30k-50k",F1202&lt;=75000,"50k-75k",F1202&lt;=100000,"75k-100k",F1202&gt;100000,"100k")</f>
        <v>50k-75k</v>
      </c>
      <c r="W1202" s="1">
        <f t="shared" si="37"/>
        <v>14</v>
      </c>
    </row>
    <row r="1203" spans="1:23" x14ac:dyDescent="0.35">
      <c r="A1203">
        <v>1200</v>
      </c>
      <c r="B1203">
        <v>837</v>
      </c>
      <c r="C1203">
        <v>1977</v>
      </c>
      <c r="D1203" s="1" t="s">
        <v>10</v>
      </c>
      <c r="E1203" s="1" t="s">
        <v>14</v>
      </c>
      <c r="F1203">
        <v>54809</v>
      </c>
      <c r="G1203">
        <v>1</v>
      </c>
      <c r="H1203" s="2">
        <v>1</v>
      </c>
      <c r="I1203" s="2">
        <v>41528</v>
      </c>
      <c r="J1203">
        <v>0</v>
      </c>
      <c r="K1203">
        <f>VLOOKUP(B1203,purchase_dataset!$B$2:$F$2241,2,FALSE)</f>
        <v>6</v>
      </c>
      <c r="L1203">
        <f>VLOOKUP(B1203,purchase_dataset!$B$2:$F$2241,3,FALSE)</f>
        <v>13</v>
      </c>
      <c r="M1203">
        <f>VLOOKUP(B1203,purchase_dataset!$B$2:$F$2241,3,FALSE)</f>
        <v>13</v>
      </c>
      <c r="N1203">
        <f>VLOOKUP(B1203,purchase_dataset!$B$2:$F$2241,5,FALSE)</f>
        <v>5</v>
      </c>
      <c r="O1203" s="5">
        <v>49</v>
      </c>
      <c r="P1203" s="4" t="str">
        <f t="shared" si="36"/>
        <v>30-50</v>
      </c>
      <c r="Q1203" s="4">
        <f>M1203+N1203</f>
        <v>18</v>
      </c>
      <c r="U1203" s="28" t="str" cm="1">
        <f t="array" ref="U1203">_xlfn.IFS(F1203&lt;30000,"30k",F1203&lt;=50000,"30k-50k",F1203&lt;=75000,"50k-75k",F1203&lt;=100000,"75k-100k",F1203&gt;100000,"100k")</f>
        <v>50k-75k</v>
      </c>
      <c r="W1203" s="1">
        <f t="shared" si="37"/>
        <v>13</v>
      </c>
    </row>
    <row r="1204" spans="1:23" x14ac:dyDescent="0.35">
      <c r="A1204">
        <v>1201</v>
      </c>
      <c r="B1204">
        <v>9500</v>
      </c>
      <c r="C1204">
        <v>1959</v>
      </c>
      <c r="D1204" s="1" t="s">
        <v>10</v>
      </c>
      <c r="E1204" s="1" t="s">
        <v>14</v>
      </c>
      <c r="F1204">
        <v>58113</v>
      </c>
      <c r="G1204">
        <v>0</v>
      </c>
      <c r="H1204" s="2">
        <v>1</v>
      </c>
      <c r="I1204" s="2">
        <v>41299</v>
      </c>
      <c r="J1204">
        <v>66</v>
      </c>
      <c r="K1204">
        <f>VLOOKUP(B1204,purchase_dataset!$B$2:$F$2241,2,FALSE)</f>
        <v>104</v>
      </c>
      <c r="L1204">
        <f>VLOOKUP(B1204,purchase_dataset!$B$2:$F$2241,3,FALSE)</f>
        <v>78</v>
      </c>
      <c r="M1204">
        <f>VLOOKUP(B1204,purchase_dataset!$B$2:$F$2241,3,FALSE)</f>
        <v>78</v>
      </c>
      <c r="N1204">
        <f>VLOOKUP(B1204,purchase_dataset!$B$2:$F$2241,5,FALSE)</f>
        <v>8</v>
      </c>
      <c r="O1204" s="5">
        <v>67</v>
      </c>
      <c r="P1204" s="4" t="str">
        <f t="shared" si="36"/>
        <v>&gt;50</v>
      </c>
      <c r="Q1204" s="4">
        <f>M1204+N1204</f>
        <v>86</v>
      </c>
      <c r="U1204" s="28" t="str" cm="1">
        <f t="array" ref="U1204">_xlfn.IFS(F1204&lt;30000,"30k",F1204&lt;=50000,"30k-50k",F1204&lt;=75000,"50k-75k",F1204&lt;=100000,"75k-100k",F1204&gt;100000,"100k")</f>
        <v>50k-75k</v>
      </c>
      <c r="W1204" s="1">
        <f t="shared" si="37"/>
        <v>13</v>
      </c>
    </row>
    <row r="1205" spans="1:23" x14ac:dyDescent="0.35">
      <c r="A1205">
        <v>1202</v>
      </c>
      <c r="B1205">
        <v>3602</v>
      </c>
      <c r="C1205">
        <v>1958</v>
      </c>
      <c r="D1205" s="1" t="s">
        <v>15</v>
      </c>
      <c r="E1205" s="1" t="s">
        <v>14</v>
      </c>
      <c r="F1205">
        <v>51412</v>
      </c>
      <c r="G1205">
        <v>0</v>
      </c>
      <c r="H1205" s="2">
        <v>1</v>
      </c>
      <c r="I1205" s="2">
        <v>41639</v>
      </c>
      <c r="J1205">
        <v>42</v>
      </c>
      <c r="K1205">
        <f>VLOOKUP(B1205,purchase_dataset!$B$2:$F$2241,2,FALSE)</f>
        <v>3</v>
      </c>
      <c r="L1205">
        <f>VLOOKUP(B1205,purchase_dataset!$B$2:$F$2241,3,FALSE)</f>
        <v>5</v>
      </c>
      <c r="M1205">
        <f>VLOOKUP(B1205,purchase_dataset!$B$2:$F$2241,3,FALSE)</f>
        <v>5</v>
      </c>
      <c r="N1205">
        <f>VLOOKUP(B1205,purchase_dataset!$B$2:$F$2241,5,FALSE)</f>
        <v>4</v>
      </c>
      <c r="O1205" s="5">
        <v>68</v>
      </c>
      <c r="P1205" s="4" t="str">
        <f t="shared" si="36"/>
        <v>&gt;50</v>
      </c>
      <c r="Q1205" s="4">
        <f>M1205+N1205</f>
        <v>9</v>
      </c>
      <c r="U1205" s="28" t="str" cm="1">
        <f t="array" ref="U1205">_xlfn.IFS(F1205&lt;30000,"30k",F1205&lt;=50000,"30k-50k",F1205&lt;=75000,"50k-75k",F1205&lt;=100000,"75k-100k",F1205&gt;100000,"100k")</f>
        <v>50k-75k</v>
      </c>
      <c r="W1205" s="1">
        <f t="shared" si="37"/>
        <v>13</v>
      </c>
    </row>
    <row r="1206" spans="1:23" x14ac:dyDescent="0.35">
      <c r="A1206">
        <v>1203</v>
      </c>
      <c r="B1206">
        <v>234</v>
      </c>
      <c r="C1206">
        <v>1979</v>
      </c>
      <c r="D1206" s="1" t="s">
        <v>10</v>
      </c>
      <c r="E1206" s="1" t="s">
        <v>16</v>
      </c>
      <c r="F1206">
        <v>15287</v>
      </c>
      <c r="G1206">
        <v>1</v>
      </c>
      <c r="H1206" s="2">
        <v>0</v>
      </c>
      <c r="I1206" s="2">
        <v>41192</v>
      </c>
      <c r="J1206">
        <v>60</v>
      </c>
      <c r="K1206">
        <f>VLOOKUP(B1206,purchase_dataset!$B$2:$F$2241,2,FALSE)</f>
        <v>2</v>
      </c>
      <c r="L1206">
        <f>VLOOKUP(B1206,purchase_dataset!$B$2:$F$2241,3,FALSE)</f>
        <v>3</v>
      </c>
      <c r="M1206">
        <f>VLOOKUP(B1206,purchase_dataset!$B$2:$F$2241,3,FALSE)</f>
        <v>3</v>
      </c>
      <c r="N1206">
        <f>VLOOKUP(B1206,purchase_dataset!$B$2:$F$2241,5,FALSE)</f>
        <v>2</v>
      </c>
      <c r="O1206" s="5">
        <v>47</v>
      </c>
      <c r="P1206" s="4" t="str">
        <f t="shared" si="36"/>
        <v>30-50</v>
      </c>
      <c r="Q1206" s="4">
        <f>M1206+N1206</f>
        <v>5</v>
      </c>
      <c r="U1206" s="28" t="str" cm="1">
        <f t="array" ref="U1206">_xlfn.IFS(F1206&lt;30000,"30k",F1206&lt;=50000,"30k-50k",F1206&lt;=75000,"50k-75k",F1206&lt;=100000,"75k-100k",F1206&gt;100000,"100k")</f>
        <v>30k</v>
      </c>
      <c r="W1206" s="1">
        <f t="shared" si="37"/>
        <v>14</v>
      </c>
    </row>
    <row r="1207" spans="1:23" x14ac:dyDescent="0.35">
      <c r="A1207">
        <v>1204</v>
      </c>
      <c r="B1207">
        <v>2995</v>
      </c>
      <c r="C1207">
        <v>1957</v>
      </c>
      <c r="D1207" s="1" t="s">
        <v>15</v>
      </c>
      <c r="E1207" s="1" t="s">
        <v>12</v>
      </c>
      <c r="F1207">
        <v>66636</v>
      </c>
      <c r="G1207">
        <v>0</v>
      </c>
      <c r="H1207" s="2">
        <v>0</v>
      </c>
      <c r="I1207" s="2">
        <v>41503</v>
      </c>
      <c r="J1207">
        <v>64</v>
      </c>
      <c r="K1207">
        <f>VLOOKUP(B1207,purchase_dataset!$B$2:$F$2241,2,FALSE)</f>
        <v>10</v>
      </c>
      <c r="L1207">
        <f>VLOOKUP(B1207,purchase_dataset!$B$2:$F$2241,3,FALSE)</f>
        <v>10</v>
      </c>
      <c r="M1207">
        <f>VLOOKUP(B1207,purchase_dataset!$B$2:$F$2241,3,FALSE)</f>
        <v>10</v>
      </c>
      <c r="N1207">
        <f>VLOOKUP(B1207,purchase_dataset!$B$2:$F$2241,5,FALSE)</f>
        <v>9</v>
      </c>
      <c r="O1207" s="5">
        <v>69</v>
      </c>
      <c r="P1207" s="4" t="str">
        <f t="shared" si="36"/>
        <v>&gt;50</v>
      </c>
      <c r="Q1207" s="4">
        <f>M1207+N1207</f>
        <v>19</v>
      </c>
      <c r="U1207" s="28" t="str" cm="1">
        <f t="array" ref="U1207">_xlfn.IFS(F1207&lt;30000,"30k",F1207&lt;=50000,"30k-50k",F1207&lt;=75000,"50k-75k",F1207&lt;=100000,"75k-100k",F1207&gt;100000,"100k")</f>
        <v>50k-75k</v>
      </c>
      <c r="W1207" s="1">
        <f t="shared" si="37"/>
        <v>13</v>
      </c>
    </row>
    <row r="1208" spans="1:23" x14ac:dyDescent="0.35">
      <c r="A1208">
        <v>1205</v>
      </c>
      <c r="B1208">
        <v>1118</v>
      </c>
      <c r="C1208">
        <v>1956</v>
      </c>
      <c r="D1208" s="1" t="s">
        <v>15</v>
      </c>
      <c r="E1208" s="1" t="s">
        <v>14</v>
      </c>
      <c r="F1208">
        <v>50965</v>
      </c>
      <c r="G1208">
        <v>0</v>
      </c>
      <c r="H1208" s="2">
        <v>1</v>
      </c>
      <c r="I1208" s="2">
        <v>41325</v>
      </c>
      <c r="J1208">
        <v>87</v>
      </c>
      <c r="K1208">
        <f>VLOOKUP(B1208,purchase_dataset!$B$2:$F$2241,2,FALSE)</f>
        <v>13</v>
      </c>
      <c r="L1208">
        <f>VLOOKUP(B1208,purchase_dataset!$B$2:$F$2241,3,FALSE)</f>
        <v>6</v>
      </c>
      <c r="M1208">
        <f>VLOOKUP(B1208,purchase_dataset!$B$2:$F$2241,3,FALSE)</f>
        <v>6</v>
      </c>
      <c r="N1208">
        <f>VLOOKUP(B1208,purchase_dataset!$B$2:$F$2241,5,FALSE)</f>
        <v>5</v>
      </c>
      <c r="O1208" s="5">
        <v>70</v>
      </c>
      <c r="P1208" s="4" t="str">
        <f t="shared" si="36"/>
        <v>&gt;50</v>
      </c>
      <c r="Q1208" s="4">
        <f>M1208+N1208</f>
        <v>11</v>
      </c>
      <c r="U1208" s="28" t="str" cm="1">
        <f t="array" ref="U1208">_xlfn.IFS(F1208&lt;30000,"30k",F1208&lt;=50000,"30k-50k",F1208&lt;=75000,"50k-75k",F1208&lt;=100000,"75k-100k",F1208&gt;100000,"100k")</f>
        <v>50k-75k</v>
      </c>
      <c r="W1208" s="1">
        <f t="shared" si="37"/>
        <v>13</v>
      </c>
    </row>
    <row r="1209" spans="1:23" x14ac:dyDescent="0.35">
      <c r="A1209">
        <v>1206</v>
      </c>
      <c r="B1209">
        <v>7789</v>
      </c>
      <c r="C1209">
        <v>1965</v>
      </c>
      <c r="D1209" s="1" t="s">
        <v>13</v>
      </c>
      <c r="E1209" s="1" t="s">
        <v>14</v>
      </c>
      <c r="F1209">
        <v>84618</v>
      </c>
      <c r="G1209">
        <v>0</v>
      </c>
      <c r="H1209" s="2">
        <v>0</v>
      </c>
      <c r="I1209" s="2">
        <v>41600</v>
      </c>
      <c r="J1209">
        <v>96</v>
      </c>
      <c r="K1209">
        <f>VLOOKUP(B1209,purchase_dataset!$B$2:$F$2241,2,FALSE)</f>
        <v>100</v>
      </c>
      <c r="L1209">
        <f>VLOOKUP(B1209,purchase_dataset!$B$2:$F$2241,3,FALSE)</f>
        <v>66</v>
      </c>
      <c r="M1209">
        <f>VLOOKUP(B1209,purchase_dataset!$B$2:$F$2241,3,FALSE)</f>
        <v>66</v>
      </c>
      <c r="N1209">
        <f>VLOOKUP(B1209,purchase_dataset!$B$2:$F$2241,5,FALSE)</f>
        <v>10</v>
      </c>
      <c r="O1209" s="5">
        <v>61</v>
      </c>
      <c r="P1209" s="4" t="str">
        <f t="shared" si="36"/>
        <v>&gt;50</v>
      </c>
      <c r="Q1209" s="4">
        <f>M1209+N1209</f>
        <v>76</v>
      </c>
      <c r="U1209" s="28" t="str" cm="1">
        <f t="array" ref="U1209">_xlfn.IFS(F1209&lt;30000,"30k",F1209&lt;=50000,"30k-50k",F1209&lt;=75000,"50k-75k",F1209&lt;=100000,"75k-100k",F1209&gt;100000,"100k")</f>
        <v>75k-100k</v>
      </c>
      <c r="W1209" s="1">
        <f t="shared" si="37"/>
        <v>13</v>
      </c>
    </row>
    <row r="1210" spans="1:23" x14ac:dyDescent="0.35">
      <c r="A1210">
        <v>1207</v>
      </c>
      <c r="B1210">
        <v>3068</v>
      </c>
      <c r="C1210">
        <v>1990</v>
      </c>
      <c r="D1210" s="1" t="s">
        <v>10</v>
      </c>
      <c r="E1210" s="1" t="s">
        <v>14</v>
      </c>
      <c r="F1210">
        <v>18351</v>
      </c>
      <c r="G1210">
        <v>0</v>
      </c>
      <c r="H1210" s="2">
        <v>0</v>
      </c>
      <c r="I1210" s="2">
        <v>41576</v>
      </c>
      <c r="J1210">
        <v>1</v>
      </c>
      <c r="K1210">
        <f>VLOOKUP(B1210,purchase_dataset!$B$2:$F$2241,2,FALSE)</f>
        <v>12</v>
      </c>
      <c r="L1210">
        <f>VLOOKUP(B1210,purchase_dataset!$B$2:$F$2241,3,FALSE)</f>
        <v>14</v>
      </c>
      <c r="M1210">
        <f>VLOOKUP(B1210,purchase_dataset!$B$2:$F$2241,3,FALSE)</f>
        <v>14</v>
      </c>
      <c r="N1210">
        <f>VLOOKUP(B1210,purchase_dataset!$B$2:$F$2241,5,FALSE)</f>
        <v>3</v>
      </c>
      <c r="O1210" s="5">
        <v>36</v>
      </c>
      <c r="P1210" s="4" t="str">
        <f t="shared" si="36"/>
        <v>30-50</v>
      </c>
      <c r="Q1210" s="4">
        <f>M1210+N1210</f>
        <v>17</v>
      </c>
      <c r="U1210" s="28" t="str" cm="1">
        <f t="array" ref="U1210">_xlfn.IFS(F1210&lt;30000,"30k",F1210&lt;=50000,"30k-50k",F1210&lt;=75000,"50k-75k",F1210&lt;=100000,"75k-100k",F1210&gt;100000,"100k")</f>
        <v>30k</v>
      </c>
      <c r="W1210" s="1">
        <f t="shared" si="37"/>
        <v>13</v>
      </c>
    </row>
    <row r="1211" spans="1:23" x14ac:dyDescent="0.35">
      <c r="A1211">
        <v>1208</v>
      </c>
      <c r="B1211">
        <v>8955</v>
      </c>
      <c r="C1211">
        <v>1957</v>
      </c>
      <c r="D1211" s="1" t="s">
        <v>13</v>
      </c>
      <c r="E1211" s="1" t="s">
        <v>12</v>
      </c>
      <c r="F1211">
        <v>40451</v>
      </c>
      <c r="G1211">
        <v>0</v>
      </c>
      <c r="H1211" s="2">
        <v>2</v>
      </c>
      <c r="I1211" s="2">
        <v>41686</v>
      </c>
      <c r="J1211">
        <v>54</v>
      </c>
      <c r="K1211">
        <f>VLOOKUP(B1211,purchase_dataset!$B$2:$F$2241,2,FALSE)</f>
        <v>0</v>
      </c>
      <c r="L1211">
        <f>VLOOKUP(B1211,purchase_dataset!$B$2:$F$2241,3,FALSE)</f>
        <v>0</v>
      </c>
      <c r="M1211">
        <f>VLOOKUP(B1211,purchase_dataset!$B$2:$F$2241,3,FALSE)</f>
        <v>0</v>
      </c>
      <c r="N1211">
        <f>VLOOKUP(B1211,purchase_dataset!$B$2:$F$2241,5,FALSE)</f>
        <v>2</v>
      </c>
      <c r="O1211" s="5">
        <v>69</v>
      </c>
      <c r="P1211" s="4" t="str">
        <f t="shared" si="36"/>
        <v>&gt;50</v>
      </c>
      <c r="Q1211" s="4">
        <f>M1211+N1211</f>
        <v>2</v>
      </c>
      <c r="U1211" s="28" t="str" cm="1">
        <f t="array" ref="U1211">_xlfn.IFS(F1211&lt;30000,"30k",F1211&lt;=50000,"30k-50k",F1211&lt;=75000,"50k-75k",F1211&lt;=100000,"75k-100k",F1211&gt;100000,"100k")</f>
        <v>30k-50k</v>
      </c>
      <c r="W1211" s="1">
        <f t="shared" si="37"/>
        <v>12</v>
      </c>
    </row>
    <row r="1212" spans="1:23" x14ac:dyDescent="0.35">
      <c r="A1212">
        <v>1209</v>
      </c>
      <c r="B1212">
        <v>945</v>
      </c>
      <c r="C1212">
        <v>1965</v>
      </c>
      <c r="D1212" s="1" t="s">
        <v>10</v>
      </c>
      <c r="E1212" s="1" t="s">
        <v>12</v>
      </c>
      <c r="F1212">
        <v>36317</v>
      </c>
      <c r="G1212">
        <v>0</v>
      </c>
      <c r="H1212" s="2">
        <v>1</v>
      </c>
      <c r="I1212" s="2">
        <v>41416</v>
      </c>
      <c r="J1212">
        <v>53</v>
      </c>
      <c r="K1212">
        <f>VLOOKUP(B1212,purchase_dataset!$B$2:$F$2241,2,FALSE)</f>
        <v>3</v>
      </c>
      <c r="L1212">
        <f>VLOOKUP(B1212,purchase_dataset!$B$2:$F$2241,3,FALSE)</f>
        <v>2</v>
      </c>
      <c r="M1212">
        <f>VLOOKUP(B1212,purchase_dataset!$B$2:$F$2241,3,FALSE)</f>
        <v>2</v>
      </c>
      <c r="N1212">
        <f>VLOOKUP(B1212,purchase_dataset!$B$2:$F$2241,5,FALSE)</f>
        <v>4</v>
      </c>
      <c r="O1212" s="5">
        <v>61</v>
      </c>
      <c r="P1212" s="4" t="str">
        <f t="shared" si="36"/>
        <v>&gt;50</v>
      </c>
      <c r="Q1212" s="4">
        <f>M1212+N1212</f>
        <v>6</v>
      </c>
      <c r="U1212" s="28" t="str" cm="1">
        <f t="array" ref="U1212">_xlfn.IFS(F1212&lt;30000,"30k",F1212&lt;=50000,"30k-50k",F1212&lt;=75000,"50k-75k",F1212&lt;=100000,"75k-100k",F1212&gt;100000,"100k")</f>
        <v>30k-50k</v>
      </c>
      <c r="W1212" s="1">
        <f t="shared" si="37"/>
        <v>13</v>
      </c>
    </row>
    <row r="1213" spans="1:23" x14ac:dyDescent="0.35">
      <c r="A1213">
        <v>1210</v>
      </c>
      <c r="B1213">
        <v>5644</v>
      </c>
      <c r="C1213">
        <v>1957</v>
      </c>
      <c r="D1213" s="1" t="s">
        <v>10</v>
      </c>
      <c r="E1213" s="1" t="s">
        <v>12</v>
      </c>
      <c r="F1213">
        <v>42213</v>
      </c>
      <c r="G1213">
        <v>0</v>
      </c>
      <c r="H1213" s="2">
        <v>1</v>
      </c>
      <c r="I1213" s="2">
        <v>41559</v>
      </c>
      <c r="J1213">
        <v>96</v>
      </c>
      <c r="K1213">
        <f>VLOOKUP(B1213,purchase_dataset!$B$2:$F$2241,2,FALSE)</f>
        <v>3</v>
      </c>
      <c r="L1213">
        <f>VLOOKUP(B1213,purchase_dataset!$B$2:$F$2241,3,FALSE)</f>
        <v>3</v>
      </c>
      <c r="M1213">
        <f>VLOOKUP(B1213,purchase_dataset!$B$2:$F$2241,3,FALSE)</f>
        <v>3</v>
      </c>
      <c r="N1213">
        <f>VLOOKUP(B1213,purchase_dataset!$B$2:$F$2241,5,FALSE)</f>
        <v>7</v>
      </c>
      <c r="O1213" s="5">
        <v>69</v>
      </c>
      <c r="P1213" s="4" t="str">
        <f t="shared" si="36"/>
        <v>&gt;50</v>
      </c>
      <c r="Q1213" s="4">
        <f>M1213+N1213</f>
        <v>10</v>
      </c>
      <c r="U1213" s="28" t="str" cm="1">
        <f t="array" ref="U1213">_xlfn.IFS(F1213&lt;30000,"30k",F1213&lt;=50000,"30k-50k",F1213&lt;=75000,"50k-75k",F1213&lt;=100000,"75k-100k",F1213&gt;100000,"100k")</f>
        <v>30k-50k</v>
      </c>
      <c r="W1213" s="1">
        <f t="shared" si="37"/>
        <v>13</v>
      </c>
    </row>
    <row r="1214" spans="1:23" x14ac:dyDescent="0.35">
      <c r="A1214">
        <v>1211</v>
      </c>
      <c r="B1214">
        <v>7192</v>
      </c>
      <c r="C1214">
        <v>1955</v>
      </c>
      <c r="D1214" s="1" t="s">
        <v>10</v>
      </c>
      <c r="E1214" s="1" t="s">
        <v>12</v>
      </c>
      <c r="F1214">
        <v>65748</v>
      </c>
      <c r="G1214">
        <v>0</v>
      </c>
      <c r="H1214" s="2">
        <v>1</v>
      </c>
      <c r="I1214" s="2">
        <v>41379</v>
      </c>
      <c r="J1214">
        <v>58</v>
      </c>
      <c r="K1214">
        <f>VLOOKUP(B1214,purchase_dataset!$B$2:$F$2241,2,FALSE)</f>
        <v>73</v>
      </c>
      <c r="L1214">
        <f>VLOOKUP(B1214,purchase_dataset!$B$2:$F$2241,3,FALSE)</f>
        <v>78</v>
      </c>
      <c r="M1214">
        <f>VLOOKUP(B1214,purchase_dataset!$B$2:$F$2241,3,FALSE)</f>
        <v>78</v>
      </c>
      <c r="N1214">
        <f>VLOOKUP(B1214,purchase_dataset!$B$2:$F$2241,5,FALSE)</f>
        <v>10</v>
      </c>
      <c r="O1214" s="5">
        <v>71</v>
      </c>
      <c r="P1214" s="4" t="str">
        <f t="shared" si="36"/>
        <v>&gt;50</v>
      </c>
      <c r="Q1214" s="4">
        <f>M1214+N1214</f>
        <v>88</v>
      </c>
      <c r="U1214" s="28" t="str" cm="1">
        <f t="array" ref="U1214">_xlfn.IFS(F1214&lt;30000,"30k",F1214&lt;=50000,"30k-50k",F1214&lt;=75000,"50k-75k",F1214&lt;=100000,"75k-100k",F1214&gt;100000,"100k")</f>
        <v>50k-75k</v>
      </c>
      <c r="W1214" s="1">
        <f t="shared" si="37"/>
        <v>13</v>
      </c>
    </row>
    <row r="1215" spans="1:23" x14ac:dyDescent="0.35">
      <c r="A1215">
        <v>1212</v>
      </c>
      <c r="B1215">
        <v>2324</v>
      </c>
      <c r="C1215">
        <v>1972</v>
      </c>
      <c r="D1215" s="1" t="s">
        <v>10</v>
      </c>
      <c r="E1215" s="1" t="s">
        <v>12</v>
      </c>
      <c r="F1215">
        <v>77044</v>
      </c>
      <c r="G1215">
        <v>0</v>
      </c>
      <c r="H1215" s="2">
        <v>1</v>
      </c>
      <c r="I1215" s="2">
        <v>41574</v>
      </c>
      <c r="J1215">
        <v>12</v>
      </c>
      <c r="K1215">
        <f>VLOOKUP(B1215,purchase_dataset!$B$2:$F$2241,2,FALSE)</f>
        <v>38</v>
      </c>
      <c r="L1215">
        <f>VLOOKUP(B1215,purchase_dataset!$B$2:$F$2241,3,FALSE)</f>
        <v>34</v>
      </c>
      <c r="M1215">
        <f>VLOOKUP(B1215,purchase_dataset!$B$2:$F$2241,3,FALSE)</f>
        <v>34</v>
      </c>
      <c r="N1215">
        <f>VLOOKUP(B1215,purchase_dataset!$B$2:$F$2241,5,FALSE)</f>
        <v>11</v>
      </c>
      <c r="O1215" s="5">
        <v>54</v>
      </c>
      <c r="P1215" s="4" t="str">
        <f t="shared" si="36"/>
        <v>&gt;50</v>
      </c>
      <c r="Q1215" s="4">
        <f>M1215+N1215</f>
        <v>45</v>
      </c>
      <c r="U1215" s="28" t="str" cm="1">
        <f t="array" ref="U1215">_xlfn.IFS(F1215&lt;30000,"30k",F1215&lt;=50000,"30k-50k",F1215&lt;=75000,"50k-75k",F1215&lt;=100000,"75k-100k",F1215&gt;100000,"100k")</f>
        <v>75k-100k</v>
      </c>
      <c r="W1215" s="1">
        <f t="shared" si="37"/>
        <v>13</v>
      </c>
    </row>
    <row r="1216" spans="1:23" x14ac:dyDescent="0.35">
      <c r="A1216">
        <v>1213</v>
      </c>
      <c r="B1216">
        <v>697</v>
      </c>
      <c r="C1216">
        <v>1969</v>
      </c>
      <c r="D1216" s="1" t="s">
        <v>10</v>
      </c>
      <c r="E1216" s="1" t="s">
        <v>12</v>
      </c>
      <c r="F1216">
        <v>74918</v>
      </c>
      <c r="G1216">
        <v>0</v>
      </c>
      <c r="H1216" s="2">
        <v>0</v>
      </c>
      <c r="I1216" s="2">
        <v>41345</v>
      </c>
      <c r="J1216">
        <v>78</v>
      </c>
      <c r="K1216">
        <f>VLOOKUP(B1216,purchase_dataset!$B$2:$F$2241,2,FALSE)</f>
        <v>59</v>
      </c>
      <c r="L1216">
        <f>VLOOKUP(B1216,purchase_dataset!$B$2:$F$2241,3,FALSE)</f>
        <v>19</v>
      </c>
      <c r="M1216">
        <f>VLOOKUP(B1216,purchase_dataset!$B$2:$F$2241,3,FALSE)</f>
        <v>19</v>
      </c>
      <c r="N1216">
        <f>VLOOKUP(B1216,purchase_dataset!$B$2:$F$2241,5,FALSE)</f>
        <v>6</v>
      </c>
      <c r="O1216" s="5">
        <v>57</v>
      </c>
      <c r="P1216" s="4" t="str">
        <f t="shared" si="36"/>
        <v>&gt;50</v>
      </c>
      <c r="Q1216" s="4">
        <f>M1216+N1216</f>
        <v>25</v>
      </c>
      <c r="U1216" s="28" t="str" cm="1">
        <f t="array" ref="U1216">_xlfn.IFS(F1216&lt;30000,"30k",F1216&lt;=50000,"30k-50k",F1216&lt;=75000,"50k-75k",F1216&lt;=100000,"75k-100k",F1216&gt;100000,"100k")</f>
        <v>50k-75k</v>
      </c>
      <c r="W1216" s="1">
        <f t="shared" si="37"/>
        <v>13</v>
      </c>
    </row>
    <row r="1217" spans="1:23" x14ac:dyDescent="0.35">
      <c r="A1217">
        <v>1214</v>
      </c>
      <c r="B1217">
        <v>3439</v>
      </c>
      <c r="C1217">
        <v>1972</v>
      </c>
      <c r="D1217" s="1" t="s">
        <v>10</v>
      </c>
      <c r="E1217" s="1" t="s">
        <v>14</v>
      </c>
      <c r="F1217">
        <v>56721</v>
      </c>
      <c r="G1217">
        <v>1</v>
      </c>
      <c r="H1217" s="2">
        <v>1</v>
      </c>
      <c r="I1217" s="2">
        <v>41213</v>
      </c>
      <c r="J1217">
        <v>64</v>
      </c>
      <c r="K1217">
        <f>VLOOKUP(B1217,purchase_dataset!$B$2:$F$2241,2,FALSE)</f>
        <v>6</v>
      </c>
      <c r="L1217">
        <f>VLOOKUP(B1217,purchase_dataset!$B$2:$F$2241,3,FALSE)</f>
        <v>13</v>
      </c>
      <c r="M1217">
        <f>VLOOKUP(B1217,purchase_dataset!$B$2:$F$2241,3,FALSE)</f>
        <v>13</v>
      </c>
      <c r="N1217">
        <f>VLOOKUP(B1217,purchase_dataset!$B$2:$F$2241,5,FALSE)</f>
        <v>5</v>
      </c>
      <c r="O1217" s="5">
        <v>54</v>
      </c>
      <c r="P1217" s="4" t="str">
        <f t="shared" si="36"/>
        <v>&gt;50</v>
      </c>
      <c r="Q1217" s="4">
        <f>M1217+N1217</f>
        <v>18</v>
      </c>
      <c r="U1217" s="28" t="str" cm="1">
        <f t="array" ref="U1217">_xlfn.IFS(F1217&lt;30000,"30k",F1217&lt;=50000,"30k-50k",F1217&lt;=75000,"50k-75k",F1217&lt;=100000,"75k-100k",F1217&gt;100000,"100k")</f>
        <v>50k-75k</v>
      </c>
      <c r="W1217" s="1">
        <f t="shared" si="37"/>
        <v>14</v>
      </c>
    </row>
    <row r="1218" spans="1:23" x14ac:dyDescent="0.35">
      <c r="A1218">
        <v>1215</v>
      </c>
      <c r="B1218">
        <v>1506</v>
      </c>
      <c r="C1218">
        <v>1975</v>
      </c>
      <c r="D1218" s="1" t="s">
        <v>10</v>
      </c>
      <c r="E1218" s="1" t="s">
        <v>11</v>
      </c>
      <c r="F1218">
        <v>42160</v>
      </c>
      <c r="G1218">
        <v>1</v>
      </c>
      <c r="H1218" s="2">
        <v>1</v>
      </c>
      <c r="I1218" s="2">
        <v>41453</v>
      </c>
      <c r="J1218">
        <v>26</v>
      </c>
      <c r="K1218">
        <f>VLOOKUP(B1218,purchase_dataset!$B$2:$F$2241,2,FALSE)</f>
        <v>9</v>
      </c>
      <c r="L1218">
        <f>VLOOKUP(B1218,purchase_dataset!$B$2:$F$2241,3,FALSE)</f>
        <v>15</v>
      </c>
      <c r="M1218">
        <f>VLOOKUP(B1218,purchase_dataset!$B$2:$F$2241,3,FALSE)</f>
        <v>15</v>
      </c>
      <c r="N1218">
        <f>VLOOKUP(B1218,purchase_dataset!$B$2:$F$2241,5,FALSE)</f>
        <v>4</v>
      </c>
      <c r="O1218" s="5">
        <v>51</v>
      </c>
      <c r="P1218" s="4" t="str">
        <f t="shared" si="36"/>
        <v>&gt;50</v>
      </c>
      <c r="Q1218" s="4">
        <f>M1218+N1218</f>
        <v>19</v>
      </c>
      <c r="U1218" s="28" t="str" cm="1">
        <f t="array" ref="U1218">_xlfn.IFS(F1218&lt;30000,"30k",F1218&lt;=50000,"30k-50k",F1218&lt;=75000,"50k-75k",F1218&lt;=100000,"75k-100k",F1218&gt;100000,"100k")</f>
        <v>30k-50k</v>
      </c>
      <c r="W1218" s="1">
        <f t="shared" si="37"/>
        <v>13</v>
      </c>
    </row>
    <row r="1219" spans="1:23" x14ac:dyDescent="0.35">
      <c r="A1219">
        <v>1216</v>
      </c>
      <c r="B1219">
        <v>232</v>
      </c>
      <c r="C1219">
        <v>1965</v>
      </c>
      <c r="D1219" s="1" t="s">
        <v>10</v>
      </c>
      <c r="E1219" s="1" t="s">
        <v>11</v>
      </c>
      <c r="F1219">
        <v>61559</v>
      </c>
      <c r="G1219">
        <v>0</v>
      </c>
      <c r="H1219" s="2">
        <v>1</v>
      </c>
      <c r="I1219" s="2">
        <v>41472</v>
      </c>
      <c r="J1219">
        <v>8</v>
      </c>
      <c r="K1219">
        <f>VLOOKUP(B1219,purchase_dataset!$B$2:$F$2241,2,FALSE)</f>
        <v>83</v>
      </c>
      <c r="L1219">
        <f>VLOOKUP(B1219,purchase_dataset!$B$2:$F$2241,3,FALSE)</f>
        <v>14</v>
      </c>
      <c r="M1219">
        <f>VLOOKUP(B1219,purchase_dataset!$B$2:$F$2241,3,FALSE)</f>
        <v>14</v>
      </c>
      <c r="N1219">
        <f>VLOOKUP(B1219,purchase_dataset!$B$2:$F$2241,5,FALSE)</f>
        <v>10</v>
      </c>
      <c r="O1219" s="5">
        <v>61</v>
      </c>
      <c r="P1219" s="4" t="str">
        <f t="shared" si="36"/>
        <v>&gt;50</v>
      </c>
      <c r="Q1219" s="4">
        <f>M1219+N1219</f>
        <v>24</v>
      </c>
      <c r="U1219" s="28" t="str" cm="1">
        <f t="array" ref="U1219">_xlfn.IFS(F1219&lt;30000,"30k",F1219&lt;=50000,"30k-50k",F1219&lt;=75000,"50k-75k",F1219&lt;=100000,"75k-100k",F1219&gt;100000,"100k")</f>
        <v>50k-75k</v>
      </c>
      <c r="W1219" s="1">
        <f t="shared" si="37"/>
        <v>13</v>
      </c>
    </row>
    <row r="1220" spans="1:23" x14ac:dyDescent="0.35">
      <c r="A1220">
        <v>1217</v>
      </c>
      <c r="B1220">
        <v>8876</v>
      </c>
      <c r="C1220">
        <v>1963</v>
      </c>
      <c r="D1220" s="1" t="s">
        <v>13</v>
      </c>
      <c r="E1220" s="1" t="s">
        <v>12</v>
      </c>
      <c r="F1220">
        <v>33629</v>
      </c>
      <c r="G1220">
        <v>1</v>
      </c>
      <c r="H1220" s="2">
        <v>1</v>
      </c>
      <c r="I1220" s="2">
        <v>41129</v>
      </c>
      <c r="J1220">
        <v>49</v>
      </c>
      <c r="K1220">
        <f>VLOOKUP(B1220,purchase_dataset!$B$2:$F$2241,2,FALSE)</f>
        <v>0</v>
      </c>
      <c r="L1220">
        <f>VLOOKUP(B1220,purchase_dataset!$B$2:$F$2241,3,FALSE)</f>
        <v>0</v>
      </c>
      <c r="M1220">
        <f>VLOOKUP(B1220,purchase_dataset!$B$2:$F$2241,3,FALSE)</f>
        <v>0</v>
      </c>
      <c r="N1220">
        <f>VLOOKUP(B1220,purchase_dataset!$B$2:$F$2241,5,FALSE)</f>
        <v>4</v>
      </c>
      <c r="O1220" s="5">
        <v>63</v>
      </c>
      <c r="P1220" s="4" t="str">
        <f t="shared" ref="P1220:P1283" si="38">IF(O1220&lt;30,"30",IF(O1220&lt;=50,"30-50","&gt;50"))</f>
        <v>&gt;50</v>
      </c>
      <c r="Q1220" s="4">
        <f>M1220+N1220</f>
        <v>4</v>
      </c>
      <c r="U1220" s="28" t="str" cm="1">
        <f t="array" ref="U1220">_xlfn.IFS(F1220&lt;30000,"30k",F1220&lt;=50000,"30k-50k",F1220&lt;=75000,"50k-75k",F1220&lt;=100000,"75k-100k",F1220&gt;100000,"100k")</f>
        <v>30k-50k</v>
      </c>
      <c r="W1220" s="1">
        <f t="shared" ref="W1220:W1283" si="39">2026-YEAR(I1220)</f>
        <v>14</v>
      </c>
    </row>
    <row r="1221" spans="1:23" x14ac:dyDescent="0.35">
      <c r="A1221">
        <v>1218</v>
      </c>
      <c r="B1221">
        <v>4500</v>
      </c>
      <c r="C1221">
        <v>1991</v>
      </c>
      <c r="D1221" s="1" t="s">
        <v>13</v>
      </c>
      <c r="E1221" s="1" t="s">
        <v>12</v>
      </c>
      <c r="F1221">
        <v>68682</v>
      </c>
      <c r="G1221">
        <v>0</v>
      </c>
      <c r="H1221" s="2">
        <v>0</v>
      </c>
      <c r="I1221" s="2">
        <v>41553</v>
      </c>
      <c r="J1221">
        <v>56</v>
      </c>
      <c r="K1221">
        <f>VLOOKUP(B1221,purchase_dataset!$B$2:$F$2241,2,FALSE)</f>
        <v>0</v>
      </c>
      <c r="L1221">
        <f>VLOOKUP(B1221,purchase_dataset!$B$2:$F$2241,3,FALSE)</f>
        <v>30</v>
      </c>
      <c r="M1221">
        <f>VLOOKUP(B1221,purchase_dataset!$B$2:$F$2241,3,FALSE)</f>
        <v>30</v>
      </c>
      <c r="N1221">
        <f>VLOOKUP(B1221,purchase_dataset!$B$2:$F$2241,5,FALSE)</f>
        <v>10</v>
      </c>
      <c r="O1221" s="5">
        <v>35</v>
      </c>
      <c r="P1221" s="4" t="str">
        <f t="shared" si="38"/>
        <v>30-50</v>
      </c>
      <c r="Q1221" s="4">
        <f>M1221+N1221</f>
        <v>40</v>
      </c>
      <c r="U1221" s="28" t="str" cm="1">
        <f t="array" ref="U1221">_xlfn.IFS(F1221&lt;30000,"30k",F1221&lt;=50000,"30k-50k",F1221&lt;=75000,"50k-75k",F1221&lt;=100000,"75k-100k",F1221&gt;100000,"100k")</f>
        <v>50k-75k</v>
      </c>
      <c r="W1221" s="1">
        <f t="shared" si="39"/>
        <v>13</v>
      </c>
    </row>
    <row r="1222" spans="1:23" x14ac:dyDescent="0.35">
      <c r="A1222">
        <v>1219</v>
      </c>
      <c r="B1222">
        <v>9739</v>
      </c>
      <c r="C1222">
        <v>1963</v>
      </c>
      <c r="D1222" s="1" t="s">
        <v>10</v>
      </c>
      <c r="E1222" s="1" t="s">
        <v>11</v>
      </c>
      <c r="F1222">
        <v>34377</v>
      </c>
      <c r="G1222">
        <v>0</v>
      </c>
      <c r="H1222" s="2">
        <v>1</v>
      </c>
      <c r="I1222" s="2">
        <v>41293</v>
      </c>
      <c r="J1222">
        <v>55</v>
      </c>
      <c r="K1222">
        <f>VLOOKUP(B1222,purchase_dataset!$B$2:$F$2241,2,FALSE)</f>
        <v>0</v>
      </c>
      <c r="L1222">
        <f>VLOOKUP(B1222,purchase_dataset!$B$2:$F$2241,3,FALSE)</f>
        <v>1</v>
      </c>
      <c r="M1222">
        <f>VLOOKUP(B1222,purchase_dataset!$B$2:$F$2241,3,FALSE)</f>
        <v>1</v>
      </c>
      <c r="N1222">
        <f>VLOOKUP(B1222,purchase_dataset!$B$2:$F$2241,5,FALSE)</f>
        <v>2</v>
      </c>
      <c r="O1222" s="5">
        <v>63</v>
      </c>
      <c r="P1222" s="4" t="str">
        <f t="shared" si="38"/>
        <v>&gt;50</v>
      </c>
      <c r="Q1222" s="4">
        <f>M1222+N1222</f>
        <v>3</v>
      </c>
      <c r="U1222" s="28" t="str" cm="1">
        <f t="array" ref="U1222">_xlfn.IFS(F1222&lt;30000,"30k",F1222&lt;=50000,"30k-50k",F1222&lt;=75000,"50k-75k",F1222&lt;=100000,"75k-100k",F1222&gt;100000,"100k")</f>
        <v>30k-50k</v>
      </c>
      <c r="W1222" s="1">
        <f t="shared" si="39"/>
        <v>13</v>
      </c>
    </row>
    <row r="1223" spans="1:23" x14ac:dyDescent="0.35">
      <c r="A1223">
        <v>1220</v>
      </c>
      <c r="B1223">
        <v>10395</v>
      </c>
      <c r="C1223">
        <v>1986</v>
      </c>
      <c r="D1223" s="1" t="s">
        <v>17</v>
      </c>
      <c r="E1223" s="1" t="s">
        <v>11</v>
      </c>
      <c r="F1223">
        <v>8940</v>
      </c>
      <c r="G1223">
        <v>1</v>
      </c>
      <c r="H1223" s="2">
        <v>0</v>
      </c>
      <c r="I1223" s="2">
        <v>41143</v>
      </c>
      <c r="J1223">
        <v>25</v>
      </c>
      <c r="K1223">
        <f>VLOOKUP(B1223,purchase_dataset!$B$2:$F$2241,2,FALSE)</f>
        <v>45</v>
      </c>
      <c r="L1223">
        <f>VLOOKUP(B1223,purchase_dataset!$B$2:$F$2241,3,FALSE)</f>
        <v>6</v>
      </c>
      <c r="M1223">
        <f>VLOOKUP(B1223,purchase_dataset!$B$2:$F$2241,3,FALSE)</f>
        <v>6</v>
      </c>
      <c r="N1223">
        <f>VLOOKUP(B1223,purchase_dataset!$B$2:$F$2241,5,FALSE)</f>
        <v>3</v>
      </c>
      <c r="O1223" s="5">
        <v>40</v>
      </c>
      <c r="P1223" s="4" t="str">
        <f t="shared" si="38"/>
        <v>30-50</v>
      </c>
      <c r="Q1223" s="4">
        <f>M1223+N1223</f>
        <v>9</v>
      </c>
      <c r="U1223" s="28" t="str" cm="1">
        <f t="array" ref="U1223">_xlfn.IFS(F1223&lt;30000,"30k",F1223&lt;=50000,"30k-50k",F1223&lt;=75000,"50k-75k",F1223&lt;=100000,"75k-100k",F1223&gt;100000,"100k")</f>
        <v>30k</v>
      </c>
      <c r="W1223" s="1">
        <f t="shared" si="39"/>
        <v>14</v>
      </c>
    </row>
    <row r="1224" spans="1:23" x14ac:dyDescent="0.35">
      <c r="A1224">
        <v>1221</v>
      </c>
      <c r="B1224">
        <v>1176</v>
      </c>
      <c r="C1224">
        <v>1973</v>
      </c>
      <c r="D1224" s="1" t="s">
        <v>10</v>
      </c>
      <c r="E1224" s="1" t="s">
        <v>14</v>
      </c>
      <c r="F1224">
        <v>26228</v>
      </c>
      <c r="G1224">
        <v>1</v>
      </c>
      <c r="H1224" s="2">
        <v>0</v>
      </c>
      <c r="I1224" s="2">
        <v>41539</v>
      </c>
      <c r="J1224">
        <v>50</v>
      </c>
      <c r="K1224">
        <f>VLOOKUP(B1224,purchase_dataset!$B$2:$F$2241,2,FALSE)</f>
        <v>6</v>
      </c>
      <c r="L1224">
        <f>VLOOKUP(B1224,purchase_dataset!$B$2:$F$2241,3,FALSE)</f>
        <v>1</v>
      </c>
      <c r="M1224">
        <f>VLOOKUP(B1224,purchase_dataset!$B$2:$F$2241,3,FALSE)</f>
        <v>1</v>
      </c>
      <c r="N1224">
        <f>VLOOKUP(B1224,purchase_dataset!$B$2:$F$2241,5,FALSE)</f>
        <v>2</v>
      </c>
      <c r="O1224" s="5">
        <v>53</v>
      </c>
      <c r="P1224" s="4" t="str">
        <f t="shared" si="38"/>
        <v>&gt;50</v>
      </c>
      <c r="Q1224" s="4">
        <f>M1224+N1224</f>
        <v>3</v>
      </c>
      <c r="U1224" s="28" t="str" cm="1">
        <f t="array" ref="U1224">_xlfn.IFS(F1224&lt;30000,"30k",F1224&lt;=50000,"30k-50k",F1224&lt;=75000,"50k-75k",F1224&lt;=100000,"75k-100k",F1224&gt;100000,"100k")</f>
        <v>30k</v>
      </c>
      <c r="W1224" s="1">
        <f t="shared" si="39"/>
        <v>13</v>
      </c>
    </row>
    <row r="1225" spans="1:23" x14ac:dyDescent="0.35">
      <c r="A1225">
        <v>1222</v>
      </c>
      <c r="B1225">
        <v>1627</v>
      </c>
      <c r="C1225">
        <v>1957</v>
      </c>
      <c r="D1225" s="1" t="s">
        <v>18</v>
      </c>
      <c r="E1225" s="1" t="s">
        <v>16</v>
      </c>
      <c r="F1225">
        <v>77297</v>
      </c>
      <c r="G1225">
        <v>0</v>
      </c>
      <c r="H1225" s="2">
        <v>0</v>
      </c>
      <c r="I1225" s="2">
        <v>41300</v>
      </c>
      <c r="J1225">
        <v>84</v>
      </c>
      <c r="K1225">
        <f>VLOOKUP(B1225,purchase_dataset!$B$2:$F$2241,2,FALSE)</f>
        <v>61</v>
      </c>
      <c r="L1225">
        <f>VLOOKUP(B1225,purchase_dataset!$B$2:$F$2241,3,FALSE)</f>
        <v>122</v>
      </c>
      <c r="M1225">
        <f>VLOOKUP(B1225,purchase_dataset!$B$2:$F$2241,3,FALSE)</f>
        <v>122</v>
      </c>
      <c r="N1225">
        <f>VLOOKUP(B1225,purchase_dataset!$B$2:$F$2241,5,FALSE)</f>
        <v>9</v>
      </c>
      <c r="O1225" s="5">
        <v>69</v>
      </c>
      <c r="P1225" s="4" t="str">
        <f t="shared" si="38"/>
        <v>&gt;50</v>
      </c>
      <c r="Q1225" s="4">
        <f>M1225+N1225</f>
        <v>131</v>
      </c>
      <c r="U1225" s="28" t="str" cm="1">
        <f t="array" ref="U1225">_xlfn.IFS(F1225&lt;30000,"30k",F1225&lt;=50000,"30k-50k",F1225&lt;=75000,"50k-75k",F1225&lt;=100000,"75k-100k",F1225&gt;100000,"100k")</f>
        <v>75k-100k</v>
      </c>
      <c r="W1225" s="1">
        <f t="shared" si="39"/>
        <v>13</v>
      </c>
    </row>
    <row r="1226" spans="1:23" x14ac:dyDescent="0.35">
      <c r="A1226">
        <v>1223</v>
      </c>
      <c r="B1226">
        <v>938</v>
      </c>
      <c r="C1226">
        <v>1981</v>
      </c>
      <c r="D1226" s="1" t="s">
        <v>10</v>
      </c>
      <c r="E1226" s="1" t="s">
        <v>14</v>
      </c>
      <c r="F1226">
        <v>40211</v>
      </c>
      <c r="G1226">
        <v>1</v>
      </c>
      <c r="H1226" s="2">
        <v>1</v>
      </c>
      <c r="I1226" s="2">
        <v>41485</v>
      </c>
      <c r="J1226">
        <v>30</v>
      </c>
      <c r="K1226">
        <f>VLOOKUP(B1226,purchase_dataset!$B$2:$F$2241,2,FALSE)</f>
        <v>1</v>
      </c>
      <c r="L1226">
        <f>VLOOKUP(B1226,purchase_dataset!$B$2:$F$2241,3,FALSE)</f>
        <v>1</v>
      </c>
      <c r="M1226">
        <f>VLOOKUP(B1226,purchase_dataset!$B$2:$F$2241,3,FALSE)</f>
        <v>1</v>
      </c>
      <c r="N1226">
        <f>VLOOKUP(B1226,purchase_dataset!$B$2:$F$2241,5,FALSE)</f>
        <v>2</v>
      </c>
      <c r="O1226" s="5">
        <v>45</v>
      </c>
      <c r="P1226" s="4" t="str">
        <f t="shared" si="38"/>
        <v>30-50</v>
      </c>
      <c r="Q1226" s="4">
        <f>M1226+N1226</f>
        <v>3</v>
      </c>
      <c r="U1226" s="28" t="str" cm="1">
        <f t="array" ref="U1226">_xlfn.IFS(F1226&lt;30000,"30k",F1226&lt;=50000,"30k-50k",F1226&lt;=75000,"50k-75k",F1226&lt;=100000,"75k-100k",F1226&gt;100000,"100k")</f>
        <v>30k-50k</v>
      </c>
      <c r="W1226" s="1">
        <f t="shared" si="39"/>
        <v>13</v>
      </c>
    </row>
    <row r="1227" spans="1:23" x14ac:dyDescent="0.35">
      <c r="A1227">
        <v>1224</v>
      </c>
      <c r="B1227">
        <v>2740</v>
      </c>
      <c r="C1227">
        <v>1958</v>
      </c>
      <c r="D1227" s="1" t="s">
        <v>13</v>
      </c>
      <c r="E1227" s="1" t="s">
        <v>19</v>
      </c>
      <c r="F1227">
        <v>33438</v>
      </c>
      <c r="G1227">
        <v>1</v>
      </c>
      <c r="H1227" s="2">
        <v>1</v>
      </c>
      <c r="I1227" s="2">
        <v>41539</v>
      </c>
      <c r="J1227">
        <v>81</v>
      </c>
      <c r="K1227">
        <f>VLOOKUP(B1227,purchase_dataset!$B$2:$F$2241,2,FALSE)</f>
        <v>1</v>
      </c>
      <c r="L1227">
        <f>VLOOKUP(B1227,purchase_dataset!$B$2:$F$2241,3,FALSE)</f>
        <v>2</v>
      </c>
      <c r="M1227">
        <f>VLOOKUP(B1227,purchase_dataset!$B$2:$F$2241,3,FALSE)</f>
        <v>2</v>
      </c>
      <c r="N1227">
        <f>VLOOKUP(B1227,purchase_dataset!$B$2:$F$2241,5,FALSE)</f>
        <v>4</v>
      </c>
      <c r="O1227" s="5">
        <v>68</v>
      </c>
      <c r="P1227" s="4" t="str">
        <f t="shared" si="38"/>
        <v>&gt;50</v>
      </c>
      <c r="Q1227" s="4">
        <f>M1227+N1227</f>
        <v>6</v>
      </c>
      <c r="U1227" s="28" t="str" cm="1">
        <f t="array" ref="U1227">_xlfn.IFS(F1227&lt;30000,"30k",F1227&lt;=50000,"30k-50k",F1227&lt;=75000,"50k-75k",F1227&lt;=100000,"75k-100k",F1227&gt;100000,"100k")</f>
        <v>30k-50k</v>
      </c>
      <c r="W1227" s="1">
        <f t="shared" si="39"/>
        <v>13</v>
      </c>
    </row>
    <row r="1228" spans="1:23" x14ac:dyDescent="0.35">
      <c r="A1228">
        <v>1225</v>
      </c>
      <c r="B1228">
        <v>257</v>
      </c>
      <c r="C1228">
        <v>1959</v>
      </c>
      <c r="D1228" s="1" t="s">
        <v>13</v>
      </c>
      <c r="E1228" s="1" t="s">
        <v>14</v>
      </c>
      <c r="F1228">
        <v>75032</v>
      </c>
      <c r="G1228">
        <v>0</v>
      </c>
      <c r="H1228" s="2">
        <v>1</v>
      </c>
      <c r="I1228" s="2">
        <v>41392</v>
      </c>
      <c r="J1228">
        <v>74</v>
      </c>
      <c r="K1228">
        <f>VLOOKUP(B1228,purchase_dataset!$B$2:$F$2241,2,FALSE)</f>
        <v>12</v>
      </c>
      <c r="L1228">
        <f>VLOOKUP(B1228,purchase_dataset!$B$2:$F$2241,3,FALSE)</f>
        <v>12</v>
      </c>
      <c r="M1228">
        <f>VLOOKUP(B1228,purchase_dataset!$B$2:$F$2241,3,FALSE)</f>
        <v>12</v>
      </c>
      <c r="N1228">
        <f>VLOOKUP(B1228,purchase_dataset!$B$2:$F$2241,5,FALSE)</f>
        <v>9</v>
      </c>
      <c r="O1228" s="5">
        <v>67</v>
      </c>
      <c r="P1228" s="4" t="str">
        <f t="shared" si="38"/>
        <v>&gt;50</v>
      </c>
      <c r="Q1228" s="4">
        <f>M1228+N1228</f>
        <v>21</v>
      </c>
      <c r="U1228" s="28" t="str" cm="1">
        <f t="array" ref="U1228">_xlfn.IFS(F1228&lt;30000,"30k",F1228&lt;=50000,"30k-50k",F1228&lt;=75000,"50k-75k",F1228&lt;=100000,"75k-100k",F1228&gt;100000,"100k")</f>
        <v>75k-100k</v>
      </c>
      <c r="W1228" s="1">
        <f t="shared" si="39"/>
        <v>13</v>
      </c>
    </row>
    <row r="1229" spans="1:23" x14ac:dyDescent="0.35">
      <c r="A1229">
        <v>1226</v>
      </c>
      <c r="B1229">
        <v>4058</v>
      </c>
      <c r="C1229">
        <v>1955</v>
      </c>
      <c r="D1229" s="1" t="s">
        <v>13</v>
      </c>
      <c r="E1229" s="1" t="s">
        <v>11</v>
      </c>
      <c r="F1229">
        <v>61284</v>
      </c>
      <c r="G1229">
        <v>0</v>
      </c>
      <c r="H1229" s="2">
        <v>0</v>
      </c>
      <c r="I1229" s="2">
        <v>41559</v>
      </c>
      <c r="J1229">
        <v>76</v>
      </c>
      <c r="K1229">
        <f>VLOOKUP(B1229,purchase_dataset!$B$2:$F$2241,2,FALSE)</f>
        <v>15</v>
      </c>
      <c r="L1229">
        <f>VLOOKUP(B1229,purchase_dataset!$B$2:$F$2241,3,FALSE)</f>
        <v>7</v>
      </c>
      <c r="M1229">
        <f>VLOOKUP(B1229,purchase_dataset!$B$2:$F$2241,3,FALSE)</f>
        <v>7</v>
      </c>
      <c r="N1229">
        <f>VLOOKUP(B1229,purchase_dataset!$B$2:$F$2241,5,FALSE)</f>
        <v>8</v>
      </c>
      <c r="O1229" s="5">
        <v>71</v>
      </c>
      <c r="P1229" s="4" t="str">
        <f t="shared" si="38"/>
        <v>&gt;50</v>
      </c>
      <c r="Q1229" s="4">
        <f>M1229+N1229</f>
        <v>15</v>
      </c>
      <c r="U1229" s="28" t="str" cm="1">
        <f t="array" ref="U1229">_xlfn.IFS(F1229&lt;30000,"30k",F1229&lt;=50000,"30k-50k",F1229&lt;=75000,"50k-75k",F1229&lt;=100000,"75k-100k",F1229&gt;100000,"100k")</f>
        <v>50k-75k</v>
      </c>
      <c r="W1229" s="1">
        <f t="shared" si="39"/>
        <v>13</v>
      </c>
    </row>
    <row r="1230" spans="1:23" x14ac:dyDescent="0.35">
      <c r="A1230">
        <v>1227</v>
      </c>
      <c r="B1230">
        <v>7736</v>
      </c>
      <c r="C1230">
        <v>1986</v>
      </c>
      <c r="D1230" s="1" t="s">
        <v>10</v>
      </c>
      <c r="E1230" s="1" t="s">
        <v>14</v>
      </c>
      <c r="F1230">
        <v>22518</v>
      </c>
      <c r="G1230">
        <v>1</v>
      </c>
      <c r="H1230" s="2">
        <v>0</v>
      </c>
      <c r="I1230" s="2">
        <v>41204</v>
      </c>
      <c r="J1230">
        <v>36</v>
      </c>
      <c r="K1230">
        <f>VLOOKUP(B1230,purchase_dataset!$B$2:$F$2241,2,FALSE)</f>
        <v>7</v>
      </c>
      <c r="L1230">
        <f>VLOOKUP(B1230,purchase_dataset!$B$2:$F$2241,3,FALSE)</f>
        <v>2</v>
      </c>
      <c r="M1230">
        <f>VLOOKUP(B1230,purchase_dataset!$B$2:$F$2241,3,FALSE)</f>
        <v>2</v>
      </c>
      <c r="N1230">
        <f>VLOOKUP(B1230,purchase_dataset!$B$2:$F$2241,5,FALSE)</f>
        <v>2</v>
      </c>
      <c r="O1230" s="5">
        <v>40</v>
      </c>
      <c r="P1230" s="4" t="str">
        <f t="shared" si="38"/>
        <v>30-50</v>
      </c>
      <c r="Q1230" s="4">
        <f>M1230+N1230</f>
        <v>4</v>
      </c>
      <c r="U1230" s="28" t="str" cm="1">
        <f t="array" ref="U1230">_xlfn.IFS(F1230&lt;30000,"30k",F1230&lt;=50000,"30k-50k",F1230&lt;=75000,"50k-75k",F1230&lt;=100000,"75k-100k",F1230&gt;100000,"100k")</f>
        <v>30k</v>
      </c>
      <c r="W1230" s="1">
        <f t="shared" si="39"/>
        <v>14</v>
      </c>
    </row>
    <row r="1231" spans="1:23" x14ac:dyDescent="0.35">
      <c r="A1231">
        <v>1228</v>
      </c>
      <c r="B1231">
        <v>8210</v>
      </c>
      <c r="C1231">
        <v>1975</v>
      </c>
      <c r="D1231" s="1" t="s">
        <v>15</v>
      </c>
      <c r="E1231" s="1" t="s">
        <v>14</v>
      </c>
      <c r="F1231">
        <v>54730</v>
      </c>
      <c r="G1231">
        <v>0</v>
      </c>
      <c r="H1231" s="2">
        <v>1</v>
      </c>
      <c r="I1231" s="2">
        <v>41501</v>
      </c>
      <c r="J1231">
        <v>64</v>
      </c>
      <c r="K1231">
        <f>VLOOKUP(B1231,purchase_dataset!$B$2:$F$2241,2,FALSE)</f>
        <v>3</v>
      </c>
      <c r="L1231">
        <f>VLOOKUP(B1231,purchase_dataset!$B$2:$F$2241,3,FALSE)</f>
        <v>7</v>
      </c>
      <c r="M1231">
        <f>VLOOKUP(B1231,purchase_dataset!$B$2:$F$2241,3,FALSE)</f>
        <v>7</v>
      </c>
      <c r="N1231">
        <f>VLOOKUP(B1231,purchase_dataset!$B$2:$F$2241,5,FALSE)</f>
        <v>8</v>
      </c>
      <c r="O1231" s="5">
        <v>51</v>
      </c>
      <c r="P1231" s="4" t="str">
        <f t="shared" si="38"/>
        <v>&gt;50</v>
      </c>
      <c r="Q1231" s="4">
        <f>M1231+N1231</f>
        <v>15</v>
      </c>
      <c r="U1231" s="28" t="str" cm="1">
        <f t="array" ref="U1231">_xlfn.IFS(F1231&lt;30000,"30k",F1231&lt;=50000,"30k-50k",F1231&lt;=75000,"50k-75k",F1231&lt;=100000,"75k-100k",F1231&gt;100000,"100k")</f>
        <v>50k-75k</v>
      </c>
      <c r="W1231" s="1">
        <f t="shared" si="39"/>
        <v>13</v>
      </c>
    </row>
    <row r="1232" spans="1:23" x14ac:dyDescent="0.35">
      <c r="A1232">
        <v>1229</v>
      </c>
      <c r="B1232">
        <v>833</v>
      </c>
      <c r="C1232">
        <v>1955</v>
      </c>
      <c r="D1232" s="1" t="s">
        <v>15</v>
      </c>
      <c r="E1232" s="1" t="s">
        <v>14</v>
      </c>
      <c r="F1232">
        <v>38452</v>
      </c>
      <c r="G1232">
        <v>1</v>
      </c>
      <c r="H1232" s="2">
        <v>1</v>
      </c>
      <c r="I1232" s="2">
        <v>41728</v>
      </c>
      <c r="J1232">
        <v>62</v>
      </c>
      <c r="K1232">
        <f>VLOOKUP(B1232,purchase_dataset!$B$2:$F$2241,2,FALSE)</f>
        <v>0</v>
      </c>
      <c r="L1232">
        <f>VLOOKUP(B1232,purchase_dataset!$B$2:$F$2241,3,FALSE)</f>
        <v>0</v>
      </c>
      <c r="M1232">
        <f>VLOOKUP(B1232,purchase_dataset!$B$2:$F$2241,3,FALSE)</f>
        <v>0</v>
      </c>
      <c r="N1232">
        <f>VLOOKUP(B1232,purchase_dataset!$B$2:$F$2241,5,FALSE)</f>
        <v>3</v>
      </c>
      <c r="O1232" s="5">
        <v>71</v>
      </c>
      <c r="P1232" s="4" t="str">
        <f t="shared" si="38"/>
        <v>&gt;50</v>
      </c>
      <c r="Q1232" s="4">
        <f>M1232+N1232</f>
        <v>3</v>
      </c>
      <c r="U1232" s="28" t="str" cm="1">
        <f t="array" ref="U1232">_xlfn.IFS(F1232&lt;30000,"30k",F1232&lt;=50000,"30k-50k",F1232&lt;=75000,"50k-75k",F1232&lt;=100000,"75k-100k",F1232&gt;100000,"100k")</f>
        <v>30k-50k</v>
      </c>
      <c r="W1232" s="1">
        <f t="shared" si="39"/>
        <v>12</v>
      </c>
    </row>
    <row r="1233" spans="1:23" x14ac:dyDescent="0.35">
      <c r="A1233">
        <v>1230</v>
      </c>
      <c r="B1233">
        <v>6230</v>
      </c>
      <c r="C1233">
        <v>1971</v>
      </c>
      <c r="D1233" s="1" t="s">
        <v>10</v>
      </c>
      <c r="E1233" s="1" t="s">
        <v>16</v>
      </c>
      <c r="F1233">
        <v>44421</v>
      </c>
      <c r="G1233">
        <v>1</v>
      </c>
      <c r="H1233" s="2">
        <v>1</v>
      </c>
      <c r="I1233" s="2">
        <v>41320</v>
      </c>
      <c r="J1233">
        <v>53</v>
      </c>
      <c r="K1233">
        <f>VLOOKUP(B1233,purchase_dataset!$B$2:$F$2241,2,FALSE)</f>
        <v>5</v>
      </c>
      <c r="L1233">
        <f>VLOOKUP(B1233,purchase_dataset!$B$2:$F$2241,3,FALSE)</f>
        <v>1</v>
      </c>
      <c r="M1233">
        <f>VLOOKUP(B1233,purchase_dataset!$B$2:$F$2241,3,FALSE)</f>
        <v>1</v>
      </c>
      <c r="N1233">
        <f>VLOOKUP(B1233,purchase_dataset!$B$2:$F$2241,5,FALSE)</f>
        <v>4</v>
      </c>
      <c r="O1233" s="5">
        <v>55</v>
      </c>
      <c r="P1233" s="4" t="str">
        <f t="shared" si="38"/>
        <v>&gt;50</v>
      </c>
      <c r="Q1233" s="4">
        <f>M1233+N1233</f>
        <v>5</v>
      </c>
      <c r="U1233" s="28" t="str" cm="1">
        <f t="array" ref="U1233">_xlfn.IFS(F1233&lt;30000,"30k",F1233&lt;=50000,"30k-50k",F1233&lt;=75000,"50k-75k",F1233&lt;=100000,"75k-100k",F1233&gt;100000,"100k")</f>
        <v>30k-50k</v>
      </c>
      <c r="W1233" s="1">
        <f t="shared" si="39"/>
        <v>13</v>
      </c>
    </row>
    <row r="1234" spans="1:23" x14ac:dyDescent="0.35">
      <c r="A1234">
        <v>1231</v>
      </c>
      <c r="B1234">
        <v>7325</v>
      </c>
      <c r="C1234">
        <v>1986</v>
      </c>
      <c r="D1234" s="1" t="s">
        <v>13</v>
      </c>
      <c r="E1234" s="1" t="s">
        <v>12</v>
      </c>
      <c r="F1234">
        <v>38197</v>
      </c>
      <c r="G1234">
        <v>1</v>
      </c>
      <c r="H1234" s="2">
        <v>0</v>
      </c>
      <c r="I1234" s="2">
        <v>41454</v>
      </c>
      <c r="J1234">
        <v>86</v>
      </c>
      <c r="K1234">
        <f>VLOOKUP(B1234,purchase_dataset!$B$2:$F$2241,2,FALSE)</f>
        <v>0</v>
      </c>
      <c r="L1234">
        <f>VLOOKUP(B1234,purchase_dataset!$B$2:$F$2241,3,FALSE)</f>
        <v>1</v>
      </c>
      <c r="M1234">
        <f>VLOOKUP(B1234,purchase_dataset!$B$2:$F$2241,3,FALSE)</f>
        <v>1</v>
      </c>
      <c r="N1234">
        <f>VLOOKUP(B1234,purchase_dataset!$B$2:$F$2241,5,FALSE)</f>
        <v>3</v>
      </c>
      <c r="O1234" s="5">
        <v>40</v>
      </c>
      <c r="P1234" s="4" t="str">
        <f t="shared" si="38"/>
        <v>30-50</v>
      </c>
      <c r="Q1234" s="4">
        <f>M1234+N1234</f>
        <v>4</v>
      </c>
      <c r="U1234" s="28" t="str" cm="1">
        <f t="array" ref="U1234">_xlfn.IFS(F1234&lt;30000,"30k",F1234&lt;=50000,"30k-50k",F1234&lt;=75000,"50k-75k",F1234&lt;=100000,"75k-100k",F1234&gt;100000,"100k")</f>
        <v>30k-50k</v>
      </c>
      <c r="W1234" s="1">
        <f t="shared" si="39"/>
        <v>13</v>
      </c>
    </row>
    <row r="1235" spans="1:23" x14ac:dyDescent="0.35">
      <c r="A1235">
        <v>1232</v>
      </c>
      <c r="B1235">
        <v>1307</v>
      </c>
      <c r="C1235">
        <v>1978</v>
      </c>
      <c r="D1235" s="1" t="s">
        <v>10</v>
      </c>
      <c r="E1235" s="1" t="s">
        <v>16</v>
      </c>
      <c r="F1235">
        <v>41986</v>
      </c>
      <c r="G1235">
        <v>0</v>
      </c>
      <c r="H1235" s="2">
        <v>1</v>
      </c>
      <c r="I1235" s="2">
        <v>41679</v>
      </c>
      <c r="J1235">
        <v>15</v>
      </c>
      <c r="K1235">
        <f>VLOOKUP(B1235,purchase_dataset!$B$2:$F$2241,2,FALSE)</f>
        <v>5</v>
      </c>
      <c r="L1235">
        <f>VLOOKUP(B1235,purchase_dataset!$B$2:$F$2241,3,FALSE)</f>
        <v>3</v>
      </c>
      <c r="M1235">
        <f>VLOOKUP(B1235,purchase_dataset!$B$2:$F$2241,3,FALSE)</f>
        <v>3</v>
      </c>
      <c r="N1235">
        <f>VLOOKUP(B1235,purchase_dataset!$B$2:$F$2241,5,FALSE)</f>
        <v>4</v>
      </c>
      <c r="O1235" s="5">
        <v>48</v>
      </c>
      <c r="P1235" s="4" t="str">
        <f t="shared" si="38"/>
        <v>30-50</v>
      </c>
      <c r="Q1235" s="4">
        <f>M1235+N1235</f>
        <v>7</v>
      </c>
      <c r="U1235" s="28" t="str" cm="1">
        <f t="array" ref="U1235">_xlfn.IFS(F1235&lt;30000,"30k",F1235&lt;=50000,"30k-50k",F1235&lt;=75000,"50k-75k",F1235&lt;=100000,"75k-100k",F1235&gt;100000,"100k")</f>
        <v>30k-50k</v>
      </c>
      <c r="W1235" s="1">
        <f t="shared" si="39"/>
        <v>12</v>
      </c>
    </row>
    <row r="1236" spans="1:23" x14ac:dyDescent="0.35">
      <c r="A1236">
        <v>1233</v>
      </c>
      <c r="B1236">
        <v>1502</v>
      </c>
      <c r="C1236">
        <v>1983</v>
      </c>
      <c r="D1236" s="1" t="s">
        <v>10</v>
      </c>
      <c r="E1236" s="1" t="s">
        <v>12</v>
      </c>
      <c r="F1236">
        <v>28427</v>
      </c>
      <c r="G1236">
        <v>1</v>
      </c>
      <c r="H1236" s="2">
        <v>0</v>
      </c>
      <c r="I1236" s="2">
        <v>41354</v>
      </c>
      <c r="J1236">
        <v>67</v>
      </c>
      <c r="K1236">
        <f>VLOOKUP(B1236,purchase_dataset!$B$2:$F$2241,2,FALSE)</f>
        <v>3</v>
      </c>
      <c r="L1236">
        <f>VLOOKUP(B1236,purchase_dataset!$B$2:$F$2241,3,FALSE)</f>
        <v>3</v>
      </c>
      <c r="M1236">
        <f>VLOOKUP(B1236,purchase_dataset!$B$2:$F$2241,3,FALSE)</f>
        <v>3</v>
      </c>
      <c r="N1236">
        <f>VLOOKUP(B1236,purchase_dataset!$B$2:$F$2241,5,FALSE)</f>
        <v>3</v>
      </c>
      <c r="O1236" s="5">
        <v>43</v>
      </c>
      <c r="P1236" s="4" t="str">
        <f t="shared" si="38"/>
        <v>30-50</v>
      </c>
      <c r="Q1236" s="4">
        <f>M1236+N1236</f>
        <v>6</v>
      </c>
      <c r="U1236" s="28" t="str" cm="1">
        <f t="array" ref="U1236">_xlfn.IFS(F1236&lt;30000,"30k",F1236&lt;=50000,"30k-50k",F1236&lt;=75000,"50k-75k",F1236&lt;=100000,"75k-100k",F1236&gt;100000,"100k")</f>
        <v>30k</v>
      </c>
      <c r="W1236" s="1">
        <f t="shared" si="39"/>
        <v>13</v>
      </c>
    </row>
    <row r="1237" spans="1:23" x14ac:dyDescent="0.35">
      <c r="A1237">
        <v>1234</v>
      </c>
      <c r="B1237">
        <v>6211</v>
      </c>
      <c r="C1237">
        <v>1976</v>
      </c>
      <c r="D1237" s="1" t="s">
        <v>13</v>
      </c>
      <c r="E1237" s="1" t="s">
        <v>12</v>
      </c>
      <c r="F1237">
        <v>37395</v>
      </c>
      <c r="G1237">
        <v>1</v>
      </c>
      <c r="H1237" s="2">
        <v>0</v>
      </c>
      <c r="I1237" s="2">
        <v>41761</v>
      </c>
      <c r="J1237">
        <v>47</v>
      </c>
      <c r="K1237">
        <f>VLOOKUP(B1237,purchase_dataset!$B$2:$F$2241,2,FALSE)</f>
        <v>0</v>
      </c>
      <c r="L1237">
        <f>VLOOKUP(B1237,purchase_dataset!$B$2:$F$2241,3,FALSE)</f>
        <v>1</v>
      </c>
      <c r="M1237">
        <f>VLOOKUP(B1237,purchase_dataset!$B$2:$F$2241,3,FALSE)</f>
        <v>1</v>
      </c>
      <c r="N1237">
        <f>VLOOKUP(B1237,purchase_dataset!$B$2:$F$2241,5,FALSE)</f>
        <v>3</v>
      </c>
      <c r="O1237" s="5">
        <v>50</v>
      </c>
      <c r="P1237" s="4" t="str">
        <f t="shared" si="38"/>
        <v>30-50</v>
      </c>
      <c r="Q1237" s="4">
        <f>M1237+N1237</f>
        <v>4</v>
      </c>
      <c r="U1237" s="28" t="str" cm="1">
        <f t="array" ref="U1237">_xlfn.IFS(F1237&lt;30000,"30k",F1237&lt;=50000,"30k-50k",F1237&lt;=75000,"50k-75k",F1237&lt;=100000,"75k-100k",F1237&gt;100000,"100k")</f>
        <v>30k-50k</v>
      </c>
      <c r="W1237" s="1">
        <f t="shared" si="39"/>
        <v>12</v>
      </c>
    </row>
    <row r="1238" spans="1:23" x14ac:dyDescent="0.35">
      <c r="A1238">
        <v>1235</v>
      </c>
      <c r="B1238">
        <v>843</v>
      </c>
      <c r="C1238">
        <v>1971</v>
      </c>
      <c r="D1238" s="1" t="s">
        <v>10</v>
      </c>
      <c r="E1238" s="1" t="s">
        <v>14</v>
      </c>
      <c r="F1238">
        <v>64722</v>
      </c>
      <c r="G1238">
        <v>1</v>
      </c>
      <c r="H1238" s="2">
        <v>0</v>
      </c>
      <c r="I1238" s="2">
        <v>41785</v>
      </c>
      <c r="J1238">
        <v>47</v>
      </c>
      <c r="K1238">
        <f>VLOOKUP(B1238,purchase_dataset!$B$2:$F$2241,2,FALSE)</f>
        <v>0</v>
      </c>
      <c r="L1238">
        <f>VLOOKUP(B1238,purchase_dataset!$B$2:$F$2241,3,FALSE)</f>
        <v>147</v>
      </c>
      <c r="M1238">
        <f>VLOOKUP(B1238,purchase_dataset!$B$2:$F$2241,3,FALSE)</f>
        <v>147</v>
      </c>
      <c r="N1238">
        <f>VLOOKUP(B1238,purchase_dataset!$B$2:$F$2241,5,FALSE)</f>
        <v>11</v>
      </c>
      <c r="O1238" s="5">
        <v>55</v>
      </c>
      <c r="P1238" s="4" t="str">
        <f t="shared" si="38"/>
        <v>&gt;50</v>
      </c>
      <c r="Q1238" s="4">
        <f>M1238+N1238</f>
        <v>158</v>
      </c>
      <c r="U1238" s="28" t="str" cm="1">
        <f t="array" ref="U1238">_xlfn.IFS(F1238&lt;30000,"30k",F1238&lt;=50000,"30k-50k",F1238&lt;=75000,"50k-75k",F1238&lt;=100000,"75k-100k",F1238&gt;100000,"100k")</f>
        <v>50k-75k</v>
      </c>
      <c r="W1238" s="1">
        <f t="shared" si="39"/>
        <v>12</v>
      </c>
    </row>
    <row r="1239" spans="1:23" x14ac:dyDescent="0.35">
      <c r="A1239">
        <v>1236</v>
      </c>
      <c r="B1239">
        <v>4174</v>
      </c>
      <c r="C1239">
        <v>1956</v>
      </c>
      <c r="D1239" s="1" t="s">
        <v>15</v>
      </c>
      <c r="E1239" s="1" t="s">
        <v>12</v>
      </c>
      <c r="F1239">
        <v>55249</v>
      </c>
      <c r="G1239">
        <v>0</v>
      </c>
      <c r="H1239" s="2">
        <v>1</v>
      </c>
      <c r="I1239" s="2">
        <v>41746</v>
      </c>
      <c r="J1239">
        <v>81</v>
      </c>
      <c r="K1239">
        <f>VLOOKUP(B1239,purchase_dataset!$B$2:$F$2241,2,FALSE)</f>
        <v>1</v>
      </c>
      <c r="L1239">
        <f>VLOOKUP(B1239,purchase_dataset!$B$2:$F$2241,3,FALSE)</f>
        <v>0</v>
      </c>
      <c r="M1239">
        <f>VLOOKUP(B1239,purchase_dataset!$B$2:$F$2241,3,FALSE)</f>
        <v>0</v>
      </c>
      <c r="N1239">
        <f>VLOOKUP(B1239,purchase_dataset!$B$2:$F$2241,5,FALSE)</f>
        <v>4</v>
      </c>
      <c r="O1239" s="5">
        <v>70</v>
      </c>
      <c r="P1239" s="4" t="str">
        <f t="shared" si="38"/>
        <v>&gt;50</v>
      </c>
      <c r="Q1239" s="4">
        <f>M1239+N1239</f>
        <v>4</v>
      </c>
      <c r="U1239" s="28" t="str" cm="1">
        <f t="array" ref="U1239">_xlfn.IFS(F1239&lt;30000,"30k",F1239&lt;=50000,"30k-50k",F1239&lt;=75000,"50k-75k",F1239&lt;=100000,"75k-100k",F1239&gt;100000,"100k")</f>
        <v>50k-75k</v>
      </c>
      <c r="W1239" s="1">
        <f t="shared" si="39"/>
        <v>12</v>
      </c>
    </row>
    <row r="1240" spans="1:23" x14ac:dyDescent="0.35">
      <c r="A1240">
        <v>1237</v>
      </c>
      <c r="B1240">
        <v>9757</v>
      </c>
      <c r="C1240">
        <v>1972</v>
      </c>
      <c r="D1240" s="1" t="s">
        <v>10</v>
      </c>
      <c r="E1240" s="1" t="s">
        <v>12</v>
      </c>
      <c r="F1240">
        <v>84906</v>
      </c>
      <c r="G1240">
        <v>0</v>
      </c>
      <c r="H1240" s="2">
        <v>0</v>
      </c>
      <c r="I1240" s="2">
        <v>41551</v>
      </c>
      <c r="J1240">
        <v>98</v>
      </c>
      <c r="K1240">
        <f>VLOOKUP(B1240,purchase_dataset!$B$2:$F$2241,2,FALSE)</f>
        <v>15</v>
      </c>
      <c r="L1240">
        <f>VLOOKUP(B1240,purchase_dataset!$B$2:$F$2241,3,FALSE)</f>
        <v>30</v>
      </c>
      <c r="M1240">
        <f>VLOOKUP(B1240,purchase_dataset!$B$2:$F$2241,3,FALSE)</f>
        <v>30</v>
      </c>
      <c r="N1240">
        <f>VLOOKUP(B1240,purchase_dataset!$B$2:$F$2241,5,FALSE)</f>
        <v>12</v>
      </c>
      <c r="O1240" s="5">
        <v>54</v>
      </c>
      <c r="P1240" s="4" t="str">
        <f t="shared" si="38"/>
        <v>&gt;50</v>
      </c>
      <c r="Q1240" s="4">
        <f>M1240+N1240</f>
        <v>42</v>
      </c>
      <c r="U1240" s="28" t="str" cm="1">
        <f t="array" ref="U1240">_xlfn.IFS(F1240&lt;30000,"30k",F1240&lt;=50000,"30k-50k",F1240&lt;=75000,"50k-75k",F1240&lt;=100000,"75k-100k",F1240&gt;100000,"100k")</f>
        <v>75k-100k</v>
      </c>
      <c r="W1240" s="1">
        <f t="shared" si="39"/>
        <v>13</v>
      </c>
    </row>
    <row r="1241" spans="1:23" x14ac:dyDescent="0.35">
      <c r="A1241">
        <v>1238</v>
      </c>
      <c r="B1241">
        <v>6918</v>
      </c>
      <c r="C1241">
        <v>1989</v>
      </c>
      <c r="D1241" s="1" t="s">
        <v>10</v>
      </c>
      <c r="E1241" s="1" t="s">
        <v>14</v>
      </c>
      <c r="F1241">
        <v>28691</v>
      </c>
      <c r="G1241">
        <v>1</v>
      </c>
      <c r="H1241" s="2">
        <v>0</v>
      </c>
      <c r="I1241" s="2">
        <v>41459</v>
      </c>
      <c r="J1241">
        <v>56</v>
      </c>
      <c r="K1241">
        <f>VLOOKUP(B1241,purchase_dataset!$B$2:$F$2241,2,FALSE)</f>
        <v>4</v>
      </c>
      <c r="L1241">
        <f>VLOOKUP(B1241,purchase_dataset!$B$2:$F$2241,3,FALSE)</f>
        <v>0</v>
      </c>
      <c r="M1241">
        <f>VLOOKUP(B1241,purchase_dataset!$B$2:$F$2241,3,FALSE)</f>
        <v>0</v>
      </c>
      <c r="N1241">
        <f>VLOOKUP(B1241,purchase_dataset!$B$2:$F$2241,5,FALSE)</f>
        <v>3</v>
      </c>
      <c r="O1241" s="5">
        <v>37</v>
      </c>
      <c r="P1241" s="4" t="str">
        <f t="shared" si="38"/>
        <v>30-50</v>
      </c>
      <c r="Q1241" s="4">
        <f>M1241+N1241</f>
        <v>3</v>
      </c>
      <c r="U1241" s="28" t="str" cm="1">
        <f t="array" ref="U1241">_xlfn.IFS(F1241&lt;30000,"30k",F1241&lt;=50000,"30k-50k",F1241&lt;=75000,"50k-75k",F1241&lt;=100000,"75k-100k",F1241&gt;100000,"100k")</f>
        <v>30k</v>
      </c>
      <c r="W1241" s="1">
        <f t="shared" si="39"/>
        <v>13</v>
      </c>
    </row>
    <row r="1242" spans="1:23" x14ac:dyDescent="0.35">
      <c r="A1242">
        <v>1239</v>
      </c>
      <c r="B1242">
        <v>286</v>
      </c>
      <c r="C1242">
        <v>1952</v>
      </c>
      <c r="D1242" s="1" t="s">
        <v>10</v>
      </c>
      <c r="E1242" s="1" t="s">
        <v>11</v>
      </c>
      <c r="F1242">
        <v>44213</v>
      </c>
      <c r="G1242">
        <v>1</v>
      </c>
      <c r="H1242" s="2">
        <v>1</v>
      </c>
      <c r="I1242" s="2">
        <v>41607</v>
      </c>
      <c r="J1242">
        <v>48</v>
      </c>
      <c r="K1242">
        <f>VLOOKUP(B1242,purchase_dataset!$B$2:$F$2241,2,FALSE)</f>
        <v>11</v>
      </c>
      <c r="L1242">
        <f>VLOOKUP(B1242,purchase_dataset!$B$2:$F$2241,3,FALSE)</f>
        <v>4</v>
      </c>
      <c r="M1242">
        <f>VLOOKUP(B1242,purchase_dataset!$B$2:$F$2241,3,FALSE)</f>
        <v>4</v>
      </c>
      <c r="N1242">
        <f>VLOOKUP(B1242,purchase_dataset!$B$2:$F$2241,5,FALSE)</f>
        <v>5</v>
      </c>
      <c r="O1242" s="5">
        <v>74</v>
      </c>
      <c r="P1242" s="4" t="str">
        <f t="shared" si="38"/>
        <v>&gt;50</v>
      </c>
      <c r="Q1242" s="4">
        <f>M1242+N1242</f>
        <v>9</v>
      </c>
      <c r="U1242" s="28" t="str" cm="1">
        <f t="array" ref="U1242">_xlfn.IFS(F1242&lt;30000,"30k",F1242&lt;=50000,"30k-50k",F1242&lt;=75000,"50k-75k",F1242&lt;=100000,"75k-100k",F1242&gt;100000,"100k")</f>
        <v>30k-50k</v>
      </c>
      <c r="W1242" s="1">
        <f t="shared" si="39"/>
        <v>13</v>
      </c>
    </row>
    <row r="1243" spans="1:23" x14ac:dyDescent="0.35">
      <c r="A1243">
        <v>1240</v>
      </c>
      <c r="B1243">
        <v>11086</v>
      </c>
      <c r="C1243">
        <v>1984</v>
      </c>
      <c r="D1243" s="1" t="s">
        <v>17</v>
      </c>
      <c r="E1243" s="1" t="s">
        <v>11</v>
      </c>
      <c r="F1243">
        <v>25707</v>
      </c>
      <c r="G1243">
        <v>1</v>
      </c>
      <c r="H1243" s="2">
        <v>0</v>
      </c>
      <c r="I1243" s="2">
        <v>41657</v>
      </c>
      <c r="J1243">
        <v>18</v>
      </c>
      <c r="K1243">
        <f>VLOOKUP(B1243,purchase_dataset!$B$2:$F$2241,2,FALSE)</f>
        <v>6</v>
      </c>
      <c r="L1243">
        <f>VLOOKUP(B1243,purchase_dataset!$B$2:$F$2241,3,FALSE)</f>
        <v>6</v>
      </c>
      <c r="M1243">
        <f>VLOOKUP(B1243,purchase_dataset!$B$2:$F$2241,3,FALSE)</f>
        <v>6</v>
      </c>
      <c r="N1243">
        <f>VLOOKUP(B1243,purchase_dataset!$B$2:$F$2241,5,FALSE)</f>
        <v>3</v>
      </c>
      <c r="O1243" s="5">
        <v>42</v>
      </c>
      <c r="P1243" s="4" t="str">
        <f t="shared" si="38"/>
        <v>30-50</v>
      </c>
      <c r="Q1243" s="4">
        <f>M1243+N1243</f>
        <v>9</v>
      </c>
      <c r="U1243" s="28" t="str" cm="1">
        <f t="array" ref="U1243">_xlfn.IFS(F1243&lt;30000,"30k",F1243&lt;=50000,"30k-50k",F1243&lt;=75000,"50k-75k",F1243&lt;=100000,"75k-100k",F1243&gt;100000,"100k")</f>
        <v>30k</v>
      </c>
      <c r="W1243" s="1">
        <f t="shared" si="39"/>
        <v>12</v>
      </c>
    </row>
    <row r="1244" spans="1:23" x14ac:dyDescent="0.35">
      <c r="A1244">
        <v>1241</v>
      </c>
      <c r="B1244">
        <v>1921</v>
      </c>
      <c r="C1244">
        <v>1967</v>
      </c>
      <c r="D1244" s="1" t="s">
        <v>13</v>
      </c>
      <c r="E1244" s="1" t="s">
        <v>14</v>
      </c>
      <c r="F1244">
        <v>59062</v>
      </c>
      <c r="G1244">
        <v>2</v>
      </c>
      <c r="H1244" s="2">
        <v>1</v>
      </c>
      <c r="I1244" s="2">
        <v>41550</v>
      </c>
      <c r="J1244">
        <v>74</v>
      </c>
      <c r="K1244">
        <f>VLOOKUP(B1244,purchase_dataset!$B$2:$F$2241,2,FALSE)</f>
        <v>1</v>
      </c>
      <c r="L1244">
        <f>VLOOKUP(B1244,purchase_dataset!$B$2:$F$2241,3,FALSE)</f>
        <v>0</v>
      </c>
      <c r="M1244">
        <f>VLOOKUP(B1244,purchase_dataset!$B$2:$F$2241,3,FALSE)</f>
        <v>0</v>
      </c>
      <c r="N1244">
        <f>VLOOKUP(B1244,purchase_dataset!$B$2:$F$2241,5,FALSE)</f>
        <v>3</v>
      </c>
      <c r="O1244" s="5">
        <v>59</v>
      </c>
      <c r="P1244" s="4" t="str">
        <f t="shared" si="38"/>
        <v>&gt;50</v>
      </c>
      <c r="Q1244" s="4">
        <f>M1244+N1244</f>
        <v>3</v>
      </c>
      <c r="U1244" s="28" t="str" cm="1">
        <f t="array" ref="U1244">_xlfn.IFS(F1244&lt;30000,"30k",F1244&lt;=50000,"30k-50k",F1244&lt;=75000,"50k-75k",F1244&lt;=100000,"75k-100k",F1244&gt;100000,"100k")</f>
        <v>50k-75k</v>
      </c>
      <c r="W1244" s="1">
        <f t="shared" si="39"/>
        <v>13</v>
      </c>
    </row>
    <row r="1245" spans="1:23" x14ac:dyDescent="0.35">
      <c r="A1245">
        <v>1242</v>
      </c>
      <c r="B1245">
        <v>4138</v>
      </c>
      <c r="C1245">
        <v>1962</v>
      </c>
      <c r="D1245" s="1" t="s">
        <v>10</v>
      </c>
      <c r="E1245" s="1" t="s">
        <v>11</v>
      </c>
      <c r="F1245">
        <v>76624</v>
      </c>
      <c r="G1245">
        <v>0</v>
      </c>
      <c r="H1245" s="2">
        <v>1</v>
      </c>
      <c r="I1245" s="2">
        <v>41783</v>
      </c>
      <c r="J1245">
        <v>68</v>
      </c>
      <c r="K1245">
        <f>VLOOKUP(B1245,purchase_dataset!$B$2:$F$2241,2,FALSE)</f>
        <v>106</v>
      </c>
      <c r="L1245">
        <f>VLOOKUP(B1245,purchase_dataset!$B$2:$F$2241,3,FALSE)</f>
        <v>115</v>
      </c>
      <c r="M1245">
        <f>VLOOKUP(B1245,purchase_dataset!$B$2:$F$2241,3,FALSE)</f>
        <v>115</v>
      </c>
      <c r="N1245">
        <f>VLOOKUP(B1245,purchase_dataset!$B$2:$F$2241,5,FALSE)</f>
        <v>7</v>
      </c>
      <c r="O1245" s="5">
        <v>64</v>
      </c>
      <c r="P1245" s="4" t="str">
        <f t="shared" si="38"/>
        <v>&gt;50</v>
      </c>
      <c r="Q1245" s="4">
        <f>M1245+N1245</f>
        <v>122</v>
      </c>
      <c r="U1245" s="28" t="str" cm="1">
        <f t="array" ref="U1245">_xlfn.IFS(F1245&lt;30000,"30k",F1245&lt;=50000,"30k-50k",F1245&lt;=75000,"50k-75k",F1245&lt;=100000,"75k-100k",F1245&gt;100000,"100k")</f>
        <v>75k-100k</v>
      </c>
      <c r="W1245" s="1">
        <f t="shared" si="39"/>
        <v>12</v>
      </c>
    </row>
    <row r="1246" spans="1:23" x14ac:dyDescent="0.35">
      <c r="A1246">
        <v>1243</v>
      </c>
      <c r="B1246">
        <v>7718</v>
      </c>
      <c r="C1246">
        <v>1947</v>
      </c>
      <c r="D1246" s="1" t="s">
        <v>15</v>
      </c>
      <c r="E1246" s="1" t="s">
        <v>12</v>
      </c>
      <c r="F1246">
        <v>66000</v>
      </c>
      <c r="G1246">
        <v>0</v>
      </c>
      <c r="H1246" s="2">
        <v>0</v>
      </c>
      <c r="I1246" s="2">
        <v>41749</v>
      </c>
      <c r="J1246">
        <v>36</v>
      </c>
      <c r="K1246">
        <f>VLOOKUP(B1246,purchase_dataset!$B$2:$F$2241,2,FALSE)</f>
        <v>51</v>
      </c>
      <c r="L1246">
        <f>VLOOKUP(B1246,purchase_dataset!$B$2:$F$2241,3,FALSE)</f>
        <v>0</v>
      </c>
      <c r="M1246">
        <f>VLOOKUP(B1246,purchase_dataset!$B$2:$F$2241,3,FALSE)</f>
        <v>0</v>
      </c>
      <c r="N1246">
        <f>VLOOKUP(B1246,purchase_dataset!$B$2:$F$2241,5,FALSE)</f>
        <v>5</v>
      </c>
      <c r="O1246" s="5">
        <v>79</v>
      </c>
      <c r="P1246" s="4" t="str">
        <f t="shared" si="38"/>
        <v>&gt;50</v>
      </c>
      <c r="Q1246" s="4">
        <f>M1246+N1246</f>
        <v>5</v>
      </c>
      <c r="U1246" s="28" t="str" cm="1">
        <f t="array" ref="U1246">_xlfn.IFS(F1246&lt;30000,"30k",F1246&lt;=50000,"30k-50k",F1246&lt;=75000,"50k-75k",F1246&lt;=100000,"75k-100k",F1246&gt;100000,"100k")</f>
        <v>50k-75k</v>
      </c>
      <c r="W1246" s="1">
        <f t="shared" si="39"/>
        <v>12</v>
      </c>
    </row>
    <row r="1247" spans="1:23" x14ac:dyDescent="0.35">
      <c r="A1247">
        <v>1244</v>
      </c>
      <c r="B1247">
        <v>1291</v>
      </c>
      <c r="C1247">
        <v>1978</v>
      </c>
      <c r="D1247" s="1" t="s">
        <v>13</v>
      </c>
      <c r="E1247" s="1" t="s">
        <v>12</v>
      </c>
      <c r="F1247">
        <v>27683</v>
      </c>
      <c r="G1247">
        <v>1</v>
      </c>
      <c r="H1247" s="2">
        <v>0</v>
      </c>
      <c r="I1247" s="2">
        <v>41125</v>
      </c>
      <c r="J1247">
        <v>90</v>
      </c>
      <c r="K1247">
        <f>VLOOKUP(B1247,purchase_dataset!$B$2:$F$2241,2,FALSE)</f>
        <v>9</v>
      </c>
      <c r="L1247">
        <f>VLOOKUP(B1247,purchase_dataset!$B$2:$F$2241,3,FALSE)</f>
        <v>12</v>
      </c>
      <c r="M1247">
        <f>VLOOKUP(B1247,purchase_dataset!$B$2:$F$2241,3,FALSE)</f>
        <v>12</v>
      </c>
      <c r="N1247">
        <f>VLOOKUP(B1247,purchase_dataset!$B$2:$F$2241,5,FALSE)</f>
        <v>4</v>
      </c>
      <c r="O1247" s="5">
        <v>48</v>
      </c>
      <c r="P1247" s="4" t="str">
        <f t="shared" si="38"/>
        <v>30-50</v>
      </c>
      <c r="Q1247" s="4">
        <f>M1247+N1247</f>
        <v>16</v>
      </c>
      <c r="U1247" s="28" t="str" cm="1">
        <f t="array" ref="U1247">_xlfn.IFS(F1247&lt;30000,"30k",F1247&lt;=50000,"30k-50k",F1247&lt;=75000,"50k-75k",F1247&lt;=100000,"75k-100k",F1247&gt;100000,"100k")</f>
        <v>30k</v>
      </c>
      <c r="W1247" s="1">
        <f t="shared" si="39"/>
        <v>14</v>
      </c>
    </row>
    <row r="1248" spans="1:23" x14ac:dyDescent="0.35">
      <c r="A1248">
        <v>1245</v>
      </c>
      <c r="B1248">
        <v>6862</v>
      </c>
      <c r="C1248">
        <v>1971</v>
      </c>
      <c r="D1248" s="1" t="s">
        <v>10</v>
      </c>
      <c r="E1248" s="1" t="s">
        <v>16</v>
      </c>
      <c r="F1248">
        <v>1730</v>
      </c>
      <c r="G1248">
        <v>0</v>
      </c>
      <c r="H1248" s="2">
        <v>0</v>
      </c>
      <c r="I1248" s="2">
        <v>41777</v>
      </c>
      <c r="J1248">
        <v>65</v>
      </c>
      <c r="K1248">
        <f>VLOOKUP(B1248,purchase_dataset!$B$2:$F$2241,2,FALSE)</f>
        <v>1</v>
      </c>
      <c r="L1248">
        <f>VLOOKUP(B1248,purchase_dataset!$B$2:$F$2241,3,FALSE)</f>
        <v>1</v>
      </c>
      <c r="M1248">
        <f>VLOOKUP(B1248,purchase_dataset!$B$2:$F$2241,3,FALSE)</f>
        <v>1</v>
      </c>
      <c r="N1248">
        <f>VLOOKUP(B1248,purchase_dataset!$B$2:$F$2241,5,FALSE)</f>
        <v>0</v>
      </c>
      <c r="O1248" s="5">
        <v>55</v>
      </c>
      <c r="P1248" s="4" t="str">
        <f t="shared" si="38"/>
        <v>&gt;50</v>
      </c>
      <c r="Q1248" s="4">
        <f>M1248+N1248</f>
        <v>1</v>
      </c>
      <c r="U1248" s="28" t="str" cm="1">
        <f t="array" ref="U1248">_xlfn.IFS(F1248&lt;30000,"30k",F1248&lt;=50000,"30k-50k",F1248&lt;=75000,"50k-75k",F1248&lt;=100000,"75k-100k",F1248&gt;100000,"100k")</f>
        <v>30k</v>
      </c>
      <c r="W1248" s="1">
        <f t="shared" si="39"/>
        <v>12</v>
      </c>
    </row>
    <row r="1249" spans="1:23" x14ac:dyDescent="0.35">
      <c r="A1249">
        <v>1246</v>
      </c>
      <c r="B1249">
        <v>4136</v>
      </c>
      <c r="C1249">
        <v>1992</v>
      </c>
      <c r="D1249" s="1" t="s">
        <v>17</v>
      </c>
      <c r="E1249" s="1" t="s">
        <v>11</v>
      </c>
      <c r="F1249">
        <v>7500</v>
      </c>
      <c r="G1249">
        <v>1</v>
      </c>
      <c r="H1249" s="2">
        <v>0</v>
      </c>
      <c r="I1249" s="2">
        <v>41246</v>
      </c>
      <c r="J1249">
        <v>63</v>
      </c>
      <c r="K1249">
        <f>VLOOKUP(B1249,purchase_dataset!$B$2:$F$2241,2,FALSE)</f>
        <v>17</v>
      </c>
      <c r="L1249">
        <f>VLOOKUP(B1249,purchase_dataset!$B$2:$F$2241,3,FALSE)</f>
        <v>26</v>
      </c>
      <c r="M1249">
        <f>VLOOKUP(B1249,purchase_dataset!$B$2:$F$2241,3,FALSE)</f>
        <v>26</v>
      </c>
      <c r="N1249">
        <f>VLOOKUP(B1249,purchase_dataset!$B$2:$F$2241,5,FALSE)</f>
        <v>2</v>
      </c>
      <c r="O1249" s="5">
        <v>34</v>
      </c>
      <c r="P1249" s="4" t="str">
        <f t="shared" si="38"/>
        <v>30-50</v>
      </c>
      <c r="Q1249" s="4">
        <f>M1249+N1249</f>
        <v>28</v>
      </c>
      <c r="U1249" s="28" t="str" cm="1">
        <f t="array" ref="U1249">_xlfn.IFS(F1249&lt;30000,"30k",F1249&lt;=50000,"30k-50k",F1249&lt;=75000,"50k-75k",F1249&lt;=100000,"75k-100k",F1249&gt;100000,"100k")</f>
        <v>30k</v>
      </c>
      <c r="W1249" s="1">
        <f t="shared" si="39"/>
        <v>14</v>
      </c>
    </row>
    <row r="1250" spans="1:23" x14ac:dyDescent="0.35">
      <c r="A1250">
        <v>1247</v>
      </c>
      <c r="B1250">
        <v>803</v>
      </c>
      <c r="C1250">
        <v>1968</v>
      </c>
      <c r="D1250" s="1" t="s">
        <v>10</v>
      </c>
      <c r="E1250" s="1" t="s">
        <v>12</v>
      </c>
      <c r="F1250">
        <v>40521</v>
      </c>
      <c r="G1250">
        <v>1</v>
      </c>
      <c r="H1250" s="2">
        <v>1</v>
      </c>
      <c r="I1250" s="2">
        <v>41369</v>
      </c>
      <c r="J1250">
        <v>82</v>
      </c>
      <c r="K1250">
        <f>VLOOKUP(B1250,purchase_dataset!$B$2:$F$2241,2,FALSE)</f>
        <v>0</v>
      </c>
      <c r="L1250">
        <f>VLOOKUP(B1250,purchase_dataset!$B$2:$F$2241,3,FALSE)</f>
        <v>0</v>
      </c>
      <c r="M1250">
        <f>VLOOKUP(B1250,purchase_dataset!$B$2:$F$2241,3,FALSE)</f>
        <v>0</v>
      </c>
      <c r="N1250">
        <f>VLOOKUP(B1250,purchase_dataset!$B$2:$F$2241,5,FALSE)</f>
        <v>2</v>
      </c>
      <c r="O1250" s="5">
        <v>58</v>
      </c>
      <c r="P1250" s="4" t="str">
        <f t="shared" si="38"/>
        <v>&gt;50</v>
      </c>
      <c r="Q1250" s="4">
        <f>M1250+N1250</f>
        <v>2</v>
      </c>
      <c r="U1250" s="28" t="str" cm="1">
        <f t="array" ref="U1250">_xlfn.IFS(F1250&lt;30000,"30k",F1250&lt;=50000,"30k-50k",F1250&lt;=75000,"50k-75k",F1250&lt;=100000,"75k-100k",F1250&gt;100000,"100k")</f>
        <v>30k-50k</v>
      </c>
      <c r="W1250" s="1">
        <f t="shared" si="39"/>
        <v>13</v>
      </c>
    </row>
    <row r="1251" spans="1:23" x14ac:dyDescent="0.35">
      <c r="A1251">
        <v>1248</v>
      </c>
      <c r="B1251">
        <v>4298</v>
      </c>
      <c r="C1251">
        <v>1973</v>
      </c>
      <c r="D1251" s="1" t="s">
        <v>13</v>
      </c>
      <c r="E1251" s="1" t="s">
        <v>12</v>
      </c>
      <c r="F1251">
        <v>20427</v>
      </c>
      <c r="G1251">
        <v>1</v>
      </c>
      <c r="H1251" s="2">
        <v>0</v>
      </c>
      <c r="I1251" s="2">
        <v>41722</v>
      </c>
      <c r="J1251">
        <v>63</v>
      </c>
      <c r="K1251">
        <f>VLOOKUP(B1251,purchase_dataset!$B$2:$F$2241,2,FALSE)</f>
        <v>0</v>
      </c>
      <c r="L1251">
        <f>VLOOKUP(B1251,purchase_dataset!$B$2:$F$2241,3,FALSE)</f>
        <v>0</v>
      </c>
      <c r="M1251">
        <f>VLOOKUP(B1251,purchase_dataset!$B$2:$F$2241,3,FALSE)</f>
        <v>0</v>
      </c>
      <c r="N1251">
        <f>VLOOKUP(B1251,purchase_dataset!$B$2:$F$2241,5,FALSE)</f>
        <v>2</v>
      </c>
      <c r="O1251" s="5">
        <v>53</v>
      </c>
      <c r="P1251" s="4" t="str">
        <f t="shared" si="38"/>
        <v>&gt;50</v>
      </c>
      <c r="Q1251" s="4">
        <f>M1251+N1251</f>
        <v>2</v>
      </c>
      <c r="U1251" s="28" t="str" cm="1">
        <f t="array" ref="U1251">_xlfn.IFS(F1251&lt;30000,"30k",F1251&lt;=50000,"30k-50k",F1251&lt;=75000,"50k-75k",F1251&lt;=100000,"75k-100k",F1251&gt;100000,"100k")</f>
        <v>30k</v>
      </c>
      <c r="W1251" s="1">
        <f t="shared" si="39"/>
        <v>12</v>
      </c>
    </row>
    <row r="1252" spans="1:23" x14ac:dyDescent="0.35">
      <c r="A1252">
        <v>1249</v>
      </c>
      <c r="B1252">
        <v>10833</v>
      </c>
      <c r="C1252">
        <v>1975</v>
      </c>
      <c r="D1252" s="1" t="s">
        <v>10</v>
      </c>
      <c r="E1252" s="1" t="s">
        <v>14</v>
      </c>
      <c r="F1252">
        <v>65106</v>
      </c>
      <c r="G1252">
        <v>0</v>
      </c>
      <c r="H1252" s="2">
        <v>1</v>
      </c>
      <c r="I1252" s="2">
        <v>41783</v>
      </c>
      <c r="J1252">
        <v>55</v>
      </c>
      <c r="K1252">
        <f>VLOOKUP(B1252,purchase_dataset!$B$2:$F$2241,2,FALSE)</f>
        <v>19</v>
      </c>
      <c r="L1252">
        <f>VLOOKUP(B1252,purchase_dataset!$B$2:$F$2241,3,FALSE)</f>
        <v>0</v>
      </c>
      <c r="M1252">
        <f>VLOOKUP(B1252,purchase_dataset!$B$2:$F$2241,3,FALSE)</f>
        <v>0</v>
      </c>
      <c r="N1252">
        <f>VLOOKUP(B1252,purchase_dataset!$B$2:$F$2241,5,FALSE)</f>
        <v>13</v>
      </c>
      <c r="O1252" s="5">
        <v>51</v>
      </c>
      <c r="P1252" s="4" t="str">
        <f t="shared" si="38"/>
        <v>&gt;50</v>
      </c>
      <c r="Q1252" s="4">
        <f>M1252+N1252</f>
        <v>13</v>
      </c>
      <c r="U1252" s="28" t="str" cm="1">
        <f t="array" ref="U1252">_xlfn.IFS(F1252&lt;30000,"30k",F1252&lt;=50000,"30k-50k",F1252&lt;=75000,"50k-75k",F1252&lt;=100000,"75k-100k",F1252&gt;100000,"100k")</f>
        <v>50k-75k</v>
      </c>
      <c r="W1252" s="1">
        <f t="shared" si="39"/>
        <v>12</v>
      </c>
    </row>
    <row r="1253" spans="1:23" x14ac:dyDescent="0.35">
      <c r="A1253">
        <v>1250</v>
      </c>
      <c r="B1253">
        <v>9606</v>
      </c>
      <c r="C1253">
        <v>1965</v>
      </c>
      <c r="D1253" s="1" t="s">
        <v>13</v>
      </c>
      <c r="E1253" s="1" t="s">
        <v>14</v>
      </c>
      <c r="F1253">
        <v>69969</v>
      </c>
      <c r="G1253">
        <v>0</v>
      </c>
      <c r="H1253" s="2">
        <v>0</v>
      </c>
      <c r="I1253" s="2">
        <v>41513</v>
      </c>
      <c r="J1253">
        <v>64</v>
      </c>
      <c r="K1253">
        <f>VLOOKUP(B1253,purchase_dataset!$B$2:$F$2241,2,FALSE)</f>
        <v>29</v>
      </c>
      <c r="L1253">
        <f>VLOOKUP(B1253,purchase_dataset!$B$2:$F$2241,3,FALSE)</f>
        <v>29</v>
      </c>
      <c r="M1253">
        <f>VLOOKUP(B1253,purchase_dataset!$B$2:$F$2241,3,FALSE)</f>
        <v>29</v>
      </c>
      <c r="N1253">
        <f>VLOOKUP(B1253,purchase_dataset!$B$2:$F$2241,5,FALSE)</f>
        <v>6</v>
      </c>
      <c r="O1253" s="5">
        <v>61</v>
      </c>
      <c r="P1253" s="4" t="str">
        <f t="shared" si="38"/>
        <v>&gt;50</v>
      </c>
      <c r="Q1253" s="4">
        <f>M1253+N1253</f>
        <v>35</v>
      </c>
      <c r="U1253" s="28" t="str" cm="1">
        <f t="array" ref="U1253">_xlfn.IFS(F1253&lt;30000,"30k",F1253&lt;=50000,"30k-50k",F1253&lt;=75000,"50k-75k",F1253&lt;=100000,"75k-100k",F1253&gt;100000,"100k")</f>
        <v>50k-75k</v>
      </c>
      <c r="W1253" s="1">
        <f t="shared" si="39"/>
        <v>13</v>
      </c>
    </row>
    <row r="1254" spans="1:23" x14ac:dyDescent="0.35">
      <c r="A1254">
        <v>1251</v>
      </c>
      <c r="B1254">
        <v>8534</v>
      </c>
      <c r="C1254">
        <v>1952</v>
      </c>
      <c r="D1254" s="1" t="s">
        <v>10</v>
      </c>
      <c r="E1254" s="1" t="s">
        <v>14</v>
      </c>
      <c r="F1254">
        <v>67433</v>
      </c>
      <c r="G1254">
        <v>0</v>
      </c>
      <c r="H1254" s="2">
        <v>2</v>
      </c>
      <c r="I1254" s="2">
        <v>41471</v>
      </c>
      <c r="J1254">
        <v>51</v>
      </c>
      <c r="K1254">
        <f>VLOOKUP(B1254,purchase_dataset!$B$2:$F$2241,2,FALSE)</f>
        <v>28</v>
      </c>
      <c r="L1254">
        <f>VLOOKUP(B1254,purchase_dataset!$B$2:$F$2241,3,FALSE)</f>
        <v>48</v>
      </c>
      <c r="M1254">
        <f>VLOOKUP(B1254,purchase_dataset!$B$2:$F$2241,3,FALSE)</f>
        <v>48</v>
      </c>
      <c r="N1254">
        <f>VLOOKUP(B1254,purchase_dataset!$B$2:$F$2241,5,FALSE)</f>
        <v>13</v>
      </c>
      <c r="O1254" s="5">
        <v>74</v>
      </c>
      <c r="P1254" s="4" t="str">
        <f t="shared" si="38"/>
        <v>&gt;50</v>
      </c>
      <c r="Q1254" s="4">
        <f>M1254+N1254</f>
        <v>61</v>
      </c>
      <c r="U1254" s="28" t="str" cm="1">
        <f t="array" ref="U1254">_xlfn.IFS(F1254&lt;30000,"30k",F1254&lt;=50000,"30k-50k",F1254&lt;=75000,"50k-75k",F1254&lt;=100000,"75k-100k",F1254&gt;100000,"100k")</f>
        <v>50k-75k</v>
      </c>
      <c r="W1254" s="1">
        <f t="shared" si="39"/>
        <v>13</v>
      </c>
    </row>
    <row r="1255" spans="1:23" x14ac:dyDescent="0.35">
      <c r="A1255">
        <v>1252</v>
      </c>
      <c r="B1255">
        <v>5153</v>
      </c>
      <c r="C1255">
        <v>1967</v>
      </c>
      <c r="D1255" s="1" t="s">
        <v>13</v>
      </c>
      <c r="E1255" s="1" t="s">
        <v>14</v>
      </c>
      <c r="F1255">
        <v>77766</v>
      </c>
      <c r="G1255">
        <v>0</v>
      </c>
      <c r="H1255" s="2">
        <v>1</v>
      </c>
      <c r="I1255" s="2">
        <v>41327</v>
      </c>
      <c r="J1255">
        <v>97</v>
      </c>
      <c r="K1255">
        <f>VLOOKUP(B1255,purchase_dataset!$B$2:$F$2241,2,FALSE)</f>
        <v>59</v>
      </c>
      <c r="L1255">
        <f>VLOOKUP(B1255,purchase_dataset!$B$2:$F$2241,3,FALSE)</f>
        <v>59</v>
      </c>
      <c r="M1255">
        <f>VLOOKUP(B1255,purchase_dataset!$B$2:$F$2241,3,FALSE)</f>
        <v>59</v>
      </c>
      <c r="N1255">
        <f>VLOOKUP(B1255,purchase_dataset!$B$2:$F$2241,5,FALSE)</f>
        <v>11</v>
      </c>
      <c r="O1255" s="5">
        <v>59</v>
      </c>
      <c r="P1255" s="4" t="str">
        <f t="shared" si="38"/>
        <v>&gt;50</v>
      </c>
      <c r="Q1255" s="4">
        <f>M1255+N1255</f>
        <v>70</v>
      </c>
      <c r="U1255" s="28" t="str" cm="1">
        <f t="array" ref="U1255">_xlfn.IFS(F1255&lt;30000,"30k",F1255&lt;=50000,"30k-50k",F1255&lt;=75000,"50k-75k",F1255&lt;=100000,"75k-100k",F1255&gt;100000,"100k")</f>
        <v>75k-100k</v>
      </c>
      <c r="W1255" s="1">
        <f t="shared" si="39"/>
        <v>13</v>
      </c>
    </row>
    <row r="1256" spans="1:23" x14ac:dyDescent="0.35">
      <c r="A1256">
        <v>1253</v>
      </c>
      <c r="B1256">
        <v>961</v>
      </c>
      <c r="C1256">
        <v>1972</v>
      </c>
      <c r="D1256" s="1" t="s">
        <v>10</v>
      </c>
      <c r="E1256" s="1" t="s">
        <v>14</v>
      </c>
      <c r="F1256">
        <v>74716</v>
      </c>
      <c r="G1256">
        <v>0</v>
      </c>
      <c r="H1256" s="2">
        <v>1</v>
      </c>
      <c r="I1256" s="2">
        <v>41529</v>
      </c>
      <c r="J1256">
        <v>92</v>
      </c>
      <c r="K1256">
        <f>VLOOKUP(B1256,purchase_dataset!$B$2:$F$2241,2,FALSE)</f>
        <v>27</v>
      </c>
      <c r="L1256">
        <f>VLOOKUP(B1256,purchase_dataset!$B$2:$F$2241,3,FALSE)</f>
        <v>195</v>
      </c>
      <c r="M1256">
        <f>VLOOKUP(B1256,purchase_dataset!$B$2:$F$2241,3,FALSE)</f>
        <v>195</v>
      </c>
      <c r="N1256">
        <f>VLOOKUP(B1256,purchase_dataset!$B$2:$F$2241,5,FALSE)</f>
        <v>5</v>
      </c>
      <c r="O1256" s="5">
        <v>54</v>
      </c>
      <c r="P1256" s="4" t="str">
        <f t="shared" si="38"/>
        <v>&gt;50</v>
      </c>
      <c r="Q1256" s="4">
        <f>M1256+N1256</f>
        <v>200</v>
      </c>
      <c r="U1256" s="28" t="str" cm="1">
        <f t="array" ref="U1256">_xlfn.IFS(F1256&lt;30000,"30k",F1256&lt;=50000,"30k-50k",F1256&lt;=75000,"50k-75k",F1256&lt;=100000,"75k-100k",F1256&gt;100000,"100k")</f>
        <v>50k-75k</v>
      </c>
      <c r="W1256" s="1">
        <f t="shared" si="39"/>
        <v>13</v>
      </c>
    </row>
    <row r="1257" spans="1:23" x14ac:dyDescent="0.35">
      <c r="A1257">
        <v>1254</v>
      </c>
      <c r="B1257">
        <v>5011</v>
      </c>
      <c r="C1257">
        <v>1963</v>
      </c>
      <c r="D1257" s="1" t="s">
        <v>10</v>
      </c>
      <c r="E1257" s="1" t="s">
        <v>16</v>
      </c>
      <c r="F1257">
        <v>68118</v>
      </c>
      <c r="G1257">
        <v>0</v>
      </c>
      <c r="H1257" s="2">
        <v>1</v>
      </c>
      <c r="I1257" s="2">
        <v>41565</v>
      </c>
      <c r="J1257">
        <v>51</v>
      </c>
      <c r="K1257">
        <f>VLOOKUP(B1257,purchase_dataset!$B$2:$F$2241,2,FALSE)</f>
        <v>23</v>
      </c>
      <c r="L1257">
        <f>VLOOKUP(B1257,purchase_dataset!$B$2:$F$2241,3,FALSE)</f>
        <v>23</v>
      </c>
      <c r="M1257">
        <f>VLOOKUP(B1257,purchase_dataset!$B$2:$F$2241,3,FALSE)</f>
        <v>23</v>
      </c>
      <c r="N1257">
        <f>VLOOKUP(B1257,purchase_dataset!$B$2:$F$2241,5,FALSE)</f>
        <v>4</v>
      </c>
      <c r="O1257" s="5">
        <v>63</v>
      </c>
      <c r="P1257" s="4" t="str">
        <f t="shared" si="38"/>
        <v>&gt;50</v>
      </c>
      <c r="Q1257" s="4">
        <f>M1257+N1257</f>
        <v>27</v>
      </c>
      <c r="U1257" s="28" t="str" cm="1">
        <f t="array" ref="U1257">_xlfn.IFS(F1257&lt;30000,"30k",F1257&lt;=50000,"30k-50k",F1257&lt;=75000,"50k-75k",F1257&lt;=100000,"75k-100k",F1257&gt;100000,"100k")</f>
        <v>50k-75k</v>
      </c>
      <c r="W1257" s="1">
        <f t="shared" si="39"/>
        <v>13</v>
      </c>
    </row>
    <row r="1258" spans="1:23" x14ac:dyDescent="0.35">
      <c r="A1258">
        <v>1255</v>
      </c>
      <c r="B1258">
        <v>6653</v>
      </c>
      <c r="C1258">
        <v>1970</v>
      </c>
      <c r="D1258" s="1" t="s">
        <v>13</v>
      </c>
      <c r="E1258" s="1" t="s">
        <v>14</v>
      </c>
      <c r="F1258">
        <v>55158</v>
      </c>
      <c r="G1258">
        <v>1</v>
      </c>
      <c r="H1258" s="2">
        <v>1</v>
      </c>
      <c r="I1258" s="2">
        <v>41120</v>
      </c>
      <c r="J1258">
        <v>72</v>
      </c>
      <c r="K1258">
        <f>VLOOKUP(B1258,purchase_dataset!$B$2:$F$2241,2,FALSE)</f>
        <v>0</v>
      </c>
      <c r="L1258">
        <f>VLOOKUP(B1258,purchase_dataset!$B$2:$F$2241,3,FALSE)</f>
        <v>11</v>
      </c>
      <c r="M1258">
        <f>VLOOKUP(B1258,purchase_dataset!$B$2:$F$2241,3,FALSE)</f>
        <v>11</v>
      </c>
      <c r="N1258">
        <f>VLOOKUP(B1258,purchase_dataset!$B$2:$F$2241,5,FALSE)</f>
        <v>5</v>
      </c>
      <c r="O1258" s="5">
        <v>56</v>
      </c>
      <c r="P1258" s="4" t="str">
        <f t="shared" si="38"/>
        <v>&gt;50</v>
      </c>
      <c r="Q1258" s="4">
        <f>M1258+N1258</f>
        <v>16</v>
      </c>
      <c r="U1258" s="28" t="str" cm="1">
        <f t="array" ref="U1258">_xlfn.IFS(F1258&lt;30000,"30k",F1258&lt;=50000,"30k-50k",F1258&lt;=75000,"50k-75k",F1258&lt;=100000,"75k-100k",F1258&gt;100000,"100k")</f>
        <v>50k-75k</v>
      </c>
      <c r="W1258" s="1">
        <f t="shared" si="39"/>
        <v>14</v>
      </c>
    </row>
    <row r="1259" spans="1:23" x14ac:dyDescent="0.35">
      <c r="A1259">
        <v>1256</v>
      </c>
      <c r="B1259">
        <v>9094</v>
      </c>
      <c r="C1259">
        <v>1955</v>
      </c>
      <c r="D1259" s="1" t="s">
        <v>18</v>
      </c>
      <c r="E1259" s="1" t="s">
        <v>14</v>
      </c>
      <c r="F1259">
        <v>62972</v>
      </c>
      <c r="G1259">
        <v>0</v>
      </c>
      <c r="H1259" s="2">
        <v>1</v>
      </c>
      <c r="I1259" s="2">
        <v>41124</v>
      </c>
      <c r="J1259">
        <v>39</v>
      </c>
      <c r="K1259">
        <f>VLOOKUP(B1259,purchase_dataset!$B$2:$F$2241,2,FALSE)</f>
        <v>15</v>
      </c>
      <c r="L1259">
        <f>VLOOKUP(B1259,purchase_dataset!$B$2:$F$2241,3,FALSE)</f>
        <v>0</v>
      </c>
      <c r="M1259">
        <f>VLOOKUP(B1259,purchase_dataset!$B$2:$F$2241,3,FALSE)</f>
        <v>0</v>
      </c>
      <c r="N1259">
        <f>VLOOKUP(B1259,purchase_dataset!$B$2:$F$2241,5,FALSE)</f>
        <v>3</v>
      </c>
      <c r="O1259" s="5">
        <v>71</v>
      </c>
      <c r="P1259" s="4" t="str">
        <f t="shared" si="38"/>
        <v>&gt;50</v>
      </c>
      <c r="Q1259" s="4">
        <f>M1259+N1259</f>
        <v>3</v>
      </c>
      <c r="U1259" s="28" t="str" cm="1">
        <f t="array" ref="U1259">_xlfn.IFS(F1259&lt;30000,"30k",F1259&lt;=50000,"30k-50k",F1259&lt;=75000,"50k-75k",F1259&lt;=100000,"75k-100k",F1259&gt;100000,"100k")</f>
        <v>50k-75k</v>
      </c>
      <c r="W1259" s="1">
        <f t="shared" si="39"/>
        <v>14</v>
      </c>
    </row>
    <row r="1260" spans="1:23" x14ac:dyDescent="0.35">
      <c r="A1260">
        <v>1257</v>
      </c>
      <c r="B1260">
        <v>810</v>
      </c>
      <c r="C1260">
        <v>1975</v>
      </c>
      <c r="D1260" s="1" t="s">
        <v>10</v>
      </c>
      <c r="E1260" s="1" t="s">
        <v>14</v>
      </c>
      <c r="F1260">
        <v>74190</v>
      </c>
      <c r="G1260">
        <v>0</v>
      </c>
      <c r="H1260" s="2">
        <v>1</v>
      </c>
      <c r="I1260" s="2">
        <v>41771</v>
      </c>
      <c r="J1260">
        <v>49</v>
      </c>
      <c r="K1260">
        <f>VLOOKUP(B1260,purchase_dataset!$B$2:$F$2241,2,FALSE)</f>
        <v>81</v>
      </c>
      <c r="L1260">
        <f>VLOOKUP(B1260,purchase_dataset!$B$2:$F$2241,3,FALSE)</f>
        <v>91</v>
      </c>
      <c r="M1260">
        <f>VLOOKUP(B1260,purchase_dataset!$B$2:$F$2241,3,FALSE)</f>
        <v>91</v>
      </c>
      <c r="N1260">
        <f>VLOOKUP(B1260,purchase_dataset!$B$2:$F$2241,5,FALSE)</f>
        <v>11</v>
      </c>
      <c r="O1260" s="5">
        <v>51</v>
      </c>
      <c r="P1260" s="4" t="str">
        <f t="shared" si="38"/>
        <v>&gt;50</v>
      </c>
      <c r="Q1260" s="4">
        <f>M1260+N1260</f>
        <v>102</v>
      </c>
      <c r="U1260" s="28" t="str" cm="1">
        <f t="array" ref="U1260">_xlfn.IFS(F1260&lt;30000,"30k",F1260&lt;=50000,"30k-50k",F1260&lt;=75000,"50k-75k",F1260&lt;=100000,"75k-100k",F1260&gt;100000,"100k")</f>
        <v>50k-75k</v>
      </c>
      <c r="W1260" s="1">
        <f t="shared" si="39"/>
        <v>12</v>
      </c>
    </row>
    <row r="1261" spans="1:23" x14ac:dyDescent="0.35">
      <c r="A1261">
        <v>1258</v>
      </c>
      <c r="B1261">
        <v>5493</v>
      </c>
      <c r="C1261">
        <v>1976</v>
      </c>
      <c r="D1261" s="1" t="s">
        <v>10</v>
      </c>
      <c r="E1261" s="1" t="s">
        <v>14</v>
      </c>
      <c r="F1261">
        <v>39356</v>
      </c>
      <c r="G1261">
        <v>1</v>
      </c>
      <c r="H1261" s="2">
        <v>1</v>
      </c>
      <c r="I1261" s="2">
        <v>41717</v>
      </c>
      <c r="J1261">
        <v>21</v>
      </c>
      <c r="K1261">
        <f>VLOOKUP(B1261,purchase_dataset!$B$2:$F$2241,2,FALSE)</f>
        <v>0</v>
      </c>
      <c r="L1261">
        <f>VLOOKUP(B1261,purchase_dataset!$B$2:$F$2241,3,FALSE)</f>
        <v>0</v>
      </c>
      <c r="M1261">
        <f>VLOOKUP(B1261,purchase_dataset!$B$2:$F$2241,3,FALSE)</f>
        <v>0</v>
      </c>
      <c r="N1261">
        <f>VLOOKUP(B1261,purchase_dataset!$B$2:$F$2241,5,FALSE)</f>
        <v>2</v>
      </c>
      <c r="O1261" s="5">
        <v>50</v>
      </c>
      <c r="P1261" s="4" t="str">
        <f t="shared" si="38"/>
        <v>30-50</v>
      </c>
      <c r="Q1261" s="4">
        <f>M1261+N1261</f>
        <v>2</v>
      </c>
      <c r="U1261" s="28" t="str" cm="1">
        <f t="array" ref="U1261">_xlfn.IFS(F1261&lt;30000,"30k",F1261&lt;=50000,"30k-50k",F1261&lt;=75000,"50k-75k",F1261&lt;=100000,"75k-100k",F1261&gt;100000,"100k")</f>
        <v>30k-50k</v>
      </c>
      <c r="W1261" s="1">
        <f t="shared" si="39"/>
        <v>12</v>
      </c>
    </row>
    <row r="1262" spans="1:23" x14ac:dyDescent="0.35">
      <c r="A1262">
        <v>1259</v>
      </c>
      <c r="B1262">
        <v>2147</v>
      </c>
      <c r="C1262">
        <v>1969</v>
      </c>
      <c r="D1262" s="1" t="s">
        <v>10</v>
      </c>
      <c r="E1262" s="1" t="s">
        <v>12</v>
      </c>
      <c r="F1262">
        <v>76653</v>
      </c>
      <c r="G1262">
        <v>0</v>
      </c>
      <c r="H1262" s="2">
        <v>0</v>
      </c>
      <c r="I1262" s="2">
        <v>41502</v>
      </c>
      <c r="J1262">
        <v>91</v>
      </c>
      <c r="K1262">
        <f>VLOOKUP(B1262,purchase_dataset!$B$2:$F$2241,2,FALSE)</f>
        <v>63</v>
      </c>
      <c r="L1262">
        <f>VLOOKUP(B1262,purchase_dataset!$B$2:$F$2241,3,FALSE)</f>
        <v>189</v>
      </c>
      <c r="M1262">
        <f>VLOOKUP(B1262,purchase_dataset!$B$2:$F$2241,3,FALSE)</f>
        <v>189</v>
      </c>
      <c r="N1262">
        <f>VLOOKUP(B1262,purchase_dataset!$B$2:$F$2241,5,FALSE)</f>
        <v>11</v>
      </c>
      <c r="O1262" s="5">
        <v>57</v>
      </c>
      <c r="P1262" s="4" t="str">
        <f t="shared" si="38"/>
        <v>&gt;50</v>
      </c>
      <c r="Q1262" s="4">
        <f>M1262+N1262</f>
        <v>200</v>
      </c>
      <c r="U1262" s="28" t="str" cm="1">
        <f t="array" ref="U1262">_xlfn.IFS(F1262&lt;30000,"30k",F1262&lt;=50000,"30k-50k",F1262&lt;=75000,"50k-75k",F1262&lt;=100000,"75k-100k",F1262&gt;100000,"100k")</f>
        <v>75k-100k</v>
      </c>
      <c r="W1262" s="1">
        <f t="shared" si="39"/>
        <v>13</v>
      </c>
    </row>
    <row r="1263" spans="1:23" x14ac:dyDescent="0.35">
      <c r="A1263">
        <v>1260</v>
      </c>
      <c r="B1263">
        <v>5107</v>
      </c>
      <c r="C1263">
        <v>1973</v>
      </c>
      <c r="D1263" s="1" t="s">
        <v>13</v>
      </c>
      <c r="E1263" s="1" t="s">
        <v>16</v>
      </c>
      <c r="F1263">
        <v>35860</v>
      </c>
      <c r="G1263">
        <v>1</v>
      </c>
      <c r="H1263" s="2">
        <v>1</v>
      </c>
      <c r="I1263" s="2">
        <v>41778</v>
      </c>
      <c r="J1263">
        <v>37</v>
      </c>
      <c r="K1263">
        <f>VLOOKUP(B1263,purchase_dataset!$B$2:$F$2241,2,FALSE)</f>
        <v>0</v>
      </c>
      <c r="L1263">
        <f>VLOOKUP(B1263,purchase_dataset!$B$2:$F$2241,3,FALSE)</f>
        <v>2</v>
      </c>
      <c r="M1263">
        <f>VLOOKUP(B1263,purchase_dataset!$B$2:$F$2241,3,FALSE)</f>
        <v>2</v>
      </c>
      <c r="N1263">
        <f>VLOOKUP(B1263,purchase_dataset!$B$2:$F$2241,5,FALSE)</f>
        <v>2</v>
      </c>
      <c r="O1263" s="5">
        <v>53</v>
      </c>
      <c r="P1263" s="4" t="str">
        <f t="shared" si="38"/>
        <v>&gt;50</v>
      </c>
      <c r="Q1263" s="4">
        <f>M1263+N1263</f>
        <v>4</v>
      </c>
      <c r="U1263" s="28" t="str" cm="1">
        <f t="array" ref="U1263">_xlfn.IFS(F1263&lt;30000,"30k",F1263&lt;=50000,"30k-50k",F1263&lt;=75000,"50k-75k",F1263&lt;=100000,"75k-100k",F1263&gt;100000,"100k")</f>
        <v>30k-50k</v>
      </c>
      <c r="W1263" s="1">
        <f t="shared" si="39"/>
        <v>12</v>
      </c>
    </row>
    <row r="1264" spans="1:23" x14ac:dyDescent="0.35">
      <c r="A1264">
        <v>1261</v>
      </c>
      <c r="B1264">
        <v>3979</v>
      </c>
      <c r="C1264">
        <v>1983</v>
      </c>
      <c r="D1264" s="1" t="s">
        <v>13</v>
      </c>
      <c r="E1264" s="1" t="s">
        <v>16</v>
      </c>
      <c r="F1264">
        <v>90687</v>
      </c>
      <c r="G1264">
        <v>0</v>
      </c>
      <c r="H1264" s="2">
        <v>0</v>
      </c>
      <c r="I1264" s="2">
        <v>41416</v>
      </c>
      <c r="J1264">
        <v>98</v>
      </c>
      <c r="K1264">
        <f>VLOOKUP(B1264,purchase_dataset!$B$2:$F$2241,2,FALSE)</f>
        <v>17</v>
      </c>
      <c r="L1264">
        <f>VLOOKUP(B1264,purchase_dataset!$B$2:$F$2241,3,FALSE)</f>
        <v>34</v>
      </c>
      <c r="M1264">
        <f>VLOOKUP(B1264,purchase_dataset!$B$2:$F$2241,3,FALSE)</f>
        <v>34</v>
      </c>
      <c r="N1264">
        <f>VLOOKUP(B1264,purchase_dataset!$B$2:$F$2241,5,FALSE)</f>
        <v>8</v>
      </c>
      <c r="O1264" s="5">
        <v>43</v>
      </c>
      <c r="P1264" s="4" t="str">
        <f t="shared" si="38"/>
        <v>30-50</v>
      </c>
      <c r="Q1264" s="4">
        <f>M1264+N1264</f>
        <v>42</v>
      </c>
      <c r="U1264" s="28" t="str" cm="1">
        <f t="array" ref="U1264">_xlfn.IFS(F1264&lt;30000,"30k",F1264&lt;=50000,"30k-50k",F1264&lt;=75000,"50k-75k",F1264&lt;=100000,"75k-100k",F1264&gt;100000,"100k")</f>
        <v>75k-100k</v>
      </c>
      <c r="W1264" s="1">
        <f t="shared" si="39"/>
        <v>13</v>
      </c>
    </row>
    <row r="1265" spans="1:23" x14ac:dyDescent="0.35">
      <c r="A1265">
        <v>1262</v>
      </c>
      <c r="B1265">
        <v>6049</v>
      </c>
      <c r="C1265">
        <v>1982</v>
      </c>
      <c r="D1265" s="1" t="s">
        <v>15</v>
      </c>
      <c r="E1265" s="1" t="s">
        <v>12</v>
      </c>
      <c r="F1265">
        <v>73450</v>
      </c>
      <c r="G1265">
        <v>0</v>
      </c>
      <c r="H1265" s="2">
        <v>0</v>
      </c>
      <c r="I1265" s="2">
        <v>41613</v>
      </c>
      <c r="J1265">
        <v>85</v>
      </c>
      <c r="K1265">
        <f>VLOOKUP(B1265,purchase_dataset!$B$2:$F$2241,2,FALSE)</f>
        <v>51</v>
      </c>
      <c r="L1265">
        <f>VLOOKUP(B1265,purchase_dataset!$B$2:$F$2241,3,FALSE)</f>
        <v>69</v>
      </c>
      <c r="M1265">
        <f>VLOOKUP(B1265,purchase_dataset!$B$2:$F$2241,3,FALSE)</f>
        <v>69</v>
      </c>
      <c r="N1265">
        <f>VLOOKUP(B1265,purchase_dataset!$B$2:$F$2241,5,FALSE)</f>
        <v>11</v>
      </c>
      <c r="O1265" s="5">
        <v>44</v>
      </c>
      <c r="P1265" s="4" t="str">
        <f t="shared" si="38"/>
        <v>30-50</v>
      </c>
      <c r="Q1265" s="4">
        <f>M1265+N1265</f>
        <v>80</v>
      </c>
      <c r="U1265" s="28" t="str" cm="1">
        <f t="array" ref="U1265">_xlfn.IFS(F1265&lt;30000,"30k",F1265&lt;=50000,"30k-50k",F1265&lt;=75000,"50k-75k",F1265&lt;=100000,"75k-100k",F1265&gt;100000,"100k")</f>
        <v>50k-75k</v>
      </c>
      <c r="W1265" s="1">
        <f t="shared" si="39"/>
        <v>13</v>
      </c>
    </row>
    <row r="1266" spans="1:23" x14ac:dyDescent="0.35">
      <c r="A1266">
        <v>1263</v>
      </c>
      <c r="B1266">
        <v>8147</v>
      </c>
      <c r="C1266">
        <v>1960</v>
      </c>
      <c r="D1266" s="1" t="s">
        <v>10</v>
      </c>
      <c r="E1266" s="1" t="s">
        <v>14</v>
      </c>
      <c r="F1266">
        <v>31454</v>
      </c>
      <c r="G1266">
        <v>1</v>
      </c>
      <c r="H1266" s="2">
        <v>1</v>
      </c>
      <c r="I1266" s="2">
        <v>41461</v>
      </c>
      <c r="J1266">
        <v>40</v>
      </c>
      <c r="K1266">
        <f>VLOOKUP(B1266,purchase_dataset!$B$2:$F$2241,2,FALSE)</f>
        <v>0</v>
      </c>
      <c r="L1266">
        <f>VLOOKUP(B1266,purchase_dataset!$B$2:$F$2241,3,FALSE)</f>
        <v>0</v>
      </c>
      <c r="M1266">
        <f>VLOOKUP(B1266,purchase_dataset!$B$2:$F$2241,3,FALSE)</f>
        <v>0</v>
      </c>
      <c r="N1266">
        <f>VLOOKUP(B1266,purchase_dataset!$B$2:$F$2241,5,FALSE)</f>
        <v>3</v>
      </c>
      <c r="O1266" s="5">
        <v>66</v>
      </c>
      <c r="P1266" s="4" t="str">
        <f t="shared" si="38"/>
        <v>&gt;50</v>
      </c>
      <c r="Q1266" s="4">
        <f>M1266+N1266</f>
        <v>3</v>
      </c>
      <c r="U1266" s="28" t="str" cm="1">
        <f t="array" ref="U1266">_xlfn.IFS(F1266&lt;30000,"30k",F1266&lt;=50000,"30k-50k",F1266&lt;=75000,"50k-75k",F1266&lt;=100000,"75k-100k",F1266&gt;100000,"100k")</f>
        <v>30k-50k</v>
      </c>
      <c r="W1266" s="1">
        <f t="shared" si="39"/>
        <v>13</v>
      </c>
    </row>
    <row r="1267" spans="1:23" x14ac:dyDescent="0.35">
      <c r="A1267">
        <v>1264</v>
      </c>
      <c r="B1267">
        <v>1857</v>
      </c>
      <c r="C1267">
        <v>1952</v>
      </c>
      <c r="D1267" s="1" t="s">
        <v>10</v>
      </c>
      <c r="E1267" s="1" t="s">
        <v>11</v>
      </c>
      <c r="F1267">
        <v>47139</v>
      </c>
      <c r="G1267">
        <v>1</v>
      </c>
      <c r="H1267" s="2">
        <v>1</v>
      </c>
      <c r="I1267" s="2">
        <v>41704</v>
      </c>
      <c r="J1267">
        <v>2</v>
      </c>
      <c r="K1267">
        <f>VLOOKUP(B1267,purchase_dataset!$B$2:$F$2241,2,FALSE)</f>
        <v>0</v>
      </c>
      <c r="L1267">
        <f>VLOOKUP(B1267,purchase_dataset!$B$2:$F$2241,3,FALSE)</f>
        <v>2</v>
      </c>
      <c r="M1267">
        <f>VLOOKUP(B1267,purchase_dataset!$B$2:$F$2241,3,FALSE)</f>
        <v>2</v>
      </c>
      <c r="N1267">
        <f>VLOOKUP(B1267,purchase_dataset!$B$2:$F$2241,5,FALSE)</f>
        <v>2</v>
      </c>
      <c r="O1267" s="5">
        <v>74</v>
      </c>
      <c r="P1267" s="4" t="str">
        <f t="shared" si="38"/>
        <v>&gt;50</v>
      </c>
      <c r="Q1267" s="4">
        <f>M1267+N1267</f>
        <v>4</v>
      </c>
      <c r="U1267" s="28" t="str" cm="1">
        <f t="array" ref="U1267">_xlfn.IFS(F1267&lt;30000,"30k",F1267&lt;=50000,"30k-50k",F1267&lt;=75000,"50k-75k",F1267&lt;=100000,"75k-100k",F1267&gt;100000,"100k")</f>
        <v>30k-50k</v>
      </c>
      <c r="W1267" s="1">
        <f t="shared" si="39"/>
        <v>12</v>
      </c>
    </row>
    <row r="1268" spans="1:23" x14ac:dyDescent="0.35">
      <c r="A1268">
        <v>1265</v>
      </c>
      <c r="B1268">
        <v>3910</v>
      </c>
      <c r="C1268">
        <v>1975</v>
      </c>
      <c r="D1268" s="1" t="s">
        <v>10</v>
      </c>
      <c r="E1268" s="1" t="s">
        <v>16</v>
      </c>
      <c r="F1268">
        <v>83829</v>
      </c>
      <c r="G1268">
        <v>0</v>
      </c>
      <c r="H1268" s="2">
        <v>0</v>
      </c>
      <c r="I1268" s="2">
        <v>41555</v>
      </c>
      <c r="J1268">
        <v>78</v>
      </c>
      <c r="K1268">
        <f>VLOOKUP(B1268,purchase_dataset!$B$2:$F$2241,2,FALSE)</f>
        <v>161</v>
      </c>
      <c r="L1268">
        <f>VLOOKUP(B1268,purchase_dataset!$B$2:$F$2241,3,FALSE)</f>
        <v>161</v>
      </c>
      <c r="M1268">
        <f>VLOOKUP(B1268,purchase_dataset!$B$2:$F$2241,3,FALSE)</f>
        <v>161</v>
      </c>
      <c r="N1268">
        <f>VLOOKUP(B1268,purchase_dataset!$B$2:$F$2241,5,FALSE)</f>
        <v>6</v>
      </c>
      <c r="O1268" s="5">
        <v>51</v>
      </c>
      <c r="P1268" s="4" t="str">
        <f t="shared" si="38"/>
        <v>&gt;50</v>
      </c>
      <c r="Q1268" s="4">
        <f>M1268+N1268</f>
        <v>167</v>
      </c>
      <c r="U1268" s="28" t="str" cm="1">
        <f t="array" ref="U1268">_xlfn.IFS(F1268&lt;30000,"30k",F1268&lt;=50000,"30k-50k",F1268&lt;=75000,"50k-75k",F1268&lt;=100000,"75k-100k",F1268&gt;100000,"100k")</f>
        <v>75k-100k</v>
      </c>
      <c r="W1268" s="1">
        <f t="shared" si="39"/>
        <v>13</v>
      </c>
    </row>
    <row r="1269" spans="1:23" x14ac:dyDescent="0.35">
      <c r="A1269">
        <v>1266</v>
      </c>
      <c r="B1269">
        <v>5207</v>
      </c>
      <c r="C1269">
        <v>1963</v>
      </c>
      <c r="D1269" s="1" t="s">
        <v>13</v>
      </c>
      <c r="E1269" s="1" t="s">
        <v>14</v>
      </c>
      <c r="F1269">
        <v>53378</v>
      </c>
      <c r="G1269">
        <v>1</v>
      </c>
      <c r="H1269" s="2">
        <v>1</v>
      </c>
      <c r="I1269" s="2">
        <v>41176</v>
      </c>
      <c r="J1269">
        <v>41</v>
      </c>
      <c r="K1269">
        <f>VLOOKUP(B1269,purchase_dataset!$B$2:$F$2241,2,FALSE)</f>
        <v>6</v>
      </c>
      <c r="L1269">
        <f>VLOOKUP(B1269,purchase_dataset!$B$2:$F$2241,3,FALSE)</f>
        <v>6</v>
      </c>
      <c r="M1269">
        <f>VLOOKUP(B1269,purchase_dataset!$B$2:$F$2241,3,FALSE)</f>
        <v>6</v>
      </c>
      <c r="N1269">
        <f>VLOOKUP(B1269,purchase_dataset!$B$2:$F$2241,5,FALSE)</f>
        <v>6</v>
      </c>
      <c r="O1269" s="5">
        <v>63</v>
      </c>
      <c r="P1269" s="4" t="str">
        <f t="shared" si="38"/>
        <v>&gt;50</v>
      </c>
      <c r="Q1269" s="4">
        <f>M1269+N1269</f>
        <v>12</v>
      </c>
      <c r="U1269" s="28" t="str" cm="1">
        <f t="array" ref="U1269">_xlfn.IFS(F1269&lt;30000,"30k",F1269&lt;=50000,"30k-50k",F1269&lt;=75000,"50k-75k",F1269&lt;=100000,"75k-100k",F1269&gt;100000,"100k")</f>
        <v>50k-75k</v>
      </c>
      <c r="W1269" s="1">
        <f t="shared" si="39"/>
        <v>14</v>
      </c>
    </row>
    <row r="1270" spans="1:23" x14ac:dyDescent="0.35">
      <c r="A1270">
        <v>1267</v>
      </c>
      <c r="B1270">
        <v>11114</v>
      </c>
      <c r="C1270">
        <v>1970</v>
      </c>
      <c r="D1270" s="1" t="s">
        <v>10</v>
      </c>
      <c r="E1270" s="1" t="s">
        <v>12</v>
      </c>
      <c r="F1270">
        <v>19656</v>
      </c>
      <c r="G1270">
        <v>1</v>
      </c>
      <c r="H1270" s="2">
        <v>0</v>
      </c>
      <c r="I1270" s="2">
        <v>41313</v>
      </c>
      <c r="J1270">
        <v>94</v>
      </c>
      <c r="K1270">
        <f>VLOOKUP(B1270,purchase_dataset!$B$2:$F$2241,2,FALSE)</f>
        <v>4</v>
      </c>
      <c r="L1270">
        <f>VLOOKUP(B1270,purchase_dataset!$B$2:$F$2241,3,FALSE)</f>
        <v>8</v>
      </c>
      <c r="M1270">
        <f>VLOOKUP(B1270,purchase_dataset!$B$2:$F$2241,3,FALSE)</f>
        <v>8</v>
      </c>
      <c r="N1270">
        <f>VLOOKUP(B1270,purchase_dataset!$B$2:$F$2241,5,FALSE)</f>
        <v>3</v>
      </c>
      <c r="O1270" s="5">
        <v>56</v>
      </c>
      <c r="P1270" s="4" t="str">
        <f t="shared" si="38"/>
        <v>&gt;50</v>
      </c>
      <c r="Q1270" s="4">
        <f>M1270+N1270</f>
        <v>11</v>
      </c>
      <c r="U1270" s="28" t="str" cm="1">
        <f t="array" ref="U1270">_xlfn.IFS(F1270&lt;30000,"30k",F1270&lt;=50000,"30k-50k",F1270&lt;=75000,"50k-75k",F1270&lt;=100000,"75k-100k",F1270&gt;100000,"100k")</f>
        <v>30k</v>
      </c>
      <c r="W1270" s="1">
        <f t="shared" si="39"/>
        <v>13</v>
      </c>
    </row>
    <row r="1271" spans="1:23" x14ac:dyDescent="0.35">
      <c r="A1271">
        <v>1268</v>
      </c>
      <c r="B1271">
        <v>5429</v>
      </c>
      <c r="C1271">
        <v>1948</v>
      </c>
      <c r="D1271" s="1" t="s">
        <v>13</v>
      </c>
      <c r="E1271" s="1" t="s">
        <v>14</v>
      </c>
      <c r="F1271">
        <v>45579</v>
      </c>
      <c r="G1271">
        <v>0</v>
      </c>
      <c r="H1271" s="2">
        <v>1</v>
      </c>
      <c r="I1271" s="2">
        <v>41506</v>
      </c>
      <c r="J1271">
        <v>10</v>
      </c>
      <c r="K1271">
        <f>VLOOKUP(B1271,purchase_dataset!$B$2:$F$2241,2,FALSE)</f>
        <v>1</v>
      </c>
      <c r="L1271">
        <f>VLOOKUP(B1271,purchase_dataset!$B$2:$F$2241,3,FALSE)</f>
        <v>1</v>
      </c>
      <c r="M1271">
        <f>VLOOKUP(B1271,purchase_dataset!$B$2:$F$2241,3,FALSE)</f>
        <v>1</v>
      </c>
      <c r="N1271">
        <f>VLOOKUP(B1271,purchase_dataset!$B$2:$F$2241,5,FALSE)</f>
        <v>4</v>
      </c>
      <c r="O1271" s="5">
        <v>78</v>
      </c>
      <c r="P1271" s="4" t="str">
        <f t="shared" si="38"/>
        <v>&gt;50</v>
      </c>
      <c r="Q1271" s="4">
        <f>M1271+N1271</f>
        <v>5</v>
      </c>
      <c r="U1271" s="28" t="str" cm="1">
        <f t="array" ref="U1271">_xlfn.IFS(F1271&lt;30000,"30k",F1271&lt;=50000,"30k-50k",F1271&lt;=75000,"50k-75k",F1271&lt;=100000,"75k-100k",F1271&gt;100000,"100k")</f>
        <v>30k-50k</v>
      </c>
      <c r="W1271" s="1">
        <f t="shared" si="39"/>
        <v>13</v>
      </c>
    </row>
    <row r="1272" spans="1:23" x14ac:dyDescent="0.35">
      <c r="A1272">
        <v>1269</v>
      </c>
      <c r="B1272">
        <v>9400</v>
      </c>
      <c r="C1272">
        <v>1958</v>
      </c>
      <c r="D1272" s="1" t="s">
        <v>18</v>
      </c>
      <c r="E1272" s="1" t="s">
        <v>11</v>
      </c>
      <c r="F1272">
        <v>85485</v>
      </c>
      <c r="G1272">
        <v>0</v>
      </c>
      <c r="H1272" s="2">
        <v>0</v>
      </c>
      <c r="I1272" s="2">
        <v>41811</v>
      </c>
      <c r="J1272">
        <v>73</v>
      </c>
      <c r="K1272">
        <f>VLOOKUP(B1272,purchase_dataset!$B$2:$F$2241,2,FALSE)</f>
        <v>26</v>
      </c>
      <c r="L1272">
        <f>VLOOKUP(B1272,purchase_dataset!$B$2:$F$2241,3,FALSE)</f>
        <v>18</v>
      </c>
      <c r="M1272">
        <f>VLOOKUP(B1272,purchase_dataset!$B$2:$F$2241,3,FALSE)</f>
        <v>18</v>
      </c>
      <c r="N1272">
        <f>VLOOKUP(B1272,purchase_dataset!$B$2:$F$2241,5,FALSE)</f>
        <v>6</v>
      </c>
      <c r="O1272" s="5">
        <v>68</v>
      </c>
      <c r="P1272" s="4" t="str">
        <f t="shared" si="38"/>
        <v>&gt;50</v>
      </c>
      <c r="Q1272" s="4">
        <f>M1272+N1272</f>
        <v>24</v>
      </c>
      <c r="U1272" s="28" t="str" cm="1">
        <f t="array" ref="U1272">_xlfn.IFS(F1272&lt;30000,"30k",F1272&lt;=50000,"30k-50k",F1272&lt;=75000,"50k-75k",F1272&lt;=100000,"75k-100k",F1272&gt;100000,"100k")</f>
        <v>75k-100k</v>
      </c>
      <c r="W1272" s="1">
        <f t="shared" si="39"/>
        <v>12</v>
      </c>
    </row>
    <row r="1273" spans="1:23" x14ac:dyDescent="0.35">
      <c r="A1273">
        <v>1270</v>
      </c>
      <c r="B1273">
        <v>1740</v>
      </c>
      <c r="C1273">
        <v>1944</v>
      </c>
      <c r="D1273" s="1" t="s">
        <v>10</v>
      </c>
      <c r="E1273" s="1" t="s">
        <v>14</v>
      </c>
      <c r="F1273">
        <v>55956</v>
      </c>
      <c r="G1273">
        <v>0</v>
      </c>
      <c r="H1273" s="2">
        <v>0</v>
      </c>
      <c r="I1273" s="2">
        <v>41736</v>
      </c>
      <c r="J1273">
        <v>22</v>
      </c>
      <c r="K1273">
        <f>VLOOKUP(B1273,purchase_dataset!$B$2:$F$2241,2,FALSE)</f>
        <v>38</v>
      </c>
      <c r="L1273">
        <f>VLOOKUP(B1273,purchase_dataset!$B$2:$F$2241,3,FALSE)</f>
        <v>9</v>
      </c>
      <c r="M1273">
        <f>VLOOKUP(B1273,purchase_dataset!$B$2:$F$2241,3,FALSE)</f>
        <v>9</v>
      </c>
      <c r="N1273">
        <f>VLOOKUP(B1273,purchase_dataset!$B$2:$F$2241,5,FALSE)</f>
        <v>4</v>
      </c>
      <c r="O1273" s="5">
        <v>82</v>
      </c>
      <c r="P1273" s="4" t="str">
        <f t="shared" si="38"/>
        <v>&gt;50</v>
      </c>
      <c r="Q1273" s="4">
        <f>M1273+N1273</f>
        <v>13</v>
      </c>
      <c r="U1273" s="28" t="str" cm="1">
        <f t="array" ref="U1273">_xlfn.IFS(F1273&lt;30000,"30k",F1273&lt;=50000,"30k-50k",F1273&lt;=75000,"50k-75k",F1273&lt;=100000,"75k-100k",F1273&gt;100000,"100k")</f>
        <v>50k-75k</v>
      </c>
      <c r="W1273" s="1">
        <f t="shared" si="39"/>
        <v>12</v>
      </c>
    </row>
    <row r="1274" spans="1:23" x14ac:dyDescent="0.35">
      <c r="A1274">
        <v>1271</v>
      </c>
      <c r="B1274">
        <v>7488</v>
      </c>
      <c r="C1274">
        <v>1963</v>
      </c>
      <c r="D1274" s="1" t="s">
        <v>15</v>
      </c>
      <c r="E1274" s="1" t="s">
        <v>11</v>
      </c>
      <c r="F1274">
        <v>64191</v>
      </c>
      <c r="G1274">
        <v>0</v>
      </c>
      <c r="H1274" s="2">
        <v>1</v>
      </c>
      <c r="I1274" s="2">
        <v>41296</v>
      </c>
      <c r="J1274">
        <v>30</v>
      </c>
      <c r="K1274">
        <f>VLOOKUP(B1274,purchase_dataset!$B$2:$F$2241,2,FALSE)</f>
        <v>15</v>
      </c>
      <c r="L1274">
        <f>VLOOKUP(B1274,purchase_dataset!$B$2:$F$2241,3,FALSE)</f>
        <v>38</v>
      </c>
      <c r="M1274">
        <f>VLOOKUP(B1274,purchase_dataset!$B$2:$F$2241,3,FALSE)</f>
        <v>38</v>
      </c>
      <c r="N1274">
        <f>VLOOKUP(B1274,purchase_dataset!$B$2:$F$2241,5,FALSE)</f>
        <v>13</v>
      </c>
      <c r="O1274" s="5">
        <v>63</v>
      </c>
      <c r="P1274" s="4" t="str">
        <f t="shared" si="38"/>
        <v>&gt;50</v>
      </c>
      <c r="Q1274" s="4">
        <f>M1274+N1274</f>
        <v>51</v>
      </c>
      <c r="U1274" s="28" t="str" cm="1">
        <f t="array" ref="U1274">_xlfn.IFS(F1274&lt;30000,"30k",F1274&lt;=50000,"30k-50k",F1274&lt;=75000,"50k-75k",F1274&lt;=100000,"75k-100k",F1274&gt;100000,"100k")</f>
        <v>50k-75k</v>
      </c>
      <c r="W1274" s="1">
        <f t="shared" si="39"/>
        <v>13</v>
      </c>
    </row>
    <row r="1275" spans="1:23" x14ac:dyDescent="0.35">
      <c r="A1275">
        <v>1272</v>
      </c>
      <c r="B1275">
        <v>195</v>
      </c>
      <c r="C1275">
        <v>1972</v>
      </c>
      <c r="D1275" s="1" t="s">
        <v>10</v>
      </c>
      <c r="E1275" s="1" t="s">
        <v>11</v>
      </c>
      <c r="F1275">
        <v>38808</v>
      </c>
      <c r="G1275">
        <v>1</v>
      </c>
      <c r="H1275" s="2">
        <v>0</v>
      </c>
      <c r="I1275" s="2">
        <v>41147</v>
      </c>
      <c r="J1275">
        <v>21</v>
      </c>
      <c r="K1275">
        <f>VLOOKUP(B1275,purchase_dataset!$B$2:$F$2241,2,FALSE)</f>
        <v>17</v>
      </c>
      <c r="L1275">
        <f>VLOOKUP(B1275,purchase_dataset!$B$2:$F$2241,3,FALSE)</f>
        <v>19</v>
      </c>
      <c r="M1275">
        <f>VLOOKUP(B1275,purchase_dataset!$B$2:$F$2241,3,FALSE)</f>
        <v>19</v>
      </c>
      <c r="N1275">
        <f>VLOOKUP(B1275,purchase_dataset!$B$2:$F$2241,5,FALSE)</f>
        <v>4</v>
      </c>
      <c r="O1275" s="5">
        <v>54</v>
      </c>
      <c r="P1275" s="4" t="str">
        <f t="shared" si="38"/>
        <v>&gt;50</v>
      </c>
      <c r="Q1275" s="4">
        <f>M1275+N1275</f>
        <v>23</v>
      </c>
      <c r="U1275" s="28" t="str" cm="1">
        <f t="array" ref="U1275">_xlfn.IFS(F1275&lt;30000,"30k",F1275&lt;=50000,"30k-50k",F1275&lt;=75000,"50k-75k",F1275&lt;=100000,"75k-100k",F1275&gt;100000,"100k")</f>
        <v>30k-50k</v>
      </c>
      <c r="W1275" s="1">
        <f t="shared" si="39"/>
        <v>14</v>
      </c>
    </row>
    <row r="1276" spans="1:23" x14ac:dyDescent="0.35">
      <c r="A1276">
        <v>1273</v>
      </c>
      <c r="B1276">
        <v>635</v>
      </c>
      <c r="C1276">
        <v>1966</v>
      </c>
      <c r="D1276" s="1" t="s">
        <v>15</v>
      </c>
      <c r="E1276" s="1" t="s">
        <v>14</v>
      </c>
      <c r="F1276">
        <v>57183</v>
      </c>
      <c r="G1276">
        <v>1</v>
      </c>
      <c r="H1276" s="2">
        <v>1</v>
      </c>
      <c r="I1276" s="2">
        <v>41352</v>
      </c>
      <c r="J1276">
        <v>51</v>
      </c>
      <c r="K1276">
        <f>VLOOKUP(B1276,purchase_dataset!$B$2:$F$2241,2,FALSE)</f>
        <v>5</v>
      </c>
      <c r="L1276">
        <f>VLOOKUP(B1276,purchase_dataset!$B$2:$F$2241,3,FALSE)</f>
        <v>0</v>
      </c>
      <c r="M1276">
        <f>VLOOKUP(B1276,purchase_dataset!$B$2:$F$2241,3,FALSE)</f>
        <v>0</v>
      </c>
      <c r="N1276">
        <f>VLOOKUP(B1276,purchase_dataset!$B$2:$F$2241,5,FALSE)</f>
        <v>7</v>
      </c>
      <c r="O1276" s="5">
        <v>60</v>
      </c>
      <c r="P1276" s="4" t="str">
        <f t="shared" si="38"/>
        <v>&gt;50</v>
      </c>
      <c r="Q1276" s="4">
        <f>M1276+N1276</f>
        <v>7</v>
      </c>
      <c r="U1276" s="28" t="str" cm="1">
        <f t="array" ref="U1276">_xlfn.IFS(F1276&lt;30000,"30k",F1276&lt;=50000,"30k-50k",F1276&lt;=75000,"50k-75k",F1276&lt;=100000,"75k-100k",F1276&gt;100000,"100k")</f>
        <v>50k-75k</v>
      </c>
      <c r="W1276" s="1">
        <f t="shared" si="39"/>
        <v>13</v>
      </c>
    </row>
    <row r="1277" spans="1:23" x14ac:dyDescent="0.35">
      <c r="A1277">
        <v>1274</v>
      </c>
      <c r="B1277">
        <v>7527</v>
      </c>
      <c r="C1277">
        <v>1968</v>
      </c>
      <c r="D1277" s="1" t="s">
        <v>15</v>
      </c>
      <c r="E1277" s="1" t="s">
        <v>16</v>
      </c>
      <c r="F1277">
        <v>23748</v>
      </c>
      <c r="G1277">
        <v>1</v>
      </c>
      <c r="H1277" s="2">
        <v>0</v>
      </c>
      <c r="I1277" s="2">
        <v>41234</v>
      </c>
      <c r="J1277">
        <v>97</v>
      </c>
      <c r="K1277">
        <f>VLOOKUP(B1277,purchase_dataset!$B$2:$F$2241,2,FALSE)</f>
        <v>6</v>
      </c>
      <c r="L1277">
        <f>VLOOKUP(B1277,purchase_dataset!$B$2:$F$2241,3,FALSE)</f>
        <v>15</v>
      </c>
      <c r="M1277">
        <f>VLOOKUP(B1277,purchase_dataset!$B$2:$F$2241,3,FALSE)</f>
        <v>15</v>
      </c>
      <c r="N1277">
        <f>VLOOKUP(B1277,purchase_dataset!$B$2:$F$2241,5,FALSE)</f>
        <v>3</v>
      </c>
      <c r="O1277" s="5">
        <v>58</v>
      </c>
      <c r="P1277" s="4" t="str">
        <f t="shared" si="38"/>
        <v>&gt;50</v>
      </c>
      <c r="Q1277" s="4">
        <f>M1277+N1277</f>
        <v>18</v>
      </c>
      <c r="U1277" s="28" t="str" cm="1">
        <f t="array" ref="U1277">_xlfn.IFS(F1277&lt;30000,"30k",F1277&lt;=50000,"30k-50k",F1277&lt;=75000,"50k-75k",F1277&lt;=100000,"75k-100k",F1277&gt;100000,"100k")</f>
        <v>30k</v>
      </c>
      <c r="W1277" s="1">
        <f t="shared" si="39"/>
        <v>14</v>
      </c>
    </row>
    <row r="1278" spans="1:23" x14ac:dyDescent="0.35">
      <c r="A1278">
        <v>1275</v>
      </c>
      <c r="B1278">
        <v>10319</v>
      </c>
      <c r="C1278">
        <v>1971</v>
      </c>
      <c r="D1278" s="1" t="s">
        <v>10</v>
      </c>
      <c r="E1278" s="1" t="s">
        <v>14</v>
      </c>
      <c r="F1278">
        <v>66303</v>
      </c>
      <c r="G1278">
        <v>0</v>
      </c>
      <c r="H1278" s="2">
        <v>1</v>
      </c>
      <c r="I1278" s="2">
        <v>41331</v>
      </c>
      <c r="J1278">
        <v>56</v>
      </c>
      <c r="K1278">
        <f>VLOOKUP(B1278,purchase_dataset!$B$2:$F$2241,2,FALSE)</f>
        <v>12</v>
      </c>
      <c r="L1278">
        <f>VLOOKUP(B1278,purchase_dataset!$B$2:$F$2241,3,FALSE)</f>
        <v>12</v>
      </c>
      <c r="M1278">
        <f>VLOOKUP(B1278,purchase_dataset!$B$2:$F$2241,3,FALSE)</f>
        <v>12</v>
      </c>
      <c r="N1278">
        <f>VLOOKUP(B1278,purchase_dataset!$B$2:$F$2241,5,FALSE)</f>
        <v>11</v>
      </c>
      <c r="O1278" s="5">
        <v>55</v>
      </c>
      <c r="P1278" s="4" t="str">
        <f t="shared" si="38"/>
        <v>&gt;50</v>
      </c>
      <c r="Q1278" s="4">
        <f>M1278+N1278</f>
        <v>23</v>
      </c>
      <c r="U1278" s="28" t="str" cm="1">
        <f t="array" ref="U1278">_xlfn.IFS(F1278&lt;30000,"30k",F1278&lt;=50000,"30k-50k",F1278&lt;=75000,"50k-75k",F1278&lt;=100000,"75k-100k",F1278&gt;100000,"100k")</f>
        <v>50k-75k</v>
      </c>
      <c r="W1278" s="1">
        <f t="shared" si="39"/>
        <v>13</v>
      </c>
    </row>
    <row r="1279" spans="1:23" x14ac:dyDescent="0.35">
      <c r="A1279">
        <v>1276</v>
      </c>
      <c r="B1279">
        <v>2296</v>
      </c>
      <c r="C1279">
        <v>1975</v>
      </c>
      <c r="D1279" s="1" t="s">
        <v>15</v>
      </c>
      <c r="E1279" s="1" t="s">
        <v>14</v>
      </c>
      <c r="F1279">
        <v>37368</v>
      </c>
      <c r="G1279">
        <v>1</v>
      </c>
      <c r="H1279" s="2">
        <v>0</v>
      </c>
      <c r="I1279" s="2">
        <v>41624</v>
      </c>
      <c r="J1279">
        <v>4</v>
      </c>
      <c r="K1279">
        <f>VLOOKUP(B1279,purchase_dataset!$B$2:$F$2241,2,FALSE)</f>
        <v>2</v>
      </c>
      <c r="L1279">
        <f>VLOOKUP(B1279,purchase_dataset!$B$2:$F$2241,3,FALSE)</f>
        <v>2</v>
      </c>
      <c r="M1279">
        <f>VLOOKUP(B1279,purchase_dataset!$B$2:$F$2241,3,FALSE)</f>
        <v>2</v>
      </c>
      <c r="N1279">
        <f>VLOOKUP(B1279,purchase_dataset!$B$2:$F$2241,5,FALSE)</f>
        <v>2</v>
      </c>
      <c r="O1279" s="5">
        <v>51</v>
      </c>
      <c r="P1279" s="4" t="str">
        <f t="shared" si="38"/>
        <v>&gt;50</v>
      </c>
      <c r="Q1279" s="4">
        <f>M1279+N1279</f>
        <v>4</v>
      </c>
      <c r="U1279" s="28" t="str" cm="1">
        <f t="array" ref="U1279">_xlfn.IFS(F1279&lt;30000,"30k",F1279&lt;=50000,"30k-50k",F1279&lt;=75000,"50k-75k",F1279&lt;=100000,"75k-100k",F1279&gt;100000,"100k")</f>
        <v>30k-50k</v>
      </c>
      <c r="W1279" s="1">
        <f t="shared" si="39"/>
        <v>13</v>
      </c>
    </row>
    <row r="1280" spans="1:23" x14ac:dyDescent="0.35">
      <c r="A1280">
        <v>1277</v>
      </c>
      <c r="B1280">
        <v>10637</v>
      </c>
      <c r="C1280">
        <v>1964</v>
      </c>
      <c r="D1280" s="1" t="s">
        <v>10</v>
      </c>
      <c r="E1280" s="1" t="s">
        <v>14</v>
      </c>
      <c r="F1280">
        <v>40800</v>
      </c>
      <c r="G1280">
        <v>1</v>
      </c>
      <c r="H1280" s="2">
        <v>2</v>
      </c>
      <c r="I1280" s="2">
        <v>41275</v>
      </c>
      <c r="J1280">
        <v>77</v>
      </c>
      <c r="K1280">
        <f>VLOOKUP(B1280,purchase_dataset!$B$2:$F$2241,2,FALSE)</f>
        <v>0</v>
      </c>
      <c r="L1280">
        <f>VLOOKUP(B1280,purchase_dataset!$B$2:$F$2241,3,FALSE)</f>
        <v>30</v>
      </c>
      <c r="M1280">
        <f>VLOOKUP(B1280,purchase_dataset!$B$2:$F$2241,3,FALSE)</f>
        <v>30</v>
      </c>
      <c r="N1280">
        <f>VLOOKUP(B1280,purchase_dataset!$B$2:$F$2241,5,FALSE)</f>
        <v>3</v>
      </c>
      <c r="O1280" s="5">
        <v>62</v>
      </c>
      <c r="P1280" s="4" t="str">
        <f t="shared" si="38"/>
        <v>&gt;50</v>
      </c>
      <c r="Q1280" s="4">
        <f>M1280+N1280</f>
        <v>33</v>
      </c>
      <c r="U1280" s="28" t="str" cm="1">
        <f t="array" ref="U1280">_xlfn.IFS(F1280&lt;30000,"30k",F1280&lt;=50000,"30k-50k",F1280&lt;=75000,"50k-75k",F1280&lt;=100000,"75k-100k",F1280&gt;100000,"100k")</f>
        <v>30k-50k</v>
      </c>
      <c r="W1280" s="1">
        <f t="shared" si="39"/>
        <v>13</v>
      </c>
    </row>
    <row r="1281" spans="1:23" x14ac:dyDescent="0.35">
      <c r="A1281">
        <v>1278</v>
      </c>
      <c r="B1281">
        <v>2931</v>
      </c>
      <c r="C1281">
        <v>1978</v>
      </c>
      <c r="D1281" s="1" t="s">
        <v>10</v>
      </c>
      <c r="E1281" s="1" t="s">
        <v>16</v>
      </c>
      <c r="F1281">
        <v>71847</v>
      </c>
      <c r="G1281">
        <v>0</v>
      </c>
      <c r="H1281" s="2">
        <v>0</v>
      </c>
      <c r="I1281" s="2">
        <v>41173</v>
      </c>
      <c r="J1281">
        <v>95</v>
      </c>
      <c r="K1281">
        <f>VLOOKUP(B1281,purchase_dataset!$B$2:$F$2241,2,FALSE)</f>
        <v>21</v>
      </c>
      <c r="L1281">
        <f>VLOOKUP(B1281,purchase_dataset!$B$2:$F$2241,3,FALSE)</f>
        <v>63</v>
      </c>
      <c r="M1281">
        <f>VLOOKUP(B1281,purchase_dataset!$B$2:$F$2241,3,FALSE)</f>
        <v>63</v>
      </c>
      <c r="N1281">
        <f>VLOOKUP(B1281,purchase_dataset!$B$2:$F$2241,5,FALSE)</f>
        <v>9</v>
      </c>
      <c r="O1281" s="5">
        <v>48</v>
      </c>
      <c r="P1281" s="4" t="str">
        <f t="shared" si="38"/>
        <v>30-50</v>
      </c>
      <c r="Q1281" s="4">
        <f>M1281+N1281</f>
        <v>72</v>
      </c>
      <c r="U1281" s="28" t="str" cm="1">
        <f t="array" ref="U1281">_xlfn.IFS(F1281&lt;30000,"30k",F1281&lt;=50000,"30k-50k",F1281&lt;=75000,"50k-75k",F1281&lt;=100000,"75k-100k",F1281&gt;100000,"100k")</f>
        <v>50k-75k</v>
      </c>
      <c r="W1281" s="1">
        <f t="shared" si="39"/>
        <v>14</v>
      </c>
    </row>
    <row r="1282" spans="1:23" x14ac:dyDescent="0.35">
      <c r="A1282">
        <v>1279</v>
      </c>
      <c r="B1282">
        <v>907</v>
      </c>
      <c r="C1282">
        <v>1975</v>
      </c>
      <c r="D1282" s="1" t="s">
        <v>10</v>
      </c>
      <c r="E1282" s="1" t="s">
        <v>14</v>
      </c>
      <c r="F1282">
        <v>46149</v>
      </c>
      <c r="G1282">
        <v>0</v>
      </c>
      <c r="H1282" s="2">
        <v>1</v>
      </c>
      <c r="I1282" s="2">
        <v>41607</v>
      </c>
      <c r="J1282">
        <v>36</v>
      </c>
      <c r="K1282">
        <f>VLOOKUP(B1282,purchase_dataset!$B$2:$F$2241,2,FALSE)</f>
        <v>6</v>
      </c>
      <c r="L1282">
        <f>VLOOKUP(B1282,purchase_dataset!$B$2:$F$2241,3,FALSE)</f>
        <v>0</v>
      </c>
      <c r="M1282">
        <f>VLOOKUP(B1282,purchase_dataset!$B$2:$F$2241,3,FALSE)</f>
        <v>0</v>
      </c>
      <c r="N1282">
        <f>VLOOKUP(B1282,purchase_dataset!$B$2:$F$2241,5,FALSE)</f>
        <v>7</v>
      </c>
      <c r="O1282" s="5">
        <v>51</v>
      </c>
      <c r="P1282" s="4" t="str">
        <f t="shared" si="38"/>
        <v>&gt;50</v>
      </c>
      <c r="Q1282" s="4">
        <f>M1282+N1282</f>
        <v>7</v>
      </c>
      <c r="U1282" s="28" t="str" cm="1">
        <f t="array" ref="U1282">_xlfn.IFS(F1282&lt;30000,"30k",F1282&lt;=50000,"30k-50k",F1282&lt;=75000,"50k-75k",F1282&lt;=100000,"75k-100k",F1282&gt;100000,"100k")</f>
        <v>30k-50k</v>
      </c>
      <c r="W1282" s="1">
        <f t="shared" si="39"/>
        <v>13</v>
      </c>
    </row>
    <row r="1283" spans="1:23" x14ac:dyDescent="0.35">
      <c r="A1283">
        <v>1280</v>
      </c>
      <c r="B1283">
        <v>3698</v>
      </c>
      <c r="C1283">
        <v>1983</v>
      </c>
      <c r="D1283" s="1" t="s">
        <v>10</v>
      </c>
      <c r="E1283" s="1" t="s">
        <v>12</v>
      </c>
      <c r="F1283">
        <v>78687</v>
      </c>
      <c r="G1283">
        <v>0</v>
      </c>
      <c r="H1283" s="2">
        <v>0</v>
      </c>
      <c r="I1283" s="2">
        <v>41130</v>
      </c>
      <c r="J1283">
        <v>13</v>
      </c>
      <c r="K1283">
        <f>VLOOKUP(B1283,purchase_dataset!$B$2:$F$2241,2,FALSE)</f>
        <v>185</v>
      </c>
      <c r="L1283">
        <f>VLOOKUP(B1283,purchase_dataset!$B$2:$F$2241,3,FALSE)</f>
        <v>55</v>
      </c>
      <c r="M1283">
        <f>VLOOKUP(B1283,purchase_dataset!$B$2:$F$2241,3,FALSE)</f>
        <v>55</v>
      </c>
      <c r="N1283">
        <f>VLOOKUP(B1283,purchase_dataset!$B$2:$F$2241,5,FALSE)</f>
        <v>8</v>
      </c>
      <c r="O1283" s="5">
        <v>43</v>
      </c>
      <c r="P1283" s="4" t="str">
        <f t="shared" si="38"/>
        <v>30-50</v>
      </c>
      <c r="Q1283" s="4">
        <f>M1283+N1283</f>
        <v>63</v>
      </c>
      <c r="U1283" s="28" t="str" cm="1">
        <f t="array" ref="U1283">_xlfn.IFS(F1283&lt;30000,"30k",F1283&lt;=50000,"30k-50k",F1283&lt;=75000,"50k-75k",F1283&lt;=100000,"75k-100k",F1283&gt;100000,"100k")</f>
        <v>75k-100k</v>
      </c>
      <c r="W1283" s="1">
        <f t="shared" si="39"/>
        <v>14</v>
      </c>
    </row>
    <row r="1284" spans="1:23" x14ac:dyDescent="0.35">
      <c r="A1284">
        <v>1281</v>
      </c>
      <c r="B1284">
        <v>9516</v>
      </c>
      <c r="C1284">
        <v>1971</v>
      </c>
      <c r="D1284" s="1" t="s">
        <v>18</v>
      </c>
      <c r="E1284" s="1" t="s">
        <v>16</v>
      </c>
      <c r="F1284">
        <v>49118</v>
      </c>
      <c r="G1284">
        <v>0</v>
      </c>
      <c r="H1284" s="2">
        <v>0</v>
      </c>
      <c r="I1284" s="2">
        <v>41139</v>
      </c>
      <c r="J1284">
        <v>90</v>
      </c>
      <c r="K1284">
        <f>VLOOKUP(B1284,purchase_dataset!$B$2:$F$2241,2,FALSE)</f>
        <v>54</v>
      </c>
      <c r="L1284">
        <f>VLOOKUP(B1284,purchase_dataset!$B$2:$F$2241,3,FALSE)</f>
        <v>98</v>
      </c>
      <c r="M1284">
        <f>VLOOKUP(B1284,purchase_dataset!$B$2:$F$2241,3,FALSE)</f>
        <v>98</v>
      </c>
      <c r="N1284">
        <f>VLOOKUP(B1284,purchase_dataset!$B$2:$F$2241,5,FALSE)</f>
        <v>10</v>
      </c>
      <c r="O1284" s="5">
        <v>55</v>
      </c>
      <c r="P1284" s="4" t="str">
        <f t="shared" ref="P1284:P1347" si="40">IF(O1284&lt;30,"30",IF(O1284&lt;=50,"30-50","&gt;50"))</f>
        <v>&gt;50</v>
      </c>
      <c r="Q1284" s="4">
        <f>M1284+N1284</f>
        <v>108</v>
      </c>
      <c r="U1284" s="28" t="str" cm="1">
        <f t="array" ref="U1284">_xlfn.IFS(F1284&lt;30000,"30k",F1284&lt;=50000,"30k-50k",F1284&lt;=75000,"50k-75k",F1284&lt;=100000,"75k-100k",F1284&gt;100000,"100k")</f>
        <v>30k-50k</v>
      </c>
      <c r="W1284" s="1">
        <f t="shared" ref="W1284:W1347" si="41">2026-YEAR(I1284)</f>
        <v>14</v>
      </c>
    </row>
    <row r="1285" spans="1:23" x14ac:dyDescent="0.35">
      <c r="A1285">
        <v>1282</v>
      </c>
      <c r="B1285">
        <v>679</v>
      </c>
      <c r="C1285">
        <v>1957</v>
      </c>
      <c r="D1285" s="1" t="s">
        <v>13</v>
      </c>
      <c r="E1285" s="1" t="s">
        <v>14</v>
      </c>
      <c r="F1285">
        <v>37633</v>
      </c>
      <c r="G1285">
        <v>1</v>
      </c>
      <c r="H1285" s="2">
        <v>1</v>
      </c>
      <c r="I1285" s="2">
        <v>41172</v>
      </c>
      <c r="J1285">
        <v>49</v>
      </c>
      <c r="K1285">
        <f>VLOOKUP(B1285,purchase_dataset!$B$2:$F$2241,2,FALSE)</f>
        <v>4</v>
      </c>
      <c r="L1285">
        <f>VLOOKUP(B1285,purchase_dataset!$B$2:$F$2241,3,FALSE)</f>
        <v>0</v>
      </c>
      <c r="M1285">
        <f>VLOOKUP(B1285,purchase_dataset!$B$2:$F$2241,3,FALSE)</f>
        <v>0</v>
      </c>
      <c r="N1285">
        <f>VLOOKUP(B1285,purchase_dataset!$B$2:$F$2241,5,FALSE)</f>
        <v>3</v>
      </c>
      <c r="O1285" s="5">
        <v>69</v>
      </c>
      <c r="P1285" s="4" t="str">
        <f t="shared" si="40"/>
        <v>&gt;50</v>
      </c>
      <c r="Q1285" s="4">
        <f>M1285+N1285</f>
        <v>3</v>
      </c>
      <c r="U1285" s="28" t="str" cm="1">
        <f t="array" ref="U1285">_xlfn.IFS(F1285&lt;30000,"30k",F1285&lt;=50000,"30k-50k",F1285&lt;=75000,"50k-75k",F1285&lt;=100000,"75k-100k",F1285&gt;100000,"100k")</f>
        <v>30k-50k</v>
      </c>
      <c r="W1285" s="1">
        <f t="shared" si="41"/>
        <v>14</v>
      </c>
    </row>
    <row r="1286" spans="1:23" x14ac:dyDescent="0.35">
      <c r="A1286">
        <v>1283</v>
      </c>
      <c r="B1286">
        <v>7384</v>
      </c>
      <c r="C1286">
        <v>1951</v>
      </c>
      <c r="D1286" s="1" t="s">
        <v>15</v>
      </c>
      <c r="E1286" s="1" t="s">
        <v>12</v>
      </c>
      <c r="F1286">
        <v>39767</v>
      </c>
      <c r="G1286">
        <v>0</v>
      </c>
      <c r="H1286" s="2">
        <v>0</v>
      </c>
      <c r="I1286" s="2">
        <v>41476</v>
      </c>
      <c r="J1286">
        <v>18</v>
      </c>
      <c r="K1286">
        <f>VLOOKUP(B1286,purchase_dataset!$B$2:$F$2241,2,FALSE)</f>
        <v>61</v>
      </c>
      <c r="L1286">
        <f>VLOOKUP(B1286,purchase_dataset!$B$2:$F$2241,3,FALSE)</f>
        <v>26</v>
      </c>
      <c r="M1286">
        <f>VLOOKUP(B1286,purchase_dataset!$B$2:$F$2241,3,FALSE)</f>
        <v>26</v>
      </c>
      <c r="N1286">
        <f>VLOOKUP(B1286,purchase_dataset!$B$2:$F$2241,5,FALSE)</f>
        <v>7</v>
      </c>
      <c r="O1286" s="5">
        <v>75</v>
      </c>
      <c r="P1286" s="4" t="str">
        <f t="shared" si="40"/>
        <v>&gt;50</v>
      </c>
      <c r="Q1286" s="4">
        <f>M1286+N1286</f>
        <v>33</v>
      </c>
      <c r="U1286" s="28" t="str" cm="1">
        <f t="array" ref="U1286">_xlfn.IFS(F1286&lt;30000,"30k",F1286&lt;=50000,"30k-50k",F1286&lt;=75000,"50k-75k",F1286&lt;=100000,"75k-100k",F1286&gt;100000,"100k")</f>
        <v>30k-50k</v>
      </c>
      <c r="W1286" s="1">
        <f t="shared" si="41"/>
        <v>13</v>
      </c>
    </row>
    <row r="1287" spans="1:23" x14ac:dyDescent="0.35">
      <c r="A1287">
        <v>1284</v>
      </c>
      <c r="B1287">
        <v>5043</v>
      </c>
      <c r="C1287">
        <v>1951</v>
      </c>
      <c r="D1287" s="1" t="s">
        <v>17</v>
      </c>
      <c r="E1287" s="1" t="s">
        <v>14</v>
      </c>
      <c r="F1287">
        <v>26997</v>
      </c>
      <c r="G1287">
        <v>0</v>
      </c>
      <c r="H1287" s="2">
        <v>0</v>
      </c>
      <c r="I1287" s="2">
        <v>41218</v>
      </c>
      <c r="J1287">
        <v>89</v>
      </c>
      <c r="K1287">
        <f>VLOOKUP(B1287,purchase_dataset!$B$2:$F$2241,2,FALSE)</f>
        <v>23</v>
      </c>
      <c r="L1287">
        <f>VLOOKUP(B1287,purchase_dataset!$B$2:$F$2241,3,FALSE)</f>
        <v>49</v>
      </c>
      <c r="M1287">
        <f>VLOOKUP(B1287,purchase_dataset!$B$2:$F$2241,3,FALSE)</f>
        <v>49</v>
      </c>
      <c r="N1287">
        <f>VLOOKUP(B1287,purchase_dataset!$B$2:$F$2241,5,FALSE)</f>
        <v>5</v>
      </c>
      <c r="O1287" s="5">
        <v>75</v>
      </c>
      <c r="P1287" s="4" t="str">
        <f t="shared" si="40"/>
        <v>&gt;50</v>
      </c>
      <c r="Q1287" s="4">
        <f>M1287+N1287</f>
        <v>54</v>
      </c>
      <c r="U1287" s="28" t="str" cm="1">
        <f t="array" ref="U1287">_xlfn.IFS(F1287&lt;30000,"30k",F1287&lt;=50000,"30k-50k",F1287&lt;=75000,"50k-75k",F1287&lt;=100000,"75k-100k",F1287&gt;100000,"100k")</f>
        <v>30k</v>
      </c>
      <c r="W1287" s="1">
        <f t="shared" si="41"/>
        <v>14</v>
      </c>
    </row>
    <row r="1288" spans="1:23" x14ac:dyDescent="0.35">
      <c r="A1288">
        <v>1285</v>
      </c>
      <c r="B1288">
        <v>5267</v>
      </c>
      <c r="C1288">
        <v>1970</v>
      </c>
      <c r="D1288" s="1" t="s">
        <v>10</v>
      </c>
      <c r="E1288" s="1" t="s">
        <v>16</v>
      </c>
      <c r="F1288">
        <v>33986</v>
      </c>
      <c r="G1288">
        <v>1</v>
      </c>
      <c r="H1288" s="2">
        <v>0</v>
      </c>
      <c r="I1288" s="2">
        <v>41347</v>
      </c>
      <c r="J1288">
        <v>43</v>
      </c>
      <c r="K1288">
        <f>VLOOKUP(B1288,purchase_dataset!$B$2:$F$2241,2,FALSE)</f>
        <v>2</v>
      </c>
      <c r="L1288">
        <f>VLOOKUP(B1288,purchase_dataset!$B$2:$F$2241,3,FALSE)</f>
        <v>1</v>
      </c>
      <c r="M1288">
        <f>VLOOKUP(B1288,purchase_dataset!$B$2:$F$2241,3,FALSE)</f>
        <v>1</v>
      </c>
      <c r="N1288">
        <f>VLOOKUP(B1288,purchase_dataset!$B$2:$F$2241,5,FALSE)</f>
        <v>3</v>
      </c>
      <c r="O1288" s="5">
        <v>56</v>
      </c>
      <c r="P1288" s="4" t="str">
        <f t="shared" si="40"/>
        <v>&gt;50</v>
      </c>
      <c r="Q1288" s="4">
        <f>M1288+N1288</f>
        <v>4</v>
      </c>
      <c r="U1288" s="28" t="str" cm="1">
        <f t="array" ref="U1288">_xlfn.IFS(F1288&lt;30000,"30k",F1288&lt;=50000,"30k-50k",F1288&lt;=75000,"50k-75k",F1288&lt;=100000,"75k-100k",F1288&gt;100000,"100k")</f>
        <v>30k-50k</v>
      </c>
      <c r="W1288" s="1">
        <f t="shared" si="41"/>
        <v>13</v>
      </c>
    </row>
    <row r="1289" spans="1:23" x14ac:dyDescent="0.35">
      <c r="A1289">
        <v>1286</v>
      </c>
      <c r="B1289">
        <v>339</v>
      </c>
      <c r="C1289">
        <v>1972</v>
      </c>
      <c r="D1289" s="1" t="s">
        <v>13</v>
      </c>
      <c r="E1289" s="1" t="s">
        <v>14</v>
      </c>
      <c r="F1289">
        <v>57091</v>
      </c>
      <c r="G1289">
        <v>0</v>
      </c>
      <c r="H1289" s="2">
        <v>1</v>
      </c>
      <c r="I1289" s="2">
        <v>41236</v>
      </c>
      <c r="J1289">
        <v>82</v>
      </c>
      <c r="K1289">
        <f>VLOOKUP(B1289,purchase_dataset!$B$2:$F$2241,2,FALSE)</f>
        <v>0</v>
      </c>
      <c r="L1289">
        <f>VLOOKUP(B1289,purchase_dataset!$B$2:$F$2241,3,FALSE)</f>
        <v>0</v>
      </c>
      <c r="M1289">
        <f>VLOOKUP(B1289,purchase_dataset!$B$2:$F$2241,3,FALSE)</f>
        <v>0</v>
      </c>
      <c r="N1289">
        <f>VLOOKUP(B1289,purchase_dataset!$B$2:$F$2241,5,FALSE)</f>
        <v>5</v>
      </c>
      <c r="O1289" s="5">
        <v>54</v>
      </c>
      <c r="P1289" s="4" t="str">
        <f t="shared" si="40"/>
        <v>&gt;50</v>
      </c>
      <c r="Q1289" s="4">
        <f>M1289+N1289</f>
        <v>5</v>
      </c>
      <c r="U1289" s="28" t="str" cm="1">
        <f t="array" ref="U1289">_xlfn.IFS(F1289&lt;30000,"30k",F1289&lt;=50000,"30k-50k",F1289&lt;=75000,"50k-75k",F1289&lt;=100000,"75k-100k",F1289&gt;100000,"100k")</f>
        <v>50k-75k</v>
      </c>
      <c r="W1289" s="1">
        <f t="shared" si="41"/>
        <v>14</v>
      </c>
    </row>
    <row r="1290" spans="1:23" x14ac:dyDescent="0.35">
      <c r="A1290">
        <v>1287</v>
      </c>
      <c r="B1290">
        <v>2516</v>
      </c>
      <c r="C1290">
        <v>1969</v>
      </c>
      <c r="D1290" s="1" t="s">
        <v>18</v>
      </c>
      <c r="E1290" s="1" t="s">
        <v>14</v>
      </c>
      <c r="F1290">
        <v>46831</v>
      </c>
      <c r="G1290">
        <v>1</v>
      </c>
      <c r="H1290" s="2">
        <v>1</v>
      </c>
      <c r="I1290" s="2">
        <v>41433</v>
      </c>
      <c r="J1290">
        <v>84</v>
      </c>
      <c r="K1290">
        <f>VLOOKUP(B1290,purchase_dataset!$B$2:$F$2241,2,FALSE)</f>
        <v>2</v>
      </c>
      <c r="L1290">
        <f>VLOOKUP(B1290,purchase_dataset!$B$2:$F$2241,3,FALSE)</f>
        <v>4</v>
      </c>
      <c r="M1290">
        <f>VLOOKUP(B1290,purchase_dataset!$B$2:$F$2241,3,FALSE)</f>
        <v>4</v>
      </c>
      <c r="N1290">
        <f>VLOOKUP(B1290,purchase_dataset!$B$2:$F$2241,5,FALSE)</f>
        <v>2</v>
      </c>
      <c r="O1290" s="5">
        <v>57</v>
      </c>
      <c r="P1290" s="4" t="str">
        <f t="shared" si="40"/>
        <v>&gt;50</v>
      </c>
      <c r="Q1290" s="4">
        <f>M1290+N1290</f>
        <v>6</v>
      </c>
      <c r="U1290" s="28" t="str" cm="1">
        <f t="array" ref="U1290">_xlfn.IFS(F1290&lt;30000,"30k",F1290&lt;=50000,"30k-50k",F1290&lt;=75000,"50k-75k",F1290&lt;=100000,"75k-100k",F1290&gt;100000,"100k")</f>
        <v>30k-50k</v>
      </c>
      <c r="W1290" s="1">
        <f t="shared" si="41"/>
        <v>13</v>
      </c>
    </row>
    <row r="1291" spans="1:23" x14ac:dyDescent="0.35">
      <c r="A1291">
        <v>1288</v>
      </c>
      <c r="B1291">
        <v>9010</v>
      </c>
      <c r="C1291">
        <v>1972</v>
      </c>
      <c r="D1291" s="1" t="s">
        <v>15</v>
      </c>
      <c r="E1291" s="1" t="s">
        <v>14</v>
      </c>
      <c r="F1291">
        <v>83151</v>
      </c>
      <c r="G1291">
        <v>0</v>
      </c>
      <c r="H1291" s="2">
        <v>0</v>
      </c>
      <c r="I1291" s="2">
        <v>41315</v>
      </c>
      <c r="J1291">
        <v>80</v>
      </c>
      <c r="K1291">
        <f>VLOOKUP(B1291,purchase_dataset!$B$2:$F$2241,2,FALSE)</f>
        <v>147</v>
      </c>
      <c r="L1291">
        <f>VLOOKUP(B1291,purchase_dataset!$B$2:$F$2241,3,FALSE)</f>
        <v>42</v>
      </c>
      <c r="M1291">
        <f>VLOOKUP(B1291,purchase_dataset!$B$2:$F$2241,3,FALSE)</f>
        <v>42</v>
      </c>
      <c r="N1291">
        <f>VLOOKUP(B1291,purchase_dataset!$B$2:$F$2241,5,FALSE)</f>
        <v>10</v>
      </c>
      <c r="O1291" s="5">
        <v>54</v>
      </c>
      <c r="P1291" s="4" t="str">
        <f t="shared" si="40"/>
        <v>&gt;50</v>
      </c>
      <c r="Q1291" s="4">
        <f>M1291+N1291</f>
        <v>52</v>
      </c>
      <c r="U1291" s="28" t="str" cm="1">
        <f t="array" ref="U1291">_xlfn.IFS(F1291&lt;30000,"30k",F1291&lt;=50000,"30k-50k",F1291&lt;=75000,"50k-75k",F1291&lt;=100000,"75k-100k",F1291&gt;100000,"100k")</f>
        <v>75k-100k</v>
      </c>
      <c r="W1291" s="1">
        <f t="shared" si="41"/>
        <v>13</v>
      </c>
    </row>
    <row r="1292" spans="1:23" x14ac:dyDescent="0.35">
      <c r="A1292">
        <v>1289</v>
      </c>
      <c r="B1292">
        <v>378</v>
      </c>
      <c r="C1292">
        <v>1971</v>
      </c>
      <c r="D1292" s="1" t="s">
        <v>10</v>
      </c>
      <c r="E1292" s="1" t="s">
        <v>14</v>
      </c>
      <c r="F1292">
        <v>52531</v>
      </c>
      <c r="G1292">
        <v>0</v>
      </c>
      <c r="H1292" s="2">
        <v>0</v>
      </c>
      <c r="I1292" s="2">
        <v>41273</v>
      </c>
      <c r="J1292">
        <v>68</v>
      </c>
      <c r="K1292">
        <f>VLOOKUP(B1292,purchase_dataset!$B$2:$F$2241,2,FALSE)</f>
        <v>112</v>
      </c>
      <c r="L1292">
        <f>VLOOKUP(B1292,purchase_dataset!$B$2:$F$2241,3,FALSE)</f>
        <v>72</v>
      </c>
      <c r="M1292">
        <f>VLOOKUP(B1292,purchase_dataset!$B$2:$F$2241,3,FALSE)</f>
        <v>72</v>
      </c>
      <c r="N1292">
        <f>VLOOKUP(B1292,purchase_dataset!$B$2:$F$2241,5,FALSE)</f>
        <v>10</v>
      </c>
      <c r="O1292" s="5">
        <v>55</v>
      </c>
      <c r="P1292" s="4" t="str">
        <f t="shared" si="40"/>
        <v>&gt;50</v>
      </c>
      <c r="Q1292" s="4">
        <f>M1292+N1292</f>
        <v>82</v>
      </c>
      <c r="U1292" s="28" t="str" cm="1">
        <f t="array" ref="U1292">_xlfn.IFS(F1292&lt;30000,"30k",F1292&lt;=50000,"30k-50k",F1292&lt;=75000,"50k-75k",F1292&lt;=100000,"75k-100k",F1292&gt;100000,"100k")</f>
        <v>50k-75k</v>
      </c>
      <c r="W1292" s="1">
        <f t="shared" si="41"/>
        <v>14</v>
      </c>
    </row>
    <row r="1293" spans="1:23" x14ac:dyDescent="0.35">
      <c r="A1293">
        <v>1290</v>
      </c>
      <c r="B1293">
        <v>4808</v>
      </c>
      <c r="C1293">
        <v>1956</v>
      </c>
      <c r="D1293" s="1" t="s">
        <v>10</v>
      </c>
      <c r="E1293" s="1" t="s">
        <v>14</v>
      </c>
      <c r="F1293">
        <v>15759</v>
      </c>
      <c r="G1293">
        <v>0</v>
      </c>
      <c r="H1293" s="2">
        <v>0</v>
      </c>
      <c r="I1293" s="2">
        <v>41522</v>
      </c>
      <c r="J1293">
        <v>12</v>
      </c>
      <c r="K1293">
        <f>VLOOKUP(B1293,purchase_dataset!$B$2:$F$2241,2,FALSE)</f>
        <v>2</v>
      </c>
      <c r="L1293">
        <f>VLOOKUP(B1293,purchase_dataset!$B$2:$F$2241,3,FALSE)</f>
        <v>0</v>
      </c>
      <c r="M1293">
        <f>VLOOKUP(B1293,purchase_dataset!$B$2:$F$2241,3,FALSE)</f>
        <v>0</v>
      </c>
      <c r="N1293">
        <f>VLOOKUP(B1293,purchase_dataset!$B$2:$F$2241,5,FALSE)</f>
        <v>2</v>
      </c>
      <c r="O1293" s="5">
        <v>70</v>
      </c>
      <c r="P1293" s="4" t="str">
        <f t="shared" si="40"/>
        <v>&gt;50</v>
      </c>
      <c r="Q1293" s="4">
        <f>M1293+N1293</f>
        <v>2</v>
      </c>
      <c r="U1293" s="28" t="str" cm="1">
        <f t="array" ref="U1293">_xlfn.IFS(F1293&lt;30000,"30k",F1293&lt;=50000,"30k-50k",F1293&lt;=75000,"50k-75k",F1293&lt;=100000,"75k-100k",F1293&gt;100000,"100k")</f>
        <v>30k</v>
      </c>
      <c r="W1293" s="1">
        <f t="shared" si="41"/>
        <v>13</v>
      </c>
    </row>
    <row r="1294" spans="1:23" x14ac:dyDescent="0.35">
      <c r="A1294">
        <v>1291</v>
      </c>
      <c r="B1294">
        <v>5068</v>
      </c>
      <c r="C1294">
        <v>1971</v>
      </c>
      <c r="D1294" s="1" t="s">
        <v>10</v>
      </c>
      <c r="E1294" s="1" t="s">
        <v>11</v>
      </c>
      <c r="F1294">
        <v>22804</v>
      </c>
      <c r="G1294">
        <v>1</v>
      </c>
      <c r="H1294" s="2">
        <v>0</v>
      </c>
      <c r="I1294" s="2">
        <v>41486</v>
      </c>
      <c r="J1294">
        <v>75</v>
      </c>
      <c r="K1294">
        <f>VLOOKUP(B1294,purchase_dataset!$B$2:$F$2241,2,FALSE)</f>
        <v>1</v>
      </c>
      <c r="L1294">
        <f>VLOOKUP(B1294,purchase_dataset!$B$2:$F$2241,3,FALSE)</f>
        <v>1</v>
      </c>
      <c r="M1294">
        <f>VLOOKUP(B1294,purchase_dataset!$B$2:$F$2241,3,FALSE)</f>
        <v>1</v>
      </c>
      <c r="N1294">
        <f>VLOOKUP(B1294,purchase_dataset!$B$2:$F$2241,5,FALSE)</f>
        <v>2</v>
      </c>
      <c r="O1294" s="5">
        <v>55</v>
      </c>
      <c r="P1294" s="4" t="str">
        <f t="shared" si="40"/>
        <v>&gt;50</v>
      </c>
      <c r="Q1294" s="4">
        <f>M1294+N1294</f>
        <v>3</v>
      </c>
      <c r="U1294" s="28" t="str" cm="1">
        <f t="array" ref="U1294">_xlfn.IFS(F1294&lt;30000,"30k",F1294&lt;=50000,"30k-50k",F1294&lt;=75000,"50k-75k",F1294&lt;=100000,"75k-100k",F1294&gt;100000,"100k")</f>
        <v>30k</v>
      </c>
      <c r="W1294" s="1">
        <f t="shared" si="41"/>
        <v>13</v>
      </c>
    </row>
    <row r="1295" spans="1:23" x14ac:dyDescent="0.35">
      <c r="A1295">
        <v>1292</v>
      </c>
      <c r="B1295">
        <v>7628</v>
      </c>
      <c r="C1295">
        <v>1973</v>
      </c>
      <c r="D1295" s="1" t="s">
        <v>18</v>
      </c>
      <c r="E1295" s="1" t="s">
        <v>14</v>
      </c>
      <c r="F1295">
        <v>43050</v>
      </c>
      <c r="G1295">
        <v>1</v>
      </c>
      <c r="H1295" s="2">
        <v>0</v>
      </c>
      <c r="I1295" s="2">
        <v>41716</v>
      </c>
      <c r="J1295">
        <v>10</v>
      </c>
      <c r="K1295">
        <f>VLOOKUP(B1295,purchase_dataset!$B$2:$F$2241,2,FALSE)</f>
        <v>5</v>
      </c>
      <c r="L1295">
        <f>VLOOKUP(B1295,purchase_dataset!$B$2:$F$2241,3,FALSE)</f>
        <v>3</v>
      </c>
      <c r="M1295">
        <f>VLOOKUP(B1295,purchase_dataset!$B$2:$F$2241,3,FALSE)</f>
        <v>3</v>
      </c>
      <c r="N1295">
        <f>VLOOKUP(B1295,purchase_dataset!$B$2:$F$2241,5,FALSE)</f>
        <v>4</v>
      </c>
      <c r="O1295" s="5">
        <v>53</v>
      </c>
      <c r="P1295" s="4" t="str">
        <f t="shared" si="40"/>
        <v>&gt;50</v>
      </c>
      <c r="Q1295" s="4">
        <f>M1295+N1295</f>
        <v>7</v>
      </c>
      <c r="U1295" s="28" t="str" cm="1">
        <f t="array" ref="U1295">_xlfn.IFS(F1295&lt;30000,"30k",F1295&lt;=50000,"30k-50k",F1295&lt;=75000,"50k-75k",F1295&lt;=100000,"75k-100k",F1295&gt;100000,"100k")</f>
        <v>30k-50k</v>
      </c>
      <c r="W1295" s="1">
        <f t="shared" si="41"/>
        <v>12</v>
      </c>
    </row>
    <row r="1296" spans="1:23" x14ac:dyDescent="0.35">
      <c r="A1296">
        <v>1293</v>
      </c>
      <c r="B1296">
        <v>7128</v>
      </c>
      <c r="C1296">
        <v>1977</v>
      </c>
      <c r="D1296" s="1" t="s">
        <v>13</v>
      </c>
      <c r="E1296" s="1" t="s">
        <v>11</v>
      </c>
      <c r="F1296">
        <v>42997</v>
      </c>
      <c r="G1296">
        <v>1</v>
      </c>
      <c r="H1296" s="2">
        <v>1</v>
      </c>
      <c r="I1296" s="2">
        <v>41615</v>
      </c>
      <c r="J1296">
        <v>91</v>
      </c>
      <c r="K1296">
        <f>VLOOKUP(B1296,purchase_dataset!$B$2:$F$2241,2,FALSE)</f>
        <v>0</v>
      </c>
      <c r="L1296">
        <f>VLOOKUP(B1296,purchase_dataset!$B$2:$F$2241,3,FALSE)</f>
        <v>1</v>
      </c>
      <c r="M1296">
        <f>VLOOKUP(B1296,purchase_dataset!$B$2:$F$2241,3,FALSE)</f>
        <v>1</v>
      </c>
      <c r="N1296">
        <f>VLOOKUP(B1296,purchase_dataset!$B$2:$F$2241,5,FALSE)</f>
        <v>2</v>
      </c>
      <c r="O1296" s="5">
        <v>49</v>
      </c>
      <c r="P1296" s="4" t="str">
        <f t="shared" si="40"/>
        <v>30-50</v>
      </c>
      <c r="Q1296" s="4">
        <f>M1296+N1296</f>
        <v>3</v>
      </c>
      <c r="U1296" s="28" t="str" cm="1">
        <f t="array" ref="U1296">_xlfn.IFS(F1296&lt;30000,"30k",F1296&lt;=50000,"30k-50k",F1296&lt;=75000,"50k-75k",F1296&lt;=100000,"75k-100k",F1296&gt;100000,"100k")</f>
        <v>30k-50k</v>
      </c>
      <c r="W1296" s="1">
        <f t="shared" si="41"/>
        <v>13</v>
      </c>
    </row>
    <row r="1297" spans="1:23" x14ac:dyDescent="0.35">
      <c r="A1297">
        <v>1294</v>
      </c>
      <c r="B1297">
        <v>2811</v>
      </c>
      <c r="C1297">
        <v>1963</v>
      </c>
      <c r="D1297" s="1" t="s">
        <v>13</v>
      </c>
      <c r="E1297" s="1" t="s">
        <v>11</v>
      </c>
      <c r="F1297">
        <v>48918</v>
      </c>
      <c r="G1297">
        <v>1</v>
      </c>
      <c r="H1297" s="2">
        <v>1</v>
      </c>
      <c r="I1297" s="2">
        <v>41741</v>
      </c>
      <c r="J1297">
        <v>21</v>
      </c>
      <c r="K1297">
        <f>VLOOKUP(B1297,purchase_dataset!$B$2:$F$2241,2,FALSE)</f>
        <v>0</v>
      </c>
      <c r="L1297">
        <f>VLOOKUP(B1297,purchase_dataset!$B$2:$F$2241,3,FALSE)</f>
        <v>0</v>
      </c>
      <c r="M1297">
        <f>VLOOKUP(B1297,purchase_dataset!$B$2:$F$2241,3,FALSE)</f>
        <v>0</v>
      </c>
      <c r="N1297">
        <f>VLOOKUP(B1297,purchase_dataset!$B$2:$F$2241,5,FALSE)</f>
        <v>4</v>
      </c>
      <c r="O1297" s="5">
        <v>63</v>
      </c>
      <c r="P1297" s="4" t="str">
        <f t="shared" si="40"/>
        <v>&gt;50</v>
      </c>
      <c r="Q1297" s="4">
        <f>M1297+N1297</f>
        <v>4</v>
      </c>
      <c r="U1297" s="28" t="str" cm="1">
        <f t="array" ref="U1297">_xlfn.IFS(F1297&lt;30000,"30k",F1297&lt;=50000,"30k-50k",F1297&lt;=75000,"50k-75k",F1297&lt;=100000,"75k-100k",F1297&gt;100000,"100k")</f>
        <v>30k-50k</v>
      </c>
      <c r="W1297" s="1">
        <f t="shared" si="41"/>
        <v>12</v>
      </c>
    </row>
    <row r="1298" spans="1:23" x14ac:dyDescent="0.35">
      <c r="A1298">
        <v>1295</v>
      </c>
      <c r="B1298">
        <v>3551</v>
      </c>
      <c r="C1298">
        <v>1954</v>
      </c>
      <c r="D1298" s="1" t="s">
        <v>15</v>
      </c>
      <c r="E1298" s="1" t="s">
        <v>12</v>
      </c>
      <c r="F1298">
        <v>60033</v>
      </c>
      <c r="G1298">
        <v>0</v>
      </c>
      <c r="H1298" s="2">
        <v>1</v>
      </c>
      <c r="I1298" s="2">
        <v>41727</v>
      </c>
      <c r="J1298">
        <v>28</v>
      </c>
      <c r="K1298">
        <f>VLOOKUP(B1298,purchase_dataset!$B$2:$F$2241,2,FALSE)</f>
        <v>1</v>
      </c>
      <c r="L1298">
        <f>VLOOKUP(B1298,purchase_dataset!$B$2:$F$2241,3,FALSE)</f>
        <v>11</v>
      </c>
      <c r="M1298">
        <f>VLOOKUP(B1298,purchase_dataset!$B$2:$F$2241,3,FALSE)</f>
        <v>11</v>
      </c>
      <c r="N1298">
        <f>VLOOKUP(B1298,purchase_dataset!$B$2:$F$2241,5,FALSE)</f>
        <v>5</v>
      </c>
      <c r="O1298" s="5">
        <v>72</v>
      </c>
      <c r="P1298" s="4" t="str">
        <f t="shared" si="40"/>
        <v>&gt;50</v>
      </c>
      <c r="Q1298" s="4">
        <f>M1298+N1298</f>
        <v>16</v>
      </c>
      <c r="U1298" s="28" t="str" cm="1">
        <f t="array" ref="U1298">_xlfn.IFS(F1298&lt;30000,"30k",F1298&lt;=50000,"30k-50k",F1298&lt;=75000,"50k-75k",F1298&lt;=100000,"75k-100k",F1298&gt;100000,"100k")</f>
        <v>50k-75k</v>
      </c>
      <c r="W1298" s="1">
        <f t="shared" si="41"/>
        <v>12</v>
      </c>
    </row>
    <row r="1299" spans="1:23" x14ac:dyDescent="0.35">
      <c r="A1299">
        <v>1296</v>
      </c>
      <c r="B1299">
        <v>1663</v>
      </c>
      <c r="C1299">
        <v>1978</v>
      </c>
      <c r="D1299" s="1" t="s">
        <v>13</v>
      </c>
      <c r="E1299" s="1" t="s">
        <v>12</v>
      </c>
      <c r="F1299">
        <v>34043</v>
      </c>
      <c r="G1299">
        <v>1</v>
      </c>
      <c r="H1299" s="2">
        <v>0</v>
      </c>
      <c r="I1299" s="2">
        <v>41572</v>
      </c>
      <c r="J1299">
        <v>97</v>
      </c>
      <c r="K1299">
        <f>VLOOKUP(B1299,purchase_dataset!$B$2:$F$2241,2,FALSE)</f>
        <v>2</v>
      </c>
      <c r="L1299">
        <f>VLOOKUP(B1299,purchase_dataset!$B$2:$F$2241,3,FALSE)</f>
        <v>0</v>
      </c>
      <c r="M1299">
        <f>VLOOKUP(B1299,purchase_dataset!$B$2:$F$2241,3,FALSE)</f>
        <v>0</v>
      </c>
      <c r="N1299">
        <f>VLOOKUP(B1299,purchase_dataset!$B$2:$F$2241,5,FALSE)</f>
        <v>2</v>
      </c>
      <c r="O1299" s="5">
        <v>48</v>
      </c>
      <c r="P1299" s="4" t="str">
        <f t="shared" si="40"/>
        <v>30-50</v>
      </c>
      <c r="Q1299" s="4">
        <f>M1299+N1299</f>
        <v>2</v>
      </c>
      <c r="U1299" s="28" t="str" cm="1">
        <f t="array" ref="U1299">_xlfn.IFS(F1299&lt;30000,"30k",F1299&lt;=50000,"30k-50k",F1299&lt;=75000,"50k-75k",F1299&lt;=100000,"75k-100k",F1299&gt;100000,"100k")</f>
        <v>30k-50k</v>
      </c>
      <c r="W1299" s="1">
        <f t="shared" si="41"/>
        <v>13</v>
      </c>
    </row>
    <row r="1300" spans="1:23" x14ac:dyDescent="0.35">
      <c r="A1300">
        <v>1297</v>
      </c>
      <c r="B1300">
        <v>5543</v>
      </c>
      <c r="C1300">
        <v>1966</v>
      </c>
      <c r="D1300" s="1" t="s">
        <v>10</v>
      </c>
      <c r="E1300" s="1" t="s">
        <v>12</v>
      </c>
      <c r="F1300">
        <v>57811</v>
      </c>
      <c r="G1300">
        <v>0</v>
      </c>
      <c r="H1300" s="2">
        <v>1</v>
      </c>
      <c r="I1300" s="2">
        <v>41449</v>
      </c>
      <c r="J1300">
        <v>49</v>
      </c>
      <c r="K1300">
        <f>VLOOKUP(B1300,purchase_dataset!$B$2:$F$2241,2,FALSE)</f>
        <v>7</v>
      </c>
      <c r="L1300">
        <f>VLOOKUP(B1300,purchase_dataset!$B$2:$F$2241,3,FALSE)</f>
        <v>21</v>
      </c>
      <c r="M1300">
        <f>VLOOKUP(B1300,purchase_dataset!$B$2:$F$2241,3,FALSE)</f>
        <v>21</v>
      </c>
      <c r="N1300">
        <f>VLOOKUP(B1300,purchase_dataset!$B$2:$F$2241,5,FALSE)</f>
        <v>11</v>
      </c>
      <c r="O1300" s="5">
        <v>60</v>
      </c>
      <c r="P1300" s="4" t="str">
        <f t="shared" si="40"/>
        <v>&gt;50</v>
      </c>
      <c r="Q1300" s="4">
        <f>M1300+N1300</f>
        <v>32</v>
      </c>
      <c r="U1300" s="28" t="str" cm="1">
        <f t="array" ref="U1300">_xlfn.IFS(F1300&lt;30000,"30k",F1300&lt;=50000,"30k-50k",F1300&lt;=75000,"50k-75k",F1300&lt;=100000,"75k-100k",F1300&gt;100000,"100k")</f>
        <v>50k-75k</v>
      </c>
      <c r="W1300" s="1">
        <f t="shared" si="41"/>
        <v>13</v>
      </c>
    </row>
    <row r="1301" spans="1:23" x14ac:dyDescent="0.35">
      <c r="A1301">
        <v>1298</v>
      </c>
      <c r="B1301">
        <v>1577</v>
      </c>
      <c r="C1301">
        <v>1946</v>
      </c>
      <c r="D1301" s="1" t="s">
        <v>10</v>
      </c>
      <c r="E1301" s="1" t="s">
        <v>14</v>
      </c>
      <c r="F1301">
        <v>78569</v>
      </c>
      <c r="G1301">
        <v>0</v>
      </c>
      <c r="H1301" s="2">
        <v>0</v>
      </c>
      <c r="I1301" s="2">
        <v>41689</v>
      </c>
      <c r="J1301">
        <v>14</v>
      </c>
      <c r="K1301">
        <f>VLOOKUP(B1301,purchase_dataset!$B$2:$F$2241,2,FALSE)</f>
        <v>79</v>
      </c>
      <c r="L1301">
        <f>VLOOKUP(B1301,purchase_dataset!$B$2:$F$2241,3,FALSE)</f>
        <v>175</v>
      </c>
      <c r="M1301">
        <f>VLOOKUP(B1301,purchase_dataset!$B$2:$F$2241,3,FALSE)</f>
        <v>175</v>
      </c>
      <c r="N1301">
        <f>VLOOKUP(B1301,purchase_dataset!$B$2:$F$2241,5,FALSE)</f>
        <v>4</v>
      </c>
      <c r="O1301" s="5">
        <v>80</v>
      </c>
      <c r="P1301" s="4" t="str">
        <f t="shared" si="40"/>
        <v>&gt;50</v>
      </c>
      <c r="Q1301" s="4">
        <f>M1301+N1301</f>
        <v>179</v>
      </c>
      <c r="U1301" s="28" t="str" cm="1">
        <f t="array" ref="U1301">_xlfn.IFS(F1301&lt;30000,"30k",F1301&lt;=50000,"30k-50k",F1301&lt;=75000,"50k-75k",F1301&lt;=100000,"75k-100k",F1301&gt;100000,"100k")</f>
        <v>75k-100k</v>
      </c>
      <c r="W1301" s="1">
        <f t="shared" si="41"/>
        <v>12</v>
      </c>
    </row>
    <row r="1302" spans="1:23" x14ac:dyDescent="0.35">
      <c r="A1302">
        <v>1299</v>
      </c>
      <c r="B1302">
        <v>10641</v>
      </c>
      <c r="C1302">
        <v>1978</v>
      </c>
      <c r="D1302" s="1" t="s">
        <v>10</v>
      </c>
      <c r="E1302" s="1" t="s">
        <v>11</v>
      </c>
      <c r="F1302">
        <v>7500</v>
      </c>
      <c r="G1302">
        <v>1</v>
      </c>
      <c r="H1302" s="2">
        <v>1</v>
      </c>
      <c r="I1302" s="2">
        <v>41270</v>
      </c>
      <c r="J1302">
        <v>5</v>
      </c>
      <c r="K1302">
        <f>VLOOKUP(B1302,purchase_dataset!$B$2:$F$2241,2,FALSE)</f>
        <v>5</v>
      </c>
      <c r="L1302">
        <f>VLOOKUP(B1302,purchase_dataset!$B$2:$F$2241,3,FALSE)</f>
        <v>4</v>
      </c>
      <c r="M1302">
        <f>VLOOKUP(B1302,purchase_dataset!$B$2:$F$2241,3,FALSE)</f>
        <v>4</v>
      </c>
      <c r="N1302">
        <f>VLOOKUP(B1302,purchase_dataset!$B$2:$F$2241,5,FALSE)</f>
        <v>3</v>
      </c>
      <c r="O1302" s="5">
        <v>48</v>
      </c>
      <c r="P1302" s="4" t="str">
        <f t="shared" si="40"/>
        <v>30-50</v>
      </c>
      <c r="Q1302" s="4">
        <f>M1302+N1302</f>
        <v>7</v>
      </c>
      <c r="U1302" s="28" t="str" cm="1">
        <f t="array" ref="U1302">_xlfn.IFS(F1302&lt;30000,"30k",F1302&lt;=50000,"30k-50k",F1302&lt;=75000,"50k-75k",F1302&lt;=100000,"75k-100k",F1302&gt;100000,"100k")</f>
        <v>30k</v>
      </c>
      <c r="W1302" s="1">
        <f t="shared" si="41"/>
        <v>14</v>
      </c>
    </row>
    <row r="1303" spans="1:23" x14ac:dyDescent="0.35">
      <c r="A1303">
        <v>1300</v>
      </c>
      <c r="B1303">
        <v>5336</v>
      </c>
      <c r="C1303">
        <v>1971</v>
      </c>
      <c r="D1303" s="1" t="s">
        <v>15</v>
      </c>
      <c r="E1303" s="1" t="s">
        <v>12</v>
      </c>
      <c r="F1303">
        <v>157733</v>
      </c>
      <c r="G1303">
        <v>1</v>
      </c>
      <c r="H1303" s="2">
        <v>0</v>
      </c>
      <c r="I1303" s="2">
        <v>41429</v>
      </c>
      <c r="J1303">
        <v>37</v>
      </c>
      <c r="K1303">
        <f>VLOOKUP(B1303,purchase_dataset!$B$2:$F$2241,2,FALSE)</f>
        <v>1</v>
      </c>
      <c r="L1303">
        <f>VLOOKUP(B1303,purchase_dataset!$B$2:$F$2241,3,FALSE)</f>
        <v>0</v>
      </c>
      <c r="M1303">
        <f>VLOOKUP(B1303,purchase_dataset!$B$2:$F$2241,3,FALSE)</f>
        <v>0</v>
      </c>
      <c r="N1303">
        <f>VLOOKUP(B1303,purchase_dataset!$B$2:$F$2241,5,FALSE)</f>
        <v>1</v>
      </c>
      <c r="O1303" s="5">
        <v>55</v>
      </c>
      <c r="P1303" s="4" t="str">
        <f t="shared" si="40"/>
        <v>&gt;50</v>
      </c>
      <c r="Q1303" s="4">
        <f>M1303+N1303</f>
        <v>1</v>
      </c>
      <c r="U1303" s="28" t="str" cm="1">
        <f t="array" ref="U1303">_xlfn.IFS(F1303&lt;30000,"30k",F1303&lt;=50000,"30k-50k",F1303&lt;=75000,"50k-75k",F1303&lt;=100000,"75k-100k",F1303&gt;100000,"100k")</f>
        <v>100k</v>
      </c>
      <c r="W1303" s="1">
        <f t="shared" si="41"/>
        <v>13</v>
      </c>
    </row>
    <row r="1304" spans="1:23" x14ac:dyDescent="0.35">
      <c r="A1304">
        <v>1301</v>
      </c>
      <c r="B1304">
        <v>6024</v>
      </c>
      <c r="C1304">
        <v>1953</v>
      </c>
      <c r="D1304" s="1" t="s">
        <v>10</v>
      </c>
      <c r="E1304" s="1" t="s">
        <v>12</v>
      </c>
      <c r="F1304">
        <v>94384</v>
      </c>
      <c r="G1304">
        <v>0</v>
      </c>
      <c r="H1304" s="2">
        <v>0</v>
      </c>
      <c r="I1304" s="2">
        <v>41337</v>
      </c>
      <c r="J1304">
        <v>62</v>
      </c>
      <c r="K1304">
        <f>VLOOKUP(B1304,purchase_dataset!$B$2:$F$2241,2,FALSE)</f>
        <v>24</v>
      </c>
      <c r="L1304">
        <f>VLOOKUP(B1304,purchase_dataset!$B$2:$F$2241,3,FALSE)</f>
        <v>45</v>
      </c>
      <c r="M1304">
        <f>VLOOKUP(B1304,purchase_dataset!$B$2:$F$2241,3,FALSE)</f>
        <v>45</v>
      </c>
      <c r="N1304">
        <f>VLOOKUP(B1304,purchase_dataset!$B$2:$F$2241,5,FALSE)</f>
        <v>5</v>
      </c>
      <c r="O1304" s="5">
        <v>73</v>
      </c>
      <c r="P1304" s="4" t="str">
        <f t="shared" si="40"/>
        <v>&gt;50</v>
      </c>
      <c r="Q1304" s="4">
        <f>M1304+N1304</f>
        <v>50</v>
      </c>
      <c r="U1304" s="28" t="str" cm="1">
        <f t="array" ref="U1304">_xlfn.IFS(F1304&lt;30000,"30k",F1304&lt;=50000,"30k-50k",F1304&lt;=75000,"50k-75k",F1304&lt;=100000,"75k-100k",F1304&gt;100000,"100k")</f>
        <v>75k-100k</v>
      </c>
      <c r="W1304" s="1">
        <f t="shared" si="41"/>
        <v>13</v>
      </c>
    </row>
    <row r="1305" spans="1:23" x14ac:dyDescent="0.35">
      <c r="A1305">
        <v>1302</v>
      </c>
      <c r="B1305">
        <v>1878</v>
      </c>
      <c r="C1305">
        <v>1985</v>
      </c>
      <c r="D1305" s="1" t="s">
        <v>18</v>
      </c>
      <c r="E1305" s="1" t="s">
        <v>14</v>
      </c>
      <c r="F1305">
        <v>23148</v>
      </c>
      <c r="G1305">
        <v>0</v>
      </c>
      <c r="H1305" s="2">
        <v>0</v>
      </c>
      <c r="I1305" s="2">
        <v>41688</v>
      </c>
      <c r="J1305">
        <v>83</v>
      </c>
      <c r="K1305">
        <f>VLOOKUP(B1305,purchase_dataset!$B$2:$F$2241,2,FALSE)</f>
        <v>6</v>
      </c>
      <c r="L1305">
        <f>VLOOKUP(B1305,purchase_dataset!$B$2:$F$2241,3,FALSE)</f>
        <v>3</v>
      </c>
      <c r="M1305">
        <f>VLOOKUP(B1305,purchase_dataset!$B$2:$F$2241,3,FALSE)</f>
        <v>3</v>
      </c>
      <c r="N1305">
        <f>VLOOKUP(B1305,purchase_dataset!$B$2:$F$2241,5,FALSE)</f>
        <v>3</v>
      </c>
      <c r="O1305" s="5">
        <v>41</v>
      </c>
      <c r="P1305" s="4" t="str">
        <f t="shared" si="40"/>
        <v>30-50</v>
      </c>
      <c r="Q1305" s="4">
        <f>M1305+N1305</f>
        <v>6</v>
      </c>
      <c r="U1305" s="28" t="str" cm="1">
        <f t="array" ref="U1305">_xlfn.IFS(F1305&lt;30000,"30k",F1305&lt;=50000,"30k-50k",F1305&lt;=75000,"50k-75k",F1305&lt;=100000,"75k-100k",F1305&gt;100000,"100k")</f>
        <v>30k</v>
      </c>
      <c r="W1305" s="1">
        <f t="shared" si="41"/>
        <v>12</v>
      </c>
    </row>
    <row r="1306" spans="1:23" x14ac:dyDescent="0.35">
      <c r="A1306">
        <v>1303</v>
      </c>
      <c r="B1306">
        <v>3099</v>
      </c>
      <c r="C1306">
        <v>1970</v>
      </c>
      <c r="D1306" s="1" t="s">
        <v>10</v>
      </c>
      <c r="E1306" s="1" t="s">
        <v>16</v>
      </c>
      <c r="F1306">
        <v>44267</v>
      </c>
      <c r="G1306">
        <v>1</v>
      </c>
      <c r="H1306" s="2">
        <v>1</v>
      </c>
      <c r="I1306" s="2">
        <v>41330</v>
      </c>
      <c r="J1306">
        <v>48</v>
      </c>
      <c r="K1306">
        <f>VLOOKUP(B1306,purchase_dataset!$B$2:$F$2241,2,FALSE)</f>
        <v>5</v>
      </c>
      <c r="L1306">
        <f>VLOOKUP(B1306,purchase_dataset!$B$2:$F$2241,3,FALSE)</f>
        <v>5</v>
      </c>
      <c r="M1306">
        <f>VLOOKUP(B1306,purchase_dataset!$B$2:$F$2241,3,FALSE)</f>
        <v>5</v>
      </c>
      <c r="N1306">
        <f>VLOOKUP(B1306,purchase_dataset!$B$2:$F$2241,5,FALSE)</f>
        <v>4</v>
      </c>
      <c r="O1306" s="5">
        <v>56</v>
      </c>
      <c r="P1306" s="4" t="str">
        <f t="shared" si="40"/>
        <v>&gt;50</v>
      </c>
      <c r="Q1306" s="4">
        <f>M1306+N1306</f>
        <v>9</v>
      </c>
      <c r="U1306" s="28" t="str" cm="1">
        <f t="array" ref="U1306">_xlfn.IFS(F1306&lt;30000,"30k",F1306&lt;=50000,"30k-50k",F1306&lt;=75000,"50k-75k",F1306&lt;=100000,"75k-100k",F1306&gt;100000,"100k")</f>
        <v>30k-50k</v>
      </c>
      <c r="W1306" s="1">
        <f t="shared" si="41"/>
        <v>13</v>
      </c>
    </row>
    <row r="1307" spans="1:23" x14ac:dyDescent="0.35">
      <c r="A1307">
        <v>1304</v>
      </c>
      <c r="B1307">
        <v>6055</v>
      </c>
      <c r="C1307">
        <v>1979</v>
      </c>
      <c r="D1307" s="1" t="s">
        <v>10</v>
      </c>
      <c r="E1307" s="1" t="s">
        <v>14</v>
      </c>
      <c r="F1307">
        <v>71626</v>
      </c>
      <c r="G1307">
        <v>0</v>
      </c>
      <c r="H1307" s="2">
        <v>0</v>
      </c>
      <c r="I1307" s="2">
        <v>41214</v>
      </c>
      <c r="J1307">
        <v>94</v>
      </c>
      <c r="K1307">
        <f>VLOOKUP(B1307,purchase_dataset!$B$2:$F$2241,2,FALSE)</f>
        <v>72</v>
      </c>
      <c r="L1307">
        <f>VLOOKUP(B1307,purchase_dataset!$B$2:$F$2241,3,FALSE)</f>
        <v>145</v>
      </c>
      <c r="M1307">
        <f>VLOOKUP(B1307,purchase_dataset!$B$2:$F$2241,3,FALSE)</f>
        <v>145</v>
      </c>
      <c r="N1307">
        <f>VLOOKUP(B1307,purchase_dataset!$B$2:$F$2241,5,FALSE)</f>
        <v>8</v>
      </c>
      <c r="O1307" s="5">
        <v>47</v>
      </c>
      <c r="P1307" s="4" t="str">
        <f t="shared" si="40"/>
        <v>30-50</v>
      </c>
      <c r="Q1307" s="4">
        <f>M1307+N1307</f>
        <v>153</v>
      </c>
      <c r="U1307" s="28" t="str" cm="1">
        <f t="array" ref="U1307">_xlfn.IFS(F1307&lt;30000,"30k",F1307&lt;=50000,"30k-50k",F1307&lt;=75000,"50k-75k",F1307&lt;=100000,"75k-100k",F1307&gt;100000,"100k")</f>
        <v>50k-75k</v>
      </c>
      <c r="W1307" s="1">
        <f t="shared" si="41"/>
        <v>14</v>
      </c>
    </row>
    <row r="1308" spans="1:23" x14ac:dyDescent="0.35">
      <c r="A1308">
        <v>1305</v>
      </c>
      <c r="B1308">
        <v>5841</v>
      </c>
      <c r="C1308">
        <v>1966</v>
      </c>
      <c r="D1308" s="1" t="s">
        <v>10</v>
      </c>
      <c r="E1308" s="1" t="s">
        <v>12</v>
      </c>
      <c r="F1308">
        <v>60894</v>
      </c>
      <c r="G1308">
        <v>0</v>
      </c>
      <c r="H1308" s="2">
        <v>1</v>
      </c>
      <c r="I1308" s="2">
        <v>41453</v>
      </c>
      <c r="J1308">
        <v>61</v>
      </c>
      <c r="K1308">
        <f>VLOOKUP(B1308,purchase_dataset!$B$2:$F$2241,2,FALSE)</f>
        <v>7</v>
      </c>
      <c r="L1308">
        <f>VLOOKUP(B1308,purchase_dataset!$B$2:$F$2241,3,FALSE)</f>
        <v>0</v>
      </c>
      <c r="M1308">
        <f>VLOOKUP(B1308,purchase_dataset!$B$2:$F$2241,3,FALSE)</f>
        <v>0</v>
      </c>
      <c r="N1308">
        <f>VLOOKUP(B1308,purchase_dataset!$B$2:$F$2241,5,FALSE)</f>
        <v>8</v>
      </c>
      <c r="O1308" s="5">
        <v>60</v>
      </c>
      <c r="P1308" s="4" t="str">
        <f t="shared" si="40"/>
        <v>&gt;50</v>
      </c>
      <c r="Q1308" s="4">
        <f>M1308+N1308</f>
        <v>8</v>
      </c>
      <c r="U1308" s="28" t="str" cm="1">
        <f t="array" ref="U1308">_xlfn.IFS(F1308&lt;30000,"30k",F1308&lt;=50000,"30k-50k",F1308&lt;=75000,"50k-75k",F1308&lt;=100000,"75k-100k",F1308&gt;100000,"100k")</f>
        <v>50k-75k</v>
      </c>
      <c r="W1308" s="1">
        <f t="shared" si="41"/>
        <v>13</v>
      </c>
    </row>
    <row r="1309" spans="1:23" x14ac:dyDescent="0.35">
      <c r="A1309">
        <v>1306</v>
      </c>
      <c r="B1309">
        <v>3972</v>
      </c>
      <c r="C1309">
        <v>1976</v>
      </c>
      <c r="D1309" s="1" t="s">
        <v>10</v>
      </c>
      <c r="E1309" s="1" t="s">
        <v>12</v>
      </c>
      <c r="F1309">
        <v>50200</v>
      </c>
      <c r="G1309">
        <v>1</v>
      </c>
      <c r="H1309" s="2">
        <v>1</v>
      </c>
      <c r="I1309" s="2">
        <v>41367</v>
      </c>
      <c r="J1309">
        <v>70</v>
      </c>
      <c r="K1309">
        <f>VLOOKUP(B1309,purchase_dataset!$B$2:$F$2241,2,FALSE)</f>
        <v>6</v>
      </c>
      <c r="L1309">
        <f>VLOOKUP(B1309,purchase_dataset!$B$2:$F$2241,3,FALSE)</f>
        <v>6</v>
      </c>
      <c r="M1309">
        <f>VLOOKUP(B1309,purchase_dataset!$B$2:$F$2241,3,FALSE)</f>
        <v>6</v>
      </c>
      <c r="N1309">
        <f>VLOOKUP(B1309,purchase_dataset!$B$2:$F$2241,5,FALSE)</f>
        <v>5</v>
      </c>
      <c r="O1309" s="5">
        <v>50</v>
      </c>
      <c r="P1309" s="4" t="str">
        <f t="shared" si="40"/>
        <v>30-50</v>
      </c>
      <c r="Q1309" s="4">
        <f>M1309+N1309</f>
        <v>11</v>
      </c>
      <c r="U1309" s="28" t="str" cm="1">
        <f t="array" ref="U1309">_xlfn.IFS(F1309&lt;30000,"30k",F1309&lt;=50000,"30k-50k",F1309&lt;=75000,"50k-75k",F1309&lt;=100000,"75k-100k",F1309&gt;100000,"100k")</f>
        <v>50k-75k</v>
      </c>
      <c r="W1309" s="1">
        <f t="shared" si="41"/>
        <v>13</v>
      </c>
    </row>
    <row r="1310" spans="1:23" x14ac:dyDescent="0.35">
      <c r="A1310">
        <v>1307</v>
      </c>
      <c r="B1310">
        <v>4394</v>
      </c>
      <c r="C1310">
        <v>1965</v>
      </c>
      <c r="D1310" s="1" t="s">
        <v>13</v>
      </c>
      <c r="E1310" s="1" t="s">
        <v>14</v>
      </c>
      <c r="F1310">
        <v>81051</v>
      </c>
      <c r="G1310">
        <v>0</v>
      </c>
      <c r="H1310" s="2">
        <v>0</v>
      </c>
      <c r="I1310" s="2">
        <v>41782</v>
      </c>
      <c r="J1310">
        <v>43</v>
      </c>
      <c r="K1310">
        <f>VLOOKUP(B1310,purchase_dataset!$B$2:$F$2241,2,FALSE)</f>
        <v>29</v>
      </c>
      <c r="L1310">
        <f>VLOOKUP(B1310,purchase_dataset!$B$2:$F$2241,3,FALSE)</f>
        <v>29</v>
      </c>
      <c r="M1310">
        <f>VLOOKUP(B1310,purchase_dataset!$B$2:$F$2241,3,FALSE)</f>
        <v>29</v>
      </c>
      <c r="N1310">
        <f>VLOOKUP(B1310,purchase_dataset!$B$2:$F$2241,5,FALSE)</f>
        <v>12</v>
      </c>
      <c r="O1310" s="5">
        <v>61</v>
      </c>
      <c r="P1310" s="4" t="str">
        <f t="shared" si="40"/>
        <v>&gt;50</v>
      </c>
      <c r="Q1310" s="4">
        <f>M1310+N1310</f>
        <v>41</v>
      </c>
      <c r="U1310" s="28" t="str" cm="1">
        <f t="array" ref="U1310">_xlfn.IFS(F1310&lt;30000,"30k",F1310&lt;=50000,"30k-50k",F1310&lt;=75000,"50k-75k",F1310&lt;=100000,"75k-100k",F1310&gt;100000,"100k")</f>
        <v>75k-100k</v>
      </c>
      <c r="W1310" s="1">
        <f t="shared" si="41"/>
        <v>12</v>
      </c>
    </row>
    <row r="1311" spans="1:23" x14ac:dyDescent="0.35">
      <c r="A1311">
        <v>1308</v>
      </c>
      <c r="B1311">
        <v>5758</v>
      </c>
      <c r="C1311">
        <v>1982</v>
      </c>
      <c r="D1311" s="1" t="s">
        <v>10</v>
      </c>
      <c r="E1311" s="1" t="s">
        <v>14</v>
      </c>
      <c r="F1311">
        <v>65169</v>
      </c>
      <c r="G1311">
        <v>0</v>
      </c>
      <c r="H1311" s="2">
        <v>0</v>
      </c>
      <c r="I1311" s="2">
        <v>41653</v>
      </c>
      <c r="J1311">
        <v>23</v>
      </c>
      <c r="K1311">
        <f>VLOOKUP(B1311,purchase_dataset!$B$2:$F$2241,2,FALSE)</f>
        <v>0</v>
      </c>
      <c r="L1311">
        <f>VLOOKUP(B1311,purchase_dataset!$B$2:$F$2241,3,FALSE)</f>
        <v>0</v>
      </c>
      <c r="M1311">
        <f>VLOOKUP(B1311,purchase_dataset!$B$2:$F$2241,3,FALSE)</f>
        <v>0</v>
      </c>
      <c r="N1311">
        <f>VLOOKUP(B1311,purchase_dataset!$B$2:$F$2241,5,FALSE)</f>
        <v>13</v>
      </c>
      <c r="O1311" s="5">
        <v>44</v>
      </c>
      <c r="P1311" s="4" t="str">
        <f t="shared" si="40"/>
        <v>30-50</v>
      </c>
      <c r="Q1311" s="4">
        <f>M1311+N1311</f>
        <v>13</v>
      </c>
      <c r="U1311" s="28" t="str" cm="1">
        <f t="array" ref="U1311">_xlfn.IFS(F1311&lt;30000,"30k",F1311&lt;=50000,"30k-50k",F1311&lt;=75000,"50k-75k",F1311&lt;=100000,"75k-100k",F1311&gt;100000,"100k")</f>
        <v>50k-75k</v>
      </c>
      <c r="W1311" s="1">
        <f t="shared" si="41"/>
        <v>12</v>
      </c>
    </row>
    <row r="1312" spans="1:23" x14ac:dyDescent="0.35">
      <c r="A1312">
        <v>1309</v>
      </c>
      <c r="B1312">
        <v>6658</v>
      </c>
      <c r="C1312">
        <v>1972</v>
      </c>
      <c r="D1312" s="1" t="s">
        <v>10</v>
      </c>
      <c r="E1312" s="1" t="s">
        <v>12</v>
      </c>
      <c r="F1312">
        <v>59868</v>
      </c>
      <c r="G1312">
        <v>0</v>
      </c>
      <c r="H1312" s="2">
        <v>1</v>
      </c>
      <c r="I1312" s="2">
        <v>41477</v>
      </c>
      <c r="J1312">
        <v>37</v>
      </c>
      <c r="K1312">
        <f>VLOOKUP(B1312,purchase_dataset!$B$2:$F$2241,2,FALSE)</f>
        <v>51</v>
      </c>
      <c r="L1312">
        <f>VLOOKUP(B1312,purchase_dataset!$B$2:$F$2241,3,FALSE)</f>
        <v>10</v>
      </c>
      <c r="M1312">
        <f>VLOOKUP(B1312,purchase_dataset!$B$2:$F$2241,3,FALSE)</f>
        <v>10</v>
      </c>
      <c r="N1312">
        <f>VLOOKUP(B1312,purchase_dataset!$B$2:$F$2241,5,FALSE)</f>
        <v>12</v>
      </c>
      <c r="O1312" s="5">
        <v>54</v>
      </c>
      <c r="P1312" s="4" t="str">
        <f t="shared" si="40"/>
        <v>&gt;50</v>
      </c>
      <c r="Q1312" s="4">
        <f>M1312+N1312</f>
        <v>22</v>
      </c>
      <c r="U1312" s="28" t="str" cm="1">
        <f t="array" ref="U1312">_xlfn.IFS(F1312&lt;30000,"30k",F1312&lt;=50000,"30k-50k",F1312&lt;=75000,"50k-75k",F1312&lt;=100000,"75k-100k",F1312&gt;100000,"100k")</f>
        <v>50k-75k</v>
      </c>
      <c r="W1312" s="1">
        <f t="shared" si="41"/>
        <v>13</v>
      </c>
    </row>
    <row r="1313" spans="1:23" x14ac:dyDescent="0.35">
      <c r="A1313">
        <v>1310</v>
      </c>
      <c r="B1313">
        <v>4603</v>
      </c>
      <c r="C1313">
        <v>1960</v>
      </c>
      <c r="D1313" s="1" t="s">
        <v>13</v>
      </c>
      <c r="E1313" s="1" t="s">
        <v>14</v>
      </c>
      <c r="F1313">
        <v>65695</v>
      </c>
      <c r="G1313">
        <v>0</v>
      </c>
      <c r="H1313" s="2">
        <v>1</v>
      </c>
      <c r="I1313" s="2">
        <v>41670</v>
      </c>
      <c r="J1313">
        <v>50</v>
      </c>
      <c r="K1313">
        <f>VLOOKUP(B1313,purchase_dataset!$B$2:$F$2241,2,FALSE)</f>
        <v>32</v>
      </c>
      <c r="L1313">
        <f>VLOOKUP(B1313,purchase_dataset!$B$2:$F$2241,3,FALSE)</f>
        <v>58</v>
      </c>
      <c r="M1313">
        <f>VLOOKUP(B1313,purchase_dataset!$B$2:$F$2241,3,FALSE)</f>
        <v>58</v>
      </c>
      <c r="N1313">
        <f>VLOOKUP(B1313,purchase_dataset!$B$2:$F$2241,5,FALSE)</f>
        <v>10</v>
      </c>
      <c r="O1313" s="5">
        <v>66</v>
      </c>
      <c r="P1313" s="4" t="str">
        <f t="shared" si="40"/>
        <v>&gt;50</v>
      </c>
      <c r="Q1313" s="4">
        <f>M1313+N1313</f>
        <v>68</v>
      </c>
      <c r="U1313" s="28" t="str" cm="1">
        <f t="array" ref="U1313">_xlfn.IFS(F1313&lt;30000,"30k",F1313&lt;=50000,"30k-50k",F1313&lt;=75000,"50k-75k",F1313&lt;=100000,"75k-100k",F1313&gt;100000,"100k")</f>
        <v>50k-75k</v>
      </c>
      <c r="W1313" s="1">
        <f t="shared" si="41"/>
        <v>12</v>
      </c>
    </row>
    <row r="1314" spans="1:23" x14ac:dyDescent="0.35">
      <c r="A1314">
        <v>1311</v>
      </c>
      <c r="B1314">
        <v>8427</v>
      </c>
      <c r="C1314">
        <v>1956</v>
      </c>
      <c r="D1314" s="1" t="s">
        <v>15</v>
      </c>
      <c r="E1314" s="1" t="s">
        <v>11</v>
      </c>
      <c r="F1314">
        <v>64857</v>
      </c>
      <c r="G1314">
        <v>0</v>
      </c>
      <c r="H1314" s="2">
        <v>0</v>
      </c>
      <c r="I1314" s="2">
        <v>41236</v>
      </c>
      <c r="J1314">
        <v>78</v>
      </c>
      <c r="K1314">
        <f>VLOOKUP(B1314,purchase_dataset!$B$2:$F$2241,2,FALSE)</f>
        <v>14</v>
      </c>
      <c r="L1314">
        <f>VLOOKUP(B1314,purchase_dataset!$B$2:$F$2241,3,FALSE)</f>
        <v>0</v>
      </c>
      <c r="M1314">
        <f>VLOOKUP(B1314,purchase_dataset!$B$2:$F$2241,3,FALSE)</f>
        <v>0</v>
      </c>
      <c r="N1314">
        <f>VLOOKUP(B1314,purchase_dataset!$B$2:$F$2241,5,FALSE)</f>
        <v>10</v>
      </c>
      <c r="O1314" s="5">
        <v>70</v>
      </c>
      <c r="P1314" s="4" t="str">
        <f t="shared" si="40"/>
        <v>&gt;50</v>
      </c>
      <c r="Q1314" s="4">
        <f>M1314+N1314</f>
        <v>10</v>
      </c>
      <c r="U1314" s="28" t="str" cm="1">
        <f t="array" ref="U1314">_xlfn.IFS(F1314&lt;30000,"30k",F1314&lt;=50000,"30k-50k",F1314&lt;=75000,"50k-75k",F1314&lt;=100000,"75k-100k",F1314&gt;100000,"100k")</f>
        <v>50k-75k</v>
      </c>
      <c r="W1314" s="1">
        <f t="shared" si="41"/>
        <v>14</v>
      </c>
    </row>
    <row r="1315" spans="1:23" x14ac:dyDescent="0.35">
      <c r="A1315">
        <v>1312</v>
      </c>
      <c r="B1315">
        <v>10260</v>
      </c>
      <c r="C1315">
        <v>1965</v>
      </c>
      <c r="D1315" s="1" t="s">
        <v>15</v>
      </c>
      <c r="E1315" s="1" t="s">
        <v>12</v>
      </c>
      <c r="F1315">
        <v>45143</v>
      </c>
      <c r="G1315">
        <v>0</v>
      </c>
      <c r="H1315" s="2">
        <v>1</v>
      </c>
      <c r="I1315" s="2">
        <v>41512</v>
      </c>
      <c r="J1315">
        <v>74</v>
      </c>
      <c r="K1315">
        <f>VLOOKUP(B1315,purchase_dataset!$B$2:$F$2241,2,FALSE)</f>
        <v>5</v>
      </c>
      <c r="L1315">
        <f>VLOOKUP(B1315,purchase_dataset!$B$2:$F$2241,3,FALSE)</f>
        <v>5</v>
      </c>
      <c r="M1315">
        <f>VLOOKUP(B1315,purchase_dataset!$B$2:$F$2241,3,FALSE)</f>
        <v>5</v>
      </c>
      <c r="N1315">
        <f>VLOOKUP(B1315,purchase_dataset!$B$2:$F$2241,5,FALSE)</f>
        <v>5</v>
      </c>
      <c r="O1315" s="5">
        <v>61</v>
      </c>
      <c r="P1315" s="4" t="str">
        <f t="shared" si="40"/>
        <v>&gt;50</v>
      </c>
      <c r="Q1315" s="4">
        <f>M1315+N1315</f>
        <v>10</v>
      </c>
      <c r="U1315" s="28" t="str" cm="1">
        <f t="array" ref="U1315">_xlfn.IFS(F1315&lt;30000,"30k",F1315&lt;=50000,"30k-50k",F1315&lt;=75000,"50k-75k",F1315&lt;=100000,"75k-100k",F1315&gt;100000,"100k")</f>
        <v>30k-50k</v>
      </c>
      <c r="W1315" s="1">
        <f t="shared" si="41"/>
        <v>13</v>
      </c>
    </row>
    <row r="1316" spans="1:23" x14ac:dyDescent="0.35">
      <c r="A1316">
        <v>1313</v>
      </c>
      <c r="B1316">
        <v>7143</v>
      </c>
      <c r="C1316">
        <v>1955</v>
      </c>
      <c r="D1316" s="1" t="s">
        <v>18</v>
      </c>
      <c r="E1316" s="1" t="s">
        <v>12</v>
      </c>
      <c r="F1316">
        <v>74805</v>
      </c>
      <c r="G1316">
        <v>0</v>
      </c>
      <c r="H1316" s="2">
        <v>1</v>
      </c>
      <c r="I1316" s="2">
        <v>41584</v>
      </c>
      <c r="J1316">
        <v>14</v>
      </c>
      <c r="K1316">
        <f>VLOOKUP(B1316,purchase_dataset!$B$2:$F$2241,2,FALSE)</f>
        <v>162</v>
      </c>
      <c r="L1316">
        <f>VLOOKUP(B1316,purchase_dataset!$B$2:$F$2241,3,FALSE)</f>
        <v>162</v>
      </c>
      <c r="M1316">
        <f>VLOOKUP(B1316,purchase_dataset!$B$2:$F$2241,3,FALSE)</f>
        <v>162</v>
      </c>
      <c r="N1316">
        <f>VLOOKUP(B1316,purchase_dataset!$B$2:$F$2241,5,FALSE)</f>
        <v>10</v>
      </c>
      <c r="O1316" s="5">
        <v>71</v>
      </c>
      <c r="P1316" s="4" t="str">
        <f t="shared" si="40"/>
        <v>&gt;50</v>
      </c>
      <c r="Q1316" s="4">
        <f>M1316+N1316</f>
        <v>172</v>
      </c>
      <c r="U1316" s="28" t="str" cm="1">
        <f t="array" ref="U1316">_xlfn.IFS(F1316&lt;30000,"30k",F1316&lt;=50000,"30k-50k",F1316&lt;=75000,"50k-75k",F1316&lt;=100000,"75k-100k",F1316&gt;100000,"100k")</f>
        <v>50k-75k</v>
      </c>
      <c r="W1316" s="1">
        <f t="shared" si="41"/>
        <v>13</v>
      </c>
    </row>
    <row r="1317" spans="1:23" x14ac:dyDescent="0.35">
      <c r="A1317">
        <v>1314</v>
      </c>
      <c r="B1317">
        <v>8789</v>
      </c>
      <c r="C1317">
        <v>1989</v>
      </c>
      <c r="D1317" s="1" t="s">
        <v>18</v>
      </c>
      <c r="E1317" s="1" t="s">
        <v>14</v>
      </c>
      <c r="F1317">
        <v>59060</v>
      </c>
      <c r="G1317">
        <v>1</v>
      </c>
      <c r="H1317" s="2">
        <v>0</v>
      </c>
      <c r="I1317" s="2">
        <v>41650</v>
      </c>
      <c r="J1317">
        <v>77</v>
      </c>
      <c r="K1317">
        <f>VLOOKUP(B1317,purchase_dataset!$B$2:$F$2241,2,FALSE)</f>
        <v>40</v>
      </c>
      <c r="L1317">
        <f>VLOOKUP(B1317,purchase_dataset!$B$2:$F$2241,3,FALSE)</f>
        <v>40</v>
      </c>
      <c r="M1317">
        <f>VLOOKUP(B1317,purchase_dataset!$B$2:$F$2241,3,FALSE)</f>
        <v>40</v>
      </c>
      <c r="N1317">
        <f>VLOOKUP(B1317,purchase_dataset!$B$2:$F$2241,5,FALSE)</f>
        <v>7</v>
      </c>
      <c r="O1317" s="5">
        <v>37</v>
      </c>
      <c r="P1317" s="4" t="str">
        <f t="shared" si="40"/>
        <v>30-50</v>
      </c>
      <c r="Q1317" s="4">
        <f>M1317+N1317</f>
        <v>47</v>
      </c>
      <c r="U1317" s="28" t="str" cm="1">
        <f t="array" ref="U1317">_xlfn.IFS(F1317&lt;30000,"30k",F1317&lt;=50000,"30k-50k",F1317&lt;=75000,"50k-75k",F1317&lt;=100000,"75k-100k",F1317&gt;100000,"100k")</f>
        <v>50k-75k</v>
      </c>
      <c r="W1317" s="1">
        <f t="shared" si="41"/>
        <v>12</v>
      </c>
    </row>
    <row r="1318" spans="1:23" x14ac:dyDescent="0.35">
      <c r="A1318">
        <v>1315</v>
      </c>
      <c r="B1318">
        <v>6197</v>
      </c>
      <c r="C1318">
        <v>1962</v>
      </c>
      <c r="D1318" s="1" t="s">
        <v>13</v>
      </c>
      <c r="E1318" s="1" t="s">
        <v>11</v>
      </c>
      <c r="F1318">
        <v>27238</v>
      </c>
      <c r="G1318">
        <v>1</v>
      </c>
      <c r="H1318" s="2">
        <v>1</v>
      </c>
      <c r="I1318" s="2">
        <v>41384</v>
      </c>
      <c r="J1318">
        <v>39</v>
      </c>
      <c r="K1318">
        <f>VLOOKUP(B1318,purchase_dataset!$B$2:$F$2241,2,FALSE)</f>
        <v>0</v>
      </c>
      <c r="L1318">
        <f>VLOOKUP(B1318,purchase_dataset!$B$2:$F$2241,3,FALSE)</f>
        <v>0</v>
      </c>
      <c r="M1318">
        <f>VLOOKUP(B1318,purchase_dataset!$B$2:$F$2241,3,FALSE)</f>
        <v>0</v>
      </c>
      <c r="N1318">
        <f>VLOOKUP(B1318,purchase_dataset!$B$2:$F$2241,5,FALSE)</f>
        <v>3</v>
      </c>
      <c r="O1318" s="5">
        <v>64</v>
      </c>
      <c r="P1318" s="4" t="str">
        <f t="shared" si="40"/>
        <v>&gt;50</v>
      </c>
      <c r="Q1318" s="4">
        <f>M1318+N1318</f>
        <v>3</v>
      </c>
      <c r="U1318" s="28" t="str" cm="1">
        <f t="array" ref="U1318">_xlfn.IFS(F1318&lt;30000,"30k",F1318&lt;=50000,"30k-50k",F1318&lt;=75000,"50k-75k",F1318&lt;=100000,"75k-100k",F1318&gt;100000,"100k")</f>
        <v>30k</v>
      </c>
      <c r="W1318" s="1">
        <f t="shared" si="41"/>
        <v>13</v>
      </c>
    </row>
    <row r="1319" spans="1:23" x14ac:dyDescent="0.35">
      <c r="A1319">
        <v>1316</v>
      </c>
      <c r="B1319">
        <v>4554</v>
      </c>
      <c r="C1319">
        <v>1965</v>
      </c>
      <c r="D1319" s="1" t="s">
        <v>10</v>
      </c>
      <c r="E1319" s="1" t="s">
        <v>12</v>
      </c>
      <c r="F1319">
        <v>47009</v>
      </c>
      <c r="G1319">
        <v>0</v>
      </c>
      <c r="H1319" s="2">
        <v>1</v>
      </c>
      <c r="I1319" s="2">
        <v>41548</v>
      </c>
      <c r="J1319">
        <v>89</v>
      </c>
      <c r="K1319">
        <f>VLOOKUP(B1319,purchase_dataset!$B$2:$F$2241,2,FALSE)</f>
        <v>45</v>
      </c>
      <c r="L1319">
        <f>VLOOKUP(B1319,purchase_dataset!$B$2:$F$2241,3,FALSE)</f>
        <v>10</v>
      </c>
      <c r="M1319">
        <f>VLOOKUP(B1319,purchase_dataset!$B$2:$F$2241,3,FALSE)</f>
        <v>10</v>
      </c>
      <c r="N1319">
        <f>VLOOKUP(B1319,purchase_dataset!$B$2:$F$2241,5,FALSE)</f>
        <v>8</v>
      </c>
      <c r="O1319" s="5">
        <v>61</v>
      </c>
      <c r="P1319" s="4" t="str">
        <f t="shared" si="40"/>
        <v>&gt;50</v>
      </c>
      <c r="Q1319" s="4">
        <f>M1319+N1319</f>
        <v>18</v>
      </c>
      <c r="U1319" s="28" t="str" cm="1">
        <f t="array" ref="U1319">_xlfn.IFS(F1319&lt;30000,"30k",F1319&lt;=50000,"30k-50k",F1319&lt;=75000,"50k-75k",F1319&lt;=100000,"75k-100k",F1319&gt;100000,"100k")</f>
        <v>30k-50k</v>
      </c>
      <c r="W1319" s="1">
        <f t="shared" si="41"/>
        <v>13</v>
      </c>
    </row>
    <row r="1320" spans="1:23" x14ac:dyDescent="0.35">
      <c r="A1320">
        <v>1317</v>
      </c>
      <c r="B1320">
        <v>4937</v>
      </c>
      <c r="C1320">
        <v>1973</v>
      </c>
      <c r="D1320" s="1" t="s">
        <v>18</v>
      </c>
      <c r="E1320" s="1" t="s">
        <v>14</v>
      </c>
      <c r="F1320">
        <v>46094</v>
      </c>
      <c r="G1320">
        <v>1</v>
      </c>
      <c r="H1320" s="2">
        <v>1</v>
      </c>
      <c r="I1320" s="2">
        <v>41800</v>
      </c>
      <c r="J1320">
        <v>62</v>
      </c>
      <c r="K1320">
        <f>VLOOKUP(B1320,purchase_dataset!$B$2:$F$2241,2,FALSE)</f>
        <v>2</v>
      </c>
      <c r="L1320">
        <f>VLOOKUP(B1320,purchase_dataset!$B$2:$F$2241,3,FALSE)</f>
        <v>2</v>
      </c>
      <c r="M1320">
        <f>VLOOKUP(B1320,purchase_dataset!$B$2:$F$2241,3,FALSE)</f>
        <v>2</v>
      </c>
      <c r="N1320">
        <f>VLOOKUP(B1320,purchase_dataset!$B$2:$F$2241,5,FALSE)</f>
        <v>3</v>
      </c>
      <c r="O1320" s="5">
        <v>53</v>
      </c>
      <c r="P1320" s="4" t="str">
        <f t="shared" si="40"/>
        <v>&gt;50</v>
      </c>
      <c r="Q1320" s="4">
        <f>M1320+N1320</f>
        <v>5</v>
      </c>
      <c r="U1320" s="28" t="str" cm="1">
        <f t="array" ref="U1320">_xlfn.IFS(F1320&lt;30000,"30k",F1320&lt;=50000,"30k-50k",F1320&lt;=75000,"50k-75k",F1320&lt;=100000,"75k-100k",F1320&gt;100000,"100k")</f>
        <v>30k-50k</v>
      </c>
      <c r="W1320" s="1">
        <f t="shared" si="41"/>
        <v>12</v>
      </c>
    </row>
    <row r="1321" spans="1:23" x14ac:dyDescent="0.35">
      <c r="A1321">
        <v>1318</v>
      </c>
      <c r="B1321">
        <v>1920</v>
      </c>
      <c r="C1321">
        <v>1972</v>
      </c>
      <c r="D1321" s="1" t="s">
        <v>10</v>
      </c>
      <c r="E1321" s="1" t="s">
        <v>14</v>
      </c>
      <c r="F1321">
        <v>40321</v>
      </c>
      <c r="G1321">
        <v>1</v>
      </c>
      <c r="H1321" s="2">
        <v>1</v>
      </c>
      <c r="I1321" s="2">
        <v>41484</v>
      </c>
      <c r="J1321">
        <v>59</v>
      </c>
      <c r="K1321">
        <f>VLOOKUP(B1321,purchase_dataset!$B$2:$F$2241,2,FALSE)</f>
        <v>4</v>
      </c>
      <c r="L1321">
        <f>VLOOKUP(B1321,purchase_dataset!$B$2:$F$2241,3,FALSE)</f>
        <v>0</v>
      </c>
      <c r="M1321">
        <f>VLOOKUP(B1321,purchase_dataset!$B$2:$F$2241,3,FALSE)</f>
        <v>0</v>
      </c>
      <c r="N1321">
        <f>VLOOKUP(B1321,purchase_dataset!$B$2:$F$2241,5,FALSE)</f>
        <v>3</v>
      </c>
      <c r="O1321" s="5">
        <v>54</v>
      </c>
      <c r="P1321" s="4" t="str">
        <f t="shared" si="40"/>
        <v>&gt;50</v>
      </c>
      <c r="Q1321" s="4">
        <f>M1321+N1321</f>
        <v>3</v>
      </c>
      <c r="U1321" s="28" t="str" cm="1">
        <f t="array" ref="U1321">_xlfn.IFS(F1321&lt;30000,"30k",F1321&lt;=50000,"30k-50k",F1321&lt;=75000,"50k-75k",F1321&lt;=100000,"75k-100k",F1321&gt;100000,"100k")</f>
        <v>30k-50k</v>
      </c>
      <c r="W1321" s="1">
        <f t="shared" si="41"/>
        <v>13</v>
      </c>
    </row>
    <row r="1322" spans="1:23" x14ac:dyDescent="0.35">
      <c r="A1322">
        <v>1319</v>
      </c>
      <c r="B1322">
        <v>8749</v>
      </c>
      <c r="C1322">
        <v>1984</v>
      </c>
      <c r="D1322" s="1" t="s">
        <v>10</v>
      </c>
      <c r="E1322" s="1" t="s">
        <v>12</v>
      </c>
      <c r="F1322">
        <v>37235</v>
      </c>
      <c r="G1322">
        <v>1</v>
      </c>
      <c r="H1322" s="2">
        <v>0</v>
      </c>
      <c r="I1322" s="2">
        <v>41671</v>
      </c>
      <c r="J1322">
        <v>68</v>
      </c>
      <c r="K1322">
        <f>VLOOKUP(B1322,purchase_dataset!$B$2:$F$2241,2,FALSE)</f>
        <v>2</v>
      </c>
      <c r="L1322">
        <f>VLOOKUP(B1322,purchase_dataset!$B$2:$F$2241,3,FALSE)</f>
        <v>6</v>
      </c>
      <c r="M1322">
        <f>VLOOKUP(B1322,purchase_dataset!$B$2:$F$2241,3,FALSE)</f>
        <v>6</v>
      </c>
      <c r="N1322">
        <f>VLOOKUP(B1322,purchase_dataset!$B$2:$F$2241,5,FALSE)</f>
        <v>2</v>
      </c>
      <c r="O1322" s="5">
        <v>42</v>
      </c>
      <c r="P1322" s="4" t="str">
        <f t="shared" si="40"/>
        <v>30-50</v>
      </c>
      <c r="Q1322" s="4">
        <f>M1322+N1322</f>
        <v>8</v>
      </c>
      <c r="U1322" s="28" t="str" cm="1">
        <f t="array" ref="U1322">_xlfn.IFS(F1322&lt;30000,"30k",F1322&lt;=50000,"30k-50k",F1322&lt;=75000,"50k-75k",F1322&lt;=100000,"75k-100k",F1322&gt;100000,"100k")</f>
        <v>30k-50k</v>
      </c>
      <c r="W1322" s="1">
        <f t="shared" si="41"/>
        <v>12</v>
      </c>
    </row>
    <row r="1323" spans="1:23" x14ac:dyDescent="0.35">
      <c r="A1323">
        <v>1320</v>
      </c>
      <c r="B1323">
        <v>1650</v>
      </c>
      <c r="C1323">
        <v>1960</v>
      </c>
      <c r="D1323" s="1" t="s">
        <v>15</v>
      </c>
      <c r="E1323" s="1" t="s">
        <v>14</v>
      </c>
      <c r="F1323">
        <v>81843</v>
      </c>
      <c r="G1323">
        <v>0</v>
      </c>
      <c r="H1323" s="2">
        <v>0</v>
      </c>
      <c r="I1323" s="2">
        <v>41386</v>
      </c>
      <c r="J1323">
        <v>13</v>
      </c>
      <c r="K1323">
        <f>VLOOKUP(B1323,purchase_dataset!$B$2:$F$2241,2,FALSE)</f>
        <v>86</v>
      </c>
      <c r="L1323">
        <f>VLOOKUP(B1323,purchase_dataset!$B$2:$F$2241,3,FALSE)</f>
        <v>69</v>
      </c>
      <c r="M1323">
        <f>VLOOKUP(B1323,purchase_dataset!$B$2:$F$2241,3,FALSE)</f>
        <v>69</v>
      </c>
      <c r="N1323">
        <f>VLOOKUP(B1323,purchase_dataset!$B$2:$F$2241,5,FALSE)</f>
        <v>12</v>
      </c>
      <c r="O1323" s="5">
        <v>66</v>
      </c>
      <c r="P1323" s="4" t="str">
        <f t="shared" si="40"/>
        <v>&gt;50</v>
      </c>
      <c r="Q1323" s="4">
        <f>M1323+N1323</f>
        <v>81</v>
      </c>
      <c r="U1323" s="28" t="str" cm="1">
        <f t="array" ref="U1323">_xlfn.IFS(F1323&lt;30000,"30k",F1323&lt;=50000,"30k-50k",F1323&lt;=75000,"50k-75k",F1323&lt;=100000,"75k-100k",F1323&gt;100000,"100k")</f>
        <v>75k-100k</v>
      </c>
      <c r="W1323" s="1">
        <f t="shared" si="41"/>
        <v>13</v>
      </c>
    </row>
    <row r="1324" spans="1:23" x14ac:dyDescent="0.35">
      <c r="A1324">
        <v>1321</v>
      </c>
      <c r="B1324">
        <v>10377</v>
      </c>
      <c r="C1324">
        <v>1958</v>
      </c>
      <c r="D1324" s="1" t="s">
        <v>15</v>
      </c>
      <c r="E1324" s="1" t="s">
        <v>12</v>
      </c>
      <c r="F1324">
        <v>46692</v>
      </c>
      <c r="G1324">
        <v>0</v>
      </c>
      <c r="H1324" s="2">
        <v>1</v>
      </c>
      <c r="I1324" s="2">
        <v>41431</v>
      </c>
      <c r="J1324">
        <v>37</v>
      </c>
      <c r="K1324">
        <f>VLOOKUP(B1324,purchase_dataset!$B$2:$F$2241,2,FALSE)</f>
        <v>6</v>
      </c>
      <c r="L1324">
        <f>VLOOKUP(B1324,purchase_dataset!$B$2:$F$2241,3,FALSE)</f>
        <v>12</v>
      </c>
      <c r="M1324">
        <f>VLOOKUP(B1324,purchase_dataset!$B$2:$F$2241,3,FALSE)</f>
        <v>12</v>
      </c>
      <c r="N1324">
        <f>VLOOKUP(B1324,purchase_dataset!$B$2:$F$2241,5,FALSE)</f>
        <v>5</v>
      </c>
      <c r="O1324" s="5">
        <v>68</v>
      </c>
      <c r="P1324" s="4" t="str">
        <f t="shared" si="40"/>
        <v>&gt;50</v>
      </c>
      <c r="Q1324" s="4">
        <f>M1324+N1324</f>
        <v>17</v>
      </c>
      <c r="U1324" s="28" t="str" cm="1">
        <f t="array" ref="U1324">_xlfn.IFS(F1324&lt;30000,"30k",F1324&lt;=50000,"30k-50k",F1324&lt;=75000,"50k-75k",F1324&lt;=100000,"75k-100k",F1324&gt;100000,"100k")</f>
        <v>30k-50k</v>
      </c>
      <c r="W1324" s="1">
        <f t="shared" si="41"/>
        <v>13</v>
      </c>
    </row>
    <row r="1325" spans="1:23" x14ac:dyDescent="0.35">
      <c r="A1325">
        <v>1322</v>
      </c>
      <c r="B1325">
        <v>9206</v>
      </c>
      <c r="C1325">
        <v>1968</v>
      </c>
      <c r="D1325" s="1" t="s">
        <v>10</v>
      </c>
      <c r="E1325" s="1" t="s">
        <v>12</v>
      </c>
      <c r="F1325">
        <v>77382</v>
      </c>
      <c r="G1325">
        <v>0</v>
      </c>
      <c r="H1325" s="2">
        <v>1</v>
      </c>
      <c r="I1325" s="2">
        <v>41646</v>
      </c>
      <c r="J1325">
        <v>36</v>
      </c>
      <c r="K1325">
        <f>VLOOKUP(B1325,purchase_dataset!$B$2:$F$2241,2,FALSE)</f>
        <v>48</v>
      </c>
      <c r="L1325">
        <f>VLOOKUP(B1325,purchase_dataset!$B$2:$F$2241,3,FALSE)</f>
        <v>105</v>
      </c>
      <c r="M1325">
        <f>VLOOKUP(B1325,purchase_dataset!$B$2:$F$2241,3,FALSE)</f>
        <v>105</v>
      </c>
      <c r="N1325">
        <f>VLOOKUP(B1325,purchase_dataset!$B$2:$F$2241,5,FALSE)</f>
        <v>12</v>
      </c>
      <c r="O1325" s="5">
        <v>58</v>
      </c>
      <c r="P1325" s="4" t="str">
        <f t="shared" si="40"/>
        <v>&gt;50</v>
      </c>
      <c r="Q1325" s="4">
        <f>M1325+N1325</f>
        <v>117</v>
      </c>
      <c r="U1325" s="28" t="str" cm="1">
        <f t="array" ref="U1325">_xlfn.IFS(F1325&lt;30000,"30k",F1325&lt;=50000,"30k-50k",F1325&lt;=75000,"50k-75k",F1325&lt;=100000,"75k-100k",F1325&gt;100000,"100k")</f>
        <v>75k-100k</v>
      </c>
      <c r="W1325" s="1">
        <f t="shared" si="41"/>
        <v>12</v>
      </c>
    </row>
    <row r="1326" spans="1:23" x14ac:dyDescent="0.35">
      <c r="A1326">
        <v>1323</v>
      </c>
      <c r="B1326">
        <v>10971</v>
      </c>
      <c r="C1326">
        <v>1977</v>
      </c>
      <c r="D1326" s="1" t="s">
        <v>10</v>
      </c>
      <c r="E1326" s="1" t="s">
        <v>11</v>
      </c>
      <c r="F1326">
        <v>37774</v>
      </c>
      <c r="G1326">
        <v>2</v>
      </c>
      <c r="H1326" s="2">
        <v>0</v>
      </c>
      <c r="I1326" s="2">
        <v>41155</v>
      </c>
      <c r="J1326">
        <v>28</v>
      </c>
      <c r="K1326">
        <f>VLOOKUP(B1326,purchase_dataset!$B$2:$F$2241,2,FALSE)</f>
        <v>8</v>
      </c>
      <c r="L1326">
        <f>VLOOKUP(B1326,purchase_dataset!$B$2:$F$2241,3,FALSE)</f>
        <v>2</v>
      </c>
      <c r="M1326">
        <f>VLOOKUP(B1326,purchase_dataset!$B$2:$F$2241,3,FALSE)</f>
        <v>2</v>
      </c>
      <c r="N1326">
        <f>VLOOKUP(B1326,purchase_dataset!$B$2:$F$2241,5,FALSE)</f>
        <v>3</v>
      </c>
      <c r="O1326" s="5">
        <v>49</v>
      </c>
      <c r="P1326" s="4" t="str">
        <f t="shared" si="40"/>
        <v>30-50</v>
      </c>
      <c r="Q1326" s="4">
        <f>M1326+N1326</f>
        <v>5</v>
      </c>
      <c r="U1326" s="28" t="str" cm="1">
        <f t="array" ref="U1326">_xlfn.IFS(F1326&lt;30000,"30k",F1326&lt;=50000,"30k-50k",F1326&lt;=75000,"50k-75k",F1326&lt;=100000,"75k-100k",F1326&gt;100000,"100k")</f>
        <v>30k-50k</v>
      </c>
      <c r="W1326" s="1">
        <f t="shared" si="41"/>
        <v>14</v>
      </c>
    </row>
    <row r="1327" spans="1:23" x14ac:dyDescent="0.35">
      <c r="A1327">
        <v>1324</v>
      </c>
      <c r="B1327">
        <v>6398</v>
      </c>
      <c r="C1327">
        <v>1974</v>
      </c>
      <c r="D1327" s="1" t="s">
        <v>17</v>
      </c>
      <c r="E1327" s="1" t="s">
        <v>14</v>
      </c>
      <c r="F1327">
        <v>18393</v>
      </c>
      <c r="G1327">
        <v>1</v>
      </c>
      <c r="H1327" s="2">
        <v>0</v>
      </c>
      <c r="I1327" s="2">
        <v>41727</v>
      </c>
      <c r="J1327">
        <v>2</v>
      </c>
      <c r="K1327">
        <f>VLOOKUP(B1327,purchase_dataset!$B$2:$F$2241,2,FALSE)</f>
        <v>10</v>
      </c>
      <c r="L1327">
        <f>VLOOKUP(B1327,purchase_dataset!$B$2:$F$2241,3,FALSE)</f>
        <v>0</v>
      </c>
      <c r="M1327">
        <f>VLOOKUP(B1327,purchase_dataset!$B$2:$F$2241,3,FALSE)</f>
        <v>0</v>
      </c>
      <c r="N1327">
        <f>VLOOKUP(B1327,purchase_dataset!$B$2:$F$2241,5,FALSE)</f>
        <v>3</v>
      </c>
      <c r="O1327" s="5">
        <v>52</v>
      </c>
      <c r="P1327" s="4" t="str">
        <f t="shared" si="40"/>
        <v>&gt;50</v>
      </c>
      <c r="Q1327" s="4">
        <f>M1327+N1327</f>
        <v>3</v>
      </c>
      <c r="U1327" s="28" t="str" cm="1">
        <f t="array" ref="U1327">_xlfn.IFS(F1327&lt;30000,"30k",F1327&lt;=50000,"30k-50k",F1327&lt;=75000,"50k-75k",F1327&lt;=100000,"75k-100k",F1327&gt;100000,"100k")</f>
        <v>30k</v>
      </c>
      <c r="W1327" s="1">
        <f t="shared" si="41"/>
        <v>12</v>
      </c>
    </row>
    <row r="1328" spans="1:23" x14ac:dyDescent="0.35">
      <c r="A1328">
        <v>1325</v>
      </c>
      <c r="B1328">
        <v>9212</v>
      </c>
      <c r="C1328">
        <v>1962</v>
      </c>
      <c r="D1328" s="1" t="s">
        <v>15</v>
      </c>
      <c r="E1328" s="1" t="s">
        <v>14</v>
      </c>
      <c r="F1328">
        <v>72828</v>
      </c>
      <c r="G1328">
        <v>0</v>
      </c>
      <c r="H1328" s="2">
        <v>1</v>
      </c>
      <c r="I1328" s="2">
        <v>41319</v>
      </c>
      <c r="J1328">
        <v>17</v>
      </c>
      <c r="K1328">
        <f>VLOOKUP(B1328,purchase_dataset!$B$2:$F$2241,2,FALSE)</f>
        <v>0</v>
      </c>
      <c r="L1328">
        <f>VLOOKUP(B1328,purchase_dataset!$B$2:$F$2241,3,FALSE)</f>
        <v>14</v>
      </c>
      <c r="M1328">
        <f>VLOOKUP(B1328,purchase_dataset!$B$2:$F$2241,3,FALSE)</f>
        <v>14</v>
      </c>
      <c r="N1328">
        <f>VLOOKUP(B1328,purchase_dataset!$B$2:$F$2241,5,FALSE)</f>
        <v>13</v>
      </c>
      <c r="O1328" s="5">
        <v>64</v>
      </c>
      <c r="P1328" s="4" t="str">
        <f t="shared" si="40"/>
        <v>&gt;50</v>
      </c>
      <c r="Q1328" s="4">
        <f>M1328+N1328</f>
        <v>27</v>
      </c>
      <c r="U1328" s="28" t="str" cm="1">
        <f t="array" ref="U1328">_xlfn.IFS(F1328&lt;30000,"30k",F1328&lt;=50000,"30k-50k",F1328&lt;=75000,"50k-75k",F1328&lt;=100000,"75k-100k",F1328&gt;100000,"100k")</f>
        <v>50k-75k</v>
      </c>
      <c r="W1328" s="1">
        <f t="shared" si="41"/>
        <v>13</v>
      </c>
    </row>
    <row r="1329" spans="1:23" x14ac:dyDescent="0.35">
      <c r="A1329">
        <v>1326</v>
      </c>
      <c r="B1329">
        <v>7937</v>
      </c>
      <c r="C1329">
        <v>1982</v>
      </c>
      <c r="D1329" s="1" t="s">
        <v>10</v>
      </c>
      <c r="E1329" s="1" t="s">
        <v>14</v>
      </c>
      <c r="F1329">
        <v>24711</v>
      </c>
      <c r="G1329">
        <v>0</v>
      </c>
      <c r="H1329" s="2">
        <v>0</v>
      </c>
      <c r="I1329" s="2">
        <v>41747</v>
      </c>
      <c r="J1329">
        <v>86</v>
      </c>
      <c r="K1329">
        <f>VLOOKUP(B1329,purchase_dataset!$B$2:$F$2241,2,FALSE)</f>
        <v>7</v>
      </c>
      <c r="L1329">
        <f>VLOOKUP(B1329,purchase_dataset!$B$2:$F$2241,3,FALSE)</f>
        <v>3</v>
      </c>
      <c r="M1329">
        <f>VLOOKUP(B1329,purchase_dataset!$B$2:$F$2241,3,FALSE)</f>
        <v>3</v>
      </c>
      <c r="N1329">
        <f>VLOOKUP(B1329,purchase_dataset!$B$2:$F$2241,5,FALSE)</f>
        <v>3</v>
      </c>
      <c r="O1329" s="5">
        <v>44</v>
      </c>
      <c r="P1329" s="4" t="str">
        <f t="shared" si="40"/>
        <v>30-50</v>
      </c>
      <c r="Q1329" s="4">
        <f>M1329+N1329</f>
        <v>6</v>
      </c>
      <c r="U1329" s="28" t="str" cm="1">
        <f t="array" ref="U1329">_xlfn.IFS(F1329&lt;30000,"30k",F1329&lt;=50000,"30k-50k",F1329&lt;=75000,"50k-75k",F1329&lt;=100000,"75k-100k",F1329&gt;100000,"100k")</f>
        <v>30k</v>
      </c>
      <c r="W1329" s="1">
        <f t="shared" si="41"/>
        <v>12</v>
      </c>
    </row>
    <row r="1330" spans="1:23" x14ac:dyDescent="0.35">
      <c r="A1330">
        <v>1327</v>
      </c>
      <c r="B1330">
        <v>839</v>
      </c>
      <c r="C1330">
        <v>1975</v>
      </c>
      <c r="D1330" s="1" t="s">
        <v>13</v>
      </c>
      <c r="E1330" s="1" t="s">
        <v>14</v>
      </c>
      <c r="F1330">
        <v>45503</v>
      </c>
      <c r="G1330">
        <v>1</v>
      </c>
      <c r="H1330" s="2">
        <v>0</v>
      </c>
      <c r="I1330" s="2">
        <v>41542</v>
      </c>
      <c r="J1330">
        <v>54</v>
      </c>
      <c r="K1330">
        <f>VLOOKUP(B1330,purchase_dataset!$B$2:$F$2241,2,FALSE)</f>
        <v>4</v>
      </c>
      <c r="L1330">
        <f>VLOOKUP(B1330,purchase_dataset!$B$2:$F$2241,3,FALSE)</f>
        <v>1</v>
      </c>
      <c r="M1330">
        <f>VLOOKUP(B1330,purchase_dataset!$B$2:$F$2241,3,FALSE)</f>
        <v>1</v>
      </c>
      <c r="N1330">
        <f>VLOOKUP(B1330,purchase_dataset!$B$2:$F$2241,5,FALSE)</f>
        <v>4</v>
      </c>
      <c r="O1330" s="5">
        <v>51</v>
      </c>
      <c r="P1330" s="4" t="str">
        <f t="shared" si="40"/>
        <v>&gt;50</v>
      </c>
      <c r="Q1330" s="4">
        <f>M1330+N1330</f>
        <v>5</v>
      </c>
      <c r="U1330" s="28" t="str" cm="1">
        <f t="array" ref="U1330">_xlfn.IFS(F1330&lt;30000,"30k",F1330&lt;=50000,"30k-50k",F1330&lt;=75000,"50k-75k",F1330&lt;=100000,"75k-100k",F1330&gt;100000,"100k")</f>
        <v>30k-50k</v>
      </c>
      <c r="W1330" s="1">
        <f t="shared" si="41"/>
        <v>13</v>
      </c>
    </row>
    <row r="1331" spans="1:23" x14ac:dyDescent="0.35">
      <c r="A1331">
        <v>1328</v>
      </c>
      <c r="B1331">
        <v>4246</v>
      </c>
      <c r="C1331">
        <v>1982</v>
      </c>
      <c r="D1331" s="1" t="s">
        <v>15</v>
      </c>
      <c r="E1331" s="1" t="s">
        <v>11</v>
      </c>
      <c r="F1331">
        <v>6560</v>
      </c>
      <c r="G1331">
        <v>0</v>
      </c>
      <c r="H1331" s="2">
        <v>0</v>
      </c>
      <c r="I1331" s="2">
        <v>41620</v>
      </c>
      <c r="J1331">
        <v>2</v>
      </c>
      <c r="K1331">
        <f>VLOOKUP(B1331,purchase_dataset!$B$2:$F$2241,2,FALSE)</f>
        <v>11</v>
      </c>
      <c r="L1331">
        <f>VLOOKUP(B1331,purchase_dataset!$B$2:$F$2241,3,FALSE)</f>
        <v>3</v>
      </c>
      <c r="M1331">
        <f>VLOOKUP(B1331,purchase_dataset!$B$2:$F$2241,3,FALSE)</f>
        <v>3</v>
      </c>
      <c r="N1331">
        <f>VLOOKUP(B1331,purchase_dataset!$B$2:$F$2241,5,FALSE)</f>
        <v>1</v>
      </c>
      <c r="O1331" s="5">
        <v>44</v>
      </c>
      <c r="P1331" s="4" t="str">
        <f t="shared" si="40"/>
        <v>30-50</v>
      </c>
      <c r="Q1331" s="4">
        <f>M1331+N1331</f>
        <v>4</v>
      </c>
      <c r="U1331" s="28" t="str" cm="1">
        <f t="array" ref="U1331">_xlfn.IFS(F1331&lt;30000,"30k",F1331&lt;=50000,"30k-50k",F1331&lt;=75000,"50k-75k",F1331&lt;=100000,"75k-100k",F1331&gt;100000,"100k")</f>
        <v>30k</v>
      </c>
      <c r="W1331" s="1">
        <f t="shared" si="41"/>
        <v>13</v>
      </c>
    </row>
    <row r="1332" spans="1:23" x14ac:dyDescent="0.35">
      <c r="A1332">
        <v>1329</v>
      </c>
      <c r="B1332">
        <v>158</v>
      </c>
      <c r="C1332">
        <v>1945</v>
      </c>
      <c r="D1332" s="1" t="s">
        <v>13</v>
      </c>
      <c r="E1332" s="1" t="s">
        <v>12</v>
      </c>
      <c r="F1332">
        <v>71604</v>
      </c>
      <c r="G1332">
        <v>0</v>
      </c>
      <c r="H1332" s="2">
        <v>0</v>
      </c>
      <c r="I1332" s="2">
        <v>41595</v>
      </c>
      <c r="J1332">
        <v>3</v>
      </c>
      <c r="K1332">
        <f>VLOOKUP(B1332,purchase_dataset!$B$2:$F$2241,2,FALSE)</f>
        <v>53</v>
      </c>
      <c r="L1332">
        <f>VLOOKUP(B1332,purchase_dataset!$B$2:$F$2241,3,FALSE)</f>
        <v>75</v>
      </c>
      <c r="M1332">
        <f>VLOOKUP(B1332,purchase_dataset!$B$2:$F$2241,3,FALSE)</f>
        <v>75</v>
      </c>
      <c r="N1332">
        <f>VLOOKUP(B1332,purchase_dataset!$B$2:$F$2241,5,FALSE)</f>
        <v>5</v>
      </c>
      <c r="O1332" s="5">
        <v>81</v>
      </c>
      <c r="P1332" s="4" t="str">
        <f t="shared" si="40"/>
        <v>&gt;50</v>
      </c>
      <c r="Q1332" s="4">
        <f>M1332+N1332</f>
        <v>80</v>
      </c>
      <c r="U1332" s="28" t="str" cm="1">
        <f t="array" ref="U1332">_xlfn.IFS(F1332&lt;30000,"30k",F1332&lt;=50000,"30k-50k",F1332&lt;=75000,"50k-75k",F1332&lt;=100000,"75k-100k",F1332&gt;100000,"100k")</f>
        <v>50k-75k</v>
      </c>
      <c r="W1332" s="1">
        <f t="shared" si="41"/>
        <v>13</v>
      </c>
    </row>
    <row r="1333" spans="1:23" x14ac:dyDescent="0.35">
      <c r="A1333">
        <v>1330</v>
      </c>
      <c r="B1333">
        <v>4832</v>
      </c>
      <c r="C1333">
        <v>1979</v>
      </c>
      <c r="D1333" s="1" t="s">
        <v>10</v>
      </c>
      <c r="E1333" s="1" t="s">
        <v>14</v>
      </c>
      <c r="F1333">
        <v>27244</v>
      </c>
      <c r="G1333">
        <v>1</v>
      </c>
      <c r="H1333" s="2">
        <v>0</v>
      </c>
      <c r="I1333" s="2">
        <v>41705</v>
      </c>
      <c r="J1333">
        <v>84</v>
      </c>
      <c r="K1333">
        <f>VLOOKUP(B1333,purchase_dataset!$B$2:$F$2241,2,FALSE)</f>
        <v>5</v>
      </c>
      <c r="L1333">
        <f>VLOOKUP(B1333,purchase_dataset!$B$2:$F$2241,3,FALSE)</f>
        <v>24</v>
      </c>
      <c r="M1333">
        <f>VLOOKUP(B1333,purchase_dataset!$B$2:$F$2241,3,FALSE)</f>
        <v>24</v>
      </c>
      <c r="N1333">
        <f>VLOOKUP(B1333,purchase_dataset!$B$2:$F$2241,5,FALSE)</f>
        <v>2</v>
      </c>
      <c r="O1333" s="5">
        <v>47</v>
      </c>
      <c r="P1333" s="4" t="str">
        <f t="shared" si="40"/>
        <v>30-50</v>
      </c>
      <c r="Q1333" s="4">
        <f>M1333+N1333</f>
        <v>26</v>
      </c>
      <c r="U1333" s="28" t="str" cm="1">
        <f t="array" ref="U1333">_xlfn.IFS(F1333&lt;30000,"30k",F1333&lt;=50000,"30k-50k",F1333&lt;=75000,"50k-75k",F1333&lt;=100000,"75k-100k",F1333&gt;100000,"100k")</f>
        <v>30k</v>
      </c>
      <c r="W1333" s="1">
        <f t="shared" si="41"/>
        <v>12</v>
      </c>
    </row>
    <row r="1334" spans="1:23" x14ac:dyDescent="0.35">
      <c r="A1334">
        <v>1331</v>
      </c>
      <c r="B1334">
        <v>5621</v>
      </c>
      <c r="C1334">
        <v>1969</v>
      </c>
      <c r="D1334" s="1" t="s">
        <v>10</v>
      </c>
      <c r="E1334" s="1" t="s">
        <v>14</v>
      </c>
      <c r="F1334">
        <v>48752</v>
      </c>
      <c r="G1334">
        <v>1</v>
      </c>
      <c r="H1334" s="2">
        <v>1</v>
      </c>
      <c r="I1334" s="2">
        <v>41255</v>
      </c>
      <c r="J1334">
        <v>8</v>
      </c>
      <c r="K1334">
        <f>VLOOKUP(B1334,purchase_dataset!$B$2:$F$2241,2,FALSE)</f>
        <v>57</v>
      </c>
      <c r="L1334">
        <f>VLOOKUP(B1334,purchase_dataset!$B$2:$F$2241,3,FALSE)</f>
        <v>15</v>
      </c>
      <c r="M1334">
        <f>VLOOKUP(B1334,purchase_dataset!$B$2:$F$2241,3,FALSE)</f>
        <v>15</v>
      </c>
      <c r="N1334">
        <f>VLOOKUP(B1334,purchase_dataset!$B$2:$F$2241,5,FALSE)</f>
        <v>5</v>
      </c>
      <c r="O1334" s="5">
        <v>57</v>
      </c>
      <c r="P1334" s="4" t="str">
        <f t="shared" si="40"/>
        <v>&gt;50</v>
      </c>
      <c r="Q1334" s="4">
        <f>M1334+N1334</f>
        <v>20</v>
      </c>
      <c r="U1334" s="28" t="str" cm="1">
        <f t="array" ref="U1334">_xlfn.IFS(F1334&lt;30000,"30k",F1334&lt;=50000,"30k-50k",F1334&lt;=75000,"50k-75k",F1334&lt;=100000,"75k-100k",F1334&gt;100000,"100k")</f>
        <v>30k-50k</v>
      </c>
      <c r="W1334" s="1">
        <f t="shared" si="41"/>
        <v>14</v>
      </c>
    </row>
    <row r="1335" spans="1:23" x14ac:dyDescent="0.35">
      <c r="A1335">
        <v>1332</v>
      </c>
      <c r="B1335">
        <v>1945</v>
      </c>
      <c r="C1335">
        <v>1962</v>
      </c>
      <c r="D1335" s="1" t="s">
        <v>10</v>
      </c>
      <c r="E1335" s="1" t="s">
        <v>14</v>
      </c>
      <c r="F1335">
        <v>71434</v>
      </c>
      <c r="G1335">
        <v>0</v>
      </c>
      <c r="H1335" s="2">
        <v>1</v>
      </c>
      <c r="I1335" s="2">
        <v>41535</v>
      </c>
      <c r="J1335">
        <v>4</v>
      </c>
      <c r="K1335">
        <f>VLOOKUP(B1335,purchase_dataset!$B$2:$F$2241,2,FALSE)</f>
        <v>36</v>
      </c>
      <c r="L1335">
        <f>VLOOKUP(B1335,purchase_dataset!$B$2:$F$2241,3,FALSE)</f>
        <v>96</v>
      </c>
      <c r="M1335">
        <f>VLOOKUP(B1335,purchase_dataset!$B$2:$F$2241,3,FALSE)</f>
        <v>96</v>
      </c>
      <c r="N1335">
        <f>VLOOKUP(B1335,purchase_dataset!$B$2:$F$2241,5,FALSE)</f>
        <v>7</v>
      </c>
      <c r="O1335" s="5">
        <v>64</v>
      </c>
      <c r="P1335" s="4" t="str">
        <f t="shared" si="40"/>
        <v>&gt;50</v>
      </c>
      <c r="Q1335" s="4">
        <f>M1335+N1335</f>
        <v>103</v>
      </c>
      <c r="U1335" s="28" t="str" cm="1">
        <f t="array" ref="U1335">_xlfn.IFS(F1335&lt;30000,"30k",F1335&lt;=50000,"30k-50k",F1335&lt;=75000,"50k-75k",F1335&lt;=100000,"75k-100k",F1335&gt;100000,"100k")</f>
        <v>50k-75k</v>
      </c>
      <c r="W1335" s="1">
        <f t="shared" si="41"/>
        <v>13</v>
      </c>
    </row>
    <row r="1336" spans="1:23" x14ac:dyDescent="0.35">
      <c r="A1336">
        <v>1333</v>
      </c>
      <c r="B1336">
        <v>5147</v>
      </c>
      <c r="C1336">
        <v>1948</v>
      </c>
      <c r="D1336" s="1" t="s">
        <v>10</v>
      </c>
      <c r="E1336" s="1" t="s">
        <v>11</v>
      </c>
      <c r="F1336">
        <v>90842</v>
      </c>
      <c r="G1336">
        <v>0</v>
      </c>
      <c r="H1336" s="2">
        <v>0</v>
      </c>
      <c r="I1336" s="2">
        <v>41484</v>
      </c>
      <c r="J1336">
        <v>57</v>
      </c>
      <c r="K1336">
        <f>VLOOKUP(B1336,purchase_dataset!$B$2:$F$2241,2,FALSE)</f>
        <v>70</v>
      </c>
      <c r="L1336">
        <f>VLOOKUP(B1336,purchase_dataset!$B$2:$F$2241,3,FALSE)</f>
        <v>187</v>
      </c>
      <c r="M1336">
        <f>VLOOKUP(B1336,purchase_dataset!$B$2:$F$2241,3,FALSE)</f>
        <v>187</v>
      </c>
      <c r="N1336">
        <f>VLOOKUP(B1336,purchase_dataset!$B$2:$F$2241,5,FALSE)</f>
        <v>13</v>
      </c>
      <c r="O1336" s="5">
        <v>78</v>
      </c>
      <c r="P1336" s="4" t="str">
        <f t="shared" si="40"/>
        <v>&gt;50</v>
      </c>
      <c r="Q1336" s="4">
        <f>M1336+N1336</f>
        <v>200</v>
      </c>
      <c r="U1336" s="28" t="str" cm="1">
        <f t="array" ref="U1336">_xlfn.IFS(F1336&lt;30000,"30k",F1336&lt;=50000,"30k-50k",F1336&lt;=75000,"50k-75k",F1336&lt;=100000,"75k-100k",F1336&gt;100000,"100k")</f>
        <v>75k-100k</v>
      </c>
      <c r="W1336" s="1">
        <f t="shared" si="41"/>
        <v>13</v>
      </c>
    </row>
    <row r="1337" spans="1:23" x14ac:dyDescent="0.35">
      <c r="A1337">
        <v>1334</v>
      </c>
      <c r="B1337">
        <v>2535</v>
      </c>
      <c r="C1337">
        <v>1978</v>
      </c>
      <c r="D1337" s="1" t="s">
        <v>15</v>
      </c>
      <c r="E1337" s="1" t="s">
        <v>14</v>
      </c>
      <c r="F1337">
        <v>88097</v>
      </c>
      <c r="G1337">
        <v>1</v>
      </c>
      <c r="H1337" s="2">
        <v>0</v>
      </c>
      <c r="I1337" s="2">
        <v>41139</v>
      </c>
      <c r="J1337">
        <v>24</v>
      </c>
      <c r="K1337">
        <f>VLOOKUP(B1337,purchase_dataset!$B$2:$F$2241,2,FALSE)</f>
        <v>0</v>
      </c>
      <c r="L1337">
        <f>VLOOKUP(B1337,purchase_dataset!$B$2:$F$2241,3,FALSE)</f>
        <v>126</v>
      </c>
      <c r="M1337">
        <f>VLOOKUP(B1337,purchase_dataset!$B$2:$F$2241,3,FALSE)</f>
        <v>126</v>
      </c>
      <c r="N1337">
        <f>VLOOKUP(B1337,purchase_dataset!$B$2:$F$2241,5,FALSE)</f>
        <v>8</v>
      </c>
      <c r="O1337" s="5">
        <v>48</v>
      </c>
      <c r="P1337" s="4" t="str">
        <f t="shared" si="40"/>
        <v>30-50</v>
      </c>
      <c r="Q1337" s="4">
        <f>M1337+N1337</f>
        <v>134</v>
      </c>
      <c r="U1337" s="28" t="str" cm="1">
        <f t="array" ref="U1337">_xlfn.IFS(F1337&lt;30000,"30k",F1337&lt;=50000,"30k-50k",F1337&lt;=75000,"50k-75k",F1337&lt;=100000,"75k-100k",F1337&gt;100000,"100k")</f>
        <v>75k-100k</v>
      </c>
      <c r="W1337" s="1">
        <f t="shared" si="41"/>
        <v>14</v>
      </c>
    </row>
    <row r="1338" spans="1:23" x14ac:dyDescent="0.35">
      <c r="A1338">
        <v>1335</v>
      </c>
      <c r="B1338">
        <v>11039</v>
      </c>
      <c r="C1338">
        <v>1975</v>
      </c>
      <c r="D1338" s="1" t="s">
        <v>10</v>
      </c>
      <c r="E1338" s="1" t="s">
        <v>14</v>
      </c>
      <c r="F1338">
        <v>51948</v>
      </c>
      <c r="G1338">
        <v>0</v>
      </c>
      <c r="H1338" s="2">
        <v>1</v>
      </c>
      <c r="I1338" s="2">
        <v>41534</v>
      </c>
      <c r="J1338">
        <v>51</v>
      </c>
      <c r="K1338">
        <f>VLOOKUP(B1338,purchase_dataset!$B$2:$F$2241,2,FALSE)</f>
        <v>33</v>
      </c>
      <c r="L1338">
        <f>VLOOKUP(B1338,purchase_dataset!$B$2:$F$2241,3,FALSE)</f>
        <v>30</v>
      </c>
      <c r="M1338">
        <f>VLOOKUP(B1338,purchase_dataset!$B$2:$F$2241,3,FALSE)</f>
        <v>30</v>
      </c>
      <c r="N1338">
        <f>VLOOKUP(B1338,purchase_dataset!$B$2:$F$2241,5,FALSE)</f>
        <v>4</v>
      </c>
      <c r="O1338" s="5">
        <v>51</v>
      </c>
      <c r="P1338" s="4" t="str">
        <f t="shared" si="40"/>
        <v>&gt;50</v>
      </c>
      <c r="Q1338" s="4">
        <f>M1338+N1338</f>
        <v>34</v>
      </c>
      <c r="U1338" s="28" t="str" cm="1">
        <f t="array" ref="U1338">_xlfn.IFS(F1338&lt;30000,"30k",F1338&lt;=50000,"30k-50k",F1338&lt;=75000,"50k-75k",F1338&lt;=100000,"75k-100k",F1338&gt;100000,"100k")</f>
        <v>50k-75k</v>
      </c>
      <c r="W1338" s="1">
        <f t="shared" si="41"/>
        <v>13</v>
      </c>
    </row>
    <row r="1339" spans="1:23" x14ac:dyDescent="0.35">
      <c r="A1339">
        <v>1336</v>
      </c>
      <c r="B1339">
        <v>9495</v>
      </c>
      <c r="C1339">
        <v>1982</v>
      </c>
      <c r="D1339" s="1" t="s">
        <v>10</v>
      </c>
      <c r="E1339" s="1" t="s">
        <v>12</v>
      </c>
      <c r="F1339">
        <v>71853</v>
      </c>
      <c r="G1339">
        <v>0</v>
      </c>
      <c r="H1339" s="2">
        <v>0</v>
      </c>
      <c r="I1339" s="2">
        <v>41402</v>
      </c>
      <c r="J1339">
        <v>29</v>
      </c>
      <c r="K1339">
        <f>VLOOKUP(B1339,purchase_dataset!$B$2:$F$2241,2,FALSE)</f>
        <v>108</v>
      </c>
      <c r="L1339">
        <f>VLOOKUP(B1339,purchase_dataset!$B$2:$F$2241,3,FALSE)</f>
        <v>97</v>
      </c>
      <c r="M1339">
        <f>VLOOKUP(B1339,purchase_dataset!$B$2:$F$2241,3,FALSE)</f>
        <v>97</v>
      </c>
      <c r="N1339">
        <f>VLOOKUP(B1339,purchase_dataset!$B$2:$F$2241,5,FALSE)</f>
        <v>6</v>
      </c>
      <c r="O1339" s="5">
        <v>44</v>
      </c>
      <c r="P1339" s="4" t="str">
        <f t="shared" si="40"/>
        <v>30-50</v>
      </c>
      <c r="Q1339" s="4">
        <f>M1339+N1339</f>
        <v>103</v>
      </c>
      <c r="U1339" s="28" t="str" cm="1">
        <f t="array" ref="U1339">_xlfn.IFS(F1339&lt;30000,"30k",F1339&lt;=50000,"30k-50k",F1339&lt;=75000,"50k-75k",F1339&lt;=100000,"75k-100k",F1339&gt;100000,"100k")</f>
        <v>50k-75k</v>
      </c>
      <c r="W1339" s="1">
        <f t="shared" si="41"/>
        <v>13</v>
      </c>
    </row>
    <row r="1340" spans="1:23" x14ac:dyDescent="0.35">
      <c r="A1340">
        <v>1337</v>
      </c>
      <c r="B1340">
        <v>9635</v>
      </c>
      <c r="C1340">
        <v>1983</v>
      </c>
      <c r="D1340" s="1" t="s">
        <v>15</v>
      </c>
      <c r="E1340" s="1" t="s">
        <v>14</v>
      </c>
      <c r="F1340">
        <v>35876</v>
      </c>
      <c r="G1340">
        <v>0</v>
      </c>
      <c r="H1340" s="2">
        <v>0</v>
      </c>
      <c r="I1340" s="2">
        <v>41749</v>
      </c>
      <c r="J1340">
        <v>13</v>
      </c>
      <c r="K1340">
        <f>VLOOKUP(B1340,purchase_dataset!$B$2:$F$2241,2,FALSE)</f>
        <v>2</v>
      </c>
      <c r="L1340">
        <f>VLOOKUP(B1340,purchase_dataset!$B$2:$F$2241,3,FALSE)</f>
        <v>3</v>
      </c>
      <c r="M1340">
        <f>VLOOKUP(B1340,purchase_dataset!$B$2:$F$2241,3,FALSE)</f>
        <v>3</v>
      </c>
      <c r="N1340">
        <f>VLOOKUP(B1340,purchase_dataset!$B$2:$F$2241,5,FALSE)</f>
        <v>3</v>
      </c>
      <c r="O1340" s="5">
        <v>43</v>
      </c>
      <c r="P1340" s="4" t="str">
        <f t="shared" si="40"/>
        <v>30-50</v>
      </c>
      <c r="Q1340" s="4">
        <f>M1340+N1340</f>
        <v>6</v>
      </c>
      <c r="U1340" s="28" t="str" cm="1">
        <f t="array" ref="U1340">_xlfn.IFS(F1340&lt;30000,"30k",F1340&lt;=50000,"30k-50k",F1340&lt;=75000,"50k-75k",F1340&lt;=100000,"75k-100k",F1340&gt;100000,"100k")</f>
        <v>30k-50k</v>
      </c>
      <c r="W1340" s="1">
        <f t="shared" si="41"/>
        <v>12</v>
      </c>
    </row>
    <row r="1341" spans="1:23" x14ac:dyDescent="0.35">
      <c r="A1341">
        <v>1338</v>
      </c>
      <c r="B1341">
        <v>2173</v>
      </c>
      <c r="C1341">
        <v>1952</v>
      </c>
      <c r="D1341" s="1" t="s">
        <v>10</v>
      </c>
      <c r="E1341" s="1" t="s">
        <v>19</v>
      </c>
      <c r="F1341">
        <v>40049</v>
      </c>
      <c r="G1341">
        <v>0</v>
      </c>
      <c r="H1341" s="2">
        <v>1</v>
      </c>
      <c r="I1341" s="2">
        <v>41563</v>
      </c>
      <c r="J1341">
        <v>23</v>
      </c>
      <c r="K1341">
        <f>VLOOKUP(B1341,purchase_dataset!$B$2:$F$2241,2,FALSE)</f>
        <v>6</v>
      </c>
      <c r="L1341">
        <f>VLOOKUP(B1341,purchase_dataset!$B$2:$F$2241,3,FALSE)</f>
        <v>3</v>
      </c>
      <c r="M1341">
        <f>VLOOKUP(B1341,purchase_dataset!$B$2:$F$2241,3,FALSE)</f>
        <v>3</v>
      </c>
      <c r="N1341">
        <f>VLOOKUP(B1341,purchase_dataset!$B$2:$F$2241,5,FALSE)</f>
        <v>3</v>
      </c>
      <c r="O1341" s="5">
        <v>74</v>
      </c>
      <c r="P1341" s="4" t="str">
        <f t="shared" si="40"/>
        <v>&gt;50</v>
      </c>
      <c r="Q1341" s="4">
        <f>M1341+N1341</f>
        <v>6</v>
      </c>
      <c r="U1341" s="28" t="str" cm="1">
        <f t="array" ref="U1341">_xlfn.IFS(F1341&lt;30000,"30k",F1341&lt;=50000,"30k-50k",F1341&lt;=75000,"50k-75k",F1341&lt;=100000,"75k-100k",F1341&gt;100000,"100k")</f>
        <v>30k-50k</v>
      </c>
      <c r="W1341" s="1">
        <f t="shared" si="41"/>
        <v>13</v>
      </c>
    </row>
    <row r="1342" spans="1:23" x14ac:dyDescent="0.35">
      <c r="A1342">
        <v>1339</v>
      </c>
      <c r="B1342">
        <v>942</v>
      </c>
      <c r="C1342">
        <v>1982</v>
      </c>
      <c r="D1342" s="1" t="s">
        <v>10</v>
      </c>
      <c r="E1342" s="1" t="s">
        <v>11</v>
      </c>
      <c r="F1342">
        <v>39660</v>
      </c>
      <c r="G1342">
        <v>1</v>
      </c>
      <c r="H1342" s="2">
        <v>0</v>
      </c>
      <c r="I1342" s="2">
        <v>41129</v>
      </c>
      <c r="J1342">
        <v>36</v>
      </c>
      <c r="K1342">
        <f>VLOOKUP(B1342,purchase_dataset!$B$2:$F$2241,2,FALSE)</f>
        <v>13</v>
      </c>
      <c r="L1342">
        <f>VLOOKUP(B1342,purchase_dataset!$B$2:$F$2241,3,FALSE)</f>
        <v>13</v>
      </c>
      <c r="M1342">
        <f>VLOOKUP(B1342,purchase_dataset!$B$2:$F$2241,3,FALSE)</f>
        <v>13</v>
      </c>
      <c r="N1342">
        <f>VLOOKUP(B1342,purchase_dataset!$B$2:$F$2241,5,FALSE)</f>
        <v>3</v>
      </c>
      <c r="O1342" s="5">
        <v>44</v>
      </c>
      <c r="P1342" s="4" t="str">
        <f t="shared" si="40"/>
        <v>30-50</v>
      </c>
      <c r="Q1342" s="4">
        <f>M1342+N1342</f>
        <v>16</v>
      </c>
      <c r="U1342" s="28" t="str" cm="1">
        <f t="array" ref="U1342">_xlfn.IFS(F1342&lt;30000,"30k",F1342&lt;=50000,"30k-50k",F1342&lt;=75000,"50k-75k",F1342&lt;=100000,"75k-100k",F1342&gt;100000,"100k")</f>
        <v>30k-50k</v>
      </c>
      <c r="W1342" s="1">
        <f t="shared" si="41"/>
        <v>14</v>
      </c>
    </row>
    <row r="1343" spans="1:23" x14ac:dyDescent="0.35">
      <c r="A1343">
        <v>1340</v>
      </c>
      <c r="B1343">
        <v>9386</v>
      </c>
      <c r="C1343">
        <v>1962</v>
      </c>
      <c r="D1343" s="1" t="s">
        <v>10</v>
      </c>
      <c r="E1343" s="1" t="s">
        <v>12</v>
      </c>
      <c r="F1343">
        <v>50127</v>
      </c>
      <c r="G1343">
        <v>0</v>
      </c>
      <c r="H1343" s="2">
        <v>1</v>
      </c>
      <c r="I1343" s="2">
        <v>41788</v>
      </c>
      <c r="J1343">
        <v>88</v>
      </c>
      <c r="K1343">
        <f>VLOOKUP(B1343,purchase_dataset!$B$2:$F$2241,2,FALSE)</f>
        <v>0</v>
      </c>
      <c r="L1343">
        <f>VLOOKUP(B1343,purchase_dataset!$B$2:$F$2241,3,FALSE)</f>
        <v>6</v>
      </c>
      <c r="M1343">
        <f>VLOOKUP(B1343,purchase_dataset!$B$2:$F$2241,3,FALSE)</f>
        <v>6</v>
      </c>
      <c r="N1343">
        <f>VLOOKUP(B1343,purchase_dataset!$B$2:$F$2241,5,FALSE)</f>
        <v>6</v>
      </c>
      <c r="O1343" s="5">
        <v>64</v>
      </c>
      <c r="P1343" s="4" t="str">
        <f t="shared" si="40"/>
        <v>&gt;50</v>
      </c>
      <c r="Q1343" s="4">
        <f>M1343+N1343</f>
        <v>12</v>
      </c>
      <c r="U1343" s="28" t="str" cm="1">
        <f t="array" ref="U1343">_xlfn.IFS(F1343&lt;30000,"30k",F1343&lt;=50000,"30k-50k",F1343&lt;=75000,"50k-75k",F1343&lt;=100000,"75k-100k",F1343&gt;100000,"100k")</f>
        <v>50k-75k</v>
      </c>
      <c r="W1343" s="1">
        <f t="shared" si="41"/>
        <v>12</v>
      </c>
    </row>
    <row r="1344" spans="1:23" x14ac:dyDescent="0.35">
      <c r="A1344">
        <v>1341</v>
      </c>
      <c r="B1344">
        <v>5510</v>
      </c>
      <c r="C1344">
        <v>1977</v>
      </c>
      <c r="D1344" s="1" t="s">
        <v>15</v>
      </c>
      <c r="E1344" s="1" t="s">
        <v>14</v>
      </c>
      <c r="F1344">
        <v>43263</v>
      </c>
      <c r="G1344">
        <v>0</v>
      </c>
      <c r="H1344" s="2">
        <v>1</v>
      </c>
      <c r="I1344" s="2">
        <v>41234</v>
      </c>
      <c r="J1344">
        <v>2</v>
      </c>
      <c r="K1344">
        <f>VLOOKUP(B1344,purchase_dataset!$B$2:$F$2241,2,FALSE)</f>
        <v>6</v>
      </c>
      <c r="L1344">
        <f>VLOOKUP(B1344,purchase_dataset!$B$2:$F$2241,3,FALSE)</f>
        <v>10</v>
      </c>
      <c r="M1344">
        <f>VLOOKUP(B1344,purchase_dataset!$B$2:$F$2241,3,FALSE)</f>
        <v>10</v>
      </c>
      <c r="N1344">
        <f>VLOOKUP(B1344,purchase_dataset!$B$2:$F$2241,5,FALSE)</f>
        <v>6</v>
      </c>
      <c r="O1344" s="5">
        <v>49</v>
      </c>
      <c r="P1344" s="4" t="str">
        <f t="shared" si="40"/>
        <v>30-50</v>
      </c>
      <c r="Q1344" s="4">
        <f>M1344+N1344</f>
        <v>16</v>
      </c>
      <c r="U1344" s="28" t="str" cm="1">
        <f t="array" ref="U1344">_xlfn.IFS(F1344&lt;30000,"30k",F1344&lt;=50000,"30k-50k",F1344&lt;=75000,"50k-75k",F1344&lt;=100000,"75k-100k",F1344&gt;100000,"100k")</f>
        <v>30k-50k</v>
      </c>
      <c r="W1344" s="1">
        <f t="shared" si="41"/>
        <v>14</v>
      </c>
    </row>
    <row r="1345" spans="1:23" x14ac:dyDescent="0.35">
      <c r="A1345">
        <v>1342</v>
      </c>
      <c r="B1345">
        <v>873</v>
      </c>
      <c r="C1345">
        <v>1949</v>
      </c>
      <c r="D1345" s="1" t="s">
        <v>15</v>
      </c>
      <c r="E1345" s="1" t="s">
        <v>14</v>
      </c>
      <c r="F1345">
        <v>62845</v>
      </c>
      <c r="G1345">
        <v>1</v>
      </c>
      <c r="H1345" s="2">
        <v>1</v>
      </c>
      <c r="I1345" s="2">
        <v>41183</v>
      </c>
      <c r="J1345">
        <v>3</v>
      </c>
      <c r="K1345">
        <f>VLOOKUP(B1345,purchase_dataset!$B$2:$F$2241,2,FALSE)</f>
        <v>0</v>
      </c>
      <c r="L1345">
        <f>VLOOKUP(B1345,purchase_dataset!$B$2:$F$2241,3,FALSE)</f>
        <v>0</v>
      </c>
      <c r="M1345">
        <f>VLOOKUP(B1345,purchase_dataset!$B$2:$F$2241,3,FALSE)</f>
        <v>0</v>
      </c>
      <c r="N1345">
        <f>VLOOKUP(B1345,purchase_dataset!$B$2:$F$2241,5,FALSE)</f>
        <v>10</v>
      </c>
      <c r="O1345" s="5">
        <v>77</v>
      </c>
      <c r="P1345" s="4" t="str">
        <f t="shared" si="40"/>
        <v>&gt;50</v>
      </c>
      <c r="Q1345" s="4">
        <f>M1345+N1345</f>
        <v>10</v>
      </c>
      <c r="U1345" s="28" t="str" cm="1">
        <f t="array" ref="U1345">_xlfn.IFS(F1345&lt;30000,"30k",F1345&lt;=50000,"30k-50k",F1345&lt;=75000,"50k-75k",F1345&lt;=100000,"75k-100k",F1345&gt;100000,"100k")</f>
        <v>50k-75k</v>
      </c>
      <c r="W1345" s="1">
        <f t="shared" si="41"/>
        <v>14</v>
      </c>
    </row>
    <row r="1346" spans="1:23" x14ac:dyDescent="0.35">
      <c r="A1346">
        <v>1343</v>
      </c>
      <c r="B1346">
        <v>2253</v>
      </c>
      <c r="C1346">
        <v>1990</v>
      </c>
      <c r="D1346" s="1" t="s">
        <v>10</v>
      </c>
      <c r="E1346" s="1" t="s">
        <v>14</v>
      </c>
      <c r="F1346">
        <v>18929</v>
      </c>
      <c r="G1346">
        <v>0</v>
      </c>
      <c r="H1346" s="2">
        <v>0</v>
      </c>
      <c r="I1346" s="2">
        <v>41321</v>
      </c>
      <c r="J1346">
        <v>15</v>
      </c>
      <c r="K1346">
        <f>VLOOKUP(B1346,purchase_dataset!$B$2:$F$2241,2,FALSE)</f>
        <v>0</v>
      </c>
      <c r="L1346">
        <f>VLOOKUP(B1346,purchase_dataset!$B$2:$F$2241,3,FALSE)</f>
        <v>4</v>
      </c>
      <c r="M1346">
        <f>VLOOKUP(B1346,purchase_dataset!$B$2:$F$2241,3,FALSE)</f>
        <v>4</v>
      </c>
      <c r="N1346">
        <f>VLOOKUP(B1346,purchase_dataset!$B$2:$F$2241,5,FALSE)</f>
        <v>4</v>
      </c>
      <c r="O1346" s="5">
        <v>36</v>
      </c>
      <c r="P1346" s="4" t="str">
        <f t="shared" si="40"/>
        <v>30-50</v>
      </c>
      <c r="Q1346" s="4">
        <f>M1346+N1346</f>
        <v>8</v>
      </c>
      <c r="U1346" s="28" t="str" cm="1">
        <f t="array" ref="U1346">_xlfn.IFS(F1346&lt;30000,"30k",F1346&lt;=50000,"30k-50k",F1346&lt;=75000,"50k-75k",F1346&lt;=100000,"75k-100k",F1346&gt;100000,"100k")</f>
        <v>30k</v>
      </c>
      <c r="W1346" s="1">
        <f t="shared" si="41"/>
        <v>13</v>
      </c>
    </row>
    <row r="1347" spans="1:23" x14ac:dyDescent="0.35">
      <c r="A1347">
        <v>1344</v>
      </c>
      <c r="B1347">
        <v>5181</v>
      </c>
      <c r="C1347">
        <v>1982</v>
      </c>
      <c r="D1347" s="1" t="s">
        <v>17</v>
      </c>
      <c r="E1347" s="1" t="s">
        <v>11</v>
      </c>
      <c r="F1347">
        <v>24367</v>
      </c>
      <c r="G1347">
        <v>1</v>
      </c>
      <c r="H1347" s="2">
        <v>0</v>
      </c>
      <c r="I1347" s="2">
        <v>41353</v>
      </c>
      <c r="J1347">
        <v>58</v>
      </c>
      <c r="K1347">
        <f>VLOOKUP(B1347,purchase_dataset!$B$2:$F$2241,2,FALSE)</f>
        <v>4</v>
      </c>
      <c r="L1347">
        <f>VLOOKUP(B1347,purchase_dataset!$B$2:$F$2241,3,FALSE)</f>
        <v>11</v>
      </c>
      <c r="M1347">
        <f>VLOOKUP(B1347,purchase_dataset!$B$2:$F$2241,3,FALSE)</f>
        <v>11</v>
      </c>
      <c r="N1347">
        <f>VLOOKUP(B1347,purchase_dataset!$B$2:$F$2241,5,FALSE)</f>
        <v>2</v>
      </c>
      <c r="O1347" s="5">
        <v>44</v>
      </c>
      <c r="P1347" s="4" t="str">
        <f t="shared" si="40"/>
        <v>30-50</v>
      </c>
      <c r="Q1347" s="4">
        <f>M1347+N1347</f>
        <v>13</v>
      </c>
      <c r="U1347" s="28" t="str" cm="1">
        <f t="array" ref="U1347">_xlfn.IFS(F1347&lt;30000,"30k",F1347&lt;=50000,"30k-50k",F1347&lt;=75000,"50k-75k",F1347&lt;=100000,"75k-100k",F1347&gt;100000,"100k")</f>
        <v>30k</v>
      </c>
      <c r="W1347" s="1">
        <f t="shared" si="41"/>
        <v>13</v>
      </c>
    </row>
    <row r="1348" spans="1:23" x14ac:dyDescent="0.35">
      <c r="A1348">
        <v>1345</v>
      </c>
      <c r="B1348">
        <v>979</v>
      </c>
      <c r="C1348">
        <v>1975</v>
      </c>
      <c r="D1348" s="1" t="s">
        <v>10</v>
      </c>
      <c r="E1348" s="1" t="s">
        <v>11</v>
      </c>
      <c r="F1348">
        <v>33249</v>
      </c>
      <c r="G1348">
        <v>1</v>
      </c>
      <c r="H1348" s="2">
        <v>0</v>
      </c>
      <c r="I1348" s="2">
        <v>41325</v>
      </c>
      <c r="J1348">
        <v>11</v>
      </c>
      <c r="K1348">
        <f>VLOOKUP(B1348,purchase_dataset!$B$2:$F$2241,2,FALSE)</f>
        <v>10</v>
      </c>
      <c r="L1348">
        <f>VLOOKUP(B1348,purchase_dataset!$B$2:$F$2241,3,FALSE)</f>
        <v>14</v>
      </c>
      <c r="M1348">
        <f>VLOOKUP(B1348,purchase_dataset!$B$2:$F$2241,3,FALSE)</f>
        <v>14</v>
      </c>
      <c r="N1348">
        <f>VLOOKUP(B1348,purchase_dataset!$B$2:$F$2241,5,FALSE)</f>
        <v>3</v>
      </c>
      <c r="O1348" s="5">
        <v>51</v>
      </c>
      <c r="P1348" s="4" t="str">
        <f t="shared" ref="P1348:P1411" si="42">IF(O1348&lt;30,"30",IF(O1348&lt;=50,"30-50","&gt;50"))</f>
        <v>&gt;50</v>
      </c>
      <c r="Q1348" s="4">
        <f>M1348+N1348</f>
        <v>17</v>
      </c>
      <c r="U1348" s="28" t="str" cm="1">
        <f t="array" ref="U1348">_xlfn.IFS(F1348&lt;30000,"30k",F1348&lt;=50000,"30k-50k",F1348&lt;=75000,"50k-75k",F1348&lt;=100000,"75k-100k",F1348&gt;100000,"100k")</f>
        <v>30k-50k</v>
      </c>
      <c r="W1348" s="1">
        <f t="shared" ref="W1348:W1411" si="43">2026-YEAR(I1348)</f>
        <v>13</v>
      </c>
    </row>
    <row r="1349" spans="1:23" x14ac:dyDescent="0.35">
      <c r="A1349">
        <v>1346</v>
      </c>
      <c r="B1349">
        <v>10390</v>
      </c>
      <c r="C1349">
        <v>1959</v>
      </c>
      <c r="D1349" s="1" t="s">
        <v>18</v>
      </c>
      <c r="E1349" s="1" t="s">
        <v>14</v>
      </c>
      <c r="F1349">
        <v>26887</v>
      </c>
      <c r="G1349">
        <v>0</v>
      </c>
      <c r="H1349" s="2">
        <v>1</v>
      </c>
      <c r="I1349" s="2">
        <v>41315</v>
      </c>
      <c r="J1349">
        <v>27</v>
      </c>
      <c r="K1349">
        <f>VLOOKUP(B1349,purchase_dataset!$B$2:$F$2241,2,FALSE)</f>
        <v>7</v>
      </c>
      <c r="L1349">
        <f>VLOOKUP(B1349,purchase_dataset!$B$2:$F$2241,3,FALSE)</f>
        <v>4</v>
      </c>
      <c r="M1349">
        <f>VLOOKUP(B1349,purchase_dataset!$B$2:$F$2241,3,FALSE)</f>
        <v>4</v>
      </c>
      <c r="N1349">
        <f>VLOOKUP(B1349,purchase_dataset!$B$2:$F$2241,5,FALSE)</f>
        <v>3</v>
      </c>
      <c r="O1349" s="5">
        <v>67</v>
      </c>
      <c r="P1349" s="4" t="str">
        <f t="shared" si="42"/>
        <v>&gt;50</v>
      </c>
      <c r="Q1349" s="4">
        <f>M1349+N1349</f>
        <v>7</v>
      </c>
      <c r="U1349" s="28" t="str" cm="1">
        <f t="array" ref="U1349">_xlfn.IFS(F1349&lt;30000,"30k",F1349&lt;=50000,"30k-50k",F1349&lt;=75000,"50k-75k",F1349&lt;=100000,"75k-100k",F1349&gt;100000,"100k")</f>
        <v>30k</v>
      </c>
      <c r="W1349" s="1">
        <f t="shared" si="43"/>
        <v>13</v>
      </c>
    </row>
    <row r="1350" spans="1:23" x14ac:dyDescent="0.35">
      <c r="A1350">
        <v>1347</v>
      </c>
      <c r="B1350">
        <v>4698</v>
      </c>
      <c r="C1350">
        <v>1983</v>
      </c>
      <c r="D1350" s="1" t="s">
        <v>13</v>
      </c>
      <c r="E1350" s="1" t="s">
        <v>14</v>
      </c>
      <c r="F1350">
        <v>50150</v>
      </c>
      <c r="G1350">
        <v>0</v>
      </c>
      <c r="H1350" s="2">
        <v>0</v>
      </c>
      <c r="I1350" s="2">
        <v>41445</v>
      </c>
      <c r="J1350">
        <v>32</v>
      </c>
      <c r="K1350">
        <f>VLOOKUP(B1350,purchase_dataset!$B$2:$F$2241,2,FALSE)</f>
        <v>46</v>
      </c>
      <c r="L1350">
        <f>VLOOKUP(B1350,purchase_dataset!$B$2:$F$2241,3,FALSE)</f>
        <v>61</v>
      </c>
      <c r="M1350">
        <f>VLOOKUP(B1350,purchase_dataset!$B$2:$F$2241,3,FALSE)</f>
        <v>61</v>
      </c>
      <c r="N1350">
        <f>VLOOKUP(B1350,purchase_dataset!$B$2:$F$2241,5,FALSE)</f>
        <v>7</v>
      </c>
      <c r="O1350" s="5">
        <v>43</v>
      </c>
      <c r="P1350" s="4" t="str">
        <f t="shared" si="42"/>
        <v>30-50</v>
      </c>
      <c r="Q1350" s="4">
        <f>M1350+N1350</f>
        <v>68</v>
      </c>
      <c r="U1350" s="28" t="str" cm="1">
        <f t="array" ref="U1350">_xlfn.IFS(F1350&lt;30000,"30k",F1350&lt;=50000,"30k-50k",F1350&lt;=75000,"50k-75k",F1350&lt;=100000,"75k-100k",F1350&gt;100000,"100k")</f>
        <v>50k-75k</v>
      </c>
      <c r="W1350" s="1">
        <f t="shared" si="43"/>
        <v>13</v>
      </c>
    </row>
    <row r="1351" spans="1:23" x14ac:dyDescent="0.35">
      <c r="A1351">
        <v>1348</v>
      </c>
      <c r="B1351">
        <v>7793</v>
      </c>
      <c r="C1351">
        <v>1976</v>
      </c>
      <c r="D1351" s="1" t="s">
        <v>10</v>
      </c>
      <c r="E1351" s="1" t="s">
        <v>12</v>
      </c>
      <c r="F1351">
        <v>62061</v>
      </c>
      <c r="G1351">
        <v>0</v>
      </c>
      <c r="H1351" s="2">
        <v>1</v>
      </c>
      <c r="I1351" s="2">
        <v>41517</v>
      </c>
      <c r="J1351">
        <v>12</v>
      </c>
      <c r="K1351">
        <f>VLOOKUP(B1351,purchase_dataset!$B$2:$F$2241,2,FALSE)</f>
        <v>7</v>
      </c>
      <c r="L1351">
        <f>VLOOKUP(B1351,purchase_dataset!$B$2:$F$2241,3,FALSE)</f>
        <v>30</v>
      </c>
      <c r="M1351">
        <f>VLOOKUP(B1351,purchase_dataset!$B$2:$F$2241,3,FALSE)</f>
        <v>30</v>
      </c>
      <c r="N1351">
        <f>VLOOKUP(B1351,purchase_dataset!$B$2:$F$2241,5,FALSE)</f>
        <v>7</v>
      </c>
      <c r="O1351" s="5">
        <v>50</v>
      </c>
      <c r="P1351" s="4" t="str">
        <f t="shared" si="42"/>
        <v>30-50</v>
      </c>
      <c r="Q1351" s="4">
        <f>M1351+N1351</f>
        <v>37</v>
      </c>
      <c r="U1351" s="28" t="str" cm="1">
        <f t="array" ref="U1351">_xlfn.IFS(F1351&lt;30000,"30k",F1351&lt;=50000,"30k-50k",F1351&lt;=75000,"50k-75k",F1351&lt;=100000,"75k-100k",F1351&gt;100000,"100k")</f>
        <v>50k-75k</v>
      </c>
      <c r="W1351" s="1">
        <f t="shared" si="43"/>
        <v>13</v>
      </c>
    </row>
    <row r="1352" spans="1:23" x14ac:dyDescent="0.35">
      <c r="A1352">
        <v>1349</v>
      </c>
      <c r="B1352">
        <v>1745</v>
      </c>
      <c r="C1352">
        <v>1962</v>
      </c>
      <c r="D1352" s="1" t="s">
        <v>13</v>
      </c>
      <c r="E1352" s="1" t="s">
        <v>16</v>
      </c>
      <c r="F1352">
        <v>85696</v>
      </c>
      <c r="G1352">
        <v>0</v>
      </c>
      <c r="H1352" s="2">
        <v>0</v>
      </c>
      <c r="I1352" s="2">
        <v>41397</v>
      </c>
      <c r="J1352">
        <v>88</v>
      </c>
      <c r="K1352">
        <f>VLOOKUP(B1352,purchase_dataset!$B$2:$F$2241,2,FALSE)</f>
        <v>76</v>
      </c>
      <c r="L1352">
        <f>VLOOKUP(B1352,purchase_dataset!$B$2:$F$2241,3,FALSE)</f>
        <v>0</v>
      </c>
      <c r="M1352">
        <f>VLOOKUP(B1352,purchase_dataset!$B$2:$F$2241,3,FALSE)</f>
        <v>0</v>
      </c>
      <c r="N1352">
        <f>VLOOKUP(B1352,purchase_dataset!$B$2:$F$2241,5,FALSE)</f>
        <v>9</v>
      </c>
      <c r="O1352" s="5">
        <v>64</v>
      </c>
      <c r="P1352" s="4" t="str">
        <f t="shared" si="42"/>
        <v>&gt;50</v>
      </c>
      <c r="Q1352" s="4">
        <f>M1352+N1352</f>
        <v>9</v>
      </c>
      <c r="U1352" s="28" t="str" cm="1">
        <f t="array" ref="U1352">_xlfn.IFS(F1352&lt;30000,"30k",F1352&lt;=50000,"30k-50k",F1352&lt;=75000,"50k-75k",F1352&lt;=100000,"75k-100k",F1352&gt;100000,"100k")</f>
        <v>75k-100k</v>
      </c>
      <c r="W1352" s="1">
        <f t="shared" si="43"/>
        <v>13</v>
      </c>
    </row>
    <row r="1353" spans="1:23" x14ac:dyDescent="0.35">
      <c r="A1353">
        <v>1350</v>
      </c>
      <c r="B1353">
        <v>10590</v>
      </c>
      <c r="C1353">
        <v>1956</v>
      </c>
      <c r="D1353" s="1" t="s">
        <v>13</v>
      </c>
      <c r="E1353" s="1" t="s">
        <v>12</v>
      </c>
      <c r="F1353">
        <v>76542</v>
      </c>
      <c r="G1353">
        <v>0</v>
      </c>
      <c r="H1353" s="2">
        <v>0</v>
      </c>
      <c r="I1353" s="2">
        <v>41363</v>
      </c>
      <c r="J1353">
        <v>91</v>
      </c>
      <c r="K1353">
        <f>VLOOKUP(B1353,purchase_dataset!$B$2:$F$2241,2,FALSE)</f>
        <v>73</v>
      </c>
      <c r="L1353">
        <f>VLOOKUP(B1353,purchase_dataset!$B$2:$F$2241,3,FALSE)</f>
        <v>29</v>
      </c>
      <c r="M1353">
        <f>VLOOKUP(B1353,purchase_dataset!$B$2:$F$2241,3,FALSE)</f>
        <v>29</v>
      </c>
      <c r="N1353">
        <f>VLOOKUP(B1353,purchase_dataset!$B$2:$F$2241,5,FALSE)</f>
        <v>10</v>
      </c>
      <c r="O1353" s="5">
        <v>70</v>
      </c>
      <c r="P1353" s="4" t="str">
        <f t="shared" si="42"/>
        <v>&gt;50</v>
      </c>
      <c r="Q1353" s="4">
        <f>M1353+N1353</f>
        <v>39</v>
      </c>
      <c r="U1353" s="28" t="str" cm="1">
        <f t="array" ref="U1353">_xlfn.IFS(F1353&lt;30000,"30k",F1353&lt;=50000,"30k-50k",F1353&lt;=75000,"50k-75k",F1353&lt;=100000,"75k-100k",F1353&gt;100000,"100k")</f>
        <v>75k-100k</v>
      </c>
      <c r="W1353" s="1">
        <f t="shared" si="43"/>
        <v>13</v>
      </c>
    </row>
    <row r="1354" spans="1:23" x14ac:dyDescent="0.35">
      <c r="A1354">
        <v>1351</v>
      </c>
      <c r="B1354">
        <v>5080</v>
      </c>
      <c r="C1354">
        <v>1993</v>
      </c>
      <c r="D1354" s="1" t="s">
        <v>10</v>
      </c>
      <c r="E1354" s="1" t="s">
        <v>11</v>
      </c>
      <c r="F1354">
        <v>70515</v>
      </c>
      <c r="G1354">
        <v>0</v>
      </c>
      <c r="H1354" s="2">
        <v>0</v>
      </c>
      <c r="I1354" s="2">
        <v>41568</v>
      </c>
      <c r="J1354">
        <v>12</v>
      </c>
      <c r="K1354">
        <f>VLOOKUP(B1354,purchase_dataset!$B$2:$F$2241,2,FALSE)</f>
        <v>0</v>
      </c>
      <c r="L1354">
        <f>VLOOKUP(B1354,purchase_dataset!$B$2:$F$2241,3,FALSE)</f>
        <v>64</v>
      </c>
      <c r="M1354">
        <f>VLOOKUP(B1354,purchase_dataset!$B$2:$F$2241,3,FALSE)</f>
        <v>64</v>
      </c>
      <c r="N1354">
        <f>VLOOKUP(B1354,purchase_dataset!$B$2:$F$2241,5,FALSE)</f>
        <v>4</v>
      </c>
      <c r="O1354" s="5">
        <v>33</v>
      </c>
      <c r="P1354" s="4" t="str">
        <f t="shared" si="42"/>
        <v>30-50</v>
      </c>
      <c r="Q1354" s="4">
        <f>M1354+N1354</f>
        <v>68</v>
      </c>
      <c r="U1354" s="28" t="str" cm="1">
        <f t="array" ref="U1354">_xlfn.IFS(F1354&lt;30000,"30k",F1354&lt;=50000,"30k-50k",F1354&lt;=75000,"50k-75k",F1354&lt;=100000,"75k-100k",F1354&gt;100000,"100k")</f>
        <v>50k-75k</v>
      </c>
      <c r="W1354" s="1">
        <f t="shared" si="43"/>
        <v>13</v>
      </c>
    </row>
    <row r="1355" spans="1:23" x14ac:dyDescent="0.35">
      <c r="A1355">
        <v>1352</v>
      </c>
      <c r="B1355">
        <v>8369</v>
      </c>
      <c r="C1355">
        <v>1987</v>
      </c>
      <c r="D1355" s="1" t="s">
        <v>10</v>
      </c>
      <c r="E1355" s="1" t="s">
        <v>12</v>
      </c>
      <c r="F1355">
        <v>18227</v>
      </c>
      <c r="G1355">
        <v>1</v>
      </c>
      <c r="H1355" s="2">
        <v>0</v>
      </c>
      <c r="I1355" s="2">
        <v>41221</v>
      </c>
      <c r="J1355">
        <v>21</v>
      </c>
      <c r="K1355">
        <f>VLOOKUP(B1355,purchase_dataset!$B$2:$F$2241,2,FALSE)</f>
        <v>2</v>
      </c>
      <c r="L1355">
        <f>VLOOKUP(B1355,purchase_dataset!$B$2:$F$2241,3,FALSE)</f>
        <v>3</v>
      </c>
      <c r="M1355">
        <f>VLOOKUP(B1355,purchase_dataset!$B$2:$F$2241,3,FALSE)</f>
        <v>3</v>
      </c>
      <c r="N1355">
        <f>VLOOKUP(B1355,purchase_dataset!$B$2:$F$2241,5,FALSE)</f>
        <v>2</v>
      </c>
      <c r="O1355" s="5">
        <v>39</v>
      </c>
      <c r="P1355" s="4" t="str">
        <f t="shared" si="42"/>
        <v>30-50</v>
      </c>
      <c r="Q1355" s="4">
        <f>M1355+N1355</f>
        <v>5</v>
      </c>
      <c r="U1355" s="28" t="str" cm="1">
        <f t="array" ref="U1355">_xlfn.IFS(F1355&lt;30000,"30k",F1355&lt;=50000,"30k-50k",F1355&lt;=75000,"50k-75k",F1355&lt;=100000,"75k-100k",F1355&gt;100000,"100k")</f>
        <v>30k</v>
      </c>
      <c r="W1355" s="1">
        <f t="shared" si="43"/>
        <v>14</v>
      </c>
    </row>
    <row r="1356" spans="1:23" x14ac:dyDescent="0.35">
      <c r="A1356">
        <v>1353</v>
      </c>
      <c r="B1356">
        <v>5232</v>
      </c>
      <c r="C1356">
        <v>1965</v>
      </c>
      <c r="D1356" s="1" t="s">
        <v>10</v>
      </c>
      <c r="E1356" s="1" t="s">
        <v>14</v>
      </c>
      <c r="F1356">
        <v>69139</v>
      </c>
      <c r="G1356">
        <v>0</v>
      </c>
      <c r="H1356" s="2">
        <v>1</v>
      </c>
      <c r="I1356" s="2">
        <v>41666</v>
      </c>
      <c r="J1356">
        <v>23</v>
      </c>
      <c r="K1356">
        <f>VLOOKUP(B1356,purchase_dataset!$B$2:$F$2241,2,FALSE)</f>
        <v>12</v>
      </c>
      <c r="L1356">
        <f>VLOOKUP(B1356,purchase_dataset!$B$2:$F$2241,3,FALSE)</f>
        <v>15</v>
      </c>
      <c r="M1356">
        <f>VLOOKUP(B1356,purchase_dataset!$B$2:$F$2241,3,FALSE)</f>
        <v>15</v>
      </c>
      <c r="N1356">
        <f>VLOOKUP(B1356,purchase_dataset!$B$2:$F$2241,5,FALSE)</f>
        <v>5</v>
      </c>
      <c r="O1356" s="5">
        <v>61</v>
      </c>
      <c r="P1356" s="4" t="str">
        <f t="shared" si="42"/>
        <v>&gt;50</v>
      </c>
      <c r="Q1356" s="4">
        <f>M1356+N1356</f>
        <v>20</v>
      </c>
      <c r="U1356" s="28" t="str" cm="1">
        <f t="array" ref="U1356">_xlfn.IFS(F1356&lt;30000,"30k",F1356&lt;=50000,"30k-50k",F1356&lt;=75000,"50k-75k",F1356&lt;=100000,"75k-100k",F1356&gt;100000,"100k")</f>
        <v>50k-75k</v>
      </c>
      <c r="W1356" s="1">
        <f t="shared" si="43"/>
        <v>12</v>
      </c>
    </row>
    <row r="1357" spans="1:23" x14ac:dyDescent="0.35">
      <c r="A1357">
        <v>1354</v>
      </c>
      <c r="B1357">
        <v>2407</v>
      </c>
      <c r="C1357">
        <v>1982</v>
      </c>
      <c r="D1357" s="1" t="s">
        <v>10</v>
      </c>
      <c r="E1357" s="1" t="s">
        <v>14</v>
      </c>
      <c r="F1357">
        <v>69109</v>
      </c>
      <c r="G1357">
        <v>0</v>
      </c>
      <c r="H1357" s="2">
        <v>0</v>
      </c>
      <c r="I1357" s="2">
        <v>41222</v>
      </c>
      <c r="J1357">
        <v>10</v>
      </c>
      <c r="K1357">
        <f>VLOOKUP(B1357,purchase_dataset!$B$2:$F$2241,2,FALSE)</f>
        <v>25</v>
      </c>
      <c r="L1357">
        <f>VLOOKUP(B1357,purchase_dataset!$B$2:$F$2241,3,FALSE)</f>
        <v>29</v>
      </c>
      <c r="M1357">
        <f>VLOOKUP(B1357,purchase_dataset!$B$2:$F$2241,3,FALSE)</f>
        <v>29</v>
      </c>
      <c r="N1357">
        <f>VLOOKUP(B1357,purchase_dataset!$B$2:$F$2241,5,FALSE)</f>
        <v>7</v>
      </c>
      <c r="O1357" s="5">
        <v>44</v>
      </c>
      <c r="P1357" s="4" t="str">
        <f t="shared" si="42"/>
        <v>30-50</v>
      </c>
      <c r="Q1357" s="4">
        <f>M1357+N1357</f>
        <v>36</v>
      </c>
      <c r="U1357" s="28" t="str" cm="1">
        <f t="array" ref="U1357">_xlfn.IFS(F1357&lt;30000,"30k",F1357&lt;=50000,"30k-50k",F1357&lt;=75000,"50k-75k",F1357&lt;=100000,"75k-100k",F1357&gt;100000,"100k")</f>
        <v>50k-75k</v>
      </c>
      <c r="W1357" s="1">
        <f t="shared" si="43"/>
        <v>14</v>
      </c>
    </row>
    <row r="1358" spans="1:23" x14ac:dyDescent="0.35">
      <c r="A1358">
        <v>1355</v>
      </c>
      <c r="B1358">
        <v>3834</v>
      </c>
      <c r="C1358">
        <v>1962</v>
      </c>
      <c r="D1358" s="1" t="s">
        <v>10</v>
      </c>
      <c r="E1358" s="1" t="s">
        <v>11</v>
      </c>
      <c r="F1358">
        <v>69627</v>
      </c>
      <c r="G1358">
        <v>0</v>
      </c>
      <c r="H1358" s="2">
        <v>1</v>
      </c>
      <c r="I1358" s="2">
        <v>41350</v>
      </c>
      <c r="J1358">
        <v>35</v>
      </c>
      <c r="K1358">
        <f>VLOOKUP(B1358,purchase_dataset!$B$2:$F$2241,2,FALSE)</f>
        <v>161</v>
      </c>
      <c r="L1358">
        <f>VLOOKUP(B1358,purchase_dataset!$B$2:$F$2241,3,FALSE)</f>
        <v>30</v>
      </c>
      <c r="M1358">
        <f>VLOOKUP(B1358,purchase_dataset!$B$2:$F$2241,3,FALSE)</f>
        <v>30</v>
      </c>
      <c r="N1358">
        <f>VLOOKUP(B1358,purchase_dataset!$B$2:$F$2241,5,FALSE)</f>
        <v>11</v>
      </c>
      <c r="O1358" s="5">
        <v>64</v>
      </c>
      <c r="P1358" s="4" t="str">
        <f t="shared" si="42"/>
        <v>&gt;50</v>
      </c>
      <c r="Q1358" s="4">
        <f>M1358+N1358</f>
        <v>41</v>
      </c>
      <c r="U1358" s="28" t="str" cm="1">
        <f t="array" ref="U1358">_xlfn.IFS(F1358&lt;30000,"30k",F1358&lt;=50000,"30k-50k",F1358&lt;=75000,"50k-75k",F1358&lt;=100000,"75k-100k",F1358&gt;100000,"100k")</f>
        <v>50k-75k</v>
      </c>
      <c r="W1358" s="1">
        <f t="shared" si="43"/>
        <v>13</v>
      </c>
    </row>
    <row r="1359" spans="1:23" x14ac:dyDescent="0.35">
      <c r="A1359">
        <v>1356</v>
      </c>
      <c r="B1359">
        <v>7912</v>
      </c>
      <c r="C1359">
        <v>1978</v>
      </c>
      <c r="D1359" s="1" t="s">
        <v>10</v>
      </c>
      <c r="E1359" s="1" t="s">
        <v>14</v>
      </c>
      <c r="F1359">
        <v>38136</v>
      </c>
      <c r="G1359">
        <v>1</v>
      </c>
      <c r="H1359" s="2">
        <v>0</v>
      </c>
      <c r="I1359" s="2">
        <v>41386</v>
      </c>
      <c r="J1359">
        <v>69</v>
      </c>
      <c r="K1359">
        <f>VLOOKUP(B1359,purchase_dataset!$B$2:$F$2241,2,FALSE)</f>
        <v>15</v>
      </c>
      <c r="L1359">
        <f>VLOOKUP(B1359,purchase_dataset!$B$2:$F$2241,3,FALSE)</f>
        <v>20</v>
      </c>
      <c r="M1359">
        <f>VLOOKUP(B1359,purchase_dataset!$B$2:$F$2241,3,FALSE)</f>
        <v>20</v>
      </c>
      <c r="N1359">
        <f>VLOOKUP(B1359,purchase_dataset!$B$2:$F$2241,5,FALSE)</f>
        <v>2</v>
      </c>
      <c r="O1359" s="5">
        <v>48</v>
      </c>
      <c r="P1359" s="4" t="str">
        <f t="shared" si="42"/>
        <v>30-50</v>
      </c>
      <c r="Q1359" s="4">
        <f>M1359+N1359</f>
        <v>22</v>
      </c>
      <c r="U1359" s="28" t="str" cm="1">
        <f t="array" ref="U1359">_xlfn.IFS(F1359&lt;30000,"30k",F1359&lt;=50000,"30k-50k",F1359&lt;=75000,"50k-75k",F1359&lt;=100000,"75k-100k",F1359&gt;100000,"100k")</f>
        <v>30k-50k</v>
      </c>
      <c r="W1359" s="1">
        <f t="shared" si="43"/>
        <v>13</v>
      </c>
    </row>
    <row r="1360" spans="1:23" x14ac:dyDescent="0.35">
      <c r="A1360">
        <v>1357</v>
      </c>
      <c r="B1360">
        <v>7712</v>
      </c>
      <c r="C1360">
        <v>1946</v>
      </c>
      <c r="D1360" s="1" t="s">
        <v>13</v>
      </c>
      <c r="E1360" s="1" t="s">
        <v>11</v>
      </c>
      <c r="F1360">
        <v>62159</v>
      </c>
      <c r="G1360">
        <v>0</v>
      </c>
      <c r="H1360" s="2">
        <v>0</v>
      </c>
      <c r="I1360" s="2">
        <v>41757</v>
      </c>
      <c r="J1360">
        <v>68</v>
      </c>
      <c r="K1360">
        <f>VLOOKUP(B1360,purchase_dataset!$B$2:$F$2241,2,FALSE)</f>
        <v>17</v>
      </c>
      <c r="L1360">
        <f>VLOOKUP(B1360,purchase_dataset!$B$2:$F$2241,3,FALSE)</f>
        <v>70</v>
      </c>
      <c r="M1360">
        <f>VLOOKUP(B1360,purchase_dataset!$B$2:$F$2241,3,FALSE)</f>
        <v>70</v>
      </c>
      <c r="N1360">
        <f>VLOOKUP(B1360,purchase_dataset!$B$2:$F$2241,5,FALSE)</f>
        <v>10</v>
      </c>
      <c r="O1360" s="5">
        <v>80</v>
      </c>
      <c r="P1360" s="4" t="str">
        <f t="shared" si="42"/>
        <v>&gt;50</v>
      </c>
      <c r="Q1360" s="4">
        <f>M1360+N1360</f>
        <v>80</v>
      </c>
      <c r="U1360" s="28" t="str" cm="1">
        <f t="array" ref="U1360">_xlfn.IFS(F1360&lt;30000,"30k",F1360&lt;=50000,"30k-50k",F1360&lt;=75000,"50k-75k",F1360&lt;=100000,"75k-100k",F1360&gt;100000,"100k")</f>
        <v>50k-75k</v>
      </c>
      <c r="W1360" s="1">
        <f t="shared" si="43"/>
        <v>12</v>
      </c>
    </row>
    <row r="1361" spans="1:23" x14ac:dyDescent="0.35">
      <c r="A1361">
        <v>1358</v>
      </c>
      <c r="B1361">
        <v>1065</v>
      </c>
      <c r="C1361">
        <v>1963</v>
      </c>
      <c r="D1361" s="1" t="s">
        <v>10</v>
      </c>
      <c r="E1361" s="1" t="s">
        <v>11</v>
      </c>
      <c r="F1361">
        <v>80695</v>
      </c>
      <c r="G1361">
        <v>0</v>
      </c>
      <c r="H1361" s="2">
        <v>0</v>
      </c>
      <c r="I1361" s="2">
        <v>41637</v>
      </c>
      <c r="J1361">
        <v>85</v>
      </c>
      <c r="K1361">
        <f>VLOOKUP(B1361,purchase_dataset!$B$2:$F$2241,2,FALSE)</f>
        <v>129</v>
      </c>
      <c r="L1361">
        <f>VLOOKUP(B1361,purchase_dataset!$B$2:$F$2241,3,FALSE)</f>
        <v>37</v>
      </c>
      <c r="M1361">
        <f>VLOOKUP(B1361,purchase_dataset!$B$2:$F$2241,3,FALSE)</f>
        <v>37</v>
      </c>
      <c r="N1361">
        <f>VLOOKUP(B1361,purchase_dataset!$B$2:$F$2241,5,FALSE)</f>
        <v>5</v>
      </c>
      <c r="O1361" s="5">
        <v>63</v>
      </c>
      <c r="P1361" s="4" t="str">
        <f t="shared" si="42"/>
        <v>&gt;50</v>
      </c>
      <c r="Q1361" s="4">
        <f>M1361+N1361</f>
        <v>42</v>
      </c>
      <c r="U1361" s="28" t="str" cm="1">
        <f t="array" ref="U1361">_xlfn.IFS(F1361&lt;30000,"30k",F1361&lt;=50000,"30k-50k",F1361&lt;=75000,"50k-75k",F1361&lt;=100000,"75k-100k",F1361&gt;100000,"100k")</f>
        <v>75k-100k</v>
      </c>
      <c r="W1361" s="1">
        <f t="shared" si="43"/>
        <v>13</v>
      </c>
    </row>
    <row r="1362" spans="1:23" x14ac:dyDescent="0.35">
      <c r="A1362">
        <v>1359</v>
      </c>
      <c r="B1362">
        <v>7275</v>
      </c>
      <c r="C1362">
        <v>1971</v>
      </c>
      <c r="D1362" s="1" t="s">
        <v>15</v>
      </c>
      <c r="E1362" s="1" t="s">
        <v>11</v>
      </c>
      <c r="F1362">
        <v>33316</v>
      </c>
      <c r="G1362">
        <v>1</v>
      </c>
      <c r="H1362" s="2">
        <v>1</v>
      </c>
      <c r="I1362" s="2">
        <v>41551</v>
      </c>
      <c r="J1362">
        <v>34</v>
      </c>
      <c r="K1362">
        <f>VLOOKUP(B1362,purchase_dataset!$B$2:$F$2241,2,FALSE)</f>
        <v>1</v>
      </c>
      <c r="L1362">
        <f>VLOOKUP(B1362,purchase_dataset!$B$2:$F$2241,3,FALSE)</f>
        <v>4</v>
      </c>
      <c r="M1362">
        <f>VLOOKUP(B1362,purchase_dataset!$B$2:$F$2241,3,FALSE)</f>
        <v>4</v>
      </c>
      <c r="N1362">
        <f>VLOOKUP(B1362,purchase_dataset!$B$2:$F$2241,5,FALSE)</f>
        <v>4</v>
      </c>
      <c r="O1362" s="5">
        <v>55</v>
      </c>
      <c r="P1362" s="4" t="str">
        <f t="shared" si="42"/>
        <v>&gt;50</v>
      </c>
      <c r="Q1362" s="4">
        <f>M1362+N1362</f>
        <v>8</v>
      </c>
      <c r="U1362" s="28" t="str" cm="1">
        <f t="array" ref="U1362">_xlfn.IFS(F1362&lt;30000,"30k",F1362&lt;=50000,"30k-50k",F1362&lt;=75000,"50k-75k",F1362&lt;=100000,"75k-100k",F1362&gt;100000,"100k")</f>
        <v>30k-50k</v>
      </c>
      <c r="W1362" s="1">
        <f t="shared" si="43"/>
        <v>13</v>
      </c>
    </row>
    <row r="1363" spans="1:23" x14ac:dyDescent="0.35">
      <c r="A1363">
        <v>1360</v>
      </c>
      <c r="B1363">
        <v>1343</v>
      </c>
      <c r="C1363">
        <v>1968</v>
      </c>
      <c r="D1363" s="1" t="s">
        <v>10</v>
      </c>
      <c r="E1363" s="1" t="s">
        <v>12</v>
      </c>
      <c r="F1363">
        <v>58554</v>
      </c>
      <c r="G1363">
        <v>1</v>
      </c>
      <c r="H1363" s="2">
        <v>1</v>
      </c>
      <c r="I1363" s="2">
        <v>41178</v>
      </c>
      <c r="J1363">
        <v>55</v>
      </c>
      <c r="K1363">
        <f>VLOOKUP(B1363,purchase_dataset!$B$2:$F$2241,2,FALSE)</f>
        <v>24</v>
      </c>
      <c r="L1363">
        <f>VLOOKUP(B1363,purchase_dataset!$B$2:$F$2241,3,FALSE)</f>
        <v>0</v>
      </c>
      <c r="M1363">
        <f>VLOOKUP(B1363,purchase_dataset!$B$2:$F$2241,3,FALSE)</f>
        <v>0</v>
      </c>
      <c r="N1363">
        <f>VLOOKUP(B1363,purchase_dataset!$B$2:$F$2241,5,FALSE)</f>
        <v>6</v>
      </c>
      <c r="O1363" s="5">
        <v>58</v>
      </c>
      <c r="P1363" s="4" t="str">
        <f t="shared" si="42"/>
        <v>&gt;50</v>
      </c>
      <c r="Q1363" s="4">
        <f>M1363+N1363</f>
        <v>6</v>
      </c>
      <c r="U1363" s="28" t="str" cm="1">
        <f t="array" ref="U1363">_xlfn.IFS(F1363&lt;30000,"30k",F1363&lt;=50000,"30k-50k",F1363&lt;=75000,"50k-75k",F1363&lt;=100000,"75k-100k",F1363&gt;100000,"100k")</f>
        <v>50k-75k</v>
      </c>
      <c r="W1363" s="1">
        <f t="shared" si="43"/>
        <v>14</v>
      </c>
    </row>
    <row r="1364" spans="1:23" x14ac:dyDescent="0.35">
      <c r="A1364">
        <v>1361</v>
      </c>
      <c r="B1364">
        <v>1384</v>
      </c>
      <c r="C1364">
        <v>1992</v>
      </c>
      <c r="D1364" s="1" t="s">
        <v>17</v>
      </c>
      <c r="E1364" s="1" t="s">
        <v>14</v>
      </c>
      <c r="F1364">
        <v>17256</v>
      </c>
      <c r="G1364">
        <v>1</v>
      </c>
      <c r="H1364" s="2">
        <v>0</v>
      </c>
      <c r="I1364" s="2">
        <v>41601</v>
      </c>
      <c r="J1364">
        <v>10</v>
      </c>
      <c r="K1364">
        <f>VLOOKUP(B1364,purchase_dataset!$B$2:$F$2241,2,FALSE)</f>
        <v>4</v>
      </c>
      <c r="L1364">
        <f>VLOOKUP(B1364,purchase_dataset!$B$2:$F$2241,3,FALSE)</f>
        <v>8</v>
      </c>
      <c r="M1364">
        <f>VLOOKUP(B1364,purchase_dataset!$B$2:$F$2241,3,FALSE)</f>
        <v>8</v>
      </c>
      <c r="N1364">
        <f>VLOOKUP(B1364,purchase_dataset!$B$2:$F$2241,5,FALSE)</f>
        <v>2</v>
      </c>
      <c r="O1364" s="5">
        <v>34</v>
      </c>
      <c r="P1364" s="4" t="str">
        <f t="shared" si="42"/>
        <v>30-50</v>
      </c>
      <c r="Q1364" s="4">
        <f>M1364+N1364</f>
        <v>10</v>
      </c>
      <c r="U1364" s="28" t="str" cm="1">
        <f t="array" ref="U1364">_xlfn.IFS(F1364&lt;30000,"30k",F1364&lt;=50000,"30k-50k",F1364&lt;=75000,"50k-75k",F1364&lt;=100000,"75k-100k",F1364&gt;100000,"100k")</f>
        <v>30k</v>
      </c>
      <c r="W1364" s="1">
        <f t="shared" si="43"/>
        <v>13</v>
      </c>
    </row>
    <row r="1365" spans="1:23" x14ac:dyDescent="0.35">
      <c r="A1365">
        <v>1362</v>
      </c>
      <c r="B1365">
        <v>9967</v>
      </c>
      <c r="C1365">
        <v>1974</v>
      </c>
      <c r="D1365" s="1" t="s">
        <v>10</v>
      </c>
      <c r="E1365" s="1" t="s">
        <v>16</v>
      </c>
      <c r="F1365">
        <v>53034</v>
      </c>
      <c r="G1365">
        <v>1</v>
      </c>
      <c r="H1365" s="2">
        <v>1</v>
      </c>
      <c r="I1365" s="2">
        <v>41424</v>
      </c>
      <c r="J1365">
        <v>30</v>
      </c>
      <c r="K1365">
        <f>VLOOKUP(B1365,purchase_dataset!$B$2:$F$2241,2,FALSE)</f>
        <v>15</v>
      </c>
      <c r="L1365">
        <f>VLOOKUP(B1365,purchase_dataset!$B$2:$F$2241,3,FALSE)</f>
        <v>11</v>
      </c>
      <c r="M1365">
        <f>VLOOKUP(B1365,purchase_dataset!$B$2:$F$2241,3,FALSE)</f>
        <v>11</v>
      </c>
      <c r="N1365">
        <f>VLOOKUP(B1365,purchase_dataset!$B$2:$F$2241,5,FALSE)</f>
        <v>7</v>
      </c>
      <c r="O1365" s="5">
        <v>52</v>
      </c>
      <c r="P1365" s="4" t="str">
        <f t="shared" si="42"/>
        <v>&gt;50</v>
      </c>
      <c r="Q1365" s="4">
        <f>M1365+N1365</f>
        <v>18</v>
      </c>
      <c r="U1365" s="28" t="str" cm="1">
        <f t="array" ref="U1365">_xlfn.IFS(F1365&lt;30000,"30k",F1365&lt;=50000,"30k-50k",F1365&lt;=75000,"50k-75k",F1365&lt;=100000,"75k-100k",F1365&gt;100000,"100k")</f>
        <v>50k-75k</v>
      </c>
      <c r="W1365" s="1">
        <f t="shared" si="43"/>
        <v>13</v>
      </c>
    </row>
    <row r="1366" spans="1:23" x14ac:dyDescent="0.35">
      <c r="A1366">
        <v>1363</v>
      </c>
      <c r="B1366">
        <v>6181</v>
      </c>
      <c r="C1366">
        <v>1950</v>
      </c>
      <c r="D1366" s="1" t="s">
        <v>18</v>
      </c>
      <c r="E1366" s="1" t="s">
        <v>12</v>
      </c>
      <c r="F1366">
        <v>52203</v>
      </c>
      <c r="G1366">
        <v>0</v>
      </c>
      <c r="H1366" s="2">
        <v>0</v>
      </c>
      <c r="I1366" s="2">
        <v>41121</v>
      </c>
      <c r="J1366">
        <v>36</v>
      </c>
      <c r="K1366">
        <f>VLOOKUP(B1366,purchase_dataset!$B$2:$F$2241,2,FALSE)</f>
        <v>21</v>
      </c>
      <c r="L1366">
        <f>VLOOKUP(B1366,purchase_dataset!$B$2:$F$2241,3,FALSE)</f>
        <v>108</v>
      </c>
      <c r="M1366">
        <f>VLOOKUP(B1366,purchase_dataset!$B$2:$F$2241,3,FALSE)</f>
        <v>108</v>
      </c>
      <c r="N1366">
        <f>VLOOKUP(B1366,purchase_dataset!$B$2:$F$2241,5,FALSE)</f>
        <v>11</v>
      </c>
      <c r="O1366" s="5">
        <v>76</v>
      </c>
      <c r="P1366" s="4" t="str">
        <f t="shared" si="42"/>
        <v>&gt;50</v>
      </c>
      <c r="Q1366" s="4">
        <f>M1366+N1366</f>
        <v>119</v>
      </c>
      <c r="U1366" s="28" t="str" cm="1">
        <f t="array" ref="U1366">_xlfn.IFS(F1366&lt;30000,"30k",F1366&lt;=50000,"30k-50k",F1366&lt;=75000,"50k-75k",F1366&lt;=100000,"75k-100k",F1366&gt;100000,"100k")</f>
        <v>50k-75k</v>
      </c>
      <c r="W1366" s="1">
        <f t="shared" si="43"/>
        <v>14</v>
      </c>
    </row>
    <row r="1367" spans="1:23" x14ac:dyDescent="0.35">
      <c r="A1367">
        <v>1364</v>
      </c>
      <c r="B1367">
        <v>10507</v>
      </c>
      <c r="C1367">
        <v>1977</v>
      </c>
      <c r="D1367" s="1" t="s">
        <v>18</v>
      </c>
      <c r="E1367" s="1" t="s">
        <v>16</v>
      </c>
      <c r="F1367">
        <v>59601</v>
      </c>
      <c r="G1367">
        <v>0</v>
      </c>
      <c r="H1367" s="2">
        <v>1</v>
      </c>
      <c r="I1367" s="2">
        <v>41480</v>
      </c>
      <c r="J1367">
        <v>14</v>
      </c>
      <c r="K1367">
        <f>VLOOKUP(B1367,purchase_dataset!$B$2:$F$2241,2,FALSE)</f>
        <v>7</v>
      </c>
      <c r="L1367">
        <f>VLOOKUP(B1367,purchase_dataset!$B$2:$F$2241,3,FALSE)</f>
        <v>7</v>
      </c>
      <c r="M1367">
        <f>VLOOKUP(B1367,purchase_dataset!$B$2:$F$2241,3,FALSE)</f>
        <v>7</v>
      </c>
      <c r="N1367">
        <f>VLOOKUP(B1367,purchase_dataset!$B$2:$F$2241,5,FALSE)</f>
        <v>7</v>
      </c>
      <c r="O1367" s="5">
        <v>49</v>
      </c>
      <c r="P1367" s="4" t="str">
        <f t="shared" si="42"/>
        <v>30-50</v>
      </c>
      <c r="Q1367" s="4">
        <f>M1367+N1367</f>
        <v>14</v>
      </c>
      <c r="U1367" s="28" t="str" cm="1">
        <f t="array" ref="U1367">_xlfn.IFS(F1367&lt;30000,"30k",F1367&lt;=50000,"30k-50k",F1367&lt;=75000,"50k-75k",F1367&lt;=100000,"75k-100k",F1367&gt;100000,"100k")</f>
        <v>50k-75k</v>
      </c>
      <c r="W1367" s="1">
        <f t="shared" si="43"/>
        <v>13</v>
      </c>
    </row>
    <row r="1368" spans="1:23" x14ac:dyDescent="0.35">
      <c r="A1368">
        <v>1365</v>
      </c>
      <c r="B1368">
        <v>2674</v>
      </c>
      <c r="C1368">
        <v>1958</v>
      </c>
      <c r="D1368" s="1" t="s">
        <v>15</v>
      </c>
      <c r="E1368" s="1" t="s">
        <v>11</v>
      </c>
      <c r="F1368">
        <v>75154</v>
      </c>
      <c r="G1368">
        <v>0</v>
      </c>
      <c r="H1368" s="2">
        <v>1</v>
      </c>
      <c r="I1368" s="2">
        <v>41156</v>
      </c>
      <c r="J1368">
        <v>79</v>
      </c>
      <c r="K1368">
        <f>VLOOKUP(B1368,purchase_dataset!$B$2:$F$2241,2,FALSE)</f>
        <v>10</v>
      </c>
      <c r="L1368">
        <f>VLOOKUP(B1368,purchase_dataset!$B$2:$F$2241,3,FALSE)</f>
        <v>143</v>
      </c>
      <c r="M1368">
        <f>VLOOKUP(B1368,purchase_dataset!$B$2:$F$2241,3,FALSE)</f>
        <v>143</v>
      </c>
      <c r="N1368">
        <f>VLOOKUP(B1368,purchase_dataset!$B$2:$F$2241,5,FALSE)</f>
        <v>6</v>
      </c>
      <c r="O1368" s="5">
        <v>68</v>
      </c>
      <c r="P1368" s="4" t="str">
        <f t="shared" si="42"/>
        <v>&gt;50</v>
      </c>
      <c r="Q1368" s="4">
        <f>M1368+N1368</f>
        <v>149</v>
      </c>
      <c r="U1368" s="28" t="str" cm="1">
        <f t="array" ref="U1368">_xlfn.IFS(F1368&lt;30000,"30k",F1368&lt;=50000,"30k-50k",F1368&lt;=75000,"50k-75k",F1368&lt;=100000,"75k-100k",F1368&gt;100000,"100k")</f>
        <v>75k-100k</v>
      </c>
      <c r="W1368" s="1">
        <f t="shared" si="43"/>
        <v>14</v>
      </c>
    </row>
    <row r="1369" spans="1:23" x14ac:dyDescent="0.35">
      <c r="A1369">
        <v>1366</v>
      </c>
      <c r="B1369">
        <v>2698</v>
      </c>
      <c r="C1369">
        <v>1976</v>
      </c>
      <c r="D1369" s="1" t="s">
        <v>10</v>
      </c>
      <c r="E1369" s="1" t="s">
        <v>11</v>
      </c>
      <c r="F1369">
        <v>47025</v>
      </c>
      <c r="G1369">
        <v>0</v>
      </c>
      <c r="H1369" s="2">
        <v>1</v>
      </c>
      <c r="I1369" s="2">
        <v>41585</v>
      </c>
      <c r="J1369">
        <v>52</v>
      </c>
      <c r="K1369">
        <f>VLOOKUP(B1369,purchase_dataset!$B$2:$F$2241,2,FALSE)</f>
        <v>7</v>
      </c>
      <c r="L1369">
        <f>VLOOKUP(B1369,purchase_dataset!$B$2:$F$2241,3,FALSE)</f>
        <v>0</v>
      </c>
      <c r="M1369">
        <f>VLOOKUP(B1369,purchase_dataset!$B$2:$F$2241,3,FALSE)</f>
        <v>0</v>
      </c>
      <c r="N1369">
        <f>VLOOKUP(B1369,purchase_dataset!$B$2:$F$2241,5,FALSE)</f>
        <v>5</v>
      </c>
      <c r="O1369" s="5">
        <v>50</v>
      </c>
      <c r="P1369" s="4" t="str">
        <f t="shared" si="42"/>
        <v>30-50</v>
      </c>
      <c r="Q1369" s="4">
        <f>M1369+N1369</f>
        <v>5</v>
      </c>
      <c r="U1369" s="28" t="str" cm="1">
        <f t="array" ref="U1369">_xlfn.IFS(F1369&lt;30000,"30k",F1369&lt;=50000,"30k-50k",F1369&lt;=75000,"50k-75k",F1369&lt;=100000,"75k-100k",F1369&gt;100000,"100k")</f>
        <v>30k-50k</v>
      </c>
      <c r="W1369" s="1">
        <f t="shared" si="43"/>
        <v>13</v>
      </c>
    </row>
    <row r="1370" spans="1:23" x14ac:dyDescent="0.35">
      <c r="A1370">
        <v>1367</v>
      </c>
      <c r="B1370">
        <v>3231</v>
      </c>
      <c r="C1370">
        <v>1973</v>
      </c>
      <c r="D1370" s="1" t="s">
        <v>10</v>
      </c>
      <c r="E1370" s="1" t="s">
        <v>14</v>
      </c>
      <c r="F1370">
        <v>37971</v>
      </c>
      <c r="G1370">
        <v>1</v>
      </c>
      <c r="H1370" s="2">
        <v>0</v>
      </c>
      <c r="I1370" s="2">
        <v>41603</v>
      </c>
      <c r="J1370">
        <v>97</v>
      </c>
      <c r="K1370">
        <f>VLOOKUP(B1370,purchase_dataset!$B$2:$F$2241,2,FALSE)</f>
        <v>4</v>
      </c>
      <c r="L1370">
        <f>VLOOKUP(B1370,purchase_dataset!$B$2:$F$2241,3,FALSE)</f>
        <v>2</v>
      </c>
      <c r="M1370">
        <f>VLOOKUP(B1370,purchase_dataset!$B$2:$F$2241,3,FALSE)</f>
        <v>2</v>
      </c>
      <c r="N1370">
        <f>VLOOKUP(B1370,purchase_dataset!$B$2:$F$2241,5,FALSE)</f>
        <v>3</v>
      </c>
      <c r="O1370" s="5">
        <v>53</v>
      </c>
      <c r="P1370" s="4" t="str">
        <f t="shared" si="42"/>
        <v>&gt;50</v>
      </c>
      <c r="Q1370" s="4">
        <f>M1370+N1370</f>
        <v>5</v>
      </c>
      <c r="U1370" s="28" t="str" cm="1">
        <f t="array" ref="U1370">_xlfn.IFS(F1370&lt;30000,"30k",F1370&lt;=50000,"30k-50k",F1370&lt;=75000,"50k-75k",F1370&lt;=100000,"75k-100k",F1370&gt;100000,"100k")</f>
        <v>30k-50k</v>
      </c>
      <c r="W1370" s="1">
        <f t="shared" si="43"/>
        <v>13</v>
      </c>
    </row>
    <row r="1371" spans="1:23" x14ac:dyDescent="0.35">
      <c r="A1371">
        <v>1368</v>
      </c>
      <c r="B1371">
        <v>4096</v>
      </c>
      <c r="C1371">
        <v>1968</v>
      </c>
      <c r="D1371" s="1" t="s">
        <v>15</v>
      </c>
      <c r="E1371" s="1" t="s">
        <v>16</v>
      </c>
      <c r="F1371">
        <v>41335</v>
      </c>
      <c r="G1371">
        <v>1</v>
      </c>
      <c r="H1371" s="2">
        <v>0</v>
      </c>
      <c r="I1371" s="2">
        <v>41634</v>
      </c>
      <c r="J1371">
        <v>24</v>
      </c>
      <c r="K1371">
        <f>VLOOKUP(B1371,purchase_dataset!$B$2:$F$2241,2,FALSE)</f>
        <v>19</v>
      </c>
      <c r="L1371">
        <f>VLOOKUP(B1371,purchase_dataset!$B$2:$F$2241,3,FALSE)</f>
        <v>14</v>
      </c>
      <c r="M1371">
        <f>VLOOKUP(B1371,purchase_dataset!$B$2:$F$2241,3,FALSE)</f>
        <v>14</v>
      </c>
      <c r="N1371">
        <f>VLOOKUP(B1371,purchase_dataset!$B$2:$F$2241,5,FALSE)</f>
        <v>4</v>
      </c>
      <c r="O1371" s="5">
        <v>58</v>
      </c>
      <c r="P1371" s="4" t="str">
        <f t="shared" si="42"/>
        <v>&gt;50</v>
      </c>
      <c r="Q1371" s="4">
        <f>M1371+N1371</f>
        <v>18</v>
      </c>
      <c r="U1371" s="28" t="str" cm="1">
        <f t="array" ref="U1371">_xlfn.IFS(F1371&lt;30000,"30k",F1371&lt;=50000,"30k-50k",F1371&lt;=75000,"50k-75k",F1371&lt;=100000,"75k-100k",F1371&gt;100000,"100k")</f>
        <v>30k-50k</v>
      </c>
      <c r="W1371" s="1">
        <f t="shared" si="43"/>
        <v>13</v>
      </c>
    </row>
    <row r="1372" spans="1:23" x14ac:dyDescent="0.35">
      <c r="A1372">
        <v>1369</v>
      </c>
      <c r="B1372">
        <v>10476</v>
      </c>
      <c r="C1372">
        <v>1958</v>
      </c>
      <c r="D1372" s="1" t="s">
        <v>10</v>
      </c>
      <c r="E1372" s="1" t="s">
        <v>14</v>
      </c>
      <c r="F1372">
        <v>67267</v>
      </c>
      <c r="G1372">
        <v>0</v>
      </c>
      <c r="H1372" s="2">
        <v>1</v>
      </c>
      <c r="I1372" s="2">
        <v>41772</v>
      </c>
      <c r="J1372">
        <v>0</v>
      </c>
      <c r="K1372">
        <f>VLOOKUP(B1372,purchase_dataset!$B$2:$F$2241,2,FALSE)</f>
        <v>11</v>
      </c>
      <c r="L1372">
        <f>VLOOKUP(B1372,purchase_dataset!$B$2:$F$2241,3,FALSE)</f>
        <v>2</v>
      </c>
      <c r="M1372">
        <f>VLOOKUP(B1372,purchase_dataset!$B$2:$F$2241,3,FALSE)</f>
        <v>2</v>
      </c>
      <c r="N1372">
        <f>VLOOKUP(B1372,purchase_dataset!$B$2:$F$2241,5,FALSE)</f>
        <v>5</v>
      </c>
      <c r="O1372" s="5">
        <v>68</v>
      </c>
      <c r="P1372" s="4" t="str">
        <f t="shared" si="42"/>
        <v>&gt;50</v>
      </c>
      <c r="Q1372" s="4">
        <f>M1372+N1372</f>
        <v>7</v>
      </c>
      <c r="U1372" s="28" t="str" cm="1">
        <f t="array" ref="U1372">_xlfn.IFS(F1372&lt;30000,"30k",F1372&lt;=50000,"30k-50k",F1372&lt;=75000,"50k-75k",F1372&lt;=100000,"75k-100k",F1372&gt;100000,"100k")</f>
        <v>50k-75k</v>
      </c>
      <c r="W1372" s="1">
        <f t="shared" si="43"/>
        <v>12</v>
      </c>
    </row>
    <row r="1373" spans="1:23" x14ac:dyDescent="0.35">
      <c r="A1373">
        <v>1370</v>
      </c>
      <c r="B1373">
        <v>5948</v>
      </c>
      <c r="C1373">
        <v>1975</v>
      </c>
      <c r="D1373" s="1" t="s">
        <v>10</v>
      </c>
      <c r="E1373" s="1" t="s">
        <v>11</v>
      </c>
      <c r="F1373">
        <v>57338</v>
      </c>
      <c r="G1373">
        <v>0</v>
      </c>
      <c r="H1373" s="2">
        <v>1</v>
      </c>
      <c r="I1373" s="2">
        <v>41758</v>
      </c>
      <c r="J1373">
        <v>96</v>
      </c>
      <c r="K1373">
        <f>VLOOKUP(B1373,purchase_dataset!$B$2:$F$2241,2,FALSE)</f>
        <v>6</v>
      </c>
      <c r="L1373">
        <f>VLOOKUP(B1373,purchase_dataset!$B$2:$F$2241,3,FALSE)</f>
        <v>8</v>
      </c>
      <c r="M1373">
        <f>VLOOKUP(B1373,purchase_dataset!$B$2:$F$2241,3,FALSE)</f>
        <v>8</v>
      </c>
      <c r="N1373">
        <f>VLOOKUP(B1373,purchase_dataset!$B$2:$F$2241,5,FALSE)</f>
        <v>5</v>
      </c>
      <c r="O1373" s="5">
        <v>51</v>
      </c>
      <c r="P1373" s="4" t="str">
        <f t="shared" si="42"/>
        <v>&gt;50</v>
      </c>
      <c r="Q1373" s="4">
        <f>M1373+N1373</f>
        <v>13</v>
      </c>
      <c r="U1373" s="28" t="str" cm="1">
        <f t="array" ref="U1373">_xlfn.IFS(F1373&lt;30000,"30k",F1373&lt;=50000,"30k-50k",F1373&lt;=75000,"50k-75k",F1373&lt;=100000,"75k-100k",F1373&gt;100000,"100k")</f>
        <v>50k-75k</v>
      </c>
      <c r="W1373" s="1">
        <f t="shared" si="43"/>
        <v>12</v>
      </c>
    </row>
    <row r="1374" spans="1:23" x14ac:dyDescent="0.35">
      <c r="A1374">
        <v>1371</v>
      </c>
      <c r="B1374">
        <v>9140</v>
      </c>
      <c r="C1374">
        <v>1960</v>
      </c>
      <c r="D1374" s="1" t="s">
        <v>18</v>
      </c>
      <c r="E1374" s="1" t="s">
        <v>12</v>
      </c>
      <c r="F1374">
        <v>50523</v>
      </c>
      <c r="G1374">
        <v>1</v>
      </c>
      <c r="H1374" s="2">
        <v>1</v>
      </c>
      <c r="I1374" s="2">
        <v>41633</v>
      </c>
      <c r="J1374">
        <v>89</v>
      </c>
      <c r="K1374">
        <f>VLOOKUP(B1374,purchase_dataset!$B$2:$F$2241,2,FALSE)</f>
        <v>4</v>
      </c>
      <c r="L1374">
        <f>VLOOKUP(B1374,purchase_dataset!$B$2:$F$2241,3,FALSE)</f>
        <v>7</v>
      </c>
      <c r="M1374">
        <f>VLOOKUP(B1374,purchase_dataset!$B$2:$F$2241,3,FALSE)</f>
        <v>7</v>
      </c>
      <c r="N1374">
        <f>VLOOKUP(B1374,purchase_dataset!$B$2:$F$2241,5,FALSE)</f>
        <v>4</v>
      </c>
      <c r="O1374" s="5">
        <v>66</v>
      </c>
      <c r="P1374" s="4" t="str">
        <f t="shared" si="42"/>
        <v>&gt;50</v>
      </c>
      <c r="Q1374" s="4">
        <f>M1374+N1374</f>
        <v>11</v>
      </c>
      <c r="U1374" s="28" t="str" cm="1">
        <f t="array" ref="U1374">_xlfn.IFS(F1374&lt;30000,"30k",F1374&lt;=50000,"30k-50k",F1374&lt;=75000,"50k-75k",F1374&lt;=100000,"75k-100k",F1374&gt;100000,"100k")</f>
        <v>50k-75k</v>
      </c>
      <c r="W1374" s="1">
        <f t="shared" si="43"/>
        <v>13</v>
      </c>
    </row>
    <row r="1375" spans="1:23" x14ac:dyDescent="0.35">
      <c r="A1375">
        <v>1372</v>
      </c>
      <c r="B1375">
        <v>10258</v>
      </c>
      <c r="C1375">
        <v>1965</v>
      </c>
      <c r="D1375" s="1" t="s">
        <v>15</v>
      </c>
      <c r="E1375" s="1" t="s">
        <v>11</v>
      </c>
      <c r="F1375">
        <v>35791</v>
      </c>
      <c r="G1375">
        <v>2</v>
      </c>
      <c r="H1375" s="2">
        <v>1</v>
      </c>
      <c r="I1375" s="2">
        <v>41400</v>
      </c>
      <c r="J1375">
        <v>94</v>
      </c>
      <c r="K1375">
        <f>VLOOKUP(B1375,purchase_dataset!$B$2:$F$2241,2,FALSE)</f>
        <v>0</v>
      </c>
      <c r="L1375">
        <f>VLOOKUP(B1375,purchase_dataset!$B$2:$F$2241,3,FALSE)</f>
        <v>0</v>
      </c>
      <c r="M1375">
        <f>VLOOKUP(B1375,purchase_dataset!$B$2:$F$2241,3,FALSE)</f>
        <v>0</v>
      </c>
      <c r="N1375">
        <f>VLOOKUP(B1375,purchase_dataset!$B$2:$F$2241,5,FALSE)</f>
        <v>3</v>
      </c>
      <c r="O1375" s="5">
        <v>61</v>
      </c>
      <c r="P1375" s="4" t="str">
        <f t="shared" si="42"/>
        <v>&gt;50</v>
      </c>
      <c r="Q1375" s="4">
        <f>M1375+N1375</f>
        <v>3</v>
      </c>
      <c r="U1375" s="28" t="str" cm="1">
        <f t="array" ref="U1375">_xlfn.IFS(F1375&lt;30000,"30k",F1375&lt;=50000,"30k-50k",F1375&lt;=75000,"50k-75k",F1375&lt;=100000,"75k-100k",F1375&gt;100000,"100k")</f>
        <v>30k-50k</v>
      </c>
      <c r="W1375" s="1">
        <f t="shared" si="43"/>
        <v>13</v>
      </c>
    </row>
    <row r="1376" spans="1:23" x14ac:dyDescent="0.35">
      <c r="A1376">
        <v>1373</v>
      </c>
      <c r="B1376">
        <v>5675</v>
      </c>
      <c r="C1376">
        <v>1960</v>
      </c>
      <c r="D1376" s="1" t="s">
        <v>13</v>
      </c>
      <c r="E1376" s="1" t="s">
        <v>16</v>
      </c>
      <c r="F1376">
        <v>50611</v>
      </c>
      <c r="G1376">
        <v>0</v>
      </c>
      <c r="H1376" s="2">
        <v>1</v>
      </c>
      <c r="I1376" s="2">
        <v>41186</v>
      </c>
      <c r="J1376">
        <v>98</v>
      </c>
      <c r="K1376">
        <f>VLOOKUP(B1376,purchase_dataset!$B$2:$F$2241,2,FALSE)</f>
        <v>0</v>
      </c>
      <c r="L1376">
        <f>VLOOKUP(B1376,purchase_dataset!$B$2:$F$2241,3,FALSE)</f>
        <v>0</v>
      </c>
      <c r="M1376">
        <f>VLOOKUP(B1376,purchase_dataset!$B$2:$F$2241,3,FALSE)</f>
        <v>0</v>
      </c>
      <c r="N1376">
        <f>VLOOKUP(B1376,purchase_dataset!$B$2:$F$2241,5,FALSE)</f>
        <v>7</v>
      </c>
      <c r="O1376" s="5">
        <v>66</v>
      </c>
      <c r="P1376" s="4" t="str">
        <f t="shared" si="42"/>
        <v>&gt;50</v>
      </c>
      <c r="Q1376" s="4">
        <f>M1376+N1376</f>
        <v>7</v>
      </c>
      <c r="U1376" s="28" t="str" cm="1">
        <f t="array" ref="U1376">_xlfn.IFS(F1376&lt;30000,"30k",F1376&lt;=50000,"30k-50k",F1376&lt;=75000,"50k-75k",F1376&lt;=100000,"75k-100k",F1376&gt;100000,"100k")</f>
        <v>50k-75k</v>
      </c>
      <c r="W1376" s="1">
        <f t="shared" si="43"/>
        <v>14</v>
      </c>
    </row>
    <row r="1377" spans="1:23" x14ac:dyDescent="0.35">
      <c r="A1377">
        <v>1374</v>
      </c>
      <c r="B1377">
        <v>4743</v>
      </c>
      <c r="C1377">
        <v>1969</v>
      </c>
      <c r="D1377" s="1" t="s">
        <v>13</v>
      </c>
      <c r="E1377" s="1" t="s">
        <v>14</v>
      </c>
      <c r="F1377">
        <v>56242</v>
      </c>
      <c r="G1377">
        <v>0</v>
      </c>
      <c r="H1377" s="2">
        <v>1</v>
      </c>
      <c r="I1377" s="2">
        <v>41336</v>
      </c>
      <c r="J1377">
        <v>72</v>
      </c>
      <c r="K1377">
        <f>VLOOKUP(B1377,purchase_dataset!$B$2:$F$2241,2,FALSE)</f>
        <v>8</v>
      </c>
      <c r="L1377">
        <f>VLOOKUP(B1377,purchase_dataset!$B$2:$F$2241,3,FALSE)</f>
        <v>8</v>
      </c>
      <c r="M1377">
        <f>VLOOKUP(B1377,purchase_dataset!$B$2:$F$2241,3,FALSE)</f>
        <v>8</v>
      </c>
      <c r="N1377">
        <f>VLOOKUP(B1377,purchase_dataset!$B$2:$F$2241,5,FALSE)</f>
        <v>11</v>
      </c>
      <c r="O1377" s="5">
        <v>57</v>
      </c>
      <c r="P1377" s="4" t="str">
        <f t="shared" si="42"/>
        <v>&gt;50</v>
      </c>
      <c r="Q1377" s="4">
        <f>M1377+N1377</f>
        <v>19</v>
      </c>
      <c r="U1377" s="28" t="str" cm="1">
        <f t="array" ref="U1377">_xlfn.IFS(F1377&lt;30000,"30k",F1377&lt;=50000,"30k-50k",F1377&lt;=75000,"50k-75k",F1377&lt;=100000,"75k-100k",F1377&gt;100000,"100k")</f>
        <v>50k-75k</v>
      </c>
      <c r="W1377" s="1">
        <f t="shared" si="43"/>
        <v>13</v>
      </c>
    </row>
    <row r="1378" spans="1:23" x14ac:dyDescent="0.35">
      <c r="A1378">
        <v>1375</v>
      </c>
      <c r="B1378">
        <v>8805</v>
      </c>
      <c r="C1378">
        <v>1960</v>
      </c>
      <c r="D1378" s="1" t="s">
        <v>10</v>
      </c>
      <c r="E1378" s="1" t="s">
        <v>11</v>
      </c>
      <c r="F1378">
        <v>48904</v>
      </c>
      <c r="G1378">
        <v>0</v>
      </c>
      <c r="H1378" s="2">
        <v>1</v>
      </c>
      <c r="I1378" s="2">
        <v>41245</v>
      </c>
      <c r="J1378">
        <v>1</v>
      </c>
      <c r="K1378">
        <f>VLOOKUP(B1378,purchase_dataset!$B$2:$F$2241,2,FALSE)</f>
        <v>10</v>
      </c>
      <c r="L1378">
        <f>VLOOKUP(B1378,purchase_dataset!$B$2:$F$2241,3,FALSE)</f>
        <v>13</v>
      </c>
      <c r="M1378">
        <f>VLOOKUP(B1378,purchase_dataset!$B$2:$F$2241,3,FALSE)</f>
        <v>13</v>
      </c>
      <c r="N1378">
        <f>VLOOKUP(B1378,purchase_dataset!$B$2:$F$2241,5,FALSE)</f>
        <v>4</v>
      </c>
      <c r="O1378" s="5">
        <v>66</v>
      </c>
      <c r="P1378" s="4" t="str">
        <f t="shared" si="42"/>
        <v>&gt;50</v>
      </c>
      <c r="Q1378" s="4">
        <f>M1378+N1378</f>
        <v>17</v>
      </c>
      <c r="U1378" s="28" t="str" cm="1">
        <f t="array" ref="U1378">_xlfn.IFS(F1378&lt;30000,"30k",F1378&lt;=50000,"30k-50k",F1378&lt;=75000,"50k-75k",F1378&lt;=100000,"75k-100k",F1378&gt;100000,"100k")</f>
        <v>30k-50k</v>
      </c>
      <c r="W1378" s="1">
        <f t="shared" si="43"/>
        <v>14</v>
      </c>
    </row>
    <row r="1379" spans="1:23" x14ac:dyDescent="0.35">
      <c r="A1379">
        <v>1376</v>
      </c>
      <c r="B1379">
        <v>1542</v>
      </c>
      <c r="C1379">
        <v>1975</v>
      </c>
      <c r="D1379" s="1" t="s">
        <v>10</v>
      </c>
      <c r="E1379" s="1" t="s">
        <v>11</v>
      </c>
      <c r="F1379">
        <v>56243</v>
      </c>
      <c r="G1379">
        <v>1</v>
      </c>
      <c r="H1379" s="2">
        <v>2</v>
      </c>
      <c r="I1379" s="2">
        <v>41638</v>
      </c>
      <c r="J1379">
        <v>26</v>
      </c>
      <c r="K1379">
        <f>VLOOKUP(B1379,purchase_dataset!$B$2:$F$2241,2,FALSE)</f>
        <v>0</v>
      </c>
      <c r="L1379">
        <f>VLOOKUP(B1379,purchase_dataset!$B$2:$F$2241,3,FALSE)</f>
        <v>3</v>
      </c>
      <c r="M1379">
        <f>VLOOKUP(B1379,purchase_dataset!$B$2:$F$2241,3,FALSE)</f>
        <v>3</v>
      </c>
      <c r="N1379">
        <f>VLOOKUP(B1379,purchase_dataset!$B$2:$F$2241,5,FALSE)</f>
        <v>8</v>
      </c>
      <c r="O1379" s="5">
        <v>51</v>
      </c>
      <c r="P1379" s="4" t="str">
        <f t="shared" si="42"/>
        <v>&gt;50</v>
      </c>
      <c r="Q1379" s="4">
        <f>M1379+N1379</f>
        <v>11</v>
      </c>
      <c r="U1379" s="28" t="str" cm="1">
        <f t="array" ref="U1379">_xlfn.IFS(F1379&lt;30000,"30k",F1379&lt;=50000,"30k-50k",F1379&lt;=75000,"50k-75k",F1379&lt;=100000,"75k-100k",F1379&gt;100000,"100k")</f>
        <v>50k-75k</v>
      </c>
      <c r="W1379" s="1">
        <f t="shared" si="43"/>
        <v>13</v>
      </c>
    </row>
    <row r="1380" spans="1:23" x14ac:dyDescent="0.35">
      <c r="A1380">
        <v>1377</v>
      </c>
      <c r="B1380">
        <v>6770</v>
      </c>
      <c r="C1380">
        <v>1985</v>
      </c>
      <c r="D1380" s="1" t="s">
        <v>10</v>
      </c>
      <c r="E1380" s="1" t="s">
        <v>14</v>
      </c>
      <c r="F1380">
        <v>21355</v>
      </c>
      <c r="G1380">
        <v>1</v>
      </c>
      <c r="H1380" s="2">
        <v>0</v>
      </c>
      <c r="I1380" s="2">
        <v>41506</v>
      </c>
      <c r="J1380">
        <v>5</v>
      </c>
      <c r="K1380">
        <f>VLOOKUP(B1380,purchase_dataset!$B$2:$F$2241,2,FALSE)</f>
        <v>13</v>
      </c>
      <c r="L1380">
        <f>VLOOKUP(B1380,purchase_dataset!$B$2:$F$2241,3,FALSE)</f>
        <v>5</v>
      </c>
      <c r="M1380">
        <f>VLOOKUP(B1380,purchase_dataset!$B$2:$F$2241,3,FALSE)</f>
        <v>5</v>
      </c>
      <c r="N1380">
        <f>VLOOKUP(B1380,purchase_dataset!$B$2:$F$2241,5,FALSE)</f>
        <v>2</v>
      </c>
      <c r="O1380" s="5">
        <v>41</v>
      </c>
      <c r="P1380" s="4" t="str">
        <f t="shared" si="42"/>
        <v>30-50</v>
      </c>
      <c r="Q1380" s="4">
        <f>M1380+N1380</f>
        <v>7</v>
      </c>
      <c r="U1380" s="28" t="str" cm="1">
        <f t="array" ref="U1380">_xlfn.IFS(F1380&lt;30000,"30k",F1380&lt;=50000,"30k-50k",F1380&lt;=75000,"50k-75k",F1380&lt;=100000,"75k-100k",F1380&gt;100000,"100k")</f>
        <v>30k</v>
      </c>
      <c r="W1380" s="1">
        <f t="shared" si="43"/>
        <v>13</v>
      </c>
    </row>
    <row r="1381" spans="1:23" x14ac:dyDescent="0.35">
      <c r="A1381">
        <v>1378</v>
      </c>
      <c r="B1381">
        <v>8773</v>
      </c>
      <c r="C1381">
        <v>1971</v>
      </c>
      <c r="D1381" s="1" t="s">
        <v>15</v>
      </c>
      <c r="E1381" s="1" t="s">
        <v>12</v>
      </c>
      <c r="F1381">
        <v>57420</v>
      </c>
      <c r="G1381">
        <v>0</v>
      </c>
      <c r="H1381" s="2">
        <v>1</v>
      </c>
      <c r="I1381" s="2">
        <v>41450</v>
      </c>
      <c r="J1381">
        <v>22</v>
      </c>
      <c r="K1381">
        <f>VLOOKUP(B1381,purchase_dataset!$B$2:$F$2241,2,FALSE)</f>
        <v>0</v>
      </c>
      <c r="L1381">
        <f>VLOOKUP(B1381,purchase_dataset!$B$2:$F$2241,3,FALSE)</f>
        <v>0</v>
      </c>
      <c r="M1381">
        <f>VLOOKUP(B1381,purchase_dataset!$B$2:$F$2241,3,FALSE)</f>
        <v>0</v>
      </c>
      <c r="N1381">
        <f>VLOOKUP(B1381,purchase_dataset!$B$2:$F$2241,5,FALSE)</f>
        <v>6</v>
      </c>
      <c r="O1381" s="5">
        <v>55</v>
      </c>
      <c r="P1381" s="4" t="str">
        <f t="shared" si="42"/>
        <v>&gt;50</v>
      </c>
      <c r="Q1381" s="4">
        <f>M1381+N1381</f>
        <v>6</v>
      </c>
      <c r="U1381" s="28" t="str" cm="1">
        <f t="array" ref="U1381">_xlfn.IFS(F1381&lt;30000,"30k",F1381&lt;=50000,"30k-50k",F1381&lt;=75000,"50k-75k",F1381&lt;=100000,"75k-100k",F1381&gt;100000,"100k")</f>
        <v>50k-75k</v>
      </c>
      <c r="W1381" s="1">
        <f t="shared" si="43"/>
        <v>13</v>
      </c>
    </row>
    <row r="1382" spans="1:23" x14ac:dyDescent="0.35">
      <c r="A1382">
        <v>1379</v>
      </c>
      <c r="B1382">
        <v>10475</v>
      </c>
      <c r="C1382">
        <v>1970</v>
      </c>
      <c r="D1382" s="1" t="s">
        <v>15</v>
      </c>
      <c r="E1382" s="1" t="s">
        <v>12</v>
      </c>
      <c r="G1382">
        <v>0</v>
      </c>
      <c r="H1382" s="2">
        <v>1</v>
      </c>
      <c r="I1382" s="2">
        <v>41365</v>
      </c>
      <c r="J1382">
        <v>39</v>
      </c>
      <c r="K1382">
        <f>VLOOKUP(B1382,purchase_dataset!$B$2:$F$2241,2,FALSE)</f>
        <v>5</v>
      </c>
      <c r="L1382">
        <f>VLOOKUP(B1382,purchase_dataset!$B$2:$F$2241,3,FALSE)</f>
        <v>20</v>
      </c>
      <c r="M1382">
        <f>VLOOKUP(B1382,purchase_dataset!$B$2:$F$2241,3,FALSE)</f>
        <v>20</v>
      </c>
      <c r="N1382">
        <f>VLOOKUP(B1382,purchase_dataset!$B$2:$F$2241,5,FALSE)</f>
        <v>6</v>
      </c>
      <c r="O1382" s="5">
        <v>56</v>
      </c>
      <c r="P1382" s="4" t="str">
        <f t="shared" si="42"/>
        <v>&gt;50</v>
      </c>
      <c r="Q1382" s="4">
        <f>M1382+N1382</f>
        <v>26</v>
      </c>
      <c r="U1382" s="28" t="str" cm="1">
        <f t="array" ref="U1382">_xlfn.IFS(F1382&lt;30000,"30k",F1382&lt;=50000,"30k-50k",F1382&lt;=75000,"50k-75k",F1382&lt;=100000,"75k-100k",F1382&gt;100000,"100k")</f>
        <v>30k</v>
      </c>
      <c r="W1382" s="1">
        <f t="shared" si="43"/>
        <v>13</v>
      </c>
    </row>
    <row r="1383" spans="1:23" x14ac:dyDescent="0.35">
      <c r="A1383">
        <v>1380</v>
      </c>
      <c r="B1383">
        <v>10420</v>
      </c>
      <c r="C1383">
        <v>1955</v>
      </c>
      <c r="D1383" s="1" t="s">
        <v>15</v>
      </c>
      <c r="E1383" s="1" t="s">
        <v>16</v>
      </c>
      <c r="F1383">
        <v>46390</v>
      </c>
      <c r="G1383">
        <v>0</v>
      </c>
      <c r="H1383" s="2">
        <v>1</v>
      </c>
      <c r="I1383" s="2">
        <v>41764</v>
      </c>
      <c r="J1383">
        <v>56</v>
      </c>
      <c r="K1383">
        <f>VLOOKUP(B1383,purchase_dataset!$B$2:$F$2241,2,FALSE)</f>
        <v>14</v>
      </c>
      <c r="L1383">
        <f>VLOOKUP(B1383,purchase_dataset!$B$2:$F$2241,3,FALSE)</f>
        <v>9</v>
      </c>
      <c r="M1383">
        <f>VLOOKUP(B1383,purchase_dataset!$B$2:$F$2241,3,FALSE)</f>
        <v>9</v>
      </c>
      <c r="N1383">
        <f>VLOOKUP(B1383,purchase_dataset!$B$2:$F$2241,5,FALSE)</f>
        <v>3</v>
      </c>
      <c r="O1383" s="5">
        <v>71</v>
      </c>
      <c r="P1383" s="4" t="str">
        <f t="shared" si="42"/>
        <v>&gt;50</v>
      </c>
      <c r="Q1383" s="4">
        <f>M1383+N1383</f>
        <v>12</v>
      </c>
      <c r="U1383" s="28" t="str" cm="1">
        <f t="array" ref="U1383">_xlfn.IFS(F1383&lt;30000,"30k",F1383&lt;=50000,"30k-50k",F1383&lt;=75000,"50k-75k",F1383&lt;=100000,"75k-100k",F1383&gt;100000,"100k")</f>
        <v>30k-50k</v>
      </c>
      <c r="W1383" s="1">
        <f t="shared" si="43"/>
        <v>12</v>
      </c>
    </row>
    <row r="1384" spans="1:23" x14ac:dyDescent="0.35">
      <c r="A1384">
        <v>1381</v>
      </c>
      <c r="B1384">
        <v>7514</v>
      </c>
      <c r="C1384">
        <v>1956</v>
      </c>
      <c r="D1384" s="1" t="s">
        <v>18</v>
      </c>
      <c r="E1384" s="1" t="s">
        <v>12</v>
      </c>
      <c r="F1384">
        <v>54342</v>
      </c>
      <c r="G1384">
        <v>1</v>
      </c>
      <c r="H1384" s="2">
        <v>1</v>
      </c>
      <c r="I1384" s="2">
        <v>41458</v>
      </c>
      <c r="J1384">
        <v>74</v>
      </c>
      <c r="K1384">
        <f>VLOOKUP(B1384,purchase_dataset!$B$2:$F$2241,2,FALSE)</f>
        <v>10</v>
      </c>
      <c r="L1384">
        <f>VLOOKUP(B1384,purchase_dataset!$B$2:$F$2241,3,FALSE)</f>
        <v>10</v>
      </c>
      <c r="M1384">
        <f>VLOOKUP(B1384,purchase_dataset!$B$2:$F$2241,3,FALSE)</f>
        <v>10</v>
      </c>
      <c r="N1384">
        <f>VLOOKUP(B1384,purchase_dataset!$B$2:$F$2241,5,FALSE)</f>
        <v>4</v>
      </c>
      <c r="O1384" s="5">
        <v>70</v>
      </c>
      <c r="P1384" s="4" t="str">
        <f t="shared" si="42"/>
        <v>&gt;50</v>
      </c>
      <c r="Q1384" s="4">
        <f>M1384+N1384</f>
        <v>14</v>
      </c>
      <c r="U1384" s="28" t="str" cm="1">
        <f t="array" ref="U1384">_xlfn.IFS(F1384&lt;30000,"30k",F1384&lt;=50000,"30k-50k",F1384&lt;=75000,"50k-75k",F1384&lt;=100000,"75k-100k",F1384&gt;100000,"100k")</f>
        <v>50k-75k</v>
      </c>
      <c r="W1384" s="1">
        <f t="shared" si="43"/>
        <v>13</v>
      </c>
    </row>
    <row r="1385" spans="1:23" x14ac:dyDescent="0.35">
      <c r="A1385">
        <v>1382</v>
      </c>
      <c r="B1385">
        <v>2902</v>
      </c>
      <c r="C1385">
        <v>1958</v>
      </c>
      <c r="D1385" s="1" t="s">
        <v>10</v>
      </c>
      <c r="E1385" s="1" t="s">
        <v>12</v>
      </c>
      <c r="G1385">
        <v>1</v>
      </c>
      <c r="H1385" s="2">
        <v>1</v>
      </c>
      <c r="I1385" s="2">
        <v>41155</v>
      </c>
      <c r="J1385">
        <v>87</v>
      </c>
      <c r="K1385">
        <f>VLOOKUP(B1385,purchase_dataset!$B$2:$F$2241,2,FALSE)</f>
        <v>4</v>
      </c>
      <c r="L1385">
        <f>VLOOKUP(B1385,purchase_dataset!$B$2:$F$2241,3,FALSE)</f>
        <v>2</v>
      </c>
      <c r="M1385">
        <f>VLOOKUP(B1385,purchase_dataset!$B$2:$F$2241,3,FALSE)</f>
        <v>2</v>
      </c>
      <c r="N1385">
        <f>VLOOKUP(B1385,purchase_dataset!$B$2:$F$2241,5,FALSE)</f>
        <v>3</v>
      </c>
      <c r="O1385" s="5">
        <v>68</v>
      </c>
      <c r="P1385" s="4" t="str">
        <f t="shared" si="42"/>
        <v>&gt;50</v>
      </c>
      <c r="Q1385" s="4">
        <f>M1385+N1385</f>
        <v>5</v>
      </c>
      <c r="U1385" s="28" t="str" cm="1">
        <f t="array" ref="U1385">_xlfn.IFS(F1385&lt;30000,"30k",F1385&lt;=50000,"30k-50k",F1385&lt;=75000,"50k-75k",F1385&lt;=100000,"75k-100k",F1385&gt;100000,"100k")</f>
        <v>30k</v>
      </c>
      <c r="W1385" s="1">
        <f t="shared" si="43"/>
        <v>14</v>
      </c>
    </row>
    <row r="1386" spans="1:23" x14ac:dyDescent="0.35">
      <c r="A1386">
        <v>1383</v>
      </c>
      <c r="B1386">
        <v>4345</v>
      </c>
      <c r="C1386">
        <v>1964</v>
      </c>
      <c r="D1386" s="1" t="s">
        <v>18</v>
      </c>
      <c r="E1386" s="1" t="s">
        <v>11</v>
      </c>
      <c r="G1386">
        <v>1</v>
      </c>
      <c r="H1386" s="2">
        <v>1</v>
      </c>
      <c r="I1386" s="2">
        <v>41651</v>
      </c>
      <c r="J1386">
        <v>49</v>
      </c>
      <c r="K1386">
        <f>VLOOKUP(B1386,purchase_dataset!$B$2:$F$2241,2,FALSE)</f>
        <v>1</v>
      </c>
      <c r="L1386">
        <f>VLOOKUP(B1386,purchase_dataset!$B$2:$F$2241,3,FALSE)</f>
        <v>0</v>
      </c>
      <c r="M1386">
        <f>VLOOKUP(B1386,purchase_dataset!$B$2:$F$2241,3,FALSE)</f>
        <v>0</v>
      </c>
      <c r="N1386">
        <f>VLOOKUP(B1386,purchase_dataset!$B$2:$F$2241,5,FALSE)</f>
        <v>2</v>
      </c>
      <c r="O1386" s="5">
        <v>62</v>
      </c>
      <c r="P1386" s="4" t="str">
        <f t="shared" si="42"/>
        <v>&gt;50</v>
      </c>
      <c r="Q1386" s="4">
        <f>M1386+N1386</f>
        <v>2</v>
      </c>
      <c r="U1386" s="28" t="str" cm="1">
        <f t="array" ref="U1386">_xlfn.IFS(F1386&lt;30000,"30k",F1386&lt;=50000,"30k-50k",F1386&lt;=75000,"50k-75k",F1386&lt;=100000,"75k-100k",F1386&gt;100000,"100k")</f>
        <v>30k</v>
      </c>
      <c r="W1386" s="1">
        <f t="shared" si="43"/>
        <v>12</v>
      </c>
    </row>
    <row r="1387" spans="1:23" x14ac:dyDescent="0.35">
      <c r="A1387">
        <v>1384</v>
      </c>
      <c r="B1387">
        <v>793</v>
      </c>
      <c r="C1387">
        <v>1973</v>
      </c>
      <c r="D1387" s="1" t="s">
        <v>10</v>
      </c>
      <c r="E1387" s="1" t="s">
        <v>14</v>
      </c>
      <c r="F1387">
        <v>20895</v>
      </c>
      <c r="G1387">
        <v>1</v>
      </c>
      <c r="H1387" s="2">
        <v>0</v>
      </c>
      <c r="I1387" s="2">
        <v>41188</v>
      </c>
      <c r="J1387">
        <v>24</v>
      </c>
      <c r="K1387">
        <f>VLOOKUP(B1387,purchase_dataset!$B$2:$F$2241,2,FALSE)</f>
        <v>3</v>
      </c>
      <c r="L1387">
        <f>VLOOKUP(B1387,purchase_dataset!$B$2:$F$2241,3,FALSE)</f>
        <v>0</v>
      </c>
      <c r="M1387">
        <f>VLOOKUP(B1387,purchase_dataset!$B$2:$F$2241,3,FALSE)</f>
        <v>0</v>
      </c>
      <c r="N1387">
        <f>VLOOKUP(B1387,purchase_dataset!$B$2:$F$2241,5,FALSE)</f>
        <v>3</v>
      </c>
      <c r="O1387" s="5">
        <v>53</v>
      </c>
      <c r="P1387" s="4" t="str">
        <f t="shared" si="42"/>
        <v>&gt;50</v>
      </c>
      <c r="Q1387" s="4">
        <f>M1387+N1387</f>
        <v>3</v>
      </c>
      <c r="U1387" s="28" t="str" cm="1">
        <f t="array" ref="U1387">_xlfn.IFS(F1387&lt;30000,"30k",F1387&lt;=50000,"30k-50k",F1387&lt;=75000,"50k-75k",F1387&lt;=100000,"75k-100k",F1387&gt;100000,"100k")</f>
        <v>30k</v>
      </c>
      <c r="W1387" s="1">
        <f t="shared" si="43"/>
        <v>14</v>
      </c>
    </row>
    <row r="1388" spans="1:23" x14ac:dyDescent="0.35">
      <c r="A1388">
        <v>1385</v>
      </c>
      <c r="B1388">
        <v>10909</v>
      </c>
      <c r="C1388">
        <v>1948</v>
      </c>
      <c r="D1388" s="1" t="s">
        <v>10</v>
      </c>
      <c r="E1388" s="1" t="s">
        <v>14</v>
      </c>
      <c r="F1388">
        <v>92344</v>
      </c>
      <c r="G1388">
        <v>0</v>
      </c>
      <c r="H1388" s="2">
        <v>0</v>
      </c>
      <c r="I1388" s="2">
        <v>41654</v>
      </c>
      <c r="J1388">
        <v>9</v>
      </c>
      <c r="K1388">
        <f>VLOOKUP(B1388,purchase_dataset!$B$2:$F$2241,2,FALSE)</f>
        <v>24</v>
      </c>
      <c r="L1388">
        <f>VLOOKUP(B1388,purchase_dataset!$B$2:$F$2241,3,FALSE)</f>
        <v>19</v>
      </c>
      <c r="M1388">
        <f>VLOOKUP(B1388,purchase_dataset!$B$2:$F$2241,3,FALSE)</f>
        <v>19</v>
      </c>
      <c r="N1388">
        <f>VLOOKUP(B1388,purchase_dataset!$B$2:$F$2241,5,FALSE)</f>
        <v>5</v>
      </c>
      <c r="O1388" s="5">
        <v>78</v>
      </c>
      <c r="P1388" s="4" t="str">
        <f t="shared" si="42"/>
        <v>&gt;50</v>
      </c>
      <c r="Q1388" s="4">
        <f>M1388+N1388</f>
        <v>24</v>
      </c>
      <c r="U1388" s="28" t="str" cm="1">
        <f t="array" ref="U1388">_xlfn.IFS(F1388&lt;30000,"30k",F1388&lt;=50000,"30k-50k",F1388&lt;=75000,"50k-75k",F1388&lt;=100000,"75k-100k",F1388&gt;100000,"100k")</f>
        <v>75k-100k</v>
      </c>
      <c r="W1388" s="1">
        <f t="shared" si="43"/>
        <v>12</v>
      </c>
    </row>
    <row r="1389" spans="1:23" x14ac:dyDescent="0.35">
      <c r="A1389">
        <v>1386</v>
      </c>
      <c r="B1389">
        <v>3769</v>
      </c>
      <c r="C1389">
        <v>1972</v>
      </c>
      <c r="D1389" s="1" t="s">
        <v>13</v>
      </c>
      <c r="E1389" s="1" t="s">
        <v>12</v>
      </c>
      <c r="G1389">
        <v>1</v>
      </c>
      <c r="H1389" s="2">
        <v>0</v>
      </c>
      <c r="I1389" s="2">
        <v>41700</v>
      </c>
      <c r="J1389">
        <v>17</v>
      </c>
      <c r="K1389">
        <f>VLOOKUP(B1389,purchase_dataset!$B$2:$F$2241,2,FALSE)</f>
        <v>1</v>
      </c>
      <c r="L1389">
        <f>VLOOKUP(B1389,purchase_dataset!$B$2:$F$2241,3,FALSE)</f>
        <v>0</v>
      </c>
      <c r="M1389">
        <f>VLOOKUP(B1389,purchase_dataset!$B$2:$F$2241,3,FALSE)</f>
        <v>0</v>
      </c>
      <c r="N1389">
        <f>VLOOKUP(B1389,purchase_dataset!$B$2:$F$2241,5,FALSE)</f>
        <v>3</v>
      </c>
      <c r="O1389" s="5">
        <v>54</v>
      </c>
      <c r="P1389" s="4" t="str">
        <f t="shared" si="42"/>
        <v>&gt;50</v>
      </c>
      <c r="Q1389" s="4">
        <f>M1389+N1389</f>
        <v>3</v>
      </c>
      <c r="U1389" s="28" t="str" cm="1">
        <f t="array" ref="U1389">_xlfn.IFS(F1389&lt;30000,"30k",F1389&lt;=50000,"30k-50k",F1389&lt;=75000,"50k-75k",F1389&lt;=100000,"75k-100k",F1389&gt;100000,"100k")</f>
        <v>30k</v>
      </c>
      <c r="W1389" s="1">
        <f t="shared" si="43"/>
        <v>12</v>
      </c>
    </row>
    <row r="1390" spans="1:23" x14ac:dyDescent="0.35">
      <c r="A1390">
        <v>1387</v>
      </c>
      <c r="B1390">
        <v>8702</v>
      </c>
      <c r="C1390">
        <v>1976</v>
      </c>
      <c r="D1390" s="1" t="s">
        <v>18</v>
      </c>
      <c r="E1390" s="1" t="s">
        <v>12</v>
      </c>
      <c r="F1390">
        <v>26907</v>
      </c>
      <c r="G1390">
        <v>1</v>
      </c>
      <c r="H1390" s="2">
        <v>1</v>
      </c>
      <c r="I1390" s="2">
        <v>41506</v>
      </c>
      <c r="J1390">
        <v>10</v>
      </c>
      <c r="K1390">
        <f>VLOOKUP(B1390,purchase_dataset!$B$2:$F$2241,2,FALSE)</f>
        <v>1</v>
      </c>
      <c r="L1390">
        <f>VLOOKUP(B1390,purchase_dataset!$B$2:$F$2241,3,FALSE)</f>
        <v>3</v>
      </c>
      <c r="M1390">
        <f>VLOOKUP(B1390,purchase_dataset!$B$2:$F$2241,3,FALSE)</f>
        <v>3</v>
      </c>
      <c r="N1390">
        <f>VLOOKUP(B1390,purchase_dataset!$B$2:$F$2241,5,FALSE)</f>
        <v>3</v>
      </c>
      <c r="O1390" s="5">
        <v>50</v>
      </c>
      <c r="P1390" s="4" t="str">
        <f t="shared" si="42"/>
        <v>30-50</v>
      </c>
      <c r="Q1390" s="4">
        <f>M1390+N1390</f>
        <v>6</v>
      </c>
      <c r="U1390" s="28" t="str" cm="1">
        <f t="array" ref="U1390">_xlfn.IFS(F1390&lt;30000,"30k",F1390&lt;=50000,"30k-50k",F1390&lt;=75000,"50k-75k",F1390&lt;=100000,"75k-100k",F1390&gt;100000,"100k")</f>
        <v>30k</v>
      </c>
      <c r="W1390" s="1">
        <f t="shared" si="43"/>
        <v>13</v>
      </c>
    </row>
    <row r="1391" spans="1:23" x14ac:dyDescent="0.35">
      <c r="A1391">
        <v>1388</v>
      </c>
      <c r="B1391">
        <v>4791</v>
      </c>
      <c r="C1391">
        <v>1980</v>
      </c>
      <c r="D1391" s="1" t="s">
        <v>10</v>
      </c>
      <c r="E1391" s="1" t="s">
        <v>12</v>
      </c>
      <c r="F1391">
        <v>44964</v>
      </c>
      <c r="G1391">
        <v>1</v>
      </c>
      <c r="H1391" s="2">
        <v>1</v>
      </c>
      <c r="I1391" s="2">
        <v>41259</v>
      </c>
      <c r="J1391">
        <v>35</v>
      </c>
      <c r="K1391">
        <f>VLOOKUP(B1391,purchase_dataset!$B$2:$F$2241,2,FALSE)</f>
        <v>1</v>
      </c>
      <c r="L1391">
        <f>VLOOKUP(B1391,purchase_dataset!$B$2:$F$2241,3,FALSE)</f>
        <v>0</v>
      </c>
      <c r="M1391">
        <f>VLOOKUP(B1391,purchase_dataset!$B$2:$F$2241,3,FALSE)</f>
        <v>0</v>
      </c>
      <c r="N1391">
        <f>VLOOKUP(B1391,purchase_dataset!$B$2:$F$2241,5,FALSE)</f>
        <v>3</v>
      </c>
      <c r="O1391" s="5">
        <v>46</v>
      </c>
      <c r="P1391" s="4" t="str">
        <f t="shared" si="42"/>
        <v>30-50</v>
      </c>
      <c r="Q1391" s="4">
        <f>M1391+N1391</f>
        <v>3</v>
      </c>
      <c r="U1391" s="28" t="str" cm="1">
        <f t="array" ref="U1391">_xlfn.IFS(F1391&lt;30000,"30k",F1391&lt;=50000,"30k-50k",F1391&lt;=75000,"50k-75k",F1391&lt;=100000,"75k-100k",F1391&gt;100000,"100k")</f>
        <v>30k-50k</v>
      </c>
      <c r="W1391" s="1">
        <f t="shared" si="43"/>
        <v>14</v>
      </c>
    </row>
    <row r="1392" spans="1:23" x14ac:dyDescent="0.35">
      <c r="A1392">
        <v>1389</v>
      </c>
      <c r="B1392">
        <v>2963</v>
      </c>
      <c r="C1392">
        <v>1979</v>
      </c>
      <c r="D1392" s="1" t="s">
        <v>10</v>
      </c>
      <c r="E1392" s="1" t="s">
        <v>12</v>
      </c>
      <c r="F1392">
        <v>75507</v>
      </c>
      <c r="G1392">
        <v>0</v>
      </c>
      <c r="H1392" s="2">
        <v>0</v>
      </c>
      <c r="I1392" s="2">
        <v>41761</v>
      </c>
      <c r="J1392">
        <v>56</v>
      </c>
      <c r="K1392">
        <f>VLOOKUP(B1392,purchase_dataset!$B$2:$F$2241,2,FALSE)</f>
        <v>93</v>
      </c>
      <c r="L1392">
        <f>VLOOKUP(B1392,purchase_dataset!$B$2:$F$2241,3,FALSE)</f>
        <v>80</v>
      </c>
      <c r="M1392">
        <f>VLOOKUP(B1392,purchase_dataset!$B$2:$F$2241,3,FALSE)</f>
        <v>80</v>
      </c>
      <c r="N1392">
        <f>VLOOKUP(B1392,purchase_dataset!$B$2:$F$2241,5,FALSE)</f>
        <v>6</v>
      </c>
      <c r="O1392" s="5">
        <v>47</v>
      </c>
      <c r="P1392" s="4" t="str">
        <f t="shared" si="42"/>
        <v>30-50</v>
      </c>
      <c r="Q1392" s="4">
        <f>M1392+N1392</f>
        <v>86</v>
      </c>
      <c r="U1392" s="28" t="str" cm="1">
        <f t="array" ref="U1392">_xlfn.IFS(F1392&lt;30000,"30k",F1392&lt;=50000,"30k-50k",F1392&lt;=75000,"50k-75k",F1392&lt;=100000,"75k-100k",F1392&gt;100000,"100k")</f>
        <v>75k-100k</v>
      </c>
      <c r="W1392" s="1">
        <f t="shared" si="43"/>
        <v>12</v>
      </c>
    </row>
    <row r="1393" spans="1:23" x14ac:dyDescent="0.35">
      <c r="A1393">
        <v>1390</v>
      </c>
      <c r="B1393">
        <v>8216</v>
      </c>
      <c r="C1393">
        <v>1972</v>
      </c>
      <c r="D1393" s="1" t="s">
        <v>15</v>
      </c>
      <c r="E1393" s="1" t="s">
        <v>14</v>
      </c>
      <c r="F1393">
        <v>53761</v>
      </c>
      <c r="G1393">
        <v>1</v>
      </c>
      <c r="H1393" s="2">
        <v>1</v>
      </c>
      <c r="I1393" s="2">
        <v>41558</v>
      </c>
      <c r="J1393">
        <v>7</v>
      </c>
      <c r="K1393">
        <f>VLOOKUP(B1393,purchase_dataset!$B$2:$F$2241,2,FALSE)</f>
        <v>0</v>
      </c>
      <c r="L1393">
        <f>VLOOKUP(B1393,purchase_dataset!$B$2:$F$2241,3,FALSE)</f>
        <v>7</v>
      </c>
      <c r="M1393">
        <f>VLOOKUP(B1393,purchase_dataset!$B$2:$F$2241,3,FALSE)</f>
        <v>7</v>
      </c>
      <c r="N1393">
        <f>VLOOKUP(B1393,purchase_dataset!$B$2:$F$2241,5,FALSE)</f>
        <v>3</v>
      </c>
      <c r="O1393" s="5">
        <v>54</v>
      </c>
      <c r="P1393" s="4" t="str">
        <f t="shared" si="42"/>
        <v>&gt;50</v>
      </c>
      <c r="Q1393" s="4">
        <f>M1393+N1393</f>
        <v>10</v>
      </c>
      <c r="U1393" s="28" t="str" cm="1">
        <f t="array" ref="U1393">_xlfn.IFS(F1393&lt;30000,"30k",F1393&lt;=50000,"30k-50k",F1393&lt;=75000,"50k-75k",F1393&lt;=100000,"75k-100k",F1393&gt;100000,"100k")</f>
        <v>50k-75k</v>
      </c>
      <c r="W1393" s="1">
        <f t="shared" si="43"/>
        <v>13</v>
      </c>
    </row>
    <row r="1394" spans="1:23" x14ac:dyDescent="0.35">
      <c r="A1394">
        <v>1391</v>
      </c>
      <c r="B1394">
        <v>8140</v>
      </c>
      <c r="C1394">
        <v>1973</v>
      </c>
      <c r="D1394" s="1" t="s">
        <v>10</v>
      </c>
      <c r="E1394" s="1" t="s">
        <v>12</v>
      </c>
      <c r="F1394">
        <v>22682</v>
      </c>
      <c r="G1394">
        <v>1</v>
      </c>
      <c r="H1394" s="2">
        <v>0</v>
      </c>
      <c r="I1394" s="2">
        <v>41550</v>
      </c>
      <c r="J1394">
        <v>51</v>
      </c>
      <c r="K1394">
        <f>VLOOKUP(B1394,purchase_dataset!$B$2:$F$2241,2,FALSE)</f>
        <v>14</v>
      </c>
      <c r="L1394">
        <f>VLOOKUP(B1394,purchase_dataset!$B$2:$F$2241,3,FALSE)</f>
        <v>2</v>
      </c>
      <c r="M1394">
        <f>VLOOKUP(B1394,purchase_dataset!$B$2:$F$2241,3,FALSE)</f>
        <v>2</v>
      </c>
      <c r="N1394">
        <f>VLOOKUP(B1394,purchase_dataset!$B$2:$F$2241,5,FALSE)</f>
        <v>4</v>
      </c>
      <c r="O1394" s="5">
        <v>53</v>
      </c>
      <c r="P1394" s="4" t="str">
        <f t="shared" si="42"/>
        <v>&gt;50</v>
      </c>
      <c r="Q1394" s="4">
        <f>M1394+N1394</f>
        <v>6</v>
      </c>
      <c r="U1394" s="28" t="str" cm="1">
        <f t="array" ref="U1394">_xlfn.IFS(F1394&lt;30000,"30k",F1394&lt;=50000,"30k-50k",F1394&lt;=75000,"50k-75k",F1394&lt;=100000,"75k-100k",F1394&gt;100000,"100k")</f>
        <v>30k</v>
      </c>
      <c r="W1394" s="1">
        <f t="shared" si="43"/>
        <v>13</v>
      </c>
    </row>
    <row r="1395" spans="1:23" x14ac:dyDescent="0.35">
      <c r="A1395">
        <v>1392</v>
      </c>
      <c r="B1395">
        <v>10146</v>
      </c>
      <c r="C1395">
        <v>1972</v>
      </c>
      <c r="D1395" s="1" t="s">
        <v>13</v>
      </c>
      <c r="E1395" s="1" t="s">
        <v>12</v>
      </c>
      <c r="F1395">
        <v>38887</v>
      </c>
      <c r="G1395">
        <v>1</v>
      </c>
      <c r="H1395" s="2">
        <v>0</v>
      </c>
      <c r="I1395" s="2">
        <v>41700</v>
      </c>
      <c r="J1395">
        <v>17</v>
      </c>
      <c r="K1395">
        <f>VLOOKUP(B1395,purchase_dataset!$B$2:$F$2241,2,FALSE)</f>
        <v>1</v>
      </c>
      <c r="L1395">
        <f>VLOOKUP(B1395,purchase_dataset!$B$2:$F$2241,3,FALSE)</f>
        <v>0</v>
      </c>
      <c r="M1395">
        <f>VLOOKUP(B1395,purchase_dataset!$B$2:$F$2241,3,FALSE)</f>
        <v>0</v>
      </c>
      <c r="N1395">
        <f>VLOOKUP(B1395,purchase_dataset!$B$2:$F$2241,5,FALSE)</f>
        <v>3</v>
      </c>
      <c r="O1395" s="5">
        <v>54</v>
      </c>
      <c r="P1395" s="4" t="str">
        <f t="shared" si="42"/>
        <v>&gt;50</v>
      </c>
      <c r="Q1395" s="4">
        <f>M1395+N1395</f>
        <v>3</v>
      </c>
      <c r="U1395" s="28" t="str" cm="1">
        <f t="array" ref="U1395">_xlfn.IFS(F1395&lt;30000,"30k",F1395&lt;=50000,"30k-50k",F1395&lt;=75000,"50k-75k",F1395&lt;=100000,"75k-100k",F1395&gt;100000,"100k")</f>
        <v>30k-50k</v>
      </c>
      <c r="W1395" s="1">
        <f t="shared" si="43"/>
        <v>12</v>
      </c>
    </row>
    <row r="1396" spans="1:23" x14ac:dyDescent="0.35">
      <c r="A1396">
        <v>1393</v>
      </c>
      <c r="B1396">
        <v>5289</v>
      </c>
      <c r="C1396">
        <v>1975</v>
      </c>
      <c r="D1396" s="1" t="s">
        <v>18</v>
      </c>
      <c r="E1396" s="1" t="s">
        <v>11</v>
      </c>
      <c r="F1396">
        <v>41658</v>
      </c>
      <c r="G1396">
        <v>1</v>
      </c>
      <c r="H1396" s="2">
        <v>1</v>
      </c>
      <c r="I1396" s="2">
        <v>41222</v>
      </c>
      <c r="J1396">
        <v>30</v>
      </c>
      <c r="K1396">
        <f>VLOOKUP(B1396,purchase_dataset!$B$2:$F$2241,2,FALSE)</f>
        <v>4</v>
      </c>
      <c r="L1396">
        <f>VLOOKUP(B1396,purchase_dataset!$B$2:$F$2241,3,FALSE)</f>
        <v>4</v>
      </c>
      <c r="M1396">
        <f>VLOOKUP(B1396,purchase_dataset!$B$2:$F$2241,3,FALSE)</f>
        <v>4</v>
      </c>
      <c r="N1396">
        <f>VLOOKUP(B1396,purchase_dataset!$B$2:$F$2241,5,FALSE)</f>
        <v>2</v>
      </c>
      <c r="O1396" s="5">
        <v>51</v>
      </c>
      <c r="P1396" s="4" t="str">
        <f t="shared" si="42"/>
        <v>&gt;50</v>
      </c>
      <c r="Q1396" s="4">
        <f>M1396+N1396</f>
        <v>6</v>
      </c>
      <c r="U1396" s="28" t="str" cm="1">
        <f t="array" ref="U1396">_xlfn.IFS(F1396&lt;30000,"30k",F1396&lt;=50000,"30k-50k",F1396&lt;=75000,"50k-75k",F1396&lt;=100000,"75k-100k",F1396&gt;100000,"100k")</f>
        <v>30k-50k</v>
      </c>
      <c r="W1396" s="1">
        <f t="shared" si="43"/>
        <v>14</v>
      </c>
    </row>
    <row r="1397" spans="1:23" x14ac:dyDescent="0.35">
      <c r="A1397">
        <v>1394</v>
      </c>
      <c r="B1397">
        <v>2587</v>
      </c>
      <c r="C1397">
        <v>1972</v>
      </c>
      <c r="D1397" s="1" t="s">
        <v>13</v>
      </c>
      <c r="E1397" s="1" t="s">
        <v>14</v>
      </c>
      <c r="F1397">
        <v>29791</v>
      </c>
      <c r="G1397">
        <v>1</v>
      </c>
      <c r="H1397" s="2">
        <v>0</v>
      </c>
      <c r="I1397" s="2">
        <v>41774</v>
      </c>
      <c r="J1397">
        <v>21</v>
      </c>
      <c r="K1397">
        <f>VLOOKUP(B1397,purchase_dataset!$B$2:$F$2241,2,FALSE)</f>
        <v>0</v>
      </c>
      <c r="L1397">
        <f>VLOOKUP(B1397,purchase_dataset!$B$2:$F$2241,3,FALSE)</f>
        <v>0</v>
      </c>
      <c r="M1397">
        <f>VLOOKUP(B1397,purchase_dataset!$B$2:$F$2241,3,FALSE)</f>
        <v>0</v>
      </c>
      <c r="N1397">
        <f>VLOOKUP(B1397,purchase_dataset!$B$2:$F$2241,5,FALSE)</f>
        <v>3</v>
      </c>
      <c r="O1397" s="5">
        <v>54</v>
      </c>
      <c r="P1397" s="4" t="str">
        <f t="shared" si="42"/>
        <v>&gt;50</v>
      </c>
      <c r="Q1397" s="4">
        <f>M1397+N1397</f>
        <v>3</v>
      </c>
      <c r="U1397" s="28" t="str" cm="1">
        <f t="array" ref="U1397">_xlfn.IFS(F1397&lt;30000,"30k",F1397&lt;=50000,"30k-50k",F1397&lt;=75000,"50k-75k",F1397&lt;=100000,"75k-100k",F1397&gt;100000,"100k")</f>
        <v>30k</v>
      </c>
      <c r="W1397" s="1">
        <f t="shared" si="43"/>
        <v>12</v>
      </c>
    </row>
    <row r="1398" spans="1:23" x14ac:dyDescent="0.35">
      <c r="A1398">
        <v>1395</v>
      </c>
      <c r="B1398">
        <v>4405</v>
      </c>
      <c r="C1398">
        <v>1956</v>
      </c>
      <c r="D1398" s="1" t="s">
        <v>15</v>
      </c>
      <c r="E1398" s="1" t="s">
        <v>14</v>
      </c>
      <c r="F1398">
        <v>63915</v>
      </c>
      <c r="G1398">
        <v>0</v>
      </c>
      <c r="H1398" s="2">
        <v>2</v>
      </c>
      <c r="I1398" s="2">
        <v>41485</v>
      </c>
      <c r="J1398">
        <v>2</v>
      </c>
      <c r="K1398">
        <f>VLOOKUP(B1398,purchase_dataset!$B$2:$F$2241,2,FALSE)</f>
        <v>7</v>
      </c>
      <c r="L1398">
        <f>VLOOKUP(B1398,purchase_dataset!$B$2:$F$2241,3,FALSE)</f>
        <v>0</v>
      </c>
      <c r="M1398">
        <f>VLOOKUP(B1398,purchase_dataset!$B$2:$F$2241,3,FALSE)</f>
        <v>0</v>
      </c>
      <c r="N1398">
        <f>VLOOKUP(B1398,purchase_dataset!$B$2:$F$2241,5,FALSE)</f>
        <v>12</v>
      </c>
      <c r="O1398" s="5">
        <v>70</v>
      </c>
      <c r="P1398" s="4" t="str">
        <f t="shared" si="42"/>
        <v>&gt;50</v>
      </c>
      <c r="Q1398" s="4">
        <f>M1398+N1398</f>
        <v>12</v>
      </c>
      <c r="U1398" s="28" t="str" cm="1">
        <f t="array" ref="U1398">_xlfn.IFS(F1398&lt;30000,"30k",F1398&lt;=50000,"30k-50k",F1398&lt;=75000,"50k-75k",F1398&lt;=100000,"75k-100k",F1398&gt;100000,"100k")</f>
        <v>50k-75k</v>
      </c>
      <c r="W1398" s="1">
        <f t="shared" si="43"/>
        <v>13</v>
      </c>
    </row>
    <row r="1399" spans="1:23" x14ac:dyDescent="0.35">
      <c r="A1399">
        <v>1396</v>
      </c>
      <c r="B1399">
        <v>8663</v>
      </c>
      <c r="C1399">
        <v>1974</v>
      </c>
      <c r="D1399" s="1" t="s">
        <v>10</v>
      </c>
      <c r="E1399" s="1" t="s">
        <v>16</v>
      </c>
      <c r="F1399">
        <v>39996</v>
      </c>
      <c r="G1399">
        <v>1</v>
      </c>
      <c r="H1399" s="2">
        <v>1</v>
      </c>
      <c r="I1399" s="2">
        <v>41781</v>
      </c>
      <c r="J1399">
        <v>85</v>
      </c>
      <c r="K1399">
        <f>VLOOKUP(B1399,purchase_dataset!$B$2:$F$2241,2,FALSE)</f>
        <v>0</v>
      </c>
      <c r="L1399">
        <f>VLOOKUP(B1399,purchase_dataset!$B$2:$F$2241,3,FALSE)</f>
        <v>0</v>
      </c>
      <c r="M1399">
        <f>VLOOKUP(B1399,purchase_dataset!$B$2:$F$2241,3,FALSE)</f>
        <v>0</v>
      </c>
      <c r="N1399">
        <f>VLOOKUP(B1399,purchase_dataset!$B$2:$F$2241,5,FALSE)</f>
        <v>2</v>
      </c>
      <c r="O1399" s="5">
        <v>52</v>
      </c>
      <c r="P1399" s="4" t="str">
        <f t="shared" si="42"/>
        <v>&gt;50</v>
      </c>
      <c r="Q1399" s="4">
        <f>M1399+N1399</f>
        <v>2</v>
      </c>
      <c r="U1399" s="28" t="str" cm="1">
        <f t="array" ref="U1399">_xlfn.IFS(F1399&lt;30000,"30k",F1399&lt;=50000,"30k-50k",F1399&lt;=75000,"50k-75k",F1399&lt;=100000,"75k-100k",F1399&gt;100000,"100k")</f>
        <v>30k-50k</v>
      </c>
      <c r="W1399" s="1">
        <f t="shared" si="43"/>
        <v>12</v>
      </c>
    </row>
    <row r="1400" spans="1:23" x14ac:dyDescent="0.35">
      <c r="A1400">
        <v>1397</v>
      </c>
      <c r="B1400">
        <v>2589</v>
      </c>
      <c r="C1400">
        <v>1972</v>
      </c>
      <c r="D1400" s="1" t="s">
        <v>10</v>
      </c>
      <c r="E1400" s="1" t="s">
        <v>16</v>
      </c>
      <c r="F1400">
        <v>26759</v>
      </c>
      <c r="G1400">
        <v>1</v>
      </c>
      <c r="H1400" s="2">
        <v>0</v>
      </c>
      <c r="I1400" s="2">
        <v>41677</v>
      </c>
      <c r="J1400">
        <v>65</v>
      </c>
      <c r="K1400">
        <f>VLOOKUP(B1400,purchase_dataset!$B$2:$F$2241,2,FALSE)</f>
        <v>3</v>
      </c>
      <c r="L1400">
        <f>VLOOKUP(B1400,purchase_dataset!$B$2:$F$2241,3,FALSE)</f>
        <v>5</v>
      </c>
      <c r="M1400">
        <f>VLOOKUP(B1400,purchase_dataset!$B$2:$F$2241,3,FALSE)</f>
        <v>5</v>
      </c>
      <c r="N1400">
        <f>VLOOKUP(B1400,purchase_dataset!$B$2:$F$2241,5,FALSE)</f>
        <v>3</v>
      </c>
      <c r="O1400" s="5">
        <v>54</v>
      </c>
      <c r="P1400" s="4" t="str">
        <f t="shared" si="42"/>
        <v>&gt;50</v>
      </c>
      <c r="Q1400" s="4">
        <f>M1400+N1400</f>
        <v>8</v>
      </c>
      <c r="U1400" s="28" t="str" cm="1">
        <f t="array" ref="U1400">_xlfn.IFS(F1400&lt;30000,"30k",F1400&lt;=50000,"30k-50k",F1400&lt;=75000,"50k-75k",F1400&lt;=100000,"75k-100k",F1400&gt;100000,"100k")</f>
        <v>30k</v>
      </c>
      <c r="W1400" s="1">
        <f t="shared" si="43"/>
        <v>12</v>
      </c>
    </row>
    <row r="1401" spans="1:23" x14ac:dyDescent="0.35">
      <c r="A1401">
        <v>1398</v>
      </c>
      <c r="B1401">
        <v>3421</v>
      </c>
      <c r="C1401">
        <v>1968</v>
      </c>
      <c r="D1401" s="1" t="s">
        <v>15</v>
      </c>
      <c r="E1401" s="1" t="s">
        <v>16</v>
      </c>
      <c r="F1401">
        <v>63841</v>
      </c>
      <c r="G1401">
        <v>0</v>
      </c>
      <c r="H1401" s="2">
        <v>1</v>
      </c>
      <c r="I1401" s="2">
        <v>41385</v>
      </c>
      <c r="J1401">
        <v>64</v>
      </c>
      <c r="K1401">
        <f>VLOOKUP(B1401,purchase_dataset!$B$2:$F$2241,2,FALSE)</f>
        <v>15</v>
      </c>
      <c r="L1401">
        <f>VLOOKUP(B1401,purchase_dataset!$B$2:$F$2241,3,FALSE)</f>
        <v>7</v>
      </c>
      <c r="M1401">
        <f>VLOOKUP(B1401,purchase_dataset!$B$2:$F$2241,3,FALSE)</f>
        <v>7</v>
      </c>
      <c r="N1401">
        <f>VLOOKUP(B1401,purchase_dataset!$B$2:$F$2241,5,FALSE)</f>
        <v>9</v>
      </c>
      <c r="O1401" s="5">
        <v>58</v>
      </c>
      <c r="P1401" s="4" t="str">
        <f t="shared" si="42"/>
        <v>&gt;50</v>
      </c>
      <c r="Q1401" s="4">
        <f>M1401+N1401</f>
        <v>16</v>
      </c>
      <c r="U1401" s="28" t="str" cm="1">
        <f t="array" ref="U1401">_xlfn.IFS(F1401&lt;30000,"30k",F1401&lt;=50000,"30k-50k",F1401&lt;=75000,"50k-75k",F1401&lt;=100000,"75k-100k",F1401&gt;100000,"100k")</f>
        <v>50k-75k</v>
      </c>
      <c r="W1401" s="1">
        <f t="shared" si="43"/>
        <v>13</v>
      </c>
    </row>
    <row r="1402" spans="1:23" x14ac:dyDescent="0.35">
      <c r="A1402">
        <v>1399</v>
      </c>
      <c r="B1402">
        <v>10490</v>
      </c>
      <c r="C1402">
        <v>1969</v>
      </c>
      <c r="D1402" s="1" t="s">
        <v>13</v>
      </c>
      <c r="E1402" s="1" t="s">
        <v>14</v>
      </c>
      <c r="F1402">
        <v>51039</v>
      </c>
      <c r="G1402">
        <v>1</v>
      </c>
      <c r="H1402" s="2">
        <v>1</v>
      </c>
      <c r="I1402" s="2">
        <v>41253</v>
      </c>
      <c r="J1402">
        <v>11</v>
      </c>
      <c r="K1402">
        <f>VLOOKUP(B1402,purchase_dataset!$B$2:$F$2241,2,FALSE)</f>
        <v>64</v>
      </c>
      <c r="L1402">
        <f>VLOOKUP(B1402,purchase_dataset!$B$2:$F$2241,3,FALSE)</f>
        <v>0</v>
      </c>
      <c r="M1402">
        <f>VLOOKUP(B1402,purchase_dataset!$B$2:$F$2241,3,FALSE)</f>
        <v>0</v>
      </c>
      <c r="N1402">
        <f>VLOOKUP(B1402,purchase_dataset!$B$2:$F$2241,5,FALSE)</f>
        <v>4</v>
      </c>
      <c r="O1402" s="5">
        <v>57</v>
      </c>
      <c r="P1402" s="4" t="str">
        <f t="shared" si="42"/>
        <v>&gt;50</v>
      </c>
      <c r="Q1402" s="4">
        <f>M1402+N1402</f>
        <v>4</v>
      </c>
      <c r="U1402" s="28" t="str" cm="1">
        <f t="array" ref="U1402">_xlfn.IFS(F1402&lt;30000,"30k",F1402&lt;=50000,"30k-50k",F1402&lt;=75000,"50k-75k",F1402&lt;=100000,"75k-100k",F1402&gt;100000,"100k")</f>
        <v>50k-75k</v>
      </c>
      <c r="W1402" s="1">
        <f t="shared" si="43"/>
        <v>14</v>
      </c>
    </row>
    <row r="1403" spans="1:23" x14ac:dyDescent="0.35">
      <c r="A1403">
        <v>1400</v>
      </c>
      <c r="B1403">
        <v>4094</v>
      </c>
      <c r="C1403">
        <v>1961</v>
      </c>
      <c r="D1403" s="1" t="s">
        <v>10</v>
      </c>
      <c r="E1403" s="1" t="s">
        <v>14</v>
      </c>
      <c r="F1403">
        <v>60544</v>
      </c>
      <c r="G1403">
        <v>1</v>
      </c>
      <c r="H1403" s="2">
        <v>1</v>
      </c>
      <c r="I1403" s="2">
        <v>41146</v>
      </c>
      <c r="J1403">
        <v>92</v>
      </c>
      <c r="K1403">
        <f>VLOOKUP(B1403,purchase_dataset!$B$2:$F$2241,2,FALSE)</f>
        <v>2</v>
      </c>
      <c r="L1403">
        <f>VLOOKUP(B1403,purchase_dataset!$B$2:$F$2241,3,FALSE)</f>
        <v>5</v>
      </c>
      <c r="M1403">
        <f>VLOOKUP(B1403,purchase_dataset!$B$2:$F$2241,3,FALSE)</f>
        <v>5</v>
      </c>
      <c r="N1403">
        <f>VLOOKUP(B1403,purchase_dataset!$B$2:$F$2241,5,FALSE)</f>
        <v>5</v>
      </c>
      <c r="O1403" s="5">
        <v>65</v>
      </c>
      <c r="P1403" s="4" t="str">
        <f t="shared" si="42"/>
        <v>&gt;50</v>
      </c>
      <c r="Q1403" s="4">
        <f>M1403+N1403</f>
        <v>10</v>
      </c>
      <c r="U1403" s="28" t="str" cm="1">
        <f t="array" ref="U1403">_xlfn.IFS(F1403&lt;30000,"30k",F1403&lt;=50000,"30k-50k",F1403&lt;=75000,"50k-75k",F1403&lt;=100000,"75k-100k",F1403&gt;100000,"100k")</f>
        <v>50k-75k</v>
      </c>
      <c r="W1403" s="1">
        <f t="shared" si="43"/>
        <v>14</v>
      </c>
    </row>
    <row r="1404" spans="1:23" x14ac:dyDescent="0.35">
      <c r="A1404">
        <v>1401</v>
      </c>
      <c r="B1404">
        <v>9958</v>
      </c>
      <c r="C1404">
        <v>1972</v>
      </c>
      <c r="D1404" s="1" t="s">
        <v>10</v>
      </c>
      <c r="E1404" s="1" t="s">
        <v>14</v>
      </c>
      <c r="F1404">
        <v>65685</v>
      </c>
      <c r="G1404">
        <v>0</v>
      </c>
      <c r="H1404" s="2">
        <v>1</v>
      </c>
      <c r="I1404" s="2">
        <v>41727</v>
      </c>
      <c r="J1404">
        <v>54</v>
      </c>
      <c r="K1404">
        <f>VLOOKUP(B1404,purchase_dataset!$B$2:$F$2241,2,FALSE)</f>
        <v>14</v>
      </c>
      <c r="L1404">
        <f>VLOOKUP(B1404,purchase_dataset!$B$2:$F$2241,3,FALSE)</f>
        <v>7</v>
      </c>
      <c r="M1404">
        <f>VLOOKUP(B1404,purchase_dataset!$B$2:$F$2241,3,FALSE)</f>
        <v>7</v>
      </c>
      <c r="N1404">
        <f>VLOOKUP(B1404,purchase_dataset!$B$2:$F$2241,5,FALSE)</f>
        <v>9</v>
      </c>
      <c r="O1404" s="5">
        <v>54</v>
      </c>
      <c r="P1404" s="4" t="str">
        <f t="shared" si="42"/>
        <v>&gt;50</v>
      </c>
      <c r="Q1404" s="4">
        <f>M1404+N1404</f>
        <v>16</v>
      </c>
      <c r="U1404" s="28" t="str" cm="1">
        <f t="array" ref="U1404">_xlfn.IFS(F1404&lt;30000,"30k",F1404&lt;=50000,"30k-50k",F1404&lt;=75000,"50k-75k",F1404&lt;=100000,"75k-100k",F1404&gt;100000,"100k")</f>
        <v>50k-75k</v>
      </c>
      <c r="W1404" s="1">
        <f t="shared" si="43"/>
        <v>12</v>
      </c>
    </row>
    <row r="1405" spans="1:23" x14ac:dyDescent="0.35">
      <c r="A1405">
        <v>1402</v>
      </c>
      <c r="B1405">
        <v>2534</v>
      </c>
      <c r="C1405">
        <v>1953</v>
      </c>
      <c r="D1405" s="1" t="s">
        <v>10</v>
      </c>
      <c r="E1405" s="1" t="s">
        <v>14</v>
      </c>
      <c r="F1405">
        <v>37716</v>
      </c>
      <c r="G1405">
        <v>0</v>
      </c>
      <c r="H1405" s="2">
        <v>1</v>
      </c>
      <c r="I1405" s="2">
        <v>41750</v>
      </c>
      <c r="J1405">
        <v>4</v>
      </c>
      <c r="K1405">
        <f>VLOOKUP(B1405,purchase_dataset!$B$2:$F$2241,2,FALSE)</f>
        <v>1</v>
      </c>
      <c r="L1405">
        <f>VLOOKUP(B1405,purchase_dataset!$B$2:$F$2241,3,FALSE)</f>
        <v>2</v>
      </c>
      <c r="M1405">
        <f>VLOOKUP(B1405,purchase_dataset!$B$2:$F$2241,3,FALSE)</f>
        <v>2</v>
      </c>
      <c r="N1405">
        <f>VLOOKUP(B1405,purchase_dataset!$B$2:$F$2241,5,FALSE)</f>
        <v>3</v>
      </c>
      <c r="O1405" s="5">
        <v>73</v>
      </c>
      <c r="P1405" s="4" t="str">
        <f t="shared" si="42"/>
        <v>&gt;50</v>
      </c>
      <c r="Q1405" s="4">
        <f>M1405+N1405</f>
        <v>5</v>
      </c>
      <c r="U1405" s="28" t="str" cm="1">
        <f t="array" ref="U1405">_xlfn.IFS(F1405&lt;30000,"30k",F1405&lt;=50000,"30k-50k",F1405&lt;=75000,"50k-75k",F1405&lt;=100000,"75k-100k",F1405&gt;100000,"100k")</f>
        <v>30k-50k</v>
      </c>
      <c r="W1405" s="1">
        <f t="shared" si="43"/>
        <v>12</v>
      </c>
    </row>
    <row r="1406" spans="1:23" x14ac:dyDescent="0.35">
      <c r="A1406">
        <v>1403</v>
      </c>
      <c r="B1406">
        <v>4188</v>
      </c>
      <c r="C1406">
        <v>1957</v>
      </c>
      <c r="D1406" s="1" t="s">
        <v>10</v>
      </c>
      <c r="E1406" s="1" t="s">
        <v>11</v>
      </c>
      <c r="F1406">
        <v>36864</v>
      </c>
      <c r="G1406">
        <v>0</v>
      </c>
      <c r="H1406" s="2">
        <v>1</v>
      </c>
      <c r="I1406" s="2">
        <v>41134</v>
      </c>
      <c r="J1406">
        <v>53</v>
      </c>
      <c r="K1406">
        <f>VLOOKUP(B1406,purchase_dataset!$B$2:$F$2241,2,FALSE)</f>
        <v>5</v>
      </c>
      <c r="L1406">
        <f>VLOOKUP(B1406,purchase_dataset!$B$2:$F$2241,3,FALSE)</f>
        <v>0</v>
      </c>
      <c r="M1406">
        <f>VLOOKUP(B1406,purchase_dataset!$B$2:$F$2241,3,FALSE)</f>
        <v>0</v>
      </c>
      <c r="N1406">
        <f>VLOOKUP(B1406,purchase_dataset!$B$2:$F$2241,5,FALSE)</f>
        <v>4</v>
      </c>
      <c r="O1406" s="5">
        <v>69</v>
      </c>
      <c r="P1406" s="4" t="str">
        <f t="shared" si="42"/>
        <v>&gt;50</v>
      </c>
      <c r="Q1406" s="4">
        <f>M1406+N1406</f>
        <v>4</v>
      </c>
      <c r="U1406" s="28" t="str" cm="1">
        <f t="array" ref="U1406">_xlfn.IFS(F1406&lt;30000,"30k",F1406&lt;=50000,"30k-50k",F1406&lt;=75000,"50k-75k",F1406&lt;=100000,"75k-100k",F1406&gt;100000,"100k")</f>
        <v>30k-50k</v>
      </c>
      <c r="W1406" s="1">
        <f t="shared" si="43"/>
        <v>14</v>
      </c>
    </row>
    <row r="1407" spans="1:23" x14ac:dyDescent="0.35">
      <c r="A1407">
        <v>1404</v>
      </c>
      <c r="B1407">
        <v>6613</v>
      </c>
      <c r="C1407">
        <v>1970</v>
      </c>
      <c r="D1407" s="1" t="s">
        <v>15</v>
      </c>
      <c r="E1407" s="1" t="s">
        <v>14</v>
      </c>
      <c r="F1407">
        <v>44511</v>
      </c>
      <c r="G1407">
        <v>1</v>
      </c>
      <c r="H1407" s="2">
        <v>0</v>
      </c>
      <c r="I1407" s="2">
        <v>41194</v>
      </c>
      <c r="J1407">
        <v>39</v>
      </c>
      <c r="K1407">
        <f>VLOOKUP(B1407,purchase_dataset!$B$2:$F$2241,2,FALSE)</f>
        <v>7</v>
      </c>
      <c r="L1407">
        <f>VLOOKUP(B1407,purchase_dataset!$B$2:$F$2241,3,FALSE)</f>
        <v>14</v>
      </c>
      <c r="M1407">
        <f>VLOOKUP(B1407,purchase_dataset!$B$2:$F$2241,3,FALSE)</f>
        <v>14</v>
      </c>
      <c r="N1407">
        <f>VLOOKUP(B1407,purchase_dataset!$B$2:$F$2241,5,FALSE)</f>
        <v>8</v>
      </c>
      <c r="O1407" s="5">
        <v>56</v>
      </c>
      <c r="P1407" s="4" t="str">
        <f t="shared" si="42"/>
        <v>&gt;50</v>
      </c>
      <c r="Q1407" s="4">
        <f>M1407+N1407</f>
        <v>22</v>
      </c>
      <c r="U1407" s="28" t="str" cm="1">
        <f t="array" ref="U1407">_xlfn.IFS(F1407&lt;30000,"30k",F1407&lt;=50000,"30k-50k",F1407&lt;=75000,"50k-75k",F1407&lt;=100000,"75k-100k",F1407&gt;100000,"100k")</f>
        <v>30k-50k</v>
      </c>
      <c r="W1407" s="1">
        <f t="shared" si="43"/>
        <v>14</v>
      </c>
    </row>
    <row r="1408" spans="1:23" x14ac:dyDescent="0.35">
      <c r="A1408">
        <v>1405</v>
      </c>
      <c r="B1408">
        <v>10827</v>
      </c>
      <c r="C1408">
        <v>1967</v>
      </c>
      <c r="D1408" s="1" t="s">
        <v>13</v>
      </c>
      <c r="E1408" s="1" t="s">
        <v>14</v>
      </c>
      <c r="F1408">
        <v>36947</v>
      </c>
      <c r="G1408">
        <v>1</v>
      </c>
      <c r="H1408" s="2">
        <v>1</v>
      </c>
      <c r="I1408" s="2">
        <v>41128</v>
      </c>
      <c r="J1408">
        <v>49</v>
      </c>
      <c r="K1408">
        <f>VLOOKUP(B1408,purchase_dataset!$B$2:$F$2241,2,FALSE)</f>
        <v>3</v>
      </c>
      <c r="L1408">
        <f>VLOOKUP(B1408,purchase_dataset!$B$2:$F$2241,3,FALSE)</f>
        <v>1</v>
      </c>
      <c r="M1408">
        <f>VLOOKUP(B1408,purchase_dataset!$B$2:$F$2241,3,FALSE)</f>
        <v>1</v>
      </c>
      <c r="N1408">
        <f>VLOOKUP(B1408,purchase_dataset!$B$2:$F$2241,5,FALSE)</f>
        <v>4</v>
      </c>
      <c r="O1408" s="5">
        <v>59</v>
      </c>
      <c r="P1408" s="4" t="str">
        <f t="shared" si="42"/>
        <v>&gt;50</v>
      </c>
      <c r="Q1408" s="4">
        <f>M1408+N1408</f>
        <v>5</v>
      </c>
      <c r="U1408" s="28" t="str" cm="1">
        <f t="array" ref="U1408">_xlfn.IFS(F1408&lt;30000,"30k",F1408&lt;=50000,"30k-50k",F1408&lt;=75000,"50k-75k",F1408&lt;=100000,"75k-100k",F1408&gt;100000,"100k")</f>
        <v>30k-50k</v>
      </c>
      <c r="W1408" s="1">
        <f t="shared" si="43"/>
        <v>14</v>
      </c>
    </row>
    <row r="1409" spans="1:23" x14ac:dyDescent="0.35">
      <c r="A1409">
        <v>1406</v>
      </c>
      <c r="B1409">
        <v>5491</v>
      </c>
      <c r="C1409">
        <v>1951</v>
      </c>
      <c r="D1409" s="1" t="s">
        <v>15</v>
      </c>
      <c r="E1409" s="1" t="s">
        <v>12</v>
      </c>
      <c r="F1409">
        <v>47352</v>
      </c>
      <c r="G1409">
        <v>0</v>
      </c>
      <c r="H1409" s="2">
        <v>1</v>
      </c>
      <c r="I1409" s="2">
        <v>41375</v>
      </c>
      <c r="J1409">
        <v>70</v>
      </c>
      <c r="K1409">
        <f>VLOOKUP(B1409,purchase_dataset!$B$2:$F$2241,2,FALSE)</f>
        <v>12</v>
      </c>
      <c r="L1409">
        <f>VLOOKUP(B1409,purchase_dataset!$B$2:$F$2241,3,FALSE)</f>
        <v>0</v>
      </c>
      <c r="M1409">
        <f>VLOOKUP(B1409,purchase_dataset!$B$2:$F$2241,3,FALSE)</f>
        <v>0</v>
      </c>
      <c r="N1409">
        <f>VLOOKUP(B1409,purchase_dataset!$B$2:$F$2241,5,FALSE)</f>
        <v>5</v>
      </c>
      <c r="O1409" s="5">
        <v>75</v>
      </c>
      <c r="P1409" s="4" t="str">
        <f t="shared" si="42"/>
        <v>&gt;50</v>
      </c>
      <c r="Q1409" s="4">
        <f>M1409+N1409</f>
        <v>5</v>
      </c>
      <c r="U1409" s="28" t="str" cm="1">
        <f t="array" ref="U1409">_xlfn.IFS(F1409&lt;30000,"30k",F1409&lt;=50000,"30k-50k",F1409&lt;=75000,"50k-75k",F1409&lt;=100000,"75k-100k",F1409&gt;100000,"100k")</f>
        <v>30k-50k</v>
      </c>
      <c r="W1409" s="1">
        <f t="shared" si="43"/>
        <v>13</v>
      </c>
    </row>
    <row r="1410" spans="1:23" x14ac:dyDescent="0.35">
      <c r="A1410">
        <v>1407</v>
      </c>
      <c r="B1410">
        <v>8402</v>
      </c>
      <c r="C1410">
        <v>1953</v>
      </c>
      <c r="D1410" s="1" t="s">
        <v>15</v>
      </c>
      <c r="E1410" s="1" t="s">
        <v>14</v>
      </c>
      <c r="F1410">
        <v>67087</v>
      </c>
      <c r="G1410">
        <v>0</v>
      </c>
      <c r="H1410" s="2">
        <v>1</v>
      </c>
      <c r="I1410" s="2">
        <v>41625</v>
      </c>
      <c r="J1410">
        <v>40</v>
      </c>
      <c r="K1410">
        <f>VLOOKUP(B1410,purchase_dataset!$B$2:$F$2241,2,FALSE)</f>
        <v>35</v>
      </c>
      <c r="L1410">
        <f>VLOOKUP(B1410,purchase_dataset!$B$2:$F$2241,3,FALSE)</f>
        <v>35</v>
      </c>
      <c r="M1410">
        <f>VLOOKUP(B1410,purchase_dataset!$B$2:$F$2241,3,FALSE)</f>
        <v>35</v>
      </c>
      <c r="N1410">
        <f>VLOOKUP(B1410,purchase_dataset!$B$2:$F$2241,5,FALSE)</f>
        <v>8</v>
      </c>
      <c r="O1410" s="5">
        <v>73</v>
      </c>
      <c r="P1410" s="4" t="str">
        <f t="shared" si="42"/>
        <v>&gt;50</v>
      </c>
      <c r="Q1410" s="4">
        <f>M1410+N1410</f>
        <v>43</v>
      </c>
      <c r="U1410" s="28" t="str" cm="1">
        <f t="array" ref="U1410">_xlfn.IFS(F1410&lt;30000,"30k",F1410&lt;=50000,"30k-50k",F1410&lt;=75000,"50k-75k",F1410&lt;=100000,"75k-100k",F1410&gt;100000,"100k")</f>
        <v>50k-75k</v>
      </c>
      <c r="W1410" s="1">
        <f t="shared" si="43"/>
        <v>13</v>
      </c>
    </row>
    <row r="1411" spans="1:23" x14ac:dyDescent="0.35">
      <c r="A1411">
        <v>1408</v>
      </c>
      <c r="B1411">
        <v>8783</v>
      </c>
      <c r="C1411">
        <v>1950</v>
      </c>
      <c r="D1411" s="1" t="s">
        <v>10</v>
      </c>
      <c r="E1411" s="1" t="s">
        <v>14</v>
      </c>
      <c r="F1411">
        <v>57045</v>
      </c>
      <c r="G1411">
        <v>0</v>
      </c>
      <c r="H1411" s="2">
        <v>1</v>
      </c>
      <c r="I1411" s="2">
        <v>41160</v>
      </c>
      <c r="J1411">
        <v>40</v>
      </c>
      <c r="K1411">
        <f>VLOOKUP(B1411,purchase_dataset!$B$2:$F$2241,2,FALSE)</f>
        <v>13</v>
      </c>
      <c r="L1411">
        <f>VLOOKUP(B1411,purchase_dataset!$B$2:$F$2241,3,FALSE)</f>
        <v>13</v>
      </c>
      <c r="M1411">
        <f>VLOOKUP(B1411,purchase_dataset!$B$2:$F$2241,3,FALSE)</f>
        <v>13</v>
      </c>
      <c r="N1411">
        <f>VLOOKUP(B1411,purchase_dataset!$B$2:$F$2241,5,FALSE)</f>
        <v>9</v>
      </c>
      <c r="O1411" s="5">
        <v>76</v>
      </c>
      <c r="P1411" s="4" t="str">
        <f t="shared" si="42"/>
        <v>&gt;50</v>
      </c>
      <c r="Q1411" s="4">
        <f>M1411+N1411</f>
        <v>22</v>
      </c>
      <c r="U1411" s="28" t="str" cm="1">
        <f t="array" ref="U1411">_xlfn.IFS(F1411&lt;30000,"30k",F1411&lt;=50000,"30k-50k",F1411&lt;=75000,"50k-75k",F1411&lt;=100000,"75k-100k",F1411&gt;100000,"100k")</f>
        <v>50k-75k</v>
      </c>
      <c r="W1411" s="1">
        <f t="shared" si="43"/>
        <v>14</v>
      </c>
    </row>
    <row r="1412" spans="1:23" x14ac:dyDescent="0.35">
      <c r="A1412">
        <v>1409</v>
      </c>
      <c r="B1412">
        <v>10010</v>
      </c>
      <c r="C1412">
        <v>1953</v>
      </c>
      <c r="D1412" s="1" t="s">
        <v>13</v>
      </c>
      <c r="E1412" s="1" t="s">
        <v>16</v>
      </c>
      <c r="F1412">
        <v>36957</v>
      </c>
      <c r="G1412">
        <v>1</v>
      </c>
      <c r="H1412" s="2">
        <v>1</v>
      </c>
      <c r="I1412" s="2">
        <v>41158</v>
      </c>
      <c r="J1412">
        <v>43</v>
      </c>
      <c r="K1412">
        <f>VLOOKUP(B1412,purchase_dataset!$B$2:$F$2241,2,FALSE)</f>
        <v>2</v>
      </c>
      <c r="L1412">
        <f>VLOOKUP(B1412,purchase_dataset!$B$2:$F$2241,3,FALSE)</f>
        <v>1</v>
      </c>
      <c r="M1412">
        <f>VLOOKUP(B1412,purchase_dataset!$B$2:$F$2241,3,FALSE)</f>
        <v>1</v>
      </c>
      <c r="N1412">
        <f>VLOOKUP(B1412,purchase_dataset!$B$2:$F$2241,5,FALSE)</f>
        <v>2</v>
      </c>
      <c r="O1412" s="5">
        <v>73</v>
      </c>
      <c r="P1412" s="4" t="str">
        <f t="shared" ref="P1412:P1475" si="44">IF(O1412&lt;30,"30",IF(O1412&lt;=50,"30-50","&gt;50"))</f>
        <v>&gt;50</v>
      </c>
      <c r="Q1412" s="4">
        <f>M1412+N1412</f>
        <v>3</v>
      </c>
      <c r="U1412" s="28" t="str" cm="1">
        <f t="array" ref="U1412">_xlfn.IFS(F1412&lt;30000,"30k",F1412&lt;=50000,"30k-50k",F1412&lt;=75000,"50k-75k",F1412&lt;=100000,"75k-100k",F1412&gt;100000,"100k")</f>
        <v>30k-50k</v>
      </c>
      <c r="W1412" s="1">
        <f t="shared" ref="W1412:W1475" si="45">2026-YEAR(I1412)</f>
        <v>14</v>
      </c>
    </row>
    <row r="1413" spans="1:23" x14ac:dyDescent="0.35">
      <c r="A1413">
        <v>1410</v>
      </c>
      <c r="B1413">
        <v>618</v>
      </c>
      <c r="C1413">
        <v>1977</v>
      </c>
      <c r="D1413" s="1" t="s">
        <v>13</v>
      </c>
      <c r="E1413" s="1" t="s">
        <v>14</v>
      </c>
      <c r="F1413">
        <v>69389</v>
      </c>
      <c r="G1413">
        <v>0</v>
      </c>
      <c r="H1413" s="2">
        <v>1</v>
      </c>
      <c r="I1413" s="2">
        <v>41180</v>
      </c>
      <c r="J1413">
        <v>17</v>
      </c>
      <c r="K1413">
        <f>VLOOKUP(B1413,purchase_dataset!$B$2:$F$2241,2,FALSE)</f>
        <v>7</v>
      </c>
      <c r="L1413">
        <f>VLOOKUP(B1413,purchase_dataset!$B$2:$F$2241,3,FALSE)</f>
        <v>46</v>
      </c>
      <c r="M1413">
        <f>VLOOKUP(B1413,purchase_dataset!$B$2:$F$2241,3,FALSE)</f>
        <v>46</v>
      </c>
      <c r="N1413">
        <f>VLOOKUP(B1413,purchase_dataset!$B$2:$F$2241,5,FALSE)</f>
        <v>12</v>
      </c>
      <c r="O1413" s="5">
        <v>49</v>
      </c>
      <c r="P1413" s="4" t="str">
        <f t="shared" si="44"/>
        <v>30-50</v>
      </c>
      <c r="Q1413" s="4">
        <f>M1413+N1413</f>
        <v>58</v>
      </c>
      <c r="U1413" s="28" t="str" cm="1">
        <f t="array" ref="U1413">_xlfn.IFS(F1413&lt;30000,"30k",F1413&lt;=50000,"30k-50k",F1413&lt;=75000,"50k-75k",F1413&lt;=100000,"75k-100k",F1413&gt;100000,"100k")</f>
        <v>50k-75k</v>
      </c>
      <c r="W1413" s="1">
        <f t="shared" si="45"/>
        <v>14</v>
      </c>
    </row>
    <row r="1414" spans="1:23" x14ac:dyDescent="0.35">
      <c r="A1414">
        <v>1411</v>
      </c>
      <c r="B1414">
        <v>9121</v>
      </c>
      <c r="C1414">
        <v>1972</v>
      </c>
      <c r="D1414" s="1" t="s">
        <v>10</v>
      </c>
      <c r="E1414" s="1" t="s">
        <v>14</v>
      </c>
      <c r="F1414">
        <v>80134</v>
      </c>
      <c r="G1414">
        <v>1</v>
      </c>
      <c r="H1414" s="2">
        <v>0</v>
      </c>
      <c r="I1414" s="2">
        <v>41414</v>
      </c>
      <c r="J1414">
        <v>40</v>
      </c>
      <c r="K1414">
        <f>VLOOKUP(B1414,purchase_dataset!$B$2:$F$2241,2,FALSE)</f>
        <v>16</v>
      </c>
      <c r="L1414">
        <f>VLOOKUP(B1414,purchase_dataset!$B$2:$F$2241,3,FALSE)</f>
        <v>0</v>
      </c>
      <c r="M1414">
        <f>VLOOKUP(B1414,purchase_dataset!$B$2:$F$2241,3,FALSE)</f>
        <v>0</v>
      </c>
      <c r="N1414">
        <f>VLOOKUP(B1414,purchase_dataset!$B$2:$F$2241,5,FALSE)</f>
        <v>6</v>
      </c>
      <c r="O1414" s="5">
        <v>54</v>
      </c>
      <c r="P1414" s="4" t="str">
        <f t="shared" si="44"/>
        <v>&gt;50</v>
      </c>
      <c r="Q1414" s="4">
        <f>M1414+N1414</f>
        <v>6</v>
      </c>
      <c r="U1414" s="28" t="str" cm="1">
        <f t="array" ref="U1414">_xlfn.IFS(F1414&lt;30000,"30k",F1414&lt;=50000,"30k-50k",F1414&lt;=75000,"50k-75k",F1414&lt;=100000,"75k-100k",F1414&gt;100000,"100k")</f>
        <v>75k-100k</v>
      </c>
      <c r="W1414" s="1">
        <f t="shared" si="45"/>
        <v>13</v>
      </c>
    </row>
    <row r="1415" spans="1:23" x14ac:dyDescent="0.35">
      <c r="A1415">
        <v>1412</v>
      </c>
      <c r="B1415">
        <v>361</v>
      </c>
      <c r="C1415">
        <v>1969</v>
      </c>
      <c r="D1415" s="1" t="s">
        <v>15</v>
      </c>
      <c r="E1415" s="1" t="s">
        <v>14</v>
      </c>
      <c r="F1415">
        <v>43142</v>
      </c>
      <c r="G1415">
        <v>1</v>
      </c>
      <c r="H1415" s="2">
        <v>1</v>
      </c>
      <c r="I1415" s="2">
        <v>41688</v>
      </c>
      <c r="J1415">
        <v>84</v>
      </c>
      <c r="K1415">
        <f>VLOOKUP(B1415,purchase_dataset!$B$2:$F$2241,2,FALSE)</f>
        <v>1</v>
      </c>
      <c r="L1415">
        <f>VLOOKUP(B1415,purchase_dataset!$B$2:$F$2241,3,FALSE)</f>
        <v>1</v>
      </c>
      <c r="M1415">
        <f>VLOOKUP(B1415,purchase_dataset!$B$2:$F$2241,3,FALSE)</f>
        <v>1</v>
      </c>
      <c r="N1415">
        <f>VLOOKUP(B1415,purchase_dataset!$B$2:$F$2241,5,FALSE)</f>
        <v>2</v>
      </c>
      <c r="O1415" s="5">
        <v>57</v>
      </c>
      <c r="P1415" s="4" t="str">
        <f t="shared" si="44"/>
        <v>&gt;50</v>
      </c>
      <c r="Q1415" s="4">
        <f>M1415+N1415</f>
        <v>3</v>
      </c>
      <c r="U1415" s="28" t="str" cm="1">
        <f t="array" ref="U1415">_xlfn.IFS(F1415&lt;30000,"30k",F1415&lt;=50000,"30k-50k",F1415&lt;=75000,"50k-75k",F1415&lt;=100000,"75k-100k",F1415&gt;100000,"100k")</f>
        <v>30k-50k</v>
      </c>
      <c r="W1415" s="1">
        <f t="shared" si="45"/>
        <v>12</v>
      </c>
    </row>
    <row r="1416" spans="1:23" x14ac:dyDescent="0.35">
      <c r="A1416">
        <v>1413</v>
      </c>
      <c r="B1416">
        <v>4310</v>
      </c>
      <c r="C1416">
        <v>1944</v>
      </c>
      <c r="D1416" s="1" t="s">
        <v>10</v>
      </c>
      <c r="E1416" s="1" t="s">
        <v>14</v>
      </c>
      <c r="F1416">
        <v>80589</v>
      </c>
      <c r="G1416">
        <v>0</v>
      </c>
      <c r="H1416" s="2">
        <v>0</v>
      </c>
      <c r="I1416" s="2">
        <v>41661</v>
      </c>
      <c r="J1416">
        <v>25</v>
      </c>
      <c r="K1416">
        <f>VLOOKUP(B1416,purchase_dataset!$B$2:$F$2241,2,FALSE)</f>
        <v>93</v>
      </c>
      <c r="L1416">
        <f>VLOOKUP(B1416,purchase_dataset!$B$2:$F$2241,3,FALSE)</f>
        <v>40</v>
      </c>
      <c r="M1416">
        <f>VLOOKUP(B1416,purchase_dataset!$B$2:$F$2241,3,FALSE)</f>
        <v>40</v>
      </c>
      <c r="N1416">
        <f>VLOOKUP(B1416,purchase_dataset!$B$2:$F$2241,5,FALSE)</f>
        <v>5</v>
      </c>
      <c r="O1416" s="5">
        <v>82</v>
      </c>
      <c r="P1416" s="4" t="str">
        <f t="shared" si="44"/>
        <v>&gt;50</v>
      </c>
      <c r="Q1416" s="4">
        <f>M1416+N1416</f>
        <v>45</v>
      </c>
      <c r="U1416" s="28" t="str" cm="1">
        <f t="array" ref="U1416">_xlfn.IFS(F1416&lt;30000,"30k",F1416&lt;=50000,"30k-50k",F1416&lt;=75000,"50k-75k",F1416&lt;=100000,"75k-100k",F1416&gt;100000,"100k")</f>
        <v>75k-100k</v>
      </c>
      <c r="W1416" s="1">
        <f t="shared" si="45"/>
        <v>12</v>
      </c>
    </row>
    <row r="1417" spans="1:23" x14ac:dyDescent="0.35">
      <c r="A1417">
        <v>1414</v>
      </c>
      <c r="B1417">
        <v>2678</v>
      </c>
      <c r="C1417">
        <v>1990</v>
      </c>
      <c r="D1417" s="1" t="s">
        <v>10</v>
      </c>
      <c r="E1417" s="1" t="s">
        <v>11</v>
      </c>
      <c r="F1417">
        <v>34412</v>
      </c>
      <c r="G1417">
        <v>1</v>
      </c>
      <c r="H1417" s="2">
        <v>0</v>
      </c>
      <c r="I1417" s="2">
        <v>41318</v>
      </c>
      <c r="J1417">
        <v>62</v>
      </c>
      <c r="K1417">
        <f>VLOOKUP(B1417,purchase_dataset!$B$2:$F$2241,2,FALSE)</f>
        <v>12</v>
      </c>
      <c r="L1417">
        <f>VLOOKUP(B1417,purchase_dataset!$B$2:$F$2241,3,FALSE)</f>
        <v>36</v>
      </c>
      <c r="M1417">
        <f>VLOOKUP(B1417,purchase_dataset!$B$2:$F$2241,3,FALSE)</f>
        <v>36</v>
      </c>
      <c r="N1417">
        <f>VLOOKUP(B1417,purchase_dataset!$B$2:$F$2241,5,FALSE)</f>
        <v>3</v>
      </c>
      <c r="O1417" s="5">
        <v>36</v>
      </c>
      <c r="P1417" s="4" t="str">
        <f t="shared" si="44"/>
        <v>30-50</v>
      </c>
      <c r="Q1417" s="4">
        <f>M1417+N1417</f>
        <v>39</v>
      </c>
      <c r="U1417" s="28" t="str" cm="1">
        <f t="array" ref="U1417">_xlfn.IFS(F1417&lt;30000,"30k",F1417&lt;=50000,"30k-50k",F1417&lt;=75000,"50k-75k",F1417&lt;=100000,"75k-100k",F1417&gt;100000,"100k")</f>
        <v>30k-50k</v>
      </c>
      <c r="W1417" s="1">
        <f t="shared" si="45"/>
        <v>13</v>
      </c>
    </row>
    <row r="1418" spans="1:23" x14ac:dyDescent="0.35">
      <c r="A1418">
        <v>1415</v>
      </c>
      <c r="B1418">
        <v>6376</v>
      </c>
      <c r="C1418">
        <v>1979</v>
      </c>
      <c r="D1418" s="1" t="s">
        <v>10</v>
      </c>
      <c r="E1418" s="1" t="s">
        <v>11</v>
      </c>
      <c r="F1418">
        <v>57537</v>
      </c>
      <c r="G1418">
        <v>1</v>
      </c>
      <c r="H1418" s="2">
        <v>0</v>
      </c>
      <c r="I1418" s="2">
        <v>41435</v>
      </c>
      <c r="J1418">
        <v>83</v>
      </c>
      <c r="K1418">
        <f>VLOOKUP(B1418,purchase_dataset!$B$2:$F$2241,2,FALSE)</f>
        <v>56</v>
      </c>
      <c r="L1418">
        <f>VLOOKUP(B1418,purchase_dataset!$B$2:$F$2241,3,FALSE)</f>
        <v>8</v>
      </c>
      <c r="M1418">
        <f>VLOOKUP(B1418,purchase_dataset!$B$2:$F$2241,3,FALSE)</f>
        <v>8</v>
      </c>
      <c r="N1418">
        <f>VLOOKUP(B1418,purchase_dataset!$B$2:$F$2241,5,FALSE)</f>
        <v>8</v>
      </c>
      <c r="O1418" s="5">
        <v>47</v>
      </c>
      <c r="P1418" s="4" t="str">
        <f t="shared" si="44"/>
        <v>30-50</v>
      </c>
      <c r="Q1418" s="4">
        <f>M1418+N1418</f>
        <v>16</v>
      </c>
      <c r="U1418" s="28" t="str" cm="1">
        <f t="array" ref="U1418">_xlfn.IFS(F1418&lt;30000,"30k",F1418&lt;=50000,"30k-50k",F1418&lt;=75000,"50k-75k",F1418&lt;=100000,"75k-100k",F1418&gt;100000,"100k")</f>
        <v>50k-75k</v>
      </c>
      <c r="W1418" s="1">
        <f t="shared" si="45"/>
        <v>13</v>
      </c>
    </row>
    <row r="1419" spans="1:23" x14ac:dyDescent="0.35">
      <c r="A1419">
        <v>1416</v>
      </c>
      <c r="B1419">
        <v>524</v>
      </c>
      <c r="C1419">
        <v>1966</v>
      </c>
      <c r="D1419" s="1" t="s">
        <v>17</v>
      </c>
      <c r="E1419" s="1" t="s">
        <v>12</v>
      </c>
      <c r="F1419">
        <v>22634</v>
      </c>
      <c r="G1419">
        <v>0</v>
      </c>
      <c r="H1419" s="2">
        <v>0</v>
      </c>
      <c r="I1419" s="2">
        <v>41290</v>
      </c>
      <c r="J1419">
        <v>47</v>
      </c>
      <c r="K1419">
        <f>VLOOKUP(B1419,purchase_dataset!$B$2:$F$2241,2,FALSE)</f>
        <v>23</v>
      </c>
      <c r="L1419">
        <f>VLOOKUP(B1419,purchase_dataset!$B$2:$F$2241,3,FALSE)</f>
        <v>6</v>
      </c>
      <c r="M1419">
        <f>VLOOKUP(B1419,purchase_dataset!$B$2:$F$2241,3,FALSE)</f>
        <v>6</v>
      </c>
      <c r="N1419">
        <f>VLOOKUP(B1419,purchase_dataset!$B$2:$F$2241,5,FALSE)</f>
        <v>2</v>
      </c>
      <c r="O1419" s="5">
        <v>60</v>
      </c>
      <c r="P1419" s="4" t="str">
        <f t="shared" si="44"/>
        <v>&gt;50</v>
      </c>
      <c r="Q1419" s="4">
        <f>M1419+N1419</f>
        <v>8</v>
      </c>
      <c r="U1419" s="28" t="str" cm="1">
        <f t="array" ref="U1419">_xlfn.IFS(F1419&lt;30000,"30k",F1419&lt;=50000,"30k-50k",F1419&lt;=75000,"50k-75k",F1419&lt;=100000,"75k-100k",F1419&gt;100000,"100k")</f>
        <v>30k</v>
      </c>
      <c r="W1419" s="1">
        <f t="shared" si="45"/>
        <v>13</v>
      </c>
    </row>
    <row r="1420" spans="1:23" x14ac:dyDescent="0.35">
      <c r="A1420">
        <v>1417</v>
      </c>
      <c r="B1420">
        <v>10341</v>
      </c>
      <c r="C1420">
        <v>1948</v>
      </c>
      <c r="D1420" s="1" t="s">
        <v>10</v>
      </c>
      <c r="E1420" s="1" t="s">
        <v>12</v>
      </c>
      <c r="F1420">
        <v>51315</v>
      </c>
      <c r="G1420">
        <v>0</v>
      </c>
      <c r="H1420" s="2">
        <v>0</v>
      </c>
      <c r="I1420" s="2">
        <v>41693</v>
      </c>
      <c r="J1420">
        <v>45</v>
      </c>
      <c r="K1420">
        <f>VLOOKUP(B1420,purchase_dataset!$B$2:$F$2241,2,FALSE)</f>
        <v>28</v>
      </c>
      <c r="L1420">
        <f>VLOOKUP(B1420,purchase_dataset!$B$2:$F$2241,3,FALSE)</f>
        <v>30</v>
      </c>
      <c r="M1420">
        <f>VLOOKUP(B1420,purchase_dataset!$B$2:$F$2241,3,FALSE)</f>
        <v>30</v>
      </c>
      <c r="N1420">
        <f>VLOOKUP(B1420,purchase_dataset!$B$2:$F$2241,5,FALSE)</f>
        <v>5</v>
      </c>
      <c r="O1420" s="5">
        <v>78</v>
      </c>
      <c r="P1420" s="4" t="str">
        <f t="shared" si="44"/>
        <v>&gt;50</v>
      </c>
      <c r="Q1420" s="4">
        <f>M1420+N1420</f>
        <v>35</v>
      </c>
      <c r="U1420" s="28" t="str" cm="1">
        <f t="array" ref="U1420">_xlfn.IFS(F1420&lt;30000,"30k",F1420&lt;=50000,"30k-50k",F1420&lt;=75000,"50k-75k",F1420&lt;=100000,"75k-100k",F1420&gt;100000,"100k")</f>
        <v>50k-75k</v>
      </c>
      <c r="W1420" s="1">
        <f t="shared" si="45"/>
        <v>12</v>
      </c>
    </row>
    <row r="1421" spans="1:23" x14ac:dyDescent="0.35">
      <c r="A1421">
        <v>1418</v>
      </c>
      <c r="B1421">
        <v>5654</v>
      </c>
      <c r="C1421">
        <v>1972</v>
      </c>
      <c r="D1421" s="1" t="s">
        <v>10</v>
      </c>
      <c r="E1421" s="1" t="s">
        <v>14</v>
      </c>
      <c r="F1421">
        <v>36026</v>
      </c>
      <c r="G1421">
        <v>2</v>
      </c>
      <c r="H1421" s="2">
        <v>1</v>
      </c>
      <c r="I1421" s="2">
        <v>41714</v>
      </c>
      <c r="J1421">
        <v>34</v>
      </c>
      <c r="K1421">
        <f>VLOOKUP(B1421,purchase_dataset!$B$2:$F$2241,2,FALSE)</f>
        <v>4</v>
      </c>
      <c r="L1421">
        <f>VLOOKUP(B1421,purchase_dataset!$B$2:$F$2241,3,FALSE)</f>
        <v>4</v>
      </c>
      <c r="M1421">
        <f>VLOOKUP(B1421,purchase_dataset!$B$2:$F$2241,3,FALSE)</f>
        <v>4</v>
      </c>
      <c r="N1421">
        <f>VLOOKUP(B1421,purchase_dataset!$B$2:$F$2241,5,FALSE)</f>
        <v>3</v>
      </c>
      <c r="O1421" s="5">
        <v>54</v>
      </c>
      <c r="P1421" s="4" t="str">
        <f t="shared" si="44"/>
        <v>&gt;50</v>
      </c>
      <c r="Q1421" s="4">
        <f>M1421+N1421</f>
        <v>7</v>
      </c>
      <c r="U1421" s="28" t="str" cm="1">
        <f t="array" ref="U1421">_xlfn.IFS(F1421&lt;30000,"30k",F1421&lt;=50000,"30k-50k",F1421&lt;=75000,"50k-75k",F1421&lt;=100000,"75k-100k",F1421&gt;100000,"100k")</f>
        <v>30k-50k</v>
      </c>
      <c r="W1421" s="1">
        <f t="shared" si="45"/>
        <v>12</v>
      </c>
    </row>
    <row r="1422" spans="1:23" x14ac:dyDescent="0.35">
      <c r="A1422">
        <v>1419</v>
      </c>
      <c r="B1422">
        <v>4098</v>
      </c>
      <c r="C1422">
        <v>1973</v>
      </c>
      <c r="D1422" s="1" t="s">
        <v>10</v>
      </c>
      <c r="E1422" s="1" t="s">
        <v>14</v>
      </c>
      <c r="F1422">
        <v>24639</v>
      </c>
      <c r="G1422">
        <v>1</v>
      </c>
      <c r="H1422" s="2">
        <v>1</v>
      </c>
      <c r="I1422" s="2">
        <v>41667</v>
      </c>
      <c r="J1422">
        <v>3</v>
      </c>
      <c r="K1422">
        <f>VLOOKUP(B1422,purchase_dataset!$B$2:$F$2241,2,FALSE)</f>
        <v>3</v>
      </c>
      <c r="L1422">
        <f>VLOOKUP(B1422,purchase_dataset!$B$2:$F$2241,3,FALSE)</f>
        <v>4</v>
      </c>
      <c r="M1422">
        <f>VLOOKUP(B1422,purchase_dataset!$B$2:$F$2241,3,FALSE)</f>
        <v>4</v>
      </c>
      <c r="N1422">
        <f>VLOOKUP(B1422,purchase_dataset!$B$2:$F$2241,5,FALSE)</f>
        <v>4</v>
      </c>
      <c r="O1422" s="5">
        <v>53</v>
      </c>
      <c r="P1422" s="4" t="str">
        <f t="shared" si="44"/>
        <v>&gt;50</v>
      </c>
      <c r="Q1422" s="4">
        <f>M1422+N1422</f>
        <v>8</v>
      </c>
      <c r="U1422" s="28" t="str" cm="1">
        <f t="array" ref="U1422">_xlfn.IFS(F1422&lt;30000,"30k",F1422&lt;=50000,"30k-50k",F1422&lt;=75000,"50k-75k",F1422&lt;=100000,"75k-100k",F1422&gt;100000,"100k")</f>
        <v>30k</v>
      </c>
      <c r="W1422" s="1">
        <f t="shared" si="45"/>
        <v>12</v>
      </c>
    </row>
    <row r="1423" spans="1:23" x14ac:dyDescent="0.35">
      <c r="A1423">
        <v>1420</v>
      </c>
      <c r="B1423">
        <v>5824</v>
      </c>
      <c r="C1423">
        <v>1972</v>
      </c>
      <c r="D1423" s="1" t="s">
        <v>13</v>
      </c>
      <c r="E1423" s="1" t="s">
        <v>12</v>
      </c>
      <c r="F1423">
        <v>34578</v>
      </c>
      <c r="G1423">
        <v>2</v>
      </c>
      <c r="H1423" s="2">
        <v>1</v>
      </c>
      <c r="I1423" s="2">
        <v>41740</v>
      </c>
      <c r="J1423">
        <v>1</v>
      </c>
      <c r="K1423">
        <f>VLOOKUP(B1423,purchase_dataset!$B$2:$F$2241,2,FALSE)</f>
        <v>0</v>
      </c>
      <c r="L1423">
        <f>VLOOKUP(B1423,purchase_dataset!$B$2:$F$2241,3,FALSE)</f>
        <v>0</v>
      </c>
      <c r="M1423">
        <f>VLOOKUP(B1423,purchase_dataset!$B$2:$F$2241,3,FALSE)</f>
        <v>0</v>
      </c>
      <c r="N1423">
        <f>VLOOKUP(B1423,purchase_dataset!$B$2:$F$2241,5,FALSE)</f>
        <v>2</v>
      </c>
      <c r="O1423" s="5">
        <v>54</v>
      </c>
      <c r="P1423" s="4" t="str">
        <f t="shared" si="44"/>
        <v>&gt;50</v>
      </c>
      <c r="Q1423" s="4">
        <f>M1423+N1423</f>
        <v>2</v>
      </c>
      <c r="U1423" s="28" t="str" cm="1">
        <f t="array" ref="U1423">_xlfn.IFS(F1423&lt;30000,"30k",F1423&lt;=50000,"30k-50k",F1423&lt;=75000,"50k-75k",F1423&lt;=100000,"75k-100k",F1423&gt;100000,"100k")</f>
        <v>30k-50k</v>
      </c>
      <c r="W1423" s="1">
        <f t="shared" si="45"/>
        <v>12</v>
      </c>
    </row>
    <row r="1424" spans="1:23" x14ac:dyDescent="0.35">
      <c r="A1424">
        <v>1421</v>
      </c>
      <c r="B1424">
        <v>7000</v>
      </c>
      <c r="C1424">
        <v>1972</v>
      </c>
      <c r="D1424" s="1" t="s">
        <v>18</v>
      </c>
      <c r="E1424" s="1" t="s">
        <v>11</v>
      </c>
      <c r="F1424">
        <v>65704</v>
      </c>
      <c r="G1424">
        <v>0</v>
      </c>
      <c r="H1424" s="2">
        <v>0</v>
      </c>
      <c r="I1424" s="2">
        <v>41560</v>
      </c>
      <c r="J1424">
        <v>18</v>
      </c>
      <c r="K1424">
        <f>VLOOKUP(B1424,purchase_dataset!$B$2:$F$2241,2,FALSE)</f>
        <v>172</v>
      </c>
      <c r="L1424">
        <f>VLOOKUP(B1424,purchase_dataset!$B$2:$F$2241,3,FALSE)</f>
        <v>8</v>
      </c>
      <c r="M1424">
        <f>VLOOKUP(B1424,purchase_dataset!$B$2:$F$2241,3,FALSE)</f>
        <v>8</v>
      </c>
      <c r="N1424">
        <f>VLOOKUP(B1424,purchase_dataset!$B$2:$F$2241,5,FALSE)</f>
        <v>10</v>
      </c>
      <c r="O1424" s="5">
        <v>54</v>
      </c>
      <c r="P1424" s="4" t="str">
        <f t="shared" si="44"/>
        <v>&gt;50</v>
      </c>
      <c r="Q1424" s="4">
        <f>M1424+N1424</f>
        <v>18</v>
      </c>
      <c r="U1424" s="28" t="str" cm="1">
        <f t="array" ref="U1424">_xlfn.IFS(F1424&lt;30000,"30k",F1424&lt;=50000,"30k-50k",F1424&lt;=75000,"50k-75k",F1424&lt;=100000,"75k-100k",F1424&gt;100000,"100k")</f>
        <v>50k-75k</v>
      </c>
      <c r="W1424" s="1">
        <f t="shared" si="45"/>
        <v>13</v>
      </c>
    </row>
    <row r="1425" spans="1:23" x14ac:dyDescent="0.35">
      <c r="A1425">
        <v>1422</v>
      </c>
      <c r="B1425">
        <v>2561</v>
      </c>
      <c r="C1425">
        <v>1966</v>
      </c>
      <c r="D1425" s="1" t="s">
        <v>10</v>
      </c>
      <c r="E1425" s="1" t="s">
        <v>11</v>
      </c>
      <c r="F1425">
        <v>63810</v>
      </c>
      <c r="G1425">
        <v>0</v>
      </c>
      <c r="H1425" s="2">
        <v>1</v>
      </c>
      <c r="I1425" s="2">
        <v>41224</v>
      </c>
      <c r="J1425">
        <v>45</v>
      </c>
      <c r="K1425">
        <f>VLOOKUP(B1425,purchase_dataset!$B$2:$F$2241,2,FALSE)</f>
        <v>12</v>
      </c>
      <c r="L1425">
        <f>VLOOKUP(B1425,purchase_dataset!$B$2:$F$2241,3,FALSE)</f>
        <v>12</v>
      </c>
      <c r="M1425">
        <f>VLOOKUP(B1425,purchase_dataset!$B$2:$F$2241,3,FALSE)</f>
        <v>12</v>
      </c>
      <c r="N1425">
        <f>VLOOKUP(B1425,purchase_dataset!$B$2:$F$2241,5,FALSE)</f>
        <v>12</v>
      </c>
      <c r="O1425" s="5">
        <v>60</v>
      </c>
      <c r="P1425" s="4" t="str">
        <f t="shared" si="44"/>
        <v>&gt;50</v>
      </c>
      <c r="Q1425" s="4">
        <f>M1425+N1425</f>
        <v>24</v>
      </c>
      <c r="U1425" s="28" t="str" cm="1">
        <f t="array" ref="U1425">_xlfn.IFS(F1425&lt;30000,"30k",F1425&lt;=50000,"30k-50k",F1425&lt;=75000,"50k-75k",F1425&lt;=100000,"75k-100k",F1425&gt;100000,"100k")</f>
        <v>50k-75k</v>
      </c>
      <c r="W1425" s="1">
        <f t="shared" si="45"/>
        <v>14</v>
      </c>
    </row>
    <row r="1426" spans="1:23" x14ac:dyDescent="0.35">
      <c r="A1426">
        <v>1423</v>
      </c>
      <c r="B1426">
        <v>5229</v>
      </c>
      <c r="C1426">
        <v>1969</v>
      </c>
      <c r="D1426" s="1" t="s">
        <v>13</v>
      </c>
      <c r="E1426" s="1" t="s">
        <v>12</v>
      </c>
      <c r="F1426">
        <v>54132</v>
      </c>
      <c r="G1426">
        <v>0</v>
      </c>
      <c r="H1426" s="2">
        <v>1</v>
      </c>
      <c r="I1426" s="2">
        <v>41686</v>
      </c>
      <c r="J1426">
        <v>81</v>
      </c>
      <c r="K1426">
        <f>VLOOKUP(B1426,purchase_dataset!$B$2:$F$2241,2,FALSE)</f>
        <v>1</v>
      </c>
      <c r="L1426">
        <f>VLOOKUP(B1426,purchase_dataset!$B$2:$F$2241,3,FALSE)</f>
        <v>0</v>
      </c>
      <c r="M1426">
        <f>VLOOKUP(B1426,purchase_dataset!$B$2:$F$2241,3,FALSE)</f>
        <v>0</v>
      </c>
      <c r="N1426">
        <f>VLOOKUP(B1426,purchase_dataset!$B$2:$F$2241,5,FALSE)</f>
        <v>3</v>
      </c>
      <c r="O1426" s="5">
        <v>57</v>
      </c>
      <c r="P1426" s="4" t="str">
        <f t="shared" si="44"/>
        <v>&gt;50</v>
      </c>
      <c r="Q1426" s="4">
        <f>M1426+N1426</f>
        <v>3</v>
      </c>
      <c r="U1426" s="28" t="str" cm="1">
        <f t="array" ref="U1426">_xlfn.IFS(F1426&lt;30000,"30k",F1426&lt;=50000,"30k-50k",F1426&lt;=75000,"50k-75k",F1426&lt;=100000,"75k-100k",F1426&gt;100000,"100k")</f>
        <v>50k-75k</v>
      </c>
      <c r="W1426" s="1">
        <f t="shared" si="45"/>
        <v>12</v>
      </c>
    </row>
    <row r="1427" spans="1:23" x14ac:dyDescent="0.35">
      <c r="A1427">
        <v>1424</v>
      </c>
      <c r="B1427">
        <v>4086</v>
      </c>
      <c r="C1427">
        <v>1959</v>
      </c>
      <c r="D1427" s="1" t="s">
        <v>10</v>
      </c>
      <c r="E1427" s="1" t="s">
        <v>14</v>
      </c>
      <c r="F1427">
        <v>18690</v>
      </c>
      <c r="G1427">
        <v>0</v>
      </c>
      <c r="H1427" s="2">
        <v>0</v>
      </c>
      <c r="I1427" s="2">
        <v>41271</v>
      </c>
      <c r="J1427">
        <v>77</v>
      </c>
      <c r="K1427">
        <f>VLOOKUP(B1427,purchase_dataset!$B$2:$F$2241,2,FALSE)</f>
        <v>1</v>
      </c>
      <c r="L1427">
        <f>VLOOKUP(B1427,purchase_dataset!$B$2:$F$2241,3,FALSE)</f>
        <v>4</v>
      </c>
      <c r="M1427">
        <f>VLOOKUP(B1427,purchase_dataset!$B$2:$F$2241,3,FALSE)</f>
        <v>4</v>
      </c>
      <c r="N1427">
        <f>VLOOKUP(B1427,purchase_dataset!$B$2:$F$2241,5,FALSE)</f>
        <v>2</v>
      </c>
      <c r="O1427" s="5">
        <v>67</v>
      </c>
      <c r="P1427" s="4" t="str">
        <f t="shared" si="44"/>
        <v>&gt;50</v>
      </c>
      <c r="Q1427" s="4">
        <f>M1427+N1427</f>
        <v>6</v>
      </c>
      <c r="U1427" s="28" t="str" cm="1">
        <f t="array" ref="U1427">_xlfn.IFS(F1427&lt;30000,"30k",F1427&lt;=50000,"30k-50k",F1427&lt;=75000,"50k-75k",F1427&lt;=100000,"75k-100k",F1427&gt;100000,"100k")</f>
        <v>30k</v>
      </c>
      <c r="W1427" s="1">
        <f t="shared" si="45"/>
        <v>14</v>
      </c>
    </row>
    <row r="1428" spans="1:23" x14ac:dyDescent="0.35">
      <c r="A1428">
        <v>1425</v>
      </c>
      <c r="B1428">
        <v>2428</v>
      </c>
      <c r="C1428">
        <v>1970</v>
      </c>
      <c r="D1428" s="1" t="s">
        <v>10</v>
      </c>
      <c r="E1428" s="1" t="s">
        <v>14</v>
      </c>
      <c r="F1428">
        <v>28164</v>
      </c>
      <c r="G1428">
        <v>1</v>
      </c>
      <c r="H1428" s="2">
        <v>0</v>
      </c>
      <c r="I1428" s="2">
        <v>41398</v>
      </c>
      <c r="J1428">
        <v>23</v>
      </c>
      <c r="K1428">
        <f>VLOOKUP(B1428,purchase_dataset!$B$2:$F$2241,2,FALSE)</f>
        <v>18</v>
      </c>
      <c r="L1428">
        <f>VLOOKUP(B1428,purchase_dataset!$B$2:$F$2241,3,FALSE)</f>
        <v>8</v>
      </c>
      <c r="M1428">
        <f>VLOOKUP(B1428,purchase_dataset!$B$2:$F$2241,3,FALSE)</f>
        <v>8</v>
      </c>
      <c r="N1428">
        <f>VLOOKUP(B1428,purchase_dataset!$B$2:$F$2241,5,FALSE)</f>
        <v>4</v>
      </c>
      <c r="O1428" s="5">
        <v>56</v>
      </c>
      <c r="P1428" s="4" t="str">
        <f t="shared" si="44"/>
        <v>&gt;50</v>
      </c>
      <c r="Q1428" s="4">
        <f>M1428+N1428</f>
        <v>12</v>
      </c>
      <c r="U1428" s="28" t="str" cm="1">
        <f t="array" ref="U1428">_xlfn.IFS(F1428&lt;30000,"30k",F1428&lt;=50000,"30k-50k",F1428&lt;=75000,"50k-75k",F1428&lt;=100000,"75k-100k",F1428&gt;100000,"100k")</f>
        <v>30k</v>
      </c>
      <c r="W1428" s="1">
        <f t="shared" si="45"/>
        <v>13</v>
      </c>
    </row>
    <row r="1429" spans="1:23" x14ac:dyDescent="0.35">
      <c r="A1429">
        <v>1426</v>
      </c>
      <c r="B1429">
        <v>8254</v>
      </c>
      <c r="C1429">
        <v>1974</v>
      </c>
      <c r="D1429" s="1" t="s">
        <v>13</v>
      </c>
      <c r="E1429" s="1" t="s">
        <v>14</v>
      </c>
      <c r="F1429">
        <v>34596</v>
      </c>
      <c r="G1429">
        <v>1</v>
      </c>
      <c r="H1429" s="2">
        <v>0</v>
      </c>
      <c r="I1429" s="2">
        <v>41377</v>
      </c>
      <c r="J1429">
        <v>48</v>
      </c>
      <c r="K1429">
        <f>VLOOKUP(B1429,purchase_dataset!$B$2:$F$2241,2,FALSE)</f>
        <v>0</v>
      </c>
      <c r="L1429">
        <f>VLOOKUP(B1429,purchase_dataset!$B$2:$F$2241,3,FALSE)</f>
        <v>0</v>
      </c>
      <c r="M1429">
        <f>VLOOKUP(B1429,purchase_dataset!$B$2:$F$2241,3,FALSE)</f>
        <v>0</v>
      </c>
      <c r="N1429">
        <f>VLOOKUP(B1429,purchase_dataset!$B$2:$F$2241,5,FALSE)</f>
        <v>2</v>
      </c>
      <c r="O1429" s="5">
        <v>52</v>
      </c>
      <c r="P1429" s="4" t="str">
        <f t="shared" si="44"/>
        <v>&gt;50</v>
      </c>
      <c r="Q1429" s="4">
        <f>M1429+N1429</f>
        <v>2</v>
      </c>
      <c r="U1429" s="28" t="str" cm="1">
        <f t="array" ref="U1429">_xlfn.IFS(F1429&lt;30000,"30k",F1429&lt;=50000,"30k-50k",F1429&lt;=75000,"50k-75k",F1429&lt;=100000,"75k-100k",F1429&gt;100000,"100k")</f>
        <v>30k-50k</v>
      </c>
      <c r="W1429" s="1">
        <f t="shared" si="45"/>
        <v>13</v>
      </c>
    </row>
    <row r="1430" spans="1:23" x14ac:dyDescent="0.35">
      <c r="A1430">
        <v>1427</v>
      </c>
      <c r="B1430">
        <v>2836</v>
      </c>
      <c r="C1430">
        <v>1972</v>
      </c>
      <c r="D1430" s="1" t="s">
        <v>13</v>
      </c>
      <c r="E1430" s="1" t="s">
        <v>14</v>
      </c>
      <c r="F1430">
        <v>43269</v>
      </c>
      <c r="G1430">
        <v>1</v>
      </c>
      <c r="H1430" s="2">
        <v>0</v>
      </c>
      <c r="I1430" s="2">
        <v>41533</v>
      </c>
      <c r="J1430">
        <v>61</v>
      </c>
      <c r="K1430">
        <f>VLOOKUP(B1430,purchase_dataset!$B$2:$F$2241,2,FALSE)</f>
        <v>1</v>
      </c>
      <c r="L1430">
        <f>VLOOKUP(B1430,purchase_dataset!$B$2:$F$2241,3,FALSE)</f>
        <v>0</v>
      </c>
      <c r="M1430">
        <f>VLOOKUP(B1430,purchase_dataset!$B$2:$F$2241,3,FALSE)</f>
        <v>0</v>
      </c>
      <c r="N1430">
        <f>VLOOKUP(B1430,purchase_dataset!$B$2:$F$2241,5,FALSE)</f>
        <v>2</v>
      </c>
      <c r="O1430" s="5">
        <v>54</v>
      </c>
      <c r="P1430" s="4" t="str">
        <f t="shared" si="44"/>
        <v>&gt;50</v>
      </c>
      <c r="Q1430" s="4">
        <f>M1430+N1430</f>
        <v>2</v>
      </c>
      <c r="U1430" s="28" t="str" cm="1">
        <f t="array" ref="U1430">_xlfn.IFS(F1430&lt;30000,"30k",F1430&lt;=50000,"30k-50k",F1430&lt;=75000,"50k-75k",F1430&lt;=100000,"75k-100k",F1430&gt;100000,"100k")</f>
        <v>30k-50k</v>
      </c>
      <c r="W1430" s="1">
        <f t="shared" si="45"/>
        <v>13</v>
      </c>
    </row>
    <row r="1431" spans="1:23" x14ac:dyDescent="0.35">
      <c r="A1431">
        <v>1428</v>
      </c>
      <c r="B1431">
        <v>8418</v>
      </c>
      <c r="C1431">
        <v>1958</v>
      </c>
      <c r="D1431" s="1" t="s">
        <v>18</v>
      </c>
      <c r="E1431" s="1" t="s">
        <v>11</v>
      </c>
      <c r="F1431">
        <v>38741</v>
      </c>
      <c r="G1431">
        <v>1</v>
      </c>
      <c r="H1431" s="2">
        <v>1</v>
      </c>
      <c r="I1431" s="2">
        <v>41728</v>
      </c>
      <c r="J1431">
        <v>60</v>
      </c>
      <c r="K1431">
        <f>VLOOKUP(B1431,purchase_dataset!$B$2:$F$2241,2,FALSE)</f>
        <v>10</v>
      </c>
      <c r="L1431">
        <f>VLOOKUP(B1431,purchase_dataset!$B$2:$F$2241,3,FALSE)</f>
        <v>6</v>
      </c>
      <c r="M1431">
        <f>VLOOKUP(B1431,purchase_dataset!$B$2:$F$2241,3,FALSE)</f>
        <v>6</v>
      </c>
      <c r="N1431">
        <f>VLOOKUP(B1431,purchase_dataset!$B$2:$F$2241,5,FALSE)</f>
        <v>3</v>
      </c>
      <c r="O1431" s="5">
        <v>68</v>
      </c>
      <c r="P1431" s="4" t="str">
        <f t="shared" si="44"/>
        <v>&gt;50</v>
      </c>
      <c r="Q1431" s="4">
        <f>M1431+N1431</f>
        <v>9</v>
      </c>
      <c r="U1431" s="28" t="str" cm="1">
        <f t="array" ref="U1431">_xlfn.IFS(F1431&lt;30000,"30k",F1431&lt;=50000,"30k-50k",F1431&lt;=75000,"50k-75k",F1431&lt;=100000,"75k-100k",F1431&gt;100000,"100k")</f>
        <v>30k-50k</v>
      </c>
      <c r="W1431" s="1">
        <f t="shared" si="45"/>
        <v>12</v>
      </c>
    </row>
    <row r="1432" spans="1:23" x14ac:dyDescent="0.35">
      <c r="A1432">
        <v>1429</v>
      </c>
      <c r="B1432">
        <v>1362</v>
      </c>
      <c r="C1432">
        <v>1972</v>
      </c>
      <c r="D1432" s="1" t="s">
        <v>10</v>
      </c>
      <c r="E1432" s="1" t="s">
        <v>11</v>
      </c>
      <c r="F1432">
        <v>31907</v>
      </c>
      <c r="G1432">
        <v>0</v>
      </c>
      <c r="H1432" s="2">
        <v>0</v>
      </c>
      <c r="I1432" s="2">
        <v>41337</v>
      </c>
      <c r="J1432">
        <v>75</v>
      </c>
      <c r="K1432">
        <f>VLOOKUP(B1432,purchase_dataset!$B$2:$F$2241,2,FALSE)</f>
        <v>87</v>
      </c>
      <c r="L1432">
        <f>VLOOKUP(B1432,purchase_dataset!$B$2:$F$2241,3,FALSE)</f>
        <v>16</v>
      </c>
      <c r="M1432">
        <f>VLOOKUP(B1432,purchase_dataset!$B$2:$F$2241,3,FALSE)</f>
        <v>16</v>
      </c>
      <c r="N1432">
        <f>VLOOKUP(B1432,purchase_dataset!$B$2:$F$2241,5,FALSE)</f>
        <v>6</v>
      </c>
      <c r="O1432" s="5">
        <v>54</v>
      </c>
      <c r="P1432" s="4" t="str">
        <f t="shared" si="44"/>
        <v>&gt;50</v>
      </c>
      <c r="Q1432" s="4">
        <f>M1432+N1432</f>
        <v>22</v>
      </c>
      <c r="U1432" s="28" t="str" cm="1">
        <f t="array" ref="U1432">_xlfn.IFS(F1432&lt;30000,"30k",F1432&lt;=50000,"30k-50k",F1432&lt;=75000,"50k-75k",F1432&lt;=100000,"75k-100k",F1432&gt;100000,"100k")</f>
        <v>30k-50k</v>
      </c>
      <c r="W1432" s="1">
        <f t="shared" si="45"/>
        <v>13</v>
      </c>
    </row>
    <row r="1433" spans="1:23" x14ac:dyDescent="0.35">
      <c r="A1433">
        <v>1430</v>
      </c>
      <c r="B1433">
        <v>7152</v>
      </c>
      <c r="C1433">
        <v>1983</v>
      </c>
      <c r="D1433" s="1" t="s">
        <v>15</v>
      </c>
      <c r="E1433" s="1" t="s">
        <v>14</v>
      </c>
      <c r="F1433">
        <v>27100</v>
      </c>
      <c r="G1433">
        <v>1</v>
      </c>
      <c r="H1433" s="2">
        <v>0</v>
      </c>
      <c r="I1433" s="2">
        <v>41369</v>
      </c>
      <c r="J1433">
        <v>64</v>
      </c>
      <c r="K1433">
        <f>VLOOKUP(B1433,purchase_dataset!$B$2:$F$2241,2,FALSE)</f>
        <v>0</v>
      </c>
      <c r="L1433">
        <f>VLOOKUP(B1433,purchase_dataset!$B$2:$F$2241,3,FALSE)</f>
        <v>0</v>
      </c>
      <c r="M1433">
        <f>VLOOKUP(B1433,purchase_dataset!$B$2:$F$2241,3,FALSE)</f>
        <v>0</v>
      </c>
      <c r="N1433">
        <f>VLOOKUP(B1433,purchase_dataset!$B$2:$F$2241,5,FALSE)</f>
        <v>3</v>
      </c>
      <c r="O1433" s="5">
        <v>43</v>
      </c>
      <c r="P1433" s="4" t="str">
        <f t="shared" si="44"/>
        <v>30-50</v>
      </c>
      <c r="Q1433" s="4">
        <f>M1433+N1433</f>
        <v>3</v>
      </c>
      <c r="U1433" s="28" t="str" cm="1">
        <f t="array" ref="U1433">_xlfn.IFS(F1433&lt;30000,"30k",F1433&lt;=50000,"30k-50k",F1433&lt;=75000,"50k-75k",F1433&lt;=100000,"75k-100k",F1433&gt;100000,"100k")</f>
        <v>30k</v>
      </c>
      <c r="W1433" s="1">
        <f t="shared" si="45"/>
        <v>13</v>
      </c>
    </row>
    <row r="1434" spans="1:23" x14ac:dyDescent="0.35">
      <c r="A1434">
        <v>1431</v>
      </c>
      <c r="B1434">
        <v>10033</v>
      </c>
      <c r="C1434">
        <v>1973</v>
      </c>
      <c r="D1434" s="1" t="s">
        <v>18</v>
      </c>
      <c r="E1434" s="1" t="s">
        <v>16</v>
      </c>
      <c r="F1434">
        <v>31163</v>
      </c>
      <c r="G1434">
        <v>1</v>
      </c>
      <c r="H1434" s="2">
        <v>0</v>
      </c>
      <c r="I1434" s="2">
        <v>41683</v>
      </c>
      <c r="J1434">
        <v>54</v>
      </c>
      <c r="K1434">
        <f>VLOOKUP(B1434,purchase_dataset!$B$2:$F$2241,2,FALSE)</f>
        <v>3</v>
      </c>
      <c r="L1434">
        <f>VLOOKUP(B1434,purchase_dataset!$B$2:$F$2241,3,FALSE)</f>
        <v>2</v>
      </c>
      <c r="M1434">
        <f>VLOOKUP(B1434,purchase_dataset!$B$2:$F$2241,3,FALSE)</f>
        <v>2</v>
      </c>
      <c r="N1434">
        <f>VLOOKUP(B1434,purchase_dataset!$B$2:$F$2241,5,FALSE)</f>
        <v>3</v>
      </c>
      <c r="O1434" s="5">
        <v>53</v>
      </c>
      <c r="P1434" s="4" t="str">
        <f t="shared" si="44"/>
        <v>&gt;50</v>
      </c>
      <c r="Q1434" s="4">
        <f>M1434+N1434</f>
        <v>5</v>
      </c>
      <c r="U1434" s="28" t="str" cm="1">
        <f t="array" ref="U1434">_xlfn.IFS(F1434&lt;30000,"30k",F1434&lt;=50000,"30k-50k",F1434&lt;=75000,"50k-75k",F1434&lt;=100000,"75k-100k",F1434&gt;100000,"100k")</f>
        <v>30k-50k</v>
      </c>
      <c r="W1434" s="1">
        <f t="shared" si="45"/>
        <v>12</v>
      </c>
    </row>
    <row r="1435" spans="1:23" x14ac:dyDescent="0.35">
      <c r="A1435">
        <v>1432</v>
      </c>
      <c r="B1435">
        <v>9349</v>
      </c>
      <c r="C1435">
        <v>1985</v>
      </c>
      <c r="D1435" s="1" t="s">
        <v>10</v>
      </c>
      <c r="E1435" s="1" t="s">
        <v>14</v>
      </c>
      <c r="F1435">
        <v>92533</v>
      </c>
      <c r="G1435">
        <v>0</v>
      </c>
      <c r="H1435" s="2">
        <v>0</v>
      </c>
      <c r="I1435" s="2">
        <v>41627</v>
      </c>
      <c r="J1435">
        <v>84</v>
      </c>
      <c r="K1435">
        <f>VLOOKUP(B1435,purchase_dataset!$B$2:$F$2241,2,FALSE)</f>
        <v>21</v>
      </c>
      <c r="L1435">
        <f>VLOOKUP(B1435,purchase_dataset!$B$2:$F$2241,3,FALSE)</f>
        <v>147</v>
      </c>
      <c r="M1435">
        <f>VLOOKUP(B1435,purchase_dataset!$B$2:$F$2241,3,FALSE)</f>
        <v>147</v>
      </c>
      <c r="N1435">
        <f>VLOOKUP(B1435,purchase_dataset!$B$2:$F$2241,5,FALSE)</f>
        <v>11</v>
      </c>
      <c r="O1435" s="5">
        <v>41</v>
      </c>
      <c r="P1435" s="4" t="str">
        <f t="shared" si="44"/>
        <v>30-50</v>
      </c>
      <c r="Q1435" s="4">
        <f>M1435+N1435</f>
        <v>158</v>
      </c>
      <c r="U1435" s="28" t="str" cm="1">
        <f t="array" ref="U1435">_xlfn.IFS(F1435&lt;30000,"30k",F1435&lt;=50000,"30k-50k",F1435&lt;=75000,"50k-75k",F1435&lt;=100000,"75k-100k",F1435&gt;100000,"100k")</f>
        <v>75k-100k</v>
      </c>
      <c r="W1435" s="1">
        <f t="shared" si="45"/>
        <v>13</v>
      </c>
    </row>
    <row r="1436" spans="1:23" x14ac:dyDescent="0.35">
      <c r="A1436">
        <v>1433</v>
      </c>
      <c r="B1436">
        <v>274</v>
      </c>
      <c r="C1436">
        <v>1973</v>
      </c>
      <c r="D1436" s="1" t="s">
        <v>10</v>
      </c>
      <c r="E1436" s="1" t="s">
        <v>11</v>
      </c>
      <c r="F1436">
        <v>34853</v>
      </c>
      <c r="G1436">
        <v>1</v>
      </c>
      <c r="H1436" s="2">
        <v>1</v>
      </c>
      <c r="I1436" s="2">
        <v>41631</v>
      </c>
      <c r="J1436">
        <v>75</v>
      </c>
      <c r="K1436">
        <f>VLOOKUP(B1436,purchase_dataset!$B$2:$F$2241,2,FALSE)</f>
        <v>3</v>
      </c>
      <c r="L1436">
        <f>VLOOKUP(B1436,purchase_dataset!$B$2:$F$2241,3,FALSE)</f>
        <v>3</v>
      </c>
      <c r="M1436">
        <f>VLOOKUP(B1436,purchase_dataset!$B$2:$F$2241,3,FALSE)</f>
        <v>3</v>
      </c>
      <c r="N1436">
        <f>VLOOKUP(B1436,purchase_dataset!$B$2:$F$2241,5,FALSE)</f>
        <v>3</v>
      </c>
      <c r="O1436" s="5">
        <v>53</v>
      </c>
      <c r="P1436" s="4" t="str">
        <f t="shared" si="44"/>
        <v>&gt;50</v>
      </c>
      <c r="Q1436" s="4">
        <f>M1436+N1436</f>
        <v>6</v>
      </c>
      <c r="U1436" s="28" t="str" cm="1">
        <f t="array" ref="U1436">_xlfn.IFS(F1436&lt;30000,"30k",F1436&lt;=50000,"30k-50k",F1436&lt;=75000,"50k-75k",F1436&lt;=100000,"75k-100k",F1436&gt;100000,"100k")</f>
        <v>30k-50k</v>
      </c>
      <c r="W1436" s="1">
        <f t="shared" si="45"/>
        <v>13</v>
      </c>
    </row>
    <row r="1437" spans="1:23" x14ac:dyDescent="0.35">
      <c r="A1437">
        <v>1434</v>
      </c>
      <c r="B1437">
        <v>3388</v>
      </c>
      <c r="C1437">
        <v>1967</v>
      </c>
      <c r="D1437" s="1" t="s">
        <v>10</v>
      </c>
      <c r="E1437" s="1" t="s">
        <v>16</v>
      </c>
      <c r="F1437">
        <v>70844</v>
      </c>
      <c r="G1437">
        <v>1</v>
      </c>
      <c r="H1437" s="2">
        <v>1</v>
      </c>
      <c r="I1437" s="2">
        <v>41577</v>
      </c>
      <c r="J1437">
        <v>16</v>
      </c>
      <c r="K1437">
        <f>VLOOKUP(B1437,purchase_dataset!$B$2:$F$2241,2,FALSE)</f>
        <v>26</v>
      </c>
      <c r="L1437">
        <f>VLOOKUP(B1437,purchase_dataset!$B$2:$F$2241,3,FALSE)</f>
        <v>67</v>
      </c>
      <c r="M1437">
        <f>VLOOKUP(B1437,purchase_dataset!$B$2:$F$2241,3,FALSE)</f>
        <v>67</v>
      </c>
      <c r="N1437">
        <f>VLOOKUP(B1437,purchase_dataset!$B$2:$F$2241,5,FALSE)</f>
        <v>5</v>
      </c>
      <c r="O1437" s="5">
        <v>59</v>
      </c>
      <c r="P1437" s="4" t="str">
        <f t="shared" si="44"/>
        <v>&gt;50</v>
      </c>
      <c r="Q1437" s="4">
        <f>M1437+N1437</f>
        <v>72</v>
      </c>
      <c r="U1437" s="28" t="str" cm="1">
        <f t="array" ref="U1437">_xlfn.IFS(F1437&lt;30000,"30k",F1437&lt;=50000,"30k-50k",F1437&lt;=75000,"50k-75k",F1437&lt;=100000,"75k-100k",F1437&gt;100000,"100k")</f>
        <v>50k-75k</v>
      </c>
      <c r="W1437" s="1">
        <f t="shared" si="45"/>
        <v>13</v>
      </c>
    </row>
    <row r="1438" spans="1:23" x14ac:dyDescent="0.35">
      <c r="A1438">
        <v>1435</v>
      </c>
      <c r="B1438">
        <v>922</v>
      </c>
      <c r="C1438">
        <v>1979</v>
      </c>
      <c r="D1438" s="1" t="s">
        <v>18</v>
      </c>
      <c r="E1438" s="1" t="s">
        <v>14</v>
      </c>
      <c r="F1438">
        <v>31086</v>
      </c>
      <c r="G1438">
        <v>1</v>
      </c>
      <c r="H1438" s="2">
        <v>1</v>
      </c>
      <c r="I1438" s="2">
        <v>41398</v>
      </c>
      <c r="J1438">
        <v>79</v>
      </c>
      <c r="K1438">
        <f>VLOOKUP(B1438,purchase_dataset!$B$2:$F$2241,2,FALSE)</f>
        <v>2</v>
      </c>
      <c r="L1438">
        <f>VLOOKUP(B1438,purchase_dataset!$B$2:$F$2241,3,FALSE)</f>
        <v>0</v>
      </c>
      <c r="M1438">
        <f>VLOOKUP(B1438,purchase_dataset!$B$2:$F$2241,3,FALSE)</f>
        <v>0</v>
      </c>
      <c r="N1438">
        <f>VLOOKUP(B1438,purchase_dataset!$B$2:$F$2241,5,FALSE)</f>
        <v>2</v>
      </c>
      <c r="O1438" s="5">
        <v>47</v>
      </c>
      <c r="P1438" s="4" t="str">
        <f t="shared" si="44"/>
        <v>30-50</v>
      </c>
      <c r="Q1438" s="4">
        <f>M1438+N1438</f>
        <v>2</v>
      </c>
      <c r="U1438" s="28" t="str" cm="1">
        <f t="array" ref="U1438">_xlfn.IFS(F1438&lt;30000,"30k",F1438&lt;=50000,"30k-50k",F1438&lt;=75000,"50k-75k",F1438&lt;=100000,"75k-100k",F1438&gt;100000,"100k")</f>
        <v>30k-50k</v>
      </c>
      <c r="W1438" s="1">
        <f t="shared" si="45"/>
        <v>13</v>
      </c>
    </row>
    <row r="1439" spans="1:23" x14ac:dyDescent="0.35">
      <c r="A1439">
        <v>1436</v>
      </c>
      <c r="B1439">
        <v>8588</v>
      </c>
      <c r="C1439">
        <v>1961</v>
      </c>
      <c r="D1439" s="1" t="s">
        <v>10</v>
      </c>
      <c r="E1439" s="1" t="s">
        <v>14</v>
      </c>
      <c r="F1439">
        <v>60544</v>
      </c>
      <c r="G1439">
        <v>1</v>
      </c>
      <c r="H1439" s="2">
        <v>1</v>
      </c>
      <c r="I1439" s="2">
        <v>41146</v>
      </c>
      <c r="J1439">
        <v>92</v>
      </c>
      <c r="K1439">
        <f>VLOOKUP(B1439,purchase_dataset!$B$2:$F$2241,2,FALSE)</f>
        <v>2</v>
      </c>
      <c r="L1439">
        <f>VLOOKUP(B1439,purchase_dataset!$B$2:$F$2241,3,FALSE)</f>
        <v>5</v>
      </c>
      <c r="M1439">
        <f>VLOOKUP(B1439,purchase_dataset!$B$2:$F$2241,3,FALSE)</f>
        <v>5</v>
      </c>
      <c r="N1439">
        <f>VLOOKUP(B1439,purchase_dataset!$B$2:$F$2241,5,FALSE)</f>
        <v>5</v>
      </c>
      <c r="O1439" s="5">
        <v>65</v>
      </c>
      <c r="P1439" s="4" t="str">
        <f t="shared" si="44"/>
        <v>&gt;50</v>
      </c>
      <c r="Q1439" s="4">
        <f>M1439+N1439</f>
        <v>10</v>
      </c>
      <c r="U1439" s="28" t="str" cm="1">
        <f t="array" ref="U1439">_xlfn.IFS(F1439&lt;30000,"30k",F1439&lt;=50000,"30k-50k",F1439&lt;=75000,"50k-75k",F1439&lt;=100000,"75k-100k",F1439&gt;100000,"100k")</f>
        <v>50k-75k</v>
      </c>
      <c r="W1439" s="1">
        <f t="shared" si="45"/>
        <v>14</v>
      </c>
    </row>
    <row r="1440" spans="1:23" x14ac:dyDescent="0.35">
      <c r="A1440">
        <v>1437</v>
      </c>
      <c r="B1440">
        <v>2518</v>
      </c>
      <c r="C1440">
        <v>1986</v>
      </c>
      <c r="D1440" s="1" t="s">
        <v>18</v>
      </c>
      <c r="E1440" s="1" t="s">
        <v>12</v>
      </c>
      <c r="F1440">
        <v>20491</v>
      </c>
      <c r="G1440">
        <v>0</v>
      </c>
      <c r="H1440" s="2">
        <v>0</v>
      </c>
      <c r="I1440" s="2">
        <v>41299</v>
      </c>
      <c r="J1440">
        <v>16</v>
      </c>
      <c r="K1440">
        <f>VLOOKUP(B1440,purchase_dataset!$B$2:$F$2241,2,FALSE)</f>
        <v>4</v>
      </c>
      <c r="L1440">
        <f>VLOOKUP(B1440,purchase_dataset!$B$2:$F$2241,3,FALSE)</f>
        <v>2</v>
      </c>
      <c r="M1440">
        <f>VLOOKUP(B1440,purchase_dataset!$B$2:$F$2241,3,FALSE)</f>
        <v>2</v>
      </c>
      <c r="N1440">
        <f>VLOOKUP(B1440,purchase_dataset!$B$2:$F$2241,5,FALSE)</f>
        <v>2</v>
      </c>
      <c r="O1440" s="5">
        <v>40</v>
      </c>
      <c r="P1440" s="4" t="str">
        <f t="shared" si="44"/>
        <v>30-50</v>
      </c>
      <c r="Q1440" s="4">
        <f>M1440+N1440</f>
        <v>4</v>
      </c>
      <c r="U1440" s="28" t="str" cm="1">
        <f t="array" ref="U1440">_xlfn.IFS(F1440&lt;30000,"30k",F1440&lt;=50000,"30k-50k",F1440&lt;=75000,"50k-75k",F1440&lt;=100000,"75k-100k",F1440&gt;100000,"100k")</f>
        <v>30k</v>
      </c>
      <c r="W1440" s="1">
        <f t="shared" si="45"/>
        <v>13</v>
      </c>
    </row>
    <row r="1441" spans="1:23" x14ac:dyDescent="0.35">
      <c r="A1441">
        <v>1438</v>
      </c>
      <c r="B1441">
        <v>574</v>
      </c>
      <c r="C1441">
        <v>1964</v>
      </c>
      <c r="D1441" s="1" t="s">
        <v>10</v>
      </c>
      <c r="E1441" s="1" t="s">
        <v>14</v>
      </c>
      <c r="F1441">
        <v>42523</v>
      </c>
      <c r="G1441">
        <v>0</v>
      </c>
      <c r="H1441" s="2">
        <v>0</v>
      </c>
      <c r="I1441" s="2">
        <v>41752</v>
      </c>
      <c r="J1441">
        <v>96</v>
      </c>
      <c r="K1441">
        <f>VLOOKUP(B1441,purchase_dataset!$B$2:$F$2241,2,FALSE)</f>
        <v>36</v>
      </c>
      <c r="L1441">
        <f>VLOOKUP(B1441,purchase_dataset!$B$2:$F$2241,3,FALSE)</f>
        <v>26</v>
      </c>
      <c r="M1441">
        <f>VLOOKUP(B1441,purchase_dataset!$B$2:$F$2241,3,FALSE)</f>
        <v>26</v>
      </c>
      <c r="N1441">
        <f>VLOOKUP(B1441,purchase_dataset!$B$2:$F$2241,5,FALSE)</f>
        <v>4</v>
      </c>
      <c r="O1441" s="5">
        <v>62</v>
      </c>
      <c r="P1441" s="4" t="str">
        <f t="shared" si="44"/>
        <v>&gt;50</v>
      </c>
      <c r="Q1441" s="4">
        <f>M1441+N1441</f>
        <v>30</v>
      </c>
      <c r="U1441" s="28" t="str" cm="1">
        <f t="array" ref="U1441">_xlfn.IFS(F1441&lt;30000,"30k",F1441&lt;=50000,"30k-50k",F1441&lt;=75000,"50k-75k",F1441&lt;=100000,"75k-100k",F1441&gt;100000,"100k")</f>
        <v>30k-50k</v>
      </c>
      <c r="W1441" s="1">
        <f t="shared" si="45"/>
        <v>12</v>
      </c>
    </row>
    <row r="1442" spans="1:23" x14ac:dyDescent="0.35">
      <c r="A1442">
        <v>1439</v>
      </c>
      <c r="B1442">
        <v>3220</v>
      </c>
      <c r="C1442">
        <v>1983</v>
      </c>
      <c r="D1442" s="1" t="s">
        <v>10</v>
      </c>
      <c r="E1442" s="1" t="s">
        <v>14</v>
      </c>
      <c r="F1442">
        <v>39922</v>
      </c>
      <c r="G1442">
        <v>1</v>
      </c>
      <c r="H1442" s="2">
        <v>0</v>
      </c>
      <c r="I1442" s="2">
        <v>41319</v>
      </c>
      <c r="J1442">
        <v>30</v>
      </c>
      <c r="K1442">
        <f>VLOOKUP(B1442,purchase_dataset!$B$2:$F$2241,2,FALSE)</f>
        <v>12</v>
      </c>
      <c r="L1442">
        <f>VLOOKUP(B1442,purchase_dataset!$B$2:$F$2241,3,FALSE)</f>
        <v>1</v>
      </c>
      <c r="M1442">
        <f>VLOOKUP(B1442,purchase_dataset!$B$2:$F$2241,3,FALSE)</f>
        <v>1</v>
      </c>
      <c r="N1442">
        <f>VLOOKUP(B1442,purchase_dataset!$B$2:$F$2241,5,FALSE)</f>
        <v>4</v>
      </c>
      <c r="O1442" s="5">
        <v>43</v>
      </c>
      <c r="P1442" s="4" t="str">
        <f t="shared" si="44"/>
        <v>30-50</v>
      </c>
      <c r="Q1442" s="4">
        <f>M1442+N1442</f>
        <v>5</v>
      </c>
      <c r="U1442" s="28" t="str" cm="1">
        <f t="array" ref="U1442">_xlfn.IFS(F1442&lt;30000,"30k",F1442&lt;=50000,"30k-50k",F1442&lt;=75000,"50k-75k",F1442&lt;=100000,"75k-100k",F1442&gt;100000,"100k")</f>
        <v>30k-50k</v>
      </c>
      <c r="W1442" s="1">
        <f t="shared" si="45"/>
        <v>13</v>
      </c>
    </row>
    <row r="1443" spans="1:23" x14ac:dyDescent="0.35">
      <c r="A1443">
        <v>1440</v>
      </c>
      <c r="B1443">
        <v>5967</v>
      </c>
      <c r="C1443">
        <v>1952</v>
      </c>
      <c r="D1443" s="1" t="s">
        <v>10</v>
      </c>
      <c r="E1443" s="1" t="s">
        <v>12</v>
      </c>
      <c r="F1443">
        <v>33402</v>
      </c>
      <c r="G1443">
        <v>1</v>
      </c>
      <c r="H1443" s="2">
        <v>1</v>
      </c>
      <c r="I1443" s="2">
        <v>41473</v>
      </c>
      <c r="J1443">
        <v>60</v>
      </c>
      <c r="K1443">
        <f>VLOOKUP(B1443,purchase_dataset!$B$2:$F$2241,2,FALSE)</f>
        <v>2</v>
      </c>
      <c r="L1443">
        <f>VLOOKUP(B1443,purchase_dataset!$B$2:$F$2241,3,FALSE)</f>
        <v>5</v>
      </c>
      <c r="M1443">
        <f>VLOOKUP(B1443,purchase_dataset!$B$2:$F$2241,3,FALSE)</f>
        <v>5</v>
      </c>
      <c r="N1443">
        <f>VLOOKUP(B1443,purchase_dataset!$B$2:$F$2241,5,FALSE)</f>
        <v>3</v>
      </c>
      <c r="O1443" s="5">
        <v>74</v>
      </c>
      <c r="P1443" s="4" t="str">
        <f t="shared" si="44"/>
        <v>&gt;50</v>
      </c>
      <c r="Q1443" s="4">
        <f>M1443+N1443</f>
        <v>8</v>
      </c>
      <c r="U1443" s="28" t="str" cm="1">
        <f t="array" ref="U1443">_xlfn.IFS(F1443&lt;30000,"30k",F1443&lt;=50000,"30k-50k",F1443&lt;=75000,"50k-75k",F1443&lt;=100000,"75k-100k",F1443&gt;100000,"100k")</f>
        <v>30k-50k</v>
      </c>
      <c r="W1443" s="1">
        <f t="shared" si="45"/>
        <v>13</v>
      </c>
    </row>
    <row r="1444" spans="1:23" x14ac:dyDescent="0.35">
      <c r="A1444">
        <v>1441</v>
      </c>
      <c r="B1444">
        <v>1183</v>
      </c>
      <c r="C1444">
        <v>1949</v>
      </c>
      <c r="D1444" s="1" t="s">
        <v>15</v>
      </c>
      <c r="E1444" s="1" t="s">
        <v>14</v>
      </c>
      <c r="F1444">
        <v>36408</v>
      </c>
      <c r="G1444">
        <v>1</v>
      </c>
      <c r="H1444" s="2">
        <v>1</v>
      </c>
      <c r="I1444" s="2">
        <v>41538</v>
      </c>
      <c r="J1444">
        <v>11</v>
      </c>
      <c r="K1444">
        <f>VLOOKUP(B1444,purchase_dataset!$B$2:$F$2241,2,FALSE)</f>
        <v>1</v>
      </c>
      <c r="L1444">
        <f>VLOOKUP(B1444,purchase_dataset!$B$2:$F$2241,3,FALSE)</f>
        <v>2</v>
      </c>
      <c r="M1444">
        <f>VLOOKUP(B1444,purchase_dataset!$B$2:$F$2241,3,FALSE)</f>
        <v>2</v>
      </c>
      <c r="N1444">
        <f>VLOOKUP(B1444,purchase_dataset!$B$2:$F$2241,5,FALSE)</f>
        <v>2</v>
      </c>
      <c r="O1444" s="5">
        <v>77</v>
      </c>
      <c r="P1444" s="4" t="str">
        <f t="shared" si="44"/>
        <v>&gt;50</v>
      </c>
      <c r="Q1444" s="4">
        <f>M1444+N1444</f>
        <v>4</v>
      </c>
      <c r="U1444" s="28" t="str" cm="1">
        <f t="array" ref="U1444">_xlfn.IFS(F1444&lt;30000,"30k",F1444&lt;=50000,"30k-50k",F1444&lt;=75000,"50k-75k",F1444&lt;=100000,"75k-100k",F1444&gt;100000,"100k")</f>
        <v>30k-50k</v>
      </c>
      <c r="W1444" s="1">
        <f t="shared" si="45"/>
        <v>13</v>
      </c>
    </row>
    <row r="1445" spans="1:23" x14ac:dyDescent="0.35">
      <c r="A1445">
        <v>1442</v>
      </c>
      <c r="B1445">
        <v>6856</v>
      </c>
      <c r="C1445">
        <v>1979</v>
      </c>
      <c r="D1445" s="1" t="s">
        <v>10</v>
      </c>
      <c r="E1445" s="1" t="s">
        <v>12</v>
      </c>
      <c r="F1445">
        <v>21645</v>
      </c>
      <c r="G1445">
        <v>1</v>
      </c>
      <c r="H1445" s="2">
        <v>0</v>
      </c>
      <c r="I1445" s="2">
        <v>41155</v>
      </c>
      <c r="J1445">
        <v>75</v>
      </c>
      <c r="K1445">
        <f>VLOOKUP(B1445,purchase_dataset!$B$2:$F$2241,2,FALSE)</f>
        <v>0</v>
      </c>
      <c r="L1445">
        <f>VLOOKUP(B1445,purchase_dataset!$B$2:$F$2241,3,FALSE)</f>
        <v>5</v>
      </c>
      <c r="M1445">
        <f>VLOOKUP(B1445,purchase_dataset!$B$2:$F$2241,3,FALSE)</f>
        <v>5</v>
      </c>
      <c r="N1445">
        <f>VLOOKUP(B1445,purchase_dataset!$B$2:$F$2241,5,FALSE)</f>
        <v>3</v>
      </c>
      <c r="O1445" s="5">
        <v>47</v>
      </c>
      <c r="P1445" s="4" t="str">
        <f t="shared" si="44"/>
        <v>30-50</v>
      </c>
      <c r="Q1445" s="4">
        <f>M1445+N1445</f>
        <v>8</v>
      </c>
      <c r="U1445" s="28" t="str" cm="1">
        <f t="array" ref="U1445">_xlfn.IFS(F1445&lt;30000,"30k",F1445&lt;=50000,"30k-50k",F1445&lt;=75000,"50k-75k",F1445&lt;=100000,"75k-100k",F1445&gt;100000,"100k")</f>
        <v>30k</v>
      </c>
      <c r="W1445" s="1">
        <f t="shared" si="45"/>
        <v>14</v>
      </c>
    </row>
    <row r="1446" spans="1:23" x14ac:dyDescent="0.35">
      <c r="A1446">
        <v>1443</v>
      </c>
      <c r="B1446">
        <v>4530</v>
      </c>
      <c r="C1446">
        <v>1948</v>
      </c>
      <c r="D1446" s="1" t="s">
        <v>15</v>
      </c>
      <c r="E1446" s="1" t="s">
        <v>19</v>
      </c>
      <c r="F1446">
        <v>78427</v>
      </c>
      <c r="G1446">
        <v>0</v>
      </c>
      <c r="H1446" s="2">
        <v>0</v>
      </c>
      <c r="I1446" s="2">
        <v>41206</v>
      </c>
      <c r="J1446">
        <v>36</v>
      </c>
      <c r="K1446">
        <f>VLOOKUP(B1446,purchase_dataset!$B$2:$F$2241,2,FALSE)</f>
        <v>19</v>
      </c>
      <c r="L1446">
        <f>VLOOKUP(B1446,purchase_dataset!$B$2:$F$2241,3,FALSE)</f>
        <v>26</v>
      </c>
      <c r="M1446">
        <f>VLOOKUP(B1446,purchase_dataset!$B$2:$F$2241,3,FALSE)</f>
        <v>26</v>
      </c>
      <c r="N1446">
        <f>VLOOKUP(B1446,purchase_dataset!$B$2:$F$2241,5,FALSE)</f>
        <v>10</v>
      </c>
      <c r="O1446" s="5">
        <v>78</v>
      </c>
      <c r="P1446" s="4" t="str">
        <f t="shared" si="44"/>
        <v>&gt;50</v>
      </c>
      <c r="Q1446" s="4">
        <f>M1446+N1446</f>
        <v>36</v>
      </c>
      <c r="U1446" s="28" t="str" cm="1">
        <f t="array" ref="U1446">_xlfn.IFS(F1446&lt;30000,"30k",F1446&lt;=50000,"30k-50k",F1446&lt;=75000,"50k-75k",F1446&lt;=100000,"75k-100k",F1446&gt;100000,"100k")</f>
        <v>75k-100k</v>
      </c>
      <c r="W1446" s="1">
        <f t="shared" si="45"/>
        <v>14</v>
      </c>
    </row>
    <row r="1447" spans="1:23" x14ac:dyDescent="0.35">
      <c r="A1447">
        <v>1444</v>
      </c>
      <c r="B1447">
        <v>1553</v>
      </c>
      <c r="C1447">
        <v>1946</v>
      </c>
      <c r="D1447" s="1" t="s">
        <v>10</v>
      </c>
      <c r="E1447" s="1" t="s">
        <v>12</v>
      </c>
      <c r="F1447">
        <v>82657</v>
      </c>
      <c r="G1447">
        <v>0</v>
      </c>
      <c r="H1447" s="2">
        <v>0</v>
      </c>
      <c r="I1447" s="2">
        <v>41544</v>
      </c>
      <c r="J1447">
        <v>71</v>
      </c>
      <c r="K1447">
        <f>VLOOKUP(B1447,purchase_dataset!$B$2:$F$2241,2,FALSE)</f>
        <v>168</v>
      </c>
      <c r="L1447">
        <f>VLOOKUP(B1447,purchase_dataset!$B$2:$F$2241,3,FALSE)</f>
        <v>105</v>
      </c>
      <c r="M1447">
        <f>VLOOKUP(B1447,purchase_dataset!$B$2:$F$2241,3,FALSE)</f>
        <v>105</v>
      </c>
      <c r="N1447">
        <f>VLOOKUP(B1447,purchase_dataset!$B$2:$F$2241,5,FALSE)</f>
        <v>10</v>
      </c>
      <c r="O1447" s="5">
        <v>80</v>
      </c>
      <c r="P1447" s="4" t="str">
        <f t="shared" si="44"/>
        <v>&gt;50</v>
      </c>
      <c r="Q1447" s="4">
        <f>M1447+N1447</f>
        <v>115</v>
      </c>
      <c r="U1447" s="28" t="str" cm="1">
        <f t="array" ref="U1447">_xlfn.IFS(F1447&lt;30000,"30k",F1447&lt;=50000,"30k-50k",F1447&lt;=75000,"50k-75k",F1447&lt;=100000,"75k-100k",F1447&gt;100000,"100k")</f>
        <v>75k-100k</v>
      </c>
      <c r="W1447" s="1">
        <f t="shared" si="45"/>
        <v>13</v>
      </c>
    </row>
    <row r="1448" spans="1:23" x14ac:dyDescent="0.35">
      <c r="A1448">
        <v>1445</v>
      </c>
      <c r="B1448">
        <v>4682</v>
      </c>
      <c r="C1448">
        <v>1958</v>
      </c>
      <c r="D1448" s="1" t="s">
        <v>10</v>
      </c>
      <c r="E1448" s="1" t="s">
        <v>14</v>
      </c>
      <c r="F1448">
        <v>51876</v>
      </c>
      <c r="G1448">
        <v>0</v>
      </c>
      <c r="H1448" s="2">
        <v>0</v>
      </c>
      <c r="I1448" s="2">
        <v>41562</v>
      </c>
      <c r="J1448">
        <v>88</v>
      </c>
      <c r="K1448">
        <f>VLOOKUP(B1448,purchase_dataset!$B$2:$F$2241,2,FALSE)</f>
        <v>27</v>
      </c>
      <c r="L1448">
        <f>VLOOKUP(B1448,purchase_dataset!$B$2:$F$2241,3,FALSE)</f>
        <v>48</v>
      </c>
      <c r="M1448">
        <f>VLOOKUP(B1448,purchase_dataset!$B$2:$F$2241,3,FALSE)</f>
        <v>48</v>
      </c>
      <c r="N1448">
        <f>VLOOKUP(B1448,purchase_dataset!$B$2:$F$2241,5,FALSE)</f>
        <v>8</v>
      </c>
      <c r="O1448" s="5">
        <v>68</v>
      </c>
      <c r="P1448" s="4" t="str">
        <f t="shared" si="44"/>
        <v>&gt;50</v>
      </c>
      <c r="Q1448" s="4">
        <f>M1448+N1448</f>
        <v>56</v>
      </c>
      <c r="U1448" s="28" t="str" cm="1">
        <f t="array" ref="U1448">_xlfn.IFS(F1448&lt;30000,"30k",F1448&lt;=50000,"30k-50k",F1448&lt;=75000,"50k-75k",F1448&lt;=100000,"75k-100k",F1448&gt;100000,"100k")</f>
        <v>50k-75k</v>
      </c>
      <c r="W1448" s="1">
        <f t="shared" si="45"/>
        <v>13</v>
      </c>
    </row>
    <row r="1449" spans="1:23" x14ac:dyDescent="0.35">
      <c r="A1449">
        <v>1446</v>
      </c>
      <c r="B1449">
        <v>8204</v>
      </c>
      <c r="C1449">
        <v>1971</v>
      </c>
      <c r="D1449" s="1" t="s">
        <v>18</v>
      </c>
      <c r="E1449" s="1" t="s">
        <v>14</v>
      </c>
      <c r="F1449">
        <v>78041</v>
      </c>
      <c r="G1449">
        <v>0</v>
      </c>
      <c r="H1449" s="2">
        <v>0</v>
      </c>
      <c r="I1449" s="2">
        <v>41259</v>
      </c>
      <c r="J1449">
        <v>93</v>
      </c>
      <c r="K1449">
        <f>VLOOKUP(B1449,purchase_dataset!$B$2:$F$2241,2,FALSE)</f>
        <v>35</v>
      </c>
      <c r="L1449">
        <f>VLOOKUP(B1449,purchase_dataset!$B$2:$F$2241,3,FALSE)</f>
        <v>160</v>
      </c>
      <c r="M1449">
        <f>VLOOKUP(B1449,purchase_dataset!$B$2:$F$2241,3,FALSE)</f>
        <v>160</v>
      </c>
      <c r="N1449">
        <f>VLOOKUP(B1449,purchase_dataset!$B$2:$F$2241,5,FALSE)</f>
        <v>9</v>
      </c>
      <c r="O1449" s="5">
        <v>55</v>
      </c>
      <c r="P1449" s="4" t="str">
        <f t="shared" si="44"/>
        <v>&gt;50</v>
      </c>
      <c r="Q1449" s="4">
        <f>M1449+N1449</f>
        <v>169</v>
      </c>
      <c r="U1449" s="28" t="str" cm="1">
        <f t="array" ref="U1449">_xlfn.IFS(F1449&lt;30000,"30k",F1449&lt;=50000,"30k-50k",F1449&lt;=75000,"50k-75k",F1449&lt;=100000,"75k-100k",F1449&gt;100000,"100k")</f>
        <v>75k-100k</v>
      </c>
      <c r="W1449" s="1">
        <f t="shared" si="45"/>
        <v>14</v>
      </c>
    </row>
    <row r="1450" spans="1:23" x14ac:dyDescent="0.35">
      <c r="A1450">
        <v>1447</v>
      </c>
      <c r="B1450">
        <v>5221</v>
      </c>
      <c r="C1450">
        <v>1957</v>
      </c>
      <c r="D1450" s="1" t="s">
        <v>10</v>
      </c>
      <c r="E1450" s="1" t="s">
        <v>14</v>
      </c>
      <c r="F1450">
        <v>52852</v>
      </c>
      <c r="G1450">
        <v>0</v>
      </c>
      <c r="H1450" s="2">
        <v>1</v>
      </c>
      <c r="I1450" s="2">
        <v>41244</v>
      </c>
      <c r="J1450">
        <v>93</v>
      </c>
      <c r="K1450">
        <f>VLOOKUP(B1450,purchase_dataset!$B$2:$F$2241,2,FALSE)</f>
        <v>8</v>
      </c>
      <c r="L1450">
        <f>VLOOKUP(B1450,purchase_dataset!$B$2:$F$2241,3,FALSE)</f>
        <v>0</v>
      </c>
      <c r="M1450">
        <f>VLOOKUP(B1450,purchase_dataset!$B$2:$F$2241,3,FALSE)</f>
        <v>0</v>
      </c>
      <c r="N1450">
        <f>VLOOKUP(B1450,purchase_dataset!$B$2:$F$2241,5,FALSE)</f>
        <v>5</v>
      </c>
      <c r="O1450" s="5">
        <v>69</v>
      </c>
      <c r="P1450" s="4" t="str">
        <f t="shared" si="44"/>
        <v>&gt;50</v>
      </c>
      <c r="Q1450" s="4">
        <f>M1450+N1450</f>
        <v>5</v>
      </c>
      <c r="U1450" s="28" t="str" cm="1">
        <f t="array" ref="U1450">_xlfn.IFS(F1450&lt;30000,"30k",F1450&lt;=50000,"30k-50k",F1450&lt;=75000,"50k-75k",F1450&lt;=100000,"75k-100k",F1450&gt;100000,"100k")</f>
        <v>50k-75k</v>
      </c>
      <c r="W1450" s="1">
        <f t="shared" si="45"/>
        <v>14</v>
      </c>
    </row>
    <row r="1451" spans="1:23" x14ac:dyDescent="0.35">
      <c r="A1451">
        <v>1448</v>
      </c>
      <c r="B1451">
        <v>1232</v>
      </c>
      <c r="C1451">
        <v>1982</v>
      </c>
      <c r="D1451" s="1" t="s">
        <v>13</v>
      </c>
      <c r="E1451" s="1" t="s">
        <v>12</v>
      </c>
      <c r="F1451">
        <v>70038</v>
      </c>
      <c r="G1451">
        <v>0</v>
      </c>
      <c r="H1451" s="2">
        <v>0</v>
      </c>
      <c r="I1451" s="2">
        <v>41572</v>
      </c>
      <c r="J1451">
        <v>54</v>
      </c>
      <c r="K1451">
        <f>VLOOKUP(B1451,purchase_dataset!$B$2:$F$2241,2,FALSE)</f>
        <v>54</v>
      </c>
      <c r="L1451">
        <f>VLOOKUP(B1451,purchase_dataset!$B$2:$F$2241,3,FALSE)</f>
        <v>54</v>
      </c>
      <c r="M1451">
        <f>VLOOKUP(B1451,purchase_dataset!$B$2:$F$2241,3,FALSE)</f>
        <v>54</v>
      </c>
      <c r="N1451">
        <f>VLOOKUP(B1451,purchase_dataset!$B$2:$F$2241,5,FALSE)</f>
        <v>8</v>
      </c>
      <c r="O1451" s="5">
        <v>44</v>
      </c>
      <c r="P1451" s="4" t="str">
        <f t="shared" si="44"/>
        <v>30-50</v>
      </c>
      <c r="Q1451" s="4">
        <f>M1451+N1451</f>
        <v>62</v>
      </c>
      <c r="U1451" s="28" t="str" cm="1">
        <f t="array" ref="U1451">_xlfn.IFS(F1451&lt;30000,"30k",F1451&lt;=50000,"30k-50k",F1451&lt;=75000,"50k-75k",F1451&lt;=100000,"75k-100k",F1451&gt;100000,"100k")</f>
        <v>50k-75k</v>
      </c>
      <c r="W1451" s="1">
        <f t="shared" si="45"/>
        <v>13</v>
      </c>
    </row>
    <row r="1452" spans="1:23" x14ac:dyDescent="0.35">
      <c r="A1452">
        <v>1449</v>
      </c>
      <c r="B1452">
        <v>1927</v>
      </c>
      <c r="C1452">
        <v>1973</v>
      </c>
      <c r="D1452" s="1" t="s">
        <v>18</v>
      </c>
      <c r="E1452" s="1" t="s">
        <v>12</v>
      </c>
      <c r="F1452">
        <v>69401</v>
      </c>
      <c r="G1452">
        <v>0</v>
      </c>
      <c r="H1452" s="2">
        <v>1</v>
      </c>
      <c r="I1452" s="2">
        <v>41721</v>
      </c>
      <c r="J1452">
        <v>41</v>
      </c>
      <c r="K1452">
        <f>VLOOKUP(B1452,purchase_dataset!$B$2:$F$2241,2,FALSE)</f>
        <v>27</v>
      </c>
      <c r="L1452">
        <f>VLOOKUP(B1452,purchase_dataset!$B$2:$F$2241,3,FALSE)</f>
        <v>8</v>
      </c>
      <c r="M1452">
        <f>VLOOKUP(B1452,purchase_dataset!$B$2:$F$2241,3,FALSE)</f>
        <v>8</v>
      </c>
      <c r="N1452">
        <f>VLOOKUP(B1452,purchase_dataset!$B$2:$F$2241,5,FALSE)</f>
        <v>5</v>
      </c>
      <c r="O1452" s="5">
        <v>53</v>
      </c>
      <c r="P1452" s="4" t="str">
        <f t="shared" si="44"/>
        <v>&gt;50</v>
      </c>
      <c r="Q1452" s="4">
        <f>M1452+N1452</f>
        <v>13</v>
      </c>
      <c r="U1452" s="28" t="str" cm="1">
        <f t="array" ref="U1452">_xlfn.IFS(F1452&lt;30000,"30k",F1452&lt;=50000,"30k-50k",F1452&lt;=75000,"50k-75k",F1452&lt;=100000,"75k-100k",F1452&gt;100000,"100k")</f>
        <v>50k-75k</v>
      </c>
      <c r="W1452" s="1">
        <f t="shared" si="45"/>
        <v>12</v>
      </c>
    </row>
    <row r="1453" spans="1:23" x14ac:dyDescent="0.35">
      <c r="A1453">
        <v>1450</v>
      </c>
      <c r="B1453">
        <v>5788</v>
      </c>
      <c r="C1453">
        <v>1972</v>
      </c>
      <c r="D1453" s="1" t="s">
        <v>10</v>
      </c>
      <c r="E1453" s="1" t="s">
        <v>12</v>
      </c>
      <c r="F1453">
        <v>46053</v>
      </c>
      <c r="G1453">
        <v>1</v>
      </c>
      <c r="H1453" s="2">
        <v>0</v>
      </c>
      <c r="I1453" s="2">
        <v>41322</v>
      </c>
      <c r="J1453">
        <v>46</v>
      </c>
      <c r="K1453">
        <f>VLOOKUP(B1453,purchase_dataset!$B$2:$F$2241,2,FALSE)</f>
        <v>10</v>
      </c>
      <c r="L1453">
        <f>VLOOKUP(B1453,purchase_dataset!$B$2:$F$2241,3,FALSE)</f>
        <v>7</v>
      </c>
      <c r="M1453">
        <f>VLOOKUP(B1453,purchase_dataset!$B$2:$F$2241,3,FALSE)</f>
        <v>7</v>
      </c>
      <c r="N1453">
        <f>VLOOKUP(B1453,purchase_dataset!$B$2:$F$2241,5,FALSE)</f>
        <v>4</v>
      </c>
      <c r="O1453" s="5">
        <v>54</v>
      </c>
      <c r="P1453" s="4" t="str">
        <f t="shared" si="44"/>
        <v>&gt;50</v>
      </c>
      <c r="Q1453" s="4">
        <f>M1453+N1453</f>
        <v>11</v>
      </c>
      <c r="U1453" s="28" t="str" cm="1">
        <f t="array" ref="U1453">_xlfn.IFS(F1453&lt;30000,"30k",F1453&lt;=50000,"30k-50k",F1453&lt;=75000,"50k-75k",F1453&lt;=100000,"75k-100k",F1453&gt;100000,"100k")</f>
        <v>30k-50k</v>
      </c>
      <c r="W1453" s="1">
        <f t="shared" si="45"/>
        <v>13</v>
      </c>
    </row>
    <row r="1454" spans="1:23" x14ac:dyDescent="0.35">
      <c r="A1454">
        <v>1451</v>
      </c>
      <c r="B1454">
        <v>6652</v>
      </c>
      <c r="C1454">
        <v>1965</v>
      </c>
      <c r="D1454" s="1" t="s">
        <v>10</v>
      </c>
      <c r="E1454" s="1" t="s">
        <v>14</v>
      </c>
      <c r="F1454">
        <v>77343</v>
      </c>
      <c r="G1454">
        <v>0</v>
      </c>
      <c r="H1454" s="2">
        <v>0</v>
      </c>
      <c r="I1454" s="2">
        <v>41799</v>
      </c>
      <c r="J1454">
        <v>28</v>
      </c>
      <c r="K1454">
        <f>VLOOKUP(B1454,purchase_dataset!$B$2:$F$2241,2,FALSE)</f>
        <v>151</v>
      </c>
      <c r="L1454">
        <f>VLOOKUP(B1454,purchase_dataset!$B$2:$F$2241,3,FALSE)</f>
        <v>54</v>
      </c>
      <c r="M1454">
        <f>VLOOKUP(B1454,purchase_dataset!$B$2:$F$2241,3,FALSE)</f>
        <v>54</v>
      </c>
      <c r="N1454">
        <f>VLOOKUP(B1454,purchase_dataset!$B$2:$F$2241,5,FALSE)</f>
        <v>9</v>
      </c>
      <c r="O1454" s="5">
        <v>61</v>
      </c>
      <c r="P1454" s="4" t="str">
        <f t="shared" si="44"/>
        <v>&gt;50</v>
      </c>
      <c r="Q1454" s="4">
        <f>M1454+N1454</f>
        <v>63</v>
      </c>
      <c r="U1454" s="28" t="str" cm="1">
        <f t="array" ref="U1454">_xlfn.IFS(F1454&lt;30000,"30k",F1454&lt;=50000,"30k-50k",F1454&lt;=75000,"50k-75k",F1454&lt;=100000,"75k-100k",F1454&gt;100000,"100k")</f>
        <v>75k-100k</v>
      </c>
      <c r="W1454" s="1">
        <f t="shared" si="45"/>
        <v>12</v>
      </c>
    </row>
    <row r="1455" spans="1:23" x14ac:dyDescent="0.35">
      <c r="A1455">
        <v>1452</v>
      </c>
      <c r="B1455">
        <v>6246</v>
      </c>
      <c r="C1455">
        <v>1953</v>
      </c>
      <c r="D1455" s="1" t="s">
        <v>10</v>
      </c>
      <c r="E1455" s="1" t="s">
        <v>11</v>
      </c>
      <c r="F1455">
        <v>73892</v>
      </c>
      <c r="G1455">
        <v>0</v>
      </c>
      <c r="H1455" s="2">
        <v>0</v>
      </c>
      <c r="I1455" s="2">
        <v>41591</v>
      </c>
      <c r="J1455">
        <v>40</v>
      </c>
      <c r="K1455">
        <f>VLOOKUP(B1455,purchase_dataset!$B$2:$F$2241,2,FALSE)</f>
        <v>102</v>
      </c>
      <c r="L1455">
        <f>VLOOKUP(B1455,purchase_dataset!$B$2:$F$2241,3,FALSE)</f>
        <v>58</v>
      </c>
      <c r="M1455">
        <f>VLOOKUP(B1455,purchase_dataset!$B$2:$F$2241,3,FALSE)</f>
        <v>58</v>
      </c>
      <c r="N1455">
        <f>VLOOKUP(B1455,purchase_dataset!$B$2:$F$2241,5,FALSE)</f>
        <v>8</v>
      </c>
      <c r="O1455" s="5">
        <v>73</v>
      </c>
      <c r="P1455" s="4" t="str">
        <f t="shared" si="44"/>
        <v>&gt;50</v>
      </c>
      <c r="Q1455" s="4">
        <f>M1455+N1455</f>
        <v>66</v>
      </c>
      <c r="U1455" s="28" t="str" cm="1">
        <f t="array" ref="U1455">_xlfn.IFS(F1455&lt;30000,"30k",F1455&lt;=50000,"30k-50k",F1455&lt;=75000,"50k-75k",F1455&lt;=100000,"75k-100k",F1455&gt;100000,"100k")</f>
        <v>50k-75k</v>
      </c>
      <c r="W1455" s="1">
        <f t="shared" si="45"/>
        <v>13</v>
      </c>
    </row>
    <row r="1456" spans="1:23" x14ac:dyDescent="0.35">
      <c r="A1456">
        <v>1453</v>
      </c>
      <c r="B1456">
        <v>5975</v>
      </c>
      <c r="C1456">
        <v>1967</v>
      </c>
      <c r="D1456" s="1" t="s">
        <v>13</v>
      </c>
      <c r="E1456" s="1" t="s">
        <v>11</v>
      </c>
      <c r="F1456">
        <v>40304</v>
      </c>
      <c r="G1456">
        <v>1</v>
      </c>
      <c r="H1456" s="2">
        <v>0</v>
      </c>
      <c r="I1456" s="2">
        <v>41547</v>
      </c>
      <c r="J1456">
        <v>82</v>
      </c>
      <c r="K1456">
        <f>VLOOKUP(B1456,purchase_dataset!$B$2:$F$2241,2,FALSE)</f>
        <v>0</v>
      </c>
      <c r="L1456">
        <f>VLOOKUP(B1456,purchase_dataset!$B$2:$F$2241,3,FALSE)</f>
        <v>0</v>
      </c>
      <c r="M1456">
        <f>VLOOKUP(B1456,purchase_dataset!$B$2:$F$2241,3,FALSE)</f>
        <v>0</v>
      </c>
      <c r="N1456">
        <f>VLOOKUP(B1456,purchase_dataset!$B$2:$F$2241,5,FALSE)</f>
        <v>3</v>
      </c>
      <c r="O1456" s="5">
        <v>59</v>
      </c>
      <c r="P1456" s="4" t="str">
        <f t="shared" si="44"/>
        <v>&gt;50</v>
      </c>
      <c r="Q1456" s="4">
        <f>M1456+N1456</f>
        <v>3</v>
      </c>
      <c r="U1456" s="28" t="str" cm="1">
        <f t="array" ref="U1456">_xlfn.IFS(F1456&lt;30000,"30k",F1456&lt;=50000,"30k-50k",F1456&lt;=75000,"50k-75k",F1456&lt;=100000,"75k-100k",F1456&gt;100000,"100k")</f>
        <v>30k-50k</v>
      </c>
      <c r="W1456" s="1">
        <f t="shared" si="45"/>
        <v>13</v>
      </c>
    </row>
    <row r="1457" spans="1:23" x14ac:dyDescent="0.35">
      <c r="A1457">
        <v>1454</v>
      </c>
      <c r="B1457">
        <v>6875</v>
      </c>
      <c r="C1457">
        <v>1965</v>
      </c>
      <c r="D1457" s="1" t="s">
        <v>13</v>
      </c>
      <c r="E1457" s="1" t="s">
        <v>12</v>
      </c>
      <c r="F1457">
        <v>32727</v>
      </c>
      <c r="G1457">
        <v>0</v>
      </c>
      <c r="H1457" s="2">
        <v>0</v>
      </c>
      <c r="I1457" s="2">
        <v>41149</v>
      </c>
      <c r="J1457">
        <v>38</v>
      </c>
      <c r="K1457">
        <f>VLOOKUP(B1457,purchase_dataset!$B$2:$F$2241,2,FALSE)</f>
        <v>13</v>
      </c>
      <c r="L1457">
        <f>VLOOKUP(B1457,purchase_dataset!$B$2:$F$2241,3,FALSE)</f>
        <v>13</v>
      </c>
      <c r="M1457">
        <f>VLOOKUP(B1457,purchase_dataset!$B$2:$F$2241,3,FALSE)</f>
        <v>13</v>
      </c>
      <c r="N1457">
        <f>VLOOKUP(B1457,purchase_dataset!$B$2:$F$2241,5,FALSE)</f>
        <v>5</v>
      </c>
      <c r="O1457" s="5">
        <v>61</v>
      </c>
      <c r="P1457" s="4" t="str">
        <f t="shared" si="44"/>
        <v>&gt;50</v>
      </c>
      <c r="Q1457" s="4">
        <f>M1457+N1457</f>
        <v>18</v>
      </c>
      <c r="U1457" s="28" t="str" cm="1">
        <f t="array" ref="U1457">_xlfn.IFS(F1457&lt;30000,"30k",F1457&lt;=50000,"30k-50k",F1457&lt;=75000,"50k-75k",F1457&lt;=100000,"75k-100k",F1457&gt;100000,"100k")</f>
        <v>30k-50k</v>
      </c>
      <c r="W1457" s="1">
        <f t="shared" si="45"/>
        <v>14</v>
      </c>
    </row>
    <row r="1458" spans="1:23" x14ac:dyDescent="0.35">
      <c r="A1458">
        <v>1455</v>
      </c>
      <c r="B1458">
        <v>4399</v>
      </c>
      <c r="C1458">
        <v>1969</v>
      </c>
      <c r="D1458" s="1" t="s">
        <v>10</v>
      </c>
      <c r="E1458" s="1" t="s">
        <v>12</v>
      </c>
      <c r="F1458">
        <v>68695</v>
      </c>
      <c r="G1458">
        <v>0</v>
      </c>
      <c r="H1458" s="2">
        <v>0</v>
      </c>
      <c r="I1458" s="2">
        <v>41815</v>
      </c>
      <c r="J1458">
        <v>3</v>
      </c>
      <c r="K1458">
        <f>VLOOKUP(B1458,purchase_dataset!$B$2:$F$2241,2,FALSE)</f>
        <v>81</v>
      </c>
      <c r="L1458">
        <f>VLOOKUP(B1458,purchase_dataset!$B$2:$F$2241,3,FALSE)</f>
        <v>50</v>
      </c>
      <c r="M1458">
        <f>VLOOKUP(B1458,purchase_dataset!$B$2:$F$2241,3,FALSE)</f>
        <v>50</v>
      </c>
      <c r="N1458">
        <f>VLOOKUP(B1458,purchase_dataset!$B$2:$F$2241,5,FALSE)</f>
        <v>7</v>
      </c>
      <c r="O1458" s="5">
        <v>57</v>
      </c>
      <c r="P1458" s="4" t="str">
        <f t="shared" si="44"/>
        <v>&gt;50</v>
      </c>
      <c r="Q1458" s="4">
        <f>M1458+N1458</f>
        <v>57</v>
      </c>
      <c r="U1458" s="28" t="str" cm="1">
        <f t="array" ref="U1458">_xlfn.IFS(F1458&lt;30000,"30k",F1458&lt;=50000,"30k-50k",F1458&lt;=75000,"50k-75k",F1458&lt;=100000,"75k-100k",F1458&gt;100000,"100k")</f>
        <v>50k-75k</v>
      </c>
      <c r="W1458" s="1">
        <f t="shared" si="45"/>
        <v>12</v>
      </c>
    </row>
    <row r="1459" spans="1:23" x14ac:dyDescent="0.35">
      <c r="A1459">
        <v>1456</v>
      </c>
      <c r="B1459">
        <v>4042</v>
      </c>
      <c r="C1459">
        <v>1971</v>
      </c>
      <c r="D1459" s="1" t="s">
        <v>10</v>
      </c>
      <c r="E1459" s="1" t="s">
        <v>16</v>
      </c>
      <c r="F1459">
        <v>43300</v>
      </c>
      <c r="G1459">
        <v>0</v>
      </c>
      <c r="H1459" s="2">
        <v>1</v>
      </c>
      <c r="I1459" s="2">
        <v>41195</v>
      </c>
      <c r="J1459">
        <v>87</v>
      </c>
      <c r="K1459">
        <f>VLOOKUP(B1459,purchase_dataset!$B$2:$F$2241,2,FALSE)</f>
        <v>3</v>
      </c>
      <c r="L1459">
        <f>VLOOKUP(B1459,purchase_dataset!$B$2:$F$2241,3,FALSE)</f>
        <v>1</v>
      </c>
      <c r="M1459">
        <f>VLOOKUP(B1459,purchase_dataset!$B$2:$F$2241,3,FALSE)</f>
        <v>1</v>
      </c>
      <c r="N1459">
        <f>VLOOKUP(B1459,purchase_dataset!$B$2:$F$2241,5,FALSE)</f>
        <v>4</v>
      </c>
      <c r="O1459" s="5">
        <v>55</v>
      </c>
      <c r="P1459" s="4" t="str">
        <f t="shared" si="44"/>
        <v>&gt;50</v>
      </c>
      <c r="Q1459" s="4">
        <f>M1459+N1459</f>
        <v>5</v>
      </c>
      <c r="U1459" s="28" t="str" cm="1">
        <f t="array" ref="U1459">_xlfn.IFS(F1459&lt;30000,"30k",F1459&lt;=50000,"30k-50k",F1459&lt;=75000,"50k-75k",F1459&lt;=100000,"75k-100k",F1459&gt;100000,"100k")</f>
        <v>30k-50k</v>
      </c>
      <c r="W1459" s="1">
        <f t="shared" si="45"/>
        <v>14</v>
      </c>
    </row>
    <row r="1460" spans="1:23" x14ac:dyDescent="0.35">
      <c r="A1460">
        <v>1457</v>
      </c>
      <c r="B1460">
        <v>2157</v>
      </c>
      <c r="C1460">
        <v>1972</v>
      </c>
      <c r="D1460" s="1" t="s">
        <v>10</v>
      </c>
      <c r="E1460" s="1" t="s">
        <v>12</v>
      </c>
      <c r="F1460">
        <v>26290</v>
      </c>
      <c r="G1460">
        <v>1</v>
      </c>
      <c r="H1460" s="2">
        <v>1</v>
      </c>
      <c r="I1460" s="2">
        <v>41286</v>
      </c>
      <c r="J1460">
        <v>49</v>
      </c>
      <c r="K1460">
        <f>VLOOKUP(B1460,purchase_dataset!$B$2:$F$2241,2,FALSE)</f>
        <v>8</v>
      </c>
      <c r="L1460">
        <f>VLOOKUP(B1460,purchase_dataset!$B$2:$F$2241,3,FALSE)</f>
        <v>5</v>
      </c>
      <c r="M1460">
        <f>VLOOKUP(B1460,purchase_dataset!$B$2:$F$2241,3,FALSE)</f>
        <v>5</v>
      </c>
      <c r="N1460">
        <f>VLOOKUP(B1460,purchase_dataset!$B$2:$F$2241,5,FALSE)</f>
        <v>4</v>
      </c>
      <c r="O1460" s="5">
        <v>54</v>
      </c>
      <c r="P1460" s="4" t="str">
        <f t="shared" si="44"/>
        <v>&gt;50</v>
      </c>
      <c r="Q1460" s="4">
        <f>M1460+N1460</f>
        <v>9</v>
      </c>
      <c r="U1460" s="28" t="str" cm="1">
        <f t="array" ref="U1460">_xlfn.IFS(F1460&lt;30000,"30k",F1460&lt;=50000,"30k-50k",F1460&lt;=75000,"50k-75k",F1460&lt;=100000,"75k-100k",F1460&gt;100000,"100k")</f>
        <v>30k</v>
      </c>
      <c r="W1460" s="1">
        <f t="shared" si="45"/>
        <v>13</v>
      </c>
    </row>
    <row r="1461" spans="1:23" x14ac:dyDescent="0.35">
      <c r="A1461">
        <v>1458</v>
      </c>
      <c r="B1461">
        <v>10133</v>
      </c>
      <c r="C1461">
        <v>1970</v>
      </c>
      <c r="D1461" s="1" t="s">
        <v>10</v>
      </c>
      <c r="E1461" s="1" t="s">
        <v>11</v>
      </c>
      <c r="F1461">
        <v>93790</v>
      </c>
      <c r="G1461">
        <v>0</v>
      </c>
      <c r="H1461" s="2">
        <v>0</v>
      </c>
      <c r="I1461" s="2">
        <v>41682</v>
      </c>
      <c r="J1461">
        <v>16</v>
      </c>
      <c r="K1461">
        <f>VLOOKUP(B1461,purchase_dataset!$B$2:$F$2241,2,FALSE)</f>
        <v>68</v>
      </c>
      <c r="L1461">
        <f>VLOOKUP(B1461,purchase_dataset!$B$2:$F$2241,3,FALSE)</f>
        <v>114</v>
      </c>
      <c r="M1461">
        <f>VLOOKUP(B1461,purchase_dataset!$B$2:$F$2241,3,FALSE)</f>
        <v>114</v>
      </c>
      <c r="N1461">
        <f>VLOOKUP(B1461,purchase_dataset!$B$2:$F$2241,5,FALSE)</f>
        <v>12</v>
      </c>
      <c r="O1461" s="5">
        <v>56</v>
      </c>
      <c r="P1461" s="4" t="str">
        <f t="shared" si="44"/>
        <v>&gt;50</v>
      </c>
      <c r="Q1461" s="4">
        <f>M1461+N1461</f>
        <v>126</v>
      </c>
      <c r="U1461" s="28" t="str" cm="1">
        <f t="array" ref="U1461">_xlfn.IFS(F1461&lt;30000,"30k",F1461&lt;=50000,"30k-50k",F1461&lt;=75000,"50k-75k",F1461&lt;=100000,"75k-100k",F1461&gt;100000,"100k")</f>
        <v>75k-100k</v>
      </c>
      <c r="W1461" s="1">
        <f t="shared" si="45"/>
        <v>12</v>
      </c>
    </row>
    <row r="1462" spans="1:23" x14ac:dyDescent="0.35">
      <c r="A1462">
        <v>1459</v>
      </c>
      <c r="B1462">
        <v>2525</v>
      </c>
      <c r="C1462">
        <v>1974</v>
      </c>
      <c r="D1462" s="1" t="s">
        <v>13</v>
      </c>
      <c r="E1462" s="1" t="s">
        <v>14</v>
      </c>
      <c r="F1462">
        <v>38410</v>
      </c>
      <c r="G1462">
        <v>0</v>
      </c>
      <c r="H1462" s="2">
        <v>0</v>
      </c>
      <c r="I1462" s="2">
        <v>41166</v>
      </c>
      <c r="J1462">
        <v>65</v>
      </c>
      <c r="K1462">
        <f>VLOOKUP(B1462,purchase_dataset!$B$2:$F$2241,2,FALSE)</f>
        <v>64</v>
      </c>
      <c r="L1462">
        <f>VLOOKUP(B1462,purchase_dataset!$B$2:$F$2241,3,FALSE)</f>
        <v>64</v>
      </c>
      <c r="M1462">
        <f>VLOOKUP(B1462,purchase_dataset!$B$2:$F$2241,3,FALSE)</f>
        <v>64</v>
      </c>
      <c r="N1462">
        <f>VLOOKUP(B1462,purchase_dataset!$B$2:$F$2241,5,FALSE)</f>
        <v>9</v>
      </c>
      <c r="O1462" s="5">
        <v>52</v>
      </c>
      <c r="P1462" s="4" t="str">
        <f t="shared" si="44"/>
        <v>&gt;50</v>
      </c>
      <c r="Q1462" s="4">
        <f>M1462+N1462</f>
        <v>73</v>
      </c>
      <c r="U1462" s="28" t="str" cm="1">
        <f t="array" ref="U1462">_xlfn.IFS(F1462&lt;30000,"30k",F1462&lt;=50000,"30k-50k",F1462&lt;=75000,"50k-75k",F1462&lt;=100000,"75k-100k",F1462&gt;100000,"100k")</f>
        <v>30k-50k</v>
      </c>
      <c r="W1462" s="1">
        <f t="shared" si="45"/>
        <v>14</v>
      </c>
    </row>
    <row r="1463" spans="1:23" x14ac:dyDescent="0.35">
      <c r="A1463">
        <v>1460</v>
      </c>
      <c r="B1463">
        <v>8233</v>
      </c>
      <c r="C1463">
        <v>1950</v>
      </c>
      <c r="D1463" s="1" t="s">
        <v>15</v>
      </c>
      <c r="E1463" s="1" t="s">
        <v>19</v>
      </c>
      <c r="F1463">
        <v>64866</v>
      </c>
      <c r="G1463">
        <v>0</v>
      </c>
      <c r="H1463" s="2">
        <v>1</v>
      </c>
      <c r="I1463" s="2">
        <v>41665</v>
      </c>
      <c r="J1463">
        <v>9</v>
      </c>
      <c r="K1463">
        <f>VLOOKUP(B1463,purchase_dataset!$B$2:$F$2241,2,FALSE)</f>
        <v>5</v>
      </c>
      <c r="L1463">
        <f>VLOOKUP(B1463,purchase_dataset!$B$2:$F$2241,3,FALSE)</f>
        <v>5</v>
      </c>
      <c r="M1463">
        <f>VLOOKUP(B1463,purchase_dataset!$B$2:$F$2241,3,FALSE)</f>
        <v>5</v>
      </c>
      <c r="N1463">
        <f>VLOOKUP(B1463,purchase_dataset!$B$2:$F$2241,5,FALSE)</f>
        <v>7</v>
      </c>
      <c r="O1463" s="5">
        <v>76</v>
      </c>
      <c r="P1463" s="4" t="str">
        <f t="shared" si="44"/>
        <v>&gt;50</v>
      </c>
      <c r="Q1463" s="4">
        <f>M1463+N1463</f>
        <v>12</v>
      </c>
      <c r="U1463" s="28" t="str" cm="1">
        <f t="array" ref="U1463">_xlfn.IFS(F1463&lt;30000,"30k",F1463&lt;=50000,"30k-50k",F1463&lt;=75000,"50k-75k",F1463&lt;=100000,"75k-100k",F1463&gt;100000,"100k")</f>
        <v>50k-75k</v>
      </c>
      <c r="W1463" s="1">
        <f t="shared" si="45"/>
        <v>12</v>
      </c>
    </row>
    <row r="1464" spans="1:23" x14ac:dyDescent="0.35">
      <c r="A1464">
        <v>1461</v>
      </c>
      <c r="B1464">
        <v>9483</v>
      </c>
      <c r="C1464">
        <v>1959</v>
      </c>
      <c r="D1464" s="1" t="s">
        <v>10</v>
      </c>
      <c r="E1464" s="1" t="s">
        <v>12</v>
      </c>
      <c r="F1464">
        <v>57957</v>
      </c>
      <c r="G1464">
        <v>0</v>
      </c>
      <c r="H1464" s="2">
        <v>1</v>
      </c>
      <c r="I1464" s="2">
        <v>41505</v>
      </c>
      <c r="J1464">
        <v>24</v>
      </c>
      <c r="K1464">
        <f>VLOOKUP(B1464,purchase_dataset!$B$2:$F$2241,2,FALSE)</f>
        <v>59</v>
      </c>
      <c r="L1464">
        <f>VLOOKUP(B1464,purchase_dataset!$B$2:$F$2241,3,FALSE)</f>
        <v>5</v>
      </c>
      <c r="M1464">
        <f>VLOOKUP(B1464,purchase_dataset!$B$2:$F$2241,3,FALSE)</f>
        <v>5</v>
      </c>
      <c r="N1464">
        <f>VLOOKUP(B1464,purchase_dataset!$B$2:$F$2241,5,FALSE)</f>
        <v>8</v>
      </c>
      <c r="O1464" s="5">
        <v>67</v>
      </c>
      <c r="P1464" s="4" t="str">
        <f t="shared" si="44"/>
        <v>&gt;50</v>
      </c>
      <c r="Q1464" s="4">
        <f>M1464+N1464</f>
        <v>13</v>
      </c>
      <c r="U1464" s="28" t="str" cm="1">
        <f t="array" ref="U1464">_xlfn.IFS(F1464&lt;30000,"30k",F1464&lt;=50000,"30k-50k",F1464&lt;=75000,"50k-75k",F1464&lt;=100000,"75k-100k",F1464&gt;100000,"100k")</f>
        <v>50k-75k</v>
      </c>
      <c r="W1464" s="1">
        <f t="shared" si="45"/>
        <v>13</v>
      </c>
    </row>
    <row r="1465" spans="1:23" x14ac:dyDescent="0.35">
      <c r="A1465">
        <v>1462</v>
      </c>
      <c r="B1465">
        <v>2945</v>
      </c>
      <c r="C1465">
        <v>1955</v>
      </c>
      <c r="D1465" s="1" t="s">
        <v>13</v>
      </c>
      <c r="E1465" s="1" t="s">
        <v>12</v>
      </c>
      <c r="F1465">
        <v>46015</v>
      </c>
      <c r="G1465">
        <v>1</v>
      </c>
      <c r="H1465" s="2">
        <v>1</v>
      </c>
      <c r="I1465" s="2">
        <v>41742</v>
      </c>
      <c r="J1465">
        <v>25</v>
      </c>
      <c r="K1465">
        <f>VLOOKUP(B1465,purchase_dataset!$B$2:$F$2241,2,FALSE)</f>
        <v>0</v>
      </c>
      <c r="L1465">
        <f>VLOOKUP(B1465,purchase_dataset!$B$2:$F$2241,3,FALSE)</f>
        <v>0</v>
      </c>
      <c r="M1465">
        <f>VLOOKUP(B1465,purchase_dataset!$B$2:$F$2241,3,FALSE)</f>
        <v>0</v>
      </c>
      <c r="N1465">
        <f>VLOOKUP(B1465,purchase_dataset!$B$2:$F$2241,5,FALSE)</f>
        <v>3</v>
      </c>
      <c r="O1465" s="5">
        <v>71</v>
      </c>
      <c r="P1465" s="4" t="str">
        <f t="shared" si="44"/>
        <v>&gt;50</v>
      </c>
      <c r="Q1465" s="4">
        <f>M1465+N1465</f>
        <v>3</v>
      </c>
      <c r="U1465" s="28" t="str" cm="1">
        <f t="array" ref="U1465">_xlfn.IFS(F1465&lt;30000,"30k",F1465&lt;=50000,"30k-50k",F1465&lt;=75000,"50k-75k",F1465&lt;=100000,"75k-100k",F1465&gt;100000,"100k")</f>
        <v>30k-50k</v>
      </c>
      <c r="W1465" s="1">
        <f t="shared" si="45"/>
        <v>12</v>
      </c>
    </row>
    <row r="1466" spans="1:23" x14ac:dyDescent="0.35">
      <c r="A1466">
        <v>1463</v>
      </c>
      <c r="B1466">
        <v>10403</v>
      </c>
      <c r="C1466">
        <v>1978</v>
      </c>
      <c r="D1466" s="1" t="s">
        <v>10</v>
      </c>
      <c r="E1466" s="1" t="s">
        <v>12</v>
      </c>
      <c r="F1466">
        <v>16531</v>
      </c>
      <c r="G1466">
        <v>1</v>
      </c>
      <c r="H1466" s="2">
        <v>0</v>
      </c>
      <c r="I1466" s="2">
        <v>41808</v>
      </c>
      <c r="J1466">
        <v>43</v>
      </c>
      <c r="K1466">
        <f>VLOOKUP(B1466,purchase_dataset!$B$2:$F$2241,2,FALSE)</f>
        <v>13</v>
      </c>
      <c r="L1466">
        <f>VLOOKUP(B1466,purchase_dataset!$B$2:$F$2241,3,FALSE)</f>
        <v>5</v>
      </c>
      <c r="M1466">
        <f>VLOOKUP(B1466,purchase_dataset!$B$2:$F$2241,3,FALSE)</f>
        <v>5</v>
      </c>
      <c r="N1466">
        <f>VLOOKUP(B1466,purchase_dataset!$B$2:$F$2241,5,FALSE)</f>
        <v>3</v>
      </c>
      <c r="O1466" s="5">
        <v>48</v>
      </c>
      <c r="P1466" s="4" t="str">
        <f t="shared" si="44"/>
        <v>30-50</v>
      </c>
      <c r="Q1466" s="4">
        <f>M1466+N1466</f>
        <v>8</v>
      </c>
      <c r="U1466" s="28" t="str" cm="1">
        <f t="array" ref="U1466">_xlfn.IFS(F1466&lt;30000,"30k",F1466&lt;=50000,"30k-50k",F1466&lt;=75000,"50k-75k",F1466&lt;=100000,"75k-100k",F1466&gt;100000,"100k")</f>
        <v>30k</v>
      </c>
      <c r="W1466" s="1">
        <f t="shared" si="45"/>
        <v>12</v>
      </c>
    </row>
    <row r="1467" spans="1:23" x14ac:dyDescent="0.35">
      <c r="A1467">
        <v>1464</v>
      </c>
      <c r="B1467">
        <v>5074</v>
      </c>
      <c r="C1467">
        <v>1986</v>
      </c>
      <c r="D1467" s="1" t="s">
        <v>15</v>
      </c>
      <c r="E1467" s="1" t="s">
        <v>14</v>
      </c>
      <c r="F1467">
        <v>28072</v>
      </c>
      <c r="G1467">
        <v>1</v>
      </c>
      <c r="H1467" s="2">
        <v>0</v>
      </c>
      <c r="I1467" s="2">
        <v>41463</v>
      </c>
      <c r="J1467">
        <v>10</v>
      </c>
      <c r="K1467">
        <f>VLOOKUP(B1467,purchase_dataset!$B$2:$F$2241,2,FALSE)</f>
        <v>0</v>
      </c>
      <c r="L1467">
        <f>VLOOKUP(B1467,purchase_dataset!$B$2:$F$2241,3,FALSE)</f>
        <v>0</v>
      </c>
      <c r="M1467">
        <f>VLOOKUP(B1467,purchase_dataset!$B$2:$F$2241,3,FALSE)</f>
        <v>0</v>
      </c>
      <c r="N1467">
        <f>VLOOKUP(B1467,purchase_dataset!$B$2:$F$2241,5,FALSE)</f>
        <v>3</v>
      </c>
      <c r="O1467" s="5">
        <v>40</v>
      </c>
      <c r="P1467" s="4" t="str">
        <f t="shared" si="44"/>
        <v>30-50</v>
      </c>
      <c r="Q1467" s="4">
        <f>M1467+N1467</f>
        <v>3</v>
      </c>
      <c r="U1467" s="28" t="str" cm="1">
        <f t="array" ref="U1467">_xlfn.IFS(F1467&lt;30000,"30k",F1467&lt;=50000,"30k-50k",F1467&lt;=75000,"50k-75k",F1467&lt;=100000,"75k-100k",F1467&gt;100000,"100k")</f>
        <v>30k</v>
      </c>
      <c r="W1467" s="1">
        <f t="shared" si="45"/>
        <v>13</v>
      </c>
    </row>
    <row r="1468" spans="1:23" x14ac:dyDescent="0.35">
      <c r="A1468">
        <v>1465</v>
      </c>
      <c r="B1468">
        <v>10524</v>
      </c>
      <c r="C1468">
        <v>1963</v>
      </c>
      <c r="D1468" s="1" t="s">
        <v>15</v>
      </c>
      <c r="E1468" s="1" t="s">
        <v>16</v>
      </c>
      <c r="F1468">
        <v>49476</v>
      </c>
      <c r="G1468">
        <v>0</v>
      </c>
      <c r="H1468" s="2">
        <v>1</v>
      </c>
      <c r="I1468" s="2">
        <v>41445</v>
      </c>
      <c r="J1468">
        <v>29</v>
      </c>
      <c r="K1468">
        <f>VLOOKUP(B1468,purchase_dataset!$B$2:$F$2241,2,FALSE)</f>
        <v>23</v>
      </c>
      <c r="L1468">
        <f>VLOOKUP(B1468,purchase_dataset!$B$2:$F$2241,3,FALSE)</f>
        <v>41</v>
      </c>
      <c r="M1468">
        <f>VLOOKUP(B1468,purchase_dataset!$B$2:$F$2241,3,FALSE)</f>
        <v>41</v>
      </c>
      <c r="N1468">
        <f>VLOOKUP(B1468,purchase_dataset!$B$2:$F$2241,5,FALSE)</f>
        <v>5</v>
      </c>
      <c r="O1468" s="5">
        <v>63</v>
      </c>
      <c r="P1468" s="4" t="str">
        <f t="shared" si="44"/>
        <v>&gt;50</v>
      </c>
      <c r="Q1468" s="4">
        <f>M1468+N1468</f>
        <v>46</v>
      </c>
      <c r="U1468" s="28" t="str" cm="1">
        <f t="array" ref="U1468">_xlfn.IFS(F1468&lt;30000,"30k",F1468&lt;=50000,"30k-50k",F1468&lt;=75000,"50k-75k",F1468&lt;=100000,"75k-100k",F1468&gt;100000,"100k")</f>
        <v>30k-50k</v>
      </c>
      <c r="W1468" s="1">
        <f t="shared" si="45"/>
        <v>13</v>
      </c>
    </row>
    <row r="1469" spans="1:23" x14ac:dyDescent="0.35">
      <c r="A1469">
        <v>1466</v>
      </c>
      <c r="B1469">
        <v>4690</v>
      </c>
      <c r="C1469">
        <v>1953</v>
      </c>
      <c r="D1469" s="1" t="s">
        <v>10</v>
      </c>
      <c r="E1469" s="1" t="s">
        <v>14</v>
      </c>
      <c r="F1469">
        <v>50725</v>
      </c>
      <c r="G1469">
        <v>0</v>
      </c>
      <c r="H1469" s="2">
        <v>1</v>
      </c>
      <c r="I1469" s="2">
        <v>41318</v>
      </c>
      <c r="J1469">
        <v>45</v>
      </c>
      <c r="K1469">
        <f>VLOOKUP(B1469,purchase_dataset!$B$2:$F$2241,2,FALSE)</f>
        <v>10</v>
      </c>
      <c r="L1469">
        <f>VLOOKUP(B1469,purchase_dataset!$B$2:$F$2241,3,FALSE)</f>
        <v>10</v>
      </c>
      <c r="M1469">
        <f>VLOOKUP(B1469,purchase_dataset!$B$2:$F$2241,3,FALSE)</f>
        <v>10</v>
      </c>
      <c r="N1469">
        <f>VLOOKUP(B1469,purchase_dataset!$B$2:$F$2241,5,FALSE)</f>
        <v>8</v>
      </c>
      <c r="O1469" s="5">
        <v>73</v>
      </c>
      <c r="P1469" s="4" t="str">
        <f t="shared" si="44"/>
        <v>&gt;50</v>
      </c>
      <c r="Q1469" s="4">
        <f>M1469+N1469</f>
        <v>18</v>
      </c>
      <c r="U1469" s="28" t="str" cm="1">
        <f t="array" ref="U1469">_xlfn.IFS(F1469&lt;30000,"30k",F1469&lt;=50000,"30k-50k",F1469&lt;=75000,"50k-75k",F1469&lt;=100000,"75k-100k",F1469&gt;100000,"100k")</f>
        <v>50k-75k</v>
      </c>
      <c r="W1469" s="1">
        <f t="shared" si="45"/>
        <v>13</v>
      </c>
    </row>
    <row r="1470" spans="1:23" x14ac:dyDescent="0.35">
      <c r="A1470">
        <v>1467</v>
      </c>
      <c r="B1470">
        <v>7521</v>
      </c>
      <c r="C1470">
        <v>1952</v>
      </c>
      <c r="D1470" s="1" t="s">
        <v>10</v>
      </c>
      <c r="E1470" s="1" t="s">
        <v>12</v>
      </c>
      <c r="F1470">
        <v>83844</v>
      </c>
      <c r="G1470">
        <v>0</v>
      </c>
      <c r="H1470" s="2">
        <v>0</v>
      </c>
      <c r="I1470" s="2">
        <v>41406</v>
      </c>
      <c r="J1470">
        <v>57</v>
      </c>
      <c r="K1470">
        <f>VLOOKUP(B1470,purchase_dataset!$B$2:$F$2241,2,FALSE)</f>
        <v>31</v>
      </c>
      <c r="L1470">
        <f>VLOOKUP(B1470,purchase_dataset!$B$2:$F$2241,3,FALSE)</f>
        <v>31</v>
      </c>
      <c r="M1470">
        <f>VLOOKUP(B1470,purchase_dataset!$B$2:$F$2241,3,FALSE)</f>
        <v>31</v>
      </c>
      <c r="N1470">
        <f>VLOOKUP(B1470,purchase_dataset!$B$2:$F$2241,5,FALSE)</f>
        <v>11</v>
      </c>
      <c r="O1470" s="5">
        <v>74</v>
      </c>
      <c r="P1470" s="4" t="str">
        <f t="shared" si="44"/>
        <v>&gt;50</v>
      </c>
      <c r="Q1470" s="4">
        <f>M1470+N1470</f>
        <v>42</v>
      </c>
      <c r="U1470" s="28" t="str" cm="1">
        <f t="array" ref="U1470">_xlfn.IFS(F1470&lt;30000,"30k",F1470&lt;=50000,"30k-50k",F1470&lt;=75000,"50k-75k",F1470&lt;=100000,"75k-100k",F1470&gt;100000,"100k")</f>
        <v>75k-100k</v>
      </c>
      <c r="W1470" s="1">
        <f t="shared" si="45"/>
        <v>13</v>
      </c>
    </row>
    <row r="1471" spans="1:23" x14ac:dyDescent="0.35">
      <c r="A1471">
        <v>1468</v>
      </c>
      <c r="B1471">
        <v>7196</v>
      </c>
      <c r="C1471">
        <v>1950</v>
      </c>
      <c r="D1471" s="1" t="s">
        <v>13</v>
      </c>
      <c r="E1471" s="1" t="s">
        <v>14</v>
      </c>
      <c r="F1471">
        <v>41145</v>
      </c>
      <c r="G1471">
        <v>1</v>
      </c>
      <c r="H1471" s="2">
        <v>1</v>
      </c>
      <c r="I1471" s="2">
        <v>41678</v>
      </c>
      <c r="J1471">
        <v>20</v>
      </c>
      <c r="K1471">
        <f>VLOOKUP(B1471,purchase_dataset!$B$2:$F$2241,2,FALSE)</f>
        <v>0</v>
      </c>
      <c r="L1471">
        <f>VLOOKUP(B1471,purchase_dataset!$B$2:$F$2241,3,FALSE)</f>
        <v>0</v>
      </c>
      <c r="M1471">
        <f>VLOOKUP(B1471,purchase_dataset!$B$2:$F$2241,3,FALSE)</f>
        <v>0</v>
      </c>
      <c r="N1471">
        <f>VLOOKUP(B1471,purchase_dataset!$B$2:$F$2241,5,FALSE)</f>
        <v>3</v>
      </c>
      <c r="O1471" s="5">
        <v>76</v>
      </c>
      <c r="P1471" s="4" t="str">
        <f t="shared" si="44"/>
        <v>&gt;50</v>
      </c>
      <c r="Q1471" s="4">
        <f>M1471+N1471</f>
        <v>3</v>
      </c>
      <c r="U1471" s="28" t="str" cm="1">
        <f t="array" ref="U1471">_xlfn.IFS(F1471&lt;30000,"30k",F1471&lt;=50000,"30k-50k",F1471&lt;=75000,"50k-75k",F1471&lt;=100000,"75k-100k",F1471&gt;100000,"100k")</f>
        <v>30k-50k</v>
      </c>
      <c r="W1471" s="1">
        <f t="shared" si="45"/>
        <v>12</v>
      </c>
    </row>
    <row r="1472" spans="1:23" x14ac:dyDescent="0.35">
      <c r="A1472">
        <v>1469</v>
      </c>
      <c r="B1472">
        <v>4406</v>
      </c>
      <c r="C1472">
        <v>1970</v>
      </c>
      <c r="D1472" s="1" t="s">
        <v>10</v>
      </c>
      <c r="E1472" s="1" t="s">
        <v>12</v>
      </c>
      <c r="F1472">
        <v>67419</v>
      </c>
      <c r="G1472">
        <v>0</v>
      </c>
      <c r="H1472" s="2">
        <v>1</v>
      </c>
      <c r="I1472" s="2">
        <v>41290</v>
      </c>
      <c r="J1472">
        <v>29</v>
      </c>
      <c r="K1472">
        <f>VLOOKUP(B1472,purchase_dataset!$B$2:$F$2241,2,FALSE)</f>
        <v>84</v>
      </c>
      <c r="L1472">
        <f>VLOOKUP(B1472,purchase_dataset!$B$2:$F$2241,3,FALSE)</f>
        <v>56</v>
      </c>
      <c r="M1472">
        <f>VLOOKUP(B1472,purchase_dataset!$B$2:$F$2241,3,FALSE)</f>
        <v>56</v>
      </c>
      <c r="N1472">
        <f>VLOOKUP(B1472,purchase_dataset!$B$2:$F$2241,5,FALSE)</f>
        <v>8</v>
      </c>
      <c r="O1472" s="5">
        <v>56</v>
      </c>
      <c r="P1472" s="4" t="str">
        <f t="shared" si="44"/>
        <v>&gt;50</v>
      </c>
      <c r="Q1472" s="4">
        <f>M1472+N1472</f>
        <v>64</v>
      </c>
      <c r="U1472" s="28" t="str" cm="1">
        <f t="array" ref="U1472">_xlfn.IFS(F1472&lt;30000,"30k",F1472&lt;=50000,"30k-50k",F1472&lt;=75000,"50k-75k",F1472&lt;=100000,"75k-100k",F1472&gt;100000,"100k")</f>
        <v>50k-75k</v>
      </c>
      <c r="W1472" s="1">
        <f t="shared" si="45"/>
        <v>13</v>
      </c>
    </row>
    <row r="1473" spans="1:23" x14ac:dyDescent="0.35">
      <c r="A1473">
        <v>1470</v>
      </c>
      <c r="B1473">
        <v>9672</v>
      </c>
      <c r="C1473">
        <v>1970</v>
      </c>
      <c r="D1473" s="1" t="s">
        <v>18</v>
      </c>
      <c r="E1473" s="1" t="s">
        <v>14</v>
      </c>
      <c r="F1473">
        <v>23162</v>
      </c>
      <c r="G1473">
        <v>1</v>
      </c>
      <c r="H1473" s="2">
        <v>1</v>
      </c>
      <c r="I1473" s="2">
        <v>41629</v>
      </c>
      <c r="J1473">
        <v>82</v>
      </c>
      <c r="K1473">
        <f>VLOOKUP(B1473,purchase_dataset!$B$2:$F$2241,2,FALSE)</f>
        <v>3</v>
      </c>
      <c r="L1473">
        <f>VLOOKUP(B1473,purchase_dataset!$B$2:$F$2241,3,FALSE)</f>
        <v>4</v>
      </c>
      <c r="M1473">
        <f>VLOOKUP(B1473,purchase_dataset!$B$2:$F$2241,3,FALSE)</f>
        <v>4</v>
      </c>
      <c r="N1473">
        <f>VLOOKUP(B1473,purchase_dataset!$B$2:$F$2241,5,FALSE)</f>
        <v>3</v>
      </c>
      <c r="O1473" s="5">
        <v>56</v>
      </c>
      <c r="P1473" s="4" t="str">
        <f t="shared" si="44"/>
        <v>&gt;50</v>
      </c>
      <c r="Q1473" s="4">
        <f>M1473+N1473</f>
        <v>7</v>
      </c>
      <c r="U1473" s="28" t="str" cm="1">
        <f t="array" ref="U1473">_xlfn.IFS(F1473&lt;30000,"30k",F1473&lt;=50000,"30k-50k",F1473&lt;=75000,"50k-75k",F1473&lt;=100000,"75k-100k",F1473&gt;100000,"100k")</f>
        <v>30k</v>
      </c>
      <c r="W1473" s="1">
        <f t="shared" si="45"/>
        <v>13</v>
      </c>
    </row>
    <row r="1474" spans="1:23" x14ac:dyDescent="0.35">
      <c r="A1474">
        <v>1471</v>
      </c>
      <c r="B1474">
        <v>4864</v>
      </c>
      <c r="C1474">
        <v>1977</v>
      </c>
      <c r="D1474" s="1" t="s">
        <v>10</v>
      </c>
      <c r="E1474" s="1" t="s">
        <v>14</v>
      </c>
      <c r="F1474">
        <v>34380</v>
      </c>
      <c r="G1474">
        <v>1</v>
      </c>
      <c r="H1474" s="2">
        <v>0</v>
      </c>
      <c r="I1474" s="2">
        <v>41396</v>
      </c>
      <c r="J1474">
        <v>68</v>
      </c>
      <c r="K1474">
        <f>VLOOKUP(B1474,purchase_dataset!$B$2:$F$2241,2,FALSE)</f>
        <v>7</v>
      </c>
      <c r="L1474">
        <f>VLOOKUP(B1474,purchase_dataset!$B$2:$F$2241,3,FALSE)</f>
        <v>1</v>
      </c>
      <c r="M1474">
        <f>VLOOKUP(B1474,purchase_dataset!$B$2:$F$2241,3,FALSE)</f>
        <v>1</v>
      </c>
      <c r="N1474">
        <f>VLOOKUP(B1474,purchase_dataset!$B$2:$F$2241,5,FALSE)</f>
        <v>3</v>
      </c>
      <c r="O1474" s="5">
        <v>49</v>
      </c>
      <c r="P1474" s="4" t="str">
        <f t="shared" si="44"/>
        <v>30-50</v>
      </c>
      <c r="Q1474" s="4">
        <f>M1474+N1474</f>
        <v>4</v>
      </c>
      <c r="U1474" s="28" t="str" cm="1">
        <f t="array" ref="U1474">_xlfn.IFS(F1474&lt;30000,"30k",F1474&lt;=50000,"30k-50k",F1474&lt;=75000,"50k-75k",F1474&lt;=100000,"75k-100k",F1474&gt;100000,"100k")</f>
        <v>30k-50k</v>
      </c>
      <c r="W1474" s="1">
        <f t="shared" si="45"/>
        <v>13</v>
      </c>
    </row>
    <row r="1475" spans="1:23" x14ac:dyDescent="0.35">
      <c r="A1475">
        <v>1472</v>
      </c>
      <c r="B1475">
        <v>4706</v>
      </c>
      <c r="C1475">
        <v>1966</v>
      </c>
      <c r="D1475" s="1" t="s">
        <v>10</v>
      </c>
      <c r="E1475" s="1" t="s">
        <v>11</v>
      </c>
      <c r="F1475">
        <v>34704</v>
      </c>
      <c r="G1475">
        <v>0</v>
      </c>
      <c r="H1475" s="2">
        <v>1</v>
      </c>
      <c r="I1475" s="2">
        <v>41391</v>
      </c>
      <c r="J1475">
        <v>65</v>
      </c>
      <c r="K1475">
        <f>VLOOKUP(B1475,purchase_dataset!$B$2:$F$2241,2,FALSE)</f>
        <v>0</v>
      </c>
      <c r="L1475">
        <f>VLOOKUP(B1475,purchase_dataset!$B$2:$F$2241,3,FALSE)</f>
        <v>1</v>
      </c>
      <c r="M1475">
        <f>VLOOKUP(B1475,purchase_dataset!$B$2:$F$2241,3,FALSE)</f>
        <v>1</v>
      </c>
      <c r="N1475">
        <f>VLOOKUP(B1475,purchase_dataset!$B$2:$F$2241,5,FALSE)</f>
        <v>3</v>
      </c>
      <c r="O1475" s="5">
        <v>60</v>
      </c>
      <c r="P1475" s="4" t="str">
        <f t="shared" si="44"/>
        <v>&gt;50</v>
      </c>
      <c r="Q1475" s="4">
        <f>M1475+N1475</f>
        <v>4</v>
      </c>
      <c r="U1475" s="28" t="str" cm="1">
        <f t="array" ref="U1475">_xlfn.IFS(F1475&lt;30000,"30k",F1475&lt;=50000,"30k-50k",F1475&lt;=75000,"50k-75k",F1475&lt;=100000,"75k-100k",F1475&gt;100000,"100k")</f>
        <v>30k-50k</v>
      </c>
      <c r="W1475" s="1">
        <f t="shared" si="45"/>
        <v>13</v>
      </c>
    </row>
    <row r="1476" spans="1:23" x14ac:dyDescent="0.35">
      <c r="A1476">
        <v>1473</v>
      </c>
      <c r="B1476">
        <v>4070</v>
      </c>
      <c r="C1476">
        <v>1969</v>
      </c>
      <c r="D1476" s="1" t="s">
        <v>13</v>
      </c>
      <c r="E1476" s="1" t="s">
        <v>14</v>
      </c>
      <c r="F1476">
        <v>94871</v>
      </c>
      <c r="G1476">
        <v>0</v>
      </c>
      <c r="H1476" s="2">
        <v>2</v>
      </c>
      <c r="I1476" s="2">
        <v>41153</v>
      </c>
      <c r="J1476">
        <v>99</v>
      </c>
      <c r="K1476">
        <f>VLOOKUP(B1476,purchase_dataset!$B$2:$F$2241,2,FALSE)</f>
        <v>24</v>
      </c>
      <c r="L1476">
        <f>VLOOKUP(B1476,purchase_dataset!$B$2:$F$2241,3,FALSE)</f>
        <v>0</v>
      </c>
      <c r="M1476">
        <f>VLOOKUP(B1476,purchase_dataset!$B$2:$F$2241,3,FALSE)</f>
        <v>0</v>
      </c>
      <c r="N1476">
        <f>VLOOKUP(B1476,purchase_dataset!$B$2:$F$2241,5,FALSE)</f>
        <v>4</v>
      </c>
      <c r="O1476" s="5">
        <v>57</v>
      </c>
      <c r="P1476" s="4" t="str">
        <f t="shared" ref="P1476:P1539" si="46">IF(O1476&lt;30,"30",IF(O1476&lt;=50,"30-50","&gt;50"))</f>
        <v>&gt;50</v>
      </c>
      <c r="Q1476" s="4">
        <f>M1476+N1476</f>
        <v>4</v>
      </c>
      <c r="U1476" s="28" t="str" cm="1">
        <f t="array" ref="U1476">_xlfn.IFS(F1476&lt;30000,"30k",F1476&lt;=50000,"30k-50k",F1476&lt;=75000,"50k-75k",F1476&lt;=100000,"75k-100k",F1476&gt;100000,"100k")</f>
        <v>75k-100k</v>
      </c>
      <c r="W1476" s="1">
        <f t="shared" ref="W1476:W1539" si="47">2026-YEAR(I1476)</f>
        <v>14</v>
      </c>
    </row>
    <row r="1477" spans="1:23" x14ac:dyDescent="0.35">
      <c r="A1477">
        <v>1474</v>
      </c>
      <c r="B1477">
        <v>25</v>
      </c>
      <c r="C1477">
        <v>1958</v>
      </c>
      <c r="D1477" s="1" t="s">
        <v>10</v>
      </c>
      <c r="E1477" s="1" t="s">
        <v>14</v>
      </c>
      <c r="F1477">
        <v>65148</v>
      </c>
      <c r="G1477">
        <v>0</v>
      </c>
      <c r="H1477" s="2">
        <v>1</v>
      </c>
      <c r="I1477" s="2">
        <v>41229</v>
      </c>
      <c r="J1477">
        <v>9</v>
      </c>
      <c r="K1477">
        <f>VLOOKUP(B1477,purchase_dataset!$B$2:$F$2241,2,FALSE)</f>
        <v>35</v>
      </c>
      <c r="L1477">
        <f>VLOOKUP(B1477,purchase_dataset!$B$2:$F$2241,3,FALSE)</f>
        <v>12</v>
      </c>
      <c r="M1477">
        <f>VLOOKUP(B1477,purchase_dataset!$B$2:$F$2241,3,FALSE)</f>
        <v>12</v>
      </c>
      <c r="N1477">
        <f>VLOOKUP(B1477,purchase_dataset!$B$2:$F$2241,5,FALSE)</f>
        <v>7</v>
      </c>
      <c r="O1477" s="5">
        <v>68</v>
      </c>
      <c r="P1477" s="4" t="str">
        <f t="shared" si="46"/>
        <v>&gt;50</v>
      </c>
      <c r="Q1477" s="4">
        <f>M1477+N1477</f>
        <v>19</v>
      </c>
      <c r="U1477" s="28" t="str" cm="1">
        <f t="array" ref="U1477">_xlfn.IFS(F1477&lt;30000,"30k",F1477&lt;=50000,"30k-50k",F1477&lt;=75000,"50k-75k",F1477&lt;=100000,"75k-100k",F1477&gt;100000,"100k")</f>
        <v>50k-75k</v>
      </c>
      <c r="W1477" s="1">
        <f t="shared" si="47"/>
        <v>14</v>
      </c>
    </row>
    <row r="1478" spans="1:23" x14ac:dyDescent="0.35">
      <c r="A1478">
        <v>1475</v>
      </c>
      <c r="B1478">
        <v>3697</v>
      </c>
      <c r="C1478">
        <v>1954</v>
      </c>
      <c r="D1478" s="1" t="s">
        <v>10</v>
      </c>
      <c r="E1478" s="1" t="s">
        <v>12</v>
      </c>
      <c r="F1478">
        <v>39898</v>
      </c>
      <c r="G1478">
        <v>0</v>
      </c>
      <c r="H1478" s="2">
        <v>1</v>
      </c>
      <c r="I1478" s="2">
        <v>41317</v>
      </c>
      <c r="J1478">
        <v>20</v>
      </c>
      <c r="K1478">
        <f>VLOOKUP(B1478,purchase_dataset!$B$2:$F$2241,2,FALSE)</f>
        <v>8</v>
      </c>
      <c r="L1478">
        <f>VLOOKUP(B1478,purchase_dataset!$B$2:$F$2241,3,FALSE)</f>
        <v>7</v>
      </c>
      <c r="M1478">
        <f>VLOOKUP(B1478,purchase_dataset!$B$2:$F$2241,3,FALSE)</f>
        <v>7</v>
      </c>
      <c r="N1478">
        <f>VLOOKUP(B1478,purchase_dataset!$B$2:$F$2241,5,FALSE)</f>
        <v>4</v>
      </c>
      <c r="O1478" s="5">
        <v>72</v>
      </c>
      <c r="P1478" s="4" t="str">
        <f t="shared" si="46"/>
        <v>&gt;50</v>
      </c>
      <c r="Q1478" s="4">
        <f>M1478+N1478</f>
        <v>11</v>
      </c>
      <c r="U1478" s="28" t="str" cm="1">
        <f t="array" ref="U1478">_xlfn.IFS(F1478&lt;30000,"30k",F1478&lt;=50000,"30k-50k",F1478&lt;=75000,"50k-75k",F1478&lt;=100000,"75k-100k",F1478&gt;100000,"100k")</f>
        <v>30k-50k</v>
      </c>
      <c r="W1478" s="1">
        <f t="shared" si="47"/>
        <v>13</v>
      </c>
    </row>
    <row r="1479" spans="1:23" x14ac:dyDescent="0.35">
      <c r="A1479">
        <v>1476</v>
      </c>
      <c r="B1479">
        <v>217</v>
      </c>
      <c r="C1479">
        <v>1956</v>
      </c>
      <c r="D1479" s="1" t="s">
        <v>15</v>
      </c>
      <c r="E1479" s="1" t="s">
        <v>11</v>
      </c>
      <c r="F1479">
        <v>64857</v>
      </c>
      <c r="G1479">
        <v>0</v>
      </c>
      <c r="H1479" s="2">
        <v>0</v>
      </c>
      <c r="I1479" s="2">
        <v>41236</v>
      </c>
      <c r="J1479">
        <v>78</v>
      </c>
      <c r="K1479">
        <f>VLOOKUP(B1479,purchase_dataset!$B$2:$F$2241,2,FALSE)</f>
        <v>14</v>
      </c>
      <c r="L1479">
        <f>VLOOKUP(B1479,purchase_dataset!$B$2:$F$2241,3,FALSE)</f>
        <v>0</v>
      </c>
      <c r="M1479">
        <f>VLOOKUP(B1479,purchase_dataset!$B$2:$F$2241,3,FALSE)</f>
        <v>0</v>
      </c>
      <c r="N1479">
        <f>VLOOKUP(B1479,purchase_dataset!$B$2:$F$2241,5,FALSE)</f>
        <v>10</v>
      </c>
      <c r="O1479" s="5">
        <v>70</v>
      </c>
      <c r="P1479" s="4" t="str">
        <f t="shared" si="46"/>
        <v>&gt;50</v>
      </c>
      <c r="Q1479" s="4">
        <f>M1479+N1479</f>
        <v>10</v>
      </c>
      <c r="U1479" s="28" t="str" cm="1">
        <f t="array" ref="U1479">_xlfn.IFS(F1479&lt;30000,"30k",F1479&lt;=50000,"30k-50k",F1479&lt;=75000,"50k-75k",F1479&lt;=100000,"75k-100k",F1479&gt;100000,"100k")</f>
        <v>50k-75k</v>
      </c>
      <c r="W1479" s="1">
        <f t="shared" si="47"/>
        <v>14</v>
      </c>
    </row>
    <row r="1480" spans="1:23" x14ac:dyDescent="0.35">
      <c r="A1480">
        <v>1477</v>
      </c>
      <c r="B1480">
        <v>4220</v>
      </c>
      <c r="C1480">
        <v>1970</v>
      </c>
      <c r="D1480" s="1" t="s">
        <v>13</v>
      </c>
      <c r="E1480" s="1" t="s">
        <v>14</v>
      </c>
      <c r="F1480">
        <v>59892</v>
      </c>
      <c r="G1480">
        <v>0</v>
      </c>
      <c r="H1480" s="2">
        <v>1</v>
      </c>
      <c r="I1480" s="2">
        <v>41580</v>
      </c>
      <c r="J1480">
        <v>26</v>
      </c>
      <c r="K1480">
        <f>VLOOKUP(B1480,purchase_dataset!$B$2:$F$2241,2,FALSE)</f>
        <v>0</v>
      </c>
      <c r="L1480">
        <f>VLOOKUP(B1480,purchase_dataset!$B$2:$F$2241,3,FALSE)</f>
        <v>1</v>
      </c>
      <c r="M1480">
        <f>VLOOKUP(B1480,purchase_dataset!$B$2:$F$2241,3,FALSE)</f>
        <v>1</v>
      </c>
      <c r="N1480">
        <f>VLOOKUP(B1480,purchase_dataset!$B$2:$F$2241,5,FALSE)</f>
        <v>3</v>
      </c>
      <c r="O1480" s="5">
        <v>56</v>
      </c>
      <c r="P1480" s="4" t="str">
        <f t="shared" si="46"/>
        <v>&gt;50</v>
      </c>
      <c r="Q1480" s="4">
        <f>M1480+N1480</f>
        <v>4</v>
      </c>
      <c r="U1480" s="28" t="str" cm="1">
        <f t="array" ref="U1480">_xlfn.IFS(F1480&lt;30000,"30k",F1480&lt;=50000,"30k-50k",F1480&lt;=75000,"50k-75k",F1480&lt;=100000,"75k-100k",F1480&gt;100000,"100k")</f>
        <v>50k-75k</v>
      </c>
      <c r="W1480" s="1">
        <f t="shared" si="47"/>
        <v>13</v>
      </c>
    </row>
    <row r="1481" spans="1:23" x14ac:dyDescent="0.35">
      <c r="A1481">
        <v>1478</v>
      </c>
      <c r="B1481">
        <v>5286</v>
      </c>
      <c r="C1481">
        <v>1987</v>
      </c>
      <c r="D1481" s="1" t="s">
        <v>15</v>
      </c>
      <c r="E1481" s="1" t="s">
        <v>11</v>
      </c>
      <c r="F1481">
        <v>41020</v>
      </c>
      <c r="G1481">
        <v>0</v>
      </c>
      <c r="H1481" s="2">
        <v>0</v>
      </c>
      <c r="I1481" s="2">
        <v>41575</v>
      </c>
      <c r="J1481">
        <v>68</v>
      </c>
      <c r="K1481">
        <f>VLOOKUP(B1481,purchase_dataset!$B$2:$F$2241,2,FALSE)</f>
        <v>1</v>
      </c>
      <c r="L1481">
        <f>VLOOKUP(B1481,purchase_dataset!$B$2:$F$2241,3,FALSE)</f>
        <v>7</v>
      </c>
      <c r="M1481">
        <f>VLOOKUP(B1481,purchase_dataset!$B$2:$F$2241,3,FALSE)</f>
        <v>7</v>
      </c>
      <c r="N1481">
        <f>VLOOKUP(B1481,purchase_dataset!$B$2:$F$2241,5,FALSE)</f>
        <v>4</v>
      </c>
      <c r="O1481" s="5">
        <v>39</v>
      </c>
      <c r="P1481" s="4" t="str">
        <f t="shared" si="46"/>
        <v>30-50</v>
      </c>
      <c r="Q1481" s="4">
        <f>M1481+N1481</f>
        <v>11</v>
      </c>
      <c r="U1481" s="28" t="str" cm="1">
        <f t="array" ref="U1481">_xlfn.IFS(F1481&lt;30000,"30k",F1481&lt;=50000,"30k-50k",F1481&lt;=75000,"50k-75k",F1481&lt;=100000,"75k-100k",F1481&gt;100000,"100k")</f>
        <v>30k-50k</v>
      </c>
      <c r="W1481" s="1">
        <f t="shared" si="47"/>
        <v>13</v>
      </c>
    </row>
    <row r="1482" spans="1:23" x14ac:dyDescent="0.35">
      <c r="A1482">
        <v>1479</v>
      </c>
      <c r="B1482">
        <v>9559</v>
      </c>
      <c r="C1482">
        <v>1961</v>
      </c>
      <c r="D1482" s="1" t="s">
        <v>13</v>
      </c>
      <c r="E1482" s="1" t="s">
        <v>14</v>
      </c>
      <c r="F1482">
        <v>57072</v>
      </c>
      <c r="G1482">
        <v>0</v>
      </c>
      <c r="H1482" s="2">
        <v>1</v>
      </c>
      <c r="I1482" s="2">
        <v>41663</v>
      </c>
      <c r="J1482">
        <v>79</v>
      </c>
      <c r="K1482">
        <f>VLOOKUP(B1482,purchase_dataset!$B$2:$F$2241,2,FALSE)</f>
        <v>0</v>
      </c>
      <c r="L1482">
        <f>VLOOKUP(B1482,purchase_dataset!$B$2:$F$2241,3,FALSE)</f>
        <v>0</v>
      </c>
      <c r="M1482">
        <f>VLOOKUP(B1482,purchase_dataset!$B$2:$F$2241,3,FALSE)</f>
        <v>0</v>
      </c>
      <c r="N1482">
        <f>VLOOKUP(B1482,purchase_dataset!$B$2:$F$2241,5,FALSE)</f>
        <v>13</v>
      </c>
      <c r="O1482" s="5">
        <v>65</v>
      </c>
      <c r="P1482" s="4" t="str">
        <f t="shared" si="46"/>
        <v>&gt;50</v>
      </c>
      <c r="Q1482" s="4">
        <f>M1482+N1482</f>
        <v>13</v>
      </c>
      <c r="U1482" s="28" t="str" cm="1">
        <f t="array" ref="U1482">_xlfn.IFS(F1482&lt;30000,"30k",F1482&lt;=50000,"30k-50k",F1482&lt;=75000,"50k-75k",F1482&lt;=100000,"75k-100k",F1482&gt;100000,"100k")</f>
        <v>50k-75k</v>
      </c>
      <c r="W1482" s="1">
        <f t="shared" si="47"/>
        <v>12</v>
      </c>
    </row>
    <row r="1483" spans="1:23" x14ac:dyDescent="0.35">
      <c r="A1483">
        <v>1480</v>
      </c>
      <c r="B1483">
        <v>2849</v>
      </c>
      <c r="C1483">
        <v>1979</v>
      </c>
      <c r="D1483" s="1" t="s">
        <v>10</v>
      </c>
      <c r="E1483" s="1" t="s">
        <v>11</v>
      </c>
      <c r="F1483">
        <v>60474</v>
      </c>
      <c r="G1483">
        <v>0</v>
      </c>
      <c r="H1483" s="2">
        <v>1</v>
      </c>
      <c r="I1483" s="2">
        <v>41365</v>
      </c>
      <c r="J1483">
        <v>25</v>
      </c>
      <c r="K1483">
        <f>VLOOKUP(B1483,purchase_dataset!$B$2:$F$2241,2,FALSE)</f>
        <v>199</v>
      </c>
      <c r="L1483">
        <f>VLOOKUP(B1483,purchase_dataset!$B$2:$F$2241,3,FALSE)</f>
        <v>9</v>
      </c>
      <c r="M1483">
        <f>VLOOKUP(B1483,purchase_dataset!$B$2:$F$2241,3,FALSE)</f>
        <v>9</v>
      </c>
      <c r="N1483">
        <f>VLOOKUP(B1483,purchase_dataset!$B$2:$F$2241,5,FALSE)</f>
        <v>12</v>
      </c>
      <c r="O1483" s="5">
        <v>47</v>
      </c>
      <c r="P1483" s="4" t="str">
        <f t="shared" si="46"/>
        <v>30-50</v>
      </c>
      <c r="Q1483" s="4">
        <f>M1483+N1483</f>
        <v>21</v>
      </c>
      <c r="U1483" s="28" t="str" cm="1">
        <f t="array" ref="U1483">_xlfn.IFS(F1483&lt;30000,"30k",F1483&lt;=50000,"30k-50k",F1483&lt;=75000,"50k-75k",F1483&lt;=100000,"75k-100k",F1483&gt;100000,"100k")</f>
        <v>50k-75k</v>
      </c>
      <c r="W1483" s="1">
        <f t="shared" si="47"/>
        <v>13</v>
      </c>
    </row>
    <row r="1484" spans="1:23" x14ac:dyDescent="0.35">
      <c r="A1484">
        <v>1481</v>
      </c>
      <c r="B1484">
        <v>7787</v>
      </c>
      <c r="C1484">
        <v>1960</v>
      </c>
      <c r="D1484" s="1" t="s">
        <v>10</v>
      </c>
      <c r="E1484" s="1" t="s">
        <v>12</v>
      </c>
      <c r="F1484">
        <v>62807</v>
      </c>
      <c r="G1484">
        <v>0</v>
      </c>
      <c r="H1484" s="2">
        <v>1</v>
      </c>
      <c r="I1484" s="2">
        <v>41152</v>
      </c>
      <c r="J1484">
        <v>83</v>
      </c>
      <c r="K1484">
        <f>VLOOKUP(B1484,purchase_dataset!$B$2:$F$2241,2,FALSE)</f>
        <v>28</v>
      </c>
      <c r="L1484">
        <f>VLOOKUP(B1484,purchase_dataset!$B$2:$F$2241,3,FALSE)</f>
        <v>21</v>
      </c>
      <c r="M1484">
        <f>VLOOKUP(B1484,purchase_dataset!$B$2:$F$2241,3,FALSE)</f>
        <v>21</v>
      </c>
      <c r="N1484">
        <f>VLOOKUP(B1484,purchase_dataset!$B$2:$F$2241,5,FALSE)</f>
        <v>12</v>
      </c>
      <c r="O1484" s="5">
        <v>66</v>
      </c>
      <c r="P1484" s="4" t="str">
        <f t="shared" si="46"/>
        <v>&gt;50</v>
      </c>
      <c r="Q1484" s="4">
        <f>M1484+N1484</f>
        <v>33</v>
      </c>
      <c r="U1484" s="28" t="str" cm="1">
        <f t="array" ref="U1484">_xlfn.IFS(F1484&lt;30000,"30k",F1484&lt;=50000,"30k-50k",F1484&lt;=75000,"50k-75k",F1484&lt;=100000,"75k-100k",F1484&gt;100000,"100k")</f>
        <v>50k-75k</v>
      </c>
      <c r="W1484" s="1">
        <f t="shared" si="47"/>
        <v>14</v>
      </c>
    </row>
    <row r="1485" spans="1:23" x14ac:dyDescent="0.35">
      <c r="A1485">
        <v>1482</v>
      </c>
      <c r="B1485">
        <v>3102</v>
      </c>
      <c r="C1485">
        <v>1981</v>
      </c>
      <c r="D1485" s="1" t="s">
        <v>18</v>
      </c>
      <c r="E1485" s="1" t="s">
        <v>12</v>
      </c>
      <c r="F1485">
        <v>19414</v>
      </c>
      <c r="G1485">
        <v>1</v>
      </c>
      <c r="H1485" s="2">
        <v>0</v>
      </c>
      <c r="I1485" s="2">
        <v>41563</v>
      </c>
      <c r="J1485">
        <v>32</v>
      </c>
      <c r="K1485">
        <f>VLOOKUP(B1485,purchase_dataset!$B$2:$F$2241,2,FALSE)</f>
        <v>3</v>
      </c>
      <c r="L1485">
        <f>VLOOKUP(B1485,purchase_dataset!$B$2:$F$2241,3,FALSE)</f>
        <v>5</v>
      </c>
      <c r="M1485">
        <f>VLOOKUP(B1485,purchase_dataset!$B$2:$F$2241,3,FALSE)</f>
        <v>5</v>
      </c>
      <c r="N1485">
        <f>VLOOKUP(B1485,purchase_dataset!$B$2:$F$2241,5,FALSE)</f>
        <v>3</v>
      </c>
      <c r="O1485" s="5">
        <v>45</v>
      </c>
      <c r="P1485" s="4" t="str">
        <f t="shared" si="46"/>
        <v>30-50</v>
      </c>
      <c r="Q1485" s="4">
        <f>M1485+N1485</f>
        <v>8</v>
      </c>
      <c r="U1485" s="28" t="str" cm="1">
        <f t="array" ref="U1485">_xlfn.IFS(F1485&lt;30000,"30k",F1485&lt;=50000,"30k-50k",F1485&lt;=75000,"50k-75k",F1485&lt;=100000,"75k-100k",F1485&gt;100000,"100k")</f>
        <v>30k</v>
      </c>
      <c r="W1485" s="1">
        <f t="shared" si="47"/>
        <v>13</v>
      </c>
    </row>
    <row r="1486" spans="1:23" x14ac:dyDescent="0.35">
      <c r="A1486">
        <v>1483</v>
      </c>
      <c r="B1486">
        <v>5868</v>
      </c>
      <c r="C1486">
        <v>1980</v>
      </c>
      <c r="D1486" s="1" t="s">
        <v>10</v>
      </c>
      <c r="E1486" s="1" t="s">
        <v>14</v>
      </c>
      <c r="F1486">
        <v>19107</v>
      </c>
      <c r="G1486">
        <v>1</v>
      </c>
      <c r="H1486" s="2">
        <v>0</v>
      </c>
      <c r="I1486" s="2">
        <v>41508</v>
      </c>
      <c r="J1486">
        <v>49</v>
      </c>
      <c r="K1486">
        <f>VLOOKUP(B1486,purchase_dataset!$B$2:$F$2241,2,FALSE)</f>
        <v>4</v>
      </c>
      <c r="L1486">
        <f>VLOOKUP(B1486,purchase_dataset!$B$2:$F$2241,3,FALSE)</f>
        <v>5</v>
      </c>
      <c r="M1486">
        <f>VLOOKUP(B1486,purchase_dataset!$B$2:$F$2241,3,FALSE)</f>
        <v>5</v>
      </c>
      <c r="N1486">
        <f>VLOOKUP(B1486,purchase_dataset!$B$2:$F$2241,5,FALSE)</f>
        <v>3</v>
      </c>
      <c r="O1486" s="5">
        <v>46</v>
      </c>
      <c r="P1486" s="4" t="str">
        <f t="shared" si="46"/>
        <v>30-50</v>
      </c>
      <c r="Q1486" s="4">
        <f>M1486+N1486</f>
        <v>8</v>
      </c>
      <c r="U1486" s="28" t="str" cm="1">
        <f t="array" ref="U1486">_xlfn.IFS(F1486&lt;30000,"30k",F1486&lt;=50000,"30k-50k",F1486&lt;=75000,"50k-75k",F1486&lt;=100000,"75k-100k",F1486&gt;100000,"100k")</f>
        <v>30k</v>
      </c>
      <c r="W1486" s="1">
        <f t="shared" si="47"/>
        <v>13</v>
      </c>
    </row>
    <row r="1487" spans="1:23" x14ac:dyDescent="0.35">
      <c r="A1487">
        <v>1484</v>
      </c>
      <c r="B1487">
        <v>8370</v>
      </c>
      <c r="C1487">
        <v>1976</v>
      </c>
      <c r="D1487" s="1" t="s">
        <v>18</v>
      </c>
      <c r="E1487" s="1" t="s">
        <v>12</v>
      </c>
      <c r="F1487">
        <v>75484</v>
      </c>
      <c r="G1487">
        <v>0</v>
      </c>
      <c r="H1487" s="2">
        <v>1</v>
      </c>
      <c r="I1487" s="2">
        <v>41123</v>
      </c>
      <c r="J1487">
        <v>50</v>
      </c>
      <c r="K1487">
        <f>VLOOKUP(B1487,purchase_dataset!$B$2:$F$2241,2,FALSE)</f>
        <v>97</v>
      </c>
      <c r="L1487">
        <f>VLOOKUP(B1487,purchase_dataset!$B$2:$F$2241,3,FALSE)</f>
        <v>194</v>
      </c>
      <c r="M1487">
        <f>VLOOKUP(B1487,purchase_dataset!$B$2:$F$2241,3,FALSE)</f>
        <v>194</v>
      </c>
      <c r="N1487">
        <f>VLOOKUP(B1487,purchase_dataset!$B$2:$F$2241,5,FALSE)</f>
        <v>6</v>
      </c>
      <c r="O1487" s="5">
        <v>50</v>
      </c>
      <c r="P1487" s="4" t="str">
        <f t="shared" si="46"/>
        <v>30-50</v>
      </c>
      <c r="Q1487" s="4">
        <f>M1487+N1487</f>
        <v>200</v>
      </c>
      <c r="U1487" s="28" t="str" cm="1">
        <f t="array" ref="U1487">_xlfn.IFS(F1487&lt;30000,"30k",F1487&lt;=50000,"30k-50k",F1487&lt;=75000,"50k-75k",F1487&lt;=100000,"75k-100k",F1487&gt;100000,"100k")</f>
        <v>75k-100k</v>
      </c>
      <c r="W1487" s="1">
        <f t="shared" si="47"/>
        <v>14</v>
      </c>
    </row>
    <row r="1488" spans="1:23" x14ac:dyDescent="0.35">
      <c r="A1488">
        <v>1485</v>
      </c>
      <c r="B1488">
        <v>9988</v>
      </c>
      <c r="C1488">
        <v>1976</v>
      </c>
      <c r="D1488" s="1" t="s">
        <v>15</v>
      </c>
      <c r="E1488" s="1" t="s">
        <v>11</v>
      </c>
      <c r="F1488">
        <v>70379</v>
      </c>
      <c r="G1488">
        <v>0</v>
      </c>
      <c r="H1488" s="2">
        <v>1</v>
      </c>
      <c r="I1488" s="2">
        <v>41336</v>
      </c>
      <c r="J1488">
        <v>84</v>
      </c>
      <c r="K1488">
        <f>VLOOKUP(B1488,purchase_dataset!$B$2:$F$2241,2,FALSE)</f>
        <v>25</v>
      </c>
      <c r="L1488">
        <f>VLOOKUP(B1488,purchase_dataset!$B$2:$F$2241,3,FALSE)</f>
        <v>67</v>
      </c>
      <c r="M1488">
        <f>VLOOKUP(B1488,purchase_dataset!$B$2:$F$2241,3,FALSE)</f>
        <v>67</v>
      </c>
      <c r="N1488">
        <f>VLOOKUP(B1488,purchase_dataset!$B$2:$F$2241,5,FALSE)</f>
        <v>13</v>
      </c>
      <c r="O1488" s="5">
        <v>50</v>
      </c>
      <c r="P1488" s="4" t="str">
        <f t="shared" si="46"/>
        <v>30-50</v>
      </c>
      <c r="Q1488" s="4">
        <f>M1488+N1488</f>
        <v>80</v>
      </c>
      <c r="U1488" s="28" t="str" cm="1">
        <f t="array" ref="U1488">_xlfn.IFS(F1488&lt;30000,"30k",F1488&lt;=50000,"30k-50k",F1488&lt;=75000,"50k-75k",F1488&lt;=100000,"75k-100k",F1488&gt;100000,"100k")</f>
        <v>50k-75k</v>
      </c>
      <c r="W1488" s="1">
        <f t="shared" si="47"/>
        <v>13</v>
      </c>
    </row>
    <row r="1489" spans="1:23" x14ac:dyDescent="0.35">
      <c r="A1489">
        <v>1486</v>
      </c>
      <c r="B1489">
        <v>2939</v>
      </c>
      <c r="C1489">
        <v>1970</v>
      </c>
      <c r="D1489" s="1" t="s">
        <v>15</v>
      </c>
      <c r="E1489" s="1" t="s">
        <v>12</v>
      </c>
      <c r="F1489">
        <v>79419</v>
      </c>
      <c r="G1489">
        <v>0</v>
      </c>
      <c r="H1489" s="2">
        <v>0</v>
      </c>
      <c r="I1489" s="2">
        <v>41812</v>
      </c>
      <c r="J1489">
        <v>96</v>
      </c>
      <c r="K1489">
        <f>VLOOKUP(B1489,purchase_dataset!$B$2:$F$2241,2,FALSE)</f>
        <v>127</v>
      </c>
      <c r="L1489">
        <f>VLOOKUP(B1489,purchase_dataset!$B$2:$F$2241,3,FALSE)</f>
        <v>15</v>
      </c>
      <c r="M1489">
        <f>VLOOKUP(B1489,purchase_dataset!$B$2:$F$2241,3,FALSE)</f>
        <v>15</v>
      </c>
      <c r="N1489">
        <f>VLOOKUP(B1489,purchase_dataset!$B$2:$F$2241,5,FALSE)</f>
        <v>4</v>
      </c>
      <c r="O1489" s="5">
        <v>56</v>
      </c>
      <c r="P1489" s="4" t="str">
        <f t="shared" si="46"/>
        <v>&gt;50</v>
      </c>
      <c r="Q1489" s="4">
        <f>M1489+N1489</f>
        <v>19</v>
      </c>
      <c r="U1489" s="28" t="str" cm="1">
        <f t="array" ref="U1489">_xlfn.IFS(F1489&lt;30000,"30k",F1489&lt;=50000,"30k-50k",F1489&lt;=75000,"50k-75k",F1489&lt;=100000,"75k-100k",F1489&gt;100000,"100k")</f>
        <v>75k-100k</v>
      </c>
      <c r="W1489" s="1">
        <f t="shared" si="47"/>
        <v>12</v>
      </c>
    </row>
    <row r="1490" spans="1:23" x14ac:dyDescent="0.35">
      <c r="A1490">
        <v>1487</v>
      </c>
      <c r="B1490">
        <v>5529</v>
      </c>
      <c r="C1490">
        <v>1946</v>
      </c>
      <c r="D1490" s="1" t="s">
        <v>13</v>
      </c>
      <c r="E1490" s="1" t="s">
        <v>12</v>
      </c>
      <c r="F1490">
        <v>64014</v>
      </c>
      <c r="G1490">
        <v>2</v>
      </c>
      <c r="H1490" s="2">
        <v>1</v>
      </c>
      <c r="I1490" s="2">
        <v>41800</v>
      </c>
      <c r="J1490">
        <v>56</v>
      </c>
      <c r="K1490">
        <f>VLOOKUP(B1490,purchase_dataset!$B$2:$F$2241,2,FALSE)</f>
        <v>0</v>
      </c>
      <c r="L1490">
        <f>VLOOKUP(B1490,purchase_dataset!$B$2:$F$2241,3,FALSE)</f>
        <v>0</v>
      </c>
      <c r="M1490">
        <f>VLOOKUP(B1490,purchase_dataset!$B$2:$F$2241,3,FALSE)</f>
        <v>0</v>
      </c>
      <c r="N1490">
        <f>VLOOKUP(B1490,purchase_dataset!$B$2:$F$2241,5,FALSE)</f>
        <v>5</v>
      </c>
      <c r="O1490" s="5">
        <v>80</v>
      </c>
      <c r="P1490" s="4" t="str">
        <f t="shared" si="46"/>
        <v>&gt;50</v>
      </c>
      <c r="Q1490" s="4">
        <f>M1490+N1490</f>
        <v>5</v>
      </c>
      <c r="U1490" s="28" t="str" cm="1">
        <f t="array" ref="U1490">_xlfn.IFS(F1490&lt;30000,"30k",F1490&lt;=50000,"30k-50k",F1490&lt;=75000,"50k-75k",F1490&lt;=100000,"75k-100k",F1490&gt;100000,"100k")</f>
        <v>50k-75k</v>
      </c>
      <c r="W1490" s="1">
        <f t="shared" si="47"/>
        <v>12</v>
      </c>
    </row>
    <row r="1491" spans="1:23" x14ac:dyDescent="0.35">
      <c r="A1491">
        <v>1488</v>
      </c>
      <c r="B1491">
        <v>9743</v>
      </c>
      <c r="C1491">
        <v>1955</v>
      </c>
      <c r="D1491" s="1" t="s">
        <v>10</v>
      </c>
      <c r="E1491" s="1" t="s">
        <v>14</v>
      </c>
      <c r="F1491">
        <v>76998</v>
      </c>
      <c r="G1491">
        <v>0</v>
      </c>
      <c r="H1491" s="2">
        <v>1</v>
      </c>
      <c r="I1491" s="2">
        <v>41285</v>
      </c>
      <c r="J1491">
        <v>85</v>
      </c>
      <c r="K1491">
        <f>VLOOKUP(B1491,purchase_dataset!$B$2:$F$2241,2,FALSE)</f>
        <v>89</v>
      </c>
      <c r="L1491">
        <f>VLOOKUP(B1491,purchase_dataset!$B$2:$F$2241,3,FALSE)</f>
        <v>35</v>
      </c>
      <c r="M1491">
        <f>VLOOKUP(B1491,purchase_dataset!$B$2:$F$2241,3,FALSE)</f>
        <v>35</v>
      </c>
      <c r="N1491">
        <f>VLOOKUP(B1491,purchase_dataset!$B$2:$F$2241,5,FALSE)</f>
        <v>8</v>
      </c>
      <c r="O1491" s="5">
        <v>71</v>
      </c>
      <c r="P1491" s="4" t="str">
        <f t="shared" si="46"/>
        <v>&gt;50</v>
      </c>
      <c r="Q1491" s="4">
        <f>M1491+N1491</f>
        <v>43</v>
      </c>
      <c r="U1491" s="28" t="str" cm="1">
        <f t="array" ref="U1491">_xlfn.IFS(F1491&lt;30000,"30k",F1491&lt;=50000,"30k-50k",F1491&lt;=75000,"50k-75k",F1491&lt;=100000,"75k-100k",F1491&gt;100000,"100k")</f>
        <v>75k-100k</v>
      </c>
      <c r="W1491" s="1">
        <f t="shared" si="47"/>
        <v>13</v>
      </c>
    </row>
    <row r="1492" spans="1:23" x14ac:dyDescent="0.35">
      <c r="A1492">
        <v>1489</v>
      </c>
      <c r="B1492">
        <v>5763</v>
      </c>
      <c r="C1492">
        <v>1972</v>
      </c>
      <c r="D1492" s="1" t="s">
        <v>15</v>
      </c>
      <c r="E1492" s="1" t="s">
        <v>12</v>
      </c>
      <c r="F1492">
        <v>49854</v>
      </c>
      <c r="G1492">
        <v>1</v>
      </c>
      <c r="H1492" s="2">
        <v>0</v>
      </c>
      <c r="I1492" s="2">
        <v>41588</v>
      </c>
      <c r="J1492">
        <v>63</v>
      </c>
      <c r="K1492">
        <f>VLOOKUP(B1492,purchase_dataset!$B$2:$F$2241,2,FALSE)</f>
        <v>17</v>
      </c>
      <c r="L1492">
        <f>VLOOKUP(B1492,purchase_dataset!$B$2:$F$2241,3,FALSE)</f>
        <v>0</v>
      </c>
      <c r="M1492">
        <f>VLOOKUP(B1492,purchase_dataset!$B$2:$F$2241,3,FALSE)</f>
        <v>0</v>
      </c>
      <c r="N1492">
        <f>VLOOKUP(B1492,purchase_dataset!$B$2:$F$2241,5,FALSE)</f>
        <v>5</v>
      </c>
      <c r="O1492" s="5">
        <v>54</v>
      </c>
      <c r="P1492" s="4" t="str">
        <f t="shared" si="46"/>
        <v>&gt;50</v>
      </c>
      <c r="Q1492" s="4">
        <f>M1492+N1492</f>
        <v>5</v>
      </c>
      <c r="U1492" s="28" t="str" cm="1">
        <f t="array" ref="U1492">_xlfn.IFS(F1492&lt;30000,"30k",F1492&lt;=50000,"30k-50k",F1492&lt;=75000,"50k-75k",F1492&lt;=100000,"75k-100k",F1492&gt;100000,"100k")</f>
        <v>30k-50k</v>
      </c>
      <c r="W1492" s="1">
        <f t="shared" si="47"/>
        <v>13</v>
      </c>
    </row>
    <row r="1493" spans="1:23" x14ac:dyDescent="0.35">
      <c r="A1493">
        <v>1490</v>
      </c>
      <c r="B1493">
        <v>3478</v>
      </c>
      <c r="C1493">
        <v>1971</v>
      </c>
      <c r="D1493" s="1" t="s">
        <v>13</v>
      </c>
      <c r="E1493" s="1" t="s">
        <v>14</v>
      </c>
      <c r="F1493">
        <v>60585</v>
      </c>
      <c r="G1493">
        <v>1</v>
      </c>
      <c r="H1493" s="2">
        <v>1</v>
      </c>
      <c r="I1493" s="2">
        <v>41449</v>
      </c>
      <c r="J1493">
        <v>17</v>
      </c>
      <c r="K1493">
        <f>VLOOKUP(B1493,purchase_dataset!$B$2:$F$2241,2,FALSE)</f>
        <v>42</v>
      </c>
      <c r="L1493">
        <f>VLOOKUP(B1493,purchase_dataset!$B$2:$F$2241,3,FALSE)</f>
        <v>42</v>
      </c>
      <c r="M1493">
        <f>VLOOKUP(B1493,purchase_dataset!$B$2:$F$2241,3,FALSE)</f>
        <v>42</v>
      </c>
      <c r="N1493">
        <f>VLOOKUP(B1493,purchase_dataset!$B$2:$F$2241,5,FALSE)</f>
        <v>9</v>
      </c>
      <c r="O1493" s="5">
        <v>55</v>
      </c>
      <c r="P1493" s="4" t="str">
        <f t="shared" si="46"/>
        <v>&gt;50</v>
      </c>
      <c r="Q1493" s="4">
        <f>M1493+N1493</f>
        <v>51</v>
      </c>
      <c r="U1493" s="28" t="str" cm="1">
        <f t="array" ref="U1493">_xlfn.IFS(F1493&lt;30000,"30k",F1493&lt;=50000,"30k-50k",F1493&lt;=75000,"50k-75k",F1493&lt;=100000,"75k-100k",F1493&gt;100000,"100k")</f>
        <v>50k-75k</v>
      </c>
      <c r="W1493" s="1">
        <f t="shared" si="47"/>
        <v>13</v>
      </c>
    </row>
    <row r="1494" spans="1:23" x14ac:dyDescent="0.35">
      <c r="A1494">
        <v>1491</v>
      </c>
      <c r="B1494">
        <v>7494</v>
      </c>
      <c r="C1494">
        <v>1950</v>
      </c>
      <c r="D1494" s="1" t="s">
        <v>13</v>
      </c>
      <c r="E1494" s="1" t="s">
        <v>16</v>
      </c>
      <c r="F1494">
        <v>42873</v>
      </c>
      <c r="G1494">
        <v>1</v>
      </c>
      <c r="H1494" s="2">
        <v>1</v>
      </c>
      <c r="I1494" s="2">
        <v>41295</v>
      </c>
      <c r="J1494">
        <v>11</v>
      </c>
      <c r="K1494">
        <f>VLOOKUP(B1494,purchase_dataset!$B$2:$F$2241,2,FALSE)</f>
        <v>0</v>
      </c>
      <c r="L1494">
        <f>VLOOKUP(B1494,purchase_dataset!$B$2:$F$2241,3,FALSE)</f>
        <v>2</v>
      </c>
      <c r="M1494">
        <f>VLOOKUP(B1494,purchase_dataset!$B$2:$F$2241,3,FALSE)</f>
        <v>2</v>
      </c>
      <c r="N1494">
        <f>VLOOKUP(B1494,purchase_dataset!$B$2:$F$2241,5,FALSE)</f>
        <v>4</v>
      </c>
      <c r="O1494" s="5">
        <v>76</v>
      </c>
      <c r="P1494" s="4" t="str">
        <f t="shared" si="46"/>
        <v>&gt;50</v>
      </c>
      <c r="Q1494" s="4">
        <f>M1494+N1494</f>
        <v>6</v>
      </c>
      <c r="U1494" s="28" t="str" cm="1">
        <f t="array" ref="U1494">_xlfn.IFS(F1494&lt;30000,"30k",F1494&lt;=50000,"30k-50k",F1494&lt;=75000,"50k-75k",F1494&lt;=100000,"75k-100k",F1494&gt;100000,"100k")</f>
        <v>30k-50k</v>
      </c>
      <c r="W1494" s="1">
        <f t="shared" si="47"/>
        <v>13</v>
      </c>
    </row>
    <row r="1495" spans="1:23" x14ac:dyDescent="0.35">
      <c r="A1495">
        <v>1492</v>
      </c>
      <c r="B1495">
        <v>1763</v>
      </c>
      <c r="C1495">
        <v>1988</v>
      </c>
      <c r="D1495" s="1" t="s">
        <v>10</v>
      </c>
      <c r="E1495" s="1" t="s">
        <v>12</v>
      </c>
      <c r="F1495">
        <v>87679</v>
      </c>
      <c r="G1495">
        <v>0</v>
      </c>
      <c r="H1495" s="2">
        <v>0</v>
      </c>
      <c r="I1495" s="2">
        <v>41482</v>
      </c>
      <c r="J1495">
        <v>62</v>
      </c>
      <c r="K1495">
        <f>VLOOKUP(B1495,purchase_dataset!$B$2:$F$2241,2,FALSE)</f>
        <v>172</v>
      </c>
      <c r="L1495">
        <f>VLOOKUP(B1495,purchase_dataset!$B$2:$F$2241,3,FALSE)</f>
        <v>148</v>
      </c>
      <c r="M1495">
        <f>VLOOKUP(B1495,purchase_dataset!$B$2:$F$2241,3,FALSE)</f>
        <v>148</v>
      </c>
      <c r="N1495">
        <f>VLOOKUP(B1495,purchase_dataset!$B$2:$F$2241,5,FALSE)</f>
        <v>10</v>
      </c>
      <c r="O1495" s="5">
        <v>38</v>
      </c>
      <c r="P1495" s="4" t="str">
        <f t="shared" si="46"/>
        <v>30-50</v>
      </c>
      <c r="Q1495" s="4">
        <f>M1495+N1495</f>
        <v>158</v>
      </c>
      <c r="U1495" s="28" t="str" cm="1">
        <f t="array" ref="U1495">_xlfn.IFS(F1495&lt;30000,"30k",F1495&lt;=50000,"30k-50k",F1495&lt;=75000,"50k-75k",F1495&lt;=100000,"75k-100k",F1495&gt;100000,"100k")</f>
        <v>75k-100k</v>
      </c>
      <c r="W1495" s="1">
        <f t="shared" si="47"/>
        <v>13</v>
      </c>
    </row>
    <row r="1496" spans="1:23" x14ac:dyDescent="0.35">
      <c r="A1496">
        <v>1493</v>
      </c>
      <c r="B1496">
        <v>7250</v>
      </c>
      <c r="C1496">
        <v>1978</v>
      </c>
      <c r="D1496" s="1" t="s">
        <v>10</v>
      </c>
      <c r="E1496" s="1" t="s">
        <v>12</v>
      </c>
      <c r="F1496">
        <v>57867</v>
      </c>
      <c r="G1496">
        <v>1</v>
      </c>
      <c r="H1496" s="2">
        <v>0</v>
      </c>
      <c r="I1496" s="2">
        <v>41548</v>
      </c>
      <c r="J1496">
        <v>48</v>
      </c>
      <c r="K1496">
        <f>VLOOKUP(B1496,purchase_dataset!$B$2:$F$2241,2,FALSE)</f>
        <v>35</v>
      </c>
      <c r="L1496">
        <f>VLOOKUP(B1496,purchase_dataset!$B$2:$F$2241,3,FALSE)</f>
        <v>23</v>
      </c>
      <c r="M1496">
        <f>VLOOKUP(B1496,purchase_dataset!$B$2:$F$2241,3,FALSE)</f>
        <v>23</v>
      </c>
      <c r="N1496">
        <f>VLOOKUP(B1496,purchase_dataset!$B$2:$F$2241,5,FALSE)</f>
        <v>9</v>
      </c>
      <c r="O1496" s="5">
        <v>48</v>
      </c>
      <c r="P1496" s="4" t="str">
        <f t="shared" si="46"/>
        <v>30-50</v>
      </c>
      <c r="Q1496" s="4">
        <f>M1496+N1496</f>
        <v>32</v>
      </c>
      <c r="U1496" s="28" t="str" cm="1">
        <f t="array" ref="U1496">_xlfn.IFS(F1496&lt;30000,"30k",F1496&lt;=50000,"30k-50k",F1496&lt;=75000,"50k-75k",F1496&lt;=100000,"75k-100k",F1496&gt;100000,"100k")</f>
        <v>50k-75k</v>
      </c>
      <c r="W1496" s="1">
        <f t="shared" si="47"/>
        <v>13</v>
      </c>
    </row>
    <row r="1497" spans="1:23" x14ac:dyDescent="0.35">
      <c r="A1497">
        <v>1494</v>
      </c>
      <c r="B1497">
        <v>2005</v>
      </c>
      <c r="C1497">
        <v>1990</v>
      </c>
      <c r="D1497" s="1" t="s">
        <v>10</v>
      </c>
      <c r="E1497" s="1" t="s">
        <v>14</v>
      </c>
      <c r="F1497">
        <v>35765</v>
      </c>
      <c r="G1497">
        <v>1</v>
      </c>
      <c r="H1497" s="2">
        <v>0</v>
      </c>
      <c r="I1497" s="2">
        <v>41619</v>
      </c>
      <c r="J1497">
        <v>86</v>
      </c>
      <c r="K1497">
        <f>VLOOKUP(B1497,purchase_dataset!$B$2:$F$2241,2,FALSE)</f>
        <v>3</v>
      </c>
      <c r="L1497">
        <f>VLOOKUP(B1497,purchase_dataset!$B$2:$F$2241,3,FALSE)</f>
        <v>5</v>
      </c>
      <c r="M1497">
        <f>VLOOKUP(B1497,purchase_dataset!$B$2:$F$2241,3,FALSE)</f>
        <v>5</v>
      </c>
      <c r="N1497">
        <f>VLOOKUP(B1497,purchase_dataset!$B$2:$F$2241,5,FALSE)</f>
        <v>4</v>
      </c>
      <c r="O1497" s="5">
        <v>36</v>
      </c>
      <c r="P1497" s="4" t="str">
        <f t="shared" si="46"/>
        <v>30-50</v>
      </c>
      <c r="Q1497" s="4">
        <f>M1497+N1497</f>
        <v>9</v>
      </c>
      <c r="U1497" s="28" t="str" cm="1">
        <f t="array" ref="U1497">_xlfn.IFS(F1497&lt;30000,"30k",F1497&lt;=50000,"30k-50k",F1497&lt;=75000,"50k-75k",F1497&lt;=100000,"75k-100k",F1497&gt;100000,"100k")</f>
        <v>30k-50k</v>
      </c>
      <c r="W1497" s="1">
        <f t="shared" si="47"/>
        <v>13</v>
      </c>
    </row>
    <row r="1498" spans="1:23" x14ac:dyDescent="0.35">
      <c r="A1498">
        <v>1495</v>
      </c>
      <c r="B1498">
        <v>10770</v>
      </c>
      <c r="C1498">
        <v>1959</v>
      </c>
      <c r="D1498" s="1" t="s">
        <v>10</v>
      </c>
      <c r="E1498" s="1" t="s">
        <v>14</v>
      </c>
      <c r="F1498">
        <v>65492</v>
      </c>
      <c r="G1498">
        <v>0</v>
      </c>
      <c r="H1498" s="2">
        <v>0</v>
      </c>
      <c r="I1498" s="2">
        <v>41665</v>
      </c>
      <c r="J1498">
        <v>73</v>
      </c>
      <c r="K1498">
        <f>VLOOKUP(B1498,purchase_dataset!$B$2:$F$2241,2,FALSE)</f>
        <v>161</v>
      </c>
      <c r="L1498">
        <f>VLOOKUP(B1498,purchase_dataset!$B$2:$F$2241,3,FALSE)</f>
        <v>85</v>
      </c>
      <c r="M1498">
        <f>VLOOKUP(B1498,purchase_dataset!$B$2:$F$2241,3,FALSE)</f>
        <v>85</v>
      </c>
      <c r="N1498">
        <f>VLOOKUP(B1498,purchase_dataset!$B$2:$F$2241,5,FALSE)</f>
        <v>13</v>
      </c>
      <c r="O1498" s="5">
        <v>67</v>
      </c>
      <c r="P1498" s="4" t="str">
        <f t="shared" si="46"/>
        <v>&gt;50</v>
      </c>
      <c r="Q1498" s="4">
        <f>M1498+N1498</f>
        <v>98</v>
      </c>
      <c r="U1498" s="28" t="str" cm="1">
        <f t="array" ref="U1498">_xlfn.IFS(F1498&lt;30000,"30k",F1498&lt;=50000,"30k-50k",F1498&lt;=75000,"50k-75k",F1498&lt;=100000,"75k-100k",F1498&gt;100000,"100k")</f>
        <v>50k-75k</v>
      </c>
      <c r="W1498" s="1">
        <f t="shared" si="47"/>
        <v>12</v>
      </c>
    </row>
    <row r="1499" spans="1:23" x14ac:dyDescent="0.35">
      <c r="A1499">
        <v>1496</v>
      </c>
      <c r="B1499">
        <v>6885</v>
      </c>
      <c r="C1499">
        <v>1977</v>
      </c>
      <c r="D1499" s="1" t="s">
        <v>10</v>
      </c>
      <c r="E1499" s="1" t="s">
        <v>16</v>
      </c>
      <c r="F1499">
        <v>32952</v>
      </c>
      <c r="G1499">
        <v>1</v>
      </c>
      <c r="H1499" s="2">
        <v>0</v>
      </c>
      <c r="I1499" s="2">
        <v>41609</v>
      </c>
      <c r="J1499">
        <v>36</v>
      </c>
      <c r="K1499">
        <f>VLOOKUP(B1499,purchase_dataset!$B$2:$F$2241,2,FALSE)</f>
        <v>0</v>
      </c>
      <c r="L1499">
        <f>VLOOKUP(B1499,purchase_dataset!$B$2:$F$2241,3,FALSE)</f>
        <v>1</v>
      </c>
      <c r="M1499">
        <f>VLOOKUP(B1499,purchase_dataset!$B$2:$F$2241,3,FALSE)</f>
        <v>1</v>
      </c>
      <c r="N1499">
        <f>VLOOKUP(B1499,purchase_dataset!$B$2:$F$2241,5,FALSE)</f>
        <v>3</v>
      </c>
      <c r="O1499" s="5">
        <v>49</v>
      </c>
      <c r="P1499" s="4" t="str">
        <f t="shared" si="46"/>
        <v>30-50</v>
      </c>
      <c r="Q1499" s="4">
        <f>M1499+N1499</f>
        <v>4</v>
      </c>
      <c r="U1499" s="28" t="str" cm="1">
        <f t="array" ref="U1499">_xlfn.IFS(F1499&lt;30000,"30k",F1499&lt;=50000,"30k-50k",F1499&lt;=75000,"50k-75k",F1499&lt;=100000,"75k-100k",F1499&gt;100000,"100k")</f>
        <v>30k-50k</v>
      </c>
      <c r="W1499" s="1">
        <f t="shared" si="47"/>
        <v>13</v>
      </c>
    </row>
    <row r="1500" spans="1:23" x14ac:dyDescent="0.35">
      <c r="A1500">
        <v>1497</v>
      </c>
      <c r="B1500">
        <v>2072</v>
      </c>
      <c r="C1500">
        <v>1969</v>
      </c>
      <c r="D1500" s="1" t="s">
        <v>13</v>
      </c>
      <c r="E1500" s="1" t="s">
        <v>12</v>
      </c>
      <c r="F1500">
        <v>53374</v>
      </c>
      <c r="G1500">
        <v>0</v>
      </c>
      <c r="H1500" s="2">
        <v>1</v>
      </c>
      <c r="I1500" s="2">
        <v>41137</v>
      </c>
      <c r="J1500">
        <v>34</v>
      </c>
      <c r="K1500">
        <f>VLOOKUP(B1500,purchase_dataset!$B$2:$F$2241,2,FALSE)</f>
        <v>10</v>
      </c>
      <c r="L1500">
        <f>VLOOKUP(B1500,purchase_dataset!$B$2:$F$2241,3,FALSE)</f>
        <v>10</v>
      </c>
      <c r="M1500">
        <f>VLOOKUP(B1500,purchase_dataset!$B$2:$F$2241,3,FALSE)</f>
        <v>10</v>
      </c>
      <c r="N1500">
        <f>VLOOKUP(B1500,purchase_dataset!$B$2:$F$2241,5,FALSE)</f>
        <v>9</v>
      </c>
      <c r="O1500" s="5">
        <v>57</v>
      </c>
      <c r="P1500" s="4" t="str">
        <f t="shared" si="46"/>
        <v>&gt;50</v>
      </c>
      <c r="Q1500" s="4">
        <f>M1500+N1500</f>
        <v>19</v>
      </c>
      <c r="U1500" s="28" t="str" cm="1">
        <f t="array" ref="U1500">_xlfn.IFS(F1500&lt;30000,"30k",F1500&lt;=50000,"30k-50k",F1500&lt;=75000,"50k-75k",F1500&lt;=100000,"75k-100k",F1500&gt;100000,"100k")</f>
        <v>50k-75k</v>
      </c>
      <c r="W1500" s="1">
        <f t="shared" si="47"/>
        <v>14</v>
      </c>
    </row>
    <row r="1501" spans="1:23" x14ac:dyDescent="0.35">
      <c r="A1501">
        <v>1498</v>
      </c>
      <c r="B1501">
        <v>9463</v>
      </c>
      <c r="C1501">
        <v>1959</v>
      </c>
      <c r="D1501" s="1" t="s">
        <v>10</v>
      </c>
      <c r="E1501" s="1" t="s">
        <v>12</v>
      </c>
      <c r="F1501">
        <v>71706</v>
      </c>
      <c r="G1501">
        <v>0</v>
      </c>
      <c r="H1501" s="2">
        <v>1</v>
      </c>
      <c r="I1501" s="2">
        <v>41226</v>
      </c>
      <c r="J1501">
        <v>16</v>
      </c>
      <c r="K1501">
        <f>VLOOKUP(B1501,purchase_dataset!$B$2:$F$2241,2,FALSE)</f>
        <v>56</v>
      </c>
      <c r="L1501">
        <f>VLOOKUP(B1501,purchase_dataset!$B$2:$F$2241,3,FALSE)</f>
        <v>98</v>
      </c>
      <c r="M1501">
        <f>VLOOKUP(B1501,purchase_dataset!$B$2:$F$2241,3,FALSE)</f>
        <v>98</v>
      </c>
      <c r="N1501">
        <f>VLOOKUP(B1501,purchase_dataset!$B$2:$F$2241,5,FALSE)</f>
        <v>7</v>
      </c>
      <c r="O1501" s="5">
        <v>67</v>
      </c>
      <c r="P1501" s="4" t="str">
        <f t="shared" si="46"/>
        <v>&gt;50</v>
      </c>
      <c r="Q1501" s="4">
        <f>M1501+N1501</f>
        <v>105</v>
      </c>
      <c r="U1501" s="28" t="str" cm="1">
        <f t="array" ref="U1501">_xlfn.IFS(F1501&lt;30000,"30k",F1501&lt;=50000,"30k-50k",F1501&lt;=75000,"50k-75k",F1501&lt;=100000,"75k-100k",F1501&gt;100000,"100k")</f>
        <v>50k-75k</v>
      </c>
      <c r="W1501" s="1">
        <f t="shared" si="47"/>
        <v>14</v>
      </c>
    </row>
    <row r="1502" spans="1:23" x14ac:dyDescent="0.35">
      <c r="A1502">
        <v>1499</v>
      </c>
      <c r="B1502">
        <v>6318</v>
      </c>
      <c r="C1502">
        <v>1988</v>
      </c>
      <c r="D1502" s="1" t="s">
        <v>10</v>
      </c>
      <c r="E1502" s="1" t="s">
        <v>14</v>
      </c>
      <c r="F1502">
        <v>68487</v>
      </c>
      <c r="G1502">
        <v>0</v>
      </c>
      <c r="H1502" s="2">
        <v>0</v>
      </c>
      <c r="I1502" s="2">
        <v>41287</v>
      </c>
      <c r="J1502">
        <v>48</v>
      </c>
      <c r="K1502">
        <f>VLOOKUP(B1502,purchase_dataset!$B$2:$F$2241,2,FALSE)</f>
        <v>12</v>
      </c>
      <c r="L1502">
        <f>VLOOKUP(B1502,purchase_dataset!$B$2:$F$2241,3,FALSE)</f>
        <v>89</v>
      </c>
      <c r="M1502">
        <f>VLOOKUP(B1502,purchase_dataset!$B$2:$F$2241,3,FALSE)</f>
        <v>89</v>
      </c>
      <c r="N1502">
        <f>VLOOKUP(B1502,purchase_dataset!$B$2:$F$2241,5,FALSE)</f>
        <v>13</v>
      </c>
      <c r="O1502" s="5">
        <v>38</v>
      </c>
      <c r="P1502" s="4" t="str">
        <f t="shared" si="46"/>
        <v>30-50</v>
      </c>
      <c r="Q1502" s="4">
        <f>M1502+N1502</f>
        <v>102</v>
      </c>
      <c r="U1502" s="28" t="str" cm="1">
        <f t="array" ref="U1502">_xlfn.IFS(F1502&lt;30000,"30k",F1502&lt;=50000,"30k-50k",F1502&lt;=75000,"50k-75k",F1502&lt;=100000,"75k-100k",F1502&gt;100000,"100k")</f>
        <v>50k-75k</v>
      </c>
      <c r="W1502" s="1">
        <f t="shared" si="47"/>
        <v>13</v>
      </c>
    </row>
    <row r="1503" spans="1:23" x14ac:dyDescent="0.35">
      <c r="A1503">
        <v>1500</v>
      </c>
      <c r="B1503">
        <v>4093</v>
      </c>
      <c r="C1503">
        <v>1975</v>
      </c>
      <c r="D1503" s="1" t="s">
        <v>15</v>
      </c>
      <c r="E1503" s="1" t="s">
        <v>12</v>
      </c>
      <c r="F1503">
        <v>53253</v>
      </c>
      <c r="G1503">
        <v>1</v>
      </c>
      <c r="H1503" s="2">
        <v>1</v>
      </c>
      <c r="I1503" s="2">
        <v>41316</v>
      </c>
      <c r="J1503">
        <v>61</v>
      </c>
      <c r="K1503">
        <f>VLOOKUP(B1503,purchase_dataset!$B$2:$F$2241,2,FALSE)</f>
        <v>9</v>
      </c>
      <c r="L1503">
        <f>VLOOKUP(B1503,purchase_dataset!$B$2:$F$2241,3,FALSE)</f>
        <v>9</v>
      </c>
      <c r="M1503">
        <f>VLOOKUP(B1503,purchase_dataset!$B$2:$F$2241,3,FALSE)</f>
        <v>9</v>
      </c>
      <c r="N1503">
        <f>VLOOKUP(B1503,purchase_dataset!$B$2:$F$2241,5,FALSE)</f>
        <v>5</v>
      </c>
      <c r="O1503" s="5">
        <v>51</v>
      </c>
      <c r="P1503" s="4" t="str">
        <f t="shared" si="46"/>
        <v>&gt;50</v>
      </c>
      <c r="Q1503" s="4">
        <f>M1503+N1503</f>
        <v>14</v>
      </c>
      <c r="U1503" s="28" t="str" cm="1">
        <f t="array" ref="U1503">_xlfn.IFS(F1503&lt;30000,"30k",F1503&lt;=50000,"30k-50k",F1503&lt;=75000,"50k-75k",F1503&lt;=100000,"75k-100k",F1503&gt;100000,"100k")</f>
        <v>50k-75k</v>
      </c>
      <c r="W1503" s="1">
        <f t="shared" si="47"/>
        <v>13</v>
      </c>
    </row>
    <row r="1504" spans="1:23" x14ac:dyDescent="0.35">
      <c r="A1504">
        <v>1501</v>
      </c>
      <c r="B1504">
        <v>5751</v>
      </c>
      <c r="C1504">
        <v>1973</v>
      </c>
      <c r="D1504" s="1" t="s">
        <v>18</v>
      </c>
      <c r="E1504" s="1" t="s">
        <v>16</v>
      </c>
      <c r="F1504">
        <v>31163</v>
      </c>
      <c r="G1504">
        <v>1</v>
      </c>
      <c r="H1504" s="2">
        <v>0</v>
      </c>
      <c r="I1504" s="2">
        <v>41683</v>
      </c>
      <c r="J1504">
        <v>54</v>
      </c>
      <c r="K1504">
        <f>VLOOKUP(B1504,purchase_dataset!$B$2:$F$2241,2,FALSE)</f>
        <v>3</v>
      </c>
      <c r="L1504">
        <f>VLOOKUP(B1504,purchase_dataset!$B$2:$F$2241,3,FALSE)</f>
        <v>2</v>
      </c>
      <c r="M1504">
        <f>VLOOKUP(B1504,purchase_dataset!$B$2:$F$2241,3,FALSE)</f>
        <v>2</v>
      </c>
      <c r="N1504">
        <f>VLOOKUP(B1504,purchase_dataset!$B$2:$F$2241,5,FALSE)</f>
        <v>3</v>
      </c>
      <c r="O1504" s="5">
        <v>53</v>
      </c>
      <c r="P1504" s="4" t="str">
        <f t="shared" si="46"/>
        <v>&gt;50</v>
      </c>
      <c r="Q1504" s="4">
        <f>M1504+N1504</f>
        <v>5</v>
      </c>
      <c r="U1504" s="28" t="str" cm="1">
        <f t="array" ref="U1504">_xlfn.IFS(F1504&lt;30000,"30k",F1504&lt;=50000,"30k-50k",F1504&lt;=75000,"50k-75k",F1504&lt;=100000,"75k-100k",F1504&gt;100000,"100k")</f>
        <v>30k-50k</v>
      </c>
      <c r="W1504" s="1">
        <f t="shared" si="47"/>
        <v>12</v>
      </c>
    </row>
    <row r="1505" spans="1:23" x14ac:dyDescent="0.35">
      <c r="A1505">
        <v>1502</v>
      </c>
      <c r="B1505">
        <v>3340</v>
      </c>
      <c r="C1505">
        <v>1977</v>
      </c>
      <c r="D1505" s="1" t="s">
        <v>10</v>
      </c>
      <c r="E1505" s="1" t="s">
        <v>14</v>
      </c>
      <c r="F1505">
        <v>42014</v>
      </c>
      <c r="G1505">
        <v>1</v>
      </c>
      <c r="H1505" s="2">
        <v>0</v>
      </c>
      <c r="I1505" s="2">
        <v>41138</v>
      </c>
      <c r="J1505">
        <v>56</v>
      </c>
      <c r="K1505">
        <f>VLOOKUP(B1505,purchase_dataset!$B$2:$F$2241,2,FALSE)</f>
        <v>15</v>
      </c>
      <c r="L1505">
        <f>VLOOKUP(B1505,purchase_dataset!$B$2:$F$2241,3,FALSE)</f>
        <v>15</v>
      </c>
      <c r="M1505">
        <f>VLOOKUP(B1505,purchase_dataset!$B$2:$F$2241,3,FALSE)</f>
        <v>15</v>
      </c>
      <c r="N1505">
        <f>VLOOKUP(B1505,purchase_dataset!$B$2:$F$2241,5,FALSE)</f>
        <v>6</v>
      </c>
      <c r="O1505" s="5">
        <v>49</v>
      </c>
      <c r="P1505" s="4" t="str">
        <f t="shared" si="46"/>
        <v>30-50</v>
      </c>
      <c r="Q1505" s="4">
        <f>M1505+N1505</f>
        <v>21</v>
      </c>
      <c r="U1505" s="28" t="str" cm="1">
        <f t="array" ref="U1505">_xlfn.IFS(F1505&lt;30000,"30k",F1505&lt;=50000,"30k-50k",F1505&lt;=75000,"50k-75k",F1505&lt;=100000,"75k-100k",F1505&gt;100000,"100k")</f>
        <v>30k-50k</v>
      </c>
      <c r="W1505" s="1">
        <f t="shared" si="47"/>
        <v>14</v>
      </c>
    </row>
    <row r="1506" spans="1:23" x14ac:dyDescent="0.35">
      <c r="A1506">
        <v>1503</v>
      </c>
      <c r="B1506">
        <v>3594</v>
      </c>
      <c r="C1506">
        <v>1973</v>
      </c>
      <c r="D1506" s="1" t="s">
        <v>15</v>
      </c>
      <c r="E1506" s="1" t="s">
        <v>14</v>
      </c>
      <c r="F1506">
        <v>54108</v>
      </c>
      <c r="G1506">
        <v>1</v>
      </c>
      <c r="H1506" s="2">
        <v>1</v>
      </c>
      <c r="I1506" s="2">
        <v>41218</v>
      </c>
      <c r="J1506">
        <v>74</v>
      </c>
      <c r="K1506">
        <f>VLOOKUP(B1506,purchase_dataset!$B$2:$F$2241,2,FALSE)</f>
        <v>6</v>
      </c>
      <c r="L1506">
        <f>VLOOKUP(B1506,purchase_dataset!$B$2:$F$2241,3,FALSE)</f>
        <v>6</v>
      </c>
      <c r="M1506">
        <f>VLOOKUP(B1506,purchase_dataset!$B$2:$F$2241,3,FALSE)</f>
        <v>6</v>
      </c>
      <c r="N1506">
        <f>VLOOKUP(B1506,purchase_dataset!$B$2:$F$2241,5,FALSE)</f>
        <v>9</v>
      </c>
      <c r="O1506" s="5">
        <v>53</v>
      </c>
      <c r="P1506" s="4" t="str">
        <f t="shared" si="46"/>
        <v>&gt;50</v>
      </c>
      <c r="Q1506" s="4">
        <f>M1506+N1506</f>
        <v>15</v>
      </c>
      <c r="U1506" s="28" t="str" cm="1">
        <f t="array" ref="U1506">_xlfn.IFS(F1506&lt;30000,"30k",F1506&lt;=50000,"30k-50k",F1506&lt;=75000,"50k-75k",F1506&lt;=100000,"75k-100k",F1506&gt;100000,"100k")</f>
        <v>50k-75k</v>
      </c>
      <c r="W1506" s="1">
        <f t="shared" si="47"/>
        <v>14</v>
      </c>
    </row>
    <row r="1507" spans="1:23" x14ac:dyDescent="0.35">
      <c r="A1507">
        <v>1504</v>
      </c>
      <c r="B1507">
        <v>3584</v>
      </c>
      <c r="C1507">
        <v>1955</v>
      </c>
      <c r="D1507" s="1" t="s">
        <v>13</v>
      </c>
      <c r="E1507" s="1" t="s">
        <v>11</v>
      </c>
      <c r="F1507">
        <v>49667</v>
      </c>
      <c r="G1507">
        <v>0</v>
      </c>
      <c r="H1507" s="2">
        <v>0</v>
      </c>
      <c r="I1507" s="2">
        <v>41141</v>
      </c>
      <c r="J1507">
        <v>35</v>
      </c>
      <c r="K1507">
        <f>VLOOKUP(B1507,purchase_dataset!$B$2:$F$2241,2,FALSE)</f>
        <v>26</v>
      </c>
      <c r="L1507">
        <f>VLOOKUP(B1507,purchase_dataset!$B$2:$F$2241,3,FALSE)</f>
        <v>13</v>
      </c>
      <c r="M1507">
        <f>VLOOKUP(B1507,purchase_dataset!$B$2:$F$2241,3,FALSE)</f>
        <v>13</v>
      </c>
      <c r="N1507">
        <f>VLOOKUP(B1507,purchase_dataset!$B$2:$F$2241,5,FALSE)</f>
        <v>5</v>
      </c>
      <c r="O1507" s="5">
        <v>71</v>
      </c>
      <c r="P1507" s="4" t="str">
        <f t="shared" si="46"/>
        <v>&gt;50</v>
      </c>
      <c r="Q1507" s="4">
        <f>M1507+N1507</f>
        <v>18</v>
      </c>
      <c r="U1507" s="28" t="str" cm="1">
        <f t="array" ref="U1507">_xlfn.IFS(F1507&lt;30000,"30k",F1507&lt;=50000,"30k-50k",F1507&lt;=75000,"50k-75k",F1507&lt;=100000,"75k-100k",F1507&gt;100000,"100k")</f>
        <v>30k-50k</v>
      </c>
      <c r="W1507" s="1">
        <f t="shared" si="47"/>
        <v>14</v>
      </c>
    </row>
    <row r="1508" spans="1:23" x14ac:dyDescent="0.35">
      <c r="A1508">
        <v>1505</v>
      </c>
      <c r="B1508">
        <v>3643</v>
      </c>
      <c r="C1508">
        <v>1974</v>
      </c>
      <c r="D1508" s="1" t="s">
        <v>15</v>
      </c>
      <c r="E1508" s="1" t="s">
        <v>14</v>
      </c>
      <c r="F1508">
        <v>63206</v>
      </c>
      <c r="G1508">
        <v>0</v>
      </c>
      <c r="H1508" s="2">
        <v>0</v>
      </c>
      <c r="I1508" s="2">
        <v>41718</v>
      </c>
      <c r="J1508">
        <v>65</v>
      </c>
      <c r="K1508">
        <f>VLOOKUP(B1508,purchase_dataset!$B$2:$F$2241,2,FALSE)</f>
        <v>8</v>
      </c>
      <c r="L1508">
        <f>VLOOKUP(B1508,purchase_dataset!$B$2:$F$2241,3,FALSE)</f>
        <v>8</v>
      </c>
      <c r="M1508">
        <f>VLOOKUP(B1508,purchase_dataset!$B$2:$F$2241,3,FALSE)</f>
        <v>8</v>
      </c>
      <c r="N1508">
        <f>VLOOKUP(B1508,purchase_dataset!$B$2:$F$2241,5,FALSE)</f>
        <v>6</v>
      </c>
      <c r="O1508" s="5">
        <v>52</v>
      </c>
      <c r="P1508" s="4" t="str">
        <f t="shared" si="46"/>
        <v>&gt;50</v>
      </c>
      <c r="Q1508" s="4">
        <f>M1508+N1508</f>
        <v>14</v>
      </c>
      <c r="U1508" s="28" t="str" cm="1">
        <f t="array" ref="U1508">_xlfn.IFS(F1508&lt;30000,"30k",F1508&lt;=50000,"30k-50k",F1508&lt;=75000,"50k-75k",F1508&lt;=100000,"75k-100k",F1508&gt;100000,"100k")</f>
        <v>50k-75k</v>
      </c>
      <c r="W1508" s="1">
        <f t="shared" si="47"/>
        <v>12</v>
      </c>
    </row>
    <row r="1509" spans="1:23" x14ac:dyDescent="0.35">
      <c r="A1509">
        <v>1506</v>
      </c>
      <c r="B1509">
        <v>851</v>
      </c>
      <c r="C1509">
        <v>1972</v>
      </c>
      <c r="D1509" s="1" t="s">
        <v>15</v>
      </c>
      <c r="E1509" s="1" t="s">
        <v>14</v>
      </c>
      <c r="F1509">
        <v>57136</v>
      </c>
      <c r="G1509">
        <v>1</v>
      </c>
      <c r="H1509" s="2">
        <v>1</v>
      </c>
      <c r="I1509" s="2">
        <v>41464</v>
      </c>
      <c r="J1509">
        <v>48</v>
      </c>
      <c r="K1509">
        <f>VLOOKUP(B1509,purchase_dataset!$B$2:$F$2241,2,FALSE)</f>
        <v>5</v>
      </c>
      <c r="L1509">
        <f>VLOOKUP(B1509,purchase_dataset!$B$2:$F$2241,3,FALSE)</f>
        <v>109</v>
      </c>
      <c r="M1509">
        <f>VLOOKUP(B1509,purchase_dataset!$B$2:$F$2241,3,FALSE)</f>
        <v>109</v>
      </c>
      <c r="N1509">
        <f>VLOOKUP(B1509,purchase_dataset!$B$2:$F$2241,5,FALSE)</f>
        <v>10</v>
      </c>
      <c r="O1509" s="5">
        <v>54</v>
      </c>
      <c r="P1509" s="4" t="str">
        <f t="shared" si="46"/>
        <v>&gt;50</v>
      </c>
      <c r="Q1509" s="4">
        <f>M1509+N1509</f>
        <v>119</v>
      </c>
      <c r="U1509" s="28" t="str" cm="1">
        <f t="array" ref="U1509">_xlfn.IFS(F1509&lt;30000,"30k",F1509&lt;=50000,"30k-50k",F1509&lt;=75000,"50k-75k",F1509&lt;=100000,"75k-100k",F1509&gt;100000,"100k")</f>
        <v>50k-75k</v>
      </c>
      <c r="W1509" s="1">
        <f t="shared" si="47"/>
        <v>13</v>
      </c>
    </row>
    <row r="1510" spans="1:23" x14ac:dyDescent="0.35">
      <c r="A1510">
        <v>1507</v>
      </c>
      <c r="B1510">
        <v>7706</v>
      </c>
      <c r="C1510">
        <v>1975</v>
      </c>
      <c r="D1510" s="1" t="s">
        <v>18</v>
      </c>
      <c r="E1510" s="1" t="s">
        <v>12</v>
      </c>
      <c r="F1510">
        <v>46772</v>
      </c>
      <c r="G1510">
        <v>0</v>
      </c>
      <c r="H1510" s="2">
        <v>1</v>
      </c>
      <c r="I1510" s="2">
        <v>41220</v>
      </c>
      <c r="J1510">
        <v>88</v>
      </c>
      <c r="K1510">
        <f>VLOOKUP(B1510,purchase_dataset!$B$2:$F$2241,2,FALSE)</f>
        <v>104</v>
      </c>
      <c r="L1510">
        <f>VLOOKUP(B1510,purchase_dataset!$B$2:$F$2241,3,FALSE)</f>
        <v>151</v>
      </c>
      <c r="M1510">
        <f>VLOOKUP(B1510,purchase_dataset!$B$2:$F$2241,3,FALSE)</f>
        <v>151</v>
      </c>
      <c r="N1510">
        <f>VLOOKUP(B1510,purchase_dataset!$B$2:$F$2241,5,FALSE)</f>
        <v>5</v>
      </c>
      <c r="O1510" s="5">
        <v>51</v>
      </c>
      <c r="P1510" s="4" t="str">
        <f t="shared" si="46"/>
        <v>&gt;50</v>
      </c>
      <c r="Q1510" s="4">
        <f>M1510+N1510</f>
        <v>156</v>
      </c>
      <c r="U1510" s="28" t="str" cm="1">
        <f t="array" ref="U1510">_xlfn.IFS(F1510&lt;30000,"30k",F1510&lt;=50000,"30k-50k",F1510&lt;=75000,"50k-75k",F1510&lt;=100000,"75k-100k",F1510&gt;100000,"100k")</f>
        <v>30k-50k</v>
      </c>
      <c r="W1510" s="1">
        <f t="shared" si="47"/>
        <v>14</v>
      </c>
    </row>
    <row r="1511" spans="1:23" x14ac:dyDescent="0.35">
      <c r="A1511">
        <v>1508</v>
      </c>
      <c r="B1511">
        <v>3967</v>
      </c>
      <c r="C1511">
        <v>1971</v>
      </c>
      <c r="D1511" s="1" t="s">
        <v>13</v>
      </c>
      <c r="E1511" s="1" t="s">
        <v>14</v>
      </c>
      <c r="F1511">
        <v>78931</v>
      </c>
      <c r="G1511">
        <v>0</v>
      </c>
      <c r="H1511" s="2">
        <v>0</v>
      </c>
      <c r="I1511" s="2">
        <v>41572</v>
      </c>
      <c r="J1511">
        <v>19</v>
      </c>
      <c r="K1511">
        <f>VLOOKUP(B1511,purchase_dataset!$B$2:$F$2241,2,FALSE)</f>
        <v>197</v>
      </c>
      <c r="L1511">
        <f>VLOOKUP(B1511,purchase_dataset!$B$2:$F$2241,3,FALSE)</f>
        <v>152</v>
      </c>
      <c r="M1511">
        <f>VLOOKUP(B1511,purchase_dataset!$B$2:$F$2241,3,FALSE)</f>
        <v>152</v>
      </c>
      <c r="N1511">
        <f>VLOOKUP(B1511,purchase_dataset!$B$2:$F$2241,5,FALSE)</f>
        <v>13</v>
      </c>
      <c r="O1511" s="5">
        <v>55</v>
      </c>
      <c r="P1511" s="4" t="str">
        <f t="shared" si="46"/>
        <v>&gt;50</v>
      </c>
      <c r="Q1511" s="4">
        <f>M1511+N1511</f>
        <v>165</v>
      </c>
      <c r="U1511" s="28" t="str" cm="1">
        <f t="array" ref="U1511">_xlfn.IFS(F1511&lt;30000,"30k",F1511&lt;=50000,"30k-50k",F1511&lt;=75000,"50k-75k",F1511&lt;=100000,"75k-100k",F1511&gt;100000,"100k")</f>
        <v>75k-100k</v>
      </c>
      <c r="W1511" s="1">
        <f t="shared" si="47"/>
        <v>13</v>
      </c>
    </row>
    <row r="1512" spans="1:23" x14ac:dyDescent="0.35">
      <c r="A1512">
        <v>1509</v>
      </c>
      <c r="B1512">
        <v>10128</v>
      </c>
      <c r="C1512">
        <v>1958</v>
      </c>
      <c r="D1512" s="1" t="s">
        <v>10</v>
      </c>
      <c r="E1512" s="1" t="s">
        <v>12</v>
      </c>
      <c r="F1512">
        <v>53977</v>
      </c>
      <c r="G1512">
        <v>0</v>
      </c>
      <c r="H1512" s="2">
        <v>1</v>
      </c>
      <c r="I1512" s="2">
        <v>41433</v>
      </c>
      <c r="J1512">
        <v>21</v>
      </c>
      <c r="K1512">
        <f>VLOOKUP(B1512,purchase_dataset!$B$2:$F$2241,2,FALSE)</f>
        <v>16</v>
      </c>
      <c r="L1512">
        <f>VLOOKUP(B1512,purchase_dataset!$B$2:$F$2241,3,FALSE)</f>
        <v>24</v>
      </c>
      <c r="M1512">
        <f>VLOOKUP(B1512,purchase_dataset!$B$2:$F$2241,3,FALSE)</f>
        <v>24</v>
      </c>
      <c r="N1512">
        <f>VLOOKUP(B1512,purchase_dataset!$B$2:$F$2241,5,FALSE)</f>
        <v>12</v>
      </c>
      <c r="O1512" s="5">
        <v>68</v>
      </c>
      <c r="P1512" s="4" t="str">
        <f t="shared" si="46"/>
        <v>&gt;50</v>
      </c>
      <c r="Q1512" s="4">
        <f>M1512+N1512</f>
        <v>36</v>
      </c>
      <c r="U1512" s="28" t="str" cm="1">
        <f t="array" ref="U1512">_xlfn.IFS(F1512&lt;30000,"30k",F1512&lt;=50000,"30k-50k",F1512&lt;=75000,"50k-75k",F1512&lt;=100000,"75k-100k",F1512&gt;100000,"100k")</f>
        <v>50k-75k</v>
      </c>
      <c r="W1512" s="1">
        <f t="shared" si="47"/>
        <v>13</v>
      </c>
    </row>
    <row r="1513" spans="1:23" x14ac:dyDescent="0.35">
      <c r="A1513">
        <v>1510</v>
      </c>
      <c r="B1513">
        <v>486</v>
      </c>
      <c r="C1513">
        <v>1988</v>
      </c>
      <c r="D1513" s="1" t="s">
        <v>10</v>
      </c>
      <c r="E1513" s="1" t="s">
        <v>14</v>
      </c>
      <c r="F1513">
        <v>84219</v>
      </c>
      <c r="G1513">
        <v>0</v>
      </c>
      <c r="H1513" s="2">
        <v>0</v>
      </c>
      <c r="I1513" s="2">
        <v>41672</v>
      </c>
      <c r="J1513">
        <v>27</v>
      </c>
      <c r="K1513">
        <f>VLOOKUP(B1513,purchase_dataset!$B$2:$F$2241,2,FALSE)</f>
        <v>137</v>
      </c>
      <c r="L1513">
        <f>VLOOKUP(B1513,purchase_dataset!$B$2:$F$2241,3,FALSE)</f>
        <v>137</v>
      </c>
      <c r="M1513">
        <f>VLOOKUP(B1513,purchase_dataset!$B$2:$F$2241,3,FALSE)</f>
        <v>137</v>
      </c>
      <c r="N1513">
        <f>VLOOKUP(B1513,purchase_dataset!$B$2:$F$2241,5,FALSE)</f>
        <v>10</v>
      </c>
      <c r="O1513" s="5">
        <v>38</v>
      </c>
      <c r="P1513" s="4" t="str">
        <f t="shared" si="46"/>
        <v>30-50</v>
      </c>
      <c r="Q1513" s="4">
        <f>M1513+N1513</f>
        <v>147</v>
      </c>
      <c r="U1513" s="28" t="str" cm="1">
        <f t="array" ref="U1513">_xlfn.IFS(F1513&lt;30000,"30k",F1513&lt;=50000,"30k-50k",F1513&lt;=75000,"50k-75k",F1513&lt;=100000,"75k-100k",F1513&gt;100000,"100k")</f>
        <v>75k-100k</v>
      </c>
      <c r="W1513" s="1">
        <f t="shared" si="47"/>
        <v>12</v>
      </c>
    </row>
    <row r="1514" spans="1:23" x14ac:dyDescent="0.35">
      <c r="A1514">
        <v>1511</v>
      </c>
      <c r="B1514">
        <v>9</v>
      </c>
      <c r="C1514">
        <v>1975</v>
      </c>
      <c r="D1514" s="1" t="s">
        <v>15</v>
      </c>
      <c r="E1514" s="1" t="s">
        <v>11</v>
      </c>
      <c r="F1514">
        <v>46098</v>
      </c>
      <c r="G1514">
        <v>1</v>
      </c>
      <c r="H1514" s="2">
        <v>1</v>
      </c>
      <c r="I1514" s="2">
        <v>41139</v>
      </c>
      <c r="J1514">
        <v>86</v>
      </c>
      <c r="K1514">
        <f>VLOOKUP(B1514,purchase_dataset!$B$2:$F$2241,2,FALSE)</f>
        <v>0</v>
      </c>
      <c r="L1514">
        <f>VLOOKUP(B1514,purchase_dataset!$B$2:$F$2241,3,FALSE)</f>
        <v>0</v>
      </c>
      <c r="M1514">
        <f>VLOOKUP(B1514,purchase_dataset!$B$2:$F$2241,3,FALSE)</f>
        <v>0</v>
      </c>
      <c r="N1514">
        <f>VLOOKUP(B1514,purchase_dataset!$B$2:$F$2241,5,FALSE)</f>
        <v>2</v>
      </c>
      <c r="O1514" s="5">
        <v>51</v>
      </c>
      <c r="P1514" s="4" t="str">
        <f t="shared" si="46"/>
        <v>&gt;50</v>
      </c>
      <c r="Q1514" s="4">
        <f>M1514+N1514</f>
        <v>2</v>
      </c>
      <c r="U1514" s="28" t="str" cm="1">
        <f t="array" ref="U1514">_xlfn.IFS(F1514&lt;30000,"30k",F1514&lt;=50000,"30k-50k",F1514&lt;=75000,"50k-75k",F1514&lt;=100000,"75k-100k",F1514&gt;100000,"100k")</f>
        <v>30k-50k</v>
      </c>
      <c r="W1514" s="1">
        <f t="shared" si="47"/>
        <v>14</v>
      </c>
    </row>
    <row r="1515" spans="1:23" x14ac:dyDescent="0.35">
      <c r="A1515">
        <v>1512</v>
      </c>
      <c r="B1515">
        <v>9451</v>
      </c>
      <c r="C1515">
        <v>1965</v>
      </c>
      <c r="D1515" s="1" t="s">
        <v>10</v>
      </c>
      <c r="E1515" s="1" t="s">
        <v>14</v>
      </c>
      <c r="F1515">
        <v>73538</v>
      </c>
      <c r="G1515">
        <v>0</v>
      </c>
      <c r="H1515" s="2">
        <v>1</v>
      </c>
      <c r="I1515" s="2">
        <v>41238</v>
      </c>
      <c r="J1515">
        <v>92</v>
      </c>
      <c r="K1515">
        <f>VLOOKUP(B1515,purchase_dataset!$B$2:$F$2241,2,FALSE)</f>
        <v>76</v>
      </c>
      <c r="L1515">
        <f>VLOOKUP(B1515,purchase_dataset!$B$2:$F$2241,3,FALSE)</f>
        <v>137</v>
      </c>
      <c r="M1515">
        <f>VLOOKUP(B1515,purchase_dataset!$B$2:$F$2241,3,FALSE)</f>
        <v>137</v>
      </c>
      <c r="N1515">
        <f>VLOOKUP(B1515,purchase_dataset!$B$2:$F$2241,5,FALSE)</f>
        <v>9</v>
      </c>
      <c r="O1515" s="5">
        <v>61</v>
      </c>
      <c r="P1515" s="4" t="str">
        <f t="shared" si="46"/>
        <v>&gt;50</v>
      </c>
      <c r="Q1515" s="4">
        <f>M1515+N1515</f>
        <v>146</v>
      </c>
      <c r="U1515" s="28" t="str" cm="1">
        <f t="array" ref="U1515">_xlfn.IFS(F1515&lt;30000,"30k",F1515&lt;=50000,"30k-50k",F1515&lt;=75000,"50k-75k",F1515&lt;=100000,"75k-100k",F1515&gt;100000,"100k")</f>
        <v>50k-75k</v>
      </c>
      <c r="W1515" s="1">
        <f t="shared" si="47"/>
        <v>14</v>
      </c>
    </row>
    <row r="1516" spans="1:23" x14ac:dyDescent="0.35">
      <c r="A1516">
        <v>1513</v>
      </c>
      <c r="B1516">
        <v>9264</v>
      </c>
      <c r="C1516">
        <v>1986</v>
      </c>
      <c r="D1516" s="1" t="s">
        <v>10</v>
      </c>
      <c r="E1516" s="1" t="s">
        <v>14</v>
      </c>
      <c r="F1516">
        <v>79529</v>
      </c>
      <c r="G1516">
        <v>0</v>
      </c>
      <c r="H1516" s="2">
        <v>0</v>
      </c>
      <c r="I1516" s="2">
        <v>41756</v>
      </c>
      <c r="J1516">
        <v>1</v>
      </c>
      <c r="K1516">
        <f>VLOOKUP(B1516,purchase_dataset!$B$2:$F$2241,2,FALSE)</f>
        <v>42</v>
      </c>
      <c r="L1516">
        <f>VLOOKUP(B1516,purchase_dataset!$B$2:$F$2241,3,FALSE)</f>
        <v>197</v>
      </c>
      <c r="M1516">
        <f>VLOOKUP(B1516,purchase_dataset!$B$2:$F$2241,3,FALSE)</f>
        <v>197</v>
      </c>
      <c r="N1516">
        <f>VLOOKUP(B1516,purchase_dataset!$B$2:$F$2241,5,FALSE)</f>
        <v>9</v>
      </c>
      <c r="O1516" s="5">
        <v>40</v>
      </c>
      <c r="P1516" s="4" t="str">
        <f t="shared" si="46"/>
        <v>30-50</v>
      </c>
      <c r="Q1516" s="4">
        <f>M1516+N1516</f>
        <v>206</v>
      </c>
      <c r="U1516" s="28" t="str" cm="1">
        <f t="array" ref="U1516">_xlfn.IFS(F1516&lt;30000,"30k",F1516&lt;=50000,"30k-50k",F1516&lt;=75000,"50k-75k",F1516&lt;=100000,"75k-100k",F1516&gt;100000,"100k")</f>
        <v>75k-100k</v>
      </c>
      <c r="W1516" s="1">
        <f t="shared" si="47"/>
        <v>12</v>
      </c>
    </row>
    <row r="1517" spans="1:23" x14ac:dyDescent="0.35">
      <c r="A1517">
        <v>1514</v>
      </c>
      <c r="B1517">
        <v>3865</v>
      </c>
      <c r="C1517">
        <v>1977</v>
      </c>
      <c r="D1517" s="1" t="s">
        <v>18</v>
      </c>
      <c r="E1517" s="1" t="s">
        <v>12</v>
      </c>
      <c r="F1517">
        <v>20981</v>
      </c>
      <c r="G1517">
        <v>0</v>
      </c>
      <c r="H1517" s="2">
        <v>0</v>
      </c>
      <c r="I1517" s="2">
        <v>41394</v>
      </c>
      <c r="J1517">
        <v>14</v>
      </c>
      <c r="K1517">
        <f>VLOOKUP(B1517,purchase_dataset!$B$2:$F$2241,2,FALSE)</f>
        <v>12</v>
      </c>
      <c r="L1517">
        <f>VLOOKUP(B1517,purchase_dataset!$B$2:$F$2241,3,FALSE)</f>
        <v>13</v>
      </c>
      <c r="M1517">
        <f>VLOOKUP(B1517,purchase_dataset!$B$2:$F$2241,3,FALSE)</f>
        <v>13</v>
      </c>
      <c r="N1517">
        <f>VLOOKUP(B1517,purchase_dataset!$B$2:$F$2241,5,FALSE)</f>
        <v>2</v>
      </c>
      <c r="O1517" s="5">
        <v>49</v>
      </c>
      <c r="P1517" s="4" t="str">
        <f t="shared" si="46"/>
        <v>30-50</v>
      </c>
      <c r="Q1517" s="4">
        <f>M1517+N1517</f>
        <v>15</v>
      </c>
      <c r="U1517" s="28" t="str" cm="1">
        <f t="array" ref="U1517">_xlfn.IFS(F1517&lt;30000,"30k",F1517&lt;=50000,"30k-50k",F1517&lt;=75000,"50k-75k",F1517&lt;=100000,"75k-100k",F1517&gt;100000,"100k")</f>
        <v>30k</v>
      </c>
      <c r="W1517" s="1">
        <f t="shared" si="47"/>
        <v>13</v>
      </c>
    </row>
    <row r="1518" spans="1:23" x14ac:dyDescent="0.35">
      <c r="A1518">
        <v>1515</v>
      </c>
      <c r="B1518">
        <v>2853</v>
      </c>
      <c r="C1518">
        <v>1980</v>
      </c>
      <c r="D1518" s="1" t="s">
        <v>10</v>
      </c>
      <c r="E1518" s="1" t="s">
        <v>11</v>
      </c>
      <c r="F1518">
        <v>51766</v>
      </c>
      <c r="G1518">
        <v>1</v>
      </c>
      <c r="H1518" s="2">
        <v>0</v>
      </c>
      <c r="I1518" s="2">
        <v>41709</v>
      </c>
      <c r="J1518">
        <v>74</v>
      </c>
      <c r="K1518">
        <f>VLOOKUP(B1518,purchase_dataset!$B$2:$F$2241,2,FALSE)</f>
        <v>51</v>
      </c>
      <c r="L1518">
        <f>VLOOKUP(B1518,purchase_dataset!$B$2:$F$2241,3,FALSE)</f>
        <v>20</v>
      </c>
      <c r="M1518">
        <f>VLOOKUP(B1518,purchase_dataset!$B$2:$F$2241,3,FALSE)</f>
        <v>20</v>
      </c>
      <c r="N1518">
        <f>VLOOKUP(B1518,purchase_dataset!$B$2:$F$2241,5,FALSE)</f>
        <v>4</v>
      </c>
      <c r="O1518" s="5">
        <v>46</v>
      </c>
      <c r="P1518" s="4" t="str">
        <f t="shared" si="46"/>
        <v>30-50</v>
      </c>
      <c r="Q1518" s="4">
        <f>M1518+N1518</f>
        <v>24</v>
      </c>
      <c r="U1518" s="28" t="str" cm="1">
        <f t="array" ref="U1518">_xlfn.IFS(F1518&lt;30000,"30k",F1518&lt;=50000,"30k-50k",F1518&lt;=75000,"50k-75k",F1518&lt;=100000,"75k-100k",F1518&gt;100000,"100k")</f>
        <v>50k-75k</v>
      </c>
      <c r="W1518" s="1">
        <f t="shared" si="47"/>
        <v>12</v>
      </c>
    </row>
    <row r="1519" spans="1:23" x14ac:dyDescent="0.35">
      <c r="A1519">
        <v>1516</v>
      </c>
      <c r="B1519">
        <v>1490</v>
      </c>
      <c r="C1519">
        <v>1962</v>
      </c>
      <c r="D1519" s="1" t="s">
        <v>10</v>
      </c>
      <c r="E1519" s="1" t="s">
        <v>14</v>
      </c>
      <c r="F1519">
        <v>55759</v>
      </c>
      <c r="G1519">
        <v>0</v>
      </c>
      <c r="H1519" s="2">
        <v>1</v>
      </c>
      <c r="I1519" s="2">
        <v>41241</v>
      </c>
      <c r="J1519">
        <v>84</v>
      </c>
      <c r="K1519">
        <f>VLOOKUP(B1519,purchase_dataset!$B$2:$F$2241,2,FALSE)</f>
        <v>0</v>
      </c>
      <c r="L1519">
        <f>VLOOKUP(B1519,purchase_dataset!$B$2:$F$2241,3,FALSE)</f>
        <v>7</v>
      </c>
      <c r="M1519">
        <f>VLOOKUP(B1519,purchase_dataset!$B$2:$F$2241,3,FALSE)</f>
        <v>7</v>
      </c>
      <c r="N1519">
        <f>VLOOKUP(B1519,purchase_dataset!$B$2:$F$2241,5,FALSE)</f>
        <v>8</v>
      </c>
      <c r="O1519" s="5">
        <v>64</v>
      </c>
      <c r="P1519" s="4" t="str">
        <f t="shared" si="46"/>
        <v>&gt;50</v>
      </c>
      <c r="Q1519" s="4">
        <f>M1519+N1519</f>
        <v>15</v>
      </c>
      <c r="U1519" s="28" t="str" cm="1">
        <f t="array" ref="U1519">_xlfn.IFS(F1519&lt;30000,"30k",F1519&lt;=50000,"30k-50k",F1519&lt;=75000,"50k-75k",F1519&lt;=100000,"75k-100k",F1519&gt;100000,"100k")</f>
        <v>50k-75k</v>
      </c>
      <c r="W1519" s="1">
        <f t="shared" si="47"/>
        <v>14</v>
      </c>
    </row>
    <row r="1520" spans="1:23" x14ac:dyDescent="0.35">
      <c r="A1520">
        <v>1517</v>
      </c>
      <c r="B1520">
        <v>6310</v>
      </c>
      <c r="C1520">
        <v>1978</v>
      </c>
      <c r="D1520" s="1" t="s">
        <v>10</v>
      </c>
      <c r="E1520" s="1" t="s">
        <v>14</v>
      </c>
      <c r="F1520">
        <v>33039</v>
      </c>
      <c r="G1520">
        <v>1</v>
      </c>
      <c r="H1520" s="2">
        <v>0</v>
      </c>
      <c r="I1520" s="2">
        <v>41526</v>
      </c>
      <c r="J1520">
        <v>4</v>
      </c>
      <c r="K1520">
        <f>VLOOKUP(B1520,purchase_dataset!$B$2:$F$2241,2,FALSE)</f>
        <v>8</v>
      </c>
      <c r="L1520">
        <f>VLOOKUP(B1520,purchase_dataset!$B$2:$F$2241,3,FALSE)</f>
        <v>8</v>
      </c>
      <c r="M1520">
        <f>VLOOKUP(B1520,purchase_dataset!$B$2:$F$2241,3,FALSE)</f>
        <v>8</v>
      </c>
      <c r="N1520">
        <f>VLOOKUP(B1520,purchase_dataset!$B$2:$F$2241,5,FALSE)</f>
        <v>4</v>
      </c>
      <c r="O1520" s="5">
        <v>48</v>
      </c>
      <c r="P1520" s="4" t="str">
        <f t="shared" si="46"/>
        <v>30-50</v>
      </c>
      <c r="Q1520" s="4">
        <f>M1520+N1520</f>
        <v>12</v>
      </c>
      <c r="U1520" s="28" t="str" cm="1">
        <f t="array" ref="U1520">_xlfn.IFS(F1520&lt;30000,"30k",F1520&lt;=50000,"30k-50k",F1520&lt;=75000,"50k-75k",F1520&lt;=100000,"75k-100k",F1520&gt;100000,"100k")</f>
        <v>30k-50k</v>
      </c>
      <c r="W1520" s="1">
        <f t="shared" si="47"/>
        <v>13</v>
      </c>
    </row>
    <row r="1521" spans="1:23" x14ac:dyDescent="0.35">
      <c r="A1521">
        <v>1518</v>
      </c>
      <c r="B1521">
        <v>10380</v>
      </c>
      <c r="C1521">
        <v>1972</v>
      </c>
      <c r="D1521" s="1" t="s">
        <v>15</v>
      </c>
      <c r="E1521" s="1" t="s">
        <v>14</v>
      </c>
      <c r="F1521">
        <v>37787</v>
      </c>
      <c r="G1521">
        <v>1</v>
      </c>
      <c r="H1521" s="2">
        <v>0</v>
      </c>
      <c r="I1521" s="2">
        <v>41537</v>
      </c>
      <c r="J1521">
        <v>50</v>
      </c>
      <c r="K1521">
        <f>VLOOKUP(B1521,purchase_dataset!$B$2:$F$2241,2,FALSE)</f>
        <v>1</v>
      </c>
      <c r="L1521">
        <f>VLOOKUP(B1521,purchase_dataset!$B$2:$F$2241,3,FALSE)</f>
        <v>3</v>
      </c>
      <c r="M1521">
        <f>VLOOKUP(B1521,purchase_dataset!$B$2:$F$2241,3,FALSE)</f>
        <v>3</v>
      </c>
      <c r="N1521">
        <f>VLOOKUP(B1521,purchase_dataset!$B$2:$F$2241,5,FALSE)</f>
        <v>3</v>
      </c>
      <c r="O1521" s="5">
        <v>54</v>
      </c>
      <c r="P1521" s="4" t="str">
        <f t="shared" si="46"/>
        <v>&gt;50</v>
      </c>
      <c r="Q1521" s="4">
        <f>M1521+N1521</f>
        <v>6</v>
      </c>
      <c r="U1521" s="28" t="str" cm="1">
        <f t="array" ref="U1521">_xlfn.IFS(F1521&lt;30000,"30k",F1521&lt;=50000,"30k-50k",F1521&lt;=75000,"50k-75k",F1521&lt;=100000,"75k-100k",F1521&gt;100000,"100k")</f>
        <v>30k-50k</v>
      </c>
      <c r="W1521" s="1">
        <f t="shared" si="47"/>
        <v>13</v>
      </c>
    </row>
    <row r="1522" spans="1:23" x14ac:dyDescent="0.35">
      <c r="A1522">
        <v>1519</v>
      </c>
      <c r="B1522">
        <v>3887</v>
      </c>
      <c r="C1522">
        <v>1970</v>
      </c>
      <c r="D1522" s="1" t="s">
        <v>10</v>
      </c>
      <c r="E1522" s="1" t="s">
        <v>11</v>
      </c>
      <c r="F1522">
        <v>27242</v>
      </c>
      <c r="G1522">
        <v>1</v>
      </c>
      <c r="H1522" s="2">
        <v>0</v>
      </c>
      <c r="I1522" s="2">
        <v>41224</v>
      </c>
      <c r="J1522">
        <v>2</v>
      </c>
      <c r="K1522">
        <f>VLOOKUP(B1522,purchase_dataset!$B$2:$F$2241,2,FALSE)</f>
        <v>17</v>
      </c>
      <c r="L1522">
        <f>VLOOKUP(B1522,purchase_dataset!$B$2:$F$2241,3,FALSE)</f>
        <v>1</v>
      </c>
      <c r="M1522">
        <f>VLOOKUP(B1522,purchase_dataset!$B$2:$F$2241,3,FALSE)</f>
        <v>1</v>
      </c>
      <c r="N1522">
        <f>VLOOKUP(B1522,purchase_dataset!$B$2:$F$2241,5,FALSE)</f>
        <v>3</v>
      </c>
      <c r="O1522" s="5">
        <v>56</v>
      </c>
      <c r="P1522" s="4" t="str">
        <f t="shared" si="46"/>
        <v>&gt;50</v>
      </c>
      <c r="Q1522" s="4">
        <f>M1522+N1522</f>
        <v>4</v>
      </c>
      <c r="U1522" s="28" t="str" cm="1">
        <f t="array" ref="U1522">_xlfn.IFS(F1522&lt;30000,"30k",F1522&lt;=50000,"30k-50k",F1522&lt;=75000,"50k-75k",F1522&lt;=100000,"75k-100k",F1522&gt;100000,"100k")</f>
        <v>30k</v>
      </c>
      <c r="W1522" s="1">
        <f t="shared" si="47"/>
        <v>14</v>
      </c>
    </row>
    <row r="1523" spans="1:23" x14ac:dyDescent="0.35">
      <c r="A1523">
        <v>1520</v>
      </c>
      <c r="B1523">
        <v>4278</v>
      </c>
      <c r="C1523">
        <v>1983</v>
      </c>
      <c r="D1523" s="1" t="s">
        <v>13</v>
      </c>
      <c r="E1523" s="1" t="s">
        <v>11</v>
      </c>
      <c r="F1523">
        <v>87188</v>
      </c>
      <c r="G1523">
        <v>0</v>
      </c>
      <c r="H1523" s="2">
        <v>0</v>
      </c>
      <c r="I1523" s="2">
        <v>41428</v>
      </c>
      <c r="J1523">
        <v>73</v>
      </c>
      <c r="K1523">
        <f>VLOOKUP(B1523,purchase_dataset!$B$2:$F$2241,2,FALSE)</f>
        <v>111</v>
      </c>
      <c r="L1523">
        <f>VLOOKUP(B1523,purchase_dataset!$B$2:$F$2241,3,FALSE)</f>
        <v>74</v>
      </c>
      <c r="M1523">
        <f>VLOOKUP(B1523,purchase_dataset!$B$2:$F$2241,3,FALSE)</f>
        <v>74</v>
      </c>
      <c r="N1523">
        <f>VLOOKUP(B1523,purchase_dataset!$B$2:$F$2241,5,FALSE)</f>
        <v>6</v>
      </c>
      <c r="O1523" s="5">
        <v>43</v>
      </c>
      <c r="P1523" s="4" t="str">
        <f t="shared" si="46"/>
        <v>30-50</v>
      </c>
      <c r="Q1523" s="4">
        <f>M1523+N1523</f>
        <v>80</v>
      </c>
      <c r="U1523" s="28" t="str" cm="1">
        <f t="array" ref="U1523">_xlfn.IFS(F1523&lt;30000,"30k",F1523&lt;=50000,"30k-50k",F1523&lt;=75000,"50k-75k",F1523&lt;=100000,"75k-100k",F1523&gt;100000,"100k")</f>
        <v>75k-100k</v>
      </c>
      <c r="W1523" s="1">
        <f t="shared" si="47"/>
        <v>13</v>
      </c>
    </row>
    <row r="1524" spans="1:23" x14ac:dyDescent="0.35">
      <c r="A1524">
        <v>1521</v>
      </c>
      <c r="B1524">
        <v>8643</v>
      </c>
      <c r="C1524">
        <v>1971</v>
      </c>
      <c r="D1524" s="1" t="s">
        <v>10</v>
      </c>
      <c r="E1524" s="1" t="s">
        <v>12</v>
      </c>
      <c r="F1524">
        <v>69930</v>
      </c>
      <c r="G1524">
        <v>0</v>
      </c>
      <c r="H1524" s="2">
        <v>0</v>
      </c>
      <c r="I1524" s="2">
        <v>41420</v>
      </c>
      <c r="J1524">
        <v>21</v>
      </c>
      <c r="K1524">
        <f>VLOOKUP(B1524,purchase_dataset!$B$2:$F$2241,2,FALSE)</f>
        <v>98</v>
      </c>
      <c r="L1524">
        <f>VLOOKUP(B1524,purchase_dataset!$B$2:$F$2241,3,FALSE)</f>
        <v>70</v>
      </c>
      <c r="M1524">
        <f>VLOOKUP(B1524,purchase_dataset!$B$2:$F$2241,3,FALSE)</f>
        <v>70</v>
      </c>
      <c r="N1524">
        <f>VLOOKUP(B1524,purchase_dataset!$B$2:$F$2241,5,FALSE)</f>
        <v>12</v>
      </c>
      <c r="O1524" s="5">
        <v>55</v>
      </c>
      <c r="P1524" s="4" t="str">
        <f t="shared" si="46"/>
        <v>&gt;50</v>
      </c>
      <c r="Q1524" s="4">
        <f>M1524+N1524</f>
        <v>82</v>
      </c>
      <c r="U1524" s="28" t="str" cm="1">
        <f t="array" ref="U1524">_xlfn.IFS(F1524&lt;30000,"30k",F1524&lt;=50000,"30k-50k",F1524&lt;=75000,"50k-75k",F1524&lt;=100000,"75k-100k",F1524&gt;100000,"100k")</f>
        <v>50k-75k</v>
      </c>
      <c r="W1524" s="1">
        <f t="shared" si="47"/>
        <v>13</v>
      </c>
    </row>
    <row r="1525" spans="1:23" x14ac:dyDescent="0.35">
      <c r="A1525">
        <v>1522</v>
      </c>
      <c r="B1525">
        <v>1998</v>
      </c>
      <c r="C1525">
        <v>1976</v>
      </c>
      <c r="D1525" s="1" t="s">
        <v>10</v>
      </c>
      <c r="E1525" s="1" t="s">
        <v>11</v>
      </c>
      <c r="F1525">
        <v>37697</v>
      </c>
      <c r="G1525">
        <v>1</v>
      </c>
      <c r="H1525" s="2">
        <v>0</v>
      </c>
      <c r="I1525" s="2">
        <v>41677</v>
      </c>
      <c r="J1525">
        <v>82</v>
      </c>
      <c r="K1525">
        <f>VLOOKUP(B1525,purchase_dataset!$B$2:$F$2241,2,FALSE)</f>
        <v>6</v>
      </c>
      <c r="L1525">
        <f>VLOOKUP(B1525,purchase_dataset!$B$2:$F$2241,3,FALSE)</f>
        <v>4</v>
      </c>
      <c r="M1525">
        <f>VLOOKUP(B1525,purchase_dataset!$B$2:$F$2241,3,FALSE)</f>
        <v>4</v>
      </c>
      <c r="N1525">
        <f>VLOOKUP(B1525,purchase_dataset!$B$2:$F$2241,5,FALSE)</f>
        <v>3</v>
      </c>
      <c r="O1525" s="5">
        <v>50</v>
      </c>
      <c r="P1525" s="4" t="str">
        <f t="shared" si="46"/>
        <v>30-50</v>
      </c>
      <c r="Q1525" s="4">
        <f>M1525+N1525</f>
        <v>7</v>
      </c>
      <c r="U1525" s="28" t="str" cm="1">
        <f t="array" ref="U1525">_xlfn.IFS(F1525&lt;30000,"30k",F1525&lt;=50000,"30k-50k",F1525&lt;=75000,"50k-75k",F1525&lt;=100000,"75k-100k",F1525&gt;100000,"100k")</f>
        <v>30k-50k</v>
      </c>
      <c r="W1525" s="1">
        <f t="shared" si="47"/>
        <v>12</v>
      </c>
    </row>
    <row r="1526" spans="1:23" x14ac:dyDescent="0.35">
      <c r="A1526">
        <v>1523</v>
      </c>
      <c r="B1526">
        <v>10795</v>
      </c>
      <c r="C1526">
        <v>1973</v>
      </c>
      <c r="D1526" s="1" t="s">
        <v>13</v>
      </c>
      <c r="E1526" s="1" t="s">
        <v>14</v>
      </c>
      <c r="F1526">
        <v>37401</v>
      </c>
      <c r="G1526">
        <v>1</v>
      </c>
      <c r="H1526" s="2">
        <v>0</v>
      </c>
      <c r="I1526" s="2">
        <v>41765</v>
      </c>
      <c r="J1526">
        <v>14</v>
      </c>
      <c r="K1526">
        <f>VLOOKUP(B1526,purchase_dataset!$B$2:$F$2241,2,FALSE)</f>
        <v>3</v>
      </c>
      <c r="L1526">
        <f>VLOOKUP(B1526,purchase_dataset!$B$2:$F$2241,3,FALSE)</f>
        <v>1</v>
      </c>
      <c r="M1526">
        <f>VLOOKUP(B1526,purchase_dataset!$B$2:$F$2241,3,FALSE)</f>
        <v>1</v>
      </c>
      <c r="N1526">
        <f>VLOOKUP(B1526,purchase_dataset!$B$2:$F$2241,5,FALSE)</f>
        <v>3</v>
      </c>
      <c r="O1526" s="5">
        <v>53</v>
      </c>
      <c r="P1526" s="4" t="str">
        <f t="shared" si="46"/>
        <v>&gt;50</v>
      </c>
      <c r="Q1526" s="4">
        <f>M1526+N1526</f>
        <v>4</v>
      </c>
      <c r="U1526" s="28" t="str" cm="1">
        <f t="array" ref="U1526">_xlfn.IFS(F1526&lt;30000,"30k",F1526&lt;=50000,"30k-50k",F1526&lt;=75000,"50k-75k",F1526&lt;=100000,"75k-100k",F1526&gt;100000,"100k")</f>
        <v>30k-50k</v>
      </c>
      <c r="W1526" s="1">
        <f t="shared" si="47"/>
        <v>12</v>
      </c>
    </row>
    <row r="1527" spans="1:23" x14ac:dyDescent="0.35">
      <c r="A1527">
        <v>1524</v>
      </c>
      <c r="B1527">
        <v>11110</v>
      </c>
      <c r="C1527">
        <v>1973</v>
      </c>
      <c r="D1527" s="1" t="s">
        <v>10</v>
      </c>
      <c r="E1527" s="1" t="s">
        <v>11</v>
      </c>
      <c r="F1527">
        <v>3502</v>
      </c>
      <c r="G1527">
        <v>1</v>
      </c>
      <c r="H1527" s="2">
        <v>0</v>
      </c>
      <c r="I1527" s="2">
        <v>41377</v>
      </c>
      <c r="J1527">
        <v>56</v>
      </c>
      <c r="K1527">
        <f>VLOOKUP(B1527,purchase_dataset!$B$2:$F$2241,2,FALSE)</f>
        <v>1</v>
      </c>
      <c r="L1527">
        <f>VLOOKUP(B1527,purchase_dataset!$B$2:$F$2241,3,FALSE)</f>
        <v>0</v>
      </c>
      <c r="M1527">
        <f>VLOOKUP(B1527,purchase_dataset!$B$2:$F$2241,3,FALSE)</f>
        <v>0</v>
      </c>
      <c r="N1527">
        <f>VLOOKUP(B1527,purchase_dataset!$B$2:$F$2241,5,FALSE)</f>
        <v>0</v>
      </c>
      <c r="O1527" s="5">
        <v>53</v>
      </c>
      <c r="P1527" s="4" t="str">
        <f t="shared" si="46"/>
        <v>&gt;50</v>
      </c>
      <c r="Q1527" s="4">
        <f>M1527+N1527</f>
        <v>0</v>
      </c>
      <c r="U1527" s="28" t="str" cm="1">
        <f t="array" ref="U1527">_xlfn.IFS(F1527&lt;30000,"30k",F1527&lt;=50000,"30k-50k",F1527&lt;=75000,"50k-75k",F1527&lt;=100000,"75k-100k",F1527&gt;100000,"100k")</f>
        <v>30k</v>
      </c>
      <c r="W1527" s="1">
        <f t="shared" si="47"/>
        <v>13</v>
      </c>
    </row>
    <row r="1528" spans="1:23" x14ac:dyDescent="0.35">
      <c r="A1528">
        <v>1525</v>
      </c>
      <c r="B1528">
        <v>2408</v>
      </c>
      <c r="C1528">
        <v>1976</v>
      </c>
      <c r="D1528" s="1" t="s">
        <v>10</v>
      </c>
      <c r="E1528" s="1" t="s">
        <v>14</v>
      </c>
      <c r="F1528">
        <v>58597</v>
      </c>
      <c r="G1528">
        <v>1</v>
      </c>
      <c r="H1528" s="2">
        <v>1</v>
      </c>
      <c r="I1528" s="2">
        <v>41233</v>
      </c>
      <c r="J1528">
        <v>20</v>
      </c>
      <c r="K1528">
        <f>VLOOKUP(B1528,purchase_dataset!$B$2:$F$2241,2,FALSE)</f>
        <v>0</v>
      </c>
      <c r="L1528">
        <f>VLOOKUP(B1528,purchase_dataset!$B$2:$F$2241,3,FALSE)</f>
        <v>28</v>
      </c>
      <c r="M1528">
        <f>VLOOKUP(B1528,purchase_dataset!$B$2:$F$2241,3,FALSE)</f>
        <v>28</v>
      </c>
      <c r="N1528">
        <f>VLOOKUP(B1528,purchase_dataset!$B$2:$F$2241,5,FALSE)</f>
        <v>9</v>
      </c>
      <c r="O1528" s="5">
        <v>50</v>
      </c>
      <c r="P1528" s="4" t="str">
        <f t="shared" si="46"/>
        <v>30-50</v>
      </c>
      <c r="Q1528" s="4">
        <f>M1528+N1528</f>
        <v>37</v>
      </c>
      <c r="U1528" s="28" t="str" cm="1">
        <f t="array" ref="U1528">_xlfn.IFS(F1528&lt;30000,"30k",F1528&lt;=50000,"30k-50k",F1528&lt;=75000,"50k-75k",F1528&lt;=100000,"75k-100k",F1528&gt;100000,"100k")</f>
        <v>50k-75k</v>
      </c>
      <c r="W1528" s="1">
        <f t="shared" si="47"/>
        <v>14</v>
      </c>
    </row>
    <row r="1529" spans="1:23" x14ac:dyDescent="0.35">
      <c r="A1529">
        <v>1526</v>
      </c>
      <c r="B1529">
        <v>202</v>
      </c>
      <c r="C1529">
        <v>1948</v>
      </c>
      <c r="D1529" s="1" t="s">
        <v>13</v>
      </c>
      <c r="E1529" s="1" t="s">
        <v>19</v>
      </c>
      <c r="F1529">
        <v>82032</v>
      </c>
      <c r="G1529">
        <v>0</v>
      </c>
      <c r="H1529" s="2">
        <v>0</v>
      </c>
      <c r="I1529" s="2">
        <v>41734</v>
      </c>
      <c r="J1529">
        <v>54</v>
      </c>
      <c r="K1529">
        <f>VLOOKUP(B1529,purchase_dataset!$B$2:$F$2241,2,FALSE)</f>
        <v>194</v>
      </c>
      <c r="L1529">
        <f>VLOOKUP(B1529,purchase_dataset!$B$2:$F$2241,3,FALSE)</f>
        <v>125</v>
      </c>
      <c r="M1529">
        <f>VLOOKUP(B1529,purchase_dataset!$B$2:$F$2241,3,FALSE)</f>
        <v>125</v>
      </c>
      <c r="N1529">
        <f>VLOOKUP(B1529,purchase_dataset!$B$2:$F$2241,5,FALSE)</f>
        <v>7</v>
      </c>
      <c r="O1529" s="5">
        <v>78</v>
      </c>
      <c r="P1529" s="4" t="str">
        <f t="shared" si="46"/>
        <v>&gt;50</v>
      </c>
      <c r="Q1529" s="4">
        <f>M1529+N1529</f>
        <v>132</v>
      </c>
      <c r="U1529" s="28" t="str" cm="1">
        <f t="array" ref="U1529">_xlfn.IFS(F1529&lt;30000,"30k",F1529&lt;=50000,"30k-50k",F1529&lt;=75000,"50k-75k",F1529&lt;=100000,"75k-100k",F1529&gt;100000,"100k")</f>
        <v>75k-100k</v>
      </c>
      <c r="W1529" s="1">
        <f t="shared" si="47"/>
        <v>12</v>
      </c>
    </row>
    <row r="1530" spans="1:23" x14ac:dyDescent="0.35">
      <c r="A1530">
        <v>1527</v>
      </c>
      <c r="B1530">
        <v>7998</v>
      </c>
      <c r="C1530">
        <v>1958</v>
      </c>
      <c r="D1530" s="1" t="s">
        <v>10</v>
      </c>
      <c r="E1530" s="1" t="s">
        <v>12</v>
      </c>
      <c r="F1530">
        <v>28087</v>
      </c>
      <c r="G1530">
        <v>1</v>
      </c>
      <c r="H1530" s="2">
        <v>1</v>
      </c>
      <c r="I1530" s="2">
        <v>41254</v>
      </c>
      <c r="J1530">
        <v>77</v>
      </c>
      <c r="K1530">
        <f>VLOOKUP(B1530,purchase_dataset!$B$2:$F$2241,2,FALSE)</f>
        <v>8</v>
      </c>
      <c r="L1530">
        <f>VLOOKUP(B1530,purchase_dataset!$B$2:$F$2241,3,FALSE)</f>
        <v>0</v>
      </c>
      <c r="M1530">
        <f>VLOOKUP(B1530,purchase_dataset!$B$2:$F$2241,3,FALSE)</f>
        <v>0</v>
      </c>
      <c r="N1530">
        <f>VLOOKUP(B1530,purchase_dataset!$B$2:$F$2241,5,FALSE)</f>
        <v>2</v>
      </c>
      <c r="O1530" s="5">
        <v>68</v>
      </c>
      <c r="P1530" s="4" t="str">
        <f t="shared" si="46"/>
        <v>&gt;50</v>
      </c>
      <c r="Q1530" s="4">
        <f>M1530+N1530</f>
        <v>2</v>
      </c>
      <c r="U1530" s="28" t="str" cm="1">
        <f t="array" ref="U1530">_xlfn.IFS(F1530&lt;30000,"30k",F1530&lt;=50000,"30k-50k",F1530&lt;=75000,"50k-75k",F1530&lt;=100000,"75k-100k",F1530&gt;100000,"100k")</f>
        <v>30k</v>
      </c>
      <c r="W1530" s="1">
        <f t="shared" si="47"/>
        <v>14</v>
      </c>
    </row>
    <row r="1531" spans="1:23" x14ac:dyDescent="0.35">
      <c r="A1531">
        <v>1528</v>
      </c>
      <c r="B1531">
        <v>830</v>
      </c>
      <c r="C1531">
        <v>1987</v>
      </c>
      <c r="D1531" s="1" t="s">
        <v>13</v>
      </c>
      <c r="E1531" s="1" t="s">
        <v>11</v>
      </c>
      <c r="F1531">
        <v>74004</v>
      </c>
      <c r="G1531">
        <v>0</v>
      </c>
      <c r="H1531" s="2">
        <v>0</v>
      </c>
      <c r="I1531" s="2">
        <v>41694</v>
      </c>
      <c r="J1531">
        <v>5</v>
      </c>
      <c r="K1531">
        <f>VLOOKUP(B1531,purchase_dataset!$B$2:$F$2241,2,FALSE)</f>
        <v>48</v>
      </c>
      <c r="L1531">
        <f>VLOOKUP(B1531,purchase_dataset!$B$2:$F$2241,3,FALSE)</f>
        <v>176</v>
      </c>
      <c r="M1531">
        <f>VLOOKUP(B1531,purchase_dataset!$B$2:$F$2241,3,FALSE)</f>
        <v>176</v>
      </c>
      <c r="N1531">
        <f>VLOOKUP(B1531,purchase_dataset!$B$2:$F$2241,5,FALSE)</f>
        <v>4</v>
      </c>
      <c r="O1531" s="5">
        <v>39</v>
      </c>
      <c r="P1531" s="4" t="str">
        <f t="shared" si="46"/>
        <v>30-50</v>
      </c>
      <c r="Q1531" s="4">
        <f>M1531+N1531</f>
        <v>180</v>
      </c>
      <c r="U1531" s="28" t="str" cm="1">
        <f t="array" ref="U1531">_xlfn.IFS(F1531&lt;30000,"30k",F1531&lt;=50000,"30k-50k",F1531&lt;=75000,"50k-75k",F1531&lt;=100000,"75k-100k",F1531&gt;100000,"100k")</f>
        <v>50k-75k</v>
      </c>
      <c r="W1531" s="1">
        <f t="shared" si="47"/>
        <v>12</v>
      </c>
    </row>
    <row r="1532" spans="1:23" x14ac:dyDescent="0.35">
      <c r="A1532">
        <v>1529</v>
      </c>
      <c r="B1532">
        <v>3536</v>
      </c>
      <c r="C1532">
        <v>1960</v>
      </c>
      <c r="D1532" s="1" t="s">
        <v>10</v>
      </c>
      <c r="E1532" s="1" t="s">
        <v>12</v>
      </c>
      <c r="F1532">
        <v>19740</v>
      </c>
      <c r="G1532">
        <v>0</v>
      </c>
      <c r="H1532" s="2">
        <v>1</v>
      </c>
      <c r="I1532" s="2">
        <v>41357</v>
      </c>
      <c r="J1532">
        <v>65</v>
      </c>
      <c r="K1532">
        <f>VLOOKUP(B1532,purchase_dataset!$B$2:$F$2241,2,FALSE)</f>
        <v>11</v>
      </c>
      <c r="L1532">
        <f>VLOOKUP(B1532,purchase_dataset!$B$2:$F$2241,3,FALSE)</f>
        <v>4</v>
      </c>
      <c r="M1532">
        <f>VLOOKUP(B1532,purchase_dataset!$B$2:$F$2241,3,FALSE)</f>
        <v>4</v>
      </c>
      <c r="N1532">
        <f>VLOOKUP(B1532,purchase_dataset!$B$2:$F$2241,5,FALSE)</f>
        <v>3</v>
      </c>
      <c r="O1532" s="5">
        <v>66</v>
      </c>
      <c r="P1532" s="4" t="str">
        <f t="shared" si="46"/>
        <v>&gt;50</v>
      </c>
      <c r="Q1532" s="4">
        <f>M1532+N1532</f>
        <v>7</v>
      </c>
      <c r="U1532" s="28" t="str" cm="1">
        <f t="array" ref="U1532">_xlfn.IFS(F1532&lt;30000,"30k",F1532&lt;=50000,"30k-50k",F1532&lt;=75000,"50k-75k",F1532&lt;=100000,"75k-100k",F1532&gt;100000,"100k")</f>
        <v>30k</v>
      </c>
      <c r="W1532" s="1">
        <f t="shared" si="47"/>
        <v>13</v>
      </c>
    </row>
    <row r="1533" spans="1:23" x14ac:dyDescent="0.35">
      <c r="A1533">
        <v>1530</v>
      </c>
      <c r="B1533">
        <v>6050</v>
      </c>
      <c r="C1533">
        <v>1975</v>
      </c>
      <c r="D1533" s="1" t="s">
        <v>18</v>
      </c>
      <c r="E1533" s="1" t="s">
        <v>14</v>
      </c>
      <c r="F1533">
        <v>57036</v>
      </c>
      <c r="G1533">
        <v>0</v>
      </c>
      <c r="H1533" s="2">
        <v>1</v>
      </c>
      <c r="I1533" s="2">
        <v>41254</v>
      </c>
      <c r="J1533">
        <v>33</v>
      </c>
      <c r="K1533">
        <f>VLOOKUP(B1533,purchase_dataset!$B$2:$F$2241,2,FALSE)</f>
        <v>43</v>
      </c>
      <c r="L1533">
        <f>VLOOKUP(B1533,purchase_dataset!$B$2:$F$2241,3,FALSE)</f>
        <v>14</v>
      </c>
      <c r="M1533">
        <f>VLOOKUP(B1533,purchase_dataset!$B$2:$F$2241,3,FALSE)</f>
        <v>14</v>
      </c>
      <c r="N1533">
        <f>VLOOKUP(B1533,purchase_dataset!$B$2:$F$2241,5,FALSE)</f>
        <v>13</v>
      </c>
      <c r="O1533" s="5">
        <v>51</v>
      </c>
      <c r="P1533" s="4" t="str">
        <f t="shared" si="46"/>
        <v>&gt;50</v>
      </c>
      <c r="Q1533" s="4">
        <f>M1533+N1533</f>
        <v>27</v>
      </c>
      <c r="U1533" s="28" t="str" cm="1">
        <f t="array" ref="U1533">_xlfn.IFS(F1533&lt;30000,"30k",F1533&lt;=50000,"30k-50k",F1533&lt;=75000,"50k-75k",F1533&lt;=100000,"75k-100k",F1533&gt;100000,"100k")</f>
        <v>50k-75k</v>
      </c>
      <c r="W1533" s="1">
        <f t="shared" si="47"/>
        <v>14</v>
      </c>
    </row>
    <row r="1534" spans="1:23" x14ac:dyDescent="0.35">
      <c r="A1534">
        <v>1531</v>
      </c>
      <c r="B1534">
        <v>125</v>
      </c>
      <c r="C1534">
        <v>1958</v>
      </c>
      <c r="D1534" s="1" t="s">
        <v>18</v>
      </c>
      <c r="E1534" s="1" t="s">
        <v>12</v>
      </c>
      <c r="F1534">
        <v>53083</v>
      </c>
      <c r="G1534">
        <v>1</v>
      </c>
      <c r="H1534" s="2">
        <v>1</v>
      </c>
      <c r="I1534" s="2">
        <v>41409</v>
      </c>
      <c r="J1534">
        <v>65</v>
      </c>
      <c r="K1534">
        <f>VLOOKUP(B1534,purchase_dataset!$B$2:$F$2241,2,FALSE)</f>
        <v>7</v>
      </c>
      <c r="L1534">
        <f>VLOOKUP(B1534,purchase_dataset!$B$2:$F$2241,3,FALSE)</f>
        <v>0</v>
      </c>
      <c r="M1534">
        <f>VLOOKUP(B1534,purchase_dataset!$B$2:$F$2241,3,FALSE)</f>
        <v>0</v>
      </c>
      <c r="N1534">
        <f>VLOOKUP(B1534,purchase_dataset!$B$2:$F$2241,5,FALSE)</f>
        <v>5</v>
      </c>
      <c r="O1534" s="5">
        <v>68</v>
      </c>
      <c r="P1534" s="4" t="str">
        <f t="shared" si="46"/>
        <v>&gt;50</v>
      </c>
      <c r="Q1534" s="4">
        <f>M1534+N1534</f>
        <v>5</v>
      </c>
      <c r="U1534" s="28" t="str" cm="1">
        <f t="array" ref="U1534">_xlfn.IFS(F1534&lt;30000,"30k",F1534&lt;=50000,"30k-50k",F1534&lt;=75000,"50k-75k",F1534&lt;=100000,"75k-100k",F1534&gt;100000,"100k")</f>
        <v>50k-75k</v>
      </c>
      <c r="W1534" s="1">
        <f t="shared" si="47"/>
        <v>13</v>
      </c>
    </row>
    <row r="1535" spans="1:23" x14ac:dyDescent="0.35">
      <c r="A1535">
        <v>1532</v>
      </c>
      <c r="B1535">
        <v>3463</v>
      </c>
      <c r="C1535">
        <v>1975</v>
      </c>
      <c r="D1535" s="1" t="s">
        <v>13</v>
      </c>
      <c r="E1535" s="1" t="s">
        <v>14</v>
      </c>
      <c r="F1535">
        <v>69283</v>
      </c>
      <c r="G1535">
        <v>0</v>
      </c>
      <c r="H1535" s="2">
        <v>1</v>
      </c>
      <c r="I1535" s="2">
        <v>41804</v>
      </c>
      <c r="J1535">
        <v>41</v>
      </c>
      <c r="K1535">
        <f>VLOOKUP(B1535,purchase_dataset!$B$2:$F$2241,2,FALSE)</f>
        <v>62</v>
      </c>
      <c r="L1535">
        <f>VLOOKUP(B1535,purchase_dataset!$B$2:$F$2241,3,FALSE)</f>
        <v>26</v>
      </c>
      <c r="M1535">
        <f>VLOOKUP(B1535,purchase_dataset!$B$2:$F$2241,3,FALSE)</f>
        <v>26</v>
      </c>
      <c r="N1535">
        <f>VLOOKUP(B1535,purchase_dataset!$B$2:$F$2241,5,FALSE)</f>
        <v>13</v>
      </c>
      <c r="O1535" s="5">
        <v>51</v>
      </c>
      <c r="P1535" s="4" t="str">
        <f t="shared" si="46"/>
        <v>&gt;50</v>
      </c>
      <c r="Q1535" s="4">
        <f>M1535+N1535</f>
        <v>39</v>
      </c>
      <c r="U1535" s="28" t="str" cm="1">
        <f t="array" ref="U1535">_xlfn.IFS(F1535&lt;30000,"30k",F1535&lt;=50000,"30k-50k",F1535&lt;=75000,"50k-75k",F1535&lt;=100000,"75k-100k",F1535&gt;100000,"100k")</f>
        <v>50k-75k</v>
      </c>
      <c r="W1535" s="1">
        <f t="shared" si="47"/>
        <v>12</v>
      </c>
    </row>
    <row r="1536" spans="1:23" x14ac:dyDescent="0.35">
      <c r="A1536">
        <v>1533</v>
      </c>
      <c r="B1536">
        <v>2804</v>
      </c>
      <c r="C1536">
        <v>1975</v>
      </c>
      <c r="D1536" s="1" t="s">
        <v>15</v>
      </c>
      <c r="E1536" s="1" t="s">
        <v>11</v>
      </c>
      <c r="F1536">
        <v>46098</v>
      </c>
      <c r="G1536">
        <v>1</v>
      </c>
      <c r="H1536" s="2">
        <v>1</v>
      </c>
      <c r="I1536" s="2">
        <v>41139</v>
      </c>
      <c r="J1536">
        <v>86</v>
      </c>
      <c r="K1536">
        <f>VLOOKUP(B1536,purchase_dataset!$B$2:$F$2241,2,FALSE)</f>
        <v>0</v>
      </c>
      <c r="L1536">
        <f>VLOOKUP(B1536,purchase_dataset!$B$2:$F$2241,3,FALSE)</f>
        <v>0</v>
      </c>
      <c r="M1536">
        <f>VLOOKUP(B1536,purchase_dataset!$B$2:$F$2241,3,FALSE)</f>
        <v>0</v>
      </c>
      <c r="N1536">
        <f>VLOOKUP(B1536,purchase_dataset!$B$2:$F$2241,5,FALSE)</f>
        <v>2</v>
      </c>
      <c r="O1536" s="5">
        <v>51</v>
      </c>
      <c r="P1536" s="4" t="str">
        <f t="shared" si="46"/>
        <v>&gt;50</v>
      </c>
      <c r="Q1536" s="4">
        <f>M1536+N1536</f>
        <v>2</v>
      </c>
      <c r="U1536" s="28" t="str" cm="1">
        <f t="array" ref="U1536">_xlfn.IFS(F1536&lt;30000,"30k",F1536&lt;=50000,"30k-50k",F1536&lt;=75000,"50k-75k",F1536&lt;=100000,"75k-100k",F1536&gt;100000,"100k")</f>
        <v>30k-50k</v>
      </c>
      <c r="W1536" s="1">
        <f t="shared" si="47"/>
        <v>14</v>
      </c>
    </row>
    <row r="1537" spans="1:23" x14ac:dyDescent="0.35">
      <c r="A1537">
        <v>1534</v>
      </c>
      <c r="B1537">
        <v>3745</v>
      </c>
      <c r="C1537">
        <v>1988</v>
      </c>
      <c r="D1537" s="1" t="s">
        <v>18</v>
      </c>
      <c r="E1537" s="1" t="s">
        <v>14</v>
      </c>
      <c r="F1537">
        <v>23331</v>
      </c>
      <c r="G1537">
        <v>1</v>
      </c>
      <c r="H1537" s="2">
        <v>0</v>
      </c>
      <c r="I1537" s="2">
        <v>41156</v>
      </c>
      <c r="J1537">
        <v>92</v>
      </c>
      <c r="K1537">
        <f>VLOOKUP(B1537,purchase_dataset!$B$2:$F$2241,2,FALSE)</f>
        <v>36</v>
      </c>
      <c r="L1537">
        <f>VLOOKUP(B1537,purchase_dataset!$B$2:$F$2241,3,FALSE)</f>
        <v>10</v>
      </c>
      <c r="M1537">
        <f>VLOOKUP(B1537,purchase_dataset!$B$2:$F$2241,3,FALSE)</f>
        <v>10</v>
      </c>
      <c r="N1537">
        <f>VLOOKUP(B1537,purchase_dataset!$B$2:$F$2241,5,FALSE)</f>
        <v>3</v>
      </c>
      <c r="O1537" s="5">
        <v>38</v>
      </c>
      <c r="P1537" s="4" t="str">
        <f t="shared" si="46"/>
        <v>30-50</v>
      </c>
      <c r="Q1537" s="4">
        <f>M1537+N1537</f>
        <v>13</v>
      </c>
      <c r="U1537" s="28" t="str" cm="1">
        <f t="array" ref="U1537">_xlfn.IFS(F1537&lt;30000,"30k",F1537&lt;=50000,"30k-50k",F1537&lt;=75000,"50k-75k",F1537&lt;=100000,"75k-100k",F1537&gt;100000,"100k")</f>
        <v>30k</v>
      </c>
      <c r="W1537" s="1">
        <f t="shared" si="47"/>
        <v>14</v>
      </c>
    </row>
    <row r="1538" spans="1:23" x14ac:dyDescent="0.35">
      <c r="A1538">
        <v>1535</v>
      </c>
      <c r="B1538">
        <v>9771</v>
      </c>
      <c r="C1538">
        <v>1988</v>
      </c>
      <c r="D1538" s="1" t="s">
        <v>18</v>
      </c>
      <c r="E1538" s="1" t="s">
        <v>11</v>
      </c>
      <c r="F1538">
        <v>23331</v>
      </c>
      <c r="G1538">
        <v>1</v>
      </c>
      <c r="H1538" s="2">
        <v>0</v>
      </c>
      <c r="I1538" s="2">
        <v>41187</v>
      </c>
      <c r="J1538">
        <v>97</v>
      </c>
      <c r="K1538">
        <f>VLOOKUP(B1538,purchase_dataset!$B$2:$F$2241,2,FALSE)</f>
        <v>20</v>
      </c>
      <c r="L1538">
        <f>VLOOKUP(B1538,purchase_dataset!$B$2:$F$2241,3,FALSE)</f>
        <v>15</v>
      </c>
      <c r="M1538">
        <f>VLOOKUP(B1538,purchase_dataset!$B$2:$F$2241,3,FALSE)</f>
        <v>15</v>
      </c>
      <c r="N1538">
        <f>VLOOKUP(B1538,purchase_dataset!$B$2:$F$2241,5,FALSE)</f>
        <v>5</v>
      </c>
      <c r="O1538" s="5">
        <v>38</v>
      </c>
      <c r="P1538" s="4" t="str">
        <f t="shared" si="46"/>
        <v>30-50</v>
      </c>
      <c r="Q1538" s="4">
        <f>M1538+N1538</f>
        <v>20</v>
      </c>
      <c r="U1538" s="28" t="str" cm="1">
        <f t="array" ref="U1538">_xlfn.IFS(F1538&lt;30000,"30k",F1538&lt;=50000,"30k-50k",F1538&lt;=75000,"50k-75k",F1538&lt;=100000,"75k-100k",F1538&gt;100000,"100k")</f>
        <v>30k</v>
      </c>
      <c r="W1538" s="1">
        <f t="shared" si="47"/>
        <v>14</v>
      </c>
    </row>
    <row r="1539" spans="1:23" x14ac:dyDescent="0.35">
      <c r="A1539">
        <v>1536</v>
      </c>
      <c r="B1539">
        <v>451</v>
      </c>
      <c r="C1539">
        <v>1989</v>
      </c>
      <c r="D1539" s="1" t="s">
        <v>10</v>
      </c>
      <c r="E1539" s="1" t="s">
        <v>11</v>
      </c>
      <c r="F1539">
        <v>9255</v>
      </c>
      <c r="G1539">
        <v>1</v>
      </c>
      <c r="H1539" s="2">
        <v>0</v>
      </c>
      <c r="I1539" s="2">
        <v>41628</v>
      </c>
      <c r="J1539">
        <v>91</v>
      </c>
      <c r="K1539">
        <f>VLOOKUP(B1539,purchase_dataset!$B$2:$F$2241,2,FALSE)</f>
        <v>0</v>
      </c>
      <c r="L1539">
        <f>VLOOKUP(B1539,purchase_dataset!$B$2:$F$2241,3,FALSE)</f>
        <v>0</v>
      </c>
      <c r="M1539">
        <f>VLOOKUP(B1539,purchase_dataset!$B$2:$F$2241,3,FALSE)</f>
        <v>0</v>
      </c>
      <c r="N1539">
        <f>VLOOKUP(B1539,purchase_dataset!$B$2:$F$2241,5,FALSE)</f>
        <v>2</v>
      </c>
      <c r="O1539" s="5">
        <v>37</v>
      </c>
      <c r="P1539" s="4" t="str">
        <f t="shared" si="46"/>
        <v>30-50</v>
      </c>
      <c r="Q1539" s="4">
        <f>M1539+N1539</f>
        <v>2</v>
      </c>
      <c r="U1539" s="28" t="str" cm="1">
        <f t="array" ref="U1539">_xlfn.IFS(F1539&lt;30000,"30k",F1539&lt;=50000,"30k-50k",F1539&lt;=75000,"50k-75k",F1539&lt;=100000,"75k-100k",F1539&gt;100000,"100k")</f>
        <v>30k</v>
      </c>
      <c r="W1539" s="1">
        <f t="shared" si="47"/>
        <v>13</v>
      </c>
    </row>
    <row r="1540" spans="1:23" x14ac:dyDescent="0.35">
      <c r="A1540">
        <v>1537</v>
      </c>
      <c r="B1540">
        <v>10530</v>
      </c>
      <c r="C1540">
        <v>1959</v>
      </c>
      <c r="D1540" s="1" t="s">
        <v>13</v>
      </c>
      <c r="E1540" s="1" t="s">
        <v>19</v>
      </c>
      <c r="F1540">
        <v>67786</v>
      </c>
      <c r="G1540">
        <v>0</v>
      </c>
      <c r="H1540" s="2">
        <v>0</v>
      </c>
      <c r="I1540" s="2">
        <v>41615</v>
      </c>
      <c r="J1540">
        <v>0</v>
      </c>
      <c r="K1540">
        <f>VLOOKUP(B1540,purchase_dataset!$B$2:$F$2241,2,FALSE)</f>
        <v>82</v>
      </c>
      <c r="L1540">
        <f>VLOOKUP(B1540,purchase_dataset!$B$2:$F$2241,3,FALSE)</f>
        <v>20</v>
      </c>
      <c r="M1540">
        <f>VLOOKUP(B1540,purchase_dataset!$B$2:$F$2241,3,FALSE)</f>
        <v>20</v>
      </c>
      <c r="N1540">
        <f>VLOOKUP(B1540,purchase_dataset!$B$2:$F$2241,5,FALSE)</f>
        <v>6</v>
      </c>
      <c r="O1540" s="5">
        <v>67</v>
      </c>
      <c r="P1540" s="4" t="str">
        <f t="shared" ref="P1540:P1603" si="48">IF(O1540&lt;30,"30",IF(O1540&lt;=50,"30-50","&gt;50"))</f>
        <v>&gt;50</v>
      </c>
      <c r="Q1540" s="4">
        <f>M1540+N1540</f>
        <v>26</v>
      </c>
      <c r="U1540" s="28" t="str" cm="1">
        <f t="array" ref="U1540">_xlfn.IFS(F1540&lt;30000,"30k",F1540&lt;=50000,"30k-50k",F1540&lt;=75000,"50k-75k",F1540&lt;=100000,"75k-100k",F1540&gt;100000,"100k")</f>
        <v>50k-75k</v>
      </c>
      <c r="W1540" s="1">
        <f t="shared" ref="W1540:W1603" si="49">2026-YEAR(I1540)</f>
        <v>13</v>
      </c>
    </row>
    <row r="1541" spans="1:23" x14ac:dyDescent="0.35">
      <c r="A1541">
        <v>1538</v>
      </c>
      <c r="B1541">
        <v>1079</v>
      </c>
      <c r="C1541">
        <v>1971</v>
      </c>
      <c r="D1541" s="1" t="s">
        <v>13</v>
      </c>
      <c r="E1541" s="1" t="s">
        <v>14</v>
      </c>
      <c r="F1541">
        <v>71969</v>
      </c>
      <c r="G1541">
        <v>0</v>
      </c>
      <c r="H1541" s="2">
        <v>1</v>
      </c>
      <c r="I1541" s="2">
        <v>41198</v>
      </c>
      <c r="J1541">
        <v>59</v>
      </c>
      <c r="K1541">
        <f>VLOOKUP(B1541,purchase_dataset!$B$2:$F$2241,2,FALSE)</f>
        <v>0</v>
      </c>
      <c r="L1541">
        <f>VLOOKUP(B1541,purchase_dataset!$B$2:$F$2241,3,FALSE)</f>
        <v>0</v>
      </c>
      <c r="M1541">
        <f>VLOOKUP(B1541,purchase_dataset!$B$2:$F$2241,3,FALSE)</f>
        <v>0</v>
      </c>
      <c r="N1541">
        <f>VLOOKUP(B1541,purchase_dataset!$B$2:$F$2241,5,FALSE)</f>
        <v>9</v>
      </c>
      <c r="O1541" s="5">
        <v>55</v>
      </c>
      <c r="P1541" s="4" t="str">
        <f t="shared" si="48"/>
        <v>&gt;50</v>
      </c>
      <c r="Q1541" s="4">
        <f>M1541+N1541</f>
        <v>9</v>
      </c>
      <c r="U1541" s="28" t="str" cm="1">
        <f t="array" ref="U1541">_xlfn.IFS(F1541&lt;30000,"30k",F1541&lt;=50000,"30k-50k",F1541&lt;=75000,"50k-75k",F1541&lt;=100000,"75k-100k",F1541&gt;100000,"100k")</f>
        <v>50k-75k</v>
      </c>
      <c r="W1541" s="1">
        <f t="shared" si="49"/>
        <v>14</v>
      </c>
    </row>
    <row r="1542" spans="1:23" x14ac:dyDescent="0.35">
      <c r="A1542">
        <v>1539</v>
      </c>
      <c r="B1542">
        <v>8920</v>
      </c>
      <c r="C1542">
        <v>1967</v>
      </c>
      <c r="D1542" s="1" t="s">
        <v>15</v>
      </c>
      <c r="E1542" s="1" t="s">
        <v>11</v>
      </c>
      <c r="F1542">
        <v>59235</v>
      </c>
      <c r="G1542">
        <v>1</v>
      </c>
      <c r="H1542" s="2">
        <v>0</v>
      </c>
      <c r="I1542" s="2">
        <v>41286</v>
      </c>
      <c r="J1542">
        <v>4</v>
      </c>
      <c r="K1542">
        <f>VLOOKUP(B1542,purchase_dataset!$B$2:$F$2241,2,FALSE)</f>
        <v>40</v>
      </c>
      <c r="L1542">
        <f>VLOOKUP(B1542,purchase_dataset!$B$2:$F$2241,3,FALSE)</f>
        <v>0</v>
      </c>
      <c r="M1542">
        <f>VLOOKUP(B1542,purchase_dataset!$B$2:$F$2241,3,FALSE)</f>
        <v>0</v>
      </c>
      <c r="N1542">
        <f>VLOOKUP(B1542,purchase_dataset!$B$2:$F$2241,5,FALSE)</f>
        <v>12</v>
      </c>
      <c r="O1542" s="5">
        <v>59</v>
      </c>
      <c r="P1542" s="4" t="str">
        <f t="shared" si="48"/>
        <v>&gt;50</v>
      </c>
      <c r="Q1542" s="4">
        <f>M1542+N1542</f>
        <v>12</v>
      </c>
      <c r="U1542" s="28" t="str" cm="1">
        <f t="array" ref="U1542">_xlfn.IFS(F1542&lt;30000,"30k",F1542&lt;=50000,"30k-50k",F1542&lt;=75000,"50k-75k",F1542&lt;=100000,"75k-100k",F1542&gt;100000,"100k")</f>
        <v>50k-75k</v>
      </c>
      <c r="W1542" s="1">
        <f t="shared" si="49"/>
        <v>13</v>
      </c>
    </row>
    <row r="1543" spans="1:23" x14ac:dyDescent="0.35">
      <c r="A1543">
        <v>1540</v>
      </c>
      <c r="B1543">
        <v>6678</v>
      </c>
      <c r="C1543">
        <v>1989</v>
      </c>
      <c r="D1543" s="1" t="s">
        <v>10</v>
      </c>
      <c r="E1543" s="1" t="s">
        <v>12</v>
      </c>
      <c r="F1543">
        <v>31928</v>
      </c>
      <c r="G1543">
        <v>1</v>
      </c>
      <c r="H1543" s="2">
        <v>0</v>
      </c>
      <c r="I1543" s="2">
        <v>41726</v>
      </c>
      <c r="J1543">
        <v>5</v>
      </c>
      <c r="K1543">
        <f>VLOOKUP(B1543,purchase_dataset!$B$2:$F$2241,2,FALSE)</f>
        <v>4</v>
      </c>
      <c r="L1543">
        <f>VLOOKUP(B1543,purchase_dataset!$B$2:$F$2241,3,FALSE)</f>
        <v>2</v>
      </c>
      <c r="M1543">
        <f>VLOOKUP(B1543,purchase_dataset!$B$2:$F$2241,3,FALSE)</f>
        <v>2</v>
      </c>
      <c r="N1543">
        <f>VLOOKUP(B1543,purchase_dataset!$B$2:$F$2241,5,FALSE)</f>
        <v>4</v>
      </c>
      <c r="O1543" s="5">
        <v>37</v>
      </c>
      <c r="P1543" s="4" t="str">
        <f t="shared" si="48"/>
        <v>30-50</v>
      </c>
      <c r="Q1543" s="4">
        <f>M1543+N1543</f>
        <v>6</v>
      </c>
      <c r="U1543" s="28" t="str" cm="1">
        <f t="array" ref="U1543">_xlfn.IFS(F1543&lt;30000,"30k",F1543&lt;=50000,"30k-50k",F1543&lt;=75000,"50k-75k",F1543&lt;=100000,"75k-100k",F1543&gt;100000,"100k")</f>
        <v>30k-50k</v>
      </c>
      <c r="W1543" s="1">
        <f t="shared" si="49"/>
        <v>12</v>
      </c>
    </row>
    <row r="1544" spans="1:23" x14ac:dyDescent="0.35">
      <c r="A1544">
        <v>1541</v>
      </c>
      <c r="B1544">
        <v>3852</v>
      </c>
      <c r="C1544">
        <v>1961</v>
      </c>
      <c r="D1544" s="1" t="s">
        <v>15</v>
      </c>
      <c r="E1544" s="1" t="s">
        <v>12</v>
      </c>
      <c r="F1544">
        <v>74881</v>
      </c>
      <c r="G1544">
        <v>1</v>
      </c>
      <c r="H1544" s="2">
        <v>1</v>
      </c>
      <c r="I1544" s="2">
        <v>41341</v>
      </c>
      <c r="J1544">
        <v>48</v>
      </c>
      <c r="K1544">
        <f>VLOOKUP(B1544,purchase_dataset!$B$2:$F$2241,2,FALSE)</f>
        <v>72</v>
      </c>
      <c r="L1544">
        <f>VLOOKUP(B1544,purchase_dataset!$B$2:$F$2241,3,FALSE)</f>
        <v>27</v>
      </c>
      <c r="M1544">
        <f>VLOOKUP(B1544,purchase_dataset!$B$2:$F$2241,3,FALSE)</f>
        <v>27</v>
      </c>
      <c r="N1544">
        <f>VLOOKUP(B1544,purchase_dataset!$B$2:$F$2241,5,FALSE)</f>
        <v>12</v>
      </c>
      <c r="O1544" s="5">
        <v>65</v>
      </c>
      <c r="P1544" s="4" t="str">
        <f t="shared" si="48"/>
        <v>&gt;50</v>
      </c>
      <c r="Q1544" s="4">
        <f>M1544+N1544</f>
        <v>39</v>
      </c>
      <c r="U1544" s="28" t="str" cm="1">
        <f t="array" ref="U1544">_xlfn.IFS(F1544&lt;30000,"30k",F1544&lt;=50000,"30k-50k",F1544&lt;=75000,"50k-75k",F1544&lt;=100000,"75k-100k",F1544&gt;100000,"100k")</f>
        <v>50k-75k</v>
      </c>
      <c r="W1544" s="1">
        <f t="shared" si="49"/>
        <v>13</v>
      </c>
    </row>
    <row r="1545" spans="1:23" x14ac:dyDescent="0.35">
      <c r="A1545">
        <v>1542</v>
      </c>
      <c r="B1545">
        <v>528</v>
      </c>
      <c r="C1545">
        <v>1978</v>
      </c>
      <c r="D1545" s="1" t="s">
        <v>10</v>
      </c>
      <c r="E1545" s="1" t="s">
        <v>14</v>
      </c>
      <c r="F1545">
        <v>65819</v>
      </c>
      <c r="G1545">
        <v>0</v>
      </c>
      <c r="H1545" s="2">
        <v>0</v>
      </c>
      <c r="I1545" s="2">
        <v>41242</v>
      </c>
      <c r="J1545">
        <v>99</v>
      </c>
      <c r="K1545">
        <f>VLOOKUP(B1545,purchase_dataset!$B$2:$F$2241,2,FALSE)</f>
        <v>38</v>
      </c>
      <c r="L1545">
        <f>VLOOKUP(B1545,purchase_dataset!$B$2:$F$2241,3,FALSE)</f>
        <v>165</v>
      </c>
      <c r="M1545">
        <f>VLOOKUP(B1545,purchase_dataset!$B$2:$F$2241,3,FALSE)</f>
        <v>165</v>
      </c>
      <c r="N1545">
        <f>VLOOKUP(B1545,purchase_dataset!$B$2:$F$2241,5,FALSE)</f>
        <v>10</v>
      </c>
      <c r="O1545" s="5">
        <v>48</v>
      </c>
      <c r="P1545" s="4" t="str">
        <f t="shared" si="48"/>
        <v>30-50</v>
      </c>
      <c r="Q1545" s="4">
        <f>M1545+N1545</f>
        <v>175</v>
      </c>
      <c r="U1545" s="28" t="str" cm="1">
        <f t="array" ref="U1545">_xlfn.IFS(F1545&lt;30000,"30k",F1545&lt;=50000,"30k-50k",F1545&lt;=75000,"50k-75k",F1545&lt;=100000,"75k-100k",F1545&gt;100000,"100k")</f>
        <v>50k-75k</v>
      </c>
      <c r="W1545" s="1">
        <f t="shared" si="49"/>
        <v>14</v>
      </c>
    </row>
    <row r="1546" spans="1:23" x14ac:dyDescent="0.35">
      <c r="A1546">
        <v>1543</v>
      </c>
      <c r="B1546">
        <v>73</v>
      </c>
      <c r="C1546">
        <v>1953</v>
      </c>
      <c r="D1546" s="1" t="s">
        <v>13</v>
      </c>
      <c r="E1546" s="1" t="s">
        <v>11</v>
      </c>
      <c r="F1546">
        <v>51411</v>
      </c>
      <c r="G1546">
        <v>1</v>
      </c>
      <c r="H1546" s="2">
        <v>2</v>
      </c>
      <c r="I1546" s="2">
        <v>41420</v>
      </c>
      <c r="J1546">
        <v>81</v>
      </c>
      <c r="K1546">
        <f>VLOOKUP(B1546,purchase_dataset!$B$2:$F$2241,2,FALSE)</f>
        <v>0</v>
      </c>
      <c r="L1546">
        <f>VLOOKUP(B1546,purchase_dataset!$B$2:$F$2241,3,FALSE)</f>
        <v>0</v>
      </c>
      <c r="M1546">
        <f>VLOOKUP(B1546,purchase_dataset!$B$2:$F$2241,3,FALSE)</f>
        <v>0</v>
      </c>
      <c r="N1546">
        <f>VLOOKUP(B1546,purchase_dataset!$B$2:$F$2241,5,FALSE)</f>
        <v>3</v>
      </c>
      <c r="O1546" s="5">
        <v>73</v>
      </c>
      <c r="P1546" s="4" t="str">
        <f t="shared" si="48"/>
        <v>&gt;50</v>
      </c>
      <c r="Q1546" s="4">
        <f>M1546+N1546</f>
        <v>3</v>
      </c>
      <c r="U1546" s="28" t="str" cm="1">
        <f t="array" ref="U1546">_xlfn.IFS(F1546&lt;30000,"30k",F1546&lt;=50000,"30k-50k",F1546&lt;=75000,"50k-75k",F1546&lt;=100000,"75k-100k",F1546&gt;100000,"100k")</f>
        <v>50k-75k</v>
      </c>
      <c r="W1546" s="1">
        <f t="shared" si="49"/>
        <v>13</v>
      </c>
    </row>
    <row r="1547" spans="1:23" x14ac:dyDescent="0.35">
      <c r="A1547">
        <v>1544</v>
      </c>
      <c r="B1547">
        <v>5589</v>
      </c>
      <c r="C1547">
        <v>1964</v>
      </c>
      <c r="D1547" s="1" t="s">
        <v>10</v>
      </c>
      <c r="E1547" s="1" t="s">
        <v>16</v>
      </c>
      <c r="F1547">
        <v>51983</v>
      </c>
      <c r="G1547">
        <v>0</v>
      </c>
      <c r="H1547" s="2">
        <v>1</v>
      </c>
      <c r="I1547" s="2">
        <v>41152</v>
      </c>
      <c r="J1547">
        <v>95</v>
      </c>
      <c r="K1547">
        <f>VLOOKUP(B1547,purchase_dataset!$B$2:$F$2241,2,FALSE)</f>
        <v>0</v>
      </c>
      <c r="L1547">
        <f>VLOOKUP(B1547,purchase_dataset!$B$2:$F$2241,3,FALSE)</f>
        <v>7</v>
      </c>
      <c r="M1547">
        <f>VLOOKUP(B1547,purchase_dataset!$B$2:$F$2241,3,FALSE)</f>
        <v>7</v>
      </c>
      <c r="N1547">
        <f>VLOOKUP(B1547,purchase_dataset!$B$2:$F$2241,5,FALSE)</f>
        <v>10</v>
      </c>
      <c r="O1547" s="5">
        <v>62</v>
      </c>
      <c r="P1547" s="4" t="str">
        <f t="shared" si="48"/>
        <v>&gt;50</v>
      </c>
      <c r="Q1547" s="4">
        <f>M1547+N1547</f>
        <v>17</v>
      </c>
      <c r="U1547" s="28" t="str" cm="1">
        <f t="array" ref="U1547">_xlfn.IFS(F1547&lt;30000,"30k",F1547&lt;=50000,"30k-50k",F1547&lt;=75000,"50k-75k",F1547&lt;=100000,"75k-100k",F1547&gt;100000,"100k")</f>
        <v>50k-75k</v>
      </c>
      <c r="W1547" s="1">
        <f t="shared" si="49"/>
        <v>14</v>
      </c>
    </row>
    <row r="1548" spans="1:23" x14ac:dyDescent="0.35">
      <c r="A1548">
        <v>1545</v>
      </c>
      <c r="B1548">
        <v>10212</v>
      </c>
      <c r="C1548">
        <v>1986</v>
      </c>
      <c r="D1548" s="1" t="s">
        <v>15</v>
      </c>
      <c r="E1548" s="1" t="s">
        <v>12</v>
      </c>
      <c r="F1548">
        <v>42386</v>
      </c>
      <c r="G1548">
        <v>1</v>
      </c>
      <c r="H1548" s="2">
        <v>0</v>
      </c>
      <c r="I1548" s="2">
        <v>41287</v>
      </c>
      <c r="J1548">
        <v>43</v>
      </c>
      <c r="K1548">
        <f>VLOOKUP(B1548,purchase_dataset!$B$2:$F$2241,2,FALSE)</f>
        <v>4</v>
      </c>
      <c r="L1548">
        <f>VLOOKUP(B1548,purchase_dataset!$B$2:$F$2241,3,FALSE)</f>
        <v>4</v>
      </c>
      <c r="M1548">
        <f>VLOOKUP(B1548,purchase_dataset!$B$2:$F$2241,3,FALSE)</f>
        <v>4</v>
      </c>
      <c r="N1548">
        <f>VLOOKUP(B1548,purchase_dataset!$B$2:$F$2241,5,FALSE)</f>
        <v>3</v>
      </c>
      <c r="O1548" s="5">
        <v>40</v>
      </c>
      <c r="P1548" s="4" t="str">
        <f t="shared" si="48"/>
        <v>30-50</v>
      </c>
      <c r="Q1548" s="4">
        <f>M1548+N1548</f>
        <v>7</v>
      </c>
      <c r="U1548" s="28" t="str" cm="1">
        <f t="array" ref="U1548">_xlfn.IFS(F1548&lt;30000,"30k",F1548&lt;=50000,"30k-50k",F1548&lt;=75000,"50k-75k",F1548&lt;=100000,"75k-100k",F1548&gt;100000,"100k")</f>
        <v>30k-50k</v>
      </c>
      <c r="W1548" s="1">
        <f t="shared" si="49"/>
        <v>13</v>
      </c>
    </row>
    <row r="1549" spans="1:23" x14ac:dyDescent="0.35">
      <c r="A1549">
        <v>1546</v>
      </c>
      <c r="B1549">
        <v>6365</v>
      </c>
      <c r="C1549">
        <v>1987</v>
      </c>
      <c r="D1549" s="1" t="s">
        <v>18</v>
      </c>
      <c r="E1549" s="1" t="s">
        <v>14</v>
      </c>
      <c r="F1549">
        <v>30390</v>
      </c>
      <c r="G1549">
        <v>0</v>
      </c>
      <c r="H1549" s="2">
        <v>0</v>
      </c>
      <c r="I1549" s="2">
        <v>41519</v>
      </c>
      <c r="J1549">
        <v>5</v>
      </c>
      <c r="K1549">
        <f>VLOOKUP(B1549,purchase_dataset!$B$2:$F$2241,2,FALSE)</f>
        <v>12</v>
      </c>
      <c r="L1549">
        <f>VLOOKUP(B1549,purchase_dataset!$B$2:$F$2241,3,FALSE)</f>
        <v>1</v>
      </c>
      <c r="M1549">
        <f>VLOOKUP(B1549,purchase_dataset!$B$2:$F$2241,3,FALSE)</f>
        <v>1</v>
      </c>
      <c r="N1549">
        <f>VLOOKUP(B1549,purchase_dataset!$B$2:$F$2241,5,FALSE)</f>
        <v>3</v>
      </c>
      <c r="O1549" s="5">
        <v>39</v>
      </c>
      <c r="P1549" s="4" t="str">
        <f t="shared" si="48"/>
        <v>30-50</v>
      </c>
      <c r="Q1549" s="4">
        <f>M1549+N1549</f>
        <v>4</v>
      </c>
      <c r="U1549" s="28" t="str" cm="1">
        <f t="array" ref="U1549">_xlfn.IFS(F1549&lt;30000,"30k",F1549&lt;=50000,"30k-50k",F1549&lt;=75000,"50k-75k",F1549&lt;=100000,"75k-100k",F1549&gt;100000,"100k")</f>
        <v>30k-50k</v>
      </c>
      <c r="W1549" s="1">
        <f t="shared" si="49"/>
        <v>13</v>
      </c>
    </row>
    <row r="1550" spans="1:23" x14ac:dyDescent="0.35">
      <c r="A1550">
        <v>1547</v>
      </c>
      <c r="B1550">
        <v>5636</v>
      </c>
      <c r="C1550">
        <v>1963</v>
      </c>
      <c r="D1550" s="1" t="s">
        <v>10</v>
      </c>
      <c r="E1550" s="1" t="s">
        <v>11</v>
      </c>
      <c r="F1550">
        <v>30983</v>
      </c>
      <c r="G1550">
        <v>0</v>
      </c>
      <c r="H1550" s="2">
        <v>0</v>
      </c>
      <c r="I1550" s="2">
        <v>41222</v>
      </c>
      <c r="J1550">
        <v>50</v>
      </c>
      <c r="K1550">
        <f>VLOOKUP(B1550,purchase_dataset!$B$2:$F$2241,2,FALSE)</f>
        <v>4</v>
      </c>
      <c r="L1550">
        <f>VLOOKUP(B1550,purchase_dataset!$B$2:$F$2241,3,FALSE)</f>
        <v>1</v>
      </c>
      <c r="M1550">
        <f>VLOOKUP(B1550,purchase_dataset!$B$2:$F$2241,3,FALSE)</f>
        <v>1</v>
      </c>
      <c r="N1550">
        <f>VLOOKUP(B1550,purchase_dataset!$B$2:$F$2241,5,FALSE)</f>
        <v>3</v>
      </c>
      <c r="O1550" s="5">
        <v>63</v>
      </c>
      <c r="P1550" s="4" t="str">
        <f t="shared" si="48"/>
        <v>&gt;50</v>
      </c>
      <c r="Q1550" s="4">
        <f>M1550+N1550</f>
        <v>4</v>
      </c>
      <c r="U1550" s="28" t="str" cm="1">
        <f t="array" ref="U1550">_xlfn.IFS(F1550&lt;30000,"30k",F1550&lt;=50000,"30k-50k",F1550&lt;=75000,"50k-75k",F1550&lt;=100000,"75k-100k",F1550&gt;100000,"100k")</f>
        <v>30k-50k</v>
      </c>
      <c r="W1550" s="1">
        <f t="shared" si="49"/>
        <v>14</v>
      </c>
    </row>
    <row r="1551" spans="1:23" x14ac:dyDescent="0.35">
      <c r="A1551">
        <v>1548</v>
      </c>
      <c r="B1551">
        <v>591</v>
      </c>
      <c r="C1551">
        <v>1957</v>
      </c>
      <c r="D1551" s="1" t="s">
        <v>10</v>
      </c>
      <c r="E1551" s="1" t="s">
        <v>19</v>
      </c>
      <c r="F1551">
        <v>66033</v>
      </c>
      <c r="G1551">
        <v>0</v>
      </c>
      <c r="H1551" s="2">
        <v>1</v>
      </c>
      <c r="I1551" s="2">
        <v>41294</v>
      </c>
      <c r="J1551">
        <v>76</v>
      </c>
      <c r="K1551">
        <f>VLOOKUP(B1551,purchase_dataset!$B$2:$F$2241,2,FALSE)</f>
        <v>35</v>
      </c>
      <c r="L1551">
        <f>VLOOKUP(B1551,purchase_dataset!$B$2:$F$2241,3,FALSE)</f>
        <v>59</v>
      </c>
      <c r="M1551">
        <f>VLOOKUP(B1551,purchase_dataset!$B$2:$F$2241,3,FALSE)</f>
        <v>59</v>
      </c>
      <c r="N1551">
        <f>VLOOKUP(B1551,purchase_dataset!$B$2:$F$2241,5,FALSE)</f>
        <v>7</v>
      </c>
      <c r="O1551" s="5">
        <v>69</v>
      </c>
      <c r="P1551" s="4" t="str">
        <f t="shared" si="48"/>
        <v>&gt;50</v>
      </c>
      <c r="Q1551" s="4">
        <f>M1551+N1551</f>
        <v>66</v>
      </c>
      <c r="U1551" s="28" t="str" cm="1">
        <f t="array" ref="U1551">_xlfn.IFS(F1551&lt;30000,"30k",F1551&lt;=50000,"30k-50k",F1551&lt;=75000,"50k-75k",F1551&lt;=100000,"75k-100k",F1551&gt;100000,"100k")</f>
        <v>50k-75k</v>
      </c>
      <c r="W1551" s="1">
        <f t="shared" si="49"/>
        <v>13</v>
      </c>
    </row>
    <row r="1552" spans="1:23" x14ac:dyDescent="0.35">
      <c r="A1552">
        <v>1549</v>
      </c>
      <c r="B1552">
        <v>2217</v>
      </c>
      <c r="C1552">
        <v>1975</v>
      </c>
      <c r="D1552" s="1" t="s">
        <v>18</v>
      </c>
      <c r="E1552" s="1" t="s">
        <v>14</v>
      </c>
      <c r="F1552">
        <v>37284</v>
      </c>
      <c r="G1552">
        <v>1</v>
      </c>
      <c r="H1552" s="2">
        <v>1</v>
      </c>
      <c r="I1552" s="2">
        <v>41362</v>
      </c>
      <c r="J1552">
        <v>46</v>
      </c>
      <c r="K1552">
        <f>VLOOKUP(B1552,purchase_dataset!$B$2:$F$2241,2,FALSE)</f>
        <v>1</v>
      </c>
      <c r="L1552">
        <f>VLOOKUP(B1552,purchase_dataset!$B$2:$F$2241,3,FALSE)</f>
        <v>1</v>
      </c>
      <c r="M1552">
        <f>VLOOKUP(B1552,purchase_dataset!$B$2:$F$2241,3,FALSE)</f>
        <v>1</v>
      </c>
      <c r="N1552">
        <f>VLOOKUP(B1552,purchase_dataset!$B$2:$F$2241,5,FALSE)</f>
        <v>3</v>
      </c>
      <c r="O1552" s="5">
        <v>51</v>
      </c>
      <c r="P1552" s="4" t="str">
        <f t="shared" si="48"/>
        <v>&gt;50</v>
      </c>
      <c r="Q1552" s="4">
        <f>M1552+N1552</f>
        <v>4</v>
      </c>
      <c r="U1552" s="28" t="str" cm="1">
        <f t="array" ref="U1552">_xlfn.IFS(F1552&lt;30000,"30k",F1552&lt;=50000,"30k-50k",F1552&lt;=75000,"50k-75k",F1552&lt;=100000,"75k-100k",F1552&gt;100000,"100k")</f>
        <v>30k-50k</v>
      </c>
      <c r="W1552" s="1">
        <f t="shared" si="49"/>
        <v>13</v>
      </c>
    </row>
    <row r="1553" spans="1:23" x14ac:dyDescent="0.35">
      <c r="A1553">
        <v>1550</v>
      </c>
      <c r="B1553">
        <v>2544</v>
      </c>
      <c r="C1553">
        <v>1951</v>
      </c>
      <c r="D1553" s="1" t="s">
        <v>15</v>
      </c>
      <c r="E1553" s="1" t="s">
        <v>16</v>
      </c>
      <c r="F1553">
        <v>57530</v>
      </c>
      <c r="G1553">
        <v>0</v>
      </c>
      <c r="H1553" s="2">
        <v>1</v>
      </c>
      <c r="I1553" s="2">
        <v>41559</v>
      </c>
      <c r="J1553">
        <v>68</v>
      </c>
      <c r="K1553">
        <f>VLOOKUP(B1553,purchase_dataset!$B$2:$F$2241,2,FALSE)</f>
        <v>1</v>
      </c>
      <c r="L1553">
        <f>VLOOKUP(B1553,purchase_dataset!$B$2:$F$2241,3,FALSE)</f>
        <v>7</v>
      </c>
      <c r="M1553">
        <f>VLOOKUP(B1553,purchase_dataset!$B$2:$F$2241,3,FALSE)</f>
        <v>7</v>
      </c>
      <c r="N1553">
        <f>VLOOKUP(B1553,purchase_dataset!$B$2:$F$2241,5,FALSE)</f>
        <v>4</v>
      </c>
      <c r="O1553" s="5">
        <v>75</v>
      </c>
      <c r="P1553" s="4" t="str">
        <f t="shared" si="48"/>
        <v>&gt;50</v>
      </c>
      <c r="Q1553" s="4">
        <f>M1553+N1553</f>
        <v>11</v>
      </c>
      <c r="U1553" s="28" t="str" cm="1">
        <f t="array" ref="U1553">_xlfn.IFS(F1553&lt;30000,"30k",F1553&lt;=50000,"30k-50k",F1553&lt;=75000,"50k-75k",F1553&lt;=100000,"75k-100k",F1553&gt;100000,"100k")</f>
        <v>50k-75k</v>
      </c>
      <c r="W1553" s="1">
        <f t="shared" si="49"/>
        <v>13</v>
      </c>
    </row>
    <row r="1554" spans="1:23" x14ac:dyDescent="0.35">
      <c r="A1554">
        <v>1551</v>
      </c>
      <c r="B1554">
        <v>7725</v>
      </c>
      <c r="C1554">
        <v>1965</v>
      </c>
      <c r="D1554" s="1" t="s">
        <v>18</v>
      </c>
      <c r="E1554" s="1" t="s">
        <v>14</v>
      </c>
      <c r="F1554">
        <v>76800</v>
      </c>
      <c r="G1554">
        <v>0</v>
      </c>
      <c r="H1554" s="2">
        <v>0</v>
      </c>
      <c r="I1554" s="2">
        <v>41706</v>
      </c>
      <c r="J1554">
        <v>33</v>
      </c>
      <c r="K1554">
        <f>VLOOKUP(B1554,purchase_dataset!$B$2:$F$2241,2,FALSE)</f>
        <v>26</v>
      </c>
      <c r="L1554">
        <f>VLOOKUP(B1554,purchase_dataset!$B$2:$F$2241,3,FALSE)</f>
        <v>71</v>
      </c>
      <c r="M1554">
        <f>VLOOKUP(B1554,purchase_dataset!$B$2:$F$2241,3,FALSE)</f>
        <v>71</v>
      </c>
      <c r="N1554">
        <f>VLOOKUP(B1554,purchase_dataset!$B$2:$F$2241,5,FALSE)</f>
        <v>7</v>
      </c>
      <c r="O1554" s="5">
        <v>61</v>
      </c>
      <c r="P1554" s="4" t="str">
        <f t="shared" si="48"/>
        <v>&gt;50</v>
      </c>
      <c r="Q1554" s="4">
        <f>M1554+N1554</f>
        <v>78</v>
      </c>
      <c r="U1554" s="28" t="str" cm="1">
        <f t="array" ref="U1554">_xlfn.IFS(F1554&lt;30000,"30k",F1554&lt;=50000,"30k-50k",F1554&lt;=75000,"50k-75k",F1554&lt;=100000,"75k-100k",F1554&gt;100000,"100k")</f>
        <v>75k-100k</v>
      </c>
      <c r="W1554" s="1">
        <f t="shared" si="49"/>
        <v>12</v>
      </c>
    </row>
    <row r="1555" spans="1:23" x14ac:dyDescent="0.35">
      <c r="A1555">
        <v>1552</v>
      </c>
      <c r="B1555">
        <v>8091</v>
      </c>
      <c r="C1555">
        <v>1956</v>
      </c>
      <c r="D1555" s="1" t="s">
        <v>10</v>
      </c>
      <c r="E1555" s="1" t="s">
        <v>14</v>
      </c>
      <c r="F1555">
        <v>63943</v>
      </c>
      <c r="G1555">
        <v>0</v>
      </c>
      <c r="H1555" s="2">
        <v>1</v>
      </c>
      <c r="I1555" s="2">
        <v>41154</v>
      </c>
      <c r="J1555">
        <v>50</v>
      </c>
      <c r="K1555">
        <f>VLOOKUP(B1555,purchase_dataset!$B$2:$F$2241,2,FALSE)</f>
        <v>184</v>
      </c>
      <c r="L1555">
        <f>VLOOKUP(B1555,purchase_dataset!$B$2:$F$2241,3,FALSE)</f>
        <v>97</v>
      </c>
      <c r="M1555">
        <f>VLOOKUP(B1555,purchase_dataset!$B$2:$F$2241,3,FALSE)</f>
        <v>97</v>
      </c>
      <c r="N1555">
        <f>VLOOKUP(B1555,purchase_dataset!$B$2:$F$2241,5,FALSE)</f>
        <v>6</v>
      </c>
      <c r="O1555" s="5">
        <v>70</v>
      </c>
      <c r="P1555" s="4" t="str">
        <f t="shared" si="48"/>
        <v>&gt;50</v>
      </c>
      <c r="Q1555" s="4">
        <f>M1555+N1555</f>
        <v>103</v>
      </c>
      <c r="U1555" s="28" t="str" cm="1">
        <f t="array" ref="U1555">_xlfn.IFS(F1555&lt;30000,"30k",F1555&lt;=50000,"30k-50k",F1555&lt;=75000,"50k-75k",F1555&lt;=100000,"75k-100k",F1555&gt;100000,"100k")</f>
        <v>50k-75k</v>
      </c>
      <c r="W1555" s="1">
        <f t="shared" si="49"/>
        <v>14</v>
      </c>
    </row>
    <row r="1556" spans="1:23" x14ac:dyDescent="0.35">
      <c r="A1556">
        <v>1553</v>
      </c>
      <c r="B1556">
        <v>7321</v>
      </c>
      <c r="C1556">
        <v>1962</v>
      </c>
      <c r="D1556" s="1" t="s">
        <v>10</v>
      </c>
      <c r="E1556" s="1" t="s">
        <v>12</v>
      </c>
      <c r="F1556">
        <v>76081</v>
      </c>
      <c r="G1556">
        <v>0</v>
      </c>
      <c r="H1556" s="2">
        <v>0</v>
      </c>
      <c r="I1556" s="2">
        <v>41782</v>
      </c>
      <c r="J1556">
        <v>85</v>
      </c>
      <c r="K1556">
        <f>VLOOKUP(B1556,purchase_dataset!$B$2:$F$2241,2,FALSE)</f>
        <v>30</v>
      </c>
      <c r="L1556">
        <f>VLOOKUP(B1556,purchase_dataset!$B$2:$F$2241,3,FALSE)</f>
        <v>33</v>
      </c>
      <c r="M1556">
        <f>VLOOKUP(B1556,purchase_dataset!$B$2:$F$2241,3,FALSE)</f>
        <v>33</v>
      </c>
      <c r="N1556">
        <f>VLOOKUP(B1556,purchase_dataset!$B$2:$F$2241,5,FALSE)</f>
        <v>4</v>
      </c>
      <c r="O1556" s="5">
        <v>64</v>
      </c>
      <c r="P1556" s="4" t="str">
        <f t="shared" si="48"/>
        <v>&gt;50</v>
      </c>
      <c r="Q1556" s="4">
        <f>M1556+N1556</f>
        <v>37</v>
      </c>
      <c r="U1556" s="28" t="str" cm="1">
        <f t="array" ref="U1556">_xlfn.IFS(F1556&lt;30000,"30k",F1556&lt;=50000,"30k-50k",F1556&lt;=75000,"50k-75k",F1556&lt;=100000,"75k-100k",F1556&gt;100000,"100k")</f>
        <v>75k-100k</v>
      </c>
      <c r="W1556" s="1">
        <f t="shared" si="49"/>
        <v>12</v>
      </c>
    </row>
    <row r="1557" spans="1:23" x14ac:dyDescent="0.35">
      <c r="A1557">
        <v>1554</v>
      </c>
      <c r="B1557">
        <v>5462</v>
      </c>
      <c r="C1557">
        <v>1974</v>
      </c>
      <c r="D1557" s="1" t="s">
        <v>10</v>
      </c>
      <c r="E1557" s="1" t="s">
        <v>14</v>
      </c>
      <c r="F1557">
        <v>67445</v>
      </c>
      <c r="G1557">
        <v>0</v>
      </c>
      <c r="H1557" s="2">
        <v>1</v>
      </c>
      <c r="I1557" s="2">
        <v>41133</v>
      </c>
      <c r="J1557">
        <v>63</v>
      </c>
      <c r="K1557">
        <f>VLOOKUP(B1557,purchase_dataset!$B$2:$F$2241,2,FALSE)</f>
        <v>80</v>
      </c>
      <c r="L1557">
        <f>VLOOKUP(B1557,purchase_dataset!$B$2:$F$2241,3,FALSE)</f>
        <v>80</v>
      </c>
      <c r="M1557">
        <f>VLOOKUP(B1557,purchase_dataset!$B$2:$F$2241,3,FALSE)</f>
        <v>80</v>
      </c>
      <c r="N1557">
        <f>VLOOKUP(B1557,purchase_dataset!$B$2:$F$2241,5,FALSE)</f>
        <v>12</v>
      </c>
      <c r="O1557" s="5">
        <v>52</v>
      </c>
      <c r="P1557" s="4" t="str">
        <f t="shared" si="48"/>
        <v>&gt;50</v>
      </c>
      <c r="Q1557" s="4">
        <f>M1557+N1557</f>
        <v>92</v>
      </c>
      <c r="U1557" s="28" t="str" cm="1">
        <f t="array" ref="U1557">_xlfn.IFS(F1557&lt;30000,"30k",F1557&lt;=50000,"30k-50k",F1557&lt;=75000,"50k-75k",F1557&lt;=100000,"75k-100k",F1557&gt;100000,"100k")</f>
        <v>50k-75k</v>
      </c>
      <c r="W1557" s="1">
        <f t="shared" si="49"/>
        <v>14</v>
      </c>
    </row>
    <row r="1558" spans="1:23" x14ac:dyDescent="0.35">
      <c r="A1558">
        <v>1555</v>
      </c>
      <c r="B1558">
        <v>7791</v>
      </c>
      <c r="C1558">
        <v>1967</v>
      </c>
      <c r="D1558" s="1" t="s">
        <v>15</v>
      </c>
      <c r="E1558" s="1" t="s">
        <v>14</v>
      </c>
      <c r="F1558">
        <v>37054</v>
      </c>
      <c r="G1558">
        <v>1</v>
      </c>
      <c r="H1558" s="2">
        <v>1</v>
      </c>
      <c r="I1558" s="2">
        <v>41532</v>
      </c>
      <c r="J1558">
        <v>89</v>
      </c>
      <c r="K1558">
        <f>VLOOKUP(B1558,purchase_dataset!$B$2:$F$2241,2,FALSE)</f>
        <v>1</v>
      </c>
      <c r="L1558">
        <f>VLOOKUP(B1558,purchase_dataset!$B$2:$F$2241,3,FALSE)</f>
        <v>1</v>
      </c>
      <c r="M1558">
        <f>VLOOKUP(B1558,purchase_dataset!$B$2:$F$2241,3,FALSE)</f>
        <v>1</v>
      </c>
      <c r="N1558">
        <f>VLOOKUP(B1558,purchase_dataset!$B$2:$F$2241,5,FALSE)</f>
        <v>3</v>
      </c>
      <c r="O1558" s="5">
        <v>59</v>
      </c>
      <c r="P1558" s="4" t="str">
        <f t="shared" si="48"/>
        <v>&gt;50</v>
      </c>
      <c r="Q1558" s="4">
        <f>M1558+N1558</f>
        <v>4</v>
      </c>
      <c r="U1558" s="28" t="str" cm="1">
        <f t="array" ref="U1558">_xlfn.IFS(F1558&lt;30000,"30k",F1558&lt;=50000,"30k-50k",F1558&lt;=75000,"50k-75k",F1558&lt;=100000,"75k-100k",F1558&gt;100000,"100k")</f>
        <v>30k-50k</v>
      </c>
      <c r="W1558" s="1">
        <f t="shared" si="49"/>
        <v>13</v>
      </c>
    </row>
    <row r="1559" spans="1:23" x14ac:dyDescent="0.35">
      <c r="A1559">
        <v>1556</v>
      </c>
      <c r="B1559">
        <v>955</v>
      </c>
      <c r="C1559">
        <v>1962</v>
      </c>
      <c r="D1559" s="1" t="s">
        <v>15</v>
      </c>
      <c r="E1559" s="1" t="s">
        <v>12</v>
      </c>
      <c r="F1559">
        <v>47175</v>
      </c>
      <c r="G1559">
        <v>1</v>
      </c>
      <c r="H1559" s="2">
        <v>1</v>
      </c>
      <c r="I1559" s="2">
        <v>41210</v>
      </c>
      <c r="J1559">
        <v>81</v>
      </c>
      <c r="K1559">
        <f>VLOOKUP(B1559,purchase_dataset!$B$2:$F$2241,2,FALSE)</f>
        <v>2</v>
      </c>
      <c r="L1559">
        <f>VLOOKUP(B1559,purchase_dataset!$B$2:$F$2241,3,FALSE)</f>
        <v>2</v>
      </c>
      <c r="M1559">
        <f>VLOOKUP(B1559,purchase_dataset!$B$2:$F$2241,3,FALSE)</f>
        <v>2</v>
      </c>
      <c r="N1559">
        <f>VLOOKUP(B1559,purchase_dataset!$B$2:$F$2241,5,FALSE)</f>
        <v>4</v>
      </c>
      <c r="O1559" s="5">
        <v>64</v>
      </c>
      <c r="P1559" s="4" t="str">
        <f t="shared" si="48"/>
        <v>&gt;50</v>
      </c>
      <c r="Q1559" s="4">
        <f>M1559+N1559</f>
        <v>6</v>
      </c>
      <c r="U1559" s="28" t="str" cm="1">
        <f t="array" ref="U1559">_xlfn.IFS(F1559&lt;30000,"30k",F1559&lt;=50000,"30k-50k",F1559&lt;=75000,"50k-75k",F1559&lt;=100000,"75k-100k",F1559&gt;100000,"100k")</f>
        <v>30k-50k</v>
      </c>
      <c r="W1559" s="1">
        <f t="shared" si="49"/>
        <v>14</v>
      </c>
    </row>
    <row r="1560" spans="1:23" x14ac:dyDescent="0.35">
      <c r="A1560">
        <v>1557</v>
      </c>
      <c r="B1560">
        <v>4037</v>
      </c>
      <c r="C1560">
        <v>1976</v>
      </c>
      <c r="D1560" s="1" t="s">
        <v>10</v>
      </c>
      <c r="E1560" s="1" t="s">
        <v>16</v>
      </c>
      <c r="F1560">
        <v>31859</v>
      </c>
      <c r="G1560">
        <v>1</v>
      </c>
      <c r="H1560" s="2">
        <v>0</v>
      </c>
      <c r="I1560" s="2">
        <v>41439</v>
      </c>
      <c r="J1560">
        <v>77</v>
      </c>
      <c r="K1560">
        <f>VLOOKUP(B1560,purchase_dataset!$B$2:$F$2241,2,FALSE)</f>
        <v>1</v>
      </c>
      <c r="L1560">
        <f>VLOOKUP(B1560,purchase_dataset!$B$2:$F$2241,3,FALSE)</f>
        <v>0</v>
      </c>
      <c r="M1560">
        <f>VLOOKUP(B1560,purchase_dataset!$B$2:$F$2241,3,FALSE)</f>
        <v>0</v>
      </c>
      <c r="N1560">
        <f>VLOOKUP(B1560,purchase_dataset!$B$2:$F$2241,5,FALSE)</f>
        <v>2</v>
      </c>
      <c r="O1560" s="5">
        <v>50</v>
      </c>
      <c r="P1560" s="4" t="str">
        <f t="shared" si="48"/>
        <v>30-50</v>
      </c>
      <c r="Q1560" s="4">
        <f>M1560+N1560</f>
        <v>2</v>
      </c>
      <c r="U1560" s="28" t="str" cm="1">
        <f t="array" ref="U1560">_xlfn.IFS(F1560&lt;30000,"30k",F1560&lt;=50000,"30k-50k",F1560&lt;=75000,"50k-75k",F1560&lt;=100000,"75k-100k",F1560&gt;100000,"100k")</f>
        <v>30k-50k</v>
      </c>
      <c r="W1560" s="1">
        <f t="shared" si="49"/>
        <v>13</v>
      </c>
    </row>
    <row r="1561" spans="1:23" x14ac:dyDescent="0.35">
      <c r="A1561">
        <v>1558</v>
      </c>
      <c r="B1561">
        <v>6642</v>
      </c>
      <c r="C1561">
        <v>1961</v>
      </c>
      <c r="D1561" s="1" t="s">
        <v>10</v>
      </c>
      <c r="E1561" s="1" t="s">
        <v>16</v>
      </c>
      <c r="F1561">
        <v>27215</v>
      </c>
      <c r="G1561">
        <v>2</v>
      </c>
      <c r="H1561" s="2">
        <v>1</v>
      </c>
      <c r="I1561" s="2">
        <v>41297</v>
      </c>
      <c r="J1561">
        <v>50</v>
      </c>
      <c r="K1561">
        <f>VLOOKUP(B1561,purchase_dataset!$B$2:$F$2241,2,FALSE)</f>
        <v>5</v>
      </c>
      <c r="L1561">
        <f>VLOOKUP(B1561,purchase_dataset!$B$2:$F$2241,3,FALSE)</f>
        <v>9</v>
      </c>
      <c r="M1561">
        <f>VLOOKUP(B1561,purchase_dataset!$B$2:$F$2241,3,FALSE)</f>
        <v>9</v>
      </c>
      <c r="N1561">
        <f>VLOOKUP(B1561,purchase_dataset!$B$2:$F$2241,5,FALSE)</f>
        <v>4</v>
      </c>
      <c r="O1561" s="5">
        <v>65</v>
      </c>
      <c r="P1561" s="4" t="str">
        <f t="shared" si="48"/>
        <v>&gt;50</v>
      </c>
      <c r="Q1561" s="4">
        <f>M1561+N1561</f>
        <v>13</v>
      </c>
      <c r="U1561" s="28" t="str" cm="1">
        <f t="array" ref="U1561">_xlfn.IFS(F1561&lt;30000,"30k",F1561&lt;=50000,"30k-50k",F1561&lt;=75000,"50k-75k",F1561&lt;=100000,"75k-100k",F1561&gt;100000,"100k")</f>
        <v>30k</v>
      </c>
      <c r="W1561" s="1">
        <f t="shared" si="49"/>
        <v>13</v>
      </c>
    </row>
    <row r="1562" spans="1:23" x14ac:dyDescent="0.35">
      <c r="A1562">
        <v>1559</v>
      </c>
      <c r="B1562">
        <v>2793</v>
      </c>
      <c r="C1562">
        <v>1976</v>
      </c>
      <c r="D1562" s="1" t="s">
        <v>13</v>
      </c>
      <c r="E1562" s="1" t="s">
        <v>16</v>
      </c>
      <c r="F1562">
        <v>70179</v>
      </c>
      <c r="G1562">
        <v>0</v>
      </c>
      <c r="H1562" s="2">
        <v>1</v>
      </c>
      <c r="I1562" s="2">
        <v>41476</v>
      </c>
      <c r="J1562">
        <v>10</v>
      </c>
      <c r="K1562">
        <f>VLOOKUP(B1562,purchase_dataset!$B$2:$F$2241,2,FALSE)</f>
        <v>88</v>
      </c>
      <c r="L1562">
        <f>VLOOKUP(B1562,purchase_dataset!$B$2:$F$2241,3,FALSE)</f>
        <v>44</v>
      </c>
      <c r="M1562">
        <f>VLOOKUP(B1562,purchase_dataset!$B$2:$F$2241,3,FALSE)</f>
        <v>44</v>
      </c>
      <c r="N1562">
        <f>VLOOKUP(B1562,purchase_dataset!$B$2:$F$2241,5,FALSE)</f>
        <v>13</v>
      </c>
      <c r="O1562" s="5">
        <v>50</v>
      </c>
      <c r="P1562" s="4" t="str">
        <f t="shared" si="48"/>
        <v>30-50</v>
      </c>
      <c r="Q1562" s="4">
        <f>M1562+N1562</f>
        <v>57</v>
      </c>
      <c r="U1562" s="28" t="str" cm="1">
        <f t="array" ref="U1562">_xlfn.IFS(F1562&lt;30000,"30k",F1562&lt;=50000,"30k-50k",F1562&lt;=75000,"50k-75k",F1562&lt;=100000,"75k-100k",F1562&gt;100000,"100k")</f>
        <v>50k-75k</v>
      </c>
      <c r="W1562" s="1">
        <f t="shared" si="49"/>
        <v>13</v>
      </c>
    </row>
    <row r="1563" spans="1:23" x14ac:dyDescent="0.35">
      <c r="A1563">
        <v>1560</v>
      </c>
      <c r="B1563">
        <v>5424</v>
      </c>
      <c r="C1563">
        <v>1983</v>
      </c>
      <c r="D1563" s="1" t="s">
        <v>10</v>
      </c>
      <c r="E1563" s="1" t="s">
        <v>14</v>
      </c>
      <c r="F1563">
        <v>39922</v>
      </c>
      <c r="G1563">
        <v>1</v>
      </c>
      <c r="H1563" s="2">
        <v>0</v>
      </c>
      <c r="I1563" s="2">
        <v>41319</v>
      </c>
      <c r="J1563">
        <v>30</v>
      </c>
      <c r="K1563">
        <f>VLOOKUP(B1563,purchase_dataset!$B$2:$F$2241,2,FALSE)</f>
        <v>12</v>
      </c>
      <c r="L1563">
        <f>VLOOKUP(B1563,purchase_dataset!$B$2:$F$2241,3,FALSE)</f>
        <v>1</v>
      </c>
      <c r="M1563">
        <f>VLOOKUP(B1563,purchase_dataset!$B$2:$F$2241,3,FALSE)</f>
        <v>1</v>
      </c>
      <c r="N1563">
        <f>VLOOKUP(B1563,purchase_dataset!$B$2:$F$2241,5,FALSE)</f>
        <v>4</v>
      </c>
      <c r="O1563" s="5">
        <v>43</v>
      </c>
      <c r="P1563" s="4" t="str">
        <f t="shared" si="48"/>
        <v>30-50</v>
      </c>
      <c r="Q1563" s="4">
        <f>M1563+N1563</f>
        <v>5</v>
      </c>
      <c r="U1563" s="28" t="str" cm="1">
        <f t="array" ref="U1563">_xlfn.IFS(F1563&lt;30000,"30k",F1563&lt;=50000,"30k-50k",F1563&lt;=75000,"50k-75k",F1563&lt;=100000,"75k-100k",F1563&gt;100000,"100k")</f>
        <v>30k-50k</v>
      </c>
      <c r="W1563" s="1">
        <f t="shared" si="49"/>
        <v>13</v>
      </c>
    </row>
    <row r="1564" spans="1:23" x14ac:dyDescent="0.35">
      <c r="A1564">
        <v>1561</v>
      </c>
      <c r="B1564">
        <v>879</v>
      </c>
      <c r="C1564">
        <v>1976</v>
      </c>
      <c r="D1564" s="1" t="s">
        <v>15</v>
      </c>
      <c r="E1564" s="1" t="s">
        <v>14</v>
      </c>
      <c r="F1564">
        <v>49681</v>
      </c>
      <c r="G1564">
        <v>0</v>
      </c>
      <c r="H1564" s="2">
        <v>2</v>
      </c>
      <c r="I1564" s="2">
        <v>41582</v>
      </c>
      <c r="J1564">
        <v>66</v>
      </c>
      <c r="K1564">
        <f>VLOOKUP(B1564,purchase_dataset!$B$2:$F$2241,2,FALSE)</f>
        <v>0</v>
      </c>
      <c r="L1564">
        <f>VLOOKUP(B1564,purchase_dataset!$B$2:$F$2241,3,FALSE)</f>
        <v>0</v>
      </c>
      <c r="M1564">
        <f>VLOOKUP(B1564,purchase_dataset!$B$2:$F$2241,3,FALSE)</f>
        <v>0</v>
      </c>
      <c r="N1564">
        <f>VLOOKUP(B1564,purchase_dataset!$B$2:$F$2241,5,FALSE)</f>
        <v>7</v>
      </c>
      <c r="O1564" s="5">
        <v>50</v>
      </c>
      <c r="P1564" s="4" t="str">
        <f t="shared" si="48"/>
        <v>30-50</v>
      </c>
      <c r="Q1564" s="4">
        <f>M1564+N1564</f>
        <v>7</v>
      </c>
      <c r="U1564" s="28" t="str" cm="1">
        <f t="array" ref="U1564">_xlfn.IFS(F1564&lt;30000,"30k",F1564&lt;=50000,"30k-50k",F1564&lt;=75000,"50k-75k",F1564&lt;=100000,"75k-100k",F1564&gt;100000,"100k")</f>
        <v>30k-50k</v>
      </c>
      <c r="W1564" s="1">
        <f t="shared" si="49"/>
        <v>13</v>
      </c>
    </row>
    <row r="1565" spans="1:23" x14ac:dyDescent="0.35">
      <c r="A1565">
        <v>1562</v>
      </c>
      <c r="B1565">
        <v>9530</v>
      </c>
      <c r="C1565">
        <v>1988</v>
      </c>
      <c r="D1565" s="1" t="s">
        <v>10</v>
      </c>
      <c r="E1565" s="1" t="s">
        <v>14</v>
      </c>
      <c r="F1565">
        <v>24645</v>
      </c>
      <c r="G1565">
        <v>1</v>
      </c>
      <c r="H1565" s="2">
        <v>0</v>
      </c>
      <c r="I1565" s="2">
        <v>41214</v>
      </c>
      <c r="J1565">
        <v>16</v>
      </c>
      <c r="K1565">
        <f>VLOOKUP(B1565,purchase_dataset!$B$2:$F$2241,2,FALSE)</f>
        <v>3</v>
      </c>
      <c r="L1565">
        <f>VLOOKUP(B1565,purchase_dataset!$B$2:$F$2241,3,FALSE)</f>
        <v>1</v>
      </c>
      <c r="M1565">
        <f>VLOOKUP(B1565,purchase_dataset!$B$2:$F$2241,3,FALSE)</f>
        <v>1</v>
      </c>
      <c r="N1565">
        <f>VLOOKUP(B1565,purchase_dataset!$B$2:$F$2241,5,FALSE)</f>
        <v>2</v>
      </c>
      <c r="O1565" s="5">
        <v>38</v>
      </c>
      <c r="P1565" s="4" t="str">
        <f t="shared" si="48"/>
        <v>30-50</v>
      </c>
      <c r="Q1565" s="4">
        <f>M1565+N1565</f>
        <v>3</v>
      </c>
      <c r="U1565" s="28" t="str" cm="1">
        <f t="array" ref="U1565">_xlfn.IFS(F1565&lt;30000,"30k",F1565&lt;=50000,"30k-50k",F1565&lt;=75000,"50k-75k",F1565&lt;=100000,"75k-100k",F1565&gt;100000,"100k")</f>
        <v>30k</v>
      </c>
      <c r="W1565" s="1">
        <f t="shared" si="49"/>
        <v>14</v>
      </c>
    </row>
    <row r="1566" spans="1:23" x14ac:dyDescent="0.35">
      <c r="A1566">
        <v>1563</v>
      </c>
      <c r="B1566">
        <v>4828</v>
      </c>
      <c r="C1566">
        <v>1954</v>
      </c>
      <c r="D1566" s="1" t="s">
        <v>10</v>
      </c>
      <c r="E1566" s="1" t="s">
        <v>16</v>
      </c>
      <c r="F1566">
        <v>79865</v>
      </c>
      <c r="G1566">
        <v>0</v>
      </c>
      <c r="H1566" s="2">
        <v>1</v>
      </c>
      <c r="I1566" s="2">
        <v>41808</v>
      </c>
      <c r="J1566">
        <v>12</v>
      </c>
      <c r="K1566">
        <f>VLOOKUP(B1566,purchase_dataset!$B$2:$F$2241,2,FALSE)</f>
        <v>99</v>
      </c>
      <c r="L1566">
        <f>VLOOKUP(B1566,purchase_dataset!$B$2:$F$2241,3,FALSE)</f>
        <v>121</v>
      </c>
      <c r="M1566">
        <f>VLOOKUP(B1566,purchase_dataset!$B$2:$F$2241,3,FALSE)</f>
        <v>121</v>
      </c>
      <c r="N1566">
        <f>VLOOKUP(B1566,purchase_dataset!$B$2:$F$2241,5,FALSE)</f>
        <v>5</v>
      </c>
      <c r="O1566" s="5">
        <v>72</v>
      </c>
      <c r="P1566" s="4" t="str">
        <f t="shared" si="48"/>
        <v>&gt;50</v>
      </c>
      <c r="Q1566" s="4">
        <f>M1566+N1566</f>
        <v>126</v>
      </c>
      <c r="U1566" s="28" t="str" cm="1">
        <f t="array" ref="U1566">_xlfn.IFS(F1566&lt;30000,"30k",F1566&lt;=50000,"30k-50k",F1566&lt;=75000,"50k-75k",F1566&lt;=100000,"75k-100k",F1566&gt;100000,"100k")</f>
        <v>75k-100k</v>
      </c>
      <c r="W1566" s="1">
        <f t="shared" si="49"/>
        <v>12</v>
      </c>
    </row>
    <row r="1567" spans="1:23" x14ac:dyDescent="0.35">
      <c r="A1567">
        <v>1564</v>
      </c>
      <c r="B1567">
        <v>10699</v>
      </c>
      <c r="C1567">
        <v>1985</v>
      </c>
      <c r="D1567" s="1" t="s">
        <v>10</v>
      </c>
      <c r="E1567" s="1" t="s">
        <v>14</v>
      </c>
      <c r="F1567">
        <v>44322</v>
      </c>
      <c r="G1567">
        <v>1</v>
      </c>
      <c r="H1567" s="2">
        <v>0</v>
      </c>
      <c r="I1567" s="2">
        <v>41806</v>
      </c>
      <c r="J1567">
        <v>30</v>
      </c>
      <c r="K1567">
        <f>VLOOKUP(B1567,purchase_dataset!$B$2:$F$2241,2,FALSE)</f>
        <v>0</v>
      </c>
      <c r="L1567">
        <f>VLOOKUP(B1567,purchase_dataset!$B$2:$F$2241,3,FALSE)</f>
        <v>0</v>
      </c>
      <c r="M1567">
        <f>VLOOKUP(B1567,purchase_dataset!$B$2:$F$2241,3,FALSE)</f>
        <v>0</v>
      </c>
      <c r="N1567">
        <f>VLOOKUP(B1567,purchase_dataset!$B$2:$F$2241,5,FALSE)</f>
        <v>3</v>
      </c>
      <c r="O1567" s="5">
        <v>41</v>
      </c>
      <c r="P1567" s="4" t="str">
        <f t="shared" si="48"/>
        <v>30-50</v>
      </c>
      <c r="Q1567" s="4">
        <f>M1567+N1567</f>
        <v>3</v>
      </c>
      <c r="U1567" s="28" t="str" cm="1">
        <f t="array" ref="U1567">_xlfn.IFS(F1567&lt;30000,"30k",F1567&lt;=50000,"30k-50k",F1567&lt;=75000,"50k-75k",F1567&lt;=100000,"75k-100k",F1567&gt;100000,"100k")</f>
        <v>30k-50k</v>
      </c>
      <c r="W1567" s="1">
        <f t="shared" si="49"/>
        <v>12</v>
      </c>
    </row>
    <row r="1568" spans="1:23" x14ac:dyDescent="0.35">
      <c r="A1568">
        <v>1565</v>
      </c>
      <c r="B1568">
        <v>1497</v>
      </c>
      <c r="C1568">
        <v>1952</v>
      </c>
      <c r="D1568" s="1" t="s">
        <v>10</v>
      </c>
      <c r="E1568" s="1" t="s">
        <v>11</v>
      </c>
      <c r="F1568">
        <v>47958</v>
      </c>
      <c r="G1568">
        <v>0</v>
      </c>
      <c r="H1568" s="2">
        <v>1</v>
      </c>
      <c r="I1568" s="2">
        <v>41293</v>
      </c>
      <c r="J1568">
        <v>8</v>
      </c>
      <c r="K1568">
        <f>VLOOKUP(B1568,purchase_dataset!$B$2:$F$2241,2,FALSE)</f>
        <v>11</v>
      </c>
      <c r="L1568">
        <f>VLOOKUP(B1568,purchase_dataset!$B$2:$F$2241,3,FALSE)</f>
        <v>3</v>
      </c>
      <c r="M1568">
        <f>VLOOKUP(B1568,purchase_dataset!$B$2:$F$2241,3,FALSE)</f>
        <v>3</v>
      </c>
      <c r="N1568">
        <f>VLOOKUP(B1568,purchase_dataset!$B$2:$F$2241,5,FALSE)</f>
        <v>5</v>
      </c>
      <c r="O1568" s="5">
        <v>74</v>
      </c>
      <c r="P1568" s="4" t="str">
        <f t="shared" si="48"/>
        <v>&gt;50</v>
      </c>
      <c r="Q1568" s="4">
        <f>M1568+N1568</f>
        <v>8</v>
      </c>
      <c r="U1568" s="28" t="str" cm="1">
        <f t="array" ref="U1568">_xlfn.IFS(F1568&lt;30000,"30k",F1568&lt;=50000,"30k-50k",F1568&lt;=75000,"50k-75k",F1568&lt;=100000,"75k-100k",F1568&gt;100000,"100k")</f>
        <v>30k-50k</v>
      </c>
      <c r="W1568" s="1">
        <f t="shared" si="49"/>
        <v>13</v>
      </c>
    </row>
    <row r="1569" spans="1:23" x14ac:dyDescent="0.35">
      <c r="A1569">
        <v>1566</v>
      </c>
      <c r="B1569">
        <v>7476</v>
      </c>
      <c r="C1569">
        <v>1964</v>
      </c>
      <c r="D1569" s="1" t="s">
        <v>15</v>
      </c>
      <c r="E1569" s="1" t="s">
        <v>11</v>
      </c>
      <c r="F1569">
        <v>63972</v>
      </c>
      <c r="G1569">
        <v>0</v>
      </c>
      <c r="H1569" s="2">
        <v>1</v>
      </c>
      <c r="I1569" s="2">
        <v>41245</v>
      </c>
      <c r="J1569">
        <v>93</v>
      </c>
      <c r="K1569">
        <f>VLOOKUP(B1569,purchase_dataset!$B$2:$F$2241,2,FALSE)</f>
        <v>63</v>
      </c>
      <c r="L1569">
        <f>VLOOKUP(B1569,purchase_dataset!$B$2:$F$2241,3,FALSE)</f>
        <v>12</v>
      </c>
      <c r="M1569">
        <f>VLOOKUP(B1569,purchase_dataset!$B$2:$F$2241,3,FALSE)</f>
        <v>12</v>
      </c>
      <c r="N1569">
        <f>VLOOKUP(B1569,purchase_dataset!$B$2:$F$2241,5,FALSE)</f>
        <v>10</v>
      </c>
      <c r="O1569" s="5">
        <v>62</v>
      </c>
      <c r="P1569" s="4" t="str">
        <f t="shared" si="48"/>
        <v>&gt;50</v>
      </c>
      <c r="Q1569" s="4">
        <f>M1569+N1569</f>
        <v>22</v>
      </c>
      <c r="U1569" s="28" t="str" cm="1">
        <f t="array" ref="U1569">_xlfn.IFS(F1569&lt;30000,"30k",F1569&lt;=50000,"30k-50k",F1569&lt;=75000,"50k-75k",F1569&lt;=100000,"75k-100k",F1569&gt;100000,"100k")</f>
        <v>50k-75k</v>
      </c>
      <c r="W1569" s="1">
        <f t="shared" si="49"/>
        <v>14</v>
      </c>
    </row>
    <row r="1570" spans="1:23" x14ac:dyDescent="0.35">
      <c r="A1570">
        <v>1567</v>
      </c>
      <c r="B1570">
        <v>4390</v>
      </c>
      <c r="C1570">
        <v>1954</v>
      </c>
      <c r="D1570" s="1" t="s">
        <v>10</v>
      </c>
      <c r="E1570" s="1" t="s">
        <v>12</v>
      </c>
      <c r="F1570">
        <v>75315</v>
      </c>
      <c r="G1570">
        <v>0</v>
      </c>
      <c r="H1570" s="2">
        <v>1</v>
      </c>
      <c r="I1570" s="2">
        <v>41744</v>
      </c>
      <c r="J1570">
        <v>14</v>
      </c>
      <c r="K1570">
        <f>VLOOKUP(B1570,purchase_dataset!$B$2:$F$2241,2,FALSE)</f>
        <v>15</v>
      </c>
      <c r="L1570">
        <f>VLOOKUP(B1570,purchase_dataset!$B$2:$F$2241,3,FALSE)</f>
        <v>23</v>
      </c>
      <c r="M1570">
        <f>VLOOKUP(B1570,purchase_dataset!$B$2:$F$2241,3,FALSE)</f>
        <v>23</v>
      </c>
      <c r="N1570">
        <f>VLOOKUP(B1570,purchase_dataset!$B$2:$F$2241,5,FALSE)</f>
        <v>12</v>
      </c>
      <c r="O1570" s="5">
        <v>72</v>
      </c>
      <c r="P1570" s="4" t="str">
        <f t="shared" si="48"/>
        <v>&gt;50</v>
      </c>
      <c r="Q1570" s="4">
        <f>M1570+N1570</f>
        <v>35</v>
      </c>
      <c r="U1570" s="28" t="str" cm="1">
        <f t="array" ref="U1570">_xlfn.IFS(F1570&lt;30000,"30k",F1570&lt;=50000,"30k-50k",F1570&lt;=75000,"50k-75k",F1570&lt;=100000,"75k-100k",F1570&gt;100000,"100k")</f>
        <v>75k-100k</v>
      </c>
      <c r="W1570" s="1">
        <f t="shared" si="49"/>
        <v>12</v>
      </c>
    </row>
    <row r="1571" spans="1:23" x14ac:dyDescent="0.35">
      <c r="A1571">
        <v>1568</v>
      </c>
      <c r="B1571">
        <v>10478</v>
      </c>
      <c r="C1571">
        <v>1950</v>
      </c>
      <c r="D1571" s="1" t="s">
        <v>13</v>
      </c>
      <c r="E1571" s="1" t="s">
        <v>14</v>
      </c>
      <c r="F1571">
        <v>55517</v>
      </c>
      <c r="G1571">
        <v>1</v>
      </c>
      <c r="H1571" s="2">
        <v>1</v>
      </c>
      <c r="I1571" s="2">
        <v>41179</v>
      </c>
      <c r="J1571">
        <v>53</v>
      </c>
      <c r="K1571">
        <f>VLOOKUP(B1571,purchase_dataset!$B$2:$F$2241,2,FALSE)</f>
        <v>0</v>
      </c>
      <c r="L1571">
        <f>VLOOKUP(B1571,purchase_dataset!$B$2:$F$2241,3,FALSE)</f>
        <v>6</v>
      </c>
      <c r="M1571">
        <f>VLOOKUP(B1571,purchase_dataset!$B$2:$F$2241,3,FALSE)</f>
        <v>6</v>
      </c>
      <c r="N1571">
        <f>VLOOKUP(B1571,purchase_dataset!$B$2:$F$2241,5,FALSE)</f>
        <v>6</v>
      </c>
      <c r="O1571" s="5">
        <v>76</v>
      </c>
      <c r="P1571" s="4" t="str">
        <f t="shared" si="48"/>
        <v>&gt;50</v>
      </c>
      <c r="Q1571" s="4">
        <f>M1571+N1571</f>
        <v>12</v>
      </c>
      <c r="U1571" s="28" t="str" cm="1">
        <f t="array" ref="U1571">_xlfn.IFS(F1571&lt;30000,"30k",F1571&lt;=50000,"30k-50k",F1571&lt;=75000,"50k-75k",F1571&lt;=100000,"75k-100k",F1571&gt;100000,"100k")</f>
        <v>50k-75k</v>
      </c>
      <c r="W1571" s="1">
        <f t="shared" si="49"/>
        <v>14</v>
      </c>
    </row>
    <row r="1572" spans="1:23" x14ac:dyDescent="0.35">
      <c r="A1572">
        <v>1569</v>
      </c>
      <c r="B1572">
        <v>1081</v>
      </c>
      <c r="C1572">
        <v>1957</v>
      </c>
      <c r="D1572" s="1" t="s">
        <v>13</v>
      </c>
      <c r="E1572" s="1" t="s">
        <v>14</v>
      </c>
      <c r="F1572">
        <v>75283</v>
      </c>
      <c r="G1572">
        <v>1</v>
      </c>
      <c r="H1572" s="2">
        <v>2</v>
      </c>
      <c r="I1572" s="2">
        <v>41360</v>
      </c>
      <c r="J1572">
        <v>26</v>
      </c>
      <c r="K1572">
        <f>VLOOKUP(B1572,purchase_dataset!$B$2:$F$2241,2,FALSE)</f>
        <v>9</v>
      </c>
      <c r="L1572">
        <f>VLOOKUP(B1572,purchase_dataset!$B$2:$F$2241,3,FALSE)</f>
        <v>19</v>
      </c>
      <c r="M1572">
        <f>VLOOKUP(B1572,purchase_dataset!$B$2:$F$2241,3,FALSE)</f>
        <v>19</v>
      </c>
      <c r="N1572">
        <f>VLOOKUP(B1572,purchase_dataset!$B$2:$F$2241,5,FALSE)</f>
        <v>5</v>
      </c>
      <c r="O1572" s="5">
        <v>69</v>
      </c>
      <c r="P1572" s="4" t="str">
        <f t="shared" si="48"/>
        <v>&gt;50</v>
      </c>
      <c r="Q1572" s="4">
        <f>M1572+N1572</f>
        <v>24</v>
      </c>
      <c r="U1572" s="28" t="str" cm="1">
        <f t="array" ref="U1572">_xlfn.IFS(F1572&lt;30000,"30k",F1572&lt;=50000,"30k-50k",F1572&lt;=75000,"50k-75k",F1572&lt;=100000,"75k-100k",F1572&gt;100000,"100k")</f>
        <v>75k-100k</v>
      </c>
      <c r="W1572" s="1">
        <f t="shared" si="49"/>
        <v>13</v>
      </c>
    </row>
    <row r="1573" spans="1:23" x14ac:dyDescent="0.35">
      <c r="A1573">
        <v>1570</v>
      </c>
      <c r="B1573">
        <v>4261</v>
      </c>
      <c r="C1573">
        <v>1946</v>
      </c>
      <c r="D1573" s="1" t="s">
        <v>13</v>
      </c>
      <c r="E1573" s="1" t="s">
        <v>11</v>
      </c>
      <c r="F1573">
        <v>82800</v>
      </c>
      <c r="G1573">
        <v>0</v>
      </c>
      <c r="H1573" s="2">
        <v>0</v>
      </c>
      <c r="I1573" s="2">
        <v>41237</v>
      </c>
      <c r="J1573">
        <v>23</v>
      </c>
      <c r="K1573">
        <f>VLOOKUP(B1573,purchase_dataset!$B$2:$F$2241,2,FALSE)</f>
        <v>22</v>
      </c>
      <c r="L1573">
        <f>VLOOKUP(B1573,purchase_dataset!$B$2:$F$2241,3,FALSE)</f>
        <v>68</v>
      </c>
      <c r="M1573">
        <f>VLOOKUP(B1573,purchase_dataset!$B$2:$F$2241,3,FALSE)</f>
        <v>68</v>
      </c>
      <c r="N1573">
        <f>VLOOKUP(B1573,purchase_dataset!$B$2:$F$2241,5,FALSE)</f>
        <v>12</v>
      </c>
      <c r="O1573" s="5">
        <v>80</v>
      </c>
      <c r="P1573" s="4" t="str">
        <f t="shared" si="48"/>
        <v>&gt;50</v>
      </c>
      <c r="Q1573" s="4">
        <f>M1573+N1573</f>
        <v>80</v>
      </c>
      <c r="U1573" s="28" t="str" cm="1">
        <f t="array" ref="U1573">_xlfn.IFS(F1573&lt;30000,"30k",F1573&lt;=50000,"30k-50k",F1573&lt;=75000,"50k-75k",F1573&lt;=100000,"75k-100k",F1573&gt;100000,"100k")</f>
        <v>75k-100k</v>
      </c>
      <c r="W1573" s="1">
        <f t="shared" si="49"/>
        <v>14</v>
      </c>
    </row>
    <row r="1574" spans="1:23" x14ac:dyDescent="0.35">
      <c r="A1574">
        <v>1571</v>
      </c>
      <c r="B1574">
        <v>9916</v>
      </c>
      <c r="C1574">
        <v>1954</v>
      </c>
      <c r="D1574" s="1" t="s">
        <v>10</v>
      </c>
      <c r="E1574" s="1" t="s">
        <v>14</v>
      </c>
      <c r="F1574">
        <v>38998</v>
      </c>
      <c r="G1574">
        <v>1</v>
      </c>
      <c r="H1574" s="2">
        <v>1</v>
      </c>
      <c r="I1574" s="2">
        <v>41216</v>
      </c>
      <c r="J1574">
        <v>92</v>
      </c>
      <c r="K1574">
        <f>VLOOKUP(B1574,purchase_dataset!$B$2:$F$2241,2,FALSE)</f>
        <v>1</v>
      </c>
      <c r="L1574">
        <f>VLOOKUP(B1574,purchase_dataset!$B$2:$F$2241,3,FALSE)</f>
        <v>0</v>
      </c>
      <c r="M1574">
        <f>VLOOKUP(B1574,purchase_dataset!$B$2:$F$2241,3,FALSE)</f>
        <v>0</v>
      </c>
      <c r="N1574">
        <f>VLOOKUP(B1574,purchase_dataset!$B$2:$F$2241,5,FALSE)</f>
        <v>3</v>
      </c>
      <c r="O1574" s="5">
        <v>72</v>
      </c>
      <c r="P1574" s="4" t="str">
        <f t="shared" si="48"/>
        <v>&gt;50</v>
      </c>
      <c r="Q1574" s="4">
        <f>M1574+N1574</f>
        <v>3</v>
      </c>
      <c r="U1574" s="28" t="str" cm="1">
        <f t="array" ref="U1574">_xlfn.IFS(F1574&lt;30000,"30k",F1574&lt;=50000,"30k-50k",F1574&lt;=75000,"50k-75k",F1574&lt;=100000,"75k-100k",F1574&gt;100000,"100k")</f>
        <v>30k-50k</v>
      </c>
      <c r="W1574" s="1">
        <f t="shared" si="49"/>
        <v>14</v>
      </c>
    </row>
    <row r="1575" spans="1:23" x14ac:dyDescent="0.35">
      <c r="A1575">
        <v>1572</v>
      </c>
      <c r="B1575">
        <v>5350</v>
      </c>
      <c r="C1575">
        <v>1991</v>
      </c>
      <c r="D1575" s="1" t="s">
        <v>15</v>
      </c>
      <c r="E1575" s="1" t="s">
        <v>11</v>
      </c>
      <c r="F1575">
        <v>90638</v>
      </c>
      <c r="G1575">
        <v>0</v>
      </c>
      <c r="H1575" s="2">
        <v>0</v>
      </c>
      <c r="I1575" s="2">
        <v>41683</v>
      </c>
      <c r="J1575">
        <v>29</v>
      </c>
      <c r="K1575">
        <f>VLOOKUP(B1575,purchase_dataset!$B$2:$F$2241,2,FALSE)</f>
        <v>120</v>
      </c>
      <c r="L1575">
        <f>VLOOKUP(B1575,purchase_dataset!$B$2:$F$2241,3,FALSE)</f>
        <v>144</v>
      </c>
      <c r="M1575">
        <f>VLOOKUP(B1575,purchase_dataset!$B$2:$F$2241,3,FALSE)</f>
        <v>144</v>
      </c>
      <c r="N1575">
        <f>VLOOKUP(B1575,purchase_dataset!$B$2:$F$2241,5,FALSE)</f>
        <v>10</v>
      </c>
      <c r="O1575" s="5">
        <v>35</v>
      </c>
      <c r="P1575" s="4" t="str">
        <f t="shared" si="48"/>
        <v>30-50</v>
      </c>
      <c r="Q1575" s="4">
        <f>M1575+N1575</f>
        <v>154</v>
      </c>
      <c r="U1575" s="28" t="str" cm="1">
        <f t="array" ref="U1575">_xlfn.IFS(F1575&lt;30000,"30k",F1575&lt;=50000,"30k-50k",F1575&lt;=75000,"50k-75k",F1575&lt;=100000,"75k-100k",F1575&gt;100000,"100k")</f>
        <v>75k-100k</v>
      </c>
      <c r="W1575" s="1">
        <f t="shared" si="49"/>
        <v>12</v>
      </c>
    </row>
    <row r="1576" spans="1:23" x14ac:dyDescent="0.35">
      <c r="A1576">
        <v>1573</v>
      </c>
      <c r="B1576">
        <v>8135</v>
      </c>
      <c r="C1576">
        <v>1986</v>
      </c>
      <c r="D1576" s="1" t="s">
        <v>15</v>
      </c>
      <c r="E1576" s="1" t="s">
        <v>14</v>
      </c>
      <c r="F1576">
        <v>27161</v>
      </c>
      <c r="G1576">
        <v>1</v>
      </c>
      <c r="H1576" s="2">
        <v>0</v>
      </c>
      <c r="I1576" s="2">
        <v>41575</v>
      </c>
      <c r="J1576">
        <v>41</v>
      </c>
      <c r="K1576">
        <f>VLOOKUP(B1576,purchase_dataset!$B$2:$F$2241,2,FALSE)</f>
        <v>4</v>
      </c>
      <c r="L1576">
        <f>VLOOKUP(B1576,purchase_dataset!$B$2:$F$2241,3,FALSE)</f>
        <v>0</v>
      </c>
      <c r="M1576">
        <f>VLOOKUP(B1576,purchase_dataset!$B$2:$F$2241,3,FALSE)</f>
        <v>0</v>
      </c>
      <c r="N1576">
        <f>VLOOKUP(B1576,purchase_dataset!$B$2:$F$2241,5,FALSE)</f>
        <v>3</v>
      </c>
      <c r="O1576" s="5">
        <v>40</v>
      </c>
      <c r="P1576" s="4" t="str">
        <f t="shared" si="48"/>
        <v>30-50</v>
      </c>
      <c r="Q1576" s="4">
        <f>M1576+N1576</f>
        <v>3</v>
      </c>
      <c r="U1576" s="28" t="str" cm="1">
        <f t="array" ref="U1576">_xlfn.IFS(F1576&lt;30000,"30k",F1576&lt;=50000,"30k-50k",F1576&lt;=75000,"50k-75k",F1576&lt;=100000,"75k-100k",F1576&gt;100000,"100k")</f>
        <v>30k</v>
      </c>
      <c r="W1576" s="1">
        <f t="shared" si="49"/>
        <v>13</v>
      </c>
    </row>
    <row r="1577" spans="1:23" x14ac:dyDescent="0.35">
      <c r="A1577">
        <v>1574</v>
      </c>
      <c r="B1577">
        <v>8685</v>
      </c>
      <c r="C1577">
        <v>1977</v>
      </c>
      <c r="D1577" s="1" t="s">
        <v>10</v>
      </c>
      <c r="E1577" s="1" t="s">
        <v>14</v>
      </c>
      <c r="F1577">
        <v>42014</v>
      </c>
      <c r="G1577">
        <v>1</v>
      </c>
      <c r="H1577" s="2">
        <v>0</v>
      </c>
      <c r="I1577" s="2">
        <v>41138</v>
      </c>
      <c r="J1577">
        <v>56</v>
      </c>
      <c r="K1577">
        <f>VLOOKUP(B1577,purchase_dataset!$B$2:$F$2241,2,FALSE)</f>
        <v>15</v>
      </c>
      <c r="L1577">
        <f>VLOOKUP(B1577,purchase_dataset!$B$2:$F$2241,3,FALSE)</f>
        <v>15</v>
      </c>
      <c r="M1577">
        <f>VLOOKUP(B1577,purchase_dataset!$B$2:$F$2241,3,FALSE)</f>
        <v>15</v>
      </c>
      <c r="N1577">
        <f>VLOOKUP(B1577,purchase_dataset!$B$2:$F$2241,5,FALSE)</f>
        <v>6</v>
      </c>
      <c r="O1577" s="5">
        <v>49</v>
      </c>
      <c r="P1577" s="4" t="str">
        <f t="shared" si="48"/>
        <v>30-50</v>
      </c>
      <c r="Q1577" s="4">
        <f>M1577+N1577</f>
        <v>21</v>
      </c>
      <c r="U1577" s="28" t="str" cm="1">
        <f t="array" ref="U1577">_xlfn.IFS(F1577&lt;30000,"30k",F1577&lt;=50000,"30k-50k",F1577&lt;=75000,"50k-75k",F1577&lt;=100000,"75k-100k",F1577&gt;100000,"100k")</f>
        <v>30k-50k</v>
      </c>
      <c r="W1577" s="1">
        <f t="shared" si="49"/>
        <v>14</v>
      </c>
    </row>
    <row r="1578" spans="1:23" x14ac:dyDescent="0.35">
      <c r="A1578">
        <v>1575</v>
      </c>
      <c r="B1578">
        <v>4967</v>
      </c>
      <c r="C1578">
        <v>1960</v>
      </c>
      <c r="D1578" s="1" t="s">
        <v>13</v>
      </c>
      <c r="E1578" s="1" t="s">
        <v>12</v>
      </c>
      <c r="F1578">
        <v>38201</v>
      </c>
      <c r="G1578">
        <v>0</v>
      </c>
      <c r="H1578" s="2">
        <v>1</v>
      </c>
      <c r="I1578" s="2">
        <v>41362</v>
      </c>
      <c r="J1578">
        <v>19</v>
      </c>
      <c r="K1578">
        <f>VLOOKUP(B1578,purchase_dataset!$B$2:$F$2241,2,FALSE)</f>
        <v>0</v>
      </c>
      <c r="L1578">
        <f>VLOOKUP(B1578,purchase_dataset!$B$2:$F$2241,3,FALSE)</f>
        <v>0</v>
      </c>
      <c r="M1578">
        <f>VLOOKUP(B1578,purchase_dataset!$B$2:$F$2241,3,FALSE)</f>
        <v>0</v>
      </c>
      <c r="N1578">
        <f>VLOOKUP(B1578,purchase_dataset!$B$2:$F$2241,5,FALSE)</f>
        <v>5</v>
      </c>
      <c r="O1578" s="5">
        <v>66</v>
      </c>
      <c r="P1578" s="4" t="str">
        <f t="shared" si="48"/>
        <v>&gt;50</v>
      </c>
      <c r="Q1578" s="4">
        <f>M1578+N1578</f>
        <v>5</v>
      </c>
      <c r="U1578" s="28" t="str" cm="1">
        <f t="array" ref="U1578">_xlfn.IFS(F1578&lt;30000,"30k",F1578&lt;=50000,"30k-50k",F1578&lt;=75000,"50k-75k",F1578&lt;=100000,"75k-100k",F1578&gt;100000,"100k")</f>
        <v>30k-50k</v>
      </c>
      <c r="W1578" s="1">
        <f t="shared" si="49"/>
        <v>13</v>
      </c>
    </row>
    <row r="1579" spans="1:23" x14ac:dyDescent="0.35">
      <c r="A1579">
        <v>1576</v>
      </c>
      <c r="B1579">
        <v>2130</v>
      </c>
      <c r="C1579">
        <v>1982</v>
      </c>
      <c r="D1579" s="1" t="s">
        <v>10</v>
      </c>
      <c r="E1579" s="1" t="s">
        <v>12</v>
      </c>
      <c r="F1579">
        <v>45203</v>
      </c>
      <c r="G1579">
        <v>2</v>
      </c>
      <c r="H1579" s="2">
        <v>0</v>
      </c>
      <c r="I1579" s="2">
        <v>41721</v>
      </c>
      <c r="J1579">
        <v>4</v>
      </c>
      <c r="K1579">
        <f>VLOOKUP(B1579,purchase_dataset!$B$2:$F$2241,2,FALSE)</f>
        <v>3</v>
      </c>
      <c r="L1579">
        <f>VLOOKUP(B1579,purchase_dataset!$B$2:$F$2241,3,FALSE)</f>
        <v>8</v>
      </c>
      <c r="M1579">
        <f>VLOOKUP(B1579,purchase_dataset!$B$2:$F$2241,3,FALSE)</f>
        <v>8</v>
      </c>
      <c r="N1579">
        <f>VLOOKUP(B1579,purchase_dataset!$B$2:$F$2241,5,FALSE)</f>
        <v>3</v>
      </c>
      <c r="O1579" s="5">
        <v>44</v>
      </c>
      <c r="P1579" s="4" t="str">
        <f t="shared" si="48"/>
        <v>30-50</v>
      </c>
      <c r="Q1579" s="4">
        <f>M1579+N1579</f>
        <v>11</v>
      </c>
      <c r="U1579" s="28" t="str" cm="1">
        <f t="array" ref="U1579">_xlfn.IFS(F1579&lt;30000,"30k",F1579&lt;=50000,"30k-50k",F1579&lt;=75000,"50k-75k",F1579&lt;=100000,"75k-100k",F1579&gt;100000,"100k")</f>
        <v>30k-50k</v>
      </c>
      <c r="W1579" s="1">
        <f t="shared" si="49"/>
        <v>12</v>
      </c>
    </row>
    <row r="1580" spans="1:23" x14ac:dyDescent="0.35">
      <c r="A1580">
        <v>1577</v>
      </c>
      <c r="B1580">
        <v>9298</v>
      </c>
      <c r="C1580">
        <v>1947</v>
      </c>
      <c r="D1580" s="1" t="s">
        <v>13</v>
      </c>
      <c r="E1580" s="1" t="s">
        <v>12</v>
      </c>
      <c r="F1580">
        <v>81574</v>
      </c>
      <c r="G1580">
        <v>0</v>
      </c>
      <c r="H1580" s="2">
        <v>0</v>
      </c>
      <c r="I1580" s="2">
        <v>41757</v>
      </c>
      <c r="J1580">
        <v>89</v>
      </c>
      <c r="K1580">
        <f>VLOOKUP(B1580,purchase_dataset!$B$2:$F$2241,2,FALSE)</f>
        <v>0</v>
      </c>
      <c r="L1580">
        <f>VLOOKUP(B1580,purchase_dataset!$B$2:$F$2241,3,FALSE)</f>
        <v>35</v>
      </c>
      <c r="M1580">
        <f>VLOOKUP(B1580,purchase_dataset!$B$2:$F$2241,3,FALSE)</f>
        <v>35</v>
      </c>
      <c r="N1580">
        <f>VLOOKUP(B1580,purchase_dataset!$B$2:$F$2241,5,FALSE)</f>
        <v>8</v>
      </c>
      <c r="O1580" s="5">
        <v>79</v>
      </c>
      <c r="P1580" s="4" t="str">
        <f t="shared" si="48"/>
        <v>&gt;50</v>
      </c>
      <c r="Q1580" s="4">
        <f>M1580+N1580</f>
        <v>43</v>
      </c>
      <c r="U1580" s="28" t="str" cm="1">
        <f t="array" ref="U1580">_xlfn.IFS(F1580&lt;30000,"30k",F1580&lt;=50000,"30k-50k",F1580&lt;=75000,"50k-75k",F1580&lt;=100000,"75k-100k",F1580&gt;100000,"100k")</f>
        <v>75k-100k</v>
      </c>
      <c r="W1580" s="1">
        <f t="shared" si="49"/>
        <v>12</v>
      </c>
    </row>
    <row r="1581" spans="1:23" x14ac:dyDescent="0.35">
      <c r="A1581">
        <v>1578</v>
      </c>
      <c r="B1581">
        <v>8175</v>
      </c>
      <c r="C1581">
        <v>1992</v>
      </c>
      <c r="D1581" s="1" t="s">
        <v>10</v>
      </c>
      <c r="E1581" s="1" t="s">
        <v>14</v>
      </c>
      <c r="F1581">
        <v>34935</v>
      </c>
      <c r="G1581">
        <v>0</v>
      </c>
      <c r="H1581" s="2">
        <v>0</v>
      </c>
      <c r="I1581" s="2">
        <v>41446</v>
      </c>
      <c r="J1581">
        <v>71</v>
      </c>
      <c r="K1581">
        <f>VLOOKUP(B1581,purchase_dataset!$B$2:$F$2241,2,FALSE)</f>
        <v>4</v>
      </c>
      <c r="L1581">
        <f>VLOOKUP(B1581,purchase_dataset!$B$2:$F$2241,3,FALSE)</f>
        <v>10</v>
      </c>
      <c r="M1581">
        <f>VLOOKUP(B1581,purchase_dataset!$B$2:$F$2241,3,FALSE)</f>
        <v>10</v>
      </c>
      <c r="N1581">
        <f>VLOOKUP(B1581,purchase_dataset!$B$2:$F$2241,5,FALSE)</f>
        <v>4</v>
      </c>
      <c r="O1581" s="5">
        <v>34</v>
      </c>
      <c r="P1581" s="4" t="str">
        <f t="shared" si="48"/>
        <v>30-50</v>
      </c>
      <c r="Q1581" s="4">
        <f>M1581+N1581</f>
        <v>14</v>
      </c>
      <c r="U1581" s="28" t="str" cm="1">
        <f t="array" ref="U1581">_xlfn.IFS(F1581&lt;30000,"30k",F1581&lt;=50000,"30k-50k",F1581&lt;=75000,"50k-75k",F1581&lt;=100000,"75k-100k",F1581&gt;100000,"100k")</f>
        <v>30k-50k</v>
      </c>
      <c r="W1581" s="1">
        <f t="shared" si="49"/>
        <v>13</v>
      </c>
    </row>
    <row r="1582" spans="1:23" x14ac:dyDescent="0.35">
      <c r="A1582">
        <v>1579</v>
      </c>
      <c r="B1582">
        <v>6257</v>
      </c>
      <c r="C1582">
        <v>1976</v>
      </c>
      <c r="D1582" s="1" t="s">
        <v>15</v>
      </c>
      <c r="E1582" s="1" t="s">
        <v>11</v>
      </c>
      <c r="F1582">
        <v>60482</v>
      </c>
      <c r="G1582">
        <v>0</v>
      </c>
      <c r="H1582" s="2">
        <v>1</v>
      </c>
      <c r="I1582" s="2">
        <v>41297</v>
      </c>
      <c r="J1582">
        <v>81</v>
      </c>
      <c r="K1582">
        <f>VLOOKUP(B1582,purchase_dataset!$B$2:$F$2241,2,FALSE)</f>
        <v>43</v>
      </c>
      <c r="L1582">
        <f>VLOOKUP(B1582,purchase_dataset!$B$2:$F$2241,3,FALSE)</f>
        <v>14</v>
      </c>
      <c r="M1582">
        <f>VLOOKUP(B1582,purchase_dataset!$B$2:$F$2241,3,FALSE)</f>
        <v>14</v>
      </c>
      <c r="N1582">
        <f>VLOOKUP(B1582,purchase_dataset!$B$2:$F$2241,5,FALSE)</f>
        <v>7</v>
      </c>
      <c r="O1582" s="5">
        <v>50</v>
      </c>
      <c r="P1582" s="4" t="str">
        <f t="shared" si="48"/>
        <v>30-50</v>
      </c>
      <c r="Q1582" s="4">
        <f>M1582+N1582</f>
        <v>21</v>
      </c>
      <c r="U1582" s="28" t="str" cm="1">
        <f t="array" ref="U1582">_xlfn.IFS(F1582&lt;30000,"30k",F1582&lt;=50000,"30k-50k",F1582&lt;=75000,"50k-75k",F1582&lt;=100000,"75k-100k",F1582&gt;100000,"100k")</f>
        <v>50k-75k</v>
      </c>
      <c r="W1582" s="1">
        <f t="shared" si="49"/>
        <v>13</v>
      </c>
    </row>
    <row r="1583" spans="1:23" x14ac:dyDescent="0.35">
      <c r="A1583">
        <v>1580</v>
      </c>
      <c r="B1583">
        <v>3790</v>
      </c>
      <c r="C1583">
        <v>1956</v>
      </c>
      <c r="D1583" s="1" t="s">
        <v>10</v>
      </c>
      <c r="E1583" s="1" t="s">
        <v>12</v>
      </c>
      <c r="F1583">
        <v>34633</v>
      </c>
      <c r="G1583">
        <v>2</v>
      </c>
      <c r="H1583" s="2">
        <v>1</v>
      </c>
      <c r="I1583" s="2">
        <v>41662</v>
      </c>
      <c r="J1583">
        <v>31</v>
      </c>
      <c r="K1583">
        <f>VLOOKUP(B1583,purchase_dataset!$B$2:$F$2241,2,FALSE)</f>
        <v>1</v>
      </c>
      <c r="L1583">
        <f>VLOOKUP(B1583,purchase_dataset!$B$2:$F$2241,3,FALSE)</f>
        <v>0</v>
      </c>
      <c r="M1583">
        <f>VLOOKUP(B1583,purchase_dataset!$B$2:$F$2241,3,FALSE)</f>
        <v>0</v>
      </c>
      <c r="N1583">
        <f>VLOOKUP(B1583,purchase_dataset!$B$2:$F$2241,5,FALSE)</f>
        <v>2</v>
      </c>
      <c r="O1583" s="5">
        <v>70</v>
      </c>
      <c r="P1583" s="4" t="str">
        <f t="shared" si="48"/>
        <v>&gt;50</v>
      </c>
      <c r="Q1583" s="4">
        <f>M1583+N1583</f>
        <v>2</v>
      </c>
      <c r="U1583" s="28" t="str" cm="1">
        <f t="array" ref="U1583">_xlfn.IFS(F1583&lt;30000,"30k",F1583&lt;=50000,"30k-50k",F1583&lt;=75000,"50k-75k",F1583&lt;=100000,"75k-100k",F1583&gt;100000,"100k")</f>
        <v>30k-50k</v>
      </c>
      <c r="W1583" s="1">
        <f t="shared" si="49"/>
        <v>12</v>
      </c>
    </row>
    <row r="1584" spans="1:23" x14ac:dyDescent="0.35">
      <c r="A1584">
        <v>1581</v>
      </c>
      <c r="B1584">
        <v>9952</v>
      </c>
      <c r="C1584">
        <v>1947</v>
      </c>
      <c r="D1584" s="1" t="s">
        <v>15</v>
      </c>
      <c r="E1584" s="1" t="s">
        <v>12</v>
      </c>
      <c r="F1584">
        <v>78093</v>
      </c>
      <c r="G1584">
        <v>0</v>
      </c>
      <c r="H1584" s="2">
        <v>0</v>
      </c>
      <c r="I1584" s="2">
        <v>41619</v>
      </c>
      <c r="J1584">
        <v>53</v>
      </c>
      <c r="K1584">
        <f>VLOOKUP(B1584,purchase_dataset!$B$2:$F$2241,2,FALSE)</f>
        <v>32</v>
      </c>
      <c r="L1584">
        <f>VLOOKUP(B1584,purchase_dataset!$B$2:$F$2241,3,FALSE)</f>
        <v>43</v>
      </c>
      <c r="M1584">
        <f>VLOOKUP(B1584,purchase_dataset!$B$2:$F$2241,3,FALSE)</f>
        <v>43</v>
      </c>
      <c r="N1584">
        <f>VLOOKUP(B1584,purchase_dataset!$B$2:$F$2241,5,FALSE)</f>
        <v>5</v>
      </c>
      <c r="O1584" s="5">
        <v>79</v>
      </c>
      <c r="P1584" s="4" t="str">
        <f t="shared" si="48"/>
        <v>&gt;50</v>
      </c>
      <c r="Q1584" s="4">
        <f>M1584+N1584</f>
        <v>48</v>
      </c>
      <c r="U1584" s="28" t="str" cm="1">
        <f t="array" ref="U1584">_xlfn.IFS(F1584&lt;30000,"30k",F1584&lt;=50000,"30k-50k",F1584&lt;=75000,"50k-75k",F1584&lt;=100000,"75k-100k",F1584&gt;100000,"100k")</f>
        <v>75k-100k</v>
      </c>
      <c r="W1584" s="1">
        <f t="shared" si="49"/>
        <v>13</v>
      </c>
    </row>
    <row r="1585" spans="1:23" x14ac:dyDescent="0.35">
      <c r="A1585">
        <v>1582</v>
      </c>
      <c r="B1585">
        <v>3503</v>
      </c>
      <c r="C1585">
        <v>1950</v>
      </c>
      <c r="D1585" s="1" t="s">
        <v>10</v>
      </c>
      <c r="E1585" s="1" t="s">
        <v>16</v>
      </c>
      <c r="F1585">
        <v>82460</v>
      </c>
      <c r="G1585">
        <v>0</v>
      </c>
      <c r="H1585" s="2">
        <v>0</v>
      </c>
      <c r="I1585" s="2">
        <v>41610</v>
      </c>
      <c r="J1585">
        <v>78</v>
      </c>
      <c r="K1585">
        <f>VLOOKUP(B1585,purchase_dataset!$B$2:$F$2241,2,FALSE)</f>
        <v>47</v>
      </c>
      <c r="L1585">
        <f>VLOOKUP(B1585,purchase_dataset!$B$2:$F$2241,3,FALSE)</f>
        <v>32</v>
      </c>
      <c r="M1585">
        <f>VLOOKUP(B1585,purchase_dataset!$B$2:$F$2241,3,FALSE)</f>
        <v>32</v>
      </c>
      <c r="N1585">
        <f>VLOOKUP(B1585,purchase_dataset!$B$2:$F$2241,5,FALSE)</f>
        <v>6</v>
      </c>
      <c r="O1585" s="5">
        <v>76</v>
      </c>
      <c r="P1585" s="4" t="str">
        <f t="shared" si="48"/>
        <v>&gt;50</v>
      </c>
      <c r="Q1585" s="4">
        <f>M1585+N1585</f>
        <v>38</v>
      </c>
      <c r="U1585" s="28" t="str" cm="1">
        <f t="array" ref="U1585">_xlfn.IFS(F1585&lt;30000,"30k",F1585&lt;=50000,"30k-50k",F1585&lt;=75000,"50k-75k",F1585&lt;=100000,"75k-100k",F1585&gt;100000,"100k")</f>
        <v>75k-100k</v>
      </c>
      <c r="W1585" s="1">
        <f t="shared" si="49"/>
        <v>13</v>
      </c>
    </row>
    <row r="1586" spans="1:23" x14ac:dyDescent="0.35">
      <c r="A1586">
        <v>1583</v>
      </c>
      <c r="B1586">
        <v>5223</v>
      </c>
      <c r="C1586">
        <v>1966</v>
      </c>
      <c r="D1586" s="1" t="s">
        <v>15</v>
      </c>
      <c r="E1586" s="1" t="s">
        <v>12</v>
      </c>
      <c r="F1586">
        <v>45903</v>
      </c>
      <c r="G1586">
        <v>0</v>
      </c>
      <c r="H1586" s="2">
        <v>1</v>
      </c>
      <c r="I1586" s="2">
        <v>41752</v>
      </c>
      <c r="J1586">
        <v>80</v>
      </c>
      <c r="K1586">
        <f>VLOOKUP(B1586,purchase_dataset!$B$2:$F$2241,2,FALSE)</f>
        <v>8</v>
      </c>
      <c r="L1586">
        <f>VLOOKUP(B1586,purchase_dataset!$B$2:$F$2241,3,FALSE)</f>
        <v>10</v>
      </c>
      <c r="M1586">
        <f>VLOOKUP(B1586,purchase_dataset!$B$2:$F$2241,3,FALSE)</f>
        <v>10</v>
      </c>
      <c r="N1586">
        <f>VLOOKUP(B1586,purchase_dataset!$B$2:$F$2241,5,FALSE)</f>
        <v>3</v>
      </c>
      <c r="O1586" s="5">
        <v>60</v>
      </c>
      <c r="P1586" s="4" t="str">
        <f t="shared" si="48"/>
        <v>&gt;50</v>
      </c>
      <c r="Q1586" s="4">
        <f>M1586+N1586</f>
        <v>13</v>
      </c>
      <c r="U1586" s="28" t="str" cm="1">
        <f t="array" ref="U1586">_xlfn.IFS(F1586&lt;30000,"30k",F1586&lt;=50000,"30k-50k",F1586&lt;=75000,"50k-75k",F1586&lt;=100000,"75k-100k",F1586&gt;100000,"100k")</f>
        <v>30k-50k</v>
      </c>
      <c r="W1586" s="1">
        <f t="shared" si="49"/>
        <v>12</v>
      </c>
    </row>
    <row r="1587" spans="1:23" x14ac:dyDescent="0.35">
      <c r="A1587">
        <v>1584</v>
      </c>
      <c r="B1587">
        <v>4608</v>
      </c>
      <c r="C1587">
        <v>1987</v>
      </c>
      <c r="D1587" s="1" t="s">
        <v>10</v>
      </c>
      <c r="E1587" s="1" t="s">
        <v>16</v>
      </c>
      <c r="F1587">
        <v>81361</v>
      </c>
      <c r="G1587">
        <v>0</v>
      </c>
      <c r="H1587" s="2">
        <v>0</v>
      </c>
      <c r="I1587" s="2">
        <v>41695</v>
      </c>
      <c r="J1587">
        <v>18</v>
      </c>
      <c r="K1587">
        <f>VLOOKUP(B1587,purchase_dataset!$B$2:$F$2241,2,FALSE)</f>
        <v>23</v>
      </c>
      <c r="L1587">
        <f>VLOOKUP(B1587,purchase_dataset!$B$2:$F$2241,3,FALSE)</f>
        <v>65</v>
      </c>
      <c r="M1587">
        <f>VLOOKUP(B1587,purchase_dataset!$B$2:$F$2241,3,FALSE)</f>
        <v>65</v>
      </c>
      <c r="N1587">
        <f>VLOOKUP(B1587,purchase_dataset!$B$2:$F$2241,5,FALSE)</f>
        <v>13</v>
      </c>
      <c r="O1587" s="5">
        <v>39</v>
      </c>
      <c r="P1587" s="4" t="str">
        <f t="shared" si="48"/>
        <v>30-50</v>
      </c>
      <c r="Q1587" s="4">
        <f>M1587+N1587</f>
        <v>78</v>
      </c>
      <c r="U1587" s="28" t="str" cm="1">
        <f t="array" ref="U1587">_xlfn.IFS(F1587&lt;30000,"30k",F1587&lt;=50000,"30k-50k",F1587&lt;=75000,"50k-75k",F1587&lt;=100000,"75k-100k",F1587&gt;100000,"100k")</f>
        <v>75k-100k</v>
      </c>
      <c r="W1587" s="1">
        <f t="shared" si="49"/>
        <v>12</v>
      </c>
    </row>
    <row r="1588" spans="1:23" x14ac:dyDescent="0.35">
      <c r="A1588">
        <v>1585</v>
      </c>
      <c r="B1588">
        <v>1626</v>
      </c>
      <c r="C1588">
        <v>1973</v>
      </c>
      <c r="D1588" s="1" t="s">
        <v>13</v>
      </c>
      <c r="E1588" s="1" t="s">
        <v>16</v>
      </c>
      <c r="F1588">
        <v>35860</v>
      </c>
      <c r="G1588">
        <v>1</v>
      </c>
      <c r="H1588" s="2">
        <v>1</v>
      </c>
      <c r="I1588" s="2">
        <v>41778</v>
      </c>
      <c r="J1588">
        <v>37</v>
      </c>
      <c r="K1588">
        <f>VLOOKUP(B1588,purchase_dataset!$B$2:$F$2241,2,FALSE)</f>
        <v>0</v>
      </c>
      <c r="L1588">
        <f>VLOOKUP(B1588,purchase_dataset!$B$2:$F$2241,3,FALSE)</f>
        <v>2</v>
      </c>
      <c r="M1588">
        <f>VLOOKUP(B1588,purchase_dataset!$B$2:$F$2241,3,FALSE)</f>
        <v>2</v>
      </c>
      <c r="N1588">
        <f>VLOOKUP(B1588,purchase_dataset!$B$2:$F$2241,5,FALSE)</f>
        <v>2</v>
      </c>
      <c r="O1588" s="5">
        <v>53</v>
      </c>
      <c r="P1588" s="4" t="str">
        <f t="shared" si="48"/>
        <v>&gt;50</v>
      </c>
      <c r="Q1588" s="4">
        <f>M1588+N1588</f>
        <v>4</v>
      </c>
      <c r="U1588" s="28" t="str" cm="1">
        <f t="array" ref="U1588">_xlfn.IFS(F1588&lt;30000,"30k",F1588&lt;=50000,"30k-50k",F1588&lt;=75000,"50k-75k",F1588&lt;=100000,"75k-100k",F1588&gt;100000,"100k")</f>
        <v>30k-50k</v>
      </c>
      <c r="W1588" s="1">
        <f t="shared" si="49"/>
        <v>12</v>
      </c>
    </row>
    <row r="1589" spans="1:23" x14ac:dyDescent="0.35">
      <c r="A1589">
        <v>1586</v>
      </c>
      <c r="B1589">
        <v>4764</v>
      </c>
      <c r="C1589">
        <v>1952</v>
      </c>
      <c r="D1589" s="1" t="s">
        <v>15</v>
      </c>
      <c r="E1589" s="1" t="s">
        <v>12</v>
      </c>
      <c r="F1589">
        <v>40442</v>
      </c>
      <c r="G1589">
        <v>1</v>
      </c>
      <c r="H1589" s="2">
        <v>1</v>
      </c>
      <c r="I1589" s="2">
        <v>41140</v>
      </c>
      <c r="J1589">
        <v>52</v>
      </c>
      <c r="K1589">
        <f>VLOOKUP(B1589,purchase_dataset!$B$2:$F$2241,2,FALSE)</f>
        <v>12</v>
      </c>
      <c r="L1589">
        <f>VLOOKUP(B1589,purchase_dataset!$B$2:$F$2241,3,FALSE)</f>
        <v>22</v>
      </c>
      <c r="M1589">
        <f>VLOOKUP(B1589,purchase_dataset!$B$2:$F$2241,3,FALSE)</f>
        <v>22</v>
      </c>
      <c r="N1589">
        <f>VLOOKUP(B1589,purchase_dataset!$B$2:$F$2241,5,FALSE)</f>
        <v>4</v>
      </c>
      <c r="O1589" s="5">
        <v>74</v>
      </c>
      <c r="P1589" s="4" t="str">
        <f t="shared" si="48"/>
        <v>&gt;50</v>
      </c>
      <c r="Q1589" s="4">
        <f>M1589+N1589</f>
        <v>26</v>
      </c>
      <c r="U1589" s="28" t="str" cm="1">
        <f t="array" ref="U1589">_xlfn.IFS(F1589&lt;30000,"30k",F1589&lt;=50000,"30k-50k",F1589&lt;=75000,"50k-75k",F1589&lt;=100000,"75k-100k",F1589&gt;100000,"100k")</f>
        <v>30k-50k</v>
      </c>
      <c r="W1589" s="1">
        <f t="shared" si="49"/>
        <v>14</v>
      </c>
    </row>
    <row r="1590" spans="1:23" x14ac:dyDescent="0.35">
      <c r="A1590">
        <v>1587</v>
      </c>
      <c r="B1590">
        <v>2471</v>
      </c>
      <c r="C1590">
        <v>1965</v>
      </c>
      <c r="D1590" s="1" t="s">
        <v>10</v>
      </c>
      <c r="E1590" s="1" t="s">
        <v>14</v>
      </c>
      <c r="F1590">
        <v>61482</v>
      </c>
      <c r="G1590">
        <v>0</v>
      </c>
      <c r="H1590" s="2">
        <v>0</v>
      </c>
      <c r="I1590" s="2">
        <v>41817</v>
      </c>
      <c r="J1590">
        <v>39</v>
      </c>
      <c r="K1590">
        <f>VLOOKUP(B1590,purchase_dataset!$B$2:$F$2241,2,FALSE)</f>
        <v>58</v>
      </c>
      <c r="L1590">
        <f>VLOOKUP(B1590,purchase_dataset!$B$2:$F$2241,3,FALSE)</f>
        <v>66</v>
      </c>
      <c r="M1590">
        <f>VLOOKUP(B1590,purchase_dataset!$B$2:$F$2241,3,FALSE)</f>
        <v>66</v>
      </c>
      <c r="N1590">
        <f>VLOOKUP(B1590,purchase_dataset!$B$2:$F$2241,5,FALSE)</f>
        <v>6</v>
      </c>
      <c r="O1590" s="5">
        <v>61</v>
      </c>
      <c r="P1590" s="4" t="str">
        <f t="shared" si="48"/>
        <v>&gt;50</v>
      </c>
      <c r="Q1590" s="4">
        <f>M1590+N1590</f>
        <v>72</v>
      </c>
      <c r="U1590" s="28" t="str" cm="1">
        <f t="array" ref="U1590">_xlfn.IFS(F1590&lt;30000,"30k",F1590&lt;=50000,"30k-50k",F1590&lt;=75000,"50k-75k",F1590&lt;=100000,"75k-100k",F1590&gt;100000,"100k")</f>
        <v>50k-75k</v>
      </c>
      <c r="W1590" s="1">
        <f t="shared" si="49"/>
        <v>12</v>
      </c>
    </row>
    <row r="1591" spans="1:23" x14ac:dyDescent="0.35">
      <c r="A1591">
        <v>1588</v>
      </c>
      <c r="B1591">
        <v>5892</v>
      </c>
      <c r="C1591">
        <v>1980</v>
      </c>
      <c r="D1591" s="1" t="s">
        <v>10</v>
      </c>
      <c r="E1591" s="1" t="s">
        <v>14</v>
      </c>
      <c r="F1591">
        <v>34968</v>
      </c>
      <c r="G1591">
        <v>1</v>
      </c>
      <c r="H1591" s="2">
        <v>0</v>
      </c>
      <c r="I1591" s="2">
        <v>41374</v>
      </c>
      <c r="J1591">
        <v>11</v>
      </c>
      <c r="K1591">
        <f>VLOOKUP(B1591,purchase_dataset!$B$2:$F$2241,2,FALSE)</f>
        <v>6</v>
      </c>
      <c r="L1591">
        <f>VLOOKUP(B1591,purchase_dataset!$B$2:$F$2241,3,FALSE)</f>
        <v>2</v>
      </c>
      <c r="M1591">
        <f>VLOOKUP(B1591,purchase_dataset!$B$2:$F$2241,3,FALSE)</f>
        <v>2</v>
      </c>
      <c r="N1591">
        <f>VLOOKUP(B1591,purchase_dataset!$B$2:$F$2241,5,FALSE)</f>
        <v>5</v>
      </c>
      <c r="O1591" s="5">
        <v>46</v>
      </c>
      <c r="P1591" s="4" t="str">
        <f t="shared" si="48"/>
        <v>30-50</v>
      </c>
      <c r="Q1591" s="4">
        <f>M1591+N1591</f>
        <v>7</v>
      </c>
      <c r="U1591" s="28" t="str" cm="1">
        <f t="array" ref="U1591">_xlfn.IFS(F1591&lt;30000,"30k",F1591&lt;=50000,"30k-50k",F1591&lt;=75000,"50k-75k",F1591&lt;=100000,"75k-100k",F1591&gt;100000,"100k")</f>
        <v>30k-50k</v>
      </c>
      <c r="W1591" s="1">
        <f t="shared" si="49"/>
        <v>13</v>
      </c>
    </row>
    <row r="1592" spans="1:23" x14ac:dyDescent="0.35">
      <c r="A1592">
        <v>1589</v>
      </c>
      <c r="B1592">
        <v>2612</v>
      </c>
      <c r="C1592">
        <v>1987</v>
      </c>
      <c r="D1592" s="1" t="s">
        <v>10</v>
      </c>
      <c r="E1592" s="1" t="s">
        <v>14</v>
      </c>
      <c r="F1592">
        <v>75794</v>
      </c>
      <c r="G1592">
        <v>0</v>
      </c>
      <c r="H1592" s="2">
        <v>0</v>
      </c>
      <c r="I1592" s="2">
        <v>41632</v>
      </c>
      <c r="J1592">
        <v>33</v>
      </c>
      <c r="K1592">
        <f>VLOOKUP(B1592,purchase_dataset!$B$2:$F$2241,2,FALSE)</f>
        <v>160</v>
      </c>
      <c r="L1592">
        <f>VLOOKUP(B1592,purchase_dataset!$B$2:$F$2241,3,FALSE)</f>
        <v>32</v>
      </c>
      <c r="M1592">
        <f>VLOOKUP(B1592,purchase_dataset!$B$2:$F$2241,3,FALSE)</f>
        <v>32</v>
      </c>
      <c r="N1592">
        <f>VLOOKUP(B1592,purchase_dataset!$B$2:$F$2241,5,FALSE)</f>
        <v>12</v>
      </c>
      <c r="O1592" s="5">
        <v>39</v>
      </c>
      <c r="P1592" s="4" t="str">
        <f t="shared" si="48"/>
        <v>30-50</v>
      </c>
      <c r="Q1592" s="4">
        <f>M1592+N1592</f>
        <v>44</v>
      </c>
      <c r="U1592" s="28" t="str" cm="1">
        <f t="array" ref="U1592">_xlfn.IFS(F1592&lt;30000,"30k",F1592&lt;=50000,"30k-50k",F1592&lt;=75000,"50k-75k",F1592&lt;=100000,"75k-100k",F1592&gt;100000,"100k")</f>
        <v>75k-100k</v>
      </c>
      <c r="W1592" s="1">
        <f t="shared" si="49"/>
        <v>13</v>
      </c>
    </row>
    <row r="1593" spans="1:23" x14ac:dyDescent="0.35">
      <c r="A1593">
        <v>1590</v>
      </c>
      <c r="B1593">
        <v>4971</v>
      </c>
      <c r="C1593">
        <v>1962</v>
      </c>
      <c r="D1593" s="1" t="s">
        <v>13</v>
      </c>
      <c r="E1593" s="1" t="s">
        <v>12</v>
      </c>
      <c r="F1593">
        <v>31497</v>
      </c>
      <c r="G1593">
        <v>0</v>
      </c>
      <c r="H1593" s="2">
        <v>1</v>
      </c>
      <c r="I1593" s="2">
        <v>41249</v>
      </c>
      <c r="J1593">
        <v>22</v>
      </c>
      <c r="K1593">
        <f>VLOOKUP(B1593,purchase_dataset!$B$2:$F$2241,2,FALSE)</f>
        <v>1</v>
      </c>
      <c r="L1593">
        <f>VLOOKUP(B1593,purchase_dataset!$B$2:$F$2241,3,FALSE)</f>
        <v>1</v>
      </c>
      <c r="M1593">
        <f>VLOOKUP(B1593,purchase_dataset!$B$2:$F$2241,3,FALSE)</f>
        <v>1</v>
      </c>
      <c r="N1593">
        <f>VLOOKUP(B1593,purchase_dataset!$B$2:$F$2241,5,FALSE)</f>
        <v>4</v>
      </c>
      <c r="O1593" s="5">
        <v>64</v>
      </c>
      <c r="P1593" s="4" t="str">
        <f t="shared" si="48"/>
        <v>&gt;50</v>
      </c>
      <c r="Q1593" s="4">
        <f>M1593+N1593</f>
        <v>5</v>
      </c>
      <c r="U1593" s="28" t="str" cm="1">
        <f t="array" ref="U1593">_xlfn.IFS(F1593&lt;30000,"30k",F1593&lt;=50000,"30k-50k",F1593&lt;=75000,"50k-75k",F1593&lt;=100000,"75k-100k",F1593&gt;100000,"100k")</f>
        <v>30k-50k</v>
      </c>
      <c r="W1593" s="1">
        <f t="shared" si="49"/>
        <v>14</v>
      </c>
    </row>
    <row r="1594" spans="1:23" x14ac:dyDescent="0.35">
      <c r="A1594">
        <v>1591</v>
      </c>
      <c r="B1594">
        <v>5185</v>
      </c>
      <c r="C1594">
        <v>1955</v>
      </c>
      <c r="D1594" s="1" t="s">
        <v>10</v>
      </c>
      <c r="E1594" s="1" t="s">
        <v>14</v>
      </c>
      <c r="F1594">
        <v>74268</v>
      </c>
      <c r="G1594">
        <v>0</v>
      </c>
      <c r="H1594" s="2">
        <v>0</v>
      </c>
      <c r="I1594" s="2">
        <v>41319</v>
      </c>
      <c r="J1594">
        <v>83</v>
      </c>
      <c r="K1594">
        <f>VLOOKUP(B1594,purchase_dataset!$B$2:$F$2241,2,FALSE)</f>
        <v>66</v>
      </c>
      <c r="L1594">
        <f>VLOOKUP(B1594,purchase_dataset!$B$2:$F$2241,3,FALSE)</f>
        <v>174</v>
      </c>
      <c r="M1594">
        <f>VLOOKUP(B1594,purchase_dataset!$B$2:$F$2241,3,FALSE)</f>
        <v>174</v>
      </c>
      <c r="N1594">
        <f>VLOOKUP(B1594,purchase_dataset!$B$2:$F$2241,5,FALSE)</f>
        <v>5</v>
      </c>
      <c r="O1594" s="5">
        <v>71</v>
      </c>
      <c r="P1594" s="4" t="str">
        <f t="shared" si="48"/>
        <v>&gt;50</v>
      </c>
      <c r="Q1594" s="4">
        <f>M1594+N1594</f>
        <v>179</v>
      </c>
      <c r="U1594" s="28" t="str" cm="1">
        <f t="array" ref="U1594">_xlfn.IFS(F1594&lt;30000,"30k",F1594&lt;=50000,"30k-50k",F1594&lt;=75000,"50k-75k",F1594&lt;=100000,"75k-100k",F1594&gt;100000,"100k")</f>
        <v>50k-75k</v>
      </c>
      <c r="W1594" s="1">
        <f t="shared" si="49"/>
        <v>13</v>
      </c>
    </row>
    <row r="1595" spans="1:23" x14ac:dyDescent="0.35">
      <c r="A1595">
        <v>1592</v>
      </c>
      <c r="B1595">
        <v>10069</v>
      </c>
      <c r="C1595">
        <v>1988</v>
      </c>
      <c r="D1595" s="1" t="s">
        <v>17</v>
      </c>
      <c r="E1595" s="1" t="s">
        <v>12</v>
      </c>
      <c r="F1595">
        <v>13724</v>
      </c>
      <c r="G1595">
        <v>1</v>
      </c>
      <c r="H1595" s="2">
        <v>0</v>
      </c>
      <c r="I1595" s="2">
        <v>41152</v>
      </c>
      <c r="J1595">
        <v>43</v>
      </c>
      <c r="K1595">
        <f>VLOOKUP(B1595,purchase_dataset!$B$2:$F$2241,2,FALSE)</f>
        <v>7</v>
      </c>
      <c r="L1595">
        <f>VLOOKUP(B1595,purchase_dataset!$B$2:$F$2241,3,FALSE)</f>
        <v>15</v>
      </c>
      <c r="M1595">
        <f>VLOOKUP(B1595,purchase_dataset!$B$2:$F$2241,3,FALSE)</f>
        <v>15</v>
      </c>
      <c r="N1595">
        <f>VLOOKUP(B1595,purchase_dataset!$B$2:$F$2241,5,FALSE)</f>
        <v>2</v>
      </c>
      <c r="O1595" s="5">
        <v>38</v>
      </c>
      <c r="P1595" s="4" t="str">
        <f t="shared" si="48"/>
        <v>30-50</v>
      </c>
      <c r="Q1595" s="4">
        <f>M1595+N1595</f>
        <v>17</v>
      </c>
      <c r="U1595" s="28" t="str" cm="1">
        <f t="array" ref="U1595">_xlfn.IFS(F1595&lt;30000,"30k",F1595&lt;=50000,"30k-50k",F1595&lt;=75000,"50k-75k",F1595&lt;=100000,"75k-100k",F1595&gt;100000,"100k")</f>
        <v>30k</v>
      </c>
      <c r="W1595" s="1">
        <f t="shared" si="49"/>
        <v>14</v>
      </c>
    </row>
    <row r="1596" spans="1:23" x14ac:dyDescent="0.35">
      <c r="A1596">
        <v>1593</v>
      </c>
      <c r="B1596">
        <v>2262</v>
      </c>
      <c r="C1596">
        <v>1965</v>
      </c>
      <c r="D1596" s="1" t="s">
        <v>15</v>
      </c>
      <c r="E1596" s="1" t="s">
        <v>12</v>
      </c>
      <c r="F1596">
        <v>45143</v>
      </c>
      <c r="G1596">
        <v>0</v>
      </c>
      <c r="H1596" s="2">
        <v>1</v>
      </c>
      <c r="I1596" s="2">
        <v>41512</v>
      </c>
      <c r="J1596">
        <v>74</v>
      </c>
      <c r="K1596">
        <f>VLOOKUP(B1596,purchase_dataset!$B$2:$F$2241,2,FALSE)</f>
        <v>5</v>
      </c>
      <c r="L1596">
        <f>VLOOKUP(B1596,purchase_dataset!$B$2:$F$2241,3,FALSE)</f>
        <v>5</v>
      </c>
      <c r="M1596">
        <f>VLOOKUP(B1596,purchase_dataset!$B$2:$F$2241,3,FALSE)</f>
        <v>5</v>
      </c>
      <c r="N1596">
        <f>VLOOKUP(B1596,purchase_dataset!$B$2:$F$2241,5,FALSE)</f>
        <v>5</v>
      </c>
      <c r="O1596" s="5">
        <v>61</v>
      </c>
      <c r="P1596" s="4" t="str">
        <f t="shared" si="48"/>
        <v>&gt;50</v>
      </c>
      <c r="Q1596" s="4">
        <f>M1596+N1596</f>
        <v>10</v>
      </c>
      <c r="U1596" s="28" t="str" cm="1">
        <f t="array" ref="U1596">_xlfn.IFS(F1596&lt;30000,"30k",F1596&lt;=50000,"30k-50k",F1596&lt;=75000,"50k-75k",F1596&lt;=100000,"75k-100k",F1596&gt;100000,"100k")</f>
        <v>30k-50k</v>
      </c>
      <c r="W1596" s="1">
        <f t="shared" si="49"/>
        <v>13</v>
      </c>
    </row>
    <row r="1597" spans="1:23" x14ac:dyDescent="0.35">
      <c r="A1597">
        <v>1594</v>
      </c>
      <c r="B1597">
        <v>1131</v>
      </c>
      <c r="C1597">
        <v>1967</v>
      </c>
      <c r="D1597" s="1" t="s">
        <v>13</v>
      </c>
      <c r="E1597" s="1" t="s">
        <v>11</v>
      </c>
      <c r="F1597">
        <v>52569</v>
      </c>
      <c r="G1597">
        <v>0</v>
      </c>
      <c r="H1597" s="2">
        <v>1</v>
      </c>
      <c r="I1597" s="2">
        <v>41734</v>
      </c>
      <c r="J1597">
        <v>54</v>
      </c>
      <c r="K1597">
        <f>VLOOKUP(B1597,purchase_dataset!$B$2:$F$2241,2,FALSE)</f>
        <v>0</v>
      </c>
      <c r="L1597">
        <f>VLOOKUP(B1597,purchase_dataset!$B$2:$F$2241,3,FALSE)</f>
        <v>0</v>
      </c>
      <c r="M1597">
        <f>VLOOKUP(B1597,purchase_dataset!$B$2:$F$2241,3,FALSE)</f>
        <v>0</v>
      </c>
      <c r="N1597">
        <f>VLOOKUP(B1597,purchase_dataset!$B$2:$F$2241,5,FALSE)</f>
        <v>4</v>
      </c>
      <c r="O1597" s="5">
        <v>59</v>
      </c>
      <c r="P1597" s="4" t="str">
        <f t="shared" si="48"/>
        <v>&gt;50</v>
      </c>
      <c r="Q1597" s="4">
        <f>M1597+N1597</f>
        <v>4</v>
      </c>
      <c r="U1597" s="28" t="str" cm="1">
        <f t="array" ref="U1597">_xlfn.IFS(F1597&lt;30000,"30k",F1597&lt;=50000,"30k-50k",F1597&lt;=75000,"50k-75k",F1597&lt;=100000,"75k-100k",F1597&gt;100000,"100k")</f>
        <v>50k-75k</v>
      </c>
      <c r="W1597" s="1">
        <f t="shared" si="49"/>
        <v>12</v>
      </c>
    </row>
    <row r="1598" spans="1:23" x14ac:dyDescent="0.35">
      <c r="A1598">
        <v>1595</v>
      </c>
      <c r="B1598">
        <v>1041</v>
      </c>
      <c r="C1598">
        <v>1973</v>
      </c>
      <c r="D1598" s="1" t="s">
        <v>13</v>
      </c>
      <c r="E1598" s="1" t="s">
        <v>11</v>
      </c>
      <c r="F1598">
        <v>48432</v>
      </c>
      <c r="G1598">
        <v>0</v>
      </c>
      <c r="H1598" s="2">
        <v>1</v>
      </c>
      <c r="I1598" s="2">
        <v>41200</v>
      </c>
      <c r="J1598">
        <v>3</v>
      </c>
      <c r="K1598">
        <f>VLOOKUP(B1598,purchase_dataset!$B$2:$F$2241,2,FALSE)</f>
        <v>3</v>
      </c>
      <c r="L1598">
        <f>VLOOKUP(B1598,purchase_dataset!$B$2:$F$2241,3,FALSE)</f>
        <v>3</v>
      </c>
      <c r="M1598">
        <f>VLOOKUP(B1598,purchase_dataset!$B$2:$F$2241,3,FALSE)</f>
        <v>3</v>
      </c>
      <c r="N1598">
        <f>VLOOKUP(B1598,purchase_dataset!$B$2:$F$2241,5,FALSE)</f>
        <v>6</v>
      </c>
      <c r="O1598" s="5">
        <v>53</v>
      </c>
      <c r="P1598" s="4" t="str">
        <f t="shared" si="48"/>
        <v>&gt;50</v>
      </c>
      <c r="Q1598" s="4">
        <f>M1598+N1598</f>
        <v>9</v>
      </c>
      <c r="U1598" s="28" t="str" cm="1">
        <f t="array" ref="U1598">_xlfn.IFS(F1598&lt;30000,"30k",F1598&lt;=50000,"30k-50k",F1598&lt;=75000,"50k-75k",F1598&lt;=100000,"75k-100k",F1598&gt;100000,"100k")</f>
        <v>30k-50k</v>
      </c>
      <c r="W1598" s="1">
        <f t="shared" si="49"/>
        <v>14</v>
      </c>
    </row>
    <row r="1599" spans="1:23" x14ac:dyDescent="0.35">
      <c r="A1599">
        <v>1596</v>
      </c>
      <c r="B1599">
        <v>24</v>
      </c>
      <c r="C1599">
        <v>1960</v>
      </c>
      <c r="D1599" s="1" t="s">
        <v>15</v>
      </c>
      <c r="E1599" s="1" t="s">
        <v>12</v>
      </c>
      <c r="F1599">
        <v>17144</v>
      </c>
      <c r="G1599">
        <v>1</v>
      </c>
      <c r="H1599" s="2">
        <v>1</v>
      </c>
      <c r="I1599" s="2">
        <v>41685</v>
      </c>
      <c r="J1599">
        <v>96</v>
      </c>
      <c r="K1599">
        <f>VLOOKUP(B1599,purchase_dataset!$B$2:$F$2241,2,FALSE)</f>
        <v>2</v>
      </c>
      <c r="L1599">
        <f>VLOOKUP(B1599,purchase_dataset!$B$2:$F$2241,3,FALSE)</f>
        <v>2</v>
      </c>
      <c r="M1599">
        <f>VLOOKUP(B1599,purchase_dataset!$B$2:$F$2241,3,FALSE)</f>
        <v>2</v>
      </c>
      <c r="N1599">
        <f>VLOOKUP(B1599,purchase_dataset!$B$2:$F$2241,5,FALSE)</f>
        <v>4</v>
      </c>
      <c r="O1599" s="5">
        <v>66</v>
      </c>
      <c r="P1599" s="4" t="str">
        <f t="shared" si="48"/>
        <v>&gt;50</v>
      </c>
      <c r="Q1599" s="4">
        <f>M1599+N1599</f>
        <v>6</v>
      </c>
      <c r="U1599" s="28" t="str" cm="1">
        <f t="array" ref="U1599">_xlfn.IFS(F1599&lt;30000,"30k",F1599&lt;=50000,"30k-50k",F1599&lt;=75000,"50k-75k",F1599&lt;=100000,"75k-100k",F1599&gt;100000,"100k")</f>
        <v>30k</v>
      </c>
      <c r="W1599" s="1">
        <f t="shared" si="49"/>
        <v>12</v>
      </c>
    </row>
    <row r="1600" spans="1:23" x14ac:dyDescent="0.35">
      <c r="A1600">
        <v>1597</v>
      </c>
      <c r="B1600">
        <v>3409</v>
      </c>
      <c r="C1600">
        <v>1984</v>
      </c>
      <c r="D1600" s="1" t="s">
        <v>10</v>
      </c>
      <c r="E1600" s="1" t="s">
        <v>11</v>
      </c>
      <c r="F1600">
        <v>36108</v>
      </c>
      <c r="G1600">
        <v>1</v>
      </c>
      <c r="H1600" s="2">
        <v>0</v>
      </c>
      <c r="I1600" s="2">
        <v>41562</v>
      </c>
      <c r="J1600">
        <v>68</v>
      </c>
      <c r="K1600">
        <f>VLOOKUP(B1600,purchase_dataset!$B$2:$F$2241,2,FALSE)</f>
        <v>8</v>
      </c>
      <c r="L1600">
        <f>VLOOKUP(B1600,purchase_dataset!$B$2:$F$2241,3,FALSE)</f>
        <v>11</v>
      </c>
      <c r="M1600">
        <f>VLOOKUP(B1600,purchase_dataset!$B$2:$F$2241,3,FALSE)</f>
        <v>11</v>
      </c>
      <c r="N1600">
        <f>VLOOKUP(B1600,purchase_dataset!$B$2:$F$2241,5,FALSE)</f>
        <v>4</v>
      </c>
      <c r="O1600" s="5">
        <v>42</v>
      </c>
      <c r="P1600" s="4" t="str">
        <f t="shared" si="48"/>
        <v>30-50</v>
      </c>
      <c r="Q1600" s="4">
        <f>M1600+N1600</f>
        <v>15</v>
      </c>
      <c r="U1600" s="28" t="str" cm="1">
        <f t="array" ref="U1600">_xlfn.IFS(F1600&lt;30000,"30k",F1600&lt;=50000,"30k-50k",F1600&lt;=75000,"50k-75k",F1600&lt;=100000,"75k-100k",F1600&gt;100000,"100k")</f>
        <v>30k-50k</v>
      </c>
      <c r="W1600" s="1">
        <f t="shared" si="49"/>
        <v>13</v>
      </c>
    </row>
    <row r="1601" spans="1:23" x14ac:dyDescent="0.35">
      <c r="A1601">
        <v>1598</v>
      </c>
      <c r="B1601">
        <v>7022</v>
      </c>
      <c r="C1601">
        <v>1971</v>
      </c>
      <c r="D1601" s="1" t="s">
        <v>10</v>
      </c>
      <c r="E1601" s="1" t="s">
        <v>14</v>
      </c>
      <c r="F1601">
        <v>76445</v>
      </c>
      <c r="G1601">
        <v>1</v>
      </c>
      <c r="H1601" s="2">
        <v>0</v>
      </c>
      <c r="I1601" s="2">
        <v>41180</v>
      </c>
      <c r="J1601">
        <v>2</v>
      </c>
      <c r="K1601">
        <f>VLOOKUP(B1601,purchase_dataset!$B$2:$F$2241,2,FALSE)</f>
        <v>107</v>
      </c>
      <c r="L1601">
        <f>VLOOKUP(B1601,purchase_dataset!$B$2:$F$2241,3,FALSE)</f>
        <v>80</v>
      </c>
      <c r="M1601">
        <f>VLOOKUP(B1601,purchase_dataset!$B$2:$F$2241,3,FALSE)</f>
        <v>80</v>
      </c>
      <c r="N1601">
        <f>VLOOKUP(B1601,purchase_dataset!$B$2:$F$2241,5,FALSE)</f>
        <v>13</v>
      </c>
      <c r="O1601" s="5">
        <v>55</v>
      </c>
      <c r="P1601" s="4" t="str">
        <f t="shared" si="48"/>
        <v>&gt;50</v>
      </c>
      <c r="Q1601" s="4">
        <f>M1601+N1601</f>
        <v>93</v>
      </c>
      <c r="U1601" s="28" t="str" cm="1">
        <f t="array" ref="U1601">_xlfn.IFS(F1601&lt;30000,"30k",F1601&lt;=50000,"30k-50k",F1601&lt;=75000,"50k-75k",F1601&lt;=100000,"75k-100k",F1601&gt;100000,"100k")</f>
        <v>75k-100k</v>
      </c>
      <c r="W1601" s="1">
        <f t="shared" si="49"/>
        <v>14</v>
      </c>
    </row>
    <row r="1602" spans="1:23" x14ac:dyDescent="0.35">
      <c r="A1602">
        <v>1599</v>
      </c>
      <c r="B1602">
        <v>7943</v>
      </c>
      <c r="C1602">
        <v>1975</v>
      </c>
      <c r="D1602" s="1" t="s">
        <v>13</v>
      </c>
      <c r="E1602" s="1" t="s">
        <v>14</v>
      </c>
      <c r="F1602">
        <v>36663</v>
      </c>
      <c r="G1602">
        <v>1</v>
      </c>
      <c r="H1602" s="2">
        <v>0</v>
      </c>
      <c r="I1602" s="2">
        <v>41754</v>
      </c>
      <c r="J1602">
        <v>40</v>
      </c>
      <c r="K1602">
        <f>VLOOKUP(B1602,purchase_dataset!$B$2:$F$2241,2,FALSE)</f>
        <v>0</v>
      </c>
      <c r="L1602">
        <f>VLOOKUP(B1602,purchase_dataset!$B$2:$F$2241,3,FALSE)</f>
        <v>3</v>
      </c>
      <c r="M1602">
        <f>VLOOKUP(B1602,purchase_dataset!$B$2:$F$2241,3,FALSE)</f>
        <v>3</v>
      </c>
      <c r="N1602">
        <f>VLOOKUP(B1602,purchase_dataset!$B$2:$F$2241,5,FALSE)</f>
        <v>3</v>
      </c>
      <c r="O1602" s="5">
        <v>51</v>
      </c>
      <c r="P1602" s="4" t="str">
        <f t="shared" si="48"/>
        <v>&gt;50</v>
      </c>
      <c r="Q1602" s="4">
        <f>M1602+N1602</f>
        <v>6</v>
      </c>
      <c r="U1602" s="28" t="str" cm="1">
        <f t="array" ref="U1602">_xlfn.IFS(F1602&lt;30000,"30k",F1602&lt;=50000,"30k-50k",F1602&lt;=75000,"50k-75k",F1602&lt;=100000,"75k-100k",F1602&gt;100000,"100k")</f>
        <v>30k-50k</v>
      </c>
      <c r="W1602" s="1">
        <f t="shared" si="49"/>
        <v>12</v>
      </c>
    </row>
    <row r="1603" spans="1:23" x14ac:dyDescent="0.35">
      <c r="A1603">
        <v>1600</v>
      </c>
      <c r="B1603">
        <v>5272</v>
      </c>
      <c r="C1603">
        <v>1965</v>
      </c>
      <c r="D1603" s="1" t="s">
        <v>15</v>
      </c>
      <c r="E1603" s="1" t="s">
        <v>14</v>
      </c>
      <c r="F1603">
        <v>53843</v>
      </c>
      <c r="G1603">
        <v>0</v>
      </c>
      <c r="H1603" s="2">
        <v>1</v>
      </c>
      <c r="I1603" s="2">
        <v>41452</v>
      </c>
      <c r="J1603">
        <v>64</v>
      </c>
      <c r="K1603">
        <f>VLOOKUP(B1603,purchase_dataset!$B$2:$F$2241,2,FALSE)</f>
        <v>0</v>
      </c>
      <c r="L1603">
        <f>VLOOKUP(B1603,purchase_dataset!$B$2:$F$2241,3,FALSE)</f>
        <v>4</v>
      </c>
      <c r="M1603">
        <f>VLOOKUP(B1603,purchase_dataset!$B$2:$F$2241,3,FALSE)</f>
        <v>4</v>
      </c>
      <c r="N1603">
        <f>VLOOKUP(B1603,purchase_dataset!$B$2:$F$2241,5,FALSE)</f>
        <v>3</v>
      </c>
      <c r="O1603" s="5">
        <v>61</v>
      </c>
      <c r="P1603" s="4" t="str">
        <f t="shared" si="48"/>
        <v>&gt;50</v>
      </c>
      <c r="Q1603" s="4">
        <f>M1603+N1603</f>
        <v>7</v>
      </c>
      <c r="U1603" s="28" t="str" cm="1">
        <f t="array" ref="U1603">_xlfn.IFS(F1603&lt;30000,"30k",F1603&lt;=50000,"30k-50k",F1603&lt;=75000,"50k-75k",F1603&lt;=100000,"75k-100k",F1603&gt;100000,"100k")</f>
        <v>50k-75k</v>
      </c>
      <c r="W1603" s="1">
        <f t="shared" si="49"/>
        <v>13</v>
      </c>
    </row>
    <row r="1604" spans="1:23" x14ac:dyDescent="0.35">
      <c r="A1604">
        <v>1601</v>
      </c>
      <c r="B1604">
        <v>5453</v>
      </c>
      <c r="C1604">
        <v>1956</v>
      </c>
      <c r="D1604" s="1" t="s">
        <v>15</v>
      </c>
      <c r="E1604" s="1" t="s">
        <v>14</v>
      </c>
      <c r="F1604">
        <v>90226</v>
      </c>
      <c r="G1604">
        <v>0</v>
      </c>
      <c r="H1604" s="2">
        <v>0</v>
      </c>
      <c r="I1604" s="2">
        <v>41178</v>
      </c>
      <c r="J1604">
        <v>26</v>
      </c>
      <c r="K1604">
        <f>VLOOKUP(B1604,purchase_dataset!$B$2:$F$2241,2,FALSE)</f>
        <v>108</v>
      </c>
      <c r="L1604">
        <f>VLOOKUP(B1604,purchase_dataset!$B$2:$F$2241,3,FALSE)</f>
        <v>151</v>
      </c>
      <c r="M1604">
        <f>VLOOKUP(B1604,purchase_dataset!$B$2:$F$2241,3,FALSE)</f>
        <v>151</v>
      </c>
      <c r="N1604">
        <f>VLOOKUP(B1604,purchase_dataset!$B$2:$F$2241,5,FALSE)</f>
        <v>12</v>
      </c>
      <c r="O1604" s="5">
        <v>70</v>
      </c>
      <c r="P1604" s="4" t="str">
        <f t="shared" ref="P1604:P1667" si="50">IF(O1604&lt;30,"30",IF(O1604&lt;=50,"30-50","&gt;50"))</f>
        <v>&gt;50</v>
      </c>
      <c r="Q1604" s="4">
        <f>M1604+N1604</f>
        <v>163</v>
      </c>
      <c r="U1604" s="28" t="str" cm="1">
        <f t="array" ref="U1604">_xlfn.IFS(F1604&lt;30000,"30k",F1604&lt;=50000,"30k-50k",F1604&lt;=75000,"50k-75k",F1604&lt;=100000,"75k-100k",F1604&gt;100000,"100k")</f>
        <v>75k-100k</v>
      </c>
      <c r="W1604" s="1">
        <f t="shared" ref="W1604:W1667" si="51">2026-YEAR(I1604)</f>
        <v>14</v>
      </c>
    </row>
    <row r="1605" spans="1:23" x14ac:dyDescent="0.35">
      <c r="A1605">
        <v>1602</v>
      </c>
      <c r="B1605">
        <v>2565</v>
      </c>
      <c r="C1605">
        <v>1955</v>
      </c>
      <c r="D1605" s="1" t="s">
        <v>15</v>
      </c>
      <c r="E1605" s="1" t="s">
        <v>16</v>
      </c>
      <c r="F1605">
        <v>70638</v>
      </c>
      <c r="G1605">
        <v>0</v>
      </c>
      <c r="H1605" s="2">
        <v>0</v>
      </c>
      <c r="I1605" s="2">
        <v>41426</v>
      </c>
      <c r="J1605">
        <v>69</v>
      </c>
      <c r="K1605">
        <f>VLOOKUP(B1605,purchase_dataset!$B$2:$F$2241,2,FALSE)</f>
        <v>12</v>
      </c>
      <c r="L1605">
        <f>VLOOKUP(B1605,purchase_dataset!$B$2:$F$2241,3,FALSE)</f>
        <v>12</v>
      </c>
      <c r="M1605">
        <f>VLOOKUP(B1605,purchase_dataset!$B$2:$F$2241,3,FALSE)</f>
        <v>12</v>
      </c>
      <c r="N1605">
        <f>VLOOKUP(B1605,purchase_dataset!$B$2:$F$2241,5,FALSE)</f>
        <v>10</v>
      </c>
      <c r="O1605" s="5">
        <v>71</v>
      </c>
      <c r="P1605" s="4" t="str">
        <f t="shared" si="50"/>
        <v>&gt;50</v>
      </c>
      <c r="Q1605" s="4">
        <f>M1605+N1605</f>
        <v>22</v>
      </c>
      <c r="U1605" s="28" t="str" cm="1">
        <f t="array" ref="U1605">_xlfn.IFS(F1605&lt;30000,"30k",F1605&lt;=50000,"30k-50k",F1605&lt;=75000,"50k-75k",F1605&lt;=100000,"75k-100k",F1605&gt;100000,"100k")</f>
        <v>50k-75k</v>
      </c>
      <c r="W1605" s="1">
        <f t="shared" si="51"/>
        <v>13</v>
      </c>
    </row>
    <row r="1606" spans="1:23" x14ac:dyDescent="0.35">
      <c r="A1606">
        <v>1603</v>
      </c>
      <c r="B1606">
        <v>800</v>
      </c>
      <c r="C1606">
        <v>1960</v>
      </c>
      <c r="D1606" s="1" t="s">
        <v>10</v>
      </c>
      <c r="E1606" s="1" t="s">
        <v>12</v>
      </c>
      <c r="F1606">
        <v>44512</v>
      </c>
      <c r="G1606">
        <v>1</v>
      </c>
      <c r="H1606" s="2">
        <v>1</v>
      </c>
      <c r="I1606" s="2">
        <v>41516</v>
      </c>
      <c r="J1606">
        <v>57</v>
      </c>
      <c r="K1606">
        <f>VLOOKUP(B1606,purchase_dataset!$B$2:$F$2241,2,FALSE)</f>
        <v>1</v>
      </c>
      <c r="L1606">
        <f>VLOOKUP(B1606,purchase_dataset!$B$2:$F$2241,3,FALSE)</f>
        <v>0</v>
      </c>
      <c r="M1606">
        <f>VLOOKUP(B1606,purchase_dataset!$B$2:$F$2241,3,FALSE)</f>
        <v>0</v>
      </c>
      <c r="N1606">
        <f>VLOOKUP(B1606,purchase_dataset!$B$2:$F$2241,5,FALSE)</f>
        <v>3</v>
      </c>
      <c r="O1606" s="5">
        <v>66</v>
      </c>
      <c r="P1606" s="4" t="str">
        <f t="shared" si="50"/>
        <v>&gt;50</v>
      </c>
      <c r="Q1606" s="4">
        <f>M1606+N1606</f>
        <v>3</v>
      </c>
      <c r="U1606" s="28" t="str" cm="1">
        <f t="array" ref="U1606">_xlfn.IFS(F1606&lt;30000,"30k",F1606&lt;=50000,"30k-50k",F1606&lt;=75000,"50k-75k",F1606&lt;=100000,"75k-100k",F1606&gt;100000,"100k")</f>
        <v>30k-50k</v>
      </c>
      <c r="W1606" s="1">
        <f t="shared" si="51"/>
        <v>13</v>
      </c>
    </row>
    <row r="1607" spans="1:23" x14ac:dyDescent="0.35">
      <c r="A1607">
        <v>1604</v>
      </c>
      <c r="B1607">
        <v>11092</v>
      </c>
      <c r="C1607">
        <v>1961</v>
      </c>
      <c r="D1607" s="1" t="s">
        <v>10</v>
      </c>
      <c r="E1607" s="1" t="s">
        <v>14</v>
      </c>
      <c r="F1607">
        <v>27116</v>
      </c>
      <c r="G1607">
        <v>1</v>
      </c>
      <c r="H1607" s="2">
        <v>1</v>
      </c>
      <c r="I1607" s="2">
        <v>41700</v>
      </c>
      <c r="J1607">
        <v>78</v>
      </c>
      <c r="K1607">
        <f>VLOOKUP(B1607,purchase_dataset!$B$2:$F$2241,2,FALSE)</f>
        <v>1</v>
      </c>
      <c r="L1607">
        <f>VLOOKUP(B1607,purchase_dataset!$B$2:$F$2241,3,FALSE)</f>
        <v>2</v>
      </c>
      <c r="M1607">
        <f>VLOOKUP(B1607,purchase_dataset!$B$2:$F$2241,3,FALSE)</f>
        <v>2</v>
      </c>
      <c r="N1607">
        <f>VLOOKUP(B1607,purchase_dataset!$B$2:$F$2241,5,FALSE)</f>
        <v>3</v>
      </c>
      <c r="O1607" s="5">
        <v>65</v>
      </c>
      <c r="P1607" s="4" t="str">
        <f t="shared" si="50"/>
        <v>&gt;50</v>
      </c>
      <c r="Q1607" s="4">
        <f>M1607+N1607</f>
        <v>5</v>
      </c>
      <c r="U1607" s="28" t="str" cm="1">
        <f t="array" ref="U1607">_xlfn.IFS(F1607&lt;30000,"30k",F1607&lt;=50000,"30k-50k",F1607&lt;=75000,"50k-75k",F1607&lt;=100000,"75k-100k",F1607&gt;100000,"100k")</f>
        <v>30k</v>
      </c>
      <c r="W1607" s="1">
        <f t="shared" si="51"/>
        <v>12</v>
      </c>
    </row>
    <row r="1608" spans="1:23" x14ac:dyDescent="0.35">
      <c r="A1608">
        <v>1605</v>
      </c>
      <c r="B1608">
        <v>5062</v>
      </c>
      <c r="C1608">
        <v>1963</v>
      </c>
      <c r="D1608" s="1" t="s">
        <v>13</v>
      </c>
      <c r="E1608" s="1" t="s">
        <v>14</v>
      </c>
      <c r="F1608">
        <v>54072</v>
      </c>
      <c r="G1608">
        <v>1</v>
      </c>
      <c r="H1608" s="2">
        <v>1</v>
      </c>
      <c r="I1608" s="2">
        <v>41482</v>
      </c>
      <c r="J1608">
        <v>71</v>
      </c>
      <c r="K1608">
        <f>VLOOKUP(B1608,purchase_dataset!$B$2:$F$2241,2,FALSE)</f>
        <v>0</v>
      </c>
      <c r="L1608">
        <f>VLOOKUP(B1608,purchase_dataset!$B$2:$F$2241,3,FALSE)</f>
        <v>0</v>
      </c>
      <c r="M1608">
        <f>VLOOKUP(B1608,purchase_dataset!$B$2:$F$2241,3,FALSE)</f>
        <v>0</v>
      </c>
      <c r="N1608">
        <f>VLOOKUP(B1608,purchase_dataset!$B$2:$F$2241,5,FALSE)</f>
        <v>2</v>
      </c>
      <c r="O1608" s="5">
        <v>63</v>
      </c>
      <c r="P1608" s="4" t="str">
        <f t="shared" si="50"/>
        <v>&gt;50</v>
      </c>
      <c r="Q1608" s="4">
        <f>M1608+N1608</f>
        <v>2</v>
      </c>
      <c r="U1608" s="28" t="str" cm="1">
        <f t="array" ref="U1608">_xlfn.IFS(F1608&lt;30000,"30k",F1608&lt;=50000,"30k-50k",F1608&lt;=75000,"50k-75k",F1608&lt;=100000,"75k-100k",F1608&gt;100000,"100k")</f>
        <v>50k-75k</v>
      </c>
      <c r="W1608" s="1">
        <f t="shared" si="51"/>
        <v>13</v>
      </c>
    </row>
    <row r="1609" spans="1:23" x14ac:dyDescent="0.35">
      <c r="A1609">
        <v>1606</v>
      </c>
      <c r="B1609">
        <v>8969</v>
      </c>
      <c r="C1609">
        <v>1977</v>
      </c>
      <c r="D1609" s="1" t="s">
        <v>10</v>
      </c>
      <c r="E1609" s="1" t="s">
        <v>14</v>
      </c>
      <c r="F1609">
        <v>71855</v>
      </c>
      <c r="G1609">
        <v>0</v>
      </c>
      <c r="H1609" s="2">
        <v>1</v>
      </c>
      <c r="I1609" s="2">
        <v>41290</v>
      </c>
      <c r="J1609">
        <v>59</v>
      </c>
      <c r="K1609">
        <f>VLOOKUP(B1609,purchase_dataset!$B$2:$F$2241,2,FALSE)</f>
        <v>31</v>
      </c>
      <c r="L1609">
        <f>VLOOKUP(B1609,purchase_dataset!$B$2:$F$2241,3,FALSE)</f>
        <v>112</v>
      </c>
      <c r="M1609">
        <f>VLOOKUP(B1609,purchase_dataset!$B$2:$F$2241,3,FALSE)</f>
        <v>112</v>
      </c>
      <c r="N1609">
        <f>VLOOKUP(B1609,purchase_dataset!$B$2:$F$2241,5,FALSE)</f>
        <v>11</v>
      </c>
      <c r="O1609" s="5">
        <v>49</v>
      </c>
      <c r="P1609" s="4" t="str">
        <f t="shared" si="50"/>
        <v>30-50</v>
      </c>
      <c r="Q1609" s="4">
        <f>M1609+N1609</f>
        <v>123</v>
      </c>
      <c r="U1609" s="28" t="str" cm="1">
        <f t="array" ref="U1609">_xlfn.IFS(F1609&lt;30000,"30k",F1609&lt;=50000,"30k-50k",F1609&lt;=75000,"50k-75k",F1609&lt;=100000,"75k-100k",F1609&gt;100000,"100k")</f>
        <v>50k-75k</v>
      </c>
      <c r="W1609" s="1">
        <f t="shared" si="51"/>
        <v>13</v>
      </c>
    </row>
    <row r="1610" spans="1:23" x14ac:dyDescent="0.35">
      <c r="A1610">
        <v>1607</v>
      </c>
      <c r="B1610">
        <v>4656</v>
      </c>
      <c r="C1610">
        <v>1990</v>
      </c>
      <c r="D1610" s="1" t="s">
        <v>18</v>
      </c>
      <c r="E1610" s="1" t="s">
        <v>11</v>
      </c>
      <c r="F1610">
        <v>51250</v>
      </c>
      <c r="G1610">
        <v>1</v>
      </c>
      <c r="H1610" s="2">
        <v>0</v>
      </c>
      <c r="I1610" s="2">
        <v>41363</v>
      </c>
      <c r="J1610">
        <v>28</v>
      </c>
      <c r="K1610">
        <f>VLOOKUP(B1610,purchase_dataset!$B$2:$F$2241,2,FALSE)</f>
        <v>32</v>
      </c>
      <c r="L1610">
        <f>VLOOKUP(B1610,purchase_dataset!$B$2:$F$2241,3,FALSE)</f>
        <v>32</v>
      </c>
      <c r="M1610">
        <f>VLOOKUP(B1610,purchase_dataset!$B$2:$F$2241,3,FALSE)</f>
        <v>32</v>
      </c>
      <c r="N1610">
        <f>VLOOKUP(B1610,purchase_dataset!$B$2:$F$2241,5,FALSE)</f>
        <v>4</v>
      </c>
      <c r="O1610" s="5">
        <v>36</v>
      </c>
      <c r="P1610" s="4" t="str">
        <f t="shared" si="50"/>
        <v>30-50</v>
      </c>
      <c r="Q1610" s="4">
        <f>M1610+N1610</f>
        <v>36</v>
      </c>
      <c r="U1610" s="28" t="str" cm="1">
        <f t="array" ref="U1610">_xlfn.IFS(F1610&lt;30000,"30k",F1610&lt;=50000,"30k-50k",F1610&lt;=75000,"50k-75k",F1610&lt;=100000,"75k-100k",F1610&gt;100000,"100k")</f>
        <v>50k-75k</v>
      </c>
      <c r="W1610" s="1">
        <f t="shared" si="51"/>
        <v>13</v>
      </c>
    </row>
    <row r="1611" spans="1:23" x14ac:dyDescent="0.35">
      <c r="A1611">
        <v>1608</v>
      </c>
      <c r="B1611">
        <v>4480</v>
      </c>
      <c r="C1611">
        <v>1973</v>
      </c>
      <c r="D1611" s="1" t="s">
        <v>15</v>
      </c>
      <c r="E1611" s="1" t="s">
        <v>14</v>
      </c>
      <c r="F1611">
        <v>60432</v>
      </c>
      <c r="G1611">
        <v>0</v>
      </c>
      <c r="H1611" s="2">
        <v>1</v>
      </c>
      <c r="I1611" s="2">
        <v>41707</v>
      </c>
      <c r="J1611">
        <v>61</v>
      </c>
      <c r="K1611">
        <f>VLOOKUP(B1611,purchase_dataset!$B$2:$F$2241,2,FALSE)</f>
        <v>3</v>
      </c>
      <c r="L1611">
        <f>VLOOKUP(B1611,purchase_dataset!$B$2:$F$2241,3,FALSE)</f>
        <v>3</v>
      </c>
      <c r="M1611">
        <f>VLOOKUP(B1611,purchase_dataset!$B$2:$F$2241,3,FALSE)</f>
        <v>3</v>
      </c>
      <c r="N1611">
        <f>VLOOKUP(B1611,purchase_dataset!$B$2:$F$2241,5,FALSE)</f>
        <v>5</v>
      </c>
      <c r="O1611" s="5">
        <v>53</v>
      </c>
      <c r="P1611" s="4" t="str">
        <f t="shared" si="50"/>
        <v>&gt;50</v>
      </c>
      <c r="Q1611" s="4">
        <f>M1611+N1611</f>
        <v>8</v>
      </c>
      <c r="U1611" s="28" t="str" cm="1">
        <f t="array" ref="U1611">_xlfn.IFS(F1611&lt;30000,"30k",F1611&lt;=50000,"30k-50k",F1611&lt;=75000,"50k-75k",F1611&lt;=100000,"75k-100k",F1611&gt;100000,"100k")</f>
        <v>50k-75k</v>
      </c>
      <c r="W1611" s="1">
        <f t="shared" si="51"/>
        <v>12</v>
      </c>
    </row>
    <row r="1612" spans="1:23" x14ac:dyDescent="0.35">
      <c r="A1612">
        <v>1609</v>
      </c>
      <c r="B1612">
        <v>9971</v>
      </c>
      <c r="C1612">
        <v>1964</v>
      </c>
      <c r="D1612" s="1" t="s">
        <v>13</v>
      </c>
      <c r="E1612" s="1" t="s">
        <v>14</v>
      </c>
      <c r="F1612">
        <v>65526</v>
      </c>
      <c r="G1612">
        <v>0</v>
      </c>
      <c r="H1612" s="2">
        <v>1</v>
      </c>
      <c r="I1612" s="2">
        <v>41740</v>
      </c>
      <c r="J1612">
        <v>22</v>
      </c>
      <c r="K1612">
        <f>VLOOKUP(B1612,purchase_dataset!$B$2:$F$2241,2,FALSE)</f>
        <v>19</v>
      </c>
      <c r="L1612">
        <f>VLOOKUP(B1612,purchase_dataset!$B$2:$F$2241,3,FALSE)</f>
        <v>0</v>
      </c>
      <c r="M1612">
        <f>VLOOKUP(B1612,purchase_dataset!$B$2:$F$2241,3,FALSE)</f>
        <v>0</v>
      </c>
      <c r="N1612">
        <f>VLOOKUP(B1612,purchase_dataset!$B$2:$F$2241,5,FALSE)</f>
        <v>8</v>
      </c>
      <c r="O1612" s="5">
        <v>62</v>
      </c>
      <c r="P1612" s="4" t="str">
        <f t="shared" si="50"/>
        <v>&gt;50</v>
      </c>
      <c r="Q1612" s="4">
        <f>M1612+N1612</f>
        <v>8</v>
      </c>
      <c r="U1612" s="28" t="str" cm="1">
        <f t="array" ref="U1612">_xlfn.IFS(F1612&lt;30000,"30k",F1612&lt;=50000,"30k-50k",F1612&lt;=75000,"50k-75k",F1612&lt;=100000,"75k-100k",F1612&gt;100000,"100k")</f>
        <v>50k-75k</v>
      </c>
      <c r="W1612" s="1">
        <f t="shared" si="51"/>
        <v>12</v>
      </c>
    </row>
    <row r="1613" spans="1:23" x14ac:dyDescent="0.35">
      <c r="A1613">
        <v>1610</v>
      </c>
      <c r="B1613">
        <v>6729</v>
      </c>
      <c r="C1613">
        <v>1988</v>
      </c>
      <c r="D1613" s="1" t="s">
        <v>10</v>
      </c>
      <c r="E1613" s="1" t="s">
        <v>11</v>
      </c>
      <c r="F1613">
        <v>68655</v>
      </c>
      <c r="G1613">
        <v>0</v>
      </c>
      <c r="H1613" s="2">
        <v>0</v>
      </c>
      <c r="I1613" s="2">
        <v>41131</v>
      </c>
      <c r="J1613">
        <v>95</v>
      </c>
      <c r="K1613">
        <f>VLOOKUP(B1613,purchase_dataset!$B$2:$F$2241,2,FALSE)</f>
        <v>19</v>
      </c>
      <c r="L1613">
        <f>VLOOKUP(B1613,purchase_dataset!$B$2:$F$2241,3,FALSE)</f>
        <v>118</v>
      </c>
      <c r="M1613">
        <f>VLOOKUP(B1613,purchase_dataset!$B$2:$F$2241,3,FALSE)</f>
        <v>118</v>
      </c>
      <c r="N1613">
        <f>VLOOKUP(B1613,purchase_dataset!$B$2:$F$2241,5,FALSE)</f>
        <v>11</v>
      </c>
      <c r="O1613" s="5">
        <v>38</v>
      </c>
      <c r="P1613" s="4" t="str">
        <f t="shared" si="50"/>
        <v>30-50</v>
      </c>
      <c r="Q1613" s="4">
        <f>M1613+N1613</f>
        <v>129</v>
      </c>
      <c r="U1613" s="28" t="str" cm="1">
        <f t="array" ref="U1613">_xlfn.IFS(F1613&lt;30000,"30k",F1613&lt;=50000,"30k-50k",F1613&lt;=75000,"50k-75k",F1613&lt;=100000,"75k-100k",F1613&gt;100000,"100k")</f>
        <v>50k-75k</v>
      </c>
      <c r="W1613" s="1">
        <f t="shared" si="51"/>
        <v>14</v>
      </c>
    </row>
    <row r="1614" spans="1:23" x14ac:dyDescent="0.35">
      <c r="A1614">
        <v>1611</v>
      </c>
      <c r="B1614">
        <v>1773</v>
      </c>
      <c r="C1614">
        <v>1978</v>
      </c>
      <c r="D1614" s="1" t="s">
        <v>18</v>
      </c>
      <c r="E1614" s="1" t="s">
        <v>14</v>
      </c>
      <c r="F1614">
        <v>12393</v>
      </c>
      <c r="G1614">
        <v>0</v>
      </c>
      <c r="H1614" s="2">
        <v>0</v>
      </c>
      <c r="I1614" s="2">
        <v>41247</v>
      </c>
      <c r="J1614">
        <v>38</v>
      </c>
      <c r="K1614">
        <f>VLOOKUP(B1614,purchase_dataset!$B$2:$F$2241,2,FALSE)</f>
        <v>6</v>
      </c>
      <c r="L1614">
        <f>VLOOKUP(B1614,purchase_dataset!$B$2:$F$2241,3,FALSE)</f>
        <v>7</v>
      </c>
      <c r="M1614">
        <f>VLOOKUP(B1614,purchase_dataset!$B$2:$F$2241,3,FALSE)</f>
        <v>7</v>
      </c>
      <c r="N1614">
        <f>VLOOKUP(B1614,purchase_dataset!$B$2:$F$2241,5,FALSE)</f>
        <v>3</v>
      </c>
      <c r="O1614" s="5">
        <v>48</v>
      </c>
      <c r="P1614" s="4" t="str">
        <f t="shared" si="50"/>
        <v>30-50</v>
      </c>
      <c r="Q1614" s="4">
        <f>M1614+N1614</f>
        <v>10</v>
      </c>
      <c r="U1614" s="28" t="str" cm="1">
        <f t="array" ref="U1614">_xlfn.IFS(F1614&lt;30000,"30k",F1614&lt;=50000,"30k-50k",F1614&lt;=75000,"50k-75k",F1614&lt;=100000,"75k-100k",F1614&gt;100000,"100k")</f>
        <v>30k</v>
      </c>
      <c r="W1614" s="1">
        <f t="shared" si="51"/>
        <v>14</v>
      </c>
    </row>
    <row r="1615" spans="1:23" x14ac:dyDescent="0.35">
      <c r="A1615">
        <v>1612</v>
      </c>
      <c r="B1615">
        <v>9242</v>
      </c>
      <c r="C1615">
        <v>1990</v>
      </c>
      <c r="D1615" s="1" t="s">
        <v>10</v>
      </c>
      <c r="E1615" s="1" t="s">
        <v>11</v>
      </c>
      <c r="F1615">
        <v>64509</v>
      </c>
      <c r="G1615">
        <v>0</v>
      </c>
      <c r="H1615" s="2">
        <v>0</v>
      </c>
      <c r="I1615" s="2">
        <v>41503</v>
      </c>
      <c r="J1615">
        <v>19</v>
      </c>
      <c r="K1615">
        <f>VLOOKUP(B1615,purchase_dataset!$B$2:$F$2241,2,FALSE)</f>
        <v>185</v>
      </c>
      <c r="L1615">
        <f>VLOOKUP(B1615,purchase_dataset!$B$2:$F$2241,3,FALSE)</f>
        <v>25</v>
      </c>
      <c r="M1615">
        <f>VLOOKUP(B1615,purchase_dataset!$B$2:$F$2241,3,FALSE)</f>
        <v>25</v>
      </c>
      <c r="N1615">
        <f>VLOOKUP(B1615,purchase_dataset!$B$2:$F$2241,5,FALSE)</f>
        <v>9</v>
      </c>
      <c r="O1615" s="5">
        <v>36</v>
      </c>
      <c r="P1615" s="4" t="str">
        <f t="shared" si="50"/>
        <v>30-50</v>
      </c>
      <c r="Q1615" s="4">
        <f>M1615+N1615</f>
        <v>34</v>
      </c>
      <c r="U1615" s="28" t="str" cm="1">
        <f t="array" ref="U1615">_xlfn.IFS(F1615&lt;30000,"30k",F1615&lt;=50000,"30k-50k",F1615&lt;=75000,"50k-75k",F1615&lt;=100000,"75k-100k",F1615&gt;100000,"100k")</f>
        <v>50k-75k</v>
      </c>
      <c r="W1615" s="1">
        <f t="shared" si="51"/>
        <v>13</v>
      </c>
    </row>
    <row r="1616" spans="1:23" x14ac:dyDescent="0.35">
      <c r="A1616">
        <v>1613</v>
      </c>
      <c r="B1616">
        <v>1764</v>
      </c>
      <c r="C1616">
        <v>1975</v>
      </c>
      <c r="D1616" s="1" t="s">
        <v>10</v>
      </c>
      <c r="E1616" s="1" t="s">
        <v>11</v>
      </c>
      <c r="F1616">
        <v>33955</v>
      </c>
      <c r="G1616">
        <v>1</v>
      </c>
      <c r="H1616" s="2">
        <v>0</v>
      </c>
      <c r="I1616" s="2">
        <v>41495</v>
      </c>
      <c r="J1616">
        <v>92</v>
      </c>
      <c r="K1616">
        <f>VLOOKUP(B1616,purchase_dataset!$B$2:$F$2241,2,FALSE)</f>
        <v>2</v>
      </c>
      <c r="L1616">
        <f>VLOOKUP(B1616,purchase_dataset!$B$2:$F$2241,3,FALSE)</f>
        <v>7</v>
      </c>
      <c r="M1616">
        <f>VLOOKUP(B1616,purchase_dataset!$B$2:$F$2241,3,FALSE)</f>
        <v>7</v>
      </c>
      <c r="N1616">
        <f>VLOOKUP(B1616,purchase_dataset!$B$2:$F$2241,5,FALSE)</f>
        <v>5</v>
      </c>
      <c r="O1616" s="5">
        <v>51</v>
      </c>
      <c r="P1616" s="4" t="str">
        <f t="shared" si="50"/>
        <v>&gt;50</v>
      </c>
      <c r="Q1616" s="4">
        <f>M1616+N1616</f>
        <v>12</v>
      </c>
      <c r="U1616" s="28" t="str" cm="1">
        <f t="array" ref="U1616">_xlfn.IFS(F1616&lt;30000,"30k",F1616&lt;=50000,"30k-50k",F1616&lt;=75000,"50k-75k",F1616&lt;=100000,"75k-100k",F1616&gt;100000,"100k")</f>
        <v>30k-50k</v>
      </c>
      <c r="W1616" s="1">
        <f t="shared" si="51"/>
        <v>13</v>
      </c>
    </row>
    <row r="1617" spans="1:23" x14ac:dyDescent="0.35">
      <c r="A1617">
        <v>1614</v>
      </c>
      <c r="B1617">
        <v>6215</v>
      </c>
      <c r="C1617">
        <v>1977</v>
      </c>
      <c r="D1617" s="1" t="s">
        <v>10</v>
      </c>
      <c r="E1617" s="1" t="s">
        <v>14</v>
      </c>
      <c r="F1617">
        <v>31353</v>
      </c>
      <c r="G1617">
        <v>1</v>
      </c>
      <c r="H1617" s="2">
        <v>1</v>
      </c>
      <c r="I1617" s="2">
        <v>41637</v>
      </c>
      <c r="J1617">
        <v>24</v>
      </c>
      <c r="K1617">
        <f>VLOOKUP(B1617,purchase_dataset!$B$2:$F$2241,2,FALSE)</f>
        <v>0</v>
      </c>
      <c r="L1617">
        <f>VLOOKUP(B1617,purchase_dataset!$B$2:$F$2241,3,FALSE)</f>
        <v>1</v>
      </c>
      <c r="M1617">
        <f>VLOOKUP(B1617,purchase_dataset!$B$2:$F$2241,3,FALSE)</f>
        <v>1</v>
      </c>
      <c r="N1617">
        <f>VLOOKUP(B1617,purchase_dataset!$B$2:$F$2241,5,FALSE)</f>
        <v>2</v>
      </c>
      <c r="O1617" s="5">
        <v>49</v>
      </c>
      <c r="P1617" s="4" t="str">
        <f t="shared" si="50"/>
        <v>30-50</v>
      </c>
      <c r="Q1617" s="4">
        <f>M1617+N1617</f>
        <v>3</v>
      </c>
      <c r="U1617" s="28" t="str" cm="1">
        <f t="array" ref="U1617">_xlfn.IFS(F1617&lt;30000,"30k",F1617&lt;=50000,"30k-50k",F1617&lt;=75000,"50k-75k",F1617&lt;=100000,"75k-100k",F1617&gt;100000,"100k")</f>
        <v>30k-50k</v>
      </c>
      <c r="W1617" s="1">
        <f t="shared" si="51"/>
        <v>13</v>
      </c>
    </row>
    <row r="1618" spans="1:23" x14ac:dyDescent="0.35">
      <c r="A1618">
        <v>1615</v>
      </c>
      <c r="B1618">
        <v>10099</v>
      </c>
      <c r="C1618">
        <v>1984</v>
      </c>
      <c r="D1618" s="1" t="s">
        <v>10</v>
      </c>
      <c r="E1618" s="1" t="s">
        <v>14</v>
      </c>
      <c r="F1618">
        <v>55434</v>
      </c>
      <c r="G1618">
        <v>1</v>
      </c>
      <c r="H1618" s="2">
        <v>0</v>
      </c>
      <c r="I1618" s="2">
        <v>41552</v>
      </c>
      <c r="J1618">
        <v>21</v>
      </c>
      <c r="K1618">
        <f>VLOOKUP(B1618,purchase_dataset!$B$2:$F$2241,2,FALSE)</f>
        <v>115</v>
      </c>
      <c r="L1618">
        <f>VLOOKUP(B1618,purchase_dataset!$B$2:$F$2241,3,FALSE)</f>
        <v>69</v>
      </c>
      <c r="M1618">
        <f>VLOOKUP(B1618,purchase_dataset!$B$2:$F$2241,3,FALSE)</f>
        <v>69</v>
      </c>
      <c r="N1618">
        <f>VLOOKUP(B1618,purchase_dataset!$B$2:$F$2241,5,FALSE)</f>
        <v>13</v>
      </c>
      <c r="O1618" s="5">
        <v>42</v>
      </c>
      <c r="P1618" s="4" t="str">
        <f t="shared" si="50"/>
        <v>30-50</v>
      </c>
      <c r="Q1618" s="4">
        <f>M1618+N1618</f>
        <v>82</v>
      </c>
      <c r="U1618" s="28" t="str" cm="1">
        <f t="array" ref="U1618">_xlfn.IFS(F1618&lt;30000,"30k",F1618&lt;=50000,"30k-50k",F1618&lt;=75000,"50k-75k",F1618&lt;=100000,"75k-100k",F1618&gt;100000,"100k")</f>
        <v>50k-75k</v>
      </c>
      <c r="W1618" s="1">
        <f t="shared" si="51"/>
        <v>13</v>
      </c>
    </row>
    <row r="1619" spans="1:23" x14ac:dyDescent="0.35">
      <c r="A1619">
        <v>1616</v>
      </c>
      <c r="B1619">
        <v>5423</v>
      </c>
      <c r="C1619">
        <v>1983</v>
      </c>
      <c r="D1619" s="1" t="s">
        <v>10</v>
      </c>
      <c r="E1619" s="1" t="s">
        <v>12</v>
      </c>
      <c r="F1619">
        <v>28359</v>
      </c>
      <c r="G1619">
        <v>1</v>
      </c>
      <c r="H1619" s="2">
        <v>0</v>
      </c>
      <c r="I1619" s="2">
        <v>41574</v>
      </c>
      <c r="J1619">
        <v>35</v>
      </c>
      <c r="K1619">
        <f>VLOOKUP(B1619,purchase_dataset!$B$2:$F$2241,2,FALSE)</f>
        <v>0</v>
      </c>
      <c r="L1619">
        <f>VLOOKUP(B1619,purchase_dataset!$B$2:$F$2241,3,FALSE)</f>
        <v>1</v>
      </c>
      <c r="M1619">
        <f>VLOOKUP(B1619,purchase_dataset!$B$2:$F$2241,3,FALSE)</f>
        <v>1</v>
      </c>
      <c r="N1619">
        <f>VLOOKUP(B1619,purchase_dataset!$B$2:$F$2241,5,FALSE)</f>
        <v>2</v>
      </c>
      <c r="O1619" s="5">
        <v>43</v>
      </c>
      <c r="P1619" s="4" t="str">
        <f t="shared" si="50"/>
        <v>30-50</v>
      </c>
      <c r="Q1619" s="4">
        <f>M1619+N1619</f>
        <v>3</v>
      </c>
      <c r="U1619" s="28" t="str" cm="1">
        <f t="array" ref="U1619">_xlfn.IFS(F1619&lt;30000,"30k",F1619&lt;=50000,"30k-50k",F1619&lt;=75000,"50k-75k",F1619&lt;=100000,"75k-100k",F1619&gt;100000,"100k")</f>
        <v>30k</v>
      </c>
      <c r="W1619" s="1">
        <f t="shared" si="51"/>
        <v>13</v>
      </c>
    </row>
    <row r="1620" spans="1:23" x14ac:dyDescent="0.35">
      <c r="A1620">
        <v>1617</v>
      </c>
      <c r="B1620">
        <v>940</v>
      </c>
      <c r="C1620">
        <v>1987</v>
      </c>
      <c r="D1620" s="1" t="s">
        <v>10</v>
      </c>
      <c r="E1620" s="1" t="s">
        <v>11</v>
      </c>
      <c r="F1620">
        <v>57100</v>
      </c>
      <c r="G1620">
        <v>1</v>
      </c>
      <c r="H1620" s="2">
        <v>0</v>
      </c>
      <c r="I1620" s="2">
        <v>41777</v>
      </c>
      <c r="J1620">
        <v>9</v>
      </c>
      <c r="K1620">
        <f>VLOOKUP(B1620,purchase_dataset!$B$2:$F$2241,2,FALSE)</f>
        <v>11</v>
      </c>
      <c r="L1620">
        <f>VLOOKUP(B1620,purchase_dataset!$B$2:$F$2241,3,FALSE)</f>
        <v>11</v>
      </c>
      <c r="M1620">
        <f>VLOOKUP(B1620,purchase_dataset!$B$2:$F$2241,3,FALSE)</f>
        <v>11</v>
      </c>
      <c r="N1620">
        <f>VLOOKUP(B1620,purchase_dataset!$B$2:$F$2241,5,FALSE)</f>
        <v>7</v>
      </c>
      <c r="O1620" s="5">
        <v>39</v>
      </c>
      <c r="P1620" s="4" t="str">
        <f t="shared" si="50"/>
        <v>30-50</v>
      </c>
      <c r="Q1620" s="4">
        <f>M1620+N1620</f>
        <v>18</v>
      </c>
      <c r="U1620" s="28" t="str" cm="1">
        <f t="array" ref="U1620">_xlfn.IFS(F1620&lt;30000,"30k",F1620&lt;=50000,"30k-50k",F1620&lt;=75000,"50k-75k",F1620&lt;=100000,"75k-100k",F1620&gt;100000,"100k")</f>
        <v>50k-75k</v>
      </c>
      <c r="W1620" s="1">
        <f t="shared" si="51"/>
        <v>12</v>
      </c>
    </row>
    <row r="1621" spans="1:23" x14ac:dyDescent="0.35">
      <c r="A1621">
        <v>1618</v>
      </c>
      <c r="B1621">
        <v>3011</v>
      </c>
      <c r="C1621">
        <v>1965</v>
      </c>
      <c r="D1621" s="1" t="s">
        <v>10</v>
      </c>
      <c r="E1621" s="1" t="s">
        <v>14</v>
      </c>
      <c r="F1621">
        <v>69139</v>
      </c>
      <c r="G1621">
        <v>0</v>
      </c>
      <c r="H1621" s="2">
        <v>1</v>
      </c>
      <c r="I1621" s="2">
        <v>41666</v>
      </c>
      <c r="J1621">
        <v>23</v>
      </c>
      <c r="K1621">
        <f>VLOOKUP(B1621,purchase_dataset!$B$2:$F$2241,2,FALSE)</f>
        <v>12</v>
      </c>
      <c r="L1621">
        <f>VLOOKUP(B1621,purchase_dataset!$B$2:$F$2241,3,FALSE)</f>
        <v>15</v>
      </c>
      <c r="M1621">
        <f>VLOOKUP(B1621,purchase_dataset!$B$2:$F$2241,3,FALSE)</f>
        <v>15</v>
      </c>
      <c r="N1621">
        <f>VLOOKUP(B1621,purchase_dataset!$B$2:$F$2241,5,FALSE)</f>
        <v>5</v>
      </c>
      <c r="O1621" s="5">
        <v>61</v>
      </c>
      <c r="P1621" s="4" t="str">
        <f t="shared" si="50"/>
        <v>&gt;50</v>
      </c>
      <c r="Q1621" s="4">
        <f>M1621+N1621</f>
        <v>20</v>
      </c>
      <c r="U1621" s="28" t="str" cm="1">
        <f t="array" ref="U1621">_xlfn.IFS(F1621&lt;30000,"30k",F1621&lt;=50000,"30k-50k",F1621&lt;=75000,"50k-75k",F1621&lt;=100000,"75k-100k",F1621&gt;100000,"100k")</f>
        <v>50k-75k</v>
      </c>
      <c r="W1621" s="1">
        <f t="shared" si="51"/>
        <v>12</v>
      </c>
    </row>
    <row r="1622" spans="1:23" x14ac:dyDescent="0.35">
      <c r="A1622">
        <v>1619</v>
      </c>
      <c r="B1622">
        <v>3298</v>
      </c>
      <c r="C1622">
        <v>1956</v>
      </c>
      <c r="D1622" s="1" t="s">
        <v>15</v>
      </c>
      <c r="E1622" s="1" t="s">
        <v>14</v>
      </c>
      <c r="F1622">
        <v>52973</v>
      </c>
      <c r="G1622">
        <v>0</v>
      </c>
      <c r="H1622" s="2">
        <v>1</v>
      </c>
      <c r="I1622" s="2">
        <v>41221</v>
      </c>
      <c r="J1622">
        <v>92</v>
      </c>
      <c r="K1622">
        <f>VLOOKUP(B1622,purchase_dataset!$B$2:$F$2241,2,FALSE)</f>
        <v>0</v>
      </c>
      <c r="L1622">
        <f>VLOOKUP(B1622,purchase_dataset!$B$2:$F$2241,3,FALSE)</f>
        <v>9</v>
      </c>
      <c r="M1622">
        <f>VLOOKUP(B1622,purchase_dataset!$B$2:$F$2241,3,FALSE)</f>
        <v>9</v>
      </c>
      <c r="N1622">
        <f>VLOOKUP(B1622,purchase_dataset!$B$2:$F$2241,5,FALSE)</f>
        <v>9</v>
      </c>
      <c r="O1622" s="5">
        <v>70</v>
      </c>
      <c r="P1622" s="4" t="str">
        <f t="shared" si="50"/>
        <v>&gt;50</v>
      </c>
      <c r="Q1622" s="4">
        <f>M1622+N1622</f>
        <v>18</v>
      </c>
      <c r="U1622" s="28" t="str" cm="1">
        <f t="array" ref="U1622">_xlfn.IFS(F1622&lt;30000,"30k",F1622&lt;=50000,"30k-50k",F1622&lt;=75000,"50k-75k",F1622&lt;=100000,"75k-100k",F1622&gt;100000,"100k")</f>
        <v>50k-75k</v>
      </c>
      <c r="W1622" s="1">
        <f t="shared" si="51"/>
        <v>14</v>
      </c>
    </row>
    <row r="1623" spans="1:23" x14ac:dyDescent="0.35">
      <c r="A1623">
        <v>1620</v>
      </c>
      <c r="B1623">
        <v>8286</v>
      </c>
      <c r="C1623">
        <v>1965</v>
      </c>
      <c r="D1623" s="1" t="s">
        <v>13</v>
      </c>
      <c r="E1623" s="1" t="s">
        <v>12</v>
      </c>
      <c r="F1623">
        <v>51717</v>
      </c>
      <c r="G1623">
        <v>0</v>
      </c>
      <c r="H1623" s="2">
        <v>1</v>
      </c>
      <c r="I1623" s="2">
        <v>41506</v>
      </c>
      <c r="J1623">
        <v>55</v>
      </c>
      <c r="K1623">
        <f>VLOOKUP(B1623,purchase_dataset!$B$2:$F$2241,2,FALSE)</f>
        <v>1</v>
      </c>
      <c r="L1623">
        <f>VLOOKUP(B1623,purchase_dataset!$B$2:$F$2241,3,FALSE)</f>
        <v>1</v>
      </c>
      <c r="M1623">
        <f>VLOOKUP(B1623,purchase_dataset!$B$2:$F$2241,3,FALSE)</f>
        <v>1</v>
      </c>
      <c r="N1623">
        <f>VLOOKUP(B1623,purchase_dataset!$B$2:$F$2241,5,FALSE)</f>
        <v>4</v>
      </c>
      <c r="O1623" s="5">
        <v>61</v>
      </c>
      <c r="P1623" s="4" t="str">
        <f t="shared" si="50"/>
        <v>&gt;50</v>
      </c>
      <c r="Q1623" s="4">
        <f>M1623+N1623</f>
        <v>5</v>
      </c>
      <c r="U1623" s="28" t="str" cm="1">
        <f t="array" ref="U1623">_xlfn.IFS(F1623&lt;30000,"30k",F1623&lt;=50000,"30k-50k",F1623&lt;=75000,"50k-75k",F1623&lt;=100000,"75k-100k",F1623&gt;100000,"100k")</f>
        <v>50k-75k</v>
      </c>
      <c r="W1623" s="1">
        <f t="shared" si="51"/>
        <v>13</v>
      </c>
    </row>
    <row r="1624" spans="1:23" x14ac:dyDescent="0.35">
      <c r="A1624">
        <v>1621</v>
      </c>
      <c r="B1624">
        <v>9668</v>
      </c>
      <c r="C1624">
        <v>1971</v>
      </c>
      <c r="D1624" s="1" t="s">
        <v>10</v>
      </c>
      <c r="E1624" s="1" t="s">
        <v>14</v>
      </c>
      <c r="F1624">
        <v>18793</v>
      </c>
      <c r="G1624">
        <v>1</v>
      </c>
      <c r="H1624" s="2">
        <v>0</v>
      </c>
      <c r="I1624" s="2">
        <v>41286</v>
      </c>
      <c r="J1624">
        <v>14</v>
      </c>
      <c r="K1624">
        <f>VLOOKUP(B1624,purchase_dataset!$B$2:$F$2241,2,FALSE)</f>
        <v>16</v>
      </c>
      <c r="L1624">
        <f>VLOOKUP(B1624,purchase_dataset!$B$2:$F$2241,3,FALSE)</f>
        <v>17</v>
      </c>
      <c r="M1624">
        <f>VLOOKUP(B1624,purchase_dataset!$B$2:$F$2241,3,FALSE)</f>
        <v>17</v>
      </c>
      <c r="N1624">
        <f>VLOOKUP(B1624,purchase_dataset!$B$2:$F$2241,5,FALSE)</f>
        <v>4</v>
      </c>
      <c r="O1624" s="5">
        <v>55</v>
      </c>
      <c r="P1624" s="4" t="str">
        <f t="shared" si="50"/>
        <v>&gt;50</v>
      </c>
      <c r="Q1624" s="4">
        <f>M1624+N1624</f>
        <v>21</v>
      </c>
      <c r="U1624" s="28" t="str" cm="1">
        <f t="array" ref="U1624">_xlfn.IFS(F1624&lt;30000,"30k",F1624&lt;=50000,"30k-50k",F1624&lt;=75000,"50k-75k",F1624&lt;=100000,"75k-100k",F1624&gt;100000,"100k")</f>
        <v>30k</v>
      </c>
      <c r="W1624" s="1">
        <f t="shared" si="51"/>
        <v>13</v>
      </c>
    </row>
    <row r="1625" spans="1:23" x14ac:dyDescent="0.35">
      <c r="A1625">
        <v>1622</v>
      </c>
      <c r="B1625">
        <v>5120</v>
      </c>
      <c r="C1625">
        <v>1982</v>
      </c>
      <c r="D1625" s="1" t="s">
        <v>18</v>
      </c>
      <c r="E1625" s="1" t="s">
        <v>12</v>
      </c>
      <c r="F1625">
        <v>66664</v>
      </c>
      <c r="G1625">
        <v>0</v>
      </c>
      <c r="H1625" s="2">
        <v>0</v>
      </c>
      <c r="I1625" s="2">
        <v>41177</v>
      </c>
      <c r="J1625">
        <v>78</v>
      </c>
      <c r="K1625">
        <f>VLOOKUP(B1625,purchase_dataset!$B$2:$F$2241,2,FALSE)</f>
        <v>96</v>
      </c>
      <c r="L1625">
        <f>VLOOKUP(B1625,purchase_dataset!$B$2:$F$2241,3,FALSE)</f>
        <v>96</v>
      </c>
      <c r="M1625">
        <f>VLOOKUP(B1625,purchase_dataset!$B$2:$F$2241,3,FALSE)</f>
        <v>96</v>
      </c>
      <c r="N1625">
        <f>VLOOKUP(B1625,purchase_dataset!$B$2:$F$2241,5,FALSE)</f>
        <v>6</v>
      </c>
      <c r="O1625" s="5">
        <v>44</v>
      </c>
      <c r="P1625" s="4" t="str">
        <f t="shared" si="50"/>
        <v>30-50</v>
      </c>
      <c r="Q1625" s="4">
        <f>M1625+N1625</f>
        <v>102</v>
      </c>
      <c r="U1625" s="28" t="str" cm="1">
        <f t="array" ref="U1625">_xlfn.IFS(F1625&lt;30000,"30k",F1625&lt;=50000,"30k-50k",F1625&lt;=75000,"50k-75k",F1625&lt;=100000,"75k-100k",F1625&gt;100000,"100k")</f>
        <v>50k-75k</v>
      </c>
      <c r="W1625" s="1">
        <f t="shared" si="51"/>
        <v>14</v>
      </c>
    </row>
    <row r="1626" spans="1:23" x14ac:dyDescent="0.35">
      <c r="A1626">
        <v>1623</v>
      </c>
      <c r="B1626">
        <v>6097</v>
      </c>
      <c r="C1626">
        <v>1959</v>
      </c>
      <c r="D1626" s="1" t="s">
        <v>10</v>
      </c>
      <c r="E1626" s="1" t="s">
        <v>11</v>
      </c>
      <c r="F1626">
        <v>50664</v>
      </c>
      <c r="G1626">
        <v>1</v>
      </c>
      <c r="H1626" s="2">
        <v>1</v>
      </c>
      <c r="I1626" s="2">
        <v>41290</v>
      </c>
      <c r="J1626">
        <v>64</v>
      </c>
      <c r="K1626">
        <f>VLOOKUP(B1626,purchase_dataset!$B$2:$F$2241,2,FALSE)</f>
        <v>8</v>
      </c>
      <c r="L1626">
        <f>VLOOKUP(B1626,purchase_dataset!$B$2:$F$2241,3,FALSE)</f>
        <v>4</v>
      </c>
      <c r="M1626">
        <f>VLOOKUP(B1626,purchase_dataset!$B$2:$F$2241,3,FALSE)</f>
        <v>4</v>
      </c>
      <c r="N1626">
        <f>VLOOKUP(B1626,purchase_dataset!$B$2:$F$2241,5,FALSE)</f>
        <v>6</v>
      </c>
      <c r="O1626" s="5">
        <v>67</v>
      </c>
      <c r="P1626" s="4" t="str">
        <f t="shared" si="50"/>
        <v>&gt;50</v>
      </c>
      <c r="Q1626" s="4">
        <f>M1626+N1626</f>
        <v>10</v>
      </c>
      <c r="U1626" s="28" t="str" cm="1">
        <f t="array" ref="U1626">_xlfn.IFS(F1626&lt;30000,"30k",F1626&lt;=50000,"30k-50k",F1626&lt;=75000,"50k-75k",F1626&lt;=100000,"75k-100k",F1626&gt;100000,"100k")</f>
        <v>50k-75k</v>
      </c>
      <c r="W1626" s="1">
        <f t="shared" si="51"/>
        <v>13</v>
      </c>
    </row>
    <row r="1627" spans="1:23" x14ac:dyDescent="0.35">
      <c r="A1627">
        <v>1624</v>
      </c>
      <c r="B1627">
        <v>7019</v>
      </c>
      <c r="C1627">
        <v>1963</v>
      </c>
      <c r="D1627" s="1" t="s">
        <v>10</v>
      </c>
      <c r="E1627" s="1" t="s">
        <v>12</v>
      </c>
      <c r="F1627">
        <v>54414</v>
      </c>
      <c r="G1627">
        <v>1</v>
      </c>
      <c r="H1627" s="2">
        <v>1</v>
      </c>
      <c r="I1627" s="2">
        <v>41297</v>
      </c>
      <c r="J1627">
        <v>49</v>
      </c>
      <c r="K1627">
        <f>VLOOKUP(B1627,purchase_dataset!$B$2:$F$2241,2,FALSE)</f>
        <v>18</v>
      </c>
      <c r="L1627">
        <f>VLOOKUP(B1627,purchase_dataset!$B$2:$F$2241,3,FALSE)</f>
        <v>26</v>
      </c>
      <c r="M1627">
        <f>VLOOKUP(B1627,purchase_dataset!$B$2:$F$2241,3,FALSE)</f>
        <v>26</v>
      </c>
      <c r="N1627">
        <f>VLOOKUP(B1627,purchase_dataset!$B$2:$F$2241,5,FALSE)</f>
        <v>5</v>
      </c>
      <c r="O1627" s="5">
        <v>63</v>
      </c>
      <c r="P1627" s="4" t="str">
        <f t="shared" si="50"/>
        <v>&gt;50</v>
      </c>
      <c r="Q1627" s="4">
        <f>M1627+N1627</f>
        <v>31</v>
      </c>
      <c r="U1627" s="28" t="str" cm="1">
        <f t="array" ref="U1627">_xlfn.IFS(F1627&lt;30000,"30k",F1627&lt;=50000,"30k-50k",F1627&lt;=75000,"50k-75k",F1627&lt;=100000,"75k-100k",F1627&gt;100000,"100k")</f>
        <v>50k-75k</v>
      </c>
      <c r="W1627" s="1">
        <f t="shared" si="51"/>
        <v>13</v>
      </c>
    </row>
    <row r="1628" spans="1:23" x14ac:dyDescent="0.35">
      <c r="A1628">
        <v>1625</v>
      </c>
      <c r="B1628">
        <v>7408</v>
      </c>
      <c r="C1628">
        <v>1952</v>
      </c>
      <c r="D1628" s="1" t="s">
        <v>13</v>
      </c>
      <c r="E1628" s="1" t="s">
        <v>14</v>
      </c>
      <c r="F1628">
        <v>54549</v>
      </c>
      <c r="G1628">
        <v>0</v>
      </c>
      <c r="H1628" s="2">
        <v>1</v>
      </c>
      <c r="I1628" s="2">
        <v>41701</v>
      </c>
      <c r="J1628">
        <v>8</v>
      </c>
      <c r="K1628">
        <f>VLOOKUP(B1628,purchase_dataset!$B$2:$F$2241,2,FALSE)</f>
        <v>2</v>
      </c>
      <c r="L1628">
        <f>VLOOKUP(B1628,purchase_dataset!$B$2:$F$2241,3,FALSE)</f>
        <v>0</v>
      </c>
      <c r="M1628">
        <f>VLOOKUP(B1628,purchase_dataset!$B$2:$F$2241,3,FALSE)</f>
        <v>0</v>
      </c>
      <c r="N1628">
        <f>VLOOKUP(B1628,purchase_dataset!$B$2:$F$2241,5,FALSE)</f>
        <v>4</v>
      </c>
      <c r="O1628" s="5">
        <v>74</v>
      </c>
      <c r="P1628" s="4" t="str">
        <f t="shared" si="50"/>
        <v>&gt;50</v>
      </c>
      <c r="Q1628" s="4">
        <f>M1628+N1628</f>
        <v>4</v>
      </c>
      <c r="U1628" s="28" t="str" cm="1">
        <f t="array" ref="U1628">_xlfn.IFS(F1628&lt;30000,"30k",F1628&lt;=50000,"30k-50k",F1628&lt;=75000,"50k-75k",F1628&lt;=100000,"75k-100k",F1628&gt;100000,"100k")</f>
        <v>50k-75k</v>
      </c>
      <c r="W1628" s="1">
        <f t="shared" si="51"/>
        <v>12</v>
      </c>
    </row>
    <row r="1629" spans="1:23" x14ac:dyDescent="0.35">
      <c r="A1629">
        <v>1626</v>
      </c>
      <c r="B1629">
        <v>8041</v>
      </c>
      <c r="C1629">
        <v>1971</v>
      </c>
      <c r="D1629" s="1" t="s">
        <v>13</v>
      </c>
      <c r="E1629" s="1" t="s">
        <v>19</v>
      </c>
      <c r="F1629">
        <v>47111</v>
      </c>
      <c r="G1629">
        <v>0</v>
      </c>
      <c r="H1629" s="2">
        <v>1</v>
      </c>
      <c r="I1629" s="2">
        <v>41160</v>
      </c>
      <c r="J1629">
        <v>35</v>
      </c>
      <c r="K1629">
        <f>VLOOKUP(B1629,purchase_dataset!$B$2:$F$2241,2,FALSE)</f>
        <v>71</v>
      </c>
      <c r="L1629">
        <f>VLOOKUP(B1629,purchase_dataset!$B$2:$F$2241,3,FALSE)</f>
        <v>112</v>
      </c>
      <c r="M1629">
        <f>VLOOKUP(B1629,purchase_dataset!$B$2:$F$2241,3,FALSE)</f>
        <v>112</v>
      </c>
      <c r="N1629">
        <f>VLOOKUP(B1629,purchase_dataset!$B$2:$F$2241,5,FALSE)</f>
        <v>10</v>
      </c>
      <c r="O1629" s="5">
        <v>55</v>
      </c>
      <c r="P1629" s="4" t="str">
        <f t="shared" si="50"/>
        <v>&gt;50</v>
      </c>
      <c r="Q1629" s="4">
        <f>M1629+N1629</f>
        <v>122</v>
      </c>
      <c r="U1629" s="28" t="str" cm="1">
        <f t="array" ref="U1629">_xlfn.IFS(F1629&lt;30000,"30k",F1629&lt;=50000,"30k-50k",F1629&lt;=75000,"50k-75k",F1629&lt;=100000,"75k-100k",F1629&gt;100000,"100k")</f>
        <v>30k-50k</v>
      </c>
      <c r="W1629" s="1">
        <f t="shared" si="51"/>
        <v>14</v>
      </c>
    </row>
    <row r="1630" spans="1:23" x14ac:dyDescent="0.35">
      <c r="A1630">
        <v>1627</v>
      </c>
      <c r="B1630">
        <v>252</v>
      </c>
      <c r="C1630">
        <v>1963</v>
      </c>
      <c r="D1630" s="1" t="s">
        <v>13</v>
      </c>
      <c r="E1630" s="1" t="s">
        <v>16</v>
      </c>
      <c r="F1630">
        <v>41003</v>
      </c>
      <c r="G1630">
        <v>0</v>
      </c>
      <c r="H1630" s="2">
        <v>0</v>
      </c>
      <c r="I1630" s="2">
        <v>41350</v>
      </c>
      <c r="J1630">
        <v>11</v>
      </c>
      <c r="K1630">
        <f>VLOOKUP(B1630,purchase_dataset!$B$2:$F$2241,2,FALSE)</f>
        <v>133</v>
      </c>
      <c r="L1630">
        <f>VLOOKUP(B1630,purchase_dataset!$B$2:$F$2241,3,FALSE)</f>
        <v>44</v>
      </c>
      <c r="M1630">
        <f>VLOOKUP(B1630,purchase_dataset!$B$2:$F$2241,3,FALSE)</f>
        <v>44</v>
      </c>
      <c r="N1630">
        <f>VLOOKUP(B1630,purchase_dataset!$B$2:$F$2241,5,FALSE)</f>
        <v>8</v>
      </c>
      <c r="O1630" s="5">
        <v>63</v>
      </c>
      <c r="P1630" s="4" t="str">
        <f t="shared" si="50"/>
        <v>&gt;50</v>
      </c>
      <c r="Q1630" s="4">
        <f>M1630+N1630</f>
        <v>52</v>
      </c>
      <c r="U1630" s="28" t="str" cm="1">
        <f t="array" ref="U1630">_xlfn.IFS(F1630&lt;30000,"30k",F1630&lt;=50000,"30k-50k",F1630&lt;=75000,"50k-75k",F1630&lt;=100000,"75k-100k",F1630&gt;100000,"100k")</f>
        <v>30k-50k</v>
      </c>
      <c r="W1630" s="1">
        <f t="shared" si="51"/>
        <v>13</v>
      </c>
    </row>
    <row r="1631" spans="1:23" x14ac:dyDescent="0.35">
      <c r="A1631">
        <v>1628</v>
      </c>
      <c r="B1631">
        <v>9986</v>
      </c>
      <c r="C1631">
        <v>1982</v>
      </c>
      <c r="D1631" s="1" t="s">
        <v>10</v>
      </c>
      <c r="E1631" s="1" t="s">
        <v>12</v>
      </c>
      <c r="F1631">
        <v>19444</v>
      </c>
      <c r="G1631">
        <v>1</v>
      </c>
      <c r="H1631" s="2">
        <v>0</v>
      </c>
      <c r="I1631" s="2">
        <v>41692</v>
      </c>
      <c r="J1631">
        <v>8</v>
      </c>
      <c r="K1631">
        <f>VLOOKUP(B1631,purchase_dataset!$B$2:$F$2241,2,FALSE)</f>
        <v>0</v>
      </c>
      <c r="L1631">
        <f>VLOOKUP(B1631,purchase_dataset!$B$2:$F$2241,3,FALSE)</f>
        <v>2</v>
      </c>
      <c r="M1631">
        <f>VLOOKUP(B1631,purchase_dataset!$B$2:$F$2241,3,FALSE)</f>
        <v>2</v>
      </c>
      <c r="N1631">
        <f>VLOOKUP(B1631,purchase_dataset!$B$2:$F$2241,5,FALSE)</f>
        <v>2</v>
      </c>
      <c r="O1631" s="5">
        <v>44</v>
      </c>
      <c r="P1631" s="4" t="str">
        <f t="shared" si="50"/>
        <v>30-50</v>
      </c>
      <c r="Q1631" s="4">
        <f>M1631+N1631</f>
        <v>4</v>
      </c>
      <c r="U1631" s="28" t="str" cm="1">
        <f t="array" ref="U1631">_xlfn.IFS(F1631&lt;30000,"30k",F1631&lt;=50000,"30k-50k",F1631&lt;=75000,"50k-75k",F1631&lt;=100000,"75k-100k",F1631&gt;100000,"100k")</f>
        <v>30k</v>
      </c>
      <c r="W1631" s="1">
        <f t="shared" si="51"/>
        <v>12</v>
      </c>
    </row>
    <row r="1632" spans="1:23" x14ac:dyDescent="0.35">
      <c r="A1632">
        <v>1629</v>
      </c>
      <c r="B1632">
        <v>3276</v>
      </c>
      <c r="C1632">
        <v>1976</v>
      </c>
      <c r="D1632" s="1" t="s">
        <v>18</v>
      </c>
      <c r="E1632" s="1" t="s">
        <v>12</v>
      </c>
      <c r="F1632">
        <v>36301</v>
      </c>
      <c r="G1632">
        <v>1</v>
      </c>
      <c r="H1632" s="2">
        <v>0</v>
      </c>
      <c r="I1632" s="2">
        <v>41572</v>
      </c>
      <c r="J1632">
        <v>53</v>
      </c>
      <c r="K1632">
        <f>VLOOKUP(B1632,purchase_dataset!$B$2:$F$2241,2,FALSE)</f>
        <v>12</v>
      </c>
      <c r="L1632">
        <f>VLOOKUP(B1632,purchase_dataset!$B$2:$F$2241,3,FALSE)</f>
        <v>5</v>
      </c>
      <c r="M1632">
        <f>VLOOKUP(B1632,purchase_dataset!$B$2:$F$2241,3,FALSE)</f>
        <v>5</v>
      </c>
      <c r="N1632">
        <f>VLOOKUP(B1632,purchase_dataset!$B$2:$F$2241,5,FALSE)</f>
        <v>3</v>
      </c>
      <c r="O1632" s="5">
        <v>50</v>
      </c>
      <c r="P1632" s="4" t="str">
        <f t="shared" si="50"/>
        <v>30-50</v>
      </c>
      <c r="Q1632" s="4">
        <f>M1632+N1632</f>
        <v>8</v>
      </c>
      <c r="U1632" s="28" t="str" cm="1">
        <f t="array" ref="U1632">_xlfn.IFS(F1632&lt;30000,"30k",F1632&lt;=50000,"30k-50k",F1632&lt;=75000,"50k-75k",F1632&lt;=100000,"75k-100k",F1632&gt;100000,"100k")</f>
        <v>30k-50k</v>
      </c>
      <c r="W1632" s="1">
        <f t="shared" si="51"/>
        <v>13</v>
      </c>
    </row>
    <row r="1633" spans="1:23" x14ac:dyDescent="0.35">
      <c r="A1633">
        <v>1630</v>
      </c>
      <c r="B1633">
        <v>3859</v>
      </c>
      <c r="C1633">
        <v>1947</v>
      </c>
      <c r="D1633" s="1" t="s">
        <v>13</v>
      </c>
      <c r="E1633" s="1" t="s">
        <v>12</v>
      </c>
      <c r="F1633">
        <v>73059</v>
      </c>
      <c r="G1633">
        <v>0</v>
      </c>
      <c r="H1633" s="2">
        <v>1</v>
      </c>
      <c r="I1633" s="2">
        <v>41517</v>
      </c>
      <c r="J1633">
        <v>36</v>
      </c>
      <c r="K1633">
        <f>VLOOKUP(B1633,purchase_dataset!$B$2:$F$2241,2,FALSE)</f>
        <v>112</v>
      </c>
      <c r="L1633">
        <f>VLOOKUP(B1633,purchase_dataset!$B$2:$F$2241,3,FALSE)</f>
        <v>82</v>
      </c>
      <c r="M1633">
        <f>VLOOKUP(B1633,purchase_dataset!$B$2:$F$2241,3,FALSE)</f>
        <v>82</v>
      </c>
      <c r="N1633">
        <f>VLOOKUP(B1633,purchase_dataset!$B$2:$F$2241,5,FALSE)</f>
        <v>13</v>
      </c>
      <c r="O1633" s="5">
        <v>79</v>
      </c>
      <c r="P1633" s="4" t="str">
        <f t="shared" si="50"/>
        <v>&gt;50</v>
      </c>
      <c r="Q1633" s="4">
        <f>M1633+N1633</f>
        <v>95</v>
      </c>
      <c r="U1633" s="28" t="str" cm="1">
        <f t="array" ref="U1633">_xlfn.IFS(F1633&lt;30000,"30k",F1633&lt;=50000,"30k-50k",F1633&lt;=75000,"50k-75k",F1633&lt;=100000,"75k-100k",F1633&gt;100000,"100k")</f>
        <v>50k-75k</v>
      </c>
      <c r="W1633" s="1">
        <f t="shared" si="51"/>
        <v>13</v>
      </c>
    </row>
    <row r="1634" spans="1:23" x14ac:dyDescent="0.35">
      <c r="A1634">
        <v>1631</v>
      </c>
      <c r="B1634">
        <v>3570</v>
      </c>
      <c r="C1634">
        <v>1969</v>
      </c>
      <c r="D1634" s="1" t="s">
        <v>13</v>
      </c>
      <c r="E1634" s="1" t="s">
        <v>12</v>
      </c>
      <c r="F1634">
        <v>42731</v>
      </c>
      <c r="G1634">
        <v>1</v>
      </c>
      <c r="H1634" s="2">
        <v>0</v>
      </c>
      <c r="I1634" s="2">
        <v>41568</v>
      </c>
      <c r="J1634">
        <v>64</v>
      </c>
      <c r="K1634">
        <f>VLOOKUP(B1634,purchase_dataset!$B$2:$F$2241,2,FALSE)</f>
        <v>2</v>
      </c>
      <c r="L1634">
        <f>VLOOKUP(B1634,purchase_dataset!$B$2:$F$2241,3,FALSE)</f>
        <v>2</v>
      </c>
      <c r="M1634">
        <f>VLOOKUP(B1634,purchase_dataset!$B$2:$F$2241,3,FALSE)</f>
        <v>2</v>
      </c>
      <c r="N1634">
        <f>VLOOKUP(B1634,purchase_dataset!$B$2:$F$2241,5,FALSE)</f>
        <v>5</v>
      </c>
      <c r="O1634" s="5">
        <v>57</v>
      </c>
      <c r="P1634" s="4" t="str">
        <f t="shared" si="50"/>
        <v>&gt;50</v>
      </c>
      <c r="Q1634" s="4">
        <f>M1634+N1634</f>
        <v>7</v>
      </c>
      <c r="U1634" s="28" t="str" cm="1">
        <f t="array" ref="U1634">_xlfn.IFS(F1634&lt;30000,"30k",F1634&lt;=50000,"30k-50k",F1634&lt;=75000,"50k-75k",F1634&lt;=100000,"75k-100k",F1634&gt;100000,"100k")</f>
        <v>30k-50k</v>
      </c>
      <c r="W1634" s="1">
        <f t="shared" si="51"/>
        <v>13</v>
      </c>
    </row>
    <row r="1635" spans="1:23" x14ac:dyDescent="0.35">
      <c r="A1635">
        <v>1632</v>
      </c>
      <c r="B1635">
        <v>3783</v>
      </c>
      <c r="C1635">
        <v>1959</v>
      </c>
      <c r="D1635" s="1" t="s">
        <v>13</v>
      </c>
      <c r="E1635" s="1" t="s">
        <v>14</v>
      </c>
      <c r="F1635">
        <v>52854</v>
      </c>
      <c r="G1635">
        <v>1</v>
      </c>
      <c r="H1635" s="2">
        <v>1</v>
      </c>
      <c r="I1635" s="2">
        <v>41722</v>
      </c>
      <c r="J1635">
        <v>43</v>
      </c>
      <c r="K1635">
        <f>VLOOKUP(B1635,purchase_dataset!$B$2:$F$2241,2,FALSE)</f>
        <v>0</v>
      </c>
      <c r="L1635">
        <f>VLOOKUP(B1635,purchase_dataset!$B$2:$F$2241,3,FALSE)</f>
        <v>1</v>
      </c>
      <c r="M1635">
        <f>VLOOKUP(B1635,purchase_dataset!$B$2:$F$2241,3,FALSE)</f>
        <v>1</v>
      </c>
      <c r="N1635">
        <f>VLOOKUP(B1635,purchase_dataset!$B$2:$F$2241,5,FALSE)</f>
        <v>4</v>
      </c>
      <c r="O1635" s="5">
        <v>67</v>
      </c>
      <c r="P1635" s="4" t="str">
        <f t="shared" si="50"/>
        <v>&gt;50</v>
      </c>
      <c r="Q1635" s="4">
        <f>M1635+N1635</f>
        <v>5</v>
      </c>
      <c r="U1635" s="28" t="str" cm="1">
        <f t="array" ref="U1635">_xlfn.IFS(F1635&lt;30000,"30k",F1635&lt;=50000,"30k-50k",F1635&lt;=75000,"50k-75k",F1635&lt;=100000,"75k-100k",F1635&gt;100000,"100k")</f>
        <v>50k-75k</v>
      </c>
      <c r="W1635" s="1">
        <f t="shared" si="51"/>
        <v>12</v>
      </c>
    </row>
    <row r="1636" spans="1:23" x14ac:dyDescent="0.35">
      <c r="A1636">
        <v>1633</v>
      </c>
      <c r="B1636">
        <v>10207</v>
      </c>
      <c r="C1636">
        <v>1978</v>
      </c>
      <c r="D1636" s="1" t="s">
        <v>10</v>
      </c>
      <c r="E1636" s="1" t="s">
        <v>12</v>
      </c>
      <c r="F1636">
        <v>22775</v>
      </c>
      <c r="G1636">
        <v>1</v>
      </c>
      <c r="H1636" s="2">
        <v>0</v>
      </c>
      <c r="I1636" s="2">
        <v>41444</v>
      </c>
      <c r="J1636">
        <v>40</v>
      </c>
      <c r="K1636">
        <f>VLOOKUP(B1636,purchase_dataset!$B$2:$F$2241,2,FALSE)</f>
        <v>1</v>
      </c>
      <c r="L1636">
        <f>VLOOKUP(B1636,purchase_dataset!$B$2:$F$2241,3,FALSE)</f>
        <v>0</v>
      </c>
      <c r="M1636">
        <f>VLOOKUP(B1636,purchase_dataset!$B$2:$F$2241,3,FALSE)</f>
        <v>0</v>
      </c>
      <c r="N1636">
        <f>VLOOKUP(B1636,purchase_dataset!$B$2:$F$2241,5,FALSE)</f>
        <v>2</v>
      </c>
      <c r="O1636" s="5">
        <v>48</v>
      </c>
      <c r="P1636" s="4" t="str">
        <f t="shared" si="50"/>
        <v>30-50</v>
      </c>
      <c r="Q1636" s="4">
        <f>M1636+N1636</f>
        <v>2</v>
      </c>
      <c r="U1636" s="28" t="str" cm="1">
        <f t="array" ref="U1636">_xlfn.IFS(F1636&lt;30000,"30k",F1636&lt;=50000,"30k-50k",F1636&lt;=75000,"50k-75k",F1636&lt;=100000,"75k-100k",F1636&gt;100000,"100k")</f>
        <v>30k</v>
      </c>
      <c r="W1636" s="1">
        <f t="shared" si="51"/>
        <v>13</v>
      </c>
    </row>
    <row r="1637" spans="1:23" x14ac:dyDescent="0.35">
      <c r="A1637">
        <v>1634</v>
      </c>
      <c r="B1637">
        <v>10906</v>
      </c>
      <c r="C1637">
        <v>1948</v>
      </c>
      <c r="D1637" s="1" t="s">
        <v>13</v>
      </c>
      <c r="E1637" s="1" t="s">
        <v>12</v>
      </c>
      <c r="F1637">
        <v>46681</v>
      </c>
      <c r="G1637">
        <v>0</v>
      </c>
      <c r="H1637" s="2">
        <v>2</v>
      </c>
      <c r="I1637" s="2">
        <v>41555</v>
      </c>
      <c r="J1637">
        <v>52</v>
      </c>
      <c r="K1637">
        <f>VLOOKUP(B1637,purchase_dataset!$B$2:$F$2241,2,FALSE)</f>
        <v>15</v>
      </c>
      <c r="L1637">
        <f>VLOOKUP(B1637,purchase_dataset!$B$2:$F$2241,3,FALSE)</f>
        <v>19</v>
      </c>
      <c r="M1637">
        <f>VLOOKUP(B1637,purchase_dataset!$B$2:$F$2241,3,FALSE)</f>
        <v>19</v>
      </c>
      <c r="N1637">
        <f>VLOOKUP(B1637,purchase_dataset!$B$2:$F$2241,5,FALSE)</f>
        <v>4</v>
      </c>
      <c r="O1637" s="5">
        <v>78</v>
      </c>
      <c r="P1637" s="4" t="str">
        <f t="shared" si="50"/>
        <v>&gt;50</v>
      </c>
      <c r="Q1637" s="4">
        <f>M1637+N1637</f>
        <v>23</v>
      </c>
      <c r="U1637" s="28" t="str" cm="1">
        <f t="array" ref="U1637">_xlfn.IFS(F1637&lt;30000,"30k",F1637&lt;=50000,"30k-50k",F1637&lt;=75000,"50k-75k",F1637&lt;=100000,"75k-100k",F1637&gt;100000,"100k")</f>
        <v>30k-50k</v>
      </c>
      <c r="W1637" s="1">
        <f t="shared" si="51"/>
        <v>13</v>
      </c>
    </row>
    <row r="1638" spans="1:23" x14ac:dyDescent="0.35">
      <c r="A1638">
        <v>1635</v>
      </c>
      <c r="B1638">
        <v>3427</v>
      </c>
      <c r="C1638">
        <v>1955</v>
      </c>
      <c r="D1638" s="1" t="s">
        <v>13</v>
      </c>
      <c r="E1638" s="1" t="s">
        <v>14</v>
      </c>
      <c r="F1638">
        <v>59821</v>
      </c>
      <c r="G1638">
        <v>0</v>
      </c>
      <c r="H1638" s="2">
        <v>1</v>
      </c>
      <c r="I1638" s="2">
        <v>41376</v>
      </c>
      <c r="J1638">
        <v>11</v>
      </c>
      <c r="K1638">
        <f>VLOOKUP(B1638,purchase_dataset!$B$2:$F$2241,2,FALSE)</f>
        <v>0</v>
      </c>
      <c r="L1638">
        <f>VLOOKUP(B1638,purchase_dataset!$B$2:$F$2241,3,FALSE)</f>
        <v>0</v>
      </c>
      <c r="M1638">
        <f>VLOOKUP(B1638,purchase_dataset!$B$2:$F$2241,3,FALSE)</f>
        <v>0</v>
      </c>
      <c r="N1638">
        <f>VLOOKUP(B1638,purchase_dataset!$B$2:$F$2241,5,FALSE)</f>
        <v>7</v>
      </c>
      <c r="O1638" s="5">
        <v>71</v>
      </c>
      <c r="P1638" s="4" t="str">
        <f t="shared" si="50"/>
        <v>&gt;50</v>
      </c>
      <c r="Q1638" s="4">
        <f>M1638+N1638</f>
        <v>7</v>
      </c>
      <c r="U1638" s="28" t="str" cm="1">
        <f t="array" ref="U1638">_xlfn.IFS(F1638&lt;30000,"30k",F1638&lt;=50000,"30k-50k",F1638&lt;=75000,"50k-75k",F1638&lt;=100000,"75k-100k",F1638&gt;100000,"100k")</f>
        <v>50k-75k</v>
      </c>
      <c r="W1638" s="1">
        <f t="shared" si="51"/>
        <v>13</v>
      </c>
    </row>
    <row r="1639" spans="1:23" x14ac:dyDescent="0.35">
      <c r="A1639">
        <v>1636</v>
      </c>
      <c r="B1639">
        <v>5209</v>
      </c>
      <c r="C1639">
        <v>1954</v>
      </c>
      <c r="D1639" s="1" t="s">
        <v>10</v>
      </c>
      <c r="E1639" s="1" t="s">
        <v>16</v>
      </c>
      <c r="F1639">
        <v>50002</v>
      </c>
      <c r="G1639">
        <v>0</v>
      </c>
      <c r="H1639" s="2">
        <v>1</v>
      </c>
      <c r="I1639" s="2">
        <v>41442</v>
      </c>
      <c r="J1639">
        <v>21</v>
      </c>
      <c r="K1639">
        <f>VLOOKUP(B1639,purchase_dataset!$B$2:$F$2241,2,FALSE)</f>
        <v>5</v>
      </c>
      <c r="L1639">
        <f>VLOOKUP(B1639,purchase_dataset!$B$2:$F$2241,3,FALSE)</f>
        <v>16</v>
      </c>
      <c r="M1639">
        <f>VLOOKUP(B1639,purchase_dataset!$B$2:$F$2241,3,FALSE)</f>
        <v>16</v>
      </c>
      <c r="N1639">
        <f>VLOOKUP(B1639,purchase_dataset!$B$2:$F$2241,5,FALSE)</f>
        <v>7</v>
      </c>
      <c r="O1639" s="5">
        <v>72</v>
      </c>
      <c r="P1639" s="4" t="str">
        <f t="shared" si="50"/>
        <v>&gt;50</v>
      </c>
      <c r="Q1639" s="4">
        <f>M1639+N1639</f>
        <v>23</v>
      </c>
      <c r="U1639" s="28" t="str" cm="1">
        <f t="array" ref="U1639">_xlfn.IFS(F1639&lt;30000,"30k",F1639&lt;=50000,"30k-50k",F1639&lt;=75000,"50k-75k",F1639&lt;=100000,"75k-100k",F1639&gt;100000,"100k")</f>
        <v>50k-75k</v>
      </c>
      <c r="W1639" s="1">
        <f t="shared" si="51"/>
        <v>13</v>
      </c>
    </row>
    <row r="1640" spans="1:23" x14ac:dyDescent="0.35">
      <c r="A1640">
        <v>1637</v>
      </c>
      <c r="B1640">
        <v>10711</v>
      </c>
      <c r="C1640">
        <v>1945</v>
      </c>
      <c r="D1640" s="1" t="s">
        <v>10</v>
      </c>
      <c r="E1640" s="1" t="s">
        <v>14</v>
      </c>
      <c r="F1640">
        <v>69755</v>
      </c>
      <c r="G1640">
        <v>0</v>
      </c>
      <c r="H1640" s="2">
        <v>0</v>
      </c>
      <c r="I1640" s="2">
        <v>41549</v>
      </c>
      <c r="J1640">
        <v>23</v>
      </c>
      <c r="K1640">
        <f>VLOOKUP(B1640,purchase_dataset!$B$2:$F$2241,2,FALSE)</f>
        <v>77</v>
      </c>
      <c r="L1640">
        <f>VLOOKUP(B1640,purchase_dataset!$B$2:$F$2241,3,FALSE)</f>
        <v>23</v>
      </c>
      <c r="M1640">
        <f>VLOOKUP(B1640,purchase_dataset!$B$2:$F$2241,3,FALSE)</f>
        <v>23</v>
      </c>
      <c r="N1640">
        <f>VLOOKUP(B1640,purchase_dataset!$B$2:$F$2241,5,FALSE)</f>
        <v>12</v>
      </c>
      <c r="O1640" s="5">
        <v>81</v>
      </c>
      <c r="P1640" s="4" t="str">
        <f t="shared" si="50"/>
        <v>&gt;50</v>
      </c>
      <c r="Q1640" s="4">
        <f>M1640+N1640</f>
        <v>35</v>
      </c>
      <c r="U1640" s="28" t="str" cm="1">
        <f t="array" ref="U1640">_xlfn.IFS(F1640&lt;30000,"30k",F1640&lt;=50000,"30k-50k",F1640&lt;=75000,"50k-75k",F1640&lt;=100000,"75k-100k",F1640&gt;100000,"100k")</f>
        <v>50k-75k</v>
      </c>
      <c r="W1640" s="1">
        <f t="shared" si="51"/>
        <v>13</v>
      </c>
    </row>
    <row r="1641" spans="1:23" x14ac:dyDescent="0.35">
      <c r="A1641">
        <v>1638</v>
      </c>
      <c r="B1641">
        <v>10785</v>
      </c>
      <c r="C1641">
        <v>1969</v>
      </c>
      <c r="D1641" s="1" t="s">
        <v>10</v>
      </c>
      <c r="E1641" s="1" t="s">
        <v>14</v>
      </c>
      <c r="F1641">
        <v>44078</v>
      </c>
      <c r="G1641">
        <v>1</v>
      </c>
      <c r="H1641" s="2">
        <v>1</v>
      </c>
      <c r="I1641" s="2">
        <v>41809</v>
      </c>
      <c r="J1641">
        <v>17</v>
      </c>
      <c r="K1641">
        <f>VLOOKUP(B1641,purchase_dataset!$B$2:$F$2241,2,FALSE)</f>
        <v>1</v>
      </c>
      <c r="L1641">
        <f>VLOOKUP(B1641,purchase_dataset!$B$2:$F$2241,3,FALSE)</f>
        <v>0</v>
      </c>
      <c r="M1641">
        <f>VLOOKUP(B1641,purchase_dataset!$B$2:$F$2241,3,FALSE)</f>
        <v>0</v>
      </c>
      <c r="N1641">
        <f>VLOOKUP(B1641,purchase_dataset!$B$2:$F$2241,5,FALSE)</f>
        <v>3</v>
      </c>
      <c r="O1641" s="5">
        <v>57</v>
      </c>
      <c r="P1641" s="4" t="str">
        <f t="shared" si="50"/>
        <v>&gt;50</v>
      </c>
      <c r="Q1641" s="4">
        <f>M1641+N1641</f>
        <v>3</v>
      </c>
      <c r="U1641" s="28" t="str" cm="1">
        <f t="array" ref="U1641">_xlfn.IFS(F1641&lt;30000,"30k",F1641&lt;=50000,"30k-50k",F1641&lt;=75000,"50k-75k",F1641&lt;=100000,"75k-100k",F1641&gt;100000,"100k")</f>
        <v>30k-50k</v>
      </c>
      <c r="W1641" s="1">
        <f t="shared" si="51"/>
        <v>12</v>
      </c>
    </row>
    <row r="1642" spans="1:23" x14ac:dyDescent="0.35">
      <c r="A1642">
        <v>1639</v>
      </c>
      <c r="B1642">
        <v>2814</v>
      </c>
      <c r="C1642">
        <v>1976</v>
      </c>
      <c r="D1642" s="1" t="s">
        <v>15</v>
      </c>
      <c r="E1642" s="1" t="s">
        <v>12</v>
      </c>
      <c r="F1642">
        <v>30560</v>
      </c>
      <c r="G1642">
        <v>1</v>
      </c>
      <c r="H1642" s="2">
        <v>0</v>
      </c>
      <c r="I1642" s="2">
        <v>41452</v>
      </c>
      <c r="J1642">
        <v>6</v>
      </c>
      <c r="K1642">
        <f>VLOOKUP(B1642,purchase_dataset!$B$2:$F$2241,2,FALSE)</f>
        <v>1</v>
      </c>
      <c r="L1642">
        <f>VLOOKUP(B1642,purchase_dataset!$B$2:$F$2241,3,FALSE)</f>
        <v>5</v>
      </c>
      <c r="M1642">
        <f>VLOOKUP(B1642,purchase_dataset!$B$2:$F$2241,3,FALSE)</f>
        <v>5</v>
      </c>
      <c r="N1642">
        <f>VLOOKUP(B1642,purchase_dataset!$B$2:$F$2241,5,FALSE)</f>
        <v>3</v>
      </c>
      <c r="O1642" s="5">
        <v>50</v>
      </c>
      <c r="P1642" s="4" t="str">
        <f t="shared" si="50"/>
        <v>30-50</v>
      </c>
      <c r="Q1642" s="4">
        <f>M1642+N1642</f>
        <v>8</v>
      </c>
      <c r="U1642" s="28" t="str" cm="1">
        <f t="array" ref="U1642">_xlfn.IFS(F1642&lt;30000,"30k",F1642&lt;=50000,"30k-50k",F1642&lt;=75000,"50k-75k",F1642&lt;=100000,"75k-100k",F1642&gt;100000,"100k")</f>
        <v>30k-50k</v>
      </c>
      <c r="W1642" s="1">
        <f t="shared" si="51"/>
        <v>13</v>
      </c>
    </row>
    <row r="1643" spans="1:23" x14ac:dyDescent="0.35">
      <c r="A1643">
        <v>1640</v>
      </c>
      <c r="B1643">
        <v>6866</v>
      </c>
      <c r="C1643">
        <v>1969</v>
      </c>
      <c r="D1643" s="1" t="s">
        <v>15</v>
      </c>
      <c r="E1643" s="1" t="s">
        <v>12</v>
      </c>
      <c r="F1643">
        <v>35924</v>
      </c>
      <c r="G1643">
        <v>1</v>
      </c>
      <c r="H1643" s="2">
        <v>1</v>
      </c>
      <c r="I1643" s="2">
        <v>41721</v>
      </c>
      <c r="J1643">
        <v>56</v>
      </c>
      <c r="K1643">
        <f>VLOOKUP(B1643,purchase_dataset!$B$2:$F$2241,2,FALSE)</f>
        <v>0</v>
      </c>
      <c r="L1643">
        <f>VLOOKUP(B1643,purchase_dataset!$B$2:$F$2241,3,FALSE)</f>
        <v>3</v>
      </c>
      <c r="M1643">
        <f>VLOOKUP(B1643,purchase_dataset!$B$2:$F$2241,3,FALSE)</f>
        <v>3</v>
      </c>
      <c r="N1643">
        <f>VLOOKUP(B1643,purchase_dataset!$B$2:$F$2241,5,FALSE)</f>
        <v>3</v>
      </c>
      <c r="O1643" s="5">
        <v>57</v>
      </c>
      <c r="P1643" s="4" t="str">
        <f t="shared" si="50"/>
        <v>&gt;50</v>
      </c>
      <c r="Q1643" s="4">
        <f>M1643+N1643</f>
        <v>6</v>
      </c>
      <c r="U1643" s="28" t="str" cm="1">
        <f t="array" ref="U1643">_xlfn.IFS(F1643&lt;30000,"30k",F1643&lt;=50000,"30k-50k",F1643&lt;=75000,"50k-75k",F1643&lt;=100000,"75k-100k",F1643&gt;100000,"100k")</f>
        <v>30k-50k</v>
      </c>
      <c r="W1643" s="1">
        <f t="shared" si="51"/>
        <v>12</v>
      </c>
    </row>
    <row r="1644" spans="1:23" x14ac:dyDescent="0.35">
      <c r="A1644">
        <v>1641</v>
      </c>
      <c r="B1644">
        <v>1665</v>
      </c>
      <c r="C1644">
        <v>1964</v>
      </c>
      <c r="D1644" s="1" t="s">
        <v>13</v>
      </c>
      <c r="E1644" s="1" t="s">
        <v>16</v>
      </c>
      <c r="F1644">
        <v>64140</v>
      </c>
      <c r="G1644">
        <v>0</v>
      </c>
      <c r="H1644" s="2">
        <v>2</v>
      </c>
      <c r="I1644" s="2">
        <v>41540</v>
      </c>
      <c r="J1644">
        <v>71</v>
      </c>
      <c r="K1644">
        <f>VLOOKUP(B1644,purchase_dataset!$B$2:$F$2241,2,FALSE)</f>
        <v>0</v>
      </c>
      <c r="L1644">
        <f>VLOOKUP(B1644,purchase_dataset!$B$2:$F$2241,3,FALSE)</f>
        <v>15</v>
      </c>
      <c r="M1644">
        <f>VLOOKUP(B1644,purchase_dataset!$B$2:$F$2241,3,FALSE)</f>
        <v>15</v>
      </c>
      <c r="N1644">
        <f>VLOOKUP(B1644,purchase_dataset!$B$2:$F$2241,5,FALSE)</f>
        <v>6</v>
      </c>
      <c r="O1644" s="5">
        <v>62</v>
      </c>
      <c r="P1644" s="4" t="str">
        <f t="shared" si="50"/>
        <v>&gt;50</v>
      </c>
      <c r="Q1644" s="4">
        <f>M1644+N1644</f>
        <v>21</v>
      </c>
      <c r="U1644" s="28" t="str" cm="1">
        <f t="array" ref="U1644">_xlfn.IFS(F1644&lt;30000,"30k",F1644&lt;=50000,"30k-50k",F1644&lt;=75000,"50k-75k",F1644&lt;=100000,"75k-100k",F1644&gt;100000,"100k")</f>
        <v>50k-75k</v>
      </c>
      <c r="W1644" s="1">
        <f t="shared" si="51"/>
        <v>13</v>
      </c>
    </row>
    <row r="1645" spans="1:23" x14ac:dyDescent="0.35">
      <c r="A1645">
        <v>1642</v>
      </c>
      <c r="B1645">
        <v>6575</v>
      </c>
      <c r="C1645">
        <v>1981</v>
      </c>
      <c r="D1645" s="1" t="s">
        <v>10</v>
      </c>
      <c r="E1645" s="1" t="s">
        <v>12</v>
      </c>
      <c r="F1645">
        <v>56386</v>
      </c>
      <c r="G1645">
        <v>1</v>
      </c>
      <c r="H1645" s="2">
        <v>1</v>
      </c>
      <c r="I1645" s="2">
        <v>41209</v>
      </c>
      <c r="J1645">
        <v>51</v>
      </c>
      <c r="K1645">
        <f>VLOOKUP(B1645,purchase_dataset!$B$2:$F$2241,2,FALSE)</f>
        <v>48</v>
      </c>
      <c r="L1645">
        <f>VLOOKUP(B1645,purchase_dataset!$B$2:$F$2241,3,FALSE)</f>
        <v>32</v>
      </c>
      <c r="M1645">
        <f>VLOOKUP(B1645,purchase_dataset!$B$2:$F$2241,3,FALSE)</f>
        <v>32</v>
      </c>
      <c r="N1645">
        <f>VLOOKUP(B1645,purchase_dataset!$B$2:$F$2241,5,FALSE)</f>
        <v>7</v>
      </c>
      <c r="O1645" s="5">
        <v>45</v>
      </c>
      <c r="P1645" s="4" t="str">
        <f t="shared" si="50"/>
        <v>30-50</v>
      </c>
      <c r="Q1645" s="4">
        <f>M1645+N1645</f>
        <v>39</v>
      </c>
      <c r="U1645" s="28" t="str" cm="1">
        <f t="array" ref="U1645">_xlfn.IFS(F1645&lt;30000,"30k",F1645&lt;=50000,"30k-50k",F1645&lt;=75000,"50k-75k",F1645&lt;=100000,"75k-100k",F1645&gt;100000,"100k")</f>
        <v>50k-75k</v>
      </c>
      <c r="W1645" s="1">
        <f t="shared" si="51"/>
        <v>14</v>
      </c>
    </row>
    <row r="1646" spans="1:23" x14ac:dyDescent="0.35">
      <c r="A1646">
        <v>1643</v>
      </c>
      <c r="B1646">
        <v>3829</v>
      </c>
      <c r="C1646">
        <v>1979</v>
      </c>
      <c r="D1646" s="1" t="s">
        <v>17</v>
      </c>
      <c r="E1646" s="1" t="s">
        <v>12</v>
      </c>
      <c r="F1646">
        <v>24594</v>
      </c>
      <c r="G1646">
        <v>1</v>
      </c>
      <c r="H1646" s="2">
        <v>0</v>
      </c>
      <c r="I1646" s="2">
        <v>41618</v>
      </c>
      <c r="J1646">
        <v>94</v>
      </c>
      <c r="K1646">
        <f>VLOOKUP(B1646,purchase_dataset!$B$2:$F$2241,2,FALSE)</f>
        <v>3</v>
      </c>
      <c r="L1646">
        <f>VLOOKUP(B1646,purchase_dataset!$B$2:$F$2241,3,FALSE)</f>
        <v>0</v>
      </c>
      <c r="M1646">
        <f>VLOOKUP(B1646,purchase_dataset!$B$2:$F$2241,3,FALSE)</f>
        <v>0</v>
      </c>
      <c r="N1646">
        <f>VLOOKUP(B1646,purchase_dataset!$B$2:$F$2241,5,FALSE)</f>
        <v>3</v>
      </c>
      <c r="O1646" s="5">
        <v>47</v>
      </c>
      <c r="P1646" s="4" t="str">
        <f t="shared" si="50"/>
        <v>30-50</v>
      </c>
      <c r="Q1646" s="4">
        <f>M1646+N1646</f>
        <v>3</v>
      </c>
      <c r="U1646" s="28" t="str" cm="1">
        <f t="array" ref="U1646">_xlfn.IFS(F1646&lt;30000,"30k",F1646&lt;=50000,"30k-50k",F1646&lt;=75000,"50k-75k",F1646&lt;=100000,"75k-100k",F1646&gt;100000,"100k")</f>
        <v>30k</v>
      </c>
      <c r="W1646" s="1">
        <f t="shared" si="51"/>
        <v>13</v>
      </c>
    </row>
    <row r="1647" spans="1:23" x14ac:dyDescent="0.35">
      <c r="A1647">
        <v>1644</v>
      </c>
      <c r="B1647">
        <v>3091</v>
      </c>
      <c r="C1647">
        <v>1981</v>
      </c>
      <c r="D1647" s="1" t="s">
        <v>18</v>
      </c>
      <c r="E1647" s="1" t="s">
        <v>12</v>
      </c>
      <c r="F1647">
        <v>75774</v>
      </c>
      <c r="G1647">
        <v>1</v>
      </c>
      <c r="H1647" s="2">
        <v>0</v>
      </c>
      <c r="I1647" s="2">
        <v>41761</v>
      </c>
      <c r="J1647">
        <v>27</v>
      </c>
      <c r="K1647">
        <f>VLOOKUP(B1647,purchase_dataset!$B$2:$F$2241,2,FALSE)</f>
        <v>21</v>
      </c>
      <c r="L1647">
        <f>VLOOKUP(B1647,purchase_dataset!$B$2:$F$2241,3,FALSE)</f>
        <v>14</v>
      </c>
      <c r="M1647">
        <f>VLOOKUP(B1647,purchase_dataset!$B$2:$F$2241,3,FALSE)</f>
        <v>14</v>
      </c>
      <c r="N1647">
        <f>VLOOKUP(B1647,purchase_dataset!$B$2:$F$2241,5,FALSE)</f>
        <v>8</v>
      </c>
      <c r="O1647" s="5">
        <v>45</v>
      </c>
      <c r="P1647" s="4" t="str">
        <f t="shared" si="50"/>
        <v>30-50</v>
      </c>
      <c r="Q1647" s="4">
        <f>M1647+N1647</f>
        <v>22</v>
      </c>
      <c r="U1647" s="28" t="str" cm="1">
        <f t="array" ref="U1647">_xlfn.IFS(F1647&lt;30000,"30k",F1647&lt;=50000,"30k-50k",F1647&lt;=75000,"50k-75k",F1647&lt;=100000,"75k-100k",F1647&gt;100000,"100k")</f>
        <v>75k-100k</v>
      </c>
      <c r="W1647" s="1">
        <f t="shared" si="51"/>
        <v>12</v>
      </c>
    </row>
    <row r="1648" spans="1:23" x14ac:dyDescent="0.35">
      <c r="A1648">
        <v>1645</v>
      </c>
      <c r="B1648">
        <v>10141</v>
      </c>
      <c r="C1648">
        <v>1960</v>
      </c>
      <c r="D1648" s="1" t="s">
        <v>15</v>
      </c>
      <c r="E1648" s="1" t="s">
        <v>16</v>
      </c>
      <c r="F1648">
        <v>39228</v>
      </c>
      <c r="G1648">
        <v>0</v>
      </c>
      <c r="H1648" s="2">
        <v>0</v>
      </c>
      <c r="I1648" s="2">
        <v>41404</v>
      </c>
      <c r="J1648">
        <v>1</v>
      </c>
      <c r="K1648">
        <f>VLOOKUP(B1648,purchase_dataset!$B$2:$F$2241,2,FALSE)</f>
        <v>1</v>
      </c>
      <c r="L1648">
        <f>VLOOKUP(B1648,purchase_dataset!$B$2:$F$2241,3,FALSE)</f>
        <v>3</v>
      </c>
      <c r="M1648">
        <f>VLOOKUP(B1648,purchase_dataset!$B$2:$F$2241,3,FALSE)</f>
        <v>3</v>
      </c>
      <c r="N1648">
        <f>VLOOKUP(B1648,purchase_dataset!$B$2:$F$2241,5,FALSE)</f>
        <v>3</v>
      </c>
      <c r="O1648" s="5">
        <v>66</v>
      </c>
      <c r="P1648" s="4" t="str">
        <f t="shared" si="50"/>
        <v>&gt;50</v>
      </c>
      <c r="Q1648" s="4">
        <f>M1648+N1648</f>
        <v>6</v>
      </c>
      <c r="U1648" s="28" t="str" cm="1">
        <f t="array" ref="U1648">_xlfn.IFS(F1648&lt;30000,"30k",F1648&lt;=50000,"30k-50k",F1648&lt;=75000,"50k-75k",F1648&lt;=100000,"75k-100k",F1648&gt;100000,"100k")</f>
        <v>30k-50k</v>
      </c>
      <c r="W1648" s="1">
        <f t="shared" si="51"/>
        <v>13</v>
      </c>
    </row>
    <row r="1649" spans="1:23" x14ac:dyDescent="0.35">
      <c r="A1649">
        <v>1646</v>
      </c>
      <c r="B1649">
        <v>5177</v>
      </c>
      <c r="C1649">
        <v>1974</v>
      </c>
      <c r="D1649" s="1" t="s">
        <v>15</v>
      </c>
      <c r="E1649" s="1" t="s">
        <v>14</v>
      </c>
      <c r="F1649">
        <v>58494</v>
      </c>
      <c r="G1649">
        <v>0</v>
      </c>
      <c r="H1649" s="2">
        <v>1</v>
      </c>
      <c r="I1649" s="2">
        <v>41620</v>
      </c>
      <c r="J1649">
        <v>56</v>
      </c>
      <c r="K1649">
        <f>VLOOKUP(B1649,purchase_dataset!$B$2:$F$2241,2,FALSE)</f>
        <v>7</v>
      </c>
      <c r="L1649">
        <f>VLOOKUP(B1649,purchase_dataset!$B$2:$F$2241,3,FALSE)</f>
        <v>0</v>
      </c>
      <c r="M1649">
        <f>VLOOKUP(B1649,purchase_dataset!$B$2:$F$2241,3,FALSE)</f>
        <v>0</v>
      </c>
      <c r="N1649">
        <f>VLOOKUP(B1649,purchase_dataset!$B$2:$F$2241,5,FALSE)</f>
        <v>6</v>
      </c>
      <c r="O1649" s="5">
        <v>52</v>
      </c>
      <c r="P1649" s="4" t="str">
        <f t="shared" si="50"/>
        <v>&gt;50</v>
      </c>
      <c r="Q1649" s="4">
        <f>M1649+N1649</f>
        <v>6</v>
      </c>
      <c r="U1649" s="28" t="str" cm="1">
        <f t="array" ref="U1649">_xlfn.IFS(F1649&lt;30000,"30k",F1649&lt;=50000,"30k-50k",F1649&lt;=75000,"50k-75k",F1649&lt;=100000,"75k-100k",F1649&gt;100000,"100k")</f>
        <v>50k-75k</v>
      </c>
      <c r="W1649" s="1">
        <f t="shared" si="51"/>
        <v>13</v>
      </c>
    </row>
    <row r="1650" spans="1:23" x14ac:dyDescent="0.35">
      <c r="A1650">
        <v>1647</v>
      </c>
      <c r="B1650">
        <v>7005</v>
      </c>
      <c r="C1650">
        <v>1981</v>
      </c>
      <c r="D1650" s="1" t="s">
        <v>10</v>
      </c>
      <c r="E1650" s="1" t="s">
        <v>11</v>
      </c>
      <c r="F1650">
        <v>58684</v>
      </c>
      <c r="G1650">
        <v>0</v>
      </c>
      <c r="H1650" s="2">
        <v>0</v>
      </c>
      <c r="I1650" s="2">
        <v>41806</v>
      </c>
      <c r="J1650">
        <v>71</v>
      </c>
      <c r="K1650">
        <f>VLOOKUP(B1650,purchase_dataset!$B$2:$F$2241,2,FALSE)</f>
        <v>35</v>
      </c>
      <c r="L1650">
        <f>VLOOKUP(B1650,purchase_dataset!$B$2:$F$2241,3,FALSE)</f>
        <v>7</v>
      </c>
      <c r="M1650">
        <f>VLOOKUP(B1650,purchase_dataset!$B$2:$F$2241,3,FALSE)</f>
        <v>7</v>
      </c>
      <c r="N1650">
        <f>VLOOKUP(B1650,purchase_dataset!$B$2:$F$2241,5,FALSE)</f>
        <v>12</v>
      </c>
      <c r="O1650" s="5">
        <v>45</v>
      </c>
      <c r="P1650" s="4" t="str">
        <f t="shared" si="50"/>
        <v>30-50</v>
      </c>
      <c r="Q1650" s="4">
        <f>M1650+N1650</f>
        <v>19</v>
      </c>
      <c r="U1650" s="28" t="str" cm="1">
        <f t="array" ref="U1650">_xlfn.IFS(F1650&lt;30000,"30k",F1650&lt;=50000,"30k-50k",F1650&lt;=75000,"50k-75k",F1650&lt;=100000,"75k-100k",F1650&gt;100000,"100k")</f>
        <v>50k-75k</v>
      </c>
      <c r="W1650" s="1">
        <f t="shared" si="51"/>
        <v>12</v>
      </c>
    </row>
    <row r="1651" spans="1:23" x14ac:dyDescent="0.35">
      <c r="A1651">
        <v>1648</v>
      </c>
      <c r="B1651">
        <v>6409</v>
      </c>
      <c r="C1651">
        <v>1967</v>
      </c>
      <c r="D1651" s="1" t="s">
        <v>10</v>
      </c>
      <c r="E1651" s="1" t="s">
        <v>16</v>
      </c>
      <c r="F1651">
        <v>57136</v>
      </c>
      <c r="G1651">
        <v>0</v>
      </c>
      <c r="H1651" s="2">
        <v>0</v>
      </c>
      <c r="I1651" s="2">
        <v>41412</v>
      </c>
      <c r="J1651">
        <v>18</v>
      </c>
      <c r="K1651">
        <f>VLOOKUP(B1651,purchase_dataset!$B$2:$F$2241,2,FALSE)</f>
        <v>140</v>
      </c>
      <c r="L1651">
        <f>VLOOKUP(B1651,purchase_dataset!$B$2:$F$2241,3,FALSE)</f>
        <v>12</v>
      </c>
      <c r="M1651">
        <f>VLOOKUP(B1651,purchase_dataset!$B$2:$F$2241,3,FALSE)</f>
        <v>12</v>
      </c>
      <c r="N1651">
        <f>VLOOKUP(B1651,purchase_dataset!$B$2:$F$2241,5,FALSE)</f>
        <v>7</v>
      </c>
      <c r="O1651" s="5">
        <v>59</v>
      </c>
      <c r="P1651" s="4" t="str">
        <f t="shared" si="50"/>
        <v>&gt;50</v>
      </c>
      <c r="Q1651" s="4">
        <f>M1651+N1651</f>
        <v>19</v>
      </c>
      <c r="U1651" s="28" t="str" cm="1">
        <f t="array" ref="U1651">_xlfn.IFS(F1651&lt;30000,"30k",F1651&lt;=50000,"30k-50k",F1651&lt;=75000,"50k-75k",F1651&lt;=100000,"75k-100k",F1651&gt;100000,"100k")</f>
        <v>50k-75k</v>
      </c>
      <c r="W1651" s="1">
        <f t="shared" si="51"/>
        <v>13</v>
      </c>
    </row>
    <row r="1652" spans="1:23" x14ac:dyDescent="0.35">
      <c r="A1652">
        <v>1649</v>
      </c>
      <c r="B1652">
        <v>7485</v>
      </c>
      <c r="C1652">
        <v>1950</v>
      </c>
      <c r="D1652" s="1" t="s">
        <v>13</v>
      </c>
      <c r="E1652" s="1" t="s">
        <v>19</v>
      </c>
      <c r="F1652">
        <v>56551</v>
      </c>
      <c r="G1652">
        <v>1</v>
      </c>
      <c r="H1652" s="2">
        <v>1</v>
      </c>
      <c r="I1652" s="2">
        <v>41766</v>
      </c>
      <c r="J1652">
        <v>48</v>
      </c>
      <c r="K1652">
        <f>VLOOKUP(B1652,purchase_dataset!$B$2:$F$2241,2,FALSE)</f>
        <v>4</v>
      </c>
      <c r="L1652">
        <f>VLOOKUP(B1652,purchase_dataset!$B$2:$F$2241,3,FALSE)</f>
        <v>2</v>
      </c>
      <c r="M1652">
        <f>VLOOKUP(B1652,purchase_dataset!$B$2:$F$2241,3,FALSE)</f>
        <v>2</v>
      </c>
      <c r="N1652">
        <f>VLOOKUP(B1652,purchase_dataset!$B$2:$F$2241,5,FALSE)</f>
        <v>4</v>
      </c>
      <c r="O1652" s="5">
        <v>76</v>
      </c>
      <c r="P1652" s="4" t="str">
        <f t="shared" si="50"/>
        <v>&gt;50</v>
      </c>
      <c r="Q1652" s="4">
        <f>M1652+N1652</f>
        <v>6</v>
      </c>
      <c r="U1652" s="28" t="str" cm="1">
        <f t="array" ref="U1652">_xlfn.IFS(F1652&lt;30000,"30k",F1652&lt;=50000,"30k-50k",F1652&lt;=75000,"50k-75k",F1652&lt;=100000,"75k-100k",F1652&gt;100000,"100k")</f>
        <v>50k-75k</v>
      </c>
      <c r="W1652" s="1">
        <f t="shared" si="51"/>
        <v>12</v>
      </c>
    </row>
    <row r="1653" spans="1:23" x14ac:dyDescent="0.35">
      <c r="A1653">
        <v>1650</v>
      </c>
      <c r="B1653">
        <v>8079</v>
      </c>
      <c r="C1653">
        <v>1982</v>
      </c>
      <c r="D1653" s="1" t="s">
        <v>10</v>
      </c>
      <c r="E1653" s="1" t="s">
        <v>14</v>
      </c>
      <c r="F1653">
        <v>22448</v>
      </c>
      <c r="G1653">
        <v>1</v>
      </c>
      <c r="H1653" s="2">
        <v>0</v>
      </c>
      <c r="I1653" s="2">
        <v>41696</v>
      </c>
      <c r="J1653">
        <v>86</v>
      </c>
      <c r="K1653">
        <f>VLOOKUP(B1653,purchase_dataset!$B$2:$F$2241,2,FALSE)</f>
        <v>1</v>
      </c>
      <c r="L1653">
        <f>VLOOKUP(B1653,purchase_dataset!$B$2:$F$2241,3,FALSE)</f>
        <v>2</v>
      </c>
      <c r="M1653">
        <f>VLOOKUP(B1653,purchase_dataset!$B$2:$F$2241,3,FALSE)</f>
        <v>2</v>
      </c>
      <c r="N1653">
        <f>VLOOKUP(B1653,purchase_dataset!$B$2:$F$2241,5,FALSE)</f>
        <v>3</v>
      </c>
      <c r="O1653" s="5">
        <v>44</v>
      </c>
      <c r="P1653" s="4" t="str">
        <f t="shared" si="50"/>
        <v>30-50</v>
      </c>
      <c r="Q1653" s="4">
        <f>M1653+N1653</f>
        <v>5</v>
      </c>
      <c r="U1653" s="28" t="str" cm="1">
        <f t="array" ref="U1653">_xlfn.IFS(F1653&lt;30000,"30k",F1653&lt;=50000,"30k-50k",F1653&lt;=75000,"50k-75k",F1653&lt;=100000,"75k-100k",F1653&gt;100000,"100k")</f>
        <v>30k</v>
      </c>
      <c r="W1653" s="1">
        <f t="shared" si="51"/>
        <v>12</v>
      </c>
    </row>
    <row r="1654" spans="1:23" x14ac:dyDescent="0.35">
      <c r="A1654">
        <v>1651</v>
      </c>
      <c r="B1654">
        <v>8395</v>
      </c>
      <c r="C1654">
        <v>1961</v>
      </c>
      <c r="D1654" s="1" t="s">
        <v>10</v>
      </c>
      <c r="E1654" s="1" t="s">
        <v>11</v>
      </c>
      <c r="F1654">
        <v>82014</v>
      </c>
      <c r="G1654">
        <v>0</v>
      </c>
      <c r="H1654" s="2">
        <v>0</v>
      </c>
      <c r="I1654" s="2">
        <v>41141</v>
      </c>
      <c r="J1654">
        <v>48</v>
      </c>
      <c r="K1654">
        <f>VLOOKUP(B1654,purchase_dataset!$B$2:$F$2241,2,FALSE)</f>
        <v>37</v>
      </c>
      <c r="L1654">
        <f>VLOOKUP(B1654,purchase_dataset!$B$2:$F$2241,3,FALSE)</f>
        <v>163</v>
      </c>
      <c r="M1654">
        <f>VLOOKUP(B1654,purchase_dataset!$B$2:$F$2241,3,FALSE)</f>
        <v>163</v>
      </c>
      <c r="N1654">
        <f>VLOOKUP(B1654,purchase_dataset!$B$2:$F$2241,5,FALSE)</f>
        <v>12</v>
      </c>
      <c r="O1654" s="5">
        <v>65</v>
      </c>
      <c r="P1654" s="4" t="str">
        <f t="shared" si="50"/>
        <v>&gt;50</v>
      </c>
      <c r="Q1654" s="4">
        <f>M1654+N1654</f>
        <v>175</v>
      </c>
      <c r="U1654" s="28" t="str" cm="1">
        <f t="array" ref="U1654">_xlfn.IFS(F1654&lt;30000,"30k",F1654&lt;=50000,"30k-50k",F1654&lt;=75000,"50k-75k",F1654&lt;=100000,"75k-100k",F1654&gt;100000,"100k")</f>
        <v>75k-100k</v>
      </c>
      <c r="W1654" s="1">
        <f t="shared" si="51"/>
        <v>14</v>
      </c>
    </row>
    <row r="1655" spans="1:23" x14ac:dyDescent="0.35">
      <c r="A1655">
        <v>1652</v>
      </c>
      <c r="B1655">
        <v>10352</v>
      </c>
      <c r="C1655">
        <v>1963</v>
      </c>
      <c r="D1655" s="1" t="s">
        <v>10</v>
      </c>
      <c r="E1655" s="1" t="s">
        <v>19</v>
      </c>
      <c r="F1655">
        <v>34213</v>
      </c>
      <c r="G1655">
        <v>1</v>
      </c>
      <c r="H1655" s="2">
        <v>1</v>
      </c>
      <c r="I1655" s="2">
        <v>41159</v>
      </c>
      <c r="J1655">
        <v>2</v>
      </c>
      <c r="K1655">
        <f>VLOOKUP(B1655,purchase_dataset!$B$2:$F$2241,2,FALSE)</f>
        <v>4</v>
      </c>
      <c r="L1655">
        <f>VLOOKUP(B1655,purchase_dataset!$B$2:$F$2241,3,FALSE)</f>
        <v>3</v>
      </c>
      <c r="M1655">
        <f>VLOOKUP(B1655,purchase_dataset!$B$2:$F$2241,3,FALSE)</f>
        <v>3</v>
      </c>
      <c r="N1655">
        <f>VLOOKUP(B1655,purchase_dataset!$B$2:$F$2241,5,FALSE)</f>
        <v>2</v>
      </c>
      <c r="O1655" s="5">
        <v>63</v>
      </c>
      <c r="P1655" s="4" t="str">
        <f t="shared" si="50"/>
        <v>&gt;50</v>
      </c>
      <c r="Q1655" s="4">
        <f>M1655+N1655</f>
        <v>5</v>
      </c>
      <c r="U1655" s="28" t="str" cm="1">
        <f t="array" ref="U1655">_xlfn.IFS(F1655&lt;30000,"30k",F1655&lt;=50000,"30k-50k",F1655&lt;=75000,"50k-75k",F1655&lt;=100000,"75k-100k",F1655&gt;100000,"100k")</f>
        <v>30k-50k</v>
      </c>
      <c r="W1655" s="1">
        <f t="shared" si="51"/>
        <v>14</v>
      </c>
    </row>
    <row r="1656" spans="1:23" x14ac:dyDescent="0.35">
      <c r="A1656">
        <v>1653</v>
      </c>
      <c r="B1656">
        <v>4931</v>
      </c>
      <c r="C1656">
        <v>1977</v>
      </c>
      <c r="D1656" s="1" t="s">
        <v>10</v>
      </c>
      <c r="E1656" s="1" t="s">
        <v>12</v>
      </c>
      <c r="F1656">
        <v>157146</v>
      </c>
      <c r="G1656">
        <v>0</v>
      </c>
      <c r="H1656" s="2">
        <v>0</v>
      </c>
      <c r="I1656" s="2">
        <v>41393</v>
      </c>
      <c r="J1656">
        <v>13</v>
      </c>
      <c r="K1656">
        <f>VLOOKUP(B1656,purchase_dataset!$B$2:$F$2241,2,FALSE)</f>
        <v>0</v>
      </c>
      <c r="L1656">
        <f>VLOOKUP(B1656,purchase_dataset!$B$2:$F$2241,3,FALSE)</f>
        <v>1</v>
      </c>
      <c r="M1656">
        <f>VLOOKUP(B1656,purchase_dataset!$B$2:$F$2241,3,FALSE)</f>
        <v>1</v>
      </c>
      <c r="N1656">
        <f>VLOOKUP(B1656,purchase_dataset!$B$2:$F$2241,5,FALSE)</f>
        <v>0</v>
      </c>
      <c r="O1656" s="5">
        <v>49</v>
      </c>
      <c r="P1656" s="4" t="str">
        <f t="shared" si="50"/>
        <v>30-50</v>
      </c>
      <c r="Q1656" s="4">
        <f>M1656+N1656</f>
        <v>1</v>
      </c>
      <c r="U1656" s="28" t="str" cm="1">
        <f t="array" ref="U1656">_xlfn.IFS(F1656&lt;30000,"30k",F1656&lt;=50000,"30k-50k",F1656&lt;=75000,"50k-75k",F1656&lt;=100000,"75k-100k",F1656&gt;100000,"100k")</f>
        <v>100k</v>
      </c>
      <c r="W1656" s="1">
        <f t="shared" si="51"/>
        <v>13</v>
      </c>
    </row>
    <row r="1657" spans="1:23" x14ac:dyDescent="0.35">
      <c r="A1657">
        <v>1654</v>
      </c>
      <c r="B1657">
        <v>13</v>
      </c>
      <c r="C1657">
        <v>1947</v>
      </c>
      <c r="D1657" s="1" t="s">
        <v>13</v>
      </c>
      <c r="E1657" s="1" t="s">
        <v>19</v>
      </c>
      <c r="F1657">
        <v>25358</v>
      </c>
      <c r="G1657">
        <v>0</v>
      </c>
      <c r="H1657" s="2">
        <v>1</v>
      </c>
      <c r="I1657" s="2">
        <v>41477</v>
      </c>
      <c r="J1657">
        <v>57</v>
      </c>
      <c r="K1657">
        <f>VLOOKUP(B1657,purchase_dataset!$B$2:$F$2241,2,FALSE)</f>
        <v>0</v>
      </c>
      <c r="L1657">
        <f>VLOOKUP(B1657,purchase_dataset!$B$2:$F$2241,3,FALSE)</f>
        <v>0</v>
      </c>
      <c r="M1657">
        <f>VLOOKUP(B1657,purchase_dataset!$B$2:$F$2241,3,FALSE)</f>
        <v>0</v>
      </c>
      <c r="N1657">
        <f>VLOOKUP(B1657,purchase_dataset!$B$2:$F$2241,5,FALSE)</f>
        <v>3</v>
      </c>
      <c r="O1657" s="5">
        <v>79</v>
      </c>
      <c r="P1657" s="4" t="str">
        <f t="shared" si="50"/>
        <v>&gt;50</v>
      </c>
      <c r="Q1657" s="4">
        <f>M1657+N1657</f>
        <v>3</v>
      </c>
      <c r="U1657" s="28" t="str" cm="1">
        <f t="array" ref="U1657">_xlfn.IFS(F1657&lt;30000,"30k",F1657&lt;=50000,"30k-50k",F1657&lt;=75000,"50k-75k",F1657&lt;=100000,"75k-100k",F1657&gt;100000,"100k")</f>
        <v>30k</v>
      </c>
      <c r="W1657" s="1">
        <f t="shared" si="51"/>
        <v>13</v>
      </c>
    </row>
    <row r="1658" spans="1:23" x14ac:dyDescent="0.35">
      <c r="A1658">
        <v>1655</v>
      </c>
      <c r="B1658">
        <v>1834</v>
      </c>
      <c r="C1658">
        <v>1978</v>
      </c>
      <c r="D1658" s="1" t="s">
        <v>15</v>
      </c>
      <c r="E1658" s="1" t="s">
        <v>11</v>
      </c>
      <c r="F1658">
        <v>35544</v>
      </c>
      <c r="G1658">
        <v>1</v>
      </c>
      <c r="H1658" s="2">
        <v>0</v>
      </c>
      <c r="I1658" s="2">
        <v>41706</v>
      </c>
      <c r="J1658">
        <v>77</v>
      </c>
      <c r="K1658">
        <f>VLOOKUP(B1658,purchase_dataset!$B$2:$F$2241,2,FALSE)</f>
        <v>5</v>
      </c>
      <c r="L1658">
        <f>VLOOKUP(B1658,purchase_dataset!$B$2:$F$2241,3,FALSE)</f>
        <v>1</v>
      </c>
      <c r="M1658">
        <f>VLOOKUP(B1658,purchase_dataset!$B$2:$F$2241,3,FALSE)</f>
        <v>1</v>
      </c>
      <c r="N1658">
        <f>VLOOKUP(B1658,purchase_dataset!$B$2:$F$2241,5,FALSE)</f>
        <v>3</v>
      </c>
      <c r="O1658" s="5">
        <v>48</v>
      </c>
      <c r="P1658" s="4" t="str">
        <f t="shared" si="50"/>
        <v>30-50</v>
      </c>
      <c r="Q1658" s="4">
        <f>M1658+N1658</f>
        <v>4</v>
      </c>
      <c r="U1658" s="28" t="str" cm="1">
        <f t="array" ref="U1658">_xlfn.IFS(F1658&lt;30000,"30k",F1658&lt;=50000,"30k-50k",F1658&lt;=75000,"50k-75k",F1658&lt;=100000,"75k-100k",F1658&gt;100000,"100k")</f>
        <v>30k-50k</v>
      </c>
      <c r="W1658" s="1">
        <f t="shared" si="51"/>
        <v>12</v>
      </c>
    </row>
    <row r="1659" spans="1:23" x14ac:dyDescent="0.35">
      <c r="A1659">
        <v>1656</v>
      </c>
      <c r="B1659">
        <v>2285</v>
      </c>
      <c r="C1659">
        <v>1954</v>
      </c>
      <c r="D1659" s="1" t="s">
        <v>15</v>
      </c>
      <c r="E1659" s="1" t="s">
        <v>12</v>
      </c>
      <c r="F1659">
        <v>36634</v>
      </c>
      <c r="G1659">
        <v>0</v>
      </c>
      <c r="H1659" s="2">
        <v>1</v>
      </c>
      <c r="I1659" s="2">
        <v>41422</v>
      </c>
      <c r="J1659">
        <v>0</v>
      </c>
      <c r="K1659">
        <f>VLOOKUP(B1659,purchase_dataset!$B$2:$F$2241,2,FALSE)</f>
        <v>9</v>
      </c>
      <c r="L1659">
        <f>VLOOKUP(B1659,purchase_dataset!$B$2:$F$2241,3,FALSE)</f>
        <v>3</v>
      </c>
      <c r="M1659">
        <f>VLOOKUP(B1659,purchase_dataset!$B$2:$F$2241,3,FALSE)</f>
        <v>3</v>
      </c>
      <c r="N1659">
        <f>VLOOKUP(B1659,purchase_dataset!$B$2:$F$2241,5,FALSE)</f>
        <v>5</v>
      </c>
      <c r="O1659" s="5">
        <v>72</v>
      </c>
      <c r="P1659" s="4" t="str">
        <f t="shared" si="50"/>
        <v>&gt;50</v>
      </c>
      <c r="Q1659" s="4">
        <f>M1659+N1659</f>
        <v>8</v>
      </c>
      <c r="U1659" s="28" t="str" cm="1">
        <f t="array" ref="U1659">_xlfn.IFS(F1659&lt;30000,"30k",F1659&lt;=50000,"30k-50k",F1659&lt;=75000,"50k-75k",F1659&lt;=100000,"75k-100k",F1659&gt;100000,"100k")</f>
        <v>30k-50k</v>
      </c>
      <c r="W1659" s="1">
        <f t="shared" si="51"/>
        <v>13</v>
      </c>
    </row>
    <row r="1660" spans="1:23" x14ac:dyDescent="0.35">
      <c r="A1660">
        <v>1657</v>
      </c>
      <c r="B1660">
        <v>2295</v>
      </c>
      <c r="C1660">
        <v>1954</v>
      </c>
      <c r="D1660" s="1" t="s">
        <v>13</v>
      </c>
      <c r="E1660" s="1" t="s">
        <v>14</v>
      </c>
      <c r="F1660">
        <v>62670</v>
      </c>
      <c r="G1660">
        <v>0</v>
      </c>
      <c r="H1660" s="2">
        <v>1</v>
      </c>
      <c r="I1660" s="2">
        <v>41672</v>
      </c>
      <c r="J1660">
        <v>57</v>
      </c>
      <c r="K1660">
        <f>VLOOKUP(B1660,purchase_dataset!$B$2:$F$2241,2,FALSE)</f>
        <v>30</v>
      </c>
      <c r="L1660">
        <f>VLOOKUP(B1660,purchase_dataset!$B$2:$F$2241,3,FALSE)</f>
        <v>46</v>
      </c>
      <c r="M1660">
        <f>VLOOKUP(B1660,purchase_dataset!$B$2:$F$2241,3,FALSE)</f>
        <v>46</v>
      </c>
      <c r="N1660">
        <f>VLOOKUP(B1660,purchase_dataset!$B$2:$F$2241,5,FALSE)</f>
        <v>13</v>
      </c>
      <c r="O1660" s="5">
        <v>72</v>
      </c>
      <c r="P1660" s="4" t="str">
        <f t="shared" si="50"/>
        <v>&gt;50</v>
      </c>
      <c r="Q1660" s="4">
        <f>M1660+N1660</f>
        <v>59</v>
      </c>
      <c r="U1660" s="28" t="str" cm="1">
        <f t="array" ref="U1660">_xlfn.IFS(F1660&lt;30000,"30k",F1660&lt;=50000,"30k-50k",F1660&lt;=75000,"50k-75k",F1660&lt;=100000,"75k-100k",F1660&gt;100000,"100k")</f>
        <v>50k-75k</v>
      </c>
      <c r="W1660" s="1">
        <f t="shared" si="51"/>
        <v>12</v>
      </c>
    </row>
    <row r="1661" spans="1:23" x14ac:dyDescent="0.35">
      <c r="A1661">
        <v>1658</v>
      </c>
      <c r="B1661">
        <v>1378</v>
      </c>
      <c r="C1661">
        <v>1972</v>
      </c>
      <c r="D1661" s="1" t="s">
        <v>18</v>
      </c>
      <c r="E1661" s="1" t="s">
        <v>12</v>
      </c>
      <c r="F1661">
        <v>50334</v>
      </c>
      <c r="G1661">
        <v>0</v>
      </c>
      <c r="H1661" s="2">
        <v>1</v>
      </c>
      <c r="I1661" s="2">
        <v>41479</v>
      </c>
      <c r="J1661">
        <v>24</v>
      </c>
      <c r="K1661">
        <f>VLOOKUP(B1661,purchase_dataset!$B$2:$F$2241,2,FALSE)</f>
        <v>16</v>
      </c>
      <c r="L1661">
        <f>VLOOKUP(B1661,purchase_dataset!$B$2:$F$2241,3,FALSE)</f>
        <v>16</v>
      </c>
      <c r="M1661">
        <f>VLOOKUP(B1661,purchase_dataset!$B$2:$F$2241,3,FALSE)</f>
        <v>16</v>
      </c>
      <c r="N1661">
        <f>VLOOKUP(B1661,purchase_dataset!$B$2:$F$2241,5,FALSE)</f>
        <v>6</v>
      </c>
      <c r="O1661" s="5">
        <v>54</v>
      </c>
      <c r="P1661" s="4" t="str">
        <f t="shared" si="50"/>
        <v>&gt;50</v>
      </c>
      <c r="Q1661" s="4">
        <f>M1661+N1661</f>
        <v>22</v>
      </c>
      <c r="U1661" s="28" t="str" cm="1">
        <f t="array" ref="U1661">_xlfn.IFS(F1661&lt;30000,"30k",F1661&lt;=50000,"30k-50k",F1661&lt;=75000,"50k-75k",F1661&lt;=100000,"75k-100k",F1661&gt;100000,"100k")</f>
        <v>50k-75k</v>
      </c>
      <c r="W1661" s="1">
        <f t="shared" si="51"/>
        <v>13</v>
      </c>
    </row>
    <row r="1662" spans="1:23" x14ac:dyDescent="0.35">
      <c r="A1662">
        <v>1659</v>
      </c>
      <c r="B1662">
        <v>2781</v>
      </c>
      <c r="C1662">
        <v>1981</v>
      </c>
      <c r="D1662" s="1" t="s">
        <v>10</v>
      </c>
      <c r="E1662" s="1" t="s">
        <v>11</v>
      </c>
      <c r="F1662">
        <v>72066</v>
      </c>
      <c r="G1662">
        <v>0</v>
      </c>
      <c r="H1662" s="2">
        <v>0</v>
      </c>
      <c r="I1662" s="2">
        <v>41813</v>
      </c>
      <c r="J1662">
        <v>55</v>
      </c>
      <c r="K1662">
        <f>VLOOKUP(B1662,purchase_dataset!$B$2:$F$2241,2,FALSE)</f>
        <v>34</v>
      </c>
      <c r="L1662">
        <f>VLOOKUP(B1662,purchase_dataset!$B$2:$F$2241,3,FALSE)</f>
        <v>51</v>
      </c>
      <c r="M1662">
        <f>VLOOKUP(B1662,purchase_dataset!$B$2:$F$2241,3,FALSE)</f>
        <v>51</v>
      </c>
      <c r="N1662">
        <f>VLOOKUP(B1662,purchase_dataset!$B$2:$F$2241,5,FALSE)</f>
        <v>6</v>
      </c>
      <c r="O1662" s="5">
        <v>45</v>
      </c>
      <c r="P1662" s="4" t="str">
        <f t="shared" si="50"/>
        <v>30-50</v>
      </c>
      <c r="Q1662" s="4">
        <f>M1662+N1662</f>
        <v>57</v>
      </c>
      <c r="U1662" s="28" t="str" cm="1">
        <f t="array" ref="U1662">_xlfn.IFS(F1662&lt;30000,"30k",F1662&lt;=50000,"30k-50k",F1662&lt;=75000,"50k-75k",F1662&lt;=100000,"75k-100k",F1662&gt;100000,"100k")</f>
        <v>50k-75k</v>
      </c>
      <c r="W1662" s="1">
        <f t="shared" si="51"/>
        <v>12</v>
      </c>
    </row>
    <row r="1663" spans="1:23" x14ac:dyDescent="0.35">
      <c r="A1663">
        <v>1660</v>
      </c>
      <c r="B1663">
        <v>1165</v>
      </c>
      <c r="C1663">
        <v>1958</v>
      </c>
      <c r="D1663" s="1" t="s">
        <v>13</v>
      </c>
      <c r="E1663" s="1" t="s">
        <v>11</v>
      </c>
      <c r="F1663">
        <v>50729</v>
      </c>
      <c r="G1663">
        <v>1</v>
      </c>
      <c r="H1663" s="2">
        <v>1</v>
      </c>
      <c r="I1663" s="2">
        <v>41396</v>
      </c>
      <c r="J1663">
        <v>62</v>
      </c>
      <c r="K1663">
        <f>VLOOKUP(B1663,purchase_dataset!$B$2:$F$2241,2,FALSE)</f>
        <v>13</v>
      </c>
      <c r="L1663">
        <f>VLOOKUP(B1663,purchase_dataset!$B$2:$F$2241,3,FALSE)</f>
        <v>4</v>
      </c>
      <c r="M1663">
        <f>VLOOKUP(B1663,purchase_dataset!$B$2:$F$2241,3,FALSE)</f>
        <v>4</v>
      </c>
      <c r="N1663">
        <f>VLOOKUP(B1663,purchase_dataset!$B$2:$F$2241,5,FALSE)</f>
        <v>7</v>
      </c>
      <c r="O1663" s="5">
        <v>68</v>
      </c>
      <c r="P1663" s="4" t="str">
        <f t="shared" si="50"/>
        <v>&gt;50</v>
      </c>
      <c r="Q1663" s="4">
        <f>M1663+N1663</f>
        <v>11</v>
      </c>
      <c r="U1663" s="28" t="str" cm="1">
        <f t="array" ref="U1663">_xlfn.IFS(F1663&lt;30000,"30k",F1663&lt;=50000,"30k-50k",F1663&lt;=75000,"50k-75k",F1663&lt;=100000,"75k-100k",F1663&gt;100000,"100k")</f>
        <v>50k-75k</v>
      </c>
      <c r="W1663" s="1">
        <f t="shared" si="51"/>
        <v>13</v>
      </c>
    </row>
    <row r="1664" spans="1:23" x14ac:dyDescent="0.35">
      <c r="A1664">
        <v>1661</v>
      </c>
      <c r="B1664">
        <v>1404</v>
      </c>
      <c r="C1664">
        <v>1968</v>
      </c>
      <c r="D1664" s="1" t="s">
        <v>10</v>
      </c>
      <c r="E1664" s="1" t="s">
        <v>12</v>
      </c>
      <c r="F1664">
        <v>34916</v>
      </c>
      <c r="G1664">
        <v>2</v>
      </c>
      <c r="H1664" s="2">
        <v>0</v>
      </c>
      <c r="I1664" s="2">
        <v>41409</v>
      </c>
      <c r="J1664">
        <v>89</v>
      </c>
      <c r="K1664">
        <f>VLOOKUP(B1664,purchase_dataset!$B$2:$F$2241,2,FALSE)</f>
        <v>23</v>
      </c>
      <c r="L1664">
        <f>VLOOKUP(B1664,purchase_dataset!$B$2:$F$2241,3,FALSE)</f>
        <v>0</v>
      </c>
      <c r="M1664">
        <f>VLOOKUP(B1664,purchase_dataset!$B$2:$F$2241,3,FALSE)</f>
        <v>0</v>
      </c>
      <c r="N1664">
        <f>VLOOKUP(B1664,purchase_dataset!$B$2:$F$2241,5,FALSE)</f>
        <v>3</v>
      </c>
      <c r="O1664" s="5">
        <v>58</v>
      </c>
      <c r="P1664" s="4" t="str">
        <f t="shared" si="50"/>
        <v>&gt;50</v>
      </c>
      <c r="Q1664" s="4">
        <f>M1664+N1664</f>
        <v>3</v>
      </c>
      <c r="U1664" s="28" t="str" cm="1">
        <f t="array" ref="U1664">_xlfn.IFS(F1664&lt;30000,"30k",F1664&lt;=50000,"30k-50k",F1664&lt;=75000,"50k-75k",F1664&lt;=100000,"75k-100k",F1664&gt;100000,"100k")</f>
        <v>30k-50k</v>
      </c>
      <c r="W1664" s="1">
        <f t="shared" si="51"/>
        <v>13</v>
      </c>
    </row>
    <row r="1665" spans="1:23" x14ac:dyDescent="0.35">
      <c r="A1665">
        <v>1662</v>
      </c>
      <c r="B1665">
        <v>6457</v>
      </c>
      <c r="C1665">
        <v>1976</v>
      </c>
      <c r="D1665" s="1" t="s">
        <v>10</v>
      </c>
      <c r="E1665" s="1" t="s">
        <v>16</v>
      </c>
      <c r="F1665">
        <v>64892</v>
      </c>
      <c r="G1665">
        <v>0</v>
      </c>
      <c r="H1665" s="2">
        <v>1</v>
      </c>
      <c r="I1665" s="2">
        <v>41788</v>
      </c>
      <c r="J1665">
        <v>77</v>
      </c>
      <c r="K1665">
        <f>VLOOKUP(B1665,purchase_dataset!$B$2:$F$2241,2,FALSE)</f>
        <v>24</v>
      </c>
      <c r="L1665">
        <f>VLOOKUP(B1665,purchase_dataset!$B$2:$F$2241,3,FALSE)</f>
        <v>24</v>
      </c>
      <c r="M1665">
        <f>VLOOKUP(B1665,purchase_dataset!$B$2:$F$2241,3,FALSE)</f>
        <v>24</v>
      </c>
      <c r="N1665">
        <f>VLOOKUP(B1665,purchase_dataset!$B$2:$F$2241,5,FALSE)</f>
        <v>12</v>
      </c>
      <c r="O1665" s="5">
        <v>50</v>
      </c>
      <c r="P1665" s="4" t="str">
        <f t="shared" si="50"/>
        <v>30-50</v>
      </c>
      <c r="Q1665" s="4">
        <f>M1665+N1665</f>
        <v>36</v>
      </c>
      <c r="U1665" s="28" t="str" cm="1">
        <f t="array" ref="U1665">_xlfn.IFS(F1665&lt;30000,"30k",F1665&lt;=50000,"30k-50k",F1665&lt;=75000,"50k-75k",F1665&lt;=100000,"75k-100k",F1665&gt;100000,"100k")</f>
        <v>50k-75k</v>
      </c>
      <c r="W1665" s="1">
        <f t="shared" si="51"/>
        <v>12</v>
      </c>
    </row>
    <row r="1666" spans="1:23" x14ac:dyDescent="0.35">
      <c r="A1666">
        <v>1663</v>
      </c>
      <c r="B1666">
        <v>2639</v>
      </c>
      <c r="C1666">
        <v>1966</v>
      </c>
      <c r="D1666" s="1" t="s">
        <v>10</v>
      </c>
      <c r="E1666" s="1" t="s">
        <v>11</v>
      </c>
      <c r="F1666">
        <v>43602</v>
      </c>
      <c r="G1666">
        <v>1</v>
      </c>
      <c r="H1666" s="2">
        <v>1</v>
      </c>
      <c r="I1666" s="2">
        <v>41649</v>
      </c>
      <c r="J1666">
        <v>45</v>
      </c>
      <c r="K1666">
        <f>VLOOKUP(B1666,purchase_dataset!$B$2:$F$2241,2,FALSE)</f>
        <v>5</v>
      </c>
      <c r="L1666">
        <f>VLOOKUP(B1666,purchase_dataset!$B$2:$F$2241,3,FALSE)</f>
        <v>3</v>
      </c>
      <c r="M1666">
        <f>VLOOKUP(B1666,purchase_dataset!$B$2:$F$2241,3,FALSE)</f>
        <v>3</v>
      </c>
      <c r="N1666">
        <f>VLOOKUP(B1666,purchase_dataset!$B$2:$F$2241,5,FALSE)</f>
        <v>2</v>
      </c>
      <c r="O1666" s="5">
        <v>60</v>
      </c>
      <c r="P1666" s="4" t="str">
        <f t="shared" si="50"/>
        <v>&gt;50</v>
      </c>
      <c r="Q1666" s="4">
        <f>M1666+N1666</f>
        <v>5</v>
      </c>
      <c r="U1666" s="28" t="str" cm="1">
        <f t="array" ref="U1666">_xlfn.IFS(F1666&lt;30000,"30k",F1666&lt;=50000,"30k-50k",F1666&lt;=75000,"50k-75k",F1666&lt;=100000,"75k-100k",F1666&gt;100000,"100k")</f>
        <v>30k-50k</v>
      </c>
      <c r="W1666" s="1">
        <f t="shared" si="51"/>
        <v>12</v>
      </c>
    </row>
    <row r="1667" spans="1:23" x14ac:dyDescent="0.35">
      <c r="A1667">
        <v>1664</v>
      </c>
      <c r="B1667">
        <v>8299</v>
      </c>
      <c r="C1667">
        <v>1989</v>
      </c>
      <c r="D1667" s="1" t="s">
        <v>13</v>
      </c>
      <c r="E1667" s="1" t="s">
        <v>11</v>
      </c>
      <c r="F1667">
        <v>33996</v>
      </c>
      <c r="G1667">
        <v>0</v>
      </c>
      <c r="H1667" s="2">
        <v>0</v>
      </c>
      <c r="I1667" s="2">
        <v>41528</v>
      </c>
      <c r="J1667">
        <v>46</v>
      </c>
      <c r="K1667">
        <f>VLOOKUP(B1667,purchase_dataset!$B$2:$F$2241,2,FALSE)</f>
        <v>2</v>
      </c>
      <c r="L1667">
        <f>VLOOKUP(B1667,purchase_dataset!$B$2:$F$2241,3,FALSE)</f>
        <v>0</v>
      </c>
      <c r="M1667">
        <f>VLOOKUP(B1667,purchase_dataset!$B$2:$F$2241,3,FALSE)</f>
        <v>0</v>
      </c>
      <c r="N1667">
        <f>VLOOKUP(B1667,purchase_dataset!$B$2:$F$2241,5,FALSE)</f>
        <v>3</v>
      </c>
      <c r="O1667" s="5">
        <v>37</v>
      </c>
      <c r="P1667" s="4" t="str">
        <f t="shared" si="50"/>
        <v>30-50</v>
      </c>
      <c r="Q1667" s="4">
        <f>M1667+N1667</f>
        <v>3</v>
      </c>
      <c r="U1667" s="28" t="str" cm="1">
        <f t="array" ref="U1667">_xlfn.IFS(F1667&lt;30000,"30k",F1667&lt;=50000,"30k-50k",F1667&lt;=75000,"50k-75k",F1667&lt;=100000,"75k-100k",F1667&gt;100000,"100k")</f>
        <v>30k-50k</v>
      </c>
      <c r="W1667" s="1">
        <f t="shared" si="51"/>
        <v>13</v>
      </c>
    </row>
    <row r="1668" spans="1:23" x14ac:dyDescent="0.35">
      <c r="A1668">
        <v>1665</v>
      </c>
      <c r="B1668">
        <v>6437</v>
      </c>
      <c r="C1668">
        <v>1985</v>
      </c>
      <c r="D1668" s="1" t="s">
        <v>18</v>
      </c>
      <c r="E1668" s="1" t="s">
        <v>11</v>
      </c>
      <c r="F1668">
        <v>41473</v>
      </c>
      <c r="G1668">
        <v>1</v>
      </c>
      <c r="H1668" s="2">
        <v>0</v>
      </c>
      <c r="I1668" s="2">
        <v>41444</v>
      </c>
      <c r="J1668">
        <v>80</v>
      </c>
      <c r="K1668">
        <f>VLOOKUP(B1668,purchase_dataset!$B$2:$F$2241,2,FALSE)</f>
        <v>8</v>
      </c>
      <c r="L1668">
        <f>VLOOKUP(B1668,purchase_dataset!$B$2:$F$2241,3,FALSE)</f>
        <v>3</v>
      </c>
      <c r="M1668">
        <f>VLOOKUP(B1668,purchase_dataset!$B$2:$F$2241,3,FALSE)</f>
        <v>3</v>
      </c>
      <c r="N1668">
        <f>VLOOKUP(B1668,purchase_dataset!$B$2:$F$2241,5,FALSE)</f>
        <v>3</v>
      </c>
      <c r="O1668" s="5">
        <v>41</v>
      </c>
      <c r="P1668" s="4" t="str">
        <f t="shared" ref="P1668:P1731" si="52">IF(O1668&lt;30,"30",IF(O1668&lt;=50,"30-50","&gt;50"))</f>
        <v>30-50</v>
      </c>
      <c r="Q1668" s="4">
        <f>M1668+N1668</f>
        <v>6</v>
      </c>
      <c r="U1668" s="28" t="str" cm="1">
        <f t="array" ref="U1668">_xlfn.IFS(F1668&lt;30000,"30k",F1668&lt;=50000,"30k-50k",F1668&lt;=75000,"50k-75k",F1668&lt;=100000,"75k-100k",F1668&gt;100000,"100k")</f>
        <v>30k-50k</v>
      </c>
      <c r="W1668" s="1">
        <f t="shared" ref="W1668:W1731" si="53">2026-YEAR(I1668)</f>
        <v>13</v>
      </c>
    </row>
    <row r="1669" spans="1:23" x14ac:dyDescent="0.35">
      <c r="A1669">
        <v>1666</v>
      </c>
      <c r="B1669">
        <v>6912</v>
      </c>
      <c r="C1669">
        <v>1967</v>
      </c>
      <c r="D1669" s="1" t="s">
        <v>13</v>
      </c>
      <c r="E1669" s="1" t="s">
        <v>14</v>
      </c>
      <c r="F1669">
        <v>63246</v>
      </c>
      <c r="G1669">
        <v>0</v>
      </c>
      <c r="H1669" s="2">
        <v>2</v>
      </c>
      <c r="I1669" s="2">
        <v>41506</v>
      </c>
      <c r="J1669">
        <v>60</v>
      </c>
      <c r="K1669">
        <f>VLOOKUP(B1669,purchase_dataset!$B$2:$F$2241,2,FALSE)</f>
        <v>30</v>
      </c>
      <c r="L1669">
        <f>VLOOKUP(B1669,purchase_dataset!$B$2:$F$2241,3,FALSE)</f>
        <v>22</v>
      </c>
      <c r="M1669">
        <f>VLOOKUP(B1669,purchase_dataset!$B$2:$F$2241,3,FALSE)</f>
        <v>22</v>
      </c>
      <c r="N1669">
        <f>VLOOKUP(B1669,purchase_dataset!$B$2:$F$2241,5,FALSE)</f>
        <v>12</v>
      </c>
      <c r="O1669" s="5">
        <v>59</v>
      </c>
      <c r="P1669" s="4" t="str">
        <f t="shared" si="52"/>
        <v>&gt;50</v>
      </c>
      <c r="Q1669" s="4">
        <f>M1669+N1669</f>
        <v>34</v>
      </c>
      <c r="U1669" s="28" t="str" cm="1">
        <f t="array" ref="U1669">_xlfn.IFS(F1669&lt;30000,"30k",F1669&lt;=50000,"30k-50k",F1669&lt;=75000,"50k-75k",F1669&lt;=100000,"75k-100k",F1669&gt;100000,"100k")</f>
        <v>50k-75k</v>
      </c>
      <c r="W1669" s="1">
        <f t="shared" si="53"/>
        <v>13</v>
      </c>
    </row>
    <row r="1670" spans="1:23" x14ac:dyDescent="0.35">
      <c r="A1670">
        <v>1667</v>
      </c>
      <c r="B1670">
        <v>7327</v>
      </c>
      <c r="C1670">
        <v>1959</v>
      </c>
      <c r="D1670" s="1" t="s">
        <v>13</v>
      </c>
      <c r="E1670" s="1" t="s">
        <v>14</v>
      </c>
      <c r="F1670">
        <v>36732</v>
      </c>
      <c r="G1670">
        <v>1</v>
      </c>
      <c r="H1670" s="2">
        <v>1</v>
      </c>
      <c r="I1670" s="2">
        <v>41637</v>
      </c>
      <c r="J1670">
        <v>71</v>
      </c>
      <c r="K1670">
        <f>VLOOKUP(B1670,purchase_dataset!$B$2:$F$2241,2,FALSE)</f>
        <v>5</v>
      </c>
      <c r="L1670">
        <f>VLOOKUP(B1670,purchase_dataset!$B$2:$F$2241,3,FALSE)</f>
        <v>1</v>
      </c>
      <c r="M1670">
        <f>VLOOKUP(B1670,purchase_dataset!$B$2:$F$2241,3,FALSE)</f>
        <v>1</v>
      </c>
      <c r="N1670">
        <f>VLOOKUP(B1670,purchase_dataset!$B$2:$F$2241,5,FALSE)</f>
        <v>4</v>
      </c>
      <c r="O1670" s="5">
        <v>67</v>
      </c>
      <c r="P1670" s="4" t="str">
        <f t="shared" si="52"/>
        <v>&gt;50</v>
      </c>
      <c r="Q1670" s="4">
        <f>M1670+N1670</f>
        <v>5</v>
      </c>
      <c r="U1670" s="28" t="str" cm="1">
        <f t="array" ref="U1670">_xlfn.IFS(F1670&lt;30000,"30k",F1670&lt;=50000,"30k-50k",F1670&lt;=75000,"50k-75k",F1670&lt;=100000,"75k-100k",F1670&gt;100000,"100k")</f>
        <v>30k-50k</v>
      </c>
      <c r="W1670" s="1">
        <f t="shared" si="53"/>
        <v>13</v>
      </c>
    </row>
    <row r="1671" spans="1:23" x14ac:dyDescent="0.35">
      <c r="A1671">
        <v>1668</v>
      </c>
      <c r="B1671">
        <v>5299</v>
      </c>
      <c r="C1671">
        <v>1970</v>
      </c>
      <c r="D1671" s="1" t="s">
        <v>13</v>
      </c>
      <c r="E1671" s="1" t="s">
        <v>14</v>
      </c>
      <c r="F1671">
        <v>69084</v>
      </c>
      <c r="G1671">
        <v>1</v>
      </c>
      <c r="H1671" s="2">
        <v>0</v>
      </c>
      <c r="I1671" s="2">
        <v>41597</v>
      </c>
      <c r="J1671">
        <v>43</v>
      </c>
      <c r="K1671">
        <f>VLOOKUP(B1671,purchase_dataset!$B$2:$F$2241,2,FALSE)</f>
        <v>107</v>
      </c>
      <c r="L1671">
        <f>VLOOKUP(B1671,purchase_dataset!$B$2:$F$2241,3,FALSE)</f>
        <v>30</v>
      </c>
      <c r="M1671">
        <f>VLOOKUP(B1671,purchase_dataset!$B$2:$F$2241,3,FALSE)</f>
        <v>30</v>
      </c>
      <c r="N1671">
        <f>VLOOKUP(B1671,purchase_dataset!$B$2:$F$2241,5,FALSE)</f>
        <v>13</v>
      </c>
      <c r="O1671" s="5">
        <v>56</v>
      </c>
      <c r="P1671" s="4" t="str">
        <f t="shared" si="52"/>
        <v>&gt;50</v>
      </c>
      <c r="Q1671" s="4">
        <f>M1671+N1671</f>
        <v>43</v>
      </c>
      <c r="U1671" s="28" t="str" cm="1">
        <f t="array" ref="U1671">_xlfn.IFS(F1671&lt;30000,"30k",F1671&lt;=50000,"30k-50k",F1671&lt;=75000,"50k-75k",F1671&lt;=100000,"75k-100k",F1671&gt;100000,"100k")</f>
        <v>50k-75k</v>
      </c>
      <c r="W1671" s="1">
        <f t="shared" si="53"/>
        <v>13</v>
      </c>
    </row>
    <row r="1672" spans="1:23" x14ac:dyDescent="0.35">
      <c r="A1672">
        <v>1669</v>
      </c>
      <c r="B1672">
        <v>4127</v>
      </c>
      <c r="C1672">
        <v>1967</v>
      </c>
      <c r="D1672" s="1" t="s">
        <v>13</v>
      </c>
      <c r="E1672" s="1" t="s">
        <v>14</v>
      </c>
      <c r="F1672">
        <v>77766</v>
      </c>
      <c r="G1672">
        <v>0</v>
      </c>
      <c r="H1672" s="2">
        <v>1</v>
      </c>
      <c r="I1672" s="2">
        <v>41327</v>
      </c>
      <c r="J1672">
        <v>97</v>
      </c>
      <c r="K1672">
        <f>VLOOKUP(B1672,purchase_dataset!$B$2:$F$2241,2,FALSE)</f>
        <v>59</v>
      </c>
      <c r="L1672">
        <f>VLOOKUP(B1672,purchase_dataset!$B$2:$F$2241,3,FALSE)</f>
        <v>59</v>
      </c>
      <c r="M1672">
        <f>VLOOKUP(B1672,purchase_dataset!$B$2:$F$2241,3,FALSE)</f>
        <v>59</v>
      </c>
      <c r="N1672">
        <f>VLOOKUP(B1672,purchase_dataset!$B$2:$F$2241,5,FALSE)</f>
        <v>11</v>
      </c>
      <c r="O1672" s="5">
        <v>59</v>
      </c>
      <c r="P1672" s="4" t="str">
        <f t="shared" si="52"/>
        <v>&gt;50</v>
      </c>
      <c r="Q1672" s="4">
        <f>M1672+N1672</f>
        <v>70</v>
      </c>
      <c r="U1672" s="28" t="str" cm="1">
        <f t="array" ref="U1672">_xlfn.IFS(F1672&lt;30000,"30k",F1672&lt;=50000,"30k-50k",F1672&lt;=75000,"50k-75k",F1672&lt;=100000,"75k-100k",F1672&gt;100000,"100k")</f>
        <v>75k-100k</v>
      </c>
      <c r="W1672" s="1">
        <f t="shared" si="53"/>
        <v>13</v>
      </c>
    </row>
    <row r="1673" spans="1:23" x14ac:dyDescent="0.35">
      <c r="A1673">
        <v>1670</v>
      </c>
      <c r="B1673">
        <v>8143</v>
      </c>
      <c r="C1673">
        <v>1985</v>
      </c>
      <c r="D1673" s="1" t="s">
        <v>13</v>
      </c>
      <c r="E1673" s="1" t="s">
        <v>11</v>
      </c>
      <c r="F1673">
        <v>37929</v>
      </c>
      <c r="G1673">
        <v>0</v>
      </c>
      <c r="H1673" s="2">
        <v>0</v>
      </c>
      <c r="I1673" s="2">
        <v>41485</v>
      </c>
      <c r="J1673">
        <v>49</v>
      </c>
      <c r="K1673">
        <f>VLOOKUP(B1673,purchase_dataset!$B$2:$F$2241,2,FALSE)</f>
        <v>2</v>
      </c>
      <c r="L1673">
        <f>VLOOKUP(B1673,purchase_dataset!$B$2:$F$2241,3,FALSE)</f>
        <v>2</v>
      </c>
      <c r="M1673">
        <f>VLOOKUP(B1673,purchase_dataset!$B$2:$F$2241,3,FALSE)</f>
        <v>2</v>
      </c>
      <c r="N1673">
        <f>VLOOKUP(B1673,purchase_dataset!$B$2:$F$2241,5,FALSE)</f>
        <v>5</v>
      </c>
      <c r="O1673" s="5">
        <v>41</v>
      </c>
      <c r="P1673" s="4" t="str">
        <f t="shared" si="52"/>
        <v>30-50</v>
      </c>
      <c r="Q1673" s="4">
        <f>M1673+N1673</f>
        <v>7</v>
      </c>
      <c r="U1673" s="28" t="str" cm="1">
        <f t="array" ref="U1673">_xlfn.IFS(F1673&lt;30000,"30k",F1673&lt;=50000,"30k-50k",F1673&lt;=75000,"50k-75k",F1673&lt;=100000,"75k-100k",F1673&gt;100000,"100k")</f>
        <v>30k-50k</v>
      </c>
      <c r="W1673" s="1">
        <f t="shared" si="53"/>
        <v>13</v>
      </c>
    </row>
    <row r="1674" spans="1:23" x14ac:dyDescent="0.35">
      <c r="A1674">
        <v>1671</v>
      </c>
      <c r="B1674">
        <v>1964</v>
      </c>
      <c r="C1674">
        <v>1951</v>
      </c>
      <c r="D1674" s="1" t="s">
        <v>10</v>
      </c>
      <c r="E1674" s="1" t="s">
        <v>12</v>
      </c>
      <c r="F1674">
        <v>86610</v>
      </c>
      <c r="G1674">
        <v>0</v>
      </c>
      <c r="H1674" s="2">
        <v>0</v>
      </c>
      <c r="I1674" s="2">
        <v>41522</v>
      </c>
      <c r="J1674">
        <v>66</v>
      </c>
      <c r="K1674">
        <f>VLOOKUP(B1674,purchase_dataset!$B$2:$F$2241,2,FALSE)</f>
        <v>107</v>
      </c>
      <c r="L1674">
        <f>VLOOKUP(B1674,purchase_dataset!$B$2:$F$2241,3,FALSE)</f>
        <v>196</v>
      </c>
      <c r="M1674">
        <f>VLOOKUP(B1674,purchase_dataset!$B$2:$F$2241,3,FALSE)</f>
        <v>196</v>
      </c>
      <c r="N1674">
        <f>VLOOKUP(B1674,purchase_dataset!$B$2:$F$2241,5,FALSE)</f>
        <v>6</v>
      </c>
      <c r="O1674" s="5">
        <v>75</v>
      </c>
      <c r="P1674" s="4" t="str">
        <f t="shared" si="52"/>
        <v>&gt;50</v>
      </c>
      <c r="Q1674" s="4">
        <f>M1674+N1674</f>
        <v>202</v>
      </c>
      <c r="U1674" s="28" t="str" cm="1">
        <f t="array" ref="U1674">_xlfn.IFS(F1674&lt;30000,"30k",F1674&lt;=50000,"30k-50k",F1674&lt;=75000,"50k-75k",F1674&lt;=100000,"75k-100k",F1674&gt;100000,"100k")</f>
        <v>75k-100k</v>
      </c>
      <c r="W1674" s="1">
        <f t="shared" si="53"/>
        <v>13</v>
      </c>
    </row>
    <row r="1675" spans="1:23" x14ac:dyDescent="0.35">
      <c r="A1675">
        <v>1672</v>
      </c>
      <c r="B1675">
        <v>3690</v>
      </c>
      <c r="C1675">
        <v>1986</v>
      </c>
      <c r="D1675" s="1" t="s">
        <v>15</v>
      </c>
      <c r="E1675" s="1" t="s">
        <v>14</v>
      </c>
      <c r="F1675">
        <v>80141</v>
      </c>
      <c r="G1675">
        <v>0</v>
      </c>
      <c r="H1675" s="2">
        <v>0</v>
      </c>
      <c r="I1675" s="2">
        <v>41285</v>
      </c>
      <c r="J1675">
        <v>20</v>
      </c>
      <c r="K1675">
        <f>VLOOKUP(B1675,purchase_dataset!$B$2:$F$2241,2,FALSE)</f>
        <v>102</v>
      </c>
      <c r="L1675">
        <f>VLOOKUP(B1675,purchase_dataset!$B$2:$F$2241,3,FALSE)</f>
        <v>40</v>
      </c>
      <c r="M1675">
        <f>VLOOKUP(B1675,purchase_dataset!$B$2:$F$2241,3,FALSE)</f>
        <v>40</v>
      </c>
      <c r="N1675">
        <f>VLOOKUP(B1675,purchase_dataset!$B$2:$F$2241,5,FALSE)</f>
        <v>10</v>
      </c>
      <c r="O1675" s="5">
        <v>40</v>
      </c>
      <c r="P1675" s="4" t="str">
        <f t="shared" si="52"/>
        <v>30-50</v>
      </c>
      <c r="Q1675" s="4">
        <f>M1675+N1675</f>
        <v>50</v>
      </c>
      <c r="U1675" s="28" t="str" cm="1">
        <f t="array" ref="U1675">_xlfn.IFS(F1675&lt;30000,"30k",F1675&lt;=50000,"30k-50k",F1675&lt;=75000,"50k-75k",F1675&lt;=100000,"75k-100k",F1675&gt;100000,"100k")</f>
        <v>75k-100k</v>
      </c>
      <c r="W1675" s="1">
        <f t="shared" si="53"/>
        <v>13</v>
      </c>
    </row>
    <row r="1676" spans="1:23" x14ac:dyDescent="0.35">
      <c r="A1676">
        <v>1673</v>
      </c>
      <c r="B1676">
        <v>3433</v>
      </c>
      <c r="C1676">
        <v>1955</v>
      </c>
      <c r="D1676" s="1" t="s">
        <v>18</v>
      </c>
      <c r="E1676" s="1" t="s">
        <v>14</v>
      </c>
      <c r="F1676">
        <v>72635</v>
      </c>
      <c r="G1676">
        <v>0</v>
      </c>
      <c r="H1676" s="2">
        <v>0</v>
      </c>
      <c r="I1676" s="2">
        <v>41428</v>
      </c>
      <c r="J1676">
        <v>54</v>
      </c>
      <c r="K1676">
        <f>VLOOKUP(B1676,purchase_dataset!$B$2:$F$2241,2,FALSE)</f>
        <v>22</v>
      </c>
      <c r="L1676">
        <f>VLOOKUP(B1676,purchase_dataset!$B$2:$F$2241,3,FALSE)</f>
        <v>35</v>
      </c>
      <c r="M1676">
        <f>VLOOKUP(B1676,purchase_dataset!$B$2:$F$2241,3,FALSE)</f>
        <v>35</v>
      </c>
      <c r="N1676">
        <f>VLOOKUP(B1676,purchase_dataset!$B$2:$F$2241,5,FALSE)</f>
        <v>6</v>
      </c>
      <c r="O1676" s="5">
        <v>71</v>
      </c>
      <c r="P1676" s="4" t="str">
        <f t="shared" si="52"/>
        <v>&gt;50</v>
      </c>
      <c r="Q1676" s="4">
        <f>M1676+N1676</f>
        <v>41</v>
      </c>
      <c r="U1676" s="28" t="str" cm="1">
        <f t="array" ref="U1676">_xlfn.IFS(F1676&lt;30000,"30k",F1676&lt;=50000,"30k-50k",F1676&lt;=75000,"50k-75k",F1676&lt;=100000,"75k-100k",F1676&gt;100000,"100k")</f>
        <v>50k-75k</v>
      </c>
      <c r="W1676" s="1">
        <f t="shared" si="53"/>
        <v>13</v>
      </c>
    </row>
    <row r="1677" spans="1:23" x14ac:dyDescent="0.35">
      <c r="A1677">
        <v>1674</v>
      </c>
      <c r="B1677">
        <v>3389</v>
      </c>
      <c r="C1677">
        <v>1970</v>
      </c>
      <c r="D1677" s="1" t="s">
        <v>10</v>
      </c>
      <c r="E1677" s="1" t="s">
        <v>14</v>
      </c>
      <c r="F1677">
        <v>69016</v>
      </c>
      <c r="G1677">
        <v>0</v>
      </c>
      <c r="H1677" s="2">
        <v>1</v>
      </c>
      <c r="I1677" s="2">
        <v>41235</v>
      </c>
      <c r="J1677">
        <v>61</v>
      </c>
      <c r="K1677">
        <f>VLOOKUP(B1677,purchase_dataset!$B$2:$F$2241,2,FALSE)</f>
        <v>53</v>
      </c>
      <c r="L1677">
        <f>VLOOKUP(B1677,purchase_dataset!$B$2:$F$2241,3,FALSE)</f>
        <v>107</v>
      </c>
      <c r="M1677">
        <f>VLOOKUP(B1677,purchase_dataset!$B$2:$F$2241,3,FALSE)</f>
        <v>107</v>
      </c>
      <c r="N1677">
        <f>VLOOKUP(B1677,purchase_dataset!$B$2:$F$2241,5,FALSE)</f>
        <v>13</v>
      </c>
      <c r="O1677" s="5">
        <v>56</v>
      </c>
      <c r="P1677" s="4" t="str">
        <f t="shared" si="52"/>
        <v>&gt;50</v>
      </c>
      <c r="Q1677" s="4">
        <f>M1677+N1677</f>
        <v>120</v>
      </c>
      <c r="U1677" s="28" t="str" cm="1">
        <f t="array" ref="U1677">_xlfn.IFS(F1677&lt;30000,"30k",F1677&lt;=50000,"30k-50k",F1677&lt;=75000,"50k-75k",F1677&lt;=100000,"75k-100k",F1677&gt;100000,"100k")</f>
        <v>50k-75k</v>
      </c>
      <c r="W1677" s="1">
        <f t="shared" si="53"/>
        <v>14</v>
      </c>
    </row>
    <row r="1678" spans="1:23" x14ac:dyDescent="0.35">
      <c r="A1678">
        <v>1675</v>
      </c>
      <c r="B1678">
        <v>4712</v>
      </c>
      <c r="C1678">
        <v>1991</v>
      </c>
      <c r="D1678" s="1" t="s">
        <v>18</v>
      </c>
      <c r="E1678" s="1" t="s">
        <v>12</v>
      </c>
      <c r="F1678">
        <v>20193</v>
      </c>
      <c r="G1678">
        <v>0</v>
      </c>
      <c r="H1678" s="2">
        <v>0</v>
      </c>
      <c r="I1678" s="2">
        <v>41241</v>
      </c>
      <c r="J1678">
        <v>18</v>
      </c>
      <c r="K1678">
        <f>VLOOKUP(B1678,purchase_dataset!$B$2:$F$2241,2,FALSE)</f>
        <v>8</v>
      </c>
      <c r="L1678">
        <f>VLOOKUP(B1678,purchase_dataset!$B$2:$F$2241,3,FALSE)</f>
        <v>11</v>
      </c>
      <c r="M1678">
        <f>VLOOKUP(B1678,purchase_dataset!$B$2:$F$2241,3,FALSE)</f>
        <v>11</v>
      </c>
      <c r="N1678">
        <f>VLOOKUP(B1678,purchase_dataset!$B$2:$F$2241,5,FALSE)</f>
        <v>4</v>
      </c>
      <c r="O1678" s="5">
        <v>35</v>
      </c>
      <c r="P1678" s="4" t="str">
        <f t="shared" si="52"/>
        <v>30-50</v>
      </c>
      <c r="Q1678" s="4">
        <f>M1678+N1678</f>
        <v>15</v>
      </c>
      <c r="U1678" s="28" t="str" cm="1">
        <f t="array" ref="U1678">_xlfn.IFS(F1678&lt;30000,"30k",F1678&lt;=50000,"30k-50k",F1678&lt;=75000,"50k-75k",F1678&lt;=100000,"75k-100k",F1678&gt;100000,"100k")</f>
        <v>30k</v>
      </c>
      <c r="W1678" s="1">
        <f t="shared" si="53"/>
        <v>14</v>
      </c>
    </row>
    <row r="1679" spans="1:23" x14ac:dyDescent="0.35">
      <c r="A1679">
        <v>1676</v>
      </c>
      <c r="B1679">
        <v>1170</v>
      </c>
      <c r="C1679">
        <v>1975</v>
      </c>
      <c r="D1679" s="1" t="s">
        <v>10</v>
      </c>
      <c r="E1679" s="1" t="s">
        <v>14</v>
      </c>
      <c r="F1679">
        <v>27573</v>
      </c>
      <c r="G1679">
        <v>1</v>
      </c>
      <c r="H1679" s="2">
        <v>0</v>
      </c>
      <c r="I1679" s="2">
        <v>41358</v>
      </c>
      <c r="J1679">
        <v>45</v>
      </c>
      <c r="K1679">
        <f>VLOOKUP(B1679,purchase_dataset!$B$2:$F$2241,2,FALSE)</f>
        <v>15</v>
      </c>
      <c r="L1679">
        <f>VLOOKUP(B1679,purchase_dataset!$B$2:$F$2241,3,FALSE)</f>
        <v>15</v>
      </c>
      <c r="M1679">
        <f>VLOOKUP(B1679,purchase_dataset!$B$2:$F$2241,3,FALSE)</f>
        <v>15</v>
      </c>
      <c r="N1679">
        <f>VLOOKUP(B1679,purchase_dataset!$B$2:$F$2241,5,FALSE)</f>
        <v>4</v>
      </c>
      <c r="O1679" s="5">
        <v>51</v>
      </c>
      <c r="P1679" s="4" t="str">
        <f t="shared" si="52"/>
        <v>&gt;50</v>
      </c>
      <c r="Q1679" s="4">
        <f>M1679+N1679</f>
        <v>19</v>
      </c>
      <c r="U1679" s="28" t="str" cm="1">
        <f t="array" ref="U1679">_xlfn.IFS(F1679&lt;30000,"30k",F1679&lt;=50000,"30k-50k",F1679&lt;=75000,"50k-75k",F1679&lt;=100000,"75k-100k",F1679&gt;100000,"100k")</f>
        <v>30k</v>
      </c>
      <c r="W1679" s="1">
        <f t="shared" si="53"/>
        <v>13</v>
      </c>
    </row>
    <row r="1680" spans="1:23" x14ac:dyDescent="0.35">
      <c r="A1680">
        <v>1677</v>
      </c>
      <c r="B1680">
        <v>6347</v>
      </c>
      <c r="C1680">
        <v>1979</v>
      </c>
      <c r="D1680" s="1" t="s">
        <v>17</v>
      </c>
      <c r="E1680" s="1" t="s">
        <v>11</v>
      </c>
      <c r="F1680">
        <v>15862</v>
      </c>
      <c r="G1680">
        <v>1</v>
      </c>
      <c r="H1680" s="2">
        <v>0</v>
      </c>
      <c r="I1680" s="2">
        <v>41452</v>
      </c>
      <c r="J1680">
        <v>26</v>
      </c>
      <c r="K1680">
        <f>VLOOKUP(B1680,purchase_dataset!$B$2:$F$2241,2,FALSE)</f>
        <v>1</v>
      </c>
      <c r="L1680">
        <f>VLOOKUP(B1680,purchase_dataset!$B$2:$F$2241,3,FALSE)</f>
        <v>9</v>
      </c>
      <c r="M1680">
        <f>VLOOKUP(B1680,purchase_dataset!$B$2:$F$2241,3,FALSE)</f>
        <v>9</v>
      </c>
      <c r="N1680">
        <f>VLOOKUP(B1680,purchase_dataset!$B$2:$F$2241,5,FALSE)</f>
        <v>3</v>
      </c>
      <c r="O1680" s="5">
        <v>47</v>
      </c>
      <c r="P1680" s="4" t="str">
        <f t="shared" si="52"/>
        <v>30-50</v>
      </c>
      <c r="Q1680" s="4">
        <f>M1680+N1680</f>
        <v>12</v>
      </c>
      <c r="U1680" s="28" t="str" cm="1">
        <f t="array" ref="U1680">_xlfn.IFS(F1680&lt;30000,"30k",F1680&lt;=50000,"30k-50k",F1680&lt;=75000,"50k-75k",F1680&lt;=100000,"75k-100k",F1680&gt;100000,"100k")</f>
        <v>30k</v>
      </c>
      <c r="W1680" s="1">
        <f t="shared" si="53"/>
        <v>13</v>
      </c>
    </row>
    <row r="1681" spans="1:23" x14ac:dyDescent="0.35">
      <c r="A1681">
        <v>1678</v>
      </c>
      <c r="B1681">
        <v>4065</v>
      </c>
      <c r="C1681">
        <v>1976</v>
      </c>
      <c r="D1681" s="1" t="s">
        <v>13</v>
      </c>
      <c r="E1681" s="1" t="s">
        <v>14</v>
      </c>
      <c r="F1681">
        <v>49544</v>
      </c>
      <c r="G1681">
        <v>1</v>
      </c>
      <c r="H1681" s="2">
        <v>0</v>
      </c>
      <c r="I1681" s="2">
        <v>41317</v>
      </c>
      <c r="J1681">
        <v>0</v>
      </c>
      <c r="K1681">
        <f>VLOOKUP(B1681,purchase_dataset!$B$2:$F$2241,2,FALSE)</f>
        <v>0</v>
      </c>
      <c r="L1681">
        <f>VLOOKUP(B1681,purchase_dataset!$B$2:$F$2241,3,FALSE)</f>
        <v>0</v>
      </c>
      <c r="M1681">
        <f>VLOOKUP(B1681,purchase_dataset!$B$2:$F$2241,3,FALSE)</f>
        <v>0</v>
      </c>
      <c r="N1681">
        <f>VLOOKUP(B1681,purchase_dataset!$B$2:$F$2241,5,FALSE)</f>
        <v>8</v>
      </c>
      <c r="O1681" s="5">
        <v>50</v>
      </c>
      <c r="P1681" s="4" t="str">
        <f t="shared" si="52"/>
        <v>30-50</v>
      </c>
      <c r="Q1681" s="4">
        <f>M1681+N1681</f>
        <v>8</v>
      </c>
      <c r="U1681" s="28" t="str" cm="1">
        <f t="array" ref="U1681">_xlfn.IFS(F1681&lt;30000,"30k",F1681&lt;=50000,"30k-50k",F1681&lt;=75000,"50k-75k",F1681&lt;=100000,"75k-100k",F1681&gt;100000,"100k")</f>
        <v>30k-50k</v>
      </c>
      <c r="W1681" s="1">
        <f t="shared" si="53"/>
        <v>13</v>
      </c>
    </row>
    <row r="1682" spans="1:23" x14ac:dyDescent="0.35">
      <c r="A1682">
        <v>1679</v>
      </c>
      <c r="B1682">
        <v>8230</v>
      </c>
      <c r="C1682">
        <v>1980</v>
      </c>
      <c r="D1682" s="1" t="s">
        <v>10</v>
      </c>
      <c r="E1682" s="1" t="s">
        <v>14</v>
      </c>
      <c r="F1682">
        <v>33228</v>
      </c>
      <c r="G1682">
        <v>1</v>
      </c>
      <c r="H1682" s="2">
        <v>0</v>
      </c>
      <c r="I1682" s="2">
        <v>41662</v>
      </c>
      <c r="J1682">
        <v>28</v>
      </c>
      <c r="K1682">
        <f>VLOOKUP(B1682,purchase_dataset!$B$2:$F$2241,2,FALSE)</f>
        <v>2</v>
      </c>
      <c r="L1682">
        <f>VLOOKUP(B1682,purchase_dataset!$B$2:$F$2241,3,FALSE)</f>
        <v>4</v>
      </c>
      <c r="M1682">
        <f>VLOOKUP(B1682,purchase_dataset!$B$2:$F$2241,3,FALSE)</f>
        <v>4</v>
      </c>
      <c r="N1682">
        <f>VLOOKUP(B1682,purchase_dataset!$B$2:$F$2241,5,FALSE)</f>
        <v>3</v>
      </c>
      <c r="O1682" s="5">
        <v>46</v>
      </c>
      <c r="P1682" s="4" t="str">
        <f t="shared" si="52"/>
        <v>30-50</v>
      </c>
      <c r="Q1682" s="4">
        <f>M1682+N1682</f>
        <v>7</v>
      </c>
      <c r="U1682" s="28" t="str" cm="1">
        <f t="array" ref="U1682">_xlfn.IFS(F1682&lt;30000,"30k",F1682&lt;=50000,"30k-50k",F1682&lt;=75000,"50k-75k",F1682&lt;=100000,"75k-100k",F1682&gt;100000,"100k")</f>
        <v>30k-50k</v>
      </c>
      <c r="W1682" s="1">
        <f t="shared" si="53"/>
        <v>12</v>
      </c>
    </row>
    <row r="1683" spans="1:23" x14ac:dyDescent="0.35">
      <c r="A1683">
        <v>1680</v>
      </c>
      <c r="B1683">
        <v>1215</v>
      </c>
      <c r="C1683">
        <v>1978</v>
      </c>
      <c r="D1683" s="1" t="s">
        <v>10</v>
      </c>
      <c r="E1683" s="1" t="s">
        <v>12</v>
      </c>
      <c r="F1683">
        <v>70440</v>
      </c>
      <c r="G1683">
        <v>0</v>
      </c>
      <c r="H1683" s="2">
        <v>0</v>
      </c>
      <c r="I1683" s="2">
        <v>41555</v>
      </c>
      <c r="J1683">
        <v>49</v>
      </c>
      <c r="K1683">
        <f>VLOOKUP(B1683,purchase_dataset!$B$2:$F$2241,2,FALSE)</f>
        <v>117</v>
      </c>
      <c r="L1683">
        <f>VLOOKUP(B1683,purchase_dataset!$B$2:$F$2241,3,FALSE)</f>
        <v>102</v>
      </c>
      <c r="M1683">
        <f>VLOOKUP(B1683,purchase_dataset!$B$2:$F$2241,3,FALSE)</f>
        <v>102</v>
      </c>
      <c r="N1683">
        <f>VLOOKUP(B1683,purchase_dataset!$B$2:$F$2241,5,FALSE)</f>
        <v>7</v>
      </c>
      <c r="O1683" s="5">
        <v>48</v>
      </c>
      <c r="P1683" s="4" t="str">
        <f t="shared" si="52"/>
        <v>30-50</v>
      </c>
      <c r="Q1683" s="4">
        <f>M1683+N1683</f>
        <v>109</v>
      </c>
      <c r="U1683" s="28" t="str" cm="1">
        <f t="array" ref="U1683">_xlfn.IFS(F1683&lt;30000,"30k",F1683&lt;=50000,"30k-50k",F1683&lt;=75000,"50k-75k",F1683&lt;=100000,"75k-100k",F1683&gt;100000,"100k")</f>
        <v>50k-75k</v>
      </c>
      <c r="W1683" s="1">
        <f t="shared" si="53"/>
        <v>13</v>
      </c>
    </row>
    <row r="1684" spans="1:23" x14ac:dyDescent="0.35">
      <c r="A1684">
        <v>1681</v>
      </c>
      <c r="B1684">
        <v>5939</v>
      </c>
      <c r="C1684">
        <v>1971</v>
      </c>
      <c r="D1684" s="1" t="s">
        <v>10</v>
      </c>
      <c r="E1684" s="1" t="s">
        <v>12</v>
      </c>
      <c r="F1684">
        <v>38232</v>
      </c>
      <c r="G1684">
        <v>1</v>
      </c>
      <c r="H1684" s="2">
        <v>1</v>
      </c>
      <c r="I1684" s="2">
        <v>41656</v>
      </c>
      <c r="J1684">
        <v>84</v>
      </c>
      <c r="K1684">
        <f>VLOOKUP(B1684,purchase_dataset!$B$2:$F$2241,2,FALSE)</f>
        <v>5</v>
      </c>
      <c r="L1684">
        <f>VLOOKUP(B1684,purchase_dataset!$B$2:$F$2241,3,FALSE)</f>
        <v>6</v>
      </c>
      <c r="M1684">
        <f>VLOOKUP(B1684,purchase_dataset!$B$2:$F$2241,3,FALSE)</f>
        <v>6</v>
      </c>
      <c r="N1684">
        <f>VLOOKUP(B1684,purchase_dataset!$B$2:$F$2241,5,FALSE)</f>
        <v>3</v>
      </c>
      <c r="O1684" s="5">
        <v>55</v>
      </c>
      <c r="P1684" s="4" t="str">
        <f t="shared" si="52"/>
        <v>&gt;50</v>
      </c>
      <c r="Q1684" s="4">
        <f>M1684+N1684</f>
        <v>9</v>
      </c>
      <c r="U1684" s="28" t="str" cm="1">
        <f t="array" ref="U1684">_xlfn.IFS(F1684&lt;30000,"30k",F1684&lt;=50000,"30k-50k",F1684&lt;=75000,"50k-75k",F1684&lt;=100000,"75k-100k",F1684&gt;100000,"100k")</f>
        <v>30k-50k</v>
      </c>
      <c r="W1684" s="1">
        <f t="shared" si="53"/>
        <v>12</v>
      </c>
    </row>
    <row r="1685" spans="1:23" x14ac:dyDescent="0.35">
      <c r="A1685">
        <v>1682</v>
      </c>
      <c r="B1685">
        <v>2156</v>
      </c>
      <c r="C1685">
        <v>1955</v>
      </c>
      <c r="D1685" s="1" t="s">
        <v>13</v>
      </c>
      <c r="E1685" s="1" t="s">
        <v>14</v>
      </c>
      <c r="F1685">
        <v>22554</v>
      </c>
      <c r="G1685">
        <v>1</v>
      </c>
      <c r="H1685" s="2">
        <v>1</v>
      </c>
      <c r="I1685" s="2">
        <v>41216</v>
      </c>
      <c r="J1685">
        <v>38</v>
      </c>
      <c r="K1685">
        <f>VLOOKUP(B1685,purchase_dataset!$B$2:$F$2241,2,FALSE)</f>
        <v>0</v>
      </c>
      <c r="L1685">
        <f>VLOOKUP(B1685,purchase_dataset!$B$2:$F$2241,3,FALSE)</f>
        <v>0</v>
      </c>
      <c r="M1685">
        <f>VLOOKUP(B1685,purchase_dataset!$B$2:$F$2241,3,FALSE)</f>
        <v>0</v>
      </c>
      <c r="N1685">
        <f>VLOOKUP(B1685,purchase_dataset!$B$2:$F$2241,5,FALSE)</f>
        <v>4</v>
      </c>
      <c r="O1685" s="5">
        <v>71</v>
      </c>
      <c r="P1685" s="4" t="str">
        <f t="shared" si="52"/>
        <v>&gt;50</v>
      </c>
      <c r="Q1685" s="4">
        <f>M1685+N1685</f>
        <v>4</v>
      </c>
      <c r="U1685" s="28" t="str" cm="1">
        <f t="array" ref="U1685">_xlfn.IFS(F1685&lt;30000,"30k",F1685&lt;=50000,"30k-50k",F1685&lt;=75000,"50k-75k",F1685&lt;=100000,"75k-100k",F1685&gt;100000,"100k")</f>
        <v>30k</v>
      </c>
      <c r="W1685" s="1">
        <f t="shared" si="53"/>
        <v>14</v>
      </c>
    </row>
    <row r="1686" spans="1:23" x14ac:dyDescent="0.35">
      <c r="A1686">
        <v>1683</v>
      </c>
      <c r="B1686">
        <v>7788</v>
      </c>
      <c r="C1686">
        <v>1983</v>
      </c>
      <c r="D1686" s="1" t="s">
        <v>13</v>
      </c>
      <c r="E1686" s="1" t="s">
        <v>14</v>
      </c>
      <c r="F1686">
        <v>23536</v>
      </c>
      <c r="G1686">
        <v>1</v>
      </c>
      <c r="H1686" s="2">
        <v>0</v>
      </c>
      <c r="I1686" s="2">
        <v>41794</v>
      </c>
      <c r="J1686">
        <v>53</v>
      </c>
      <c r="K1686">
        <f>VLOOKUP(B1686,purchase_dataset!$B$2:$F$2241,2,FALSE)</f>
        <v>0</v>
      </c>
      <c r="L1686">
        <f>VLOOKUP(B1686,purchase_dataset!$B$2:$F$2241,3,FALSE)</f>
        <v>0</v>
      </c>
      <c r="M1686">
        <f>VLOOKUP(B1686,purchase_dataset!$B$2:$F$2241,3,FALSE)</f>
        <v>0</v>
      </c>
      <c r="N1686">
        <f>VLOOKUP(B1686,purchase_dataset!$B$2:$F$2241,5,FALSE)</f>
        <v>3</v>
      </c>
      <c r="O1686" s="5">
        <v>43</v>
      </c>
      <c r="P1686" s="4" t="str">
        <f t="shared" si="52"/>
        <v>30-50</v>
      </c>
      <c r="Q1686" s="4">
        <f>M1686+N1686</f>
        <v>3</v>
      </c>
      <c r="U1686" s="28" t="str" cm="1">
        <f t="array" ref="U1686">_xlfn.IFS(F1686&lt;30000,"30k",F1686&lt;=50000,"30k-50k",F1686&lt;=75000,"50k-75k",F1686&lt;=100000,"75k-100k",F1686&gt;100000,"100k")</f>
        <v>30k</v>
      </c>
      <c r="W1686" s="1">
        <f t="shared" si="53"/>
        <v>12</v>
      </c>
    </row>
    <row r="1687" spans="1:23" x14ac:dyDescent="0.35">
      <c r="A1687">
        <v>1684</v>
      </c>
      <c r="B1687">
        <v>10323</v>
      </c>
      <c r="C1687">
        <v>1952</v>
      </c>
      <c r="D1687" s="1" t="s">
        <v>10</v>
      </c>
      <c r="E1687" s="1" t="s">
        <v>14</v>
      </c>
      <c r="F1687">
        <v>49413</v>
      </c>
      <c r="G1687">
        <v>0</v>
      </c>
      <c r="H1687" s="2">
        <v>1</v>
      </c>
      <c r="I1687" s="2">
        <v>41572</v>
      </c>
      <c r="J1687">
        <v>88</v>
      </c>
      <c r="K1687">
        <f>VLOOKUP(B1687,purchase_dataset!$B$2:$F$2241,2,FALSE)</f>
        <v>7</v>
      </c>
      <c r="L1687">
        <f>VLOOKUP(B1687,purchase_dataset!$B$2:$F$2241,3,FALSE)</f>
        <v>2</v>
      </c>
      <c r="M1687">
        <f>VLOOKUP(B1687,purchase_dataset!$B$2:$F$2241,3,FALSE)</f>
        <v>2</v>
      </c>
      <c r="N1687">
        <f>VLOOKUP(B1687,purchase_dataset!$B$2:$F$2241,5,FALSE)</f>
        <v>5</v>
      </c>
      <c r="O1687" s="5">
        <v>74</v>
      </c>
      <c r="P1687" s="4" t="str">
        <f t="shared" si="52"/>
        <v>&gt;50</v>
      </c>
      <c r="Q1687" s="4">
        <f>M1687+N1687</f>
        <v>7</v>
      </c>
      <c r="U1687" s="28" t="str" cm="1">
        <f t="array" ref="U1687">_xlfn.IFS(F1687&lt;30000,"30k",F1687&lt;=50000,"30k-50k",F1687&lt;=75000,"50k-75k",F1687&lt;=100000,"75k-100k",F1687&gt;100000,"100k")</f>
        <v>30k-50k</v>
      </c>
      <c r="W1687" s="1">
        <f t="shared" si="53"/>
        <v>13</v>
      </c>
    </row>
    <row r="1688" spans="1:23" x14ac:dyDescent="0.35">
      <c r="A1688">
        <v>1685</v>
      </c>
      <c r="B1688">
        <v>7947</v>
      </c>
      <c r="C1688">
        <v>1969</v>
      </c>
      <c r="D1688" s="1" t="s">
        <v>10</v>
      </c>
      <c r="E1688" s="1" t="s">
        <v>14</v>
      </c>
      <c r="F1688">
        <v>42231</v>
      </c>
      <c r="G1688">
        <v>1</v>
      </c>
      <c r="H1688" s="2">
        <v>1</v>
      </c>
      <c r="I1688" s="2">
        <v>41723</v>
      </c>
      <c r="J1688">
        <v>99</v>
      </c>
      <c r="K1688">
        <f>VLOOKUP(B1688,purchase_dataset!$B$2:$F$2241,2,FALSE)</f>
        <v>0</v>
      </c>
      <c r="L1688">
        <f>VLOOKUP(B1688,purchase_dataset!$B$2:$F$2241,3,FALSE)</f>
        <v>1</v>
      </c>
      <c r="M1688">
        <f>VLOOKUP(B1688,purchase_dataset!$B$2:$F$2241,3,FALSE)</f>
        <v>1</v>
      </c>
      <c r="N1688">
        <f>VLOOKUP(B1688,purchase_dataset!$B$2:$F$2241,5,FALSE)</f>
        <v>3</v>
      </c>
      <c r="O1688" s="5">
        <v>57</v>
      </c>
      <c r="P1688" s="4" t="str">
        <f t="shared" si="52"/>
        <v>&gt;50</v>
      </c>
      <c r="Q1688" s="4">
        <f>M1688+N1688</f>
        <v>4</v>
      </c>
      <c r="U1688" s="28" t="str" cm="1">
        <f t="array" ref="U1688">_xlfn.IFS(F1688&lt;30000,"30k",F1688&lt;=50000,"30k-50k",F1688&lt;=75000,"50k-75k",F1688&lt;=100000,"75k-100k",F1688&gt;100000,"100k")</f>
        <v>30k-50k</v>
      </c>
      <c r="W1688" s="1">
        <f t="shared" si="53"/>
        <v>12</v>
      </c>
    </row>
    <row r="1689" spans="1:23" x14ac:dyDescent="0.35">
      <c r="A1689">
        <v>1686</v>
      </c>
      <c r="B1689">
        <v>1891</v>
      </c>
      <c r="C1689">
        <v>1980</v>
      </c>
      <c r="D1689" s="1" t="s">
        <v>15</v>
      </c>
      <c r="E1689" s="1" t="s">
        <v>16</v>
      </c>
      <c r="F1689">
        <v>78789</v>
      </c>
      <c r="G1689">
        <v>0</v>
      </c>
      <c r="H1689" s="2">
        <v>0</v>
      </c>
      <c r="I1689" s="2">
        <v>41129</v>
      </c>
      <c r="J1689">
        <v>12</v>
      </c>
      <c r="K1689">
        <f>VLOOKUP(B1689,purchase_dataset!$B$2:$F$2241,2,FALSE)</f>
        <v>50</v>
      </c>
      <c r="L1689">
        <f>VLOOKUP(B1689,purchase_dataset!$B$2:$F$2241,3,FALSE)</f>
        <v>83</v>
      </c>
      <c r="M1689">
        <f>VLOOKUP(B1689,purchase_dataset!$B$2:$F$2241,3,FALSE)</f>
        <v>83</v>
      </c>
      <c r="N1689">
        <f>VLOOKUP(B1689,purchase_dataset!$B$2:$F$2241,5,FALSE)</f>
        <v>5</v>
      </c>
      <c r="O1689" s="5">
        <v>46</v>
      </c>
      <c r="P1689" s="4" t="str">
        <f t="shared" si="52"/>
        <v>30-50</v>
      </c>
      <c r="Q1689" s="4">
        <f>M1689+N1689</f>
        <v>88</v>
      </c>
      <c r="U1689" s="28" t="str" cm="1">
        <f t="array" ref="U1689">_xlfn.IFS(F1689&lt;30000,"30k",F1689&lt;=50000,"30k-50k",F1689&lt;=75000,"50k-75k",F1689&lt;=100000,"75k-100k",F1689&gt;100000,"100k")</f>
        <v>75k-100k</v>
      </c>
      <c r="W1689" s="1">
        <f t="shared" si="53"/>
        <v>14</v>
      </c>
    </row>
    <row r="1690" spans="1:23" x14ac:dyDescent="0.35">
      <c r="A1690">
        <v>1687</v>
      </c>
      <c r="B1690">
        <v>2570</v>
      </c>
      <c r="C1690">
        <v>1968</v>
      </c>
      <c r="D1690" s="1" t="s">
        <v>10</v>
      </c>
      <c r="E1690" s="1" t="s">
        <v>12</v>
      </c>
      <c r="F1690">
        <v>56534</v>
      </c>
      <c r="G1690">
        <v>0</v>
      </c>
      <c r="H1690" s="2">
        <v>1</v>
      </c>
      <c r="I1690" s="2">
        <v>41478</v>
      </c>
      <c r="J1690">
        <v>35</v>
      </c>
      <c r="K1690">
        <f>VLOOKUP(B1690,purchase_dataset!$B$2:$F$2241,2,FALSE)</f>
        <v>7</v>
      </c>
      <c r="L1690">
        <f>VLOOKUP(B1690,purchase_dataset!$B$2:$F$2241,3,FALSE)</f>
        <v>0</v>
      </c>
      <c r="M1690">
        <f>VLOOKUP(B1690,purchase_dataset!$B$2:$F$2241,3,FALSE)</f>
        <v>0</v>
      </c>
      <c r="N1690">
        <f>VLOOKUP(B1690,purchase_dataset!$B$2:$F$2241,5,FALSE)</f>
        <v>7</v>
      </c>
      <c r="O1690" s="5">
        <v>58</v>
      </c>
      <c r="P1690" s="4" t="str">
        <f t="shared" si="52"/>
        <v>&gt;50</v>
      </c>
      <c r="Q1690" s="4">
        <f>M1690+N1690</f>
        <v>7</v>
      </c>
      <c r="U1690" s="28" t="str" cm="1">
        <f t="array" ref="U1690">_xlfn.IFS(F1690&lt;30000,"30k",F1690&lt;=50000,"30k-50k",F1690&lt;=75000,"50k-75k",F1690&lt;=100000,"75k-100k",F1690&gt;100000,"100k")</f>
        <v>50k-75k</v>
      </c>
      <c r="W1690" s="1">
        <f t="shared" si="53"/>
        <v>13</v>
      </c>
    </row>
    <row r="1691" spans="1:23" x14ac:dyDescent="0.35">
      <c r="A1691">
        <v>1688</v>
      </c>
      <c r="B1691">
        <v>9256</v>
      </c>
      <c r="C1691">
        <v>1971</v>
      </c>
      <c r="D1691" s="1" t="s">
        <v>10</v>
      </c>
      <c r="E1691" s="1" t="s">
        <v>11</v>
      </c>
      <c r="F1691">
        <v>58350</v>
      </c>
      <c r="G1691">
        <v>0</v>
      </c>
      <c r="H1691" s="2">
        <v>1</v>
      </c>
      <c r="I1691" s="2">
        <v>41278</v>
      </c>
      <c r="J1691">
        <v>5</v>
      </c>
      <c r="K1691">
        <f>VLOOKUP(B1691,purchase_dataset!$B$2:$F$2241,2,FALSE)</f>
        <v>26</v>
      </c>
      <c r="L1691">
        <f>VLOOKUP(B1691,purchase_dataset!$B$2:$F$2241,3,FALSE)</f>
        <v>80</v>
      </c>
      <c r="M1691">
        <f>VLOOKUP(B1691,purchase_dataset!$B$2:$F$2241,3,FALSE)</f>
        <v>80</v>
      </c>
      <c r="N1691">
        <f>VLOOKUP(B1691,purchase_dataset!$B$2:$F$2241,5,FALSE)</f>
        <v>12</v>
      </c>
      <c r="O1691" s="5">
        <v>55</v>
      </c>
      <c r="P1691" s="4" t="str">
        <f t="shared" si="52"/>
        <v>&gt;50</v>
      </c>
      <c r="Q1691" s="4">
        <f>M1691+N1691</f>
        <v>92</v>
      </c>
      <c r="U1691" s="28" t="str" cm="1">
        <f t="array" ref="U1691">_xlfn.IFS(F1691&lt;30000,"30k",F1691&lt;=50000,"30k-50k",F1691&lt;=75000,"50k-75k",F1691&lt;=100000,"75k-100k",F1691&gt;100000,"100k")</f>
        <v>50k-75k</v>
      </c>
      <c r="W1691" s="1">
        <f t="shared" si="53"/>
        <v>13</v>
      </c>
    </row>
    <row r="1692" spans="1:23" x14ac:dyDescent="0.35">
      <c r="A1692">
        <v>1689</v>
      </c>
      <c r="B1692">
        <v>295</v>
      </c>
      <c r="C1692">
        <v>1989</v>
      </c>
      <c r="D1692" s="1" t="s">
        <v>10</v>
      </c>
      <c r="E1692" s="1" t="s">
        <v>11</v>
      </c>
      <c r="F1692">
        <v>81217</v>
      </c>
      <c r="G1692">
        <v>0</v>
      </c>
      <c r="H1692" s="2">
        <v>0</v>
      </c>
      <c r="I1692" s="2">
        <v>41474</v>
      </c>
      <c r="J1692">
        <v>77</v>
      </c>
      <c r="K1692">
        <f>VLOOKUP(B1692,purchase_dataset!$B$2:$F$2241,2,FALSE)</f>
        <v>70</v>
      </c>
      <c r="L1692">
        <f>VLOOKUP(B1692,purchase_dataset!$B$2:$F$2241,3,FALSE)</f>
        <v>40</v>
      </c>
      <c r="M1692">
        <f>VLOOKUP(B1692,purchase_dataset!$B$2:$F$2241,3,FALSE)</f>
        <v>40</v>
      </c>
      <c r="N1692">
        <f>VLOOKUP(B1692,purchase_dataset!$B$2:$F$2241,5,FALSE)</f>
        <v>11</v>
      </c>
      <c r="O1692" s="5">
        <v>37</v>
      </c>
      <c r="P1692" s="4" t="str">
        <f t="shared" si="52"/>
        <v>30-50</v>
      </c>
      <c r="Q1692" s="4">
        <f>M1692+N1692</f>
        <v>51</v>
      </c>
      <c r="U1692" s="28" t="str" cm="1">
        <f t="array" ref="U1692">_xlfn.IFS(F1692&lt;30000,"30k",F1692&lt;=50000,"30k-50k",F1692&lt;=75000,"50k-75k",F1692&lt;=100000,"75k-100k",F1692&gt;100000,"100k")</f>
        <v>75k-100k</v>
      </c>
      <c r="W1692" s="1">
        <f t="shared" si="53"/>
        <v>13</v>
      </c>
    </row>
    <row r="1693" spans="1:23" x14ac:dyDescent="0.35">
      <c r="A1693">
        <v>1690</v>
      </c>
      <c r="B1693">
        <v>7397</v>
      </c>
      <c r="C1693">
        <v>1951</v>
      </c>
      <c r="D1693" s="1" t="s">
        <v>10</v>
      </c>
      <c r="E1693" s="1" t="s">
        <v>11</v>
      </c>
      <c r="F1693">
        <v>49090</v>
      </c>
      <c r="G1693">
        <v>0</v>
      </c>
      <c r="H1693" s="2">
        <v>1</v>
      </c>
      <c r="I1693" s="2">
        <v>41474</v>
      </c>
      <c r="J1693">
        <v>45</v>
      </c>
      <c r="K1693">
        <f>VLOOKUP(B1693,purchase_dataset!$B$2:$F$2241,2,FALSE)</f>
        <v>5</v>
      </c>
      <c r="L1693">
        <f>VLOOKUP(B1693,purchase_dataset!$B$2:$F$2241,3,FALSE)</f>
        <v>0</v>
      </c>
      <c r="M1693">
        <f>VLOOKUP(B1693,purchase_dataset!$B$2:$F$2241,3,FALSE)</f>
        <v>0</v>
      </c>
      <c r="N1693">
        <f>VLOOKUP(B1693,purchase_dataset!$B$2:$F$2241,5,FALSE)</f>
        <v>9</v>
      </c>
      <c r="O1693" s="5">
        <v>75</v>
      </c>
      <c r="P1693" s="4" t="str">
        <f t="shared" si="52"/>
        <v>&gt;50</v>
      </c>
      <c r="Q1693" s="4">
        <f>M1693+N1693</f>
        <v>9</v>
      </c>
      <c r="U1693" s="28" t="str" cm="1">
        <f t="array" ref="U1693">_xlfn.IFS(F1693&lt;30000,"30k",F1693&lt;=50000,"30k-50k",F1693&lt;=75000,"50k-75k",F1693&lt;=100000,"75k-100k",F1693&gt;100000,"100k")</f>
        <v>30k-50k</v>
      </c>
      <c r="W1693" s="1">
        <f t="shared" si="53"/>
        <v>13</v>
      </c>
    </row>
    <row r="1694" spans="1:23" x14ac:dyDescent="0.35">
      <c r="A1694">
        <v>1691</v>
      </c>
      <c r="B1694">
        <v>6349</v>
      </c>
      <c r="C1694">
        <v>1987</v>
      </c>
      <c r="D1694" s="1" t="s">
        <v>15</v>
      </c>
      <c r="E1694" s="1" t="s">
        <v>16</v>
      </c>
      <c r="F1694">
        <v>61787</v>
      </c>
      <c r="G1694">
        <v>0</v>
      </c>
      <c r="H1694" s="2">
        <v>0</v>
      </c>
      <c r="I1694" s="2">
        <v>41461</v>
      </c>
      <c r="J1694">
        <v>71</v>
      </c>
      <c r="K1694">
        <f>VLOOKUP(B1694,purchase_dataset!$B$2:$F$2241,2,FALSE)</f>
        <v>73</v>
      </c>
      <c r="L1694">
        <f>VLOOKUP(B1694,purchase_dataset!$B$2:$F$2241,3,FALSE)</f>
        <v>48</v>
      </c>
      <c r="M1694">
        <f>VLOOKUP(B1694,purchase_dataset!$B$2:$F$2241,3,FALSE)</f>
        <v>48</v>
      </c>
      <c r="N1694">
        <f>VLOOKUP(B1694,purchase_dataset!$B$2:$F$2241,5,FALSE)</f>
        <v>6</v>
      </c>
      <c r="O1694" s="5">
        <v>39</v>
      </c>
      <c r="P1694" s="4" t="str">
        <f t="shared" si="52"/>
        <v>30-50</v>
      </c>
      <c r="Q1694" s="4">
        <f>M1694+N1694</f>
        <v>54</v>
      </c>
      <c r="U1694" s="28" t="str" cm="1">
        <f t="array" ref="U1694">_xlfn.IFS(F1694&lt;30000,"30k",F1694&lt;=50000,"30k-50k",F1694&lt;=75000,"50k-75k",F1694&lt;=100000,"75k-100k",F1694&gt;100000,"100k")</f>
        <v>50k-75k</v>
      </c>
      <c r="W1694" s="1">
        <f t="shared" si="53"/>
        <v>13</v>
      </c>
    </row>
    <row r="1695" spans="1:23" x14ac:dyDescent="0.35">
      <c r="A1695">
        <v>1692</v>
      </c>
      <c r="B1695">
        <v>10790</v>
      </c>
      <c r="C1695">
        <v>1985</v>
      </c>
      <c r="D1695" s="1" t="s">
        <v>13</v>
      </c>
      <c r="E1695" s="1" t="s">
        <v>14</v>
      </c>
      <c r="F1695">
        <v>18169</v>
      </c>
      <c r="G1695">
        <v>1</v>
      </c>
      <c r="H1695" s="2">
        <v>0</v>
      </c>
      <c r="I1695" s="2">
        <v>41324</v>
      </c>
      <c r="J1695">
        <v>40</v>
      </c>
      <c r="K1695">
        <f>VLOOKUP(B1695,purchase_dataset!$B$2:$F$2241,2,FALSE)</f>
        <v>0</v>
      </c>
      <c r="L1695">
        <f>VLOOKUP(B1695,purchase_dataset!$B$2:$F$2241,3,FALSE)</f>
        <v>0</v>
      </c>
      <c r="M1695">
        <f>VLOOKUP(B1695,purchase_dataset!$B$2:$F$2241,3,FALSE)</f>
        <v>0</v>
      </c>
      <c r="N1695">
        <f>VLOOKUP(B1695,purchase_dataset!$B$2:$F$2241,5,FALSE)</f>
        <v>2</v>
      </c>
      <c r="O1695" s="5">
        <v>41</v>
      </c>
      <c r="P1695" s="4" t="str">
        <f t="shared" si="52"/>
        <v>30-50</v>
      </c>
      <c r="Q1695" s="4">
        <f>M1695+N1695</f>
        <v>2</v>
      </c>
      <c r="U1695" s="28" t="str" cm="1">
        <f t="array" ref="U1695">_xlfn.IFS(F1695&lt;30000,"30k",F1695&lt;=50000,"30k-50k",F1695&lt;=75000,"50k-75k",F1695&lt;=100000,"75k-100k",F1695&gt;100000,"100k")</f>
        <v>30k</v>
      </c>
      <c r="W1695" s="1">
        <f t="shared" si="53"/>
        <v>13</v>
      </c>
    </row>
    <row r="1696" spans="1:23" x14ac:dyDescent="0.35">
      <c r="A1696">
        <v>1693</v>
      </c>
      <c r="B1696">
        <v>10398</v>
      </c>
      <c r="C1696">
        <v>1981</v>
      </c>
      <c r="D1696" s="1" t="s">
        <v>18</v>
      </c>
      <c r="E1696" s="1" t="s">
        <v>11</v>
      </c>
      <c r="F1696">
        <v>24336</v>
      </c>
      <c r="G1696">
        <v>1</v>
      </c>
      <c r="H1696" s="2">
        <v>0</v>
      </c>
      <c r="I1696" s="2">
        <v>41148</v>
      </c>
      <c r="J1696">
        <v>82</v>
      </c>
      <c r="K1696">
        <f>VLOOKUP(B1696,purchase_dataset!$B$2:$F$2241,2,FALSE)</f>
        <v>6</v>
      </c>
      <c r="L1696">
        <f>VLOOKUP(B1696,purchase_dataset!$B$2:$F$2241,3,FALSE)</f>
        <v>2</v>
      </c>
      <c r="M1696">
        <f>VLOOKUP(B1696,purchase_dataset!$B$2:$F$2241,3,FALSE)</f>
        <v>2</v>
      </c>
      <c r="N1696">
        <f>VLOOKUP(B1696,purchase_dataset!$B$2:$F$2241,5,FALSE)</f>
        <v>2</v>
      </c>
      <c r="O1696" s="5">
        <v>45</v>
      </c>
      <c r="P1696" s="4" t="str">
        <f t="shared" si="52"/>
        <v>30-50</v>
      </c>
      <c r="Q1696" s="4">
        <f>M1696+N1696</f>
        <v>4</v>
      </c>
      <c r="U1696" s="28" t="str" cm="1">
        <f t="array" ref="U1696">_xlfn.IFS(F1696&lt;30000,"30k",F1696&lt;=50000,"30k-50k",F1696&lt;=75000,"50k-75k",F1696&lt;=100000,"75k-100k",F1696&gt;100000,"100k")</f>
        <v>30k</v>
      </c>
      <c r="W1696" s="1">
        <f t="shared" si="53"/>
        <v>14</v>
      </c>
    </row>
    <row r="1697" spans="1:23" x14ac:dyDescent="0.35">
      <c r="A1697">
        <v>1694</v>
      </c>
      <c r="B1697">
        <v>2431</v>
      </c>
      <c r="C1697">
        <v>1990</v>
      </c>
      <c r="D1697" s="1" t="s">
        <v>10</v>
      </c>
      <c r="E1697" s="1" t="s">
        <v>14</v>
      </c>
      <c r="F1697">
        <v>18222</v>
      </c>
      <c r="G1697">
        <v>0</v>
      </c>
      <c r="H1697" s="2">
        <v>0</v>
      </c>
      <c r="I1697" s="2">
        <v>41274</v>
      </c>
      <c r="J1697">
        <v>70</v>
      </c>
      <c r="K1697">
        <f>VLOOKUP(B1697,purchase_dataset!$B$2:$F$2241,2,FALSE)</f>
        <v>4</v>
      </c>
      <c r="L1697">
        <f>VLOOKUP(B1697,purchase_dataset!$B$2:$F$2241,3,FALSE)</f>
        <v>6</v>
      </c>
      <c r="M1697">
        <f>VLOOKUP(B1697,purchase_dataset!$B$2:$F$2241,3,FALSE)</f>
        <v>6</v>
      </c>
      <c r="N1697">
        <f>VLOOKUP(B1697,purchase_dataset!$B$2:$F$2241,5,FALSE)</f>
        <v>3</v>
      </c>
      <c r="O1697" s="5">
        <v>36</v>
      </c>
      <c r="P1697" s="4" t="str">
        <f t="shared" si="52"/>
        <v>30-50</v>
      </c>
      <c r="Q1697" s="4">
        <f>M1697+N1697</f>
        <v>9</v>
      </c>
      <c r="U1697" s="28" t="str" cm="1">
        <f t="array" ref="U1697">_xlfn.IFS(F1697&lt;30000,"30k",F1697&lt;=50000,"30k-50k",F1697&lt;=75000,"50k-75k",F1697&lt;=100000,"75k-100k",F1697&gt;100000,"100k")</f>
        <v>30k</v>
      </c>
      <c r="W1697" s="1">
        <f t="shared" si="53"/>
        <v>14</v>
      </c>
    </row>
    <row r="1698" spans="1:23" x14ac:dyDescent="0.35">
      <c r="A1698">
        <v>1695</v>
      </c>
      <c r="B1698">
        <v>550</v>
      </c>
      <c r="C1698">
        <v>1952</v>
      </c>
      <c r="D1698" s="1" t="s">
        <v>10</v>
      </c>
      <c r="E1698" s="1" t="s">
        <v>16</v>
      </c>
      <c r="F1698">
        <v>62335</v>
      </c>
      <c r="G1698">
        <v>0</v>
      </c>
      <c r="H1698" s="2">
        <v>1</v>
      </c>
      <c r="I1698" s="2">
        <v>41417</v>
      </c>
      <c r="J1698">
        <v>87</v>
      </c>
      <c r="K1698">
        <f>VLOOKUP(B1698,purchase_dataset!$B$2:$F$2241,2,FALSE)</f>
        <v>131</v>
      </c>
      <c r="L1698">
        <f>VLOOKUP(B1698,purchase_dataset!$B$2:$F$2241,3,FALSE)</f>
        <v>6</v>
      </c>
      <c r="M1698">
        <f>VLOOKUP(B1698,purchase_dataset!$B$2:$F$2241,3,FALSE)</f>
        <v>6</v>
      </c>
      <c r="N1698">
        <f>VLOOKUP(B1698,purchase_dataset!$B$2:$F$2241,5,FALSE)</f>
        <v>13</v>
      </c>
      <c r="O1698" s="5">
        <v>74</v>
      </c>
      <c r="P1698" s="4" t="str">
        <f t="shared" si="52"/>
        <v>&gt;50</v>
      </c>
      <c r="Q1698" s="4">
        <f>M1698+N1698</f>
        <v>19</v>
      </c>
      <c r="U1698" s="28" t="str" cm="1">
        <f t="array" ref="U1698">_xlfn.IFS(F1698&lt;30000,"30k",F1698&lt;=50000,"30k-50k",F1698&lt;=75000,"50k-75k",F1698&lt;=100000,"75k-100k",F1698&gt;100000,"100k")</f>
        <v>50k-75k</v>
      </c>
      <c r="W1698" s="1">
        <f t="shared" si="53"/>
        <v>13</v>
      </c>
    </row>
    <row r="1699" spans="1:23" x14ac:dyDescent="0.35">
      <c r="A1699">
        <v>1696</v>
      </c>
      <c r="B1699">
        <v>1890</v>
      </c>
      <c r="C1699">
        <v>1971</v>
      </c>
      <c r="D1699" s="1" t="s">
        <v>18</v>
      </c>
      <c r="E1699" s="1" t="s">
        <v>12</v>
      </c>
      <c r="F1699">
        <v>42033</v>
      </c>
      <c r="G1699">
        <v>1</v>
      </c>
      <c r="H1699" s="2">
        <v>1</v>
      </c>
      <c r="I1699" s="2">
        <v>41171</v>
      </c>
      <c r="J1699">
        <v>95</v>
      </c>
      <c r="K1699">
        <f>VLOOKUP(B1699,purchase_dataset!$B$2:$F$2241,2,FALSE)</f>
        <v>1</v>
      </c>
      <c r="L1699">
        <f>VLOOKUP(B1699,purchase_dataset!$B$2:$F$2241,3,FALSE)</f>
        <v>0</v>
      </c>
      <c r="M1699">
        <f>VLOOKUP(B1699,purchase_dataset!$B$2:$F$2241,3,FALSE)</f>
        <v>0</v>
      </c>
      <c r="N1699">
        <f>VLOOKUP(B1699,purchase_dataset!$B$2:$F$2241,5,FALSE)</f>
        <v>2</v>
      </c>
      <c r="O1699" s="5">
        <v>55</v>
      </c>
      <c r="P1699" s="4" t="str">
        <f t="shared" si="52"/>
        <v>&gt;50</v>
      </c>
      <c r="Q1699" s="4">
        <f>M1699+N1699</f>
        <v>2</v>
      </c>
      <c r="U1699" s="28" t="str" cm="1">
        <f t="array" ref="U1699">_xlfn.IFS(F1699&lt;30000,"30k",F1699&lt;=50000,"30k-50k",F1699&lt;=75000,"50k-75k",F1699&lt;=100000,"75k-100k",F1699&gt;100000,"100k")</f>
        <v>30k-50k</v>
      </c>
      <c r="W1699" s="1">
        <f t="shared" si="53"/>
        <v>14</v>
      </c>
    </row>
    <row r="1700" spans="1:23" x14ac:dyDescent="0.35">
      <c r="A1700">
        <v>1697</v>
      </c>
      <c r="B1700">
        <v>10742</v>
      </c>
      <c r="C1700">
        <v>1983</v>
      </c>
      <c r="D1700" s="1" t="s">
        <v>13</v>
      </c>
      <c r="E1700" s="1" t="s">
        <v>14</v>
      </c>
      <c r="F1700">
        <v>86580</v>
      </c>
      <c r="G1700">
        <v>0</v>
      </c>
      <c r="H1700" s="2">
        <v>0</v>
      </c>
      <c r="I1700" s="2">
        <v>41332</v>
      </c>
      <c r="J1700">
        <v>72</v>
      </c>
      <c r="K1700">
        <f>VLOOKUP(B1700,purchase_dataset!$B$2:$F$2241,2,FALSE)</f>
        <v>21</v>
      </c>
      <c r="L1700">
        <f>VLOOKUP(B1700,purchase_dataset!$B$2:$F$2241,3,FALSE)</f>
        <v>20</v>
      </c>
      <c r="M1700">
        <f>VLOOKUP(B1700,purchase_dataset!$B$2:$F$2241,3,FALSE)</f>
        <v>20</v>
      </c>
      <c r="N1700">
        <f>VLOOKUP(B1700,purchase_dataset!$B$2:$F$2241,5,FALSE)</f>
        <v>5</v>
      </c>
      <c r="O1700" s="5">
        <v>43</v>
      </c>
      <c r="P1700" s="4" t="str">
        <f t="shared" si="52"/>
        <v>30-50</v>
      </c>
      <c r="Q1700" s="4">
        <f>M1700+N1700</f>
        <v>25</v>
      </c>
      <c r="U1700" s="28" t="str" cm="1">
        <f t="array" ref="U1700">_xlfn.IFS(F1700&lt;30000,"30k",F1700&lt;=50000,"30k-50k",F1700&lt;=75000,"50k-75k",F1700&lt;=100000,"75k-100k",F1700&gt;100000,"100k")</f>
        <v>75k-100k</v>
      </c>
      <c r="W1700" s="1">
        <f t="shared" si="53"/>
        <v>13</v>
      </c>
    </row>
    <row r="1701" spans="1:23" x14ac:dyDescent="0.35">
      <c r="A1701">
        <v>1698</v>
      </c>
      <c r="B1701">
        <v>10356</v>
      </c>
      <c r="C1701">
        <v>1957</v>
      </c>
      <c r="D1701" s="1" t="s">
        <v>13</v>
      </c>
      <c r="E1701" s="1" t="s">
        <v>16</v>
      </c>
      <c r="F1701">
        <v>41437</v>
      </c>
      <c r="G1701">
        <v>1</v>
      </c>
      <c r="H1701" s="2">
        <v>1</v>
      </c>
      <c r="I1701" s="2">
        <v>41174</v>
      </c>
      <c r="J1701">
        <v>5</v>
      </c>
      <c r="K1701">
        <f>VLOOKUP(B1701,purchase_dataset!$B$2:$F$2241,2,FALSE)</f>
        <v>0</v>
      </c>
      <c r="L1701">
        <f>VLOOKUP(B1701,purchase_dataset!$B$2:$F$2241,3,FALSE)</f>
        <v>0</v>
      </c>
      <c r="M1701">
        <f>VLOOKUP(B1701,purchase_dataset!$B$2:$F$2241,3,FALSE)</f>
        <v>0</v>
      </c>
      <c r="N1701">
        <f>VLOOKUP(B1701,purchase_dataset!$B$2:$F$2241,5,FALSE)</f>
        <v>3</v>
      </c>
      <c r="O1701" s="5">
        <v>69</v>
      </c>
      <c r="P1701" s="4" t="str">
        <f t="shared" si="52"/>
        <v>&gt;50</v>
      </c>
      <c r="Q1701" s="4">
        <f>M1701+N1701</f>
        <v>3</v>
      </c>
      <c r="U1701" s="28" t="str" cm="1">
        <f t="array" ref="U1701">_xlfn.IFS(F1701&lt;30000,"30k",F1701&lt;=50000,"30k-50k",F1701&lt;=75000,"50k-75k",F1701&lt;=100000,"75k-100k",F1701&gt;100000,"100k")</f>
        <v>30k-50k</v>
      </c>
      <c r="W1701" s="1">
        <f t="shared" si="53"/>
        <v>14</v>
      </c>
    </row>
    <row r="1702" spans="1:23" x14ac:dyDescent="0.35">
      <c r="A1702">
        <v>1699</v>
      </c>
      <c r="B1702">
        <v>4676</v>
      </c>
      <c r="C1702">
        <v>1951</v>
      </c>
      <c r="D1702" s="1" t="s">
        <v>15</v>
      </c>
      <c r="E1702" s="1" t="s">
        <v>19</v>
      </c>
      <c r="F1702">
        <v>73705</v>
      </c>
      <c r="G1702">
        <v>0</v>
      </c>
      <c r="H1702" s="2">
        <v>2</v>
      </c>
      <c r="I1702" s="2">
        <v>41703</v>
      </c>
      <c r="J1702">
        <v>86</v>
      </c>
      <c r="K1702">
        <f>VLOOKUP(B1702,purchase_dataset!$B$2:$F$2241,2,FALSE)</f>
        <v>91</v>
      </c>
      <c r="L1702">
        <f>VLOOKUP(B1702,purchase_dataset!$B$2:$F$2241,3,FALSE)</f>
        <v>107</v>
      </c>
      <c r="M1702">
        <f>VLOOKUP(B1702,purchase_dataset!$B$2:$F$2241,3,FALSE)</f>
        <v>107</v>
      </c>
      <c r="N1702">
        <f>VLOOKUP(B1702,purchase_dataset!$B$2:$F$2241,5,FALSE)</f>
        <v>8</v>
      </c>
      <c r="O1702" s="5">
        <v>75</v>
      </c>
      <c r="P1702" s="4" t="str">
        <f t="shared" si="52"/>
        <v>&gt;50</v>
      </c>
      <c r="Q1702" s="4">
        <f>M1702+N1702</f>
        <v>115</v>
      </c>
      <c r="U1702" s="28" t="str" cm="1">
        <f t="array" ref="U1702">_xlfn.IFS(F1702&lt;30000,"30k",F1702&lt;=50000,"30k-50k",F1702&lt;=75000,"50k-75k",F1702&lt;=100000,"75k-100k",F1702&gt;100000,"100k")</f>
        <v>50k-75k</v>
      </c>
      <c r="W1702" s="1">
        <f t="shared" si="53"/>
        <v>12</v>
      </c>
    </row>
    <row r="1703" spans="1:23" x14ac:dyDescent="0.35">
      <c r="A1703">
        <v>1700</v>
      </c>
      <c r="B1703">
        <v>8852</v>
      </c>
      <c r="C1703">
        <v>1976</v>
      </c>
      <c r="D1703" s="1" t="s">
        <v>10</v>
      </c>
      <c r="E1703" s="1" t="s">
        <v>14</v>
      </c>
      <c r="F1703">
        <v>61064</v>
      </c>
      <c r="G1703">
        <v>0</v>
      </c>
      <c r="H1703" s="2">
        <v>1</v>
      </c>
      <c r="I1703" s="2">
        <v>41152</v>
      </c>
      <c r="J1703">
        <v>80</v>
      </c>
      <c r="K1703">
        <f>VLOOKUP(B1703,purchase_dataset!$B$2:$F$2241,2,FALSE)</f>
        <v>126</v>
      </c>
      <c r="L1703">
        <f>VLOOKUP(B1703,purchase_dataset!$B$2:$F$2241,3,FALSE)</f>
        <v>45</v>
      </c>
      <c r="M1703">
        <f>VLOOKUP(B1703,purchase_dataset!$B$2:$F$2241,3,FALSE)</f>
        <v>45</v>
      </c>
      <c r="N1703">
        <f>VLOOKUP(B1703,purchase_dataset!$B$2:$F$2241,5,FALSE)</f>
        <v>11</v>
      </c>
      <c r="O1703" s="5">
        <v>50</v>
      </c>
      <c r="P1703" s="4" t="str">
        <f t="shared" si="52"/>
        <v>30-50</v>
      </c>
      <c r="Q1703" s="4">
        <f>M1703+N1703</f>
        <v>56</v>
      </c>
      <c r="U1703" s="28" t="str" cm="1">
        <f t="array" ref="U1703">_xlfn.IFS(F1703&lt;30000,"30k",F1703&lt;=50000,"30k-50k",F1703&lt;=75000,"50k-75k",F1703&lt;=100000,"75k-100k",F1703&gt;100000,"100k")</f>
        <v>50k-75k</v>
      </c>
      <c r="W1703" s="1">
        <f t="shared" si="53"/>
        <v>14</v>
      </c>
    </row>
    <row r="1704" spans="1:23" x14ac:dyDescent="0.35">
      <c r="A1704">
        <v>1701</v>
      </c>
      <c r="B1704">
        <v>3565</v>
      </c>
      <c r="C1704">
        <v>1955</v>
      </c>
      <c r="D1704" s="1" t="s">
        <v>15</v>
      </c>
      <c r="E1704" s="1" t="s">
        <v>14</v>
      </c>
      <c r="F1704">
        <v>38452</v>
      </c>
      <c r="G1704">
        <v>1</v>
      </c>
      <c r="H1704" s="2">
        <v>1</v>
      </c>
      <c r="I1704" s="2">
        <v>41728</v>
      </c>
      <c r="J1704">
        <v>62</v>
      </c>
      <c r="K1704">
        <f>VLOOKUP(B1704,purchase_dataset!$B$2:$F$2241,2,FALSE)</f>
        <v>0</v>
      </c>
      <c r="L1704">
        <f>VLOOKUP(B1704,purchase_dataset!$B$2:$F$2241,3,FALSE)</f>
        <v>0</v>
      </c>
      <c r="M1704">
        <f>VLOOKUP(B1704,purchase_dataset!$B$2:$F$2241,3,FALSE)</f>
        <v>0</v>
      </c>
      <c r="N1704">
        <f>VLOOKUP(B1704,purchase_dataset!$B$2:$F$2241,5,FALSE)</f>
        <v>3</v>
      </c>
      <c r="O1704" s="5">
        <v>71</v>
      </c>
      <c r="P1704" s="4" t="str">
        <f t="shared" si="52"/>
        <v>&gt;50</v>
      </c>
      <c r="Q1704" s="4">
        <f>M1704+N1704</f>
        <v>3</v>
      </c>
      <c r="U1704" s="28" t="str" cm="1">
        <f t="array" ref="U1704">_xlfn.IFS(F1704&lt;30000,"30k",F1704&lt;=50000,"30k-50k",F1704&lt;=75000,"50k-75k",F1704&lt;=100000,"75k-100k",F1704&gt;100000,"100k")</f>
        <v>30k-50k</v>
      </c>
      <c r="W1704" s="1">
        <f t="shared" si="53"/>
        <v>12</v>
      </c>
    </row>
    <row r="1705" spans="1:23" x14ac:dyDescent="0.35">
      <c r="A1705">
        <v>1702</v>
      </c>
      <c r="B1705">
        <v>5294</v>
      </c>
      <c r="C1705">
        <v>1989</v>
      </c>
      <c r="D1705" s="1" t="s">
        <v>10</v>
      </c>
      <c r="E1705" s="1" t="s">
        <v>11</v>
      </c>
      <c r="F1705">
        <v>18358</v>
      </c>
      <c r="G1705">
        <v>1</v>
      </c>
      <c r="H1705" s="2">
        <v>0</v>
      </c>
      <c r="I1705" s="2">
        <v>41598</v>
      </c>
      <c r="J1705">
        <v>49</v>
      </c>
      <c r="K1705">
        <f>VLOOKUP(B1705,purchase_dataset!$B$2:$F$2241,2,FALSE)</f>
        <v>8</v>
      </c>
      <c r="L1705">
        <f>VLOOKUP(B1705,purchase_dataset!$B$2:$F$2241,3,FALSE)</f>
        <v>4</v>
      </c>
      <c r="M1705">
        <f>VLOOKUP(B1705,purchase_dataset!$B$2:$F$2241,3,FALSE)</f>
        <v>4</v>
      </c>
      <c r="N1705">
        <f>VLOOKUP(B1705,purchase_dataset!$B$2:$F$2241,5,FALSE)</f>
        <v>4</v>
      </c>
      <c r="O1705" s="5">
        <v>37</v>
      </c>
      <c r="P1705" s="4" t="str">
        <f t="shared" si="52"/>
        <v>30-50</v>
      </c>
      <c r="Q1705" s="4">
        <f>M1705+N1705</f>
        <v>8</v>
      </c>
      <c r="U1705" s="28" t="str" cm="1">
        <f t="array" ref="U1705">_xlfn.IFS(F1705&lt;30000,"30k",F1705&lt;=50000,"30k-50k",F1705&lt;=75000,"50k-75k",F1705&lt;=100000,"75k-100k",F1705&gt;100000,"100k")</f>
        <v>30k</v>
      </c>
      <c r="W1705" s="1">
        <f t="shared" si="53"/>
        <v>13</v>
      </c>
    </row>
    <row r="1706" spans="1:23" x14ac:dyDescent="0.35">
      <c r="A1706">
        <v>1703</v>
      </c>
      <c r="B1706">
        <v>1958</v>
      </c>
      <c r="C1706">
        <v>1973</v>
      </c>
      <c r="D1706" s="1" t="s">
        <v>13</v>
      </c>
      <c r="E1706" s="1" t="s">
        <v>12</v>
      </c>
      <c r="F1706">
        <v>55012</v>
      </c>
      <c r="G1706">
        <v>0</v>
      </c>
      <c r="H1706" s="2">
        <v>1</v>
      </c>
      <c r="I1706" s="2">
        <v>41719</v>
      </c>
      <c r="J1706">
        <v>85</v>
      </c>
      <c r="K1706">
        <f>VLOOKUP(B1706,purchase_dataset!$B$2:$F$2241,2,FALSE)</f>
        <v>0</v>
      </c>
      <c r="L1706">
        <f>VLOOKUP(B1706,purchase_dataset!$B$2:$F$2241,3,FALSE)</f>
        <v>0</v>
      </c>
      <c r="M1706">
        <f>VLOOKUP(B1706,purchase_dataset!$B$2:$F$2241,3,FALSE)</f>
        <v>0</v>
      </c>
      <c r="N1706">
        <f>VLOOKUP(B1706,purchase_dataset!$B$2:$F$2241,5,FALSE)</f>
        <v>9</v>
      </c>
      <c r="O1706" s="5">
        <v>53</v>
      </c>
      <c r="P1706" s="4" t="str">
        <f t="shared" si="52"/>
        <v>&gt;50</v>
      </c>
      <c r="Q1706" s="4">
        <f>M1706+N1706</f>
        <v>9</v>
      </c>
      <c r="U1706" s="28" t="str" cm="1">
        <f t="array" ref="U1706">_xlfn.IFS(F1706&lt;30000,"30k",F1706&lt;=50000,"30k-50k",F1706&lt;=75000,"50k-75k",F1706&lt;=100000,"75k-100k",F1706&gt;100000,"100k")</f>
        <v>50k-75k</v>
      </c>
      <c r="W1706" s="1">
        <f t="shared" si="53"/>
        <v>12</v>
      </c>
    </row>
    <row r="1707" spans="1:23" x14ac:dyDescent="0.35">
      <c r="A1707">
        <v>1704</v>
      </c>
      <c r="B1707">
        <v>7349</v>
      </c>
      <c r="C1707">
        <v>1973</v>
      </c>
      <c r="D1707" s="1" t="s">
        <v>17</v>
      </c>
      <c r="E1707" s="1" t="s">
        <v>12</v>
      </c>
      <c r="F1707">
        <v>9722</v>
      </c>
      <c r="G1707">
        <v>1</v>
      </c>
      <c r="H1707" s="2">
        <v>0</v>
      </c>
      <c r="I1707" s="2">
        <v>41184</v>
      </c>
      <c r="J1707">
        <v>7</v>
      </c>
      <c r="K1707">
        <f>VLOOKUP(B1707,purchase_dataset!$B$2:$F$2241,2,FALSE)</f>
        <v>17</v>
      </c>
      <c r="L1707">
        <f>VLOOKUP(B1707,purchase_dataset!$B$2:$F$2241,3,FALSE)</f>
        <v>16</v>
      </c>
      <c r="M1707">
        <f>VLOOKUP(B1707,purchase_dataset!$B$2:$F$2241,3,FALSE)</f>
        <v>16</v>
      </c>
      <c r="N1707">
        <f>VLOOKUP(B1707,purchase_dataset!$B$2:$F$2241,5,FALSE)</f>
        <v>3</v>
      </c>
      <c r="O1707" s="5">
        <v>53</v>
      </c>
      <c r="P1707" s="4" t="str">
        <f t="shared" si="52"/>
        <v>&gt;50</v>
      </c>
      <c r="Q1707" s="4">
        <f>M1707+N1707</f>
        <v>19</v>
      </c>
      <c r="U1707" s="28" t="str" cm="1">
        <f t="array" ref="U1707">_xlfn.IFS(F1707&lt;30000,"30k",F1707&lt;=50000,"30k-50k",F1707&lt;=75000,"50k-75k",F1707&lt;=100000,"75k-100k",F1707&gt;100000,"100k")</f>
        <v>30k</v>
      </c>
      <c r="W1707" s="1">
        <f t="shared" si="53"/>
        <v>14</v>
      </c>
    </row>
    <row r="1708" spans="1:23" x14ac:dyDescent="0.35">
      <c r="A1708">
        <v>1705</v>
      </c>
      <c r="B1708">
        <v>8799</v>
      </c>
      <c r="C1708">
        <v>1984</v>
      </c>
      <c r="D1708" s="1" t="s">
        <v>13</v>
      </c>
      <c r="E1708" s="1" t="s">
        <v>14</v>
      </c>
      <c r="F1708">
        <v>38175</v>
      </c>
      <c r="G1708">
        <v>1</v>
      </c>
      <c r="H1708" s="2">
        <v>0</v>
      </c>
      <c r="I1708" s="2">
        <v>41540</v>
      </c>
      <c r="J1708">
        <v>6</v>
      </c>
      <c r="K1708">
        <f>VLOOKUP(B1708,purchase_dataset!$B$2:$F$2241,2,FALSE)</f>
        <v>6</v>
      </c>
      <c r="L1708">
        <f>VLOOKUP(B1708,purchase_dataset!$B$2:$F$2241,3,FALSE)</f>
        <v>3</v>
      </c>
      <c r="M1708">
        <f>VLOOKUP(B1708,purchase_dataset!$B$2:$F$2241,3,FALSE)</f>
        <v>3</v>
      </c>
      <c r="N1708">
        <f>VLOOKUP(B1708,purchase_dataset!$B$2:$F$2241,5,FALSE)</f>
        <v>4</v>
      </c>
      <c r="O1708" s="5">
        <v>42</v>
      </c>
      <c r="P1708" s="4" t="str">
        <f t="shared" si="52"/>
        <v>30-50</v>
      </c>
      <c r="Q1708" s="4">
        <f>M1708+N1708</f>
        <v>7</v>
      </c>
      <c r="U1708" s="28" t="str" cm="1">
        <f t="array" ref="U1708">_xlfn.IFS(F1708&lt;30000,"30k",F1708&lt;=50000,"30k-50k",F1708&lt;=75000,"50k-75k",F1708&lt;=100000,"75k-100k",F1708&gt;100000,"100k")</f>
        <v>30k-50k</v>
      </c>
      <c r="W1708" s="1">
        <f t="shared" si="53"/>
        <v>13</v>
      </c>
    </row>
    <row r="1709" spans="1:23" x14ac:dyDescent="0.35">
      <c r="A1709">
        <v>1706</v>
      </c>
      <c r="B1709">
        <v>1351</v>
      </c>
      <c r="C1709">
        <v>1956</v>
      </c>
      <c r="D1709" s="1" t="s">
        <v>15</v>
      </c>
      <c r="E1709" s="1" t="s">
        <v>12</v>
      </c>
      <c r="F1709">
        <v>58656</v>
      </c>
      <c r="G1709">
        <v>0</v>
      </c>
      <c r="H1709" s="2">
        <v>1</v>
      </c>
      <c r="I1709" s="2">
        <v>41172</v>
      </c>
      <c r="J1709">
        <v>25</v>
      </c>
      <c r="K1709">
        <f>VLOOKUP(B1709,purchase_dataset!$B$2:$F$2241,2,FALSE)</f>
        <v>12</v>
      </c>
      <c r="L1709">
        <f>VLOOKUP(B1709,purchase_dataset!$B$2:$F$2241,3,FALSE)</f>
        <v>24</v>
      </c>
      <c r="M1709">
        <f>VLOOKUP(B1709,purchase_dataset!$B$2:$F$2241,3,FALSE)</f>
        <v>24</v>
      </c>
      <c r="N1709">
        <f>VLOOKUP(B1709,purchase_dataset!$B$2:$F$2241,5,FALSE)</f>
        <v>13</v>
      </c>
      <c r="O1709" s="5">
        <v>70</v>
      </c>
      <c r="P1709" s="4" t="str">
        <f t="shared" si="52"/>
        <v>&gt;50</v>
      </c>
      <c r="Q1709" s="4">
        <f>M1709+N1709</f>
        <v>37</v>
      </c>
      <c r="U1709" s="28" t="str" cm="1">
        <f t="array" ref="U1709">_xlfn.IFS(F1709&lt;30000,"30k",F1709&lt;=50000,"30k-50k",F1709&lt;=75000,"50k-75k",F1709&lt;=100000,"75k-100k",F1709&gt;100000,"100k")</f>
        <v>50k-75k</v>
      </c>
      <c r="W1709" s="1">
        <f t="shared" si="53"/>
        <v>14</v>
      </c>
    </row>
    <row r="1710" spans="1:23" x14ac:dyDescent="0.35">
      <c r="A1710">
        <v>1707</v>
      </c>
      <c r="B1710">
        <v>1045</v>
      </c>
      <c r="C1710">
        <v>1965</v>
      </c>
      <c r="D1710" s="1" t="s">
        <v>10</v>
      </c>
      <c r="E1710" s="1" t="s">
        <v>12</v>
      </c>
      <c r="F1710">
        <v>52117</v>
      </c>
      <c r="G1710">
        <v>0</v>
      </c>
      <c r="H1710" s="2">
        <v>1</v>
      </c>
      <c r="I1710" s="2">
        <v>41137</v>
      </c>
      <c r="J1710">
        <v>55</v>
      </c>
      <c r="K1710">
        <f>VLOOKUP(B1710,purchase_dataset!$B$2:$F$2241,2,FALSE)</f>
        <v>10</v>
      </c>
      <c r="L1710">
        <f>VLOOKUP(B1710,purchase_dataset!$B$2:$F$2241,3,FALSE)</f>
        <v>0</v>
      </c>
      <c r="M1710">
        <f>VLOOKUP(B1710,purchase_dataset!$B$2:$F$2241,3,FALSE)</f>
        <v>0</v>
      </c>
      <c r="N1710">
        <f>VLOOKUP(B1710,purchase_dataset!$B$2:$F$2241,5,FALSE)</f>
        <v>4</v>
      </c>
      <c r="O1710" s="5">
        <v>61</v>
      </c>
      <c r="P1710" s="4" t="str">
        <f t="shared" si="52"/>
        <v>&gt;50</v>
      </c>
      <c r="Q1710" s="4">
        <f>M1710+N1710</f>
        <v>4</v>
      </c>
      <c r="U1710" s="28" t="str" cm="1">
        <f t="array" ref="U1710">_xlfn.IFS(F1710&lt;30000,"30k",F1710&lt;=50000,"30k-50k",F1710&lt;=75000,"50k-75k",F1710&lt;=100000,"75k-100k",F1710&gt;100000,"100k")</f>
        <v>50k-75k</v>
      </c>
      <c r="W1710" s="1">
        <f t="shared" si="53"/>
        <v>14</v>
      </c>
    </row>
    <row r="1711" spans="1:23" x14ac:dyDescent="0.35">
      <c r="A1711">
        <v>1708</v>
      </c>
      <c r="B1711">
        <v>7732</v>
      </c>
      <c r="C1711">
        <v>1978</v>
      </c>
      <c r="D1711" s="1" t="s">
        <v>10</v>
      </c>
      <c r="E1711" s="1" t="s">
        <v>14</v>
      </c>
      <c r="F1711">
        <v>64813</v>
      </c>
      <c r="G1711">
        <v>1</v>
      </c>
      <c r="H1711" s="2">
        <v>0</v>
      </c>
      <c r="I1711" s="2">
        <v>41641</v>
      </c>
      <c r="J1711">
        <v>81</v>
      </c>
      <c r="K1711">
        <f>VLOOKUP(B1711,purchase_dataset!$B$2:$F$2241,2,FALSE)</f>
        <v>0</v>
      </c>
      <c r="L1711">
        <f>VLOOKUP(B1711,purchase_dataset!$B$2:$F$2241,3,FALSE)</f>
        <v>97</v>
      </c>
      <c r="M1711">
        <f>VLOOKUP(B1711,purchase_dataset!$B$2:$F$2241,3,FALSE)</f>
        <v>97</v>
      </c>
      <c r="N1711">
        <f>VLOOKUP(B1711,purchase_dataset!$B$2:$F$2241,5,FALSE)</f>
        <v>10</v>
      </c>
      <c r="O1711" s="5">
        <v>48</v>
      </c>
      <c r="P1711" s="4" t="str">
        <f t="shared" si="52"/>
        <v>30-50</v>
      </c>
      <c r="Q1711" s="4">
        <f>M1711+N1711</f>
        <v>107</v>
      </c>
      <c r="U1711" s="28" t="str" cm="1">
        <f t="array" ref="U1711">_xlfn.IFS(F1711&lt;30000,"30k",F1711&lt;=50000,"30k-50k",F1711&lt;=75000,"50k-75k",F1711&lt;=100000,"75k-100k",F1711&gt;100000,"100k")</f>
        <v>50k-75k</v>
      </c>
      <c r="W1711" s="1">
        <f t="shared" si="53"/>
        <v>12</v>
      </c>
    </row>
    <row r="1712" spans="1:23" x14ac:dyDescent="0.35">
      <c r="A1712">
        <v>1709</v>
      </c>
      <c r="B1712">
        <v>8070</v>
      </c>
      <c r="C1712">
        <v>1973</v>
      </c>
      <c r="D1712" s="1" t="s">
        <v>13</v>
      </c>
      <c r="E1712" s="1" t="s">
        <v>14</v>
      </c>
      <c r="F1712">
        <v>54222</v>
      </c>
      <c r="G1712">
        <v>0</v>
      </c>
      <c r="H1712" s="2">
        <v>1</v>
      </c>
      <c r="I1712" s="2">
        <v>41699</v>
      </c>
      <c r="J1712">
        <v>98</v>
      </c>
      <c r="K1712">
        <f>VLOOKUP(B1712,purchase_dataset!$B$2:$F$2241,2,FALSE)</f>
        <v>12</v>
      </c>
      <c r="L1712">
        <f>VLOOKUP(B1712,purchase_dataset!$B$2:$F$2241,3,FALSE)</f>
        <v>12</v>
      </c>
      <c r="M1712">
        <f>VLOOKUP(B1712,purchase_dataset!$B$2:$F$2241,3,FALSE)</f>
        <v>12</v>
      </c>
      <c r="N1712">
        <f>VLOOKUP(B1712,purchase_dataset!$B$2:$F$2241,5,FALSE)</f>
        <v>5</v>
      </c>
      <c r="O1712" s="5">
        <v>53</v>
      </c>
      <c r="P1712" s="4" t="str">
        <f t="shared" si="52"/>
        <v>&gt;50</v>
      </c>
      <c r="Q1712" s="4">
        <f>M1712+N1712</f>
        <v>17</v>
      </c>
      <c r="U1712" s="28" t="str" cm="1">
        <f t="array" ref="U1712">_xlfn.IFS(F1712&lt;30000,"30k",F1712&lt;=50000,"30k-50k",F1712&lt;=75000,"50k-75k",F1712&lt;=100000,"75k-100k",F1712&gt;100000,"100k")</f>
        <v>50k-75k</v>
      </c>
      <c r="W1712" s="1">
        <f t="shared" si="53"/>
        <v>12</v>
      </c>
    </row>
    <row r="1713" spans="1:23" x14ac:dyDescent="0.35">
      <c r="A1713">
        <v>1710</v>
      </c>
      <c r="B1713">
        <v>477</v>
      </c>
      <c r="C1713">
        <v>1986</v>
      </c>
      <c r="D1713" s="1" t="s">
        <v>10</v>
      </c>
      <c r="E1713" s="1" t="s">
        <v>14</v>
      </c>
      <c r="F1713">
        <v>83512</v>
      </c>
      <c r="G1713">
        <v>0</v>
      </c>
      <c r="H1713" s="2">
        <v>0</v>
      </c>
      <c r="I1713" s="2">
        <v>41807</v>
      </c>
      <c r="J1713">
        <v>31</v>
      </c>
      <c r="K1713">
        <f>VLOOKUP(B1713,purchase_dataset!$B$2:$F$2241,2,FALSE)</f>
        <v>61</v>
      </c>
      <c r="L1713">
        <f>VLOOKUP(B1713,purchase_dataset!$B$2:$F$2241,3,FALSE)</f>
        <v>20</v>
      </c>
      <c r="M1713">
        <f>VLOOKUP(B1713,purchase_dataset!$B$2:$F$2241,3,FALSE)</f>
        <v>20</v>
      </c>
      <c r="N1713">
        <f>VLOOKUP(B1713,purchase_dataset!$B$2:$F$2241,5,FALSE)</f>
        <v>10</v>
      </c>
      <c r="O1713" s="5">
        <v>40</v>
      </c>
      <c r="P1713" s="4" t="str">
        <f t="shared" si="52"/>
        <v>30-50</v>
      </c>
      <c r="Q1713" s="4">
        <f>M1713+N1713</f>
        <v>30</v>
      </c>
      <c r="U1713" s="28" t="str" cm="1">
        <f t="array" ref="U1713">_xlfn.IFS(F1713&lt;30000,"30k",F1713&lt;=50000,"30k-50k",F1713&lt;=75000,"50k-75k",F1713&lt;=100000,"75k-100k",F1713&gt;100000,"100k")</f>
        <v>75k-100k</v>
      </c>
      <c r="W1713" s="1">
        <f t="shared" si="53"/>
        <v>12</v>
      </c>
    </row>
    <row r="1714" spans="1:23" x14ac:dyDescent="0.35">
      <c r="A1714">
        <v>1711</v>
      </c>
      <c r="B1714">
        <v>7832</v>
      </c>
      <c r="C1714">
        <v>1959</v>
      </c>
      <c r="D1714" s="1" t="s">
        <v>15</v>
      </c>
      <c r="E1714" s="1" t="s">
        <v>14</v>
      </c>
      <c r="F1714">
        <v>77520</v>
      </c>
      <c r="G1714">
        <v>0</v>
      </c>
      <c r="H1714" s="2">
        <v>1</v>
      </c>
      <c r="I1714" s="2">
        <v>41514</v>
      </c>
      <c r="J1714">
        <v>30</v>
      </c>
      <c r="K1714">
        <f>VLOOKUP(B1714,purchase_dataset!$B$2:$F$2241,2,FALSE)</f>
        <v>44</v>
      </c>
      <c r="L1714">
        <f>VLOOKUP(B1714,purchase_dataset!$B$2:$F$2241,3,FALSE)</f>
        <v>88</v>
      </c>
      <c r="M1714">
        <f>VLOOKUP(B1714,purchase_dataset!$B$2:$F$2241,3,FALSE)</f>
        <v>88</v>
      </c>
      <c r="N1714">
        <f>VLOOKUP(B1714,purchase_dataset!$B$2:$F$2241,5,FALSE)</f>
        <v>7</v>
      </c>
      <c r="O1714" s="5">
        <v>67</v>
      </c>
      <c r="P1714" s="4" t="str">
        <f t="shared" si="52"/>
        <v>&gt;50</v>
      </c>
      <c r="Q1714" s="4">
        <f>M1714+N1714</f>
        <v>95</v>
      </c>
      <c r="U1714" s="28" t="str" cm="1">
        <f t="array" ref="U1714">_xlfn.IFS(F1714&lt;30000,"30k",F1714&lt;=50000,"30k-50k",F1714&lt;=75000,"50k-75k",F1714&lt;=100000,"75k-100k",F1714&gt;100000,"100k")</f>
        <v>75k-100k</v>
      </c>
      <c r="W1714" s="1">
        <f t="shared" si="53"/>
        <v>13</v>
      </c>
    </row>
    <row r="1715" spans="1:23" x14ac:dyDescent="0.35">
      <c r="A1715">
        <v>1712</v>
      </c>
      <c r="B1715">
        <v>2202</v>
      </c>
      <c r="C1715">
        <v>1978</v>
      </c>
      <c r="D1715" s="1" t="s">
        <v>10</v>
      </c>
      <c r="E1715" s="1" t="s">
        <v>12</v>
      </c>
      <c r="F1715">
        <v>41154</v>
      </c>
      <c r="G1715">
        <v>0</v>
      </c>
      <c r="H1715" s="2">
        <v>1</v>
      </c>
      <c r="I1715" s="2">
        <v>41373</v>
      </c>
      <c r="J1715">
        <v>98</v>
      </c>
      <c r="K1715">
        <f>VLOOKUP(B1715,purchase_dataset!$B$2:$F$2241,2,FALSE)</f>
        <v>2</v>
      </c>
      <c r="L1715">
        <f>VLOOKUP(B1715,purchase_dataset!$B$2:$F$2241,3,FALSE)</f>
        <v>3</v>
      </c>
      <c r="M1715">
        <f>VLOOKUP(B1715,purchase_dataset!$B$2:$F$2241,3,FALSE)</f>
        <v>3</v>
      </c>
      <c r="N1715">
        <f>VLOOKUP(B1715,purchase_dataset!$B$2:$F$2241,5,FALSE)</f>
        <v>4</v>
      </c>
      <c r="O1715" s="5">
        <v>48</v>
      </c>
      <c r="P1715" s="4" t="str">
        <f t="shared" si="52"/>
        <v>30-50</v>
      </c>
      <c r="Q1715" s="4">
        <f>M1715+N1715</f>
        <v>7</v>
      </c>
      <c r="U1715" s="28" t="str" cm="1">
        <f t="array" ref="U1715">_xlfn.IFS(F1715&lt;30000,"30k",F1715&lt;=50000,"30k-50k",F1715&lt;=75000,"50k-75k",F1715&lt;=100000,"75k-100k",F1715&gt;100000,"100k")</f>
        <v>30k-50k</v>
      </c>
      <c r="W1715" s="1">
        <f t="shared" si="53"/>
        <v>13</v>
      </c>
    </row>
    <row r="1716" spans="1:23" x14ac:dyDescent="0.35">
      <c r="A1716">
        <v>1713</v>
      </c>
      <c r="B1716">
        <v>7396</v>
      </c>
      <c r="C1716">
        <v>1966</v>
      </c>
      <c r="D1716" s="1" t="s">
        <v>10</v>
      </c>
      <c r="E1716" s="1" t="s">
        <v>14</v>
      </c>
      <c r="F1716">
        <v>80398</v>
      </c>
      <c r="G1716">
        <v>0</v>
      </c>
      <c r="H1716" s="2">
        <v>0</v>
      </c>
      <c r="I1716" s="2">
        <v>41223</v>
      </c>
      <c r="J1716">
        <v>92</v>
      </c>
      <c r="K1716">
        <f>VLOOKUP(B1716,purchase_dataset!$B$2:$F$2241,2,FALSE)</f>
        <v>51</v>
      </c>
      <c r="L1716">
        <f>VLOOKUP(B1716,purchase_dataset!$B$2:$F$2241,3,FALSE)</f>
        <v>35</v>
      </c>
      <c r="M1716">
        <f>VLOOKUP(B1716,purchase_dataset!$B$2:$F$2241,3,FALSE)</f>
        <v>35</v>
      </c>
      <c r="N1716">
        <f>VLOOKUP(B1716,purchase_dataset!$B$2:$F$2241,5,FALSE)</f>
        <v>12</v>
      </c>
      <c r="O1716" s="5">
        <v>60</v>
      </c>
      <c r="P1716" s="4" t="str">
        <f t="shared" si="52"/>
        <v>&gt;50</v>
      </c>
      <c r="Q1716" s="4">
        <f>M1716+N1716</f>
        <v>47</v>
      </c>
      <c r="U1716" s="28" t="str" cm="1">
        <f t="array" ref="U1716">_xlfn.IFS(F1716&lt;30000,"30k",F1716&lt;=50000,"30k-50k",F1716&lt;=75000,"50k-75k",F1716&lt;=100000,"75k-100k",F1716&gt;100000,"100k")</f>
        <v>75k-100k</v>
      </c>
      <c r="W1716" s="1">
        <f t="shared" si="53"/>
        <v>14</v>
      </c>
    </row>
    <row r="1717" spans="1:23" x14ac:dyDescent="0.35">
      <c r="A1717">
        <v>1714</v>
      </c>
      <c r="B1717">
        <v>4055</v>
      </c>
      <c r="C1717">
        <v>1992</v>
      </c>
      <c r="D1717" s="1" t="s">
        <v>17</v>
      </c>
      <c r="E1717" s="1" t="s">
        <v>11</v>
      </c>
      <c r="F1717">
        <v>18746</v>
      </c>
      <c r="G1717">
        <v>1</v>
      </c>
      <c r="H1717" s="2">
        <v>0</v>
      </c>
      <c r="I1717" s="2">
        <v>41788</v>
      </c>
      <c r="J1717">
        <v>41</v>
      </c>
      <c r="K1717">
        <f>VLOOKUP(B1717,purchase_dataset!$B$2:$F$2241,2,FALSE)</f>
        <v>10</v>
      </c>
      <c r="L1717">
        <f>VLOOKUP(B1717,purchase_dataset!$B$2:$F$2241,3,FALSE)</f>
        <v>9</v>
      </c>
      <c r="M1717">
        <f>VLOOKUP(B1717,purchase_dataset!$B$2:$F$2241,3,FALSE)</f>
        <v>9</v>
      </c>
      <c r="N1717">
        <f>VLOOKUP(B1717,purchase_dataset!$B$2:$F$2241,5,FALSE)</f>
        <v>3</v>
      </c>
      <c r="O1717" s="5">
        <v>34</v>
      </c>
      <c r="P1717" s="4" t="str">
        <f t="shared" si="52"/>
        <v>30-50</v>
      </c>
      <c r="Q1717" s="4">
        <f>M1717+N1717</f>
        <v>12</v>
      </c>
      <c r="U1717" s="28" t="str" cm="1">
        <f t="array" ref="U1717">_xlfn.IFS(F1717&lt;30000,"30k",F1717&lt;=50000,"30k-50k",F1717&lt;=75000,"50k-75k",F1717&lt;=100000,"75k-100k",F1717&gt;100000,"100k")</f>
        <v>30k</v>
      </c>
      <c r="W1717" s="1">
        <f t="shared" si="53"/>
        <v>12</v>
      </c>
    </row>
    <row r="1718" spans="1:23" x14ac:dyDescent="0.35">
      <c r="A1718">
        <v>1715</v>
      </c>
      <c r="B1718">
        <v>10340</v>
      </c>
      <c r="C1718">
        <v>1984</v>
      </c>
      <c r="D1718" s="1" t="s">
        <v>10</v>
      </c>
      <c r="E1718" s="1" t="s">
        <v>12</v>
      </c>
      <c r="F1718">
        <v>35196</v>
      </c>
      <c r="G1718">
        <v>1</v>
      </c>
      <c r="H1718" s="2">
        <v>0</v>
      </c>
      <c r="I1718" s="2">
        <v>41226</v>
      </c>
      <c r="J1718">
        <v>68</v>
      </c>
      <c r="K1718">
        <f>VLOOKUP(B1718,purchase_dataset!$B$2:$F$2241,2,FALSE)</f>
        <v>12</v>
      </c>
      <c r="L1718">
        <f>VLOOKUP(B1718,purchase_dataset!$B$2:$F$2241,3,FALSE)</f>
        <v>39</v>
      </c>
      <c r="M1718">
        <f>VLOOKUP(B1718,purchase_dataset!$B$2:$F$2241,3,FALSE)</f>
        <v>39</v>
      </c>
      <c r="N1718">
        <f>VLOOKUP(B1718,purchase_dataset!$B$2:$F$2241,5,FALSE)</f>
        <v>5</v>
      </c>
      <c r="O1718" s="5">
        <v>42</v>
      </c>
      <c r="P1718" s="4" t="str">
        <f t="shared" si="52"/>
        <v>30-50</v>
      </c>
      <c r="Q1718" s="4">
        <f>M1718+N1718</f>
        <v>44</v>
      </c>
      <c r="U1718" s="28" t="str" cm="1">
        <f t="array" ref="U1718">_xlfn.IFS(F1718&lt;30000,"30k",F1718&lt;=50000,"30k-50k",F1718&lt;=75000,"50k-75k",F1718&lt;=100000,"75k-100k",F1718&gt;100000,"100k")</f>
        <v>30k-50k</v>
      </c>
      <c r="W1718" s="1">
        <f t="shared" si="53"/>
        <v>14</v>
      </c>
    </row>
    <row r="1719" spans="1:23" x14ac:dyDescent="0.35">
      <c r="A1719">
        <v>1716</v>
      </c>
      <c r="B1719">
        <v>10091</v>
      </c>
      <c r="C1719">
        <v>1956</v>
      </c>
      <c r="D1719" s="1" t="s">
        <v>10</v>
      </c>
      <c r="E1719" s="1" t="s">
        <v>11</v>
      </c>
      <c r="F1719">
        <v>60230</v>
      </c>
      <c r="G1719">
        <v>0</v>
      </c>
      <c r="H1719" s="2">
        <v>1</v>
      </c>
      <c r="I1719" s="2">
        <v>41414</v>
      </c>
      <c r="J1719">
        <v>78</v>
      </c>
      <c r="K1719">
        <f>VLOOKUP(B1719,purchase_dataset!$B$2:$F$2241,2,FALSE)</f>
        <v>20</v>
      </c>
      <c r="L1719">
        <f>VLOOKUP(B1719,purchase_dataset!$B$2:$F$2241,3,FALSE)</f>
        <v>81</v>
      </c>
      <c r="M1719">
        <f>VLOOKUP(B1719,purchase_dataset!$B$2:$F$2241,3,FALSE)</f>
        <v>81</v>
      </c>
      <c r="N1719">
        <f>VLOOKUP(B1719,purchase_dataset!$B$2:$F$2241,5,FALSE)</f>
        <v>6</v>
      </c>
      <c r="O1719" s="5">
        <v>70</v>
      </c>
      <c r="P1719" s="4" t="str">
        <f t="shared" si="52"/>
        <v>&gt;50</v>
      </c>
      <c r="Q1719" s="4">
        <f>M1719+N1719</f>
        <v>87</v>
      </c>
      <c r="U1719" s="28" t="str" cm="1">
        <f t="array" ref="U1719">_xlfn.IFS(F1719&lt;30000,"30k",F1719&lt;=50000,"30k-50k",F1719&lt;=75000,"50k-75k",F1719&lt;=100000,"75k-100k",F1719&gt;100000,"100k")</f>
        <v>50k-75k</v>
      </c>
      <c r="W1719" s="1">
        <f t="shared" si="53"/>
        <v>13</v>
      </c>
    </row>
    <row r="1720" spans="1:23" x14ac:dyDescent="0.35">
      <c r="A1720">
        <v>1717</v>
      </c>
      <c r="B1720">
        <v>7629</v>
      </c>
      <c r="C1720">
        <v>1977</v>
      </c>
      <c r="D1720" s="1" t="s">
        <v>10</v>
      </c>
      <c r="E1720" s="1" t="s">
        <v>14</v>
      </c>
      <c r="F1720">
        <v>22108</v>
      </c>
      <c r="G1720">
        <v>1</v>
      </c>
      <c r="H1720" s="2">
        <v>1</v>
      </c>
      <c r="I1720" s="2">
        <v>41767</v>
      </c>
      <c r="J1720">
        <v>46</v>
      </c>
      <c r="K1720">
        <f>VLOOKUP(B1720,purchase_dataset!$B$2:$F$2241,2,FALSE)</f>
        <v>3</v>
      </c>
      <c r="L1720">
        <f>VLOOKUP(B1720,purchase_dataset!$B$2:$F$2241,3,FALSE)</f>
        <v>2</v>
      </c>
      <c r="M1720">
        <f>VLOOKUP(B1720,purchase_dataset!$B$2:$F$2241,3,FALSE)</f>
        <v>2</v>
      </c>
      <c r="N1720">
        <f>VLOOKUP(B1720,purchase_dataset!$B$2:$F$2241,5,FALSE)</f>
        <v>3</v>
      </c>
      <c r="O1720" s="5">
        <v>49</v>
      </c>
      <c r="P1720" s="4" t="str">
        <f t="shared" si="52"/>
        <v>30-50</v>
      </c>
      <c r="Q1720" s="4">
        <f>M1720+N1720</f>
        <v>5</v>
      </c>
      <c r="U1720" s="28" t="str" cm="1">
        <f t="array" ref="U1720">_xlfn.IFS(F1720&lt;30000,"30k",F1720&lt;=50000,"30k-50k",F1720&lt;=75000,"50k-75k",F1720&lt;=100000,"75k-100k",F1720&gt;100000,"100k")</f>
        <v>30k</v>
      </c>
      <c r="W1720" s="1">
        <f t="shared" si="53"/>
        <v>12</v>
      </c>
    </row>
    <row r="1721" spans="1:23" x14ac:dyDescent="0.35">
      <c r="A1721">
        <v>1718</v>
      </c>
      <c r="B1721">
        <v>10640</v>
      </c>
      <c r="C1721">
        <v>1974</v>
      </c>
      <c r="D1721" s="1" t="s">
        <v>10</v>
      </c>
      <c r="E1721" s="1" t="s">
        <v>12</v>
      </c>
      <c r="F1721">
        <v>44392</v>
      </c>
      <c r="G1721">
        <v>1</v>
      </c>
      <c r="H1721" s="2">
        <v>1</v>
      </c>
      <c r="I1721" s="2">
        <v>41522</v>
      </c>
      <c r="J1721">
        <v>71</v>
      </c>
      <c r="K1721">
        <f>VLOOKUP(B1721,purchase_dataset!$B$2:$F$2241,2,FALSE)</f>
        <v>5</v>
      </c>
      <c r="L1721">
        <f>VLOOKUP(B1721,purchase_dataset!$B$2:$F$2241,3,FALSE)</f>
        <v>12</v>
      </c>
      <c r="M1721">
        <f>VLOOKUP(B1721,purchase_dataset!$B$2:$F$2241,3,FALSE)</f>
        <v>12</v>
      </c>
      <c r="N1721">
        <f>VLOOKUP(B1721,purchase_dataset!$B$2:$F$2241,5,FALSE)</f>
        <v>4</v>
      </c>
      <c r="O1721" s="5">
        <v>52</v>
      </c>
      <c r="P1721" s="4" t="str">
        <f t="shared" si="52"/>
        <v>&gt;50</v>
      </c>
      <c r="Q1721" s="4">
        <f>M1721+N1721</f>
        <v>16</v>
      </c>
      <c r="U1721" s="28" t="str" cm="1">
        <f t="array" ref="U1721">_xlfn.IFS(F1721&lt;30000,"30k",F1721&lt;=50000,"30k-50k",F1721&lt;=75000,"50k-75k",F1721&lt;=100000,"75k-100k",F1721&gt;100000,"100k")</f>
        <v>30k-50k</v>
      </c>
      <c r="W1721" s="1">
        <f t="shared" si="53"/>
        <v>13</v>
      </c>
    </row>
    <row r="1722" spans="1:23" x14ac:dyDescent="0.35">
      <c r="A1722">
        <v>1719</v>
      </c>
      <c r="B1722">
        <v>3498</v>
      </c>
      <c r="C1722">
        <v>1976</v>
      </c>
      <c r="D1722" s="1" t="s">
        <v>13</v>
      </c>
      <c r="E1722" s="1" t="s">
        <v>14</v>
      </c>
      <c r="F1722">
        <v>55424</v>
      </c>
      <c r="G1722">
        <v>0</v>
      </c>
      <c r="H1722" s="2">
        <v>1</v>
      </c>
      <c r="I1722" s="2">
        <v>41238</v>
      </c>
      <c r="J1722">
        <v>6</v>
      </c>
      <c r="K1722">
        <f>VLOOKUP(B1722,purchase_dataset!$B$2:$F$2241,2,FALSE)</f>
        <v>61</v>
      </c>
      <c r="L1722">
        <f>VLOOKUP(B1722,purchase_dataset!$B$2:$F$2241,3,FALSE)</f>
        <v>53</v>
      </c>
      <c r="M1722">
        <f>VLOOKUP(B1722,purchase_dataset!$B$2:$F$2241,3,FALSE)</f>
        <v>53</v>
      </c>
      <c r="N1722">
        <f>VLOOKUP(B1722,purchase_dataset!$B$2:$F$2241,5,FALSE)</f>
        <v>9</v>
      </c>
      <c r="O1722" s="5">
        <v>50</v>
      </c>
      <c r="P1722" s="4" t="str">
        <f t="shared" si="52"/>
        <v>30-50</v>
      </c>
      <c r="Q1722" s="4">
        <f>M1722+N1722</f>
        <v>62</v>
      </c>
      <c r="U1722" s="28" t="str" cm="1">
        <f t="array" ref="U1722">_xlfn.IFS(F1722&lt;30000,"30k",F1722&lt;=50000,"30k-50k",F1722&lt;=75000,"50k-75k",F1722&lt;=100000,"75k-100k",F1722&gt;100000,"100k")</f>
        <v>50k-75k</v>
      </c>
      <c r="W1722" s="1">
        <f t="shared" si="53"/>
        <v>14</v>
      </c>
    </row>
    <row r="1723" spans="1:23" x14ac:dyDescent="0.35">
      <c r="A1723">
        <v>1720</v>
      </c>
      <c r="B1723">
        <v>6742</v>
      </c>
      <c r="C1723">
        <v>1979</v>
      </c>
      <c r="D1723" s="1" t="s">
        <v>10</v>
      </c>
      <c r="E1723" s="1" t="s">
        <v>14</v>
      </c>
      <c r="F1723">
        <v>17688</v>
      </c>
      <c r="G1723">
        <v>1</v>
      </c>
      <c r="H1723" s="2">
        <v>0</v>
      </c>
      <c r="I1723" s="2">
        <v>41287</v>
      </c>
      <c r="J1723">
        <v>82</v>
      </c>
      <c r="K1723">
        <f>VLOOKUP(B1723,purchase_dataset!$B$2:$F$2241,2,FALSE)</f>
        <v>2</v>
      </c>
      <c r="L1723">
        <f>VLOOKUP(B1723,purchase_dataset!$B$2:$F$2241,3,FALSE)</f>
        <v>1</v>
      </c>
      <c r="M1723">
        <f>VLOOKUP(B1723,purchase_dataset!$B$2:$F$2241,3,FALSE)</f>
        <v>1</v>
      </c>
      <c r="N1723">
        <f>VLOOKUP(B1723,purchase_dataset!$B$2:$F$2241,5,FALSE)</f>
        <v>2</v>
      </c>
      <c r="O1723" s="5">
        <v>47</v>
      </c>
      <c r="P1723" s="4" t="str">
        <f t="shared" si="52"/>
        <v>30-50</v>
      </c>
      <c r="Q1723" s="4">
        <f>M1723+N1723</f>
        <v>3</v>
      </c>
      <c r="U1723" s="28" t="str" cm="1">
        <f t="array" ref="U1723">_xlfn.IFS(F1723&lt;30000,"30k",F1723&lt;=50000,"30k-50k",F1723&lt;=75000,"50k-75k",F1723&lt;=100000,"75k-100k",F1723&gt;100000,"100k")</f>
        <v>30k</v>
      </c>
      <c r="W1723" s="1">
        <f t="shared" si="53"/>
        <v>13</v>
      </c>
    </row>
    <row r="1724" spans="1:23" x14ac:dyDescent="0.35">
      <c r="A1724">
        <v>1721</v>
      </c>
      <c r="B1724">
        <v>1172</v>
      </c>
      <c r="C1724">
        <v>1983</v>
      </c>
      <c r="D1724" s="1" t="s">
        <v>13</v>
      </c>
      <c r="E1724" s="1" t="s">
        <v>14</v>
      </c>
      <c r="F1724">
        <v>92491</v>
      </c>
      <c r="G1724">
        <v>0</v>
      </c>
      <c r="H1724" s="2">
        <v>0</v>
      </c>
      <c r="I1724" s="2">
        <v>41395</v>
      </c>
      <c r="J1724">
        <v>71</v>
      </c>
      <c r="K1724">
        <f>VLOOKUP(B1724,purchase_dataset!$B$2:$F$2241,2,FALSE)</f>
        <v>44</v>
      </c>
      <c r="L1724">
        <f>VLOOKUP(B1724,purchase_dataset!$B$2:$F$2241,3,FALSE)</f>
        <v>25</v>
      </c>
      <c r="M1724">
        <f>VLOOKUP(B1724,purchase_dataset!$B$2:$F$2241,3,FALSE)</f>
        <v>25</v>
      </c>
      <c r="N1724">
        <f>VLOOKUP(B1724,purchase_dataset!$B$2:$F$2241,5,FALSE)</f>
        <v>12</v>
      </c>
      <c r="O1724" s="5">
        <v>43</v>
      </c>
      <c r="P1724" s="4" t="str">
        <f t="shared" si="52"/>
        <v>30-50</v>
      </c>
      <c r="Q1724" s="4">
        <f>M1724+N1724</f>
        <v>37</v>
      </c>
      <c r="U1724" s="28" t="str" cm="1">
        <f t="array" ref="U1724">_xlfn.IFS(F1724&lt;30000,"30k",F1724&lt;=50000,"30k-50k",F1724&lt;=75000,"50k-75k",F1724&lt;=100000,"75k-100k",F1724&gt;100000,"100k")</f>
        <v>75k-100k</v>
      </c>
      <c r="W1724" s="1">
        <f t="shared" si="53"/>
        <v>13</v>
      </c>
    </row>
    <row r="1725" spans="1:23" x14ac:dyDescent="0.35">
      <c r="A1725">
        <v>1722</v>
      </c>
      <c r="B1725">
        <v>569</v>
      </c>
      <c r="C1725">
        <v>1991</v>
      </c>
      <c r="D1725" s="1" t="s">
        <v>10</v>
      </c>
      <c r="E1725" s="1" t="s">
        <v>11</v>
      </c>
      <c r="F1725">
        <v>90273</v>
      </c>
      <c r="G1725">
        <v>0</v>
      </c>
      <c r="H1725" s="2">
        <v>0</v>
      </c>
      <c r="I1725" s="2">
        <v>41622</v>
      </c>
      <c r="J1725">
        <v>32</v>
      </c>
      <c r="K1725">
        <f>VLOOKUP(B1725,purchase_dataset!$B$2:$F$2241,2,FALSE)</f>
        <v>129</v>
      </c>
      <c r="L1725">
        <f>VLOOKUP(B1725,purchase_dataset!$B$2:$F$2241,3,FALSE)</f>
        <v>74</v>
      </c>
      <c r="M1725">
        <f>VLOOKUP(B1725,purchase_dataset!$B$2:$F$2241,3,FALSE)</f>
        <v>74</v>
      </c>
      <c r="N1725">
        <f>VLOOKUP(B1725,purchase_dataset!$B$2:$F$2241,5,FALSE)</f>
        <v>7</v>
      </c>
      <c r="O1725" s="5">
        <v>35</v>
      </c>
      <c r="P1725" s="4" t="str">
        <f t="shared" si="52"/>
        <v>30-50</v>
      </c>
      <c r="Q1725" s="4">
        <f>M1725+N1725</f>
        <v>81</v>
      </c>
      <c r="U1725" s="28" t="str" cm="1">
        <f t="array" ref="U1725">_xlfn.IFS(F1725&lt;30000,"30k",F1725&lt;=50000,"30k-50k",F1725&lt;=75000,"50k-75k",F1725&lt;=100000,"75k-100k",F1725&gt;100000,"100k")</f>
        <v>75k-100k</v>
      </c>
      <c r="W1725" s="1">
        <f t="shared" si="53"/>
        <v>13</v>
      </c>
    </row>
    <row r="1726" spans="1:23" x14ac:dyDescent="0.35">
      <c r="A1726">
        <v>1723</v>
      </c>
      <c r="B1726">
        <v>4686</v>
      </c>
      <c r="C1726">
        <v>1962</v>
      </c>
      <c r="D1726" s="1" t="s">
        <v>13</v>
      </c>
      <c r="E1726" s="1" t="s">
        <v>19</v>
      </c>
      <c r="F1726">
        <v>82571</v>
      </c>
      <c r="G1726">
        <v>0</v>
      </c>
      <c r="H1726" s="2">
        <v>0</v>
      </c>
      <c r="I1726" s="2">
        <v>41731</v>
      </c>
      <c r="J1726">
        <v>28</v>
      </c>
      <c r="K1726">
        <f>VLOOKUP(B1726,purchase_dataset!$B$2:$F$2241,2,FALSE)</f>
        <v>31</v>
      </c>
      <c r="L1726">
        <f>VLOOKUP(B1726,purchase_dataset!$B$2:$F$2241,3,FALSE)</f>
        <v>95</v>
      </c>
      <c r="M1726">
        <f>VLOOKUP(B1726,purchase_dataset!$B$2:$F$2241,3,FALSE)</f>
        <v>95</v>
      </c>
      <c r="N1726">
        <f>VLOOKUP(B1726,purchase_dataset!$B$2:$F$2241,5,FALSE)</f>
        <v>13</v>
      </c>
      <c r="O1726" s="5">
        <v>64</v>
      </c>
      <c r="P1726" s="4" t="str">
        <f t="shared" si="52"/>
        <v>&gt;50</v>
      </c>
      <c r="Q1726" s="4">
        <f>M1726+N1726</f>
        <v>108</v>
      </c>
      <c r="U1726" s="28" t="str" cm="1">
        <f t="array" ref="U1726">_xlfn.IFS(F1726&lt;30000,"30k",F1726&lt;=50000,"30k-50k",F1726&lt;=75000,"50k-75k",F1726&lt;=100000,"75k-100k",F1726&gt;100000,"100k")</f>
        <v>75k-100k</v>
      </c>
      <c r="W1726" s="1">
        <f t="shared" si="53"/>
        <v>12</v>
      </c>
    </row>
    <row r="1727" spans="1:23" x14ac:dyDescent="0.35">
      <c r="A1727">
        <v>1724</v>
      </c>
      <c r="B1727">
        <v>1381</v>
      </c>
      <c r="C1727">
        <v>1982</v>
      </c>
      <c r="D1727" s="1" t="s">
        <v>13</v>
      </c>
      <c r="E1727" s="1" t="s">
        <v>11</v>
      </c>
      <c r="F1727">
        <v>38513</v>
      </c>
      <c r="G1727">
        <v>1</v>
      </c>
      <c r="H1727" s="2">
        <v>0</v>
      </c>
      <c r="I1727" s="2">
        <v>41667</v>
      </c>
      <c r="J1727">
        <v>20</v>
      </c>
      <c r="K1727">
        <f>VLOOKUP(B1727,purchase_dataset!$B$2:$F$2241,2,FALSE)</f>
        <v>3</v>
      </c>
      <c r="L1727">
        <f>VLOOKUP(B1727,purchase_dataset!$B$2:$F$2241,3,FALSE)</f>
        <v>0</v>
      </c>
      <c r="M1727">
        <f>VLOOKUP(B1727,purchase_dataset!$B$2:$F$2241,3,FALSE)</f>
        <v>0</v>
      </c>
      <c r="N1727">
        <f>VLOOKUP(B1727,purchase_dataset!$B$2:$F$2241,5,FALSE)</f>
        <v>5</v>
      </c>
      <c r="O1727" s="5">
        <v>44</v>
      </c>
      <c r="P1727" s="4" t="str">
        <f t="shared" si="52"/>
        <v>30-50</v>
      </c>
      <c r="Q1727" s="4">
        <f>M1727+N1727</f>
        <v>5</v>
      </c>
      <c r="U1727" s="28" t="str" cm="1">
        <f t="array" ref="U1727">_xlfn.IFS(F1727&lt;30000,"30k",F1727&lt;=50000,"30k-50k",F1727&lt;=75000,"50k-75k",F1727&lt;=100000,"75k-100k",F1727&gt;100000,"100k")</f>
        <v>30k-50k</v>
      </c>
      <c r="W1727" s="1">
        <f t="shared" si="53"/>
        <v>12</v>
      </c>
    </row>
    <row r="1728" spans="1:23" x14ac:dyDescent="0.35">
      <c r="A1728">
        <v>1725</v>
      </c>
      <c r="B1728">
        <v>2634</v>
      </c>
      <c r="C1728">
        <v>1979</v>
      </c>
      <c r="D1728" s="1" t="s">
        <v>15</v>
      </c>
      <c r="E1728" s="1" t="s">
        <v>11</v>
      </c>
      <c r="F1728">
        <v>16653</v>
      </c>
      <c r="G1728">
        <v>1</v>
      </c>
      <c r="H1728" s="2">
        <v>0</v>
      </c>
      <c r="I1728" s="2">
        <v>41747</v>
      </c>
      <c r="J1728">
        <v>10</v>
      </c>
      <c r="K1728">
        <f>VLOOKUP(B1728,purchase_dataset!$B$2:$F$2241,2,FALSE)</f>
        <v>7</v>
      </c>
      <c r="L1728">
        <f>VLOOKUP(B1728,purchase_dataset!$B$2:$F$2241,3,FALSE)</f>
        <v>4</v>
      </c>
      <c r="M1728">
        <f>VLOOKUP(B1728,purchase_dataset!$B$2:$F$2241,3,FALSE)</f>
        <v>4</v>
      </c>
      <c r="N1728">
        <f>VLOOKUP(B1728,purchase_dataset!$B$2:$F$2241,5,FALSE)</f>
        <v>3</v>
      </c>
      <c r="O1728" s="5">
        <v>47</v>
      </c>
      <c r="P1728" s="4" t="str">
        <f t="shared" si="52"/>
        <v>30-50</v>
      </c>
      <c r="Q1728" s="4">
        <f>M1728+N1728</f>
        <v>7</v>
      </c>
      <c r="U1728" s="28" t="str" cm="1">
        <f t="array" ref="U1728">_xlfn.IFS(F1728&lt;30000,"30k",F1728&lt;=50000,"30k-50k",F1728&lt;=75000,"50k-75k",F1728&lt;=100000,"75k-100k",F1728&gt;100000,"100k")</f>
        <v>30k</v>
      </c>
      <c r="W1728" s="1">
        <f t="shared" si="53"/>
        <v>12</v>
      </c>
    </row>
    <row r="1729" spans="1:23" x14ac:dyDescent="0.35">
      <c r="A1729">
        <v>1726</v>
      </c>
      <c r="B1729">
        <v>10905</v>
      </c>
      <c r="C1729">
        <v>1955</v>
      </c>
      <c r="D1729" s="1" t="s">
        <v>10</v>
      </c>
      <c r="E1729" s="1" t="s">
        <v>12</v>
      </c>
      <c r="F1729">
        <v>42586</v>
      </c>
      <c r="G1729">
        <v>1</v>
      </c>
      <c r="H1729" s="2">
        <v>1</v>
      </c>
      <c r="I1729" s="2">
        <v>41211</v>
      </c>
      <c r="J1729">
        <v>7</v>
      </c>
      <c r="K1729">
        <f>VLOOKUP(B1729,purchase_dataset!$B$2:$F$2241,2,FALSE)</f>
        <v>2</v>
      </c>
      <c r="L1729">
        <f>VLOOKUP(B1729,purchase_dataset!$B$2:$F$2241,3,FALSE)</f>
        <v>0</v>
      </c>
      <c r="M1729">
        <f>VLOOKUP(B1729,purchase_dataset!$B$2:$F$2241,3,FALSE)</f>
        <v>0</v>
      </c>
      <c r="N1729">
        <f>VLOOKUP(B1729,purchase_dataset!$B$2:$F$2241,5,FALSE)</f>
        <v>6</v>
      </c>
      <c r="O1729" s="5">
        <v>71</v>
      </c>
      <c r="P1729" s="4" t="str">
        <f t="shared" si="52"/>
        <v>&gt;50</v>
      </c>
      <c r="Q1729" s="4">
        <f>M1729+N1729</f>
        <v>6</v>
      </c>
      <c r="U1729" s="28" t="str" cm="1">
        <f t="array" ref="U1729">_xlfn.IFS(F1729&lt;30000,"30k",F1729&lt;=50000,"30k-50k",F1729&lt;=75000,"50k-75k",F1729&lt;=100000,"75k-100k",F1729&gt;100000,"100k")</f>
        <v>30k-50k</v>
      </c>
      <c r="W1729" s="1">
        <f t="shared" si="53"/>
        <v>14</v>
      </c>
    </row>
    <row r="1730" spans="1:23" x14ac:dyDescent="0.35">
      <c r="A1730">
        <v>1727</v>
      </c>
      <c r="B1730">
        <v>1744</v>
      </c>
      <c r="C1730">
        <v>1965</v>
      </c>
      <c r="D1730" s="1" t="s">
        <v>17</v>
      </c>
      <c r="E1730" s="1" t="s">
        <v>11</v>
      </c>
      <c r="F1730">
        <v>23529</v>
      </c>
      <c r="G1730">
        <v>0</v>
      </c>
      <c r="H1730" s="2">
        <v>1</v>
      </c>
      <c r="I1730" s="2">
        <v>41281</v>
      </c>
      <c r="J1730">
        <v>67</v>
      </c>
      <c r="K1730">
        <f>VLOOKUP(B1730,purchase_dataset!$B$2:$F$2241,2,FALSE)</f>
        <v>7</v>
      </c>
      <c r="L1730">
        <f>VLOOKUP(B1730,purchase_dataset!$B$2:$F$2241,3,FALSE)</f>
        <v>2</v>
      </c>
      <c r="M1730">
        <f>VLOOKUP(B1730,purchase_dataset!$B$2:$F$2241,3,FALSE)</f>
        <v>2</v>
      </c>
      <c r="N1730">
        <f>VLOOKUP(B1730,purchase_dataset!$B$2:$F$2241,5,FALSE)</f>
        <v>2</v>
      </c>
      <c r="O1730" s="5">
        <v>61</v>
      </c>
      <c r="P1730" s="4" t="str">
        <f t="shared" si="52"/>
        <v>&gt;50</v>
      </c>
      <c r="Q1730" s="4">
        <f>M1730+N1730</f>
        <v>4</v>
      </c>
      <c r="U1730" s="28" t="str" cm="1">
        <f t="array" ref="U1730">_xlfn.IFS(F1730&lt;30000,"30k",F1730&lt;=50000,"30k-50k",F1730&lt;=75000,"50k-75k",F1730&lt;=100000,"75k-100k",F1730&gt;100000,"100k")</f>
        <v>30k</v>
      </c>
      <c r="W1730" s="1">
        <f t="shared" si="53"/>
        <v>13</v>
      </c>
    </row>
    <row r="1731" spans="1:23" x14ac:dyDescent="0.35">
      <c r="A1731">
        <v>1728</v>
      </c>
      <c r="B1731">
        <v>1000</v>
      </c>
      <c r="C1731">
        <v>1961</v>
      </c>
      <c r="D1731" s="1" t="s">
        <v>15</v>
      </c>
      <c r="E1731" s="1" t="s">
        <v>12</v>
      </c>
      <c r="F1731">
        <v>74881</v>
      </c>
      <c r="G1731">
        <v>1</v>
      </c>
      <c r="H1731" s="2">
        <v>1</v>
      </c>
      <c r="I1731" s="2">
        <v>41341</v>
      </c>
      <c r="J1731">
        <v>48</v>
      </c>
      <c r="K1731">
        <f>VLOOKUP(B1731,purchase_dataset!$B$2:$F$2241,2,FALSE)</f>
        <v>72</v>
      </c>
      <c r="L1731">
        <f>VLOOKUP(B1731,purchase_dataset!$B$2:$F$2241,3,FALSE)</f>
        <v>27</v>
      </c>
      <c r="M1731">
        <f>VLOOKUP(B1731,purchase_dataset!$B$2:$F$2241,3,FALSE)</f>
        <v>27</v>
      </c>
      <c r="N1731">
        <f>VLOOKUP(B1731,purchase_dataset!$B$2:$F$2241,5,FALSE)</f>
        <v>12</v>
      </c>
      <c r="O1731" s="5">
        <v>65</v>
      </c>
      <c r="P1731" s="4" t="str">
        <f t="shared" si="52"/>
        <v>&gt;50</v>
      </c>
      <c r="Q1731" s="4">
        <f>M1731+N1731</f>
        <v>39</v>
      </c>
      <c r="U1731" s="28" t="str" cm="1">
        <f t="array" ref="U1731">_xlfn.IFS(F1731&lt;30000,"30k",F1731&lt;=50000,"30k-50k",F1731&lt;=75000,"50k-75k",F1731&lt;=100000,"75k-100k",F1731&gt;100000,"100k")</f>
        <v>50k-75k</v>
      </c>
      <c r="W1731" s="1">
        <f t="shared" si="53"/>
        <v>13</v>
      </c>
    </row>
    <row r="1732" spans="1:23" x14ac:dyDescent="0.35">
      <c r="A1732">
        <v>1729</v>
      </c>
      <c r="B1732">
        <v>3828</v>
      </c>
      <c r="C1732">
        <v>1951</v>
      </c>
      <c r="D1732" s="1" t="s">
        <v>10</v>
      </c>
      <c r="E1732" s="1" t="s">
        <v>14</v>
      </c>
      <c r="F1732">
        <v>71107</v>
      </c>
      <c r="G1732">
        <v>0</v>
      </c>
      <c r="H1732" s="2">
        <v>1</v>
      </c>
      <c r="I1732" s="2">
        <v>41322</v>
      </c>
      <c r="J1732">
        <v>61</v>
      </c>
      <c r="K1732">
        <f>VLOOKUP(B1732,purchase_dataset!$B$2:$F$2241,2,FALSE)</f>
        <v>10</v>
      </c>
      <c r="L1732">
        <f>VLOOKUP(B1732,purchase_dataset!$B$2:$F$2241,3,FALSE)</f>
        <v>174</v>
      </c>
      <c r="M1732">
        <f>VLOOKUP(B1732,purchase_dataset!$B$2:$F$2241,3,FALSE)</f>
        <v>174</v>
      </c>
      <c r="N1732">
        <f>VLOOKUP(B1732,purchase_dataset!$B$2:$F$2241,5,FALSE)</f>
        <v>13</v>
      </c>
      <c r="O1732" s="5">
        <v>75</v>
      </c>
      <c r="P1732" s="4" t="str">
        <f t="shared" ref="P1732:P1795" si="54">IF(O1732&lt;30,"30",IF(O1732&lt;=50,"30-50","&gt;50"))</f>
        <v>&gt;50</v>
      </c>
      <c r="Q1732" s="4">
        <f>M1732+N1732</f>
        <v>187</v>
      </c>
      <c r="U1732" s="28" t="str" cm="1">
        <f t="array" ref="U1732">_xlfn.IFS(F1732&lt;30000,"30k",F1732&lt;=50000,"30k-50k",F1732&lt;=75000,"50k-75k",F1732&lt;=100000,"75k-100k",F1732&gt;100000,"100k")</f>
        <v>50k-75k</v>
      </c>
      <c r="W1732" s="1">
        <f t="shared" ref="W1732:W1795" si="55">2026-YEAR(I1732)</f>
        <v>13</v>
      </c>
    </row>
    <row r="1733" spans="1:23" x14ac:dyDescent="0.35">
      <c r="A1733">
        <v>1730</v>
      </c>
      <c r="B1733">
        <v>8605</v>
      </c>
      <c r="C1733">
        <v>1964</v>
      </c>
      <c r="D1733" s="1" t="s">
        <v>13</v>
      </c>
      <c r="E1733" s="1" t="s">
        <v>12</v>
      </c>
      <c r="F1733">
        <v>46910</v>
      </c>
      <c r="G1733">
        <v>1</v>
      </c>
      <c r="H1733" s="2">
        <v>1</v>
      </c>
      <c r="I1733" s="2">
        <v>41721</v>
      </c>
      <c r="J1733">
        <v>36</v>
      </c>
      <c r="K1733">
        <f>VLOOKUP(B1733,purchase_dataset!$B$2:$F$2241,2,FALSE)</f>
        <v>0</v>
      </c>
      <c r="L1733">
        <f>VLOOKUP(B1733,purchase_dataset!$B$2:$F$2241,3,FALSE)</f>
        <v>0</v>
      </c>
      <c r="M1733">
        <f>VLOOKUP(B1733,purchase_dataset!$B$2:$F$2241,3,FALSE)</f>
        <v>0</v>
      </c>
      <c r="N1733">
        <f>VLOOKUP(B1733,purchase_dataset!$B$2:$F$2241,5,FALSE)</f>
        <v>3</v>
      </c>
      <c r="O1733" s="5">
        <v>62</v>
      </c>
      <c r="P1733" s="4" t="str">
        <f t="shared" si="54"/>
        <v>&gt;50</v>
      </c>
      <c r="Q1733" s="4">
        <f>M1733+N1733</f>
        <v>3</v>
      </c>
      <c r="U1733" s="28" t="str" cm="1">
        <f t="array" ref="U1733">_xlfn.IFS(F1733&lt;30000,"30k",F1733&lt;=50000,"30k-50k",F1733&lt;=75000,"50k-75k",F1733&lt;=100000,"75k-100k",F1733&gt;100000,"100k")</f>
        <v>30k-50k</v>
      </c>
      <c r="W1733" s="1">
        <f t="shared" si="55"/>
        <v>12</v>
      </c>
    </row>
    <row r="1734" spans="1:23" x14ac:dyDescent="0.35">
      <c r="A1734">
        <v>1731</v>
      </c>
      <c r="B1734">
        <v>10304</v>
      </c>
      <c r="C1734">
        <v>1959</v>
      </c>
      <c r="D1734" s="1" t="s">
        <v>10</v>
      </c>
      <c r="E1734" s="1" t="s">
        <v>14</v>
      </c>
      <c r="F1734">
        <v>18690</v>
      </c>
      <c r="G1734">
        <v>0</v>
      </c>
      <c r="H1734" s="2">
        <v>0</v>
      </c>
      <c r="I1734" s="2">
        <v>41271</v>
      </c>
      <c r="J1734">
        <v>77</v>
      </c>
      <c r="K1734">
        <f>VLOOKUP(B1734,purchase_dataset!$B$2:$F$2241,2,FALSE)</f>
        <v>1</v>
      </c>
      <c r="L1734">
        <f>VLOOKUP(B1734,purchase_dataset!$B$2:$F$2241,3,FALSE)</f>
        <v>4</v>
      </c>
      <c r="M1734">
        <f>VLOOKUP(B1734,purchase_dataset!$B$2:$F$2241,3,FALSE)</f>
        <v>4</v>
      </c>
      <c r="N1734">
        <f>VLOOKUP(B1734,purchase_dataset!$B$2:$F$2241,5,FALSE)</f>
        <v>2</v>
      </c>
      <c r="O1734" s="5">
        <v>67</v>
      </c>
      <c r="P1734" s="4" t="str">
        <f t="shared" si="54"/>
        <v>&gt;50</v>
      </c>
      <c r="Q1734" s="4">
        <f>M1734+N1734</f>
        <v>6</v>
      </c>
      <c r="U1734" s="28" t="str" cm="1">
        <f t="array" ref="U1734">_xlfn.IFS(F1734&lt;30000,"30k",F1734&lt;=50000,"30k-50k",F1734&lt;=75000,"50k-75k",F1734&lt;=100000,"75k-100k",F1734&gt;100000,"100k")</f>
        <v>30k</v>
      </c>
      <c r="W1734" s="1">
        <f t="shared" si="55"/>
        <v>14</v>
      </c>
    </row>
    <row r="1735" spans="1:23" x14ac:dyDescent="0.35">
      <c r="A1735">
        <v>1732</v>
      </c>
      <c r="B1735">
        <v>4351</v>
      </c>
      <c r="C1735">
        <v>1955</v>
      </c>
      <c r="D1735" s="1" t="s">
        <v>10</v>
      </c>
      <c r="E1735" s="1" t="s">
        <v>16</v>
      </c>
      <c r="F1735">
        <v>37244</v>
      </c>
      <c r="G1735">
        <v>1</v>
      </c>
      <c r="H1735" s="2">
        <v>1</v>
      </c>
      <c r="I1735" s="2">
        <v>41391</v>
      </c>
      <c r="J1735">
        <v>90</v>
      </c>
      <c r="K1735">
        <f>VLOOKUP(B1735,purchase_dataset!$B$2:$F$2241,2,FALSE)</f>
        <v>2</v>
      </c>
      <c r="L1735">
        <f>VLOOKUP(B1735,purchase_dataset!$B$2:$F$2241,3,FALSE)</f>
        <v>0</v>
      </c>
      <c r="M1735">
        <f>VLOOKUP(B1735,purchase_dataset!$B$2:$F$2241,3,FALSE)</f>
        <v>0</v>
      </c>
      <c r="N1735">
        <f>VLOOKUP(B1735,purchase_dataset!$B$2:$F$2241,5,FALSE)</f>
        <v>2</v>
      </c>
      <c r="O1735" s="5">
        <v>71</v>
      </c>
      <c r="P1735" s="4" t="str">
        <f t="shared" si="54"/>
        <v>&gt;50</v>
      </c>
      <c r="Q1735" s="4">
        <f>M1735+N1735</f>
        <v>2</v>
      </c>
      <c r="U1735" s="28" t="str" cm="1">
        <f t="array" ref="U1735">_xlfn.IFS(F1735&lt;30000,"30k",F1735&lt;=50000,"30k-50k",F1735&lt;=75000,"50k-75k",F1735&lt;=100000,"75k-100k",F1735&gt;100000,"100k")</f>
        <v>30k-50k</v>
      </c>
      <c r="W1735" s="1">
        <f t="shared" si="55"/>
        <v>13</v>
      </c>
    </row>
    <row r="1736" spans="1:23" x14ac:dyDescent="0.35">
      <c r="A1736">
        <v>1733</v>
      </c>
      <c r="B1736">
        <v>10129</v>
      </c>
      <c r="C1736">
        <v>1966</v>
      </c>
      <c r="D1736" s="1" t="s">
        <v>10</v>
      </c>
      <c r="E1736" s="1" t="s">
        <v>12</v>
      </c>
      <c r="F1736">
        <v>82427</v>
      </c>
      <c r="G1736">
        <v>0</v>
      </c>
      <c r="H1736" s="2">
        <v>0</v>
      </c>
      <c r="I1736" s="2">
        <v>41710</v>
      </c>
      <c r="J1736">
        <v>35</v>
      </c>
      <c r="K1736">
        <f>VLOOKUP(B1736,purchase_dataset!$B$2:$F$2241,2,FALSE)</f>
        <v>147</v>
      </c>
      <c r="L1736">
        <f>VLOOKUP(B1736,purchase_dataset!$B$2:$F$2241,3,FALSE)</f>
        <v>107</v>
      </c>
      <c r="M1736">
        <f>VLOOKUP(B1736,purchase_dataset!$B$2:$F$2241,3,FALSE)</f>
        <v>107</v>
      </c>
      <c r="N1736">
        <f>VLOOKUP(B1736,purchase_dataset!$B$2:$F$2241,5,FALSE)</f>
        <v>12</v>
      </c>
      <c r="O1736" s="5">
        <v>60</v>
      </c>
      <c r="P1736" s="4" t="str">
        <f t="shared" si="54"/>
        <v>&gt;50</v>
      </c>
      <c r="Q1736" s="4">
        <f>M1736+N1736</f>
        <v>119</v>
      </c>
      <c r="U1736" s="28" t="str" cm="1">
        <f t="array" ref="U1736">_xlfn.IFS(F1736&lt;30000,"30k",F1736&lt;=50000,"30k-50k",F1736&lt;=75000,"50k-75k",F1736&lt;=100000,"75k-100k",F1736&gt;100000,"100k")</f>
        <v>75k-100k</v>
      </c>
      <c r="W1736" s="1">
        <f t="shared" si="55"/>
        <v>12</v>
      </c>
    </row>
    <row r="1737" spans="1:23" x14ac:dyDescent="0.35">
      <c r="A1737">
        <v>1734</v>
      </c>
      <c r="B1737">
        <v>2499</v>
      </c>
      <c r="C1737">
        <v>1958</v>
      </c>
      <c r="D1737" s="1" t="s">
        <v>18</v>
      </c>
      <c r="E1737" s="1" t="s">
        <v>11</v>
      </c>
      <c r="F1737">
        <v>75342</v>
      </c>
      <c r="G1737">
        <v>0</v>
      </c>
      <c r="H1737" s="2">
        <v>1</v>
      </c>
      <c r="I1737" s="2">
        <v>41400</v>
      </c>
      <c r="J1737">
        <v>38</v>
      </c>
      <c r="K1737">
        <f>VLOOKUP(B1737,purchase_dataset!$B$2:$F$2241,2,FALSE)</f>
        <v>97</v>
      </c>
      <c r="L1737">
        <f>VLOOKUP(B1737,purchase_dataset!$B$2:$F$2241,3,FALSE)</f>
        <v>118</v>
      </c>
      <c r="M1737">
        <f>VLOOKUP(B1737,purchase_dataset!$B$2:$F$2241,3,FALSE)</f>
        <v>118</v>
      </c>
      <c r="N1737">
        <f>VLOOKUP(B1737,purchase_dataset!$B$2:$F$2241,5,FALSE)</f>
        <v>10</v>
      </c>
      <c r="O1737" s="5">
        <v>68</v>
      </c>
      <c r="P1737" s="4" t="str">
        <f t="shared" si="54"/>
        <v>&gt;50</v>
      </c>
      <c r="Q1737" s="4">
        <f>M1737+N1737</f>
        <v>128</v>
      </c>
      <c r="U1737" s="28" t="str" cm="1">
        <f t="array" ref="U1737">_xlfn.IFS(F1737&lt;30000,"30k",F1737&lt;=50000,"30k-50k",F1737&lt;=75000,"50k-75k",F1737&lt;=100000,"75k-100k",F1737&gt;100000,"100k")</f>
        <v>75k-100k</v>
      </c>
      <c r="W1737" s="1">
        <f t="shared" si="55"/>
        <v>13</v>
      </c>
    </row>
    <row r="1738" spans="1:23" x14ac:dyDescent="0.35">
      <c r="A1738">
        <v>1735</v>
      </c>
      <c r="B1738">
        <v>10092</v>
      </c>
      <c r="C1738">
        <v>1954</v>
      </c>
      <c r="D1738" s="1" t="s">
        <v>10</v>
      </c>
      <c r="E1738" s="1" t="s">
        <v>16</v>
      </c>
      <c r="F1738">
        <v>70044</v>
      </c>
      <c r="G1738">
        <v>0</v>
      </c>
      <c r="H1738" s="2">
        <v>1</v>
      </c>
      <c r="I1738" s="2">
        <v>41323</v>
      </c>
      <c r="J1738">
        <v>46</v>
      </c>
      <c r="K1738">
        <f>VLOOKUP(B1738,purchase_dataset!$B$2:$F$2241,2,FALSE)</f>
        <v>0</v>
      </c>
      <c r="L1738">
        <f>VLOOKUP(B1738,purchase_dataset!$B$2:$F$2241,3,FALSE)</f>
        <v>14</v>
      </c>
      <c r="M1738">
        <f>VLOOKUP(B1738,purchase_dataset!$B$2:$F$2241,3,FALSE)</f>
        <v>14</v>
      </c>
      <c r="N1738">
        <f>VLOOKUP(B1738,purchase_dataset!$B$2:$F$2241,5,FALSE)</f>
        <v>5</v>
      </c>
      <c r="O1738" s="5">
        <v>72</v>
      </c>
      <c r="P1738" s="4" t="str">
        <f t="shared" si="54"/>
        <v>&gt;50</v>
      </c>
      <c r="Q1738" s="4">
        <f>M1738+N1738</f>
        <v>19</v>
      </c>
      <c r="U1738" s="28" t="str" cm="1">
        <f t="array" ref="U1738">_xlfn.IFS(F1738&lt;30000,"30k",F1738&lt;=50000,"30k-50k",F1738&lt;=75000,"50k-75k",F1738&lt;=100000,"75k-100k",F1738&gt;100000,"100k")</f>
        <v>50k-75k</v>
      </c>
      <c r="W1738" s="1">
        <f t="shared" si="55"/>
        <v>13</v>
      </c>
    </row>
    <row r="1739" spans="1:23" x14ac:dyDescent="0.35">
      <c r="A1739">
        <v>1736</v>
      </c>
      <c r="B1739">
        <v>7500</v>
      </c>
      <c r="C1739">
        <v>1967</v>
      </c>
      <c r="D1739" s="1" t="s">
        <v>10</v>
      </c>
      <c r="E1739" s="1" t="s">
        <v>11</v>
      </c>
      <c r="F1739">
        <v>79146</v>
      </c>
      <c r="G1739">
        <v>1</v>
      </c>
      <c r="H1739" s="2">
        <v>1</v>
      </c>
      <c r="I1739" s="2">
        <v>41753</v>
      </c>
      <c r="J1739">
        <v>33</v>
      </c>
      <c r="K1739">
        <f>VLOOKUP(B1739,purchase_dataset!$B$2:$F$2241,2,FALSE)</f>
        <v>16</v>
      </c>
      <c r="L1739">
        <f>VLOOKUP(B1739,purchase_dataset!$B$2:$F$2241,3,FALSE)</f>
        <v>43</v>
      </c>
      <c r="M1739">
        <f>VLOOKUP(B1739,purchase_dataset!$B$2:$F$2241,3,FALSE)</f>
        <v>43</v>
      </c>
      <c r="N1739">
        <f>VLOOKUP(B1739,purchase_dataset!$B$2:$F$2241,5,FALSE)</f>
        <v>8</v>
      </c>
      <c r="O1739" s="5">
        <v>59</v>
      </c>
      <c r="P1739" s="4" t="str">
        <f t="shared" si="54"/>
        <v>&gt;50</v>
      </c>
      <c r="Q1739" s="4">
        <f>M1739+N1739</f>
        <v>51</v>
      </c>
      <c r="U1739" s="28" t="str" cm="1">
        <f t="array" ref="U1739">_xlfn.IFS(F1739&lt;30000,"30k",F1739&lt;=50000,"30k-50k",F1739&lt;=75000,"50k-75k",F1739&lt;=100000,"75k-100k",F1739&gt;100000,"100k")</f>
        <v>75k-100k</v>
      </c>
      <c r="W1739" s="1">
        <f t="shared" si="55"/>
        <v>12</v>
      </c>
    </row>
    <row r="1740" spans="1:23" x14ac:dyDescent="0.35">
      <c r="A1740">
        <v>1737</v>
      </c>
      <c r="B1740">
        <v>5796</v>
      </c>
      <c r="C1740">
        <v>1963</v>
      </c>
      <c r="D1740" s="1" t="s">
        <v>10</v>
      </c>
      <c r="E1740" s="1" t="s">
        <v>14</v>
      </c>
      <c r="F1740">
        <v>77437</v>
      </c>
      <c r="G1740">
        <v>0</v>
      </c>
      <c r="H1740" s="2">
        <v>0</v>
      </c>
      <c r="I1740" s="2">
        <v>41604</v>
      </c>
      <c r="J1740">
        <v>70</v>
      </c>
      <c r="K1740">
        <f>VLOOKUP(B1740,purchase_dataset!$B$2:$F$2241,2,FALSE)</f>
        <v>21</v>
      </c>
      <c r="L1740">
        <f>VLOOKUP(B1740,purchase_dataset!$B$2:$F$2241,3,FALSE)</f>
        <v>44</v>
      </c>
      <c r="M1740">
        <f>VLOOKUP(B1740,purchase_dataset!$B$2:$F$2241,3,FALSE)</f>
        <v>44</v>
      </c>
      <c r="N1740">
        <f>VLOOKUP(B1740,purchase_dataset!$B$2:$F$2241,5,FALSE)</f>
        <v>13</v>
      </c>
      <c r="O1740" s="5">
        <v>63</v>
      </c>
      <c r="P1740" s="4" t="str">
        <f t="shared" si="54"/>
        <v>&gt;50</v>
      </c>
      <c r="Q1740" s="4">
        <f>M1740+N1740</f>
        <v>57</v>
      </c>
      <c r="U1740" s="28" t="str" cm="1">
        <f t="array" ref="U1740">_xlfn.IFS(F1740&lt;30000,"30k",F1740&lt;=50000,"30k-50k",F1740&lt;=75000,"50k-75k",F1740&lt;=100000,"75k-100k",F1740&gt;100000,"100k")</f>
        <v>75k-100k</v>
      </c>
      <c r="W1740" s="1">
        <f t="shared" si="55"/>
        <v>13</v>
      </c>
    </row>
    <row r="1741" spans="1:23" x14ac:dyDescent="0.35">
      <c r="A1741">
        <v>1738</v>
      </c>
      <c r="B1741">
        <v>10556</v>
      </c>
      <c r="C1741">
        <v>1959</v>
      </c>
      <c r="D1741" s="1" t="s">
        <v>10</v>
      </c>
      <c r="E1741" s="1" t="s">
        <v>14</v>
      </c>
      <c r="F1741">
        <v>54984</v>
      </c>
      <c r="G1741">
        <v>0</v>
      </c>
      <c r="H1741" s="2">
        <v>1</v>
      </c>
      <c r="I1741" s="2">
        <v>41783</v>
      </c>
      <c r="J1741">
        <v>51</v>
      </c>
      <c r="K1741">
        <f>VLOOKUP(B1741,purchase_dataset!$B$2:$F$2241,2,FALSE)</f>
        <v>13</v>
      </c>
      <c r="L1741">
        <f>VLOOKUP(B1741,purchase_dataset!$B$2:$F$2241,3,FALSE)</f>
        <v>3</v>
      </c>
      <c r="M1741">
        <f>VLOOKUP(B1741,purchase_dataset!$B$2:$F$2241,3,FALSE)</f>
        <v>3</v>
      </c>
      <c r="N1741">
        <f>VLOOKUP(B1741,purchase_dataset!$B$2:$F$2241,5,FALSE)</f>
        <v>6</v>
      </c>
      <c r="O1741" s="5">
        <v>67</v>
      </c>
      <c r="P1741" s="4" t="str">
        <f t="shared" si="54"/>
        <v>&gt;50</v>
      </c>
      <c r="Q1741" s="4">
        <f>M1741+N1741</f>
        <v>9</v>
      </c>
      <c r="U1741" s="28" t="str" cm="1">
        <f t="array" ref="U1741">_xlfn.IFS(F1741&lt;30000,"30k",F1741&lt;=50000,"30k-50k",F1741&lt;=75000,"50k-75k",F1741&lt;=100000,"75k-100k",F1741&gt;100000,"100k")</f>
        <v>50k-75k</v>
      </c>
      <c r="W1741" s="1">
        <f t="shared" si="55"/>
        <v>12</v>
      </c>
    </row>
    <row r="1742" spans="1:23" x14ac:dyDescent="0.35">
      <c r="A1742">
        <v>1739</v>
      </c>
      <c r="B1742">
        <v>1064</v>
      </c>
      <c r="C1742">
        <v>1971</v>
      </c>
      <c r="D1742" s="1" t="s">
        <v>13</v>
      </c>
      <c r="E1742" s="1" t="s">
        <v>14</v>
      </c>
      <c r="F1742">
        <v>42403</v>
      </c>
      <c r="G1742">
        <v>1</v>
      </c>
      <c r="H1742" s="2">
        <v>0</v>
      </c>
      <c r="I1742" s="2">
        <v>41619</v>
      </c>
      <c r="J1742">
        <v>18</v>
      </c>
      <c r="K1742">
        <f>VLOOKUP(B1742,purchase_dataset!$B$2:$F$2241,2,FALSE)</f>
        <v>1</v>
      </c>
      <c r="L1742">
        <f>VLOOKUP(B1742,purchase_dataset!$B$2:$F$2241,3,FALSE)</f>
        <v>5</v>
      </c>
      <c r="M1742">
        <f>VLOOKUP(B1742,purchase_dataset!$B$2:$F$2241,3,FALSE)</f>
        <v>5</v>
      </c>
      <c r="N1742">
        <f>VLOOKUP(B1742,purchase_dataset!$B$2:$F$2241,5,FALSE)</f>
        <v>3</v>
      </c>
      <c r="O1742" s="5">
        <v>55</v>
      </c>
      <c r="P1742" s="4" t="str">
        <f t="shared" si="54"/>
        <v>&gt;50</v>
      </c>
      <c r="Q1742" s="4">
        <f>M1742+N1742</f>
        <v>8</v>
      </c>
      <c r="U1742" s="28" t="str" cm="1">
        <f t="array" ref="U1742">_xlfn.IFS(F1742&lt;30000,"30k",F1742&lt;=50000,"30k-50k",F1742&lt;=75000,"50k-75k",F1742&lt;=100000,"75k-100k",F1742&gt;100000,"100k")</f>
        <v>30k-50k</v>
      </c>
      <c r="W1742" s="1">
        <f t="shared" si="55"/>
        <v>13</v>
      </c>
    </row>
    <row r="1743" spans="1:23" x14ac:dyDescent="0.35">
      <c r="A1743">
        <v>1740</v>
      </c>
      <c r="B1743">
        <v>48</v>
      </c>
      <c r="C1743">
        <v>1964</v>
      </c>
      <c r="D1743" s="1" t="s">
        <v>10</v>
      </c>
      <c r="E1743" s="1" t="s">
        <v>12</v>
      </c>
      <c r="F1743">
        <v>55761</v>
      </c>
      <c r="G1743">
        <v>0</v>
      </c>
      <c r="H1743" s="2">
        <v>1</v>
      </c>
      <c r="I1743" s="2">
        <v>41753</v>
      </c>
      <c r="J1743">
        <v>97</v>
      </c>
      <c r="K1743">
        <f>VLOOKUP(B1743,purchase_dataset!$B$2:$F$2241,2,FALSE)</f>
        <v>1</v>
      </c>
      <c r="L1743">
        <f>VLOOKUP(B1743,purchase_dataset!$B$2:$F$2241,3,FALSE)</f>
        <v>3</v>
      </c>
      <c r="M1743">
        <f>VLOOKUP(B1743,purchase_dataset!$B$2:$F$2241,3,FALSE)</f>
        <v>3</v>
      </c>
      <c r="N1743">
        <f>VLOOKUP(B1743,purchase_dataset!$B$2:$F$2241,5,FALSE)</f>
        <v>3</v>
      </c>
      <c r="O1743" s="5">
        <v>62</v>
      </c>
      <c r="P1743" s="4" t="str">
        <f t="shared" si="54"/>
        <v>&gt;50</v>
      </c>
      <c r="Q1743" s="4">
        <f>M1743+N1743</f>
        <v>6</v>
      </c>
      <c r="U1743" s="28" t="str" cm="1">
        <f t="array" ref="U1743">_xlfn.IFS(F1743&lt;30000,"30k",F1743&lt;=50000,"30k-50k",F1743&lt;=75000,"50k-75k",F1743&lt;=100000,"75k-100k",F1743&gt;100000,"100k")</f>
        <v>50k-75k</v>
      </c>
      <c r="W1743" s="1">
        <f t="shared" si="55"/>
        <v>12</v>
      </c>
    </row>
    <row r="1744" spans="1:23" x14ac:dyDescent="0.35">
      <c r="A1744">
        <v>1741</v>
      </c>
      <c r="B1744">
        <v>7610</v>
      </c>
      <c r="C1744">
        <v>1983</v>
      </c>
      <c r="D1744" s="1" t="s">
        <v>10</v>
      </c>
      <c r="E1744" s="1" t="s">
        <v>12</v>
      </c>
      <c r="F1744">
        <v>37292</v>
      </c>
      <c r="G1744">
        <v>1</v>
      </c>
      <c r="H1744" s="2">
        <v>0</v>
      </c>
      <c r="I1744" s="2">
        <v>41382</v>
      </c>
      <c r="J1744">
        <v>32</v>
      </c>
      <c r="K1744">
        <f>VLOOKUP(B1744,purchase_dataset!$B$2:$F$2241,2,FALSE)</f>
        <v>0</v>
      </c>
      <c r="L1744">
        <f>VLOOKUP(B1744,purchase_dataset!$B$2:$F$2241,3,FALSE)</f>
        <v>23</v>
      </c>
      <c r="M1744">
        <f>VLOOKUP(B1744,purchase_dataset!$B$2:$F$2241,3,FALSE)</f>
        <v>23</v>
      </c>
      <c r="N1744">
        <f>VLOOKUP(B1744,purchase_dataset!$B$2:$F$2241,5,FALSE)</f>
        <v>5</v>
      </c>
      <c r="O1744" s="5">
        <v>43</v>
      </c>
      <c r="P1744" s="4" t="str">
        <f t="shared" si="54"/>
        <v>30-50</v>
      </c>
      <c r="Q1744" s="4">
        <f>M1744+N1744</f>
        <v>28</v>
      </c>
      <c r="U1744" s="28" t="str" cm="1">
        <f t="array" ref="U1744">_xlfn.IFS(F1744&lt;30000,"30k",F1744&lt;=50000,"30k-50k",F1744&lt;=75000,"50k-75k",F1744&lt;=100000,"75k-100k",F1744&gt;100000,"100k")</f>
        <v>30k-50k</v>
      </c>
      <c r="W1744" s="1">
        <f t="shared" si="55"/>
        <v>13</v>
      </c>
    </row>
    <row r="1745" spans="1:23" x14ac:dyDescent="0.35">
      <c r="A1745">
        <v>1742</v>
      </c>
      <c r="B1745">
        <v>263</v>
      </c>
      <c r="C1745">
        <v>1945</v>
      </c>
      <c r="D1745" s="1" t="s">
        <v>13</v>
      </c>
      <c r="E1745" s="1" t="s">
        <v>11</v>
      </c>
      <c r="F1745">
        <v>45576</v>
      </c>
      <c r="G1745">
        <v>0</v>
      </c>
      <c r="H1745" s="2">
        <v>0</v>
      </c>
      <c r="I1745" s="2">
        <v>41787</v>
      </c>
      <c r="J1745">
        <v>9</v>
      </c>
      <c r="K1745">
        <f>VLOOKUP(B1745,purchase_dataset!$B$2:$F$2241,2,FALSE)</f>
        <v>19</v>
      </c>
      <c r="L1745">
        <f>VLOOKUP(B1745,purchase_dataset!$B$2:$F$2241,3,FALSE)</f>
        <v>14</v>
      </c>
      <c r="M1745">
        <f>VLOOKUP(B1745,purchase_dataset!$B$2:$F$2241,3,FALSE)</f>
        <v>14</v>
      </c>
      <c r="N1745">
        <f>VLOOKUP(B1745,purchase_dataset!$B$2:$F$2241,5,FALSE)</f>
        <v>3</v>
      </c>
      <c r="O1745" s="5">
        <v>81</v>
      </c>
      <c r="P1745" s="4" t="str">
        <f t="shared" si="54"/>
        <v>&gt;50</v>
      </c>
      <c r="Q1745" s="4">
        <f>M1745+N1745</f>
        <v>17</v>
      </c>
      <c r="U1745" s="28" t="str" cm="1">
        <f t="array" ref="U1745">_xlfn.IFS(F1745&lt;30000,"30k",F1745&lt;=50000,"30k-50k",F1745&lt;=75000,"50k-75k",F1745&lt;=100000,"75k-100k",F1745&gt;100000,"100k")</f>
        <v>30k-50k</v>
      </c>
      <c r="W1745" s="1">
        <f t="shared" si="55"/>
        <v>12</v>
      </c>
    </row>
    <row r="1746" spans="1:23" x14ac:dyDescent="0.35">
      <c r="A1746">
        <v>1743</v>
      </c>
      <c r="B1746">
        <v>10814</v>
      </c>
      <c r="C1746">
        <v>1947</v>
      </c>
      <c r="D1746" s="1" t="s">
        <v>10</v>
      </c>
      <c r="E1746" s="1" t="s">
        <v>12</v>
      </c>
      <c r="F1746">
        <v>70321</v>
      </c>
      <c r="G1746">
        <v>0</v>
      </c>
      <c r="H1746" s="2">
        <v>0</v>
      </c>
      <c r="I1746" s="2">
        <v>41290</v>
      </c>
      <c r="J1746">
        <v>6</v>
      </c>
      <c r="K1746">
        <f>VLOOKUP(B1746,purchase_dataset!$B$2:$F$2241,2,FALSE)</f>
        <v>23</v>
      </c>
      <c r="L1746">
        <f>VLOOKUP(B1746,purchase_dataset!$B$2:$F$2241,3,FALSE)</f>
        <v>26</v>
      </c>
      <c r="M1746">
        <f>VLOOKUP(B1746,purchase_dataset!$B$2:$F$2241,3,FALSE)</f>
        <v>26</v>
      </c>
      <c r="N1746">
        <f>VLOOKUP(B1746,purchase_dataset!$B$2:$F$2241,5,FALSE)</f>
        <v>13</v>
      </c>
      <c r="O1746" s="5">
        <v>79</v>
      </c>
      <c r="P1746" s="4" t="str">
        <f t="shared" si="54"/>
        <v>&gt;50</v>
      </c>
      <c r="Q1746" s="4">
        <f>M1746+N1746</f>
        <v>39</v>
      </c>
      <c r="U1746" s="28" t="str" cm="1">
        <f t="array" ref="U1746">_xlfn.IFS(F1746&lt;30000,"30k",F1746&lt;=50000,"30k-50k",F1746&lt;=75000,"50k-75k",F1746&lt;=100000,"75k-100k",F1746&gt;100000,"100k")</f>
        <v>50k-75k</v>
      </c>
      <c r="W1746" s="1">
        <f t="shared" si="55"/>
        <v>13</v>
      </c>
    </row>
    <row r="1747" spans="1:23" x14ac:dyDescent="0.35">
      <c r="A1747">
        <v>1744</v>
      </c>
      <c r="B1747">
        <v>9710</v>
      </c>
      <c r="C1747">
        <v>1969</v>
      </c>
      <c r="D1747" s="1" t="s">
        <v>13</v>
      </c>
      <c r="E1747" s="1" t="s">
        <v>16</v>
      </c>
      <c r="F1747">
        <v>58086</v>
      </c>
      <c r="G1747">
        <v>0</v>
      </c>
      <c r="H1747" s="2">
        <v>1</v>
      </c>
      <c r="I1747" s="2">
        <v>41294</v>
      </c>
      <c r="J1747">
        <v>80</v>
      </c>
      <c r="K1747">
        <f>VLOOKUP(B1747,purchase_dataset!$B$2:$F$2241,2,FALSE)</f>
        <v>7</v>
      </c>
      <c r="L1747">
        <f>VLOOKUP(B1747,purchase_dataset!$B$2:$F$2241,3,FALSE)</f>
        <v>0</v>
      </c>
      <c r="M1747">
        <f>VLOOKUP(B1747,purchase_dataset!$B$2:$F$2241,3,FALSE)</f>
        <v>0</v>
      </c>
      <c r="N1747">
        <f>VLOOKUP(B1747,purchase_dataset!$B$2:$F$2241,5,FALSE)</f>
        <v>7</v>
      </c>
      <c r="O1747" s="5">
        <v>57</v>
      </c>
      <c r="P1747" s="4" t="str">
        <f t="shared" si="54"/>
        <v>&gt;50</v>
      </c>
      <c r="Q1747" s="4">
        <f>M1747+N1747</f>
        <v>7</v>
      </c>
      <c r="U1747" s="28" t="str" cm="1">
        <f t="array" ref="U1747">_xlfn.IFS(F1747&lt;30000,"30k",F1747&lt;=50000,"30k-50k",F1747&lt;=75000,"50k-75k",F1747&lt;=100000,"75k-100k",F1747&gt;100000,"100k")</f>
        <v>50k-75k</v>
      </c>
      <c r="W1747" s="1">
        <f t="shared" si="55"/>
        <v>13</v>
      </c>
    </row>
    <row r="1748" spans="1:23" x14ac:dyDescent="0.35">
      <c r="A1748">
        <v>1745</v>
      </c>
      <c r="B1748">
        <v>9292</v>
      </c>
      <c r="C1748">
        <v>1952</v>
      </c>
      <c r="D1748" s="1" t="s">
        <v>10</v>
      </c>
      <c r="E1748" s="1" t="s">
        <v>14</v>
      </c>
      <c r="F1748">
        <v>81795</v>
      </c>
      <c r="G1748">
        <v>0</v>
      </c>
      <c r="H1748" s="2">
        <v>0</v>
      </c>
      <c r="I1748" s="2">
        <v>41208</v>
      </c>
      <c r="J1748">
        <v>74</v>
      </c>
      <c r="K1748">
        <f>VLOOKUP(B1748,purchase_dataset!$B$2:$F$2241,2,FALSE)</f>
        <v>132</v>
      </c>
      <c r="L1748">
        <f>VLOOKUP(B1748,purchase_dataset!$B$2:$F$2241,3,FALSE)</f>
        <v>118</v>
      </c>
      <c r="M1748">
        <f>VLOOKUP(B1748,purchase_dataset!$B$2:$F$2241,3,FALSE)</f>
        <v>118</v>
      </c>
      <c r="N1748">
        <f>VLOOKUP(B1748,purchase_dataset!$B$2:$F$2241,5,FALSE)</f>
        <v>7</v>
      </c>
      <c r="O1748" s="5">
        <v>74</v>
      </c>
      <c r="P1748" s="4" t="str">
        <f t="shared" si="54"/>
        <v>&gt;50</v>
      </c>
      <c r="Q1748" s="4">
        <f>M1748+N1748</f>
        <v>125</v>
      </c>
      <c r="U1748" s="28" t="str" cm="1">
        <f t="array" ref="U1748">_xlfn.IFS(F1748&lt;30000,"30k",F1748&lt;=50000,"30k-50k",F1748&lt;=75000,"50k-75k",F1748&lt;=100000,"75k-100k",F1748&gt;100000,"100k")</f>
        <v>75k-100k</v>
      </c>
      <c r="W1748" s="1">
        <f t="shared" si="55"/>
        <v>14</v>
      </c>
    </row>
    <row r="1749" spans="1:23" x14ac:dyDescent="0.35">
      <c r="A1749">
        <v>1746</v>
      </c>
      <c r="B1749">
        <v>10250</v>
      </c>
      <c r="C1749">
        <v>1947</v>
      </c>
      <c r="D1749" s="1" t="s">
        <v>17</v>
      </c>
      <c r="E1749" s="1" t="s">
        <v>12</v>
      </c>
      <c r="F1749">
        <v>28389</v>
      </c>
      <c r="G1749">
        <v>0</v>
      </c>
      <c r="H1749" s="2">
        <v>0</v>
      </c>
      <c r="I1749" s="2">
        <v>41233</v>
      </c>
      <c r="J1749">
        <v>49</v>
      </c>
      <c r="K1749">
        <f>VLOOKUP(B1749,purchase_dataset!$B$2:$F$2241,2,FALSE)</f>
        <v>5</v>
      </c>
      <c r="L1749">
        <f>VLOOKUP(B1749,purchase_dataset!$B$2:$F$2241,3,FALSE)</f>
        <v>4</v>
      </c>
      <c r="M1749">
        <f>VLOOKUP(B1749,purchase_dataset!$B$2:$F$2241,3,FALSE)</f>
        <v>4</v>
      </c>
      <c r="N1749">
        <f>VLOOKUP(B1749,purchase_dataset!$B$2:$F$2241,5,FALSE)</f>
        <v>2</v>
      </c>
      <c r="O1749" s="5">
        <v>79</v>
      </c>
      <c r="P1749" s="4" t="str">
        <f t="shared" si="54"/>
        <v>&gt;50</v>
      </c>
      <c r="Q1749" s="4">
        <f>M1749+N1749</f>
        <v>6</v>
      </c>
      <c r="U1749" s="28" t="str" cm="1">
        <f t="array" ref="U1749">_xlfn.IFS(F1749&lt;30000,"30k",F1749&lt;=50000,"30k-50k",F1749&lt;=75000,"50k-75k",F1749&lt;=100000,"75k-100k",F1749&gt;100000,"100k")</f>
        <v>30k</v>
      </c>
      <c r="W1749" s="1">
        <f t="shared" si="55"/>
        <v>14</v>
      </c>
    </row>
    <row r="1750" spans="1:23" x14ac:dyDescent="0.35">
      <c r="A1750">
        <v>1747</v>
      </c>
      <c r="B1750">
        <v>7881</v>
      </c>
      <c r="C1750">
        <v>1946</v>
      </c>
      <c r="D1750" s="1" t="s">
        <v>15</v>
      </c>
      <c r="E1750" s="1" t="s">
        <v>14</v>
      </c>
      <c r="F1750">
        <v>66835</v>
      </c>
      <c r="G1750">
        <v>0</v>
      </c>
      <c r="H1750" s="2">
        <v>0</v>
      </c>
      <c r="I1750" s="2">
        <v>41545</v>
      </c>
      <c r="J1750">
        <v>21</v>
      </c>
      <c r="K1750">
        <f>VLOOKUP(B1750,purchase_dataset!$B$2:$F$2241,2,FALSE)</f>
        <v>26</v>
      </c>
      <c r="L1750">
        <f>VLOOKUP(B1750,purchase_dataset!$B$2:$F$2241,3,FALSE)</f>
        <v>17</v>
      </c>
      <c r="M1750">
        <f>VLOOKUP(B1750,purchase_dataset!$B$2:$F$2241,3,FALSE)</f>
        <v>17</v>
      </c>
      <c r="N1750">
        <f>VLOOKUP(B1750,purchase_dataset!$B$2:$F$2241,5,FALSE)</f>
        <v>13</v>
      </c>
      <c r="O1750" s="5">
        <v>80</v>
      </c>
      <c r="P1750" s="4" t="str">
        <f t="shared" si="54"/>
        <v>&gt;50</v>
      </c>
      <c r="Q1750" s="4">
        <f>M1750+N1750</f>
        <v>30</v>
      </c>
      <c r="U1750" s="28" t="str" cm="1">
        <f t="array" ref="U1750">_xlfn.IFS(F1750&lt;30000,"30k",F1750&lt;=50000,"30k-50k",F1750&lt;=75000,"50k-75k",F1750&lt;=100000,"75k-100k",F1750&gt;100000,"100k")</f>
        <v>50k-75k</v>
      </c>
      <c r="W1750" s="1">
        <f t="shared" si="55"/>
        <v>13</v>
      </c>
    </row>
    <row r="1751" spans="1:23" x14ac:dyDescent="0.35">
      <c r="A1751">
        <v>1748</v>
      </c>
      <c r="B1751">
        <v>5847</v>
      </c>
      <c r="C1751">
        <v>1969</v>
      </c>
      <c r="D1751" s="1" t="s">
        <v>10</v>
      </c>
      <c r="E1751" s="1" t="s">
        <v>16</v>
      </c>
      <c r="F1751">
        <v>69901</v>
      </c>
      <c r="G1751">
        <v>0</v>
      </c>
      <c r="H1751" s="2">
        <v>1</v>
      </c>
      <c r="I1751" s="2">
        <v>41423</v>
      </c>
      <c r="J1751">
        <v>95</v>
      </c>
      <c r="K1751">
        <f>VLOOKUP(B1751,purchase_dataset!$B$2:$F$2241,2,FALSE)</f>
        <v>21</v>
      </c>
      <c r="L1751">
        <f>VLOOKUP(B1751,purchase_dataset!$B$2:$F$2241,3,FALSE)</f>
        <v>92</v>
      </c>
      <c r="M1751">
        <f>VLOOKUP(B1751,purchase_dataset!$B$2:$F$2241,3,FALSE)</f>
        <v>92</v>
      </c>
      <c r="N1751">
        <f>VLOOKUP(B1751,purchase_dataset!$B$2:$F$2241,5,FALSE)</f>
        <v>10</v>
      </c>
      <c r="O1751" s="5">
        <v>57</v>
      </c>
      <c r="P1751" s="4" t="str">
        <f t="shared" si="54"/>
        <v>&gt;50</v>
      </c>
      <c r="Q1751" s="4">
        <f>M1751+N1751</f>
        <v>102</v>
      </c>
      <c r="U1751" s="28" t="str" cm="1">
        <f t="array" ref="U1751">_xlfn.IFS(F1751&lt;30000,"30k",F1751&lt;=50000,"30k-50k",F1751&lt;=75000,"50k-75k",F1751&lt;=100000,"75k-100k",F1751&gt;100000,"100k")</f>
        <v>50k-75k</v>
      </c>
      <c r="W1751" s="1">
        <f t="shared" si="55"/>
        <v>13</v>
      </c>
    </row>
    <row r="1752" spans="1:23" x14ac:dyDescent="0.35">
      <c r="A1752">
        <v>1749</v>
      </c>
      <c r="B1752">
        <v>737</v>
      </c>
      <c r="C1752">
        <v>1949</v>
      </c>
      <c r="D1752" s="1" t="s">
        <v>13</v>
      </c>
      <c r="E1752" s="1" t="s">
        <v>14</v>
      </c>
      <c r="F1752">
        <v>80360</v>
      </c>
      <c r="G1752">
        <v>0</v>
      </c>
      <c r="H1752" s="2">
        <v>0</v>
      </c>
      <c r="I1752" s="2">
        <v>41336</v>
      </c>
      <c r="J1752">
        <v>56</v>
      </c>
      <c r="K1752">
        <f>VLOOKUP(B1752,purchase_dataset!$B$2:$F$2241,2,FALSE)</f>
        <v>86</v>
      </c>
      <c r="L1752">
        <f>VLOOKUP(B1752,purchase_dataset!$B$2:$F$2241,3,FALSE)</f>
        <v>43</v>
      </c>
      <c r="M1752">
        <f>VLOOKUP(B1752,purchase_dataset!$B$2:$F$2241,3,FALSE)</f>
        <v>43</v>
      </c>
      <c r="N1752">
        <f>VLOOKUP(B1752,purchase_dataset!$B$2:$F$2241,5,FALSE)</f>
        <v>5</v>
      </c>
      <c r="O1752" s="5">
        <v>77</v>
      </c>
      <c r="P1752" s="4" t="str">
        <f t="shared" si="54"/>
        <v>&gt;50</v>
      </c>
      <c r="Q1752" s="4">
        <f>M1752+N1752</f>
        <v>48</v>
      </c>
      <c r="U1752" s="28" t="str" cm="1">
        <f t="array" ref="U1752">_xlfn.IFS(F1752&lt;30000,"30k",F1752&lt;=50000,"30k-50k",F1752&lt;=75000,"50k-75k",F1752&lt;=100000,"75k-100k",F1752&gt;100000,"100k")</f>
        <v>75k-100k</v>
      </c>
      <c r="W1752" s="1">
        <f t="shared" si="55"/>
        <v>13</v>
      </c>
    </row>
    <row r="1753" spans="1:23" x14ac:dyDescent="0.35">
      <c r="A1753">
        <v>1750</v>
      </c>
      <c r="B1753">
        <v>3571</v>
      </c>
      <c r="C1753">
        <v>1961</v>
      </c>
      <c r="D1753" s="1" t="s">
        <v>13</v>
      </c>
      <c r="E1753" s="1" t="s">
        <v>12</v>
      </c>
      <c r="F1753">
        <v>63342</v>
      </c>
      <c r="G1753">
        <v>0</v>
      </c>
      <c r="H1753" s="2">
        <v>1</v>
      </c>
      <c r="I1753" s="2">
        <v>41198</v>
      </c>
      <c r="J1753">
        <v>48</v>
      </c>
      <c r="K1753">
        <f>VLOOKUP(B1753,purchase_dataset!$B$2:$F$2241,2,FALSE)</f>
        <v>21</v>
      </c>
      <c r="L1753">
        <f>VLOOKUP(B1753,purchase_dataset!$B$2:$F$2241,3,FALSE)</f>
        <v>10</v>
      </c>
      <c r="M1753">
        <f>VLOOKUP(B1753,purchase_dataset!$B$2:$F$2241,3,FALSE)</f>
        <v>10</v>
      </c>
      <c r="N1753">
        <f>VLOOKUP(B1753,purchase_dataset!$B$2:$F$2241,5,FALSE)</f>
        <v>5</v>
      </c>
      <c r="O1753" s="5">
        <v>65</v>
      </c>
      <c r="P1753" s="4" t="str">
        <f t="shared" si="54"/>
        <v>&gt;50</v>
      </c>
      <c r="Q1753" s="4">
        <f>M1753+N1753</f>
        <v>15</v>
      </c>
      <c r="U1753" s="28" t="str" cm="1">
        <f t="array" ref="U1753">_xlfn.IFS(F1753&lt;30000,"30k",F1753&lt;=50000,"30k-50k",F1753&lt;=75000,"50k-75k",F1753&lt;=100000,"75k-100k",F1753&gt;100000,"100k")</f>
        <v>50k-75k</v>
      </c>
      <c r="W1753" s="1">
        <f t="shared" si="55"/>
        <v>14</v>
      </c>
    </row>
    <row r="1754" spans="1:23" x14ac:dyDescent="0.35">
      <c r="A1754">
        <v>1751</v>
      </c>
      <c r="B1754">
        <v>7807</v>
      </c>
      <c r="C1754">
        <v>1974</v>
      </c>
      <c r="D1754" s="1" t="s">
        <v>10</v>
      </c>
      <c r="E1754" s="1" t="s">
        <v>14</v>
      </c>
      <c r="F1754">
        <v>44989</v>
      </c>
      <c r="G1754">
        <v>0</v>
      </c>
      <c r="H1754" s="2">
        <v>1</v>
      </c>
      <c r="I1754" s="2">
        <v>41164</v>
      </c>
      <c r="J1754">
        <v>26</v>
      </c>
      <c r="K1754">
        <f>VLOOKUP(B1754,purchase_dataset!$B$2:$F$2241,2,FALSE)</f>
        <v>0</v>
      </c>
      <c r="L1754">
        <f>VLOOKUP(B1754,purchase_dataset!$B$2:$F$2241,3,FALSE)</f>
        <v>10</v>
      </c>
      <c r="M1754">
        <f>VLOOKUP(B1754,purchase_dataset!$B$2:$F$2241,3,FALSE)</f>
        <v>10</v>
      </c>
      <c r="N1754">
        <f>VLOOKUP(B1754,purchase_dataset!$B$2:$F$2241,5,FALSE)</f>
        <v>5</v>
      </c>
      <c r="O1754" s="5">
        <v>52</v>
      </c>
      <c r="P1754" s="4" t="str">
        <f t="shared" si="54"/>
        <v>&gt;50</v>
      </c>
      <c r="Q1754" s="4">
        <f>M1754+N1754</f>
        <v>15</v>
      </c>
      <c r="U1754" s="28" t="str" cm="1">
        <f t="array" ref="U1754">_xlfn.IFS(F1754&lt;30000,"30k",F1754&lt;=50000,"30k-50k",F1754&lt;=75000,"50k-75k",F1754&lt;=100000,"75k-100k",F1754&gt;100000,"100k")</f>
        <v>30k-50k</v>
      </c>
      <c r="W1754" s="1">
        <f t="shared" si="55"/>
        <v>14</v>
      </c>
    </row>
    <row r="1755" spans="1:23" x14ac:dyDescent="0.35">
      <c r="A1755">
        <v>1752</v>
      </c>
      <c r="B1755">
        <v>3878</v>
      </c>
      <c r="C1755">
        <v>1980</v>
      </c>
      <c r="D1755" s="1" t="s">
        <v>18</v>
      </c>
      <c r="E1755" s="1" t="s">
        <v>11</v>
      </c>
      <c r="F1755">
        <v>31859</v>
      </c>
      <c r="G1755">
        <v>1</v>
      </c>
      <c r="H1755" s="2">
        <v>0</v>
      </c>
      <c r="I1755" s="2">
        <v>41697</v>
      </c>
      <c r="J1755">
        <v>3</v>
      </c>
      <c r="K1755">
        <f>VLOOKUP(B1755,purchase_dataset!$B$2:$F$2241,2,FALSE)</f>
        <v>4</v>
      </c>
      <c r="L1755">
        <f>VLOOKUP(B1755,purchase_dataset!$B$2:$F$2241,3,FALSE)</f>
        <v>8</v>
      </c>
      <c r="M1755">
        <f>VLOOKUP(B1755,purchase_dataset!$B$2:$F$2241,3,FALSE)</f>
        <v>8</v>
      </c>
      <c r="N1755">
        <f>VLOOKUP(B1755,purchase_dataset!$B$2:$F$2241,5,FALSE)</f>
        <v>3</v>
      </c>
      <c r="O1755" s="5">
        <v>46</v>
      </c>
      <c r="P1755" s="4" t="str">
        <f t="shared" si="54"/>
        <v>30-50</v>
      </c>
      <c r="Q1755" s="4">
        <f>M1755+N1755</f>
        <v>11</v>
      </c>
      <c r="U1755" s="28" t="str" cm="1">
        <f t="array" ref="U1755">_xlfn.IFS(F1755&lt;30000,"30k",F1755&lt;=50000,"30k-50k",F1755&lt;=75000,"50k-75k",F1755&lt;=100000,"75k-100k",F1755&gt;100000,"100k")</f>
        <v>30k-50k</v>
      </c>
      <c r="W1755" s="1">
        <f t="shared" si="55"/>
        <v>12</v>
      </c>
    </row>
    <row r="1756" spans="1:23" x14ac:dyDescent="0.35">
      <c r="A1756">
        <v>1753</v>
      </c>
      <c r="B1756">
        <v>5092</v>
      </c>
      <c r="C1756">
        <v>1949</v>
      </c>
      <c r="D1756" s="1" t="s">
        <v>13</v>
      </c>
      <c r="E1756" s="1" t="s">
        <v>19</v>
      </c>
      <c r="F1756">
        <v>51569</v>
      </c>
      <c r="G1756">
        <v>0</v>
      </c>
      <c r="H1756" s="2">
        <v>1</v>
      </c>
      <c r="I1756" s="2">
        <v>41317</v>
      </c>
      <c r="J1756">
        <v>39</v>
      </c>
      <c r="K1756">
        <f>VLOOKUP(B1756,purchase_dataset!$B$2:$F$2241,2,FALSE)</f>
        <v>0</v>
      </c>
      <c r="L1756">
        <f>VLOOKUP(B1756,purchase_dataset!$B$2:$F$2241,3,FALSE)</f>
        <v>0</v>
      </c>
      <c r="M1756">
        <f>VLOOKUP(B1756,purchase_dataset!$B$2:$F$2241,3,FALSE)</f>
        <v>0</v>
      </c>
      <c r="N1756">
        <f>VLOOKUP(B1756,purchase_dataset!$B$2:$F$2241,5,FALSE)</f>
        <v>7</v>
      </c>
      <c r="O1756" s="5">
        <v>77</v>
      </c>
      <c r="P1756" s="4" t="str">
        <f t="shared" si="54"/>
        <v>&gt;50</v>
      </c>
      <c r="Q1756" s="4">
        <f>M1756+N1756</f>
        <v>7</v>
      </c>
      <c r="U1756" s="28" t="str" cm="1">
        <f t="array" ref="U1756">_xlfn.IFS(F1756&lt;30000,"30k",F1756&lt;=50000,"30k-50k",F1756&lt;=75000,"50k-75k",F1756&lt;=100000,"75k-100k",F1756&gt;100000,"100k")</f>
        <v>50k-75k</v>
      </c>
      <c r="W1756" s="1">
        <f t="shared" si="55"/>
        <v>13</v>
      </c>
    </row>
    <row r="1757" spans="1:23" x14ac:dyDescent="0.35">
      <c r="A1757">
        <v>1754</v>
      </c>
      <c r="B1757">
        <v>2154</v>
      </c>
      <c r="C1757">
        <v>1971</v>
      </c>
      <c r="D1757" s="1" t="s">
        <v>10</v>
      </c>
      <c r="E1757" s="1" t="s">
        <v>19</v>
      </c>
      <c r="F1757">
        <v>30372</v>
      </c>
      <c r="G1757">
        <v>1</v>
      </c>
      <c r="H1757" s="2">
        <v>1</v>
      </c>
      <c r="I1757" s="2">
        <v>41268</v>
      </c>
      <c r="J1757">
        <v>33</v>
      </c>
      <c r="K1757">
        <f>VLOOKUP(B1757,purchase_dataset!$B$2:$F$2241,2,FALSE)</f>
        <v>0</v>
      </c>
      <c r="L1757">
        <f>VLOOKUP(B1757,purchase_dataset!$B$2:$F$2241,3,FALSE)</f>
        <v>3</v>
      </c>
      <c r="M1757">
        <f>VLOOKUP(B1757,purchase_dataset!$B$2:$F$2241,3,FALSE)</f>
        <v>3</v>
      </c>
      <c r="N1757">
        <f>VLOOKUP(B1757,purchase_dataset!$B$2:$F$2241,5,FALSE)</f>
        <v>3</v>
      </c>
      <c r="O1757" s="5">
        <v>55</v>
      </c>
      <c r="P1757" s="4" t="str">
        <f t="shared" si="54"/>
        <v>&gt;50</v>
      </c>
      <c r="Q1757" s="4">
        <f>M1757+N1757</f>
        <v>6</v>
      </c>
      <c r="U1757" s="28" t="str" cm="1">
        <f t="array" ref="U1757">_xlfn.IFS(F1757&lt;30000,"30k",F1757&lt;=50000,"30k-50k",F1757&lt;=75000,"50k-75k",F1757&lt;=100000,"75k-100k",F1757&gt;100000,"100k")</f>
        <v>30k-50k</v>
      </c>
      <c r="W1757" s="1">
        <f t="shared" si="55"/>
        <v>14</v>
      </c>
    </row>
    <row r="1758" spans="1:23" x14ac:dyDescent="0.35">
      <c r="A1758">
        <v>1755</v>
      </c>
      <c r="B1758">
        <v>5394</v>
      </c>
      <c r="C1758">
        <v>1979</v>
      </c>
      <c r="D1758" s="1" t="s">
        <v>17</v>
      </c>
      <c r="E1758" s="1" t="s">
        <v>11</v>
      </c>
      <c r="F1758">
        <v>16014</v>
      </c>
      <c r="G1758">
        <v>1</v>
      </c>
      <c r="H1758" s="2">
        <v>1</v>
      </c>
      <c r="I1758" s="2">
        <v>41350</v>
      </c>
      <c r="J1758">
        <v>42</v>
      </c>
      <c r="K1758">
        <f>VLOOKUP(B1758,purchase_dataset!$B$2:$F$2241,2,FALSE)</f>
        <v>9</v>
      </c>
      <c r="L1758">
        <f>VLOOKUP(B1758,purchase_dataset!$B$2:$F$2241,3,FALSE)</f>
        <v>8</v>
      </c>
      <c r="M1758">
        <f>VLOOKUP(B1758,purchase_dataset!$B$2:$F$2241,3,FALSE)</f>
        <v>8</v>
      </c>
      <c r="N1758">
        <f>VLOOKUP(B1758,purchase_dataset!$B$2:$F$2241,5,FALSE)</f>
        <v>4</v>
      </c>
      <c r="O1758" s="5">
        <v>47</v>
      </c>
      <c r="P1758" s="4" t="str">
        <f t="shared" si="54"/>
        <v>30-50</v>
      </c>
      <c r="Q1758" s="4">
        <f>M1758+N1758</f>
        <v>12</v>
      </c>
      <c r="U1758" s="28" t="str" cm="1">
        <f t="array" ref="U1758">_xlfn.IFS(F1758&lt;30000,"30k",F1758&lt;=50000,"30k-50k",F1758&lt;=75000,"50k-75k",F1758&lt;=100000,"75k-100k",F1758&gt;100000,"100k")</f>
        <v>30k</v>
      </c>
      <c r="W1758" s="1">
        <f t="shared" si="55"/>
        <v>13</v>
      </c>
    </row>
    <row r="1759" spans="1:23" x14ac:dyDescent="0.35">
      <c r="A1759">
        <v>1756</v>
      </c>
      <c r="B1759">
        <v>3798</v>
      </c>
      <c r="C1759">
        <v>1968</v>
      </c>
      <c r="D1759" s="1" t="s">
        <v>10</v>
      </c>
      <c r="E1759" s="1" t="s">
        <v>14</v>
      </c>
      <c r="F1759">
        <v>41120</v>
      </c>
      <c r="G1759">
        <v>1</v>
      </c>
      <c r="H1759" s="2">
        <v>1</v>
      </c>
      <c r="I1759" s="2">
        <v>41584</v>
      </c>
      <c r="J1759">
        <v>80</v>
      </c>
      <c r="K1759">
        <f>VLOOKUP(B1759,purchase_dataset!$B$2:$F$2241,2,FALSE)</f>
        <v>2</v>
      </c>
      <c r="L1759">
        <f>VLOOKUP(B1759,purchase_dataset!$B$2:$F$2241,3,FALSE)</f>
        <v>8</v>
      </c>
      <c r="M1759">
        <f>VLOOKUP(B1759,purchase_dataset!$B$2:$F$2241,3,FALSE)</f>
        <v>8</v>
      </c>
      <c r="N1759">
        <f>VLOOKUP(B1759,purchase_dataset!$B$2:$F$2241,5,FALSE)</f>
        <v>3</v>
      </c>
      <c r="O1759" s="5">
        <v>58</v>
      </c>
      <c r="P1759" s="4" t="str">
        <f t="shared" si="54"/>
        <v>&gt;50</v>
      </c>
      <c r="Q1759" s="4">
        <f>M1759+N1759</f>
        <v>11</v>
      </c>
      <c r="U1759" s="28" t="str" cm="1">
        <f t="array" ref="U1759">_xlfn.IFS(F1759&lt;30000,"30k",F1759&lt;=50000,"30k-50k",F1759&lt;=75000,"50k-75k",F1759&lt;=100000,"75k-100k",F1759&gt;100000,"100k")</f>
        <v>30k-50k</v>
      </c>
      <c r="W1759" s="1">
        <f t="shared" si="55"/>
        <v>13</v>
      </c>
    </row>
    <row r="1760" spans="1:23" x14ac:dyDescent="0.35">
      <c r="A1760">
        <v>1757</v>
      </c>
      <c r="B1760">
        <v>3524</v>
      </c>
      <c r="C1760">
        <v>1971</v>
      </c>
      <c r="D1760" s="1" t="s">
        <v>15</v>
      </c>
      <c r="E1760" s="1" t="s">
        <v>11</v>
      </c>
      <c r="F1760">
        <v>39763</v>
      </c>
      <c r="G1760">
        <v>1</v>
      </c>
      <c r="H1760" s="2">
        <v>0</v>
      </c>
      <c r="I1760" s="2">
        <v>41490</v>
      </c>
      <c r="J1760">
        <v>9</v>
      </c>
      <c r="K1760">
        <f>VLOOKUP(B1760,purchase_dataset!$B$2:$F$2241,2,FALSE)</f>
        <v>1</v>
      </c>
      <c r="L1760">
        <f>VLOOKUP(B1760,purchase_dataset!$B$2:$F$2241,3,FALSE)</f>
        <v>6</v>
      </c>
      <c r="M1760">
        <f>VLOOKUP(B1760,purchase_dataset!$B$2:$F$2241,3,FALSE)</f>
        <v>6</v>
      </c>
      <c r="N1760">
        <f>VLOOKUP(B1760,purchase_dataset!$B$2:$F$2241,5,FALSE)</f>
        <v>2</v>
      </c>
      <c r="O1760" s="5">
        <v>55</v>
      </c>
      <c r="P1760" s="4" t="str">
        <f t="shared" si="54"/>
        <v>&gt;50</v>
      </c>
      <c r="Q1760" s="4">
        <f>M1760+N1760</f>
        <v>8</v>
      </c>
      <c r="U1760" s="28" t="str" cm="1">
        <f t="array" ref="U1760">_xlfn.IFS(F1760&lt;30000,"30k",F1760&lt;=50000,"30k-50k",F1760&lt;=75000,"50k-75k",F1760&lt;=100000,"75k-100k",F1760&gt;100000,"100k")</f>
        <v>30k-50k</v>
      </c>
      <c r="W1760" s="1">
        <f t="shared" si="55"/>
        <v>13</v>
      </c>
    </row>
    <row r="1761" spans="1:23" x14ac:dyDescent="0.35">
      <c r="A1761">
        <v>1758</v>
      </c>
      <c r="B1761">
        <v>5247</v>
      </c>
      <c r="C1761">
        <v>1955</v>
      </c>
      <c r="D1761" s="1" t="s">
        <v>13</v>
      </c>
      <c r="E1761" s="1" t="s">
        <v>14</v>
      </c>
      <c r="F1761">
        <v>38725</v>
      </c>
      <c r="G1761">
        <v>1</v>
      </c>
      <c r="H1761" s="2">
        <v>1</v>
      </c>
      <c r="I1761" s="2">
        <v>41769</v>
      </c>
      <c r="J1761">
        <v>52</v>
      </c>
      <c r="K1761">
        <f>VLOOKUP(B1761,purchase_dataset!$B$2:$F$2241,2,FALSE)</f>
        <v>0</v>
      </c>
      <c r="L1761">
        <f>VLOOKUP(B1761,purchase_dataset!$B$2:$F$2241,3,FALSE)</f>
        <v>1</v>
      </c>
      <c r="M1761">
        <f>VLOOKUP(B1761,purchase_dataset!$B$2:$F$2241,3,FALSE)</f>
        <v>1</v>
      </c>
      <c r="N1761">
        <f>VLOOKUP(B1761,purchase_dataset!$B$2:$F$2241,5,FALSE)</f>
        <v>4</v>
      </c>
      <c r="O1761" s="5">
        <v>71</v>
      </c>
      <c r="P1761" s="4" t="str">
        <f t="shared" si="54"/>
        <v>&gt;50</v>
      </c>
      <c r="Q1761" s="4">
        <f>M1761+N1761</f>
        <v>5</v>
      </c>
      <c r="U1761" s="28" t="str" cm="1">
        <f t="array" ref="U1761">_xlfn.IFS(F1761&lt;30000,"30k",F1761&lt;=50000,"30k-50k",F1761&lt;=75000,"50k-75k",F1761&lt;=100000,"75k-100k",F1761&gt;100000,"100k")</f>
        <v>30k-50k</v>
      </c>
      <c r="W1761" s="1">
        <f t="shared" si="55"/>
        <v>12</v>
      </c>
    </row>
    <row r="1762" spans="1:23" x14ac:dyDescent="0.35">
      <c r="A1762">
        <v>1759</v>
      </c>
      <c r="B1762">
        <v>5883</v>
      </c>
      <c r="C1762">
        <v>1972</v>
      </c>
      <c r="D1762" s="1" t="s">
        <v>10</v>
      </c>
      <c r="E1762" s="1" t="s">
        <v>14</v>
      </c>
      <c r="F1762">
        <v>77981</v>
      </c>
      <c r="G1762">
        <v>1</v>
      </c>
      <c r="H1762" s="2">
        <v>0</v>
      </c>
      <c r="I1762" s="2">
        <v>41420</v>
      </c>
      <c r="J1762">
        <v>78</v>
      </c>
      <c r="K1762">
        <f>VLOOKUP(B1762,purchase_dataset!$B$2:$F$2241,2,FALSE)</f>
        <v>120</v>
      </c>
      <c r="L1762">
        <f>VLOOKUP(B1762,purchase_dataset!$B$2:$F$2241,3,FALSE)</f>
        <v>126</v>
      </c>
      <c r="M1762">
        <f>VLOOKUP(B1762,purchase_dataset!$B$2:$F$2241,3,FALSE)</f>
        <v>126</v>
      </c>
      <c r="N1762">
        <f>VLOOKUP(B1762,purchase_dataset!$B$2:$F$2241,5,FALSE)</f>
        <v>7</v>
      </c>
      <c r="O1762" s="5">
        <v>54</v>
      </c>
      <c r="P1762" s="4" t="str">
        <f t="shared" si="54"/>
        <v>&gt;50</v>
      </c>
      <c r="Q1762" s="4">
        <f>M1762+N1762</f>
        <v>133</v>
      </c>
      <c r="U1762" s="28" t="str" cm="1">
        <f t="array" ref="U1762">_xlfn.IFS(F1762&lt;30000,"30k",F1762&lt;=50000,"30k-50k",F1762&lt;=75000,"50k-75k",F1762&lt;=100000,"75k-100k",F1762&gt;100000,"100k")</f>
        <v>75k-100k</v>
      </c>
      <c r="W1762" s="1">
        <f t="shared" si="55"/>
        <v>13</v>
      </c>
    </row>
    <row r="1763" spans="1:23" x14ac:dyDescent="0.35">
      <c r="A1763">
        <v>1760</v>
      </c>
      <c r="B1763">
        <v>2118</v>
      </c>
      <c r="C1763">
        <v>1964</v>
      </c>
      <c r="D1763" s="1" t="s">
        <v>18</v>
      </c>
      <c r="E1763" s="1" t="s">
        <v>14</v>
      </c>
      <c r="F1763">
        <v>62905</v>
      </c>
      <c r="G1763">
        <v>0</v>
      </c>
      <c r="H1763" s="2">
        <v>1</v>
      </c>
      <c r="I1763" s="2">
        <v>41527</v>
      </c>
      <c r="J1763">
        <v>68</v>
      </c>
      <c r="K1763">
        <f>VLOOKUP(B1763,purchase_dataset!$B$2:$F$2241,2,FALSE)</f>
        <v>75</v>
      </c>
      <c r="L1763">
        <f>VLOOKUP(B1763,purchase_dataset!$B$2:$F$2241,3,FALSE)</f>
        <v>107</v>
      </c>
      <c r="M1763">
        <f>VLOOKUP(B1763,purchase_dataset!$B$2:$F$2241,3,FALSE)</f>
        <v>107</v>
      </c>
      <c r="N1763">
        <f>VLOOKUP(B1763,purchase_dataset!$B$2:$F$2241,5,FALSE)</f>
        <v>8</v>
      </c>
      <c r="O1763" s="5">
        <v>62</v>
      </c>
      <c r="P1763" s="4" t="str">
        <f t="shared" si="54"/>
        <v>&gt;50</v>
      </c>
      <c r="Q1763" s="4">
        <f>M1763+N1763</f>
        <v>115</v>
      </c>
      <c r="U1763" s="28" t="str" cm="1">
        <f t="array" ref="U1763">_xlfn.IFS(F1763&lt;30000,"30k",F1763&lt;=50000,"30k-50k",F1763&lt;=75000,"50k-75k",F1763&lt;=100000,"75k-100k",F1763&gt;100000,"100k")</f>
        <v>50k-75k</v>
      </c>
      <c r="W1763" s="1">
        <f t="shared" si="55"/>
        <v>13</v>
      </c>
    </row>
    <row r="1764" spans="1:23" x14ac:dyDescent="0.35">
      <c r="A1764">
        <v>1761</v>
      </c>
      <c r="B1764">
        <v>8812</v>
      </c>
      <c r="C1764">
        <v>1979</v>
      </c>
      <c r="D1764" s="1" t="s">
        <v>18</v>
      </c>
      <c r="E1764" s="1" t="s">
        <v>16</v>
      </c>
      <c r="F1764">
        <v>13533</v>
      </c>
      <c r="G1764">
        <v>1</v>
      </c>
      <c r="H1764" s="2">
        <v>0</v>
      </c>
      <c r="I1764" s="2">
        <v>41343</v>
      </c>
      <c r="J1764">
        <v>45</v>
      </c>
      <c r="K1764">
        <f>VLOOKUP(B1764,purchase_dataset!$B$2:$F$2241,2,FALSE)</f>
        <v>3</v>
      </c>
      <c r="L1764">
        <f>VLOOKUP(B1764,purchase_dataset!$B$2:$F$2241,3,FALSE)</f>
        <v>0</v>
      </c>
      <c r="M1764">
        <f>VLOOKUP(B1764,purchase_dataset!$B$2:$F$2241,3,FALSE)</f>
        <v>0</v>
      </c>
      <c r="N1764">
        <f>VLOOKUP(B1764,purchase_dataset!$B$2:$F$2241,5,FALSE)</f>
        <v>3</v>
      </c>
      <c r="O1764" s="5">
        <v>47</v>
      </c>
      <c r="P1764" s="4" t="str">
        <f t="shared" si="54"/>
        <v>30-50</v>
      </c>
      <c r="Q1764" s="4">
        <f>M1764+N1764</f>
        <v>3</v>
      </c>
      <c r="U1764" s="28" t="str" cm="1">
        <f t="array" ref="U1764">_xlfn.IFS(F1764&lt;30000,"30k",F1764&lt;=50000,"30k-50k",F1764&lt;=75000,"50k-75k",F1764&lt;=100000,"75k-100k",F1764&gt;100000,"100k")</f>
        <v>30k</v>
      </c>
      <c r="W1764" s="1">
        <f t="shared" si="55"/>
        <v>13</v>
      </c>
    </row>
    <row r="1765" spans="1:23" x14ac:dyDescent="0.35">
      <c r="A1765">
        <v>1762</v>
      </c>
      <c r="B1765">
        <v>6616</v>
      </c>
      <c r="C1765">
        <v>1975</v>
      </c>
      <c r="D1765" s="1" t="s">
        <v>10</v>
      </c>
      <c r="E1765" s="1" t="s">
        <v>12</v>
      </c>
      <c r="F1765">
        <v>59481</v>
      </c>
      <c r="G1765">
        <v>0</v>
      </c>
      <c r="H1765" s="2">
        <v>1</v>
      </c>
      <c r="I1765" s="2">
        <v>41570</v>
      </c>
      <c r="J1765">
        <v>47</v>
      </c>
      <c r="K1765">
        <f>VLOOKUP(B1765,purchase_dataset!$B$2:$F$2241,2,FALSE)</f>
        <v>3</v>
      </c>
      <c r="L1765">
        <f>VLOOKUP(B1765,purchase_dataset!$B$2:$F$2241,3,FALSE)</f>
        <v>66</v>
      </c>
      <c r="M1765">
        <f>VLOOKUP(B1765,purchase_dataset!$B$2:$F$2241,3,FALSE)</f>
        <v>66</v>
      </c>
      <c r="N1765">
        <f>VLOOKUP(B1765,purchase_dataset!$B$2:$F$2241,5,FALSE)</f>
        <v>8</v>
      </c>
      <c r="O1765" s="5">
        <v>51</v>
      </c>
      <c r="P1765" s="4" t="str">
        <f t="shared" si="54"/>
        <v>&gt;50</v>
      </c>
      <c r="Q1765" s="4">
        <f>M1765+N1765</f>
        <v>74</v>
      </c>
      <c r="U1765" s="28" t="str" cm="1">
        <f t="array" ref="U1765">_xlfn.IFS(F1765&lt;30000,"30k",F1765&lt;=50000,"30k-50k",F1765&lt;=75000,"50k-75k",F1765&lt;=100000,"75k-100k",F1765&gt;100000,"100k")</f>
        <v>50k-75k</v>
      </c>
      <c r="W1765" s="1">
        <f t="shared" si="55"/>
        <v>13</v>
      </c>
    </row>
    <row r="1766" spans="1:23" x14ac:dyDescent="0.35">
      <c r="A1766">
        <v>1763</v>
      </c>
      <c r="B1766">
        <v>2797</v>
      </c>
      <c r="C1766">
        <v>1977</v>
      </c>
      <c r="D1766" s="1" t="s">
        <v>10</v>
      </c>
      <c r="E1766" s="1" t="s">
        <v>14</v>
      </c>
      <c r="F1766">
        <v>72117</v>
      </c>
      <c r="G1766">
        <v>0</v>
      </c>
      <c r="H1766" s="2">
        <v>1</v>
      </c>
      <c r="I1766" s="2">
        <v>41506</v>
      </c>
      <c r="J1766">
        <v>34</v>
      </c>
      <c r="K1766">
        <f>VLOOKUP(B1766,purchase_dataset!$B$2:$F$2241,2,FALSE)</f>
        <v>20</v>
      </c>
      <c r="L1766">
        <f>VLOOKUP(B1766,purchase_dataset!$B$2:$F$2241,3,FALSE)</f>
        <v>60</v>
      </c>
      <c r="M1766">
        <f>VLOOKUP(B1766,purchase_dataset!$B$2:$F$2241,3,FALSE)</f>
        <v>60</v>
      </c>
      <c r="N1766">
        <f>VLOOKUP(B1766,purchase_dataset!$B$2:$F$2241,5,FALSE)</f>
        <v>9</v>
      </c>
      <c r="O1766" s="5">
        <v>49</v>
      </c>
      <c r="P1766" s="4" t="str">
        <f t="shared" si="54"/>
        <v>30-50</v>
      </c>
      <c r="Q1766" s="4">
        <f>M1766+N1766</f>
        <v>69</v>
      </c>
      <c r="U1766" s="28" t="str" cm="1">
        <f t="array" ref="U1766">_xlfn.IFS(F1766&lt;30000,"30k",F1766&lt;=50000,"30k-50k",F1766&lt;=75000,"50k-75k",F1766&lt;=100000,"75k-100k",F1766&gt;100000,"100k")</f>
        <v>50k-75k</v>
      </c>
      <c r="W1766" s="1">
        <f t="shared" si="55"/>
        <v>13</v>
      </c>
    </row>
    <row r="1767" spans="1:23" x14ac:dyDescent="0.35">
      <c r="A1767">
        <v>1764</v>
      </c>
      <c r="B1767">
        <v>4328</v>
      </c>
      <c r="C1767">
        <v>1986</v>
      </c>
      <c r="D1767" s="1" t="s">
        <v>18</v>
      </c>
      <c r="E1767" s="1" t="s">
        <v>14</v>
      </c>
      <c r="F1767">
        <v>21955</v>
      </c>
      <c r="G1767">
        <v>1</v>
      </c>
      <c r="H1767" s="2">
        <v>0</v>
      </c>
      <c r="I1767" s="2">
        <v>41524</v>
      </c>
      <c r="J1767">
        <v>81</v>
      </c>
      <c r="K1767">
        <f>VLOOKUP(B1767,purchase_dataset!$B$2:$F$2241,2,FALSE)</f>
        <v>1</v>
      </c>
      <c r="L1767">
        <f>VLOOKUP(B1767,purchase_dataset!$B$2:$F$2241,3,FALSE)</f>
        <v>14</v>
      </c>
      <c r="M1767">
        <f>VLOOKUP(B1767,purchase_dataset!$B$2:$F$2241,3,FALSE)</f>
        <v>14</v>
      </c>
      <c r="N1767">
        <f>VLOOKUP(B1767,purchase_dataset!$B$2:$F$2241,5,FALSE)</f>
        <v>3</v>
      </c>
      <c r="O1767" s="5">
        <v>40</v>
      </c>
      <c r="P1767" s="4" t="str">
        <f t="shared" si="54"/>
        <v>30-50</v>
      </c>
      <c r="Q1767" s="4">
        <f>M1767+N1767</f>
        <v>17</v>
      </c>
      <c r="U1767" s="28" t="str" cm="1">
        <f t="array" ref="U1767">_xlfn.IFS(F1767&lt;30000,"30k",F1767&lt;=50000,"30k-50k",F1767&lt;=75000,"50k-75k",F1767&lt;=100000,"75k-100k",F1767&gt;100000,"100k")</f>
        <v>30k</v>
      </c>
      <c r="W1767" s="1">
        <f t="shared" si="55"/>
        <v>13</v>
      </c>
    </row>
    <row r="1768" spans="1:23" x14ac:dyDescent="0.35">
      <c r="A1768">
        <v>1765</v>
      </c>
      <c r="B1768">
        <v>9167</v>
      </c>
      <c r="C1768">
        <v>1956</v>
      </c>
      <c r="D1768" s="1" t="s">
        <v>10</v>
      </c>
      <c r="E1768" s="1" t="s">
        <v>14</v>
      </c>
      <c r="F1768">
        <v>67131</v>
      </c>
      <c r="G1768">
        <v>0</v>
      </c>
      <c r="H1768" s="2">
        <v>1</v>
      </c>
      <c r="I1768" s="2">
        <v>41359</v>
      </c>
      <c r="J1768">
        <v>72</v>
      </c>
      <c r="K1768">
        <f>VLOOKUP(B1768,purchase_dataset!$B$2:$F$2241,2,FALSE)</f>
        <v>71</v>
      </c>
      <c r="L1768">
        <f>VLOOKUP(B1768,purchase_dataset!$B$2:$F$2241,3,FALSE)</f>
        <v>35</v>
      </c>
      <c r="M1768">
        <f>VLOOKUP(B1768,purchase_dataset!$B$2:$F$2241,3,FALSE)</f>
        <v>35</v>
      </c>
      <c r="N1768">
        <f>VLOOKUP(B1768,purchase_dataset!$B$2:$F$2241,5,FALSE)</f>
        <v>12</v>
      </c>
      <c r="O1768" s="5">
        <v>70</v>
      </c>
      <c r="P1768" s="4" t="str">
        <f t="shared" si="54"/>
        <v>&gt;50</v>
      </c>
      <c r="Q1768" s="4">
        <f>M1768+N1768</f>
        <v>47</v>
      </c>
      <c r="U1768" s="28" t="str" cm="1">
        <f t="array" ref="U1768">_xlfn.IFS(F1768&lt;30000,"30k",F1768&lt;=50000,"30k-50k",F1768&lt;=75000,"50k-75k",F1768&lt;=100000,"75k-100k",F1768&gt;100000,"100k")</f>
        <v>50k-75k</v>
      </c>
      <c r="W1768" s="1">
        <f t="shared" si="55"/>
        <v>13</v>
      </c>
    </row>
    <row r="1769" spans="1:23" x14ac:dyDescent="0.35">
      <c r="A1769">
        <v>1766</v>
      </c>
      <c r="B1769">
        <v>10560</v>
      </c>
      <c r="C1769">
        <v>1980</v>
      </c>
      <c r="D1769" s="1" t="s">
        <v>13</v>
      </c>
      <c r="E1769" s="1" t="s">
        <v>11</v>
      </c>
      <c r="F1769">
        <v>36802</v>
      </c>
      <c r="G1769">
        <v>1</v>
      </c>
      <c r="H1769" s="2">
        <v>0</v>
      </c>
      <c r="I1769" s="2">
        <v>41806</v>
      </c>
      <c r="J1769">
        <v>23</v>
      </c>
      <c r="K1769">
        <f>VLOOKUP(B1769,purchase_dataset!$B$2:$F$2241,2,FALSE)</f>
        <v>1</v>
      </c>
      <c r="L1769">
        <f>VLOOKUP(B1769,purchase_dataset!$B$2:$F$2241,3,FALSE)</f>
        <v>0</v>
      </c>
      <c r="M1769">
        <f>VLOOKUP(B1769,purchase_dataset!$B$2:$F$2241,3,FALSE)</f>
        <v>0</v>
      </c>
      <c r="N1769">
        <f>VLOOKUP(B1769,purchase_dataset!$B$2:$F$2241,5,FALSE)</f>
        <v>3</v>
      </c>
      <c r="O1769" s="5">
        <v>46</v>
      </c>
      <c r="P1769" s="4" t="str">
        <f t="shared" si="54"/>
        <v>30-50</v>
      </c>
      <c r="Q1769" s="4">
        <f>M1769+N1769</f>
        <v>3</v>
      </c>
      <c r="U1769" s="28" t="str" cm="1">
        <f t="array" ref="U1769">_xlfn.IFS(F1769&lt;30000,"30k",F1769&lt;=50000,"30k-50k",F1769&lt;=75000,"50k-75k",F1769&lt;=100000,"75k-100k",F1769&gt;100000,"100k")</f>
        <v>30k-50k</v>
      </c>
      <c r="W1769" s="1">
        <f t="shared" si="55"/>
        <v>12</v>
      </c>
    </row>
    <row r="1770" spans="1:23" x14ac:dyDescent="0.35">
      <c r="A1770">
        <v>1767</v>
      </c>
      <c r="B1770">
        <v>2631</v>
      </c>
      <c r="C1770">
        <v>1982</v>
      </c>
      <c r="D1770" s="1" t="s">
        <v>10</v>
      </c>
      <c r="E1770" s="1" t="s">
        <v>12</v>
      </c>
      <c r="F1770">
        <v>71853</v>
      </c>
      <c r="G1770">
        <v>0</v>
      </c>
      <c r="H1770" s="2">
        <v>0</v>
      </c>
      <c r="I1770" s="2">
        <v>41402</v>
      </c>
      <c r="J1770">
        <v>29</v>
      </c>
      <c r="K1770">
        <f>VLOOKUP(B1770,purchase_dataset!$B$2:$F$2241,2,FALSE)</f>
        <v>108</v>
      </c>
      <c r="L1770">
        <f>VLOOKUP(B1770,purchase_dataset!$B$2:$F$2241,3,FALSE)</f>
        <v>97</v>
      </c>
      <c r="M1770">
        <f>VLOOKUP(B1770,purchase_dataset!$B$2:$F$2241,3,FALSE)</f>
        <v>97</v>
      </c>
      <c r="N1770">
        <f>VLOOKUP(B1770,purchase_dataset!$B$2:$F$2241,5,FALSE)</f>
        <v>6</v>
      </c>
      <c r="O1770" s="5">
        <v>44</v>
      </c>
      <c r="P1770" s="4" t="str">
        <f t="shared" si="54"/>
        <v>30-50</v>
      </c>
      <c r="Q1770" s="4">
        <f>M1770+N1770</f>
        <v>103</v>
      </c>
      <c r="U1770" s="28" t="str" cm="1">
        <f t="array" ref="U1770">_xlfn.IFS(F1770&lt;30000,"30k",F1770&lt;=50000,"30k-50k",F1770&lt;=75000,"50k-75k",F1770&lt;=100000,"75k-100k",F1770&gt;100000,"100k")</f>
        <v>50k-75k</v>
      </c>
      <c r="W1770" s="1">
        <f t="shared" si="55"/>
        <v>13</v>
      </c>
    </row>
    <row r="1771" spans="1:23" x14ac:dyDescent="0.35">
      <c r="A1771">
        <v>1768</v>
      </c>
      <c r="B1771">
        <v>8312</v>
      </c>
      <c r="C1771">
        <v>1961</v>
      </c>
      <c r="D1771" s="1" t="s">
        <v>17</v>
      </c>
      <c r="E1771" s="1" t="s">
        <v>14</v>
      </c>
      <c r="F1771">
        <v>28249</v>
      </c>
      <c r="G1771">
        <v>0</v>
      </c>
      <c r="H1771" s="2">
        <v>0</v>
      </c>
      <c r="I1771" s="2">
        <v>41805</v>
      </c>
      <c r="J1771">
        <v>80</v>
      </c>
      <c r="K1771">
        <f>VLOOKUP(B1771,purchase_dataset!$B$2:$F$2241,2,FALSE)</f>
        <v>9</v>
      </c>
      <c r="L1771">
        <f>VLOOKUP(B1771,purchase_dataset!$B$2:$F$2241,3,FALSE)</f>
        <v>14</v>
      </c>
      <c r="M1771">
        <f>VLOOKUP(B1771,purchase_dataset!$B$2:$F$2241,3,FALSE)</f>
        <v>14</v>
      </c>
      <c r="N1771">
        <f>VLOOKUP(B1771,purchase_dataset!$B$2:$F$2241,5,FALSE)</f>
        <v>3</v>
      </c>
      <c r="O1771" s="5">
        <v>65</v>
      </c>
      <c r="P1771" s="4" t="str">
        <f t="shared" si="54"/>
        <v>&gt;50</v>
      </c>
      <c r="Q1771" s="4">
        <f>M1771+N1771</f>
        <v>17</v>
      </c>
      <c r="U1771" s="28" t="str" cm="1">
        <f t="array" ref="U1771">_xlfn.IFS(F1771&lt;30000,"30k",F1771&lt;=50000,"30k-50k",F1771&lt;=75000,"50k-75k",F1771&lt;=100000,"75k-100k",F1771&gt;100000,"100k")</f>
        <v>30k</v>
      </c>
      <c r="W1771" s="1">
        <f t="shared" si="55"/>
        <v>12</v>
      </c>
    </row>
    <row r="1772" spans="1:23" x14ac:dyDescent="0.35">
      <c r="A1772">
        <v>1769</v>
      </c>
      <c r="B1772">
        <v>5534</v>
      </c>
      <c r="C1772">
        <v>1975</v>
      </c>
      <c r="D1772" s="1" t="s">
        <v>15</v>
      </c>
      <c r="E1772" s="1" t="s">
        <v>14</v>
      </c>
      <c r="F1772">
        <v>47808</v>
      </c>
      <c r="G1772">
        <v>0</v>
      </c>
      <c r="H1772" s="2">
        <v>1</v>
      </c>
      <c r="I1772" s="2">
        <v>41567</v>
      </c>
      <c r="J1772">
        <v>30</v>
      </c>
      <c r="K1772">
        <f>VLOOKUP(B1772,purchase_dataset!$B$2:$F$2241,2,FALSE)</f>
        <v>1</v>
      </c>
      <c r="L1772">
        <f>VLOOKUP(B1772,purchase_dataset!$B$2:$F$2241,3,FALSE)</f>
        <v>0</v>
      </c>
      <c r="M1772">
        <f>VLOOKUP(B1772,purchase_dataset!$B$2:$F$2241,3,FALSE)</f>
        <v>0</v>
      </c>
      <c r="N1772">
        <f>VLOOKUP(B1772,purchase_dataset!$B$2:$F$2241,5,FALSE)</f>
        <v>3</v>
      </c>
      <c r="O1772" s="5">
        <v>51</v>
      </c>
      <c r="P1772" s="4" t="str">
        <f t="shared" si="54"/>
        <v>&gt;50</v>
      </c>
      <c r="Q1772" s="4">
        <f>M1772+N1772</f>
        <v>3</v>
      </c>
      <c r="U1772" s="28" t="str" cm="1">
        <f t="array" ref="U1772">_xlfn.IFS(F1772&lt;30000,"30k",F1772&lt;=50000,"30k-50k",F1772&lt;=75000,"50k-75k",F1772&lt;=100000,"75k-100k",F1772&gt;100000,"100k")</f>
        <v>30k-50k</v>
      </c>
      <c r="W1772" s="1">
        <f t="shared" si="55"/>
        <v>13</v>
      </c>
    </row>
    <row r="1773" spans="1:23" x14ac:dyDescent="0.35">
      <c r="A1773">
        <v>1770</v>
      </c>
      <c r="B1773">
        <v>5093</v>
      </c>
      <c r="C1773">
        <v>1974</v>
      </c>
      <c r="D1773" s="1" t="s">
        <v>13</v>
      </c>
      <c r="E1773" s="1" t="s">
        <v>16</v>
      </c>
      <c r="F1773">
        <v>25509</v>
      </c>
      <c r="G1773">
        <v>1</v>
      </c>
      <c r="H1773" s="2">
        <v>0</v>
      </c>
      <c r="I1773" s="2">
        <v>41170</v>
      </c>
      <c r="J1773">
        <v>15</v>
      </c>
      <c r="K1773">
        <f>VLOOKUP(B1773,purchase_dataset!$B$2:$F$2241,2,FALSE)</f>
        <v>3</v>
      </c>
      <c r="L1773">
        <f>VLOOKUP(B1773,purchase_dataset!$B$2:$F$2241,3,FALSE)</f>
        <v>7</v>
      </c>
      <c r="M1773">
        <f>VLOOKUP(B1773,purchase_dataset!$B$2:$F$2241,3,FALSE)</f>
        <v>7</v>
      </c>
      <c r="N1773">
        <f>VLOOKUP(B1773,purchase_dataset!$B$2:$F$2241,5,FALSE)</f>
        <v>3</v>
      </c>
      <c r="O1773" s="5">
        <v>52</v>
      </c>
      <c r="P1773" s="4" t="str">
        <f t="shared" si="54"/>
        <v>&gt;50</v>
      </c>
      <c r="Q1773" s="4">
        <f>M1773+N1773</f>
        <v>10</v>
      </c>
      <c r="U1773" s="28" t="str" cm="1">
        <f t="array" ref="U1773">_xlfn.IFS(F1773&lt;30000,"30k",F1773&lt;=50000,"30k-50k",F1773&lt;=75000,"50k-75k",F1773&lt;=100000,"75k-100k",F1773&gt;100000,"100k")</f>
        <v>30k</v>
      </c>
      <c r="W1773" s="1">
        <f t="shared" si="55"/>
        <v>14</v>
      </c>
    </row>
    <row r="1774" spans="1:23" x14ac:dyDescent="0.35">
      <c r="A1774">
        <v>1771</v>
      </c>
      <c r="B1774">
        <v>7592</v>
      </c>
      <c r="C1774">
        <v>1946</v>
      </c>
      <c r="D1774" s="1" t="s">
        <v>13</v>
      </c>
      <c r="E1774" s="1" t="s">
        <v>14</v>
      </c>
      <c r="F1774">
        <v>51012</v>
      </c>
      <c r="G1774">
        <v>0</v>
      </c>
      <c r="H1774" s="2">
        <v>0</v>
      </c>
      <c r="I1774" s="2">
        <v>41382</v>
      </c>
      <c r="J1774">
        <v>86</v>
      </c>
      <c r="K1774">
        <f>VLOOKUP(B1774,purchase_dataset!$B$2:$F$2241,2,FALSE)</f>
        <v>9</v>
      </c>
      <c r="L1774">
        <f>VLOOKUP(B1774,purchase_dataset!$B$2:$F$2241,3,FALSE)</f>
        <v>9</v>
      </c>
      <c r="M1774">
        <f>VLOOKUP(B1774,purchase_dataset!$B$2:$F$2241,3,FALSE)</f>
        <v>9</v>
      </c>
      <c r="N1774">
        <f>VLOOKUP(B1774,purchase_dataset!$B$2:$F$2241,5,FALSE)</f>
        <v>4</v>
      </c>
      <c r="O1774" s="5">
        <v>80</v>
      </c>
      <c r="P1774" s="4" t="str">
        <f t="shared" si="54"/>
        <v>&gt;50</v>
      </c>
      <c r="Q1774" s="4">
        <f>M1774+N1774</f>
        <v>13</v>
      </c>
      <c r="U1774" s="28" t="str" cm="1">
        <f t="array" ref="U1774">_xlfn.IFS(F1774&lt;30000,"30k",F1774&lt;=50000,"30k-50k",F1774&lt;=75000,"50k-75k",F1774&lt;=100000,"75k-100k",F1774&gt;100000,"100k")</f>
        <v>50k-75k</v>
      </c>
      <c r="W1774" s="1">
        <f t="shared" si="55"/>
        <v>13</v>
      </c>
    </row>
    <row r="1775" spans="1:23" x14ac:dyDescent="0.35">
      <c r="A1775">
        <v>1772</v>
      </c>
      <c r="B1775">
        <v>8895</v>
      </c>
      <c r="C1775">
        <v>1985</v>
      </c>
      <c r="D1775" s="1" t="s">
        <v>10</v>
      </c>
      <c r="E1775" s="1" t="s">
        <v>11</v>
      </c>
      <c r="F1775">
        <v>70596</v>
      </c>
      <c r="G1775">
        <v>0</v>
      </c>
      <c r="H1775" s="2">
        <v>0</v>
      </c>
      <c r="I1775" s="2">
        <v>41187</v>
      </c>
      <c r="J1775">
        <v>68</v>
      </c>
      <c r="K1775">
        <f>VLOOKUP(B1775,purchase_dataset!$B$2:$F$2241,2,FALSE)</f>
        <v>44</v>
      </c>
      <c r="L1775">
        <f>VLOOKUP(B1775,purchase_dataset!$B$2:$F$2241,3,FALSE)</f>
        <v>0</v>
      </c>
      <c r="M1775">
        <f>VLOOKUP(B1775,purchase_dataset!$B$2:$F$2241,3,FALSE)</f>
        <v>0</v>
      </c>
      <c r="N1775">
        <f>VLOOKUP(B1775,purchase_dataset!$B$2:$F$2241,5,FALSE)</f>
        <v>12</v>
      </c>
      <c r="O1775" s="5">
        <v>41</v>
      </c>
      <c r="P1775" s="4" t="str">
        <f t="shared" si="54"/>
        <v>30-50</v>
      </c>
      <c r="Q1775" s="4">
        <f>M1775+N1775</f>
        <v>12</v>
      </c>
      <c r="U1775" s="28" t="str" cm="1">
        <f t="array" ref="U1775">_xlfn.IFS(F1775&lt;30000,"30k",F1775&lt;=50000,"30k-50k",F1775&lt;=75000,"50k-75k",F1775&lt;=100000,"75k-100k",F1775&gt;100000,"100k")</f>
        <v>50k-75k</v>
      </c>
      <c r="W1775" s="1">
        <f t="shared" si="55"/>
        <v>14</v>
      </c>
    </row>
    <row r="1776" spans="1:23" x14ac:dyDescent="0.35">
      <c r="A1776">
        <v>1773</v>
      </c>
      <c r="B1776">
        <v>8584</v>
      </c>
      <c r="C1776">
        <v>1952</v>
      </c>
      <c r="D1776" s="1" t="s">
        <v>13</v>
      </c>
      <c r="E1776" s="1" t="s">
        <v>12</v>
      </c>
      <c r="F1776">
        <v>85431</v>
      </c>
      <c r="G1776">
        <v>0</v>
      </c>
      <c r="H1776" s="2">
        <v>0</v>
      </c>
      <c r="I1776" s="2">
        <v>41433</v>
      </c>
      <c r="J1776">
        <v>54</v>
      </c>
      <c r="K1776">
        <f>VLOOKUP(B1776,purchase_dataset!$B$2:$F$2241,2,FALSE)</f>
        <v>53</v>
      </c>
      <c r="L1776">
        <f>VLOOKUP(B1776,purchase_dataset!$B$2:$F$2241,3,FALSE)</f>
        <v>53</v>
      </c>
      <c r="M1776">
        <f>VLOOKUP(B1776,purchase_dataset!$B$2:$F$2241,3,FALSE)</f>
        <v>53</v>
      </c>
      <c r="N1776">
        <f>VLOOKUP(B1776,purchase_dataset!$B$2:$F$2241,5,FALSE)</f>
        <v>7</v>
      </c>
      <c r="O1776" s="5">
        <v>74</v>
      </c>
      <c r="P1776" s="4" t="str">
        <f t="shared" si="54"/>
        <v>&gt;50</v>
      </c>
      <c r="Q1776" s="4">
        <f>M1776+N1776</f>
        <v>60</v>
      </c>
      <c r="U1776" s="28" t="str" cm="1">
        <f t="array" ref="U1776">_xlfn.IFS(F1776&lt;30000,"30k",F1776&lt;=50000,"30k-50k",F1776&lt;=75000,"50k-75k",F1776&lt;=100000,"75k-100k",F1776&gt;100000,"100k")</f>
        <v>75k-100k</v>
      </c>
      <c r="W1776" s="1">
        <f t="shared" si="55"/>
        <v>13</v>
      </c>
    </row>
    <row r="1777" spans="1:23" x14ac:dyDescent="0.35">
      <c r="A1777">
        <v>1774</v>
      </c>
      <c r="B1777">
        <v>2694</v>
      </c>
      <c r="C1777">
        <v>1967</v>
      </c>
      <c r="D1777" s="1" t="s">
        <v>10</v>
      </c>
      <c r="E1777" s="1" t="s">
        <v>14</v>
      </c>
      <c r="F1777">
        <v>42664</v>
      </c>
      <c r="G1777">
        <v>0</v>
      </c>
      <c r="H1777" s="2">
        <v>1</v>
      </c>
      <c r="I1777" s="2">
        <v>41716</v>
      </c>
      <c r="J1777">
        <v>44</v>
      </c>
      <c r="K1777">
        <f>VLOOKUP(B1777,purchase_dataset!$B$2:$F$2241,2,FALSE)</f>
        <v>0</v>
      </c>
      <c r="L1777">
        <f>VLOOKUP(B1777,purchase_dataset!$B$2:$F$2241,3,FALSE)</f>
        <v>0</v>
      </c>
      <c r="M1777">
        <f>VLOOKUP(B1777,purchase_dataset!$B$2:$F$2241,3,FALSE)</f>
        <v>0</v>
      </c>
      <c r="N1777">
        <f>VLOOKUP(B1777,purchase_dataset!$B$2:$F$2241,5,FALSE)</f>
        <v>3</v>
      </c>
      <c r="O1777" s="5">
        <v>59</v>
      </c>
      <c r="P1777" s="4" t="str">
        <f t="shared" si="54"/>
        <v>&gt;50</v>
      </c>
      <c r="Q1777" s="4">
        <f>M1777+N1777</f>
        <v>3</v>
      </c>
      <c r="U1777" s="28" t="str" cm="1">
        <f t="array" ref="U1777">_xlfn.IFS(F1777&lt;30000,"30k",F1777&lt;=50000,"30k-50k",F1777&lt;=75000,"50k-75k",F1777&lt;=100000,"75k-100k",F1777&gt;100000,"100k")</f>
        <v>30k-50k</v>
      </c>
      <c r="W1777" s="1">
        <f t="shared" si="55"/>
        <v>12</v>
      </c>
    </row>
    <row r="1778" spans="1:23" x14ac:dyDescent="0.35">
      <c r="A1778">
        <v>1775</v>
      </c>
      <c r="B1778">
        <v>8910</v>
      </c>
      <c r="C1778">
        <v>1955</v>
      </c>
      <c r="D1778" s="1" t="s">
        <v>10</v>
      </c>
      <c r="E1778" s="1" t="s">
        <v>12</v>
      </c>
      <c r="F1778">
        <v>42586</v>
      </c>
      <c r="G1778">
        <v>1</v>
      </c>
      <c r="H1778" s="2">
        <v>1</v>
      </c>
      <c r="I1778" s="2">
        <v>41211</v>
      </c>
      <c r="J1778">
        <v>7</v>
      </c>
      <c r="K1778">
        <f>VLOOKUP(B1778,purchase_dataset!$B$2:$F$2241,2,FALSE)</f>
        <v>2</v>
      </c>
      <c r="L1778">
        <f>VLOOKUP(B1778,purchase_dataset!$B$2:$F$2241,3,FALSE)</f>
        <v>0</v>
      </c>
      <c r="M1778">
        <f>VLOOKUP(B1778,purchase_dataset!$B$2:$F$2241,3,FALSE)</f>
        <v>0</v>
      </c>
      <c r="N1778">
        <f>VLOOKUP(B1778,purchase_dataset!$B$2:$F$2241,5,FALSE)</f>
        <v>6</v>
      </c>
      <c r="O1778" s="5">
        <v>71</v>
      </c>
      <c r="P1778" s="4" t="str">
        <f t="shared" si="54"/>
        <v>&gt;50</v>
      </c>
      <c r="Q1778" s="4">
        <f>M1778+N1778</f>
        <v>6</v>
      </c>
      <c r="U1778" s="28" t="str" cm="1">
        <f t="array" ref="U1778">_xlfn.IFS(F1778&lt;30000,"30k",F1778&lt;=50000,"30k-50k",F1778&lt;=75000,"50k-75k",F1778&lt;=100000,"75k-100k",F1778&gt;100000,"100k")</f>
        <v>30k-50k</v>
      </c>
      <c r="W1778" s="1">
        <f t="shared" si="55"/>
        <v>14</v>
      </c>
    </row>
    <row r="1779" spans="1:23" x14ac:dyDescent="0.35">
      <c r="A1779">
        <v>1776</v>
      </c>
      <c r="B1779">
        <v>7433</v>
      </c>
      <c r="C1779">
        <v>1985</v>
      </c>
      <c r="D1779" s="1" t="s">
        <v>10</v>
      </c>
      <c r="E1779" s="1" t="s">
        <v>11</v>
      </c>
      <c r="F1779">
        <v>29760</v>
      </c>
      <c r="G1779">
        <v>1</v>
      </c>
      <c r="H1779" s="2">
        <v>0</v>
      </c>
      <c r="I1779" s="2">
        <v>41150</v>
      </c>
      <c r="J1779">
        <v>87</v>
      </c>
      <c r="K1779">
        <f>VLOOKUP(B1779,purchase_dataset!$B$2:$F$2241,2,FALSE)</f>
        <v>4</v>
      </c>
      <c r="L1779">
        <f>VLOOKUP(B1779,purchase_dataset!$B$2:$F$2241,3,FALSE)</f>
        <v>5</v>
      </c>
      <c r="M1779">
        <f>VLOOKUP(B1779,purchase_dataset!$B$2:$F$2241,3,FALSE)</f>
        <v>5</v>
      </c>
      <c r="N1779">
        <f>VLOOKUP(B1779,purchase_dataset!$B$2:$F$2241,5,FALSE)</f>
        <v>4</v>
      </c>
      <c r="O1779" s="5">
        <v>41</v>
      </c>
      <c r="P1779" s="4" t="str">
        <f t="shared" si="54"/>
        <v>30-50</v>
      </c>
      <c r="Q1779" s="4">
        <f>M1779+N1779</f>
        <v>9</v>
      </c>
      <c r="U1779" s="28" t="str" cm="1">
        <f t="array" ref="U1779">_xlfn.IFS(F1779&lt;30000,"30k",F1779&lt;=50000,"30k-50k",F1779&lt;=75000,"50k-75k",F1779&lt;=100000,"75k-100k",F1779&gt;100000,"100k")</f>
        <v>30k</v>
      </c>
      <c r="W1779" s="1">
        <f t="shared" si="55"/>
        <v>14</v>
      </c>
    </row>
    <row r="1780" spans="1:23" x14ac:dyDescent="0.35">
      <c r="A1780">
        <v>1777</v>
      </c>
      <c r="B1780">
        <v>164</v>
      </c>
      <c r="C1780">
        <v>1977</v>
      </c>
      <c r="D1780" s="1" t="s">
        <v>13</v>
      </c>
      <c r="E1780" s="1" t="s">
        <v>14</v>
      </c>
      <c r="F1780">
        <v>28973</v>
      </c>
      <c r="G1780">
        <v>0</v>
      </c>
      <c r="H1780" s="2">
        <v>0</v>
      </c>
      <c r="I1780" s="2">
        <v>41195</v>
      </c>
      <c r="J1780">
        <v>59</v>
      </c>
      <c r="K1780">
        <f>VLOOKUP(B1780,purchase_dataset!$B$2:$F$2241,2,FALSE)</f>
        <v>0</v>
      </c>
      <c r="L1780">
        <f>VLOOKUP(B1780,purchase_dataset!$B$2:$F$2241,3,FALSE)</f>
        <v>2</v>
      </c>
      <c r="M1780">
        <f>VLOOKUP(B1780,purchase_dataset!$B$2:$F$2241,3,FALSE)</f>
        <v>2</v>
      </c>
      <c r="N1780">
        <f>VLOOKUP(B1780,purchase_dataset!$B$2:$F$2241,5,FALSE)</f>
        <v>5</v>
      </c>
      <c r="O1780" s="5">
        <v>49</v>
      </c>
      <c r="P1780" s="4" t="str">
        <f t="shared" si="54"/>
        <v>30-50</v>
      </c>
      <c r="Q1780" s="4">
        <f>M1780+N1780</f>
        <v>7</v>
      </c>
      <c r="U1780" s="28" t="str" cm="1">
        <f t="array" ref="U1780">_xlfn.IFS(F1780&lt;30000,"30k",F1780&lt;=50000,"30k-50k",F1780&lt;=75000,"50k-75k",F1780&lt;=100000,"75k-100k",F1780&gt;100000,"100k")</f>
        <v>30k</v>
      </c>
      <c r="W1780" s="1">
        <f t="shared" si="55"/>
        <v>14</v>
      </c>
    </row>
    <row r="1781" spans="1:23" x14ac:dyDescent="0.35">
      <c r="A1781">
        <v>1778</v>
      </c>
      <c r="B1781">
        <v>10477</v>
      </c>
      <c r="C1781">
        <v>1973</v>
      </c>
      <c r="D1781" s="1" t="s">
        <v>13</v>
      </c>
      <c r="E1781" s="1" t="s">
        <v>12</v>
      </c>
      <c r="F1781">
        <v>39435</v>
      </c>
      <c r="G1781">
        <v>1</v>
      </c>
      <c r="H1781" s="2">
        <v>0</v>
      </c>
      <c r="I1781" s="2">
        <v>41492</v>
      </c>
      <c r="J1781">
        <v>16</v>
      </c>
      <c r="K1781">
        <f>VLOOKUP(B1781,purchase_dataset!$B$2:$F$2241,2,FALSE)</f>
        <v>0</v>
      </c>
      <c r="L1781">
        <f>VLOOKUP(B1781,purchase_dataset!$B$2:$F$2241,3,FALSE)</f>
        <v>0</v>
      </c>
      <c r="M1781">
        <f>VLOOKUP(B1781,purchase_dataset!$B$2:$F$2241,3,FALSE)</f>
        <v>0</v>
      </c>
      <c r="N1781">
        <f>VLOOKUP(B1781,purchase_dataset!$B$2:$F$2241,5,FALSE)</f>
        <v>2</v>
      </c>
      <c r="O1781" s="5">
        <v>53</v>
      </c>
      <c r="P1781" s="4" t="str">
        <f t="shared" si="54"/>
        <v>&gt;50</v>
      </c>
      <c r="Q1781" s="4">
        <f>M1781+N1781</f>
        <v>2</v>
      </c>
      <c r="U1781" s="28" t="str" cm="1">
        <f t="array" ref="U1781">_xlfn.IFS(F1781&lt;30000,"30k",F1781&lt;=50000,"30k-50k",F1781&lt;=75000,"50k-75k",F1781&lt;=100000,"75k-100k",F1781&gt;100000,"100k")</f>
        <v>30k-50k</v>
      </c>
      <c r="W1781" s="1">
        <f t="shared" si="55"/>
        <v>13</v>
      </c>
    </row>
    <row r="1782" spans="1:23" x14ac:dyDescent="0.35">
      <c r="A1782">
        <v>1779</v>
      </c>
      <c r="B1782">
        <v>2681</v>
      </c>
      <c r="C1782">
        <v>1984</v>
      </c>
      <c r="D1782" s="1" t="s">
        <v>18</v>
      </c>
      <c r="E1782" s="1" t="s">
        <v>14</v>
      </c>
      <c r="F1782">
        <v>65370</v>
      </c>
      <c r="G1782">
        <v>0</v>
      </c>
      <c r="H1782" s="2">
        <v>0</v>
      </c>
      <c r="I1782" s="2">
        <v>41487</v>
      </c>
      <c r="J1782">
        <v>1</v>
      </c>
      <c r="K1782">
        <f>VLOOKUP(B1782,purchase_dataset!$B$2:$F$2241,2,FALSE)</f>
        <v>22</v>
      </c>
      <c r="L1782">
        <f>VLOOKUP(B1782,purchase_dataset!$B$2:$F$2241,3,FALSE)</f>
        <v>89</v>
      </c>
      <c r="M1782">
        <f>VLOOKUP(B1782,purchase_dataset!$B$2:$F$2241,3,FALSE)</f>
        <v>89</v>
      </c>
      <c r="N1782">
        <f>VLOOKUP(B1782,purchase_dataset!$B$2:$F$2241,5,FALSE)</f>
        <v>13</v>
      </c>
      <c r="O1782" s="5">
        <v>42</v>
      </c>
      <c r="P1782" s="4" t="str">
        <f t="shared" si="54"/>
        <v>30-50</v>
      </c>
      <c r="Q1782" s="4">
        <f>M1782+N1782</f>
        <v>102</v>
      </c>
      <c r="U1782" s="28" t="str" cm="1">
        <f t="array" ref="U1782">_xlfn.IFS(F1782&lt;30000,"30k",F1782&lt;=50000,"30k-50k",F1782&lt;=75000,"50k-75k",F1782&lt;=100000,"75k-100k",F1782&gt;100000,"100k")</f>
        <v>50k-75k</v>
      </c>
      <c r="W1782" s="1">
        <f t="shared" si="55"/>
        <v>13</v>
      </c>
    </row>
    <row r="1783" spans="1:23" x14ac:dyDescent="0.35">
      <c r="A1783">
        <v>1780</v>
      </c>
      <c r="B1783">
        <v>5150</v>
      </c>
      <c r="C1783">
        <v>1979</v>
      </c>
      <c r="D1783" s="1" t="s">
        <v>17</v>
      </c>
      <c r="E1783" s="1" t="s">
        <v>11</v>
      </c>
      <c r="F1783">
        <v>20194</v>
      </c>
      <c r="G1783">
        <v>1</v>
      </c>
      <c r="H1783" s="2">
        <v>0</v>
      </c>
      <c r="I1783" s="2">
        <v>41260</v>
      </c>
      <c r="J1783">
        <v>64</v>
      </c>
      <c r="K1783">
        <f>VLOOKUP(B1783,purchase_dataset!$B$2:$F$2241,2,FALSE)</f>
        <v>4</v>
      </c>
      <c r="L1783">
        <f>VLOOKUP(B1783,purchase_dataset!$B$2:$F$2241,3,FALSE)</f>
        <v>10</v>
      </c>
      <c r="M1783">
        <f>VLOOKUP(B1783,purchase_dataset!$B$2:$F$2241,3,FALSE)</f>
        <v>10</v>
      </c>
      <c r="N1783">
        <f>VLOOKUP(B1783,purchase_dataset!$B$2:$F$2241,5,FALSE)</f>
        <v>3</v>
      </c>
      <c r="O1783" s="5">
        <v>47</v>
      </c>
      <c r="P1783" s="4" t="str">
        <f t="shared" si="54"/>
        <v>30-50</v>
      </c>
      <c r="Q1783" s="4">
        <f>M1783+N1783</f>
        <v>13</v>
      </c>
      <c r="U1783" s="28" t="str" cm="1">
        <f t="array" ref="U1783">_xlfn.IFS(F1783&lt;30000,"30k",F1783&lt;=50000,"30k-50k",F1783&lt;=75000,"50k-75k",F1783&lt;=100000,"75k-100k",F1783&gt;100000,"100k")</f>
        <v>30k</v>
      </c>
      <c r="W1783" s="1">
        <f t="shared" si="55"/>
        <v>14</v>
      </c>
    </row>
    <row r="1784" spans="1:23" x14ac:dyDescent="0.35">
      <c r="A1784">
        <v>1781</v>
      </c>
      <c r="B1784">
        <v>5283</v>
      </c>
      <c r="C1784">
        <v>1976</v>
      </c>
      <c r="D1784" s="1" t="s">
        <v>13</v>
      </c>
      <c r="E1784" s="1" t="s">
        <v>11</v>
      </c>
      <c r="F1784">
        <v>42473</v>
      </c>
      <c r="G1784">
        <v>1</v>
      </c>
      <c r="H1784" s="2">
        <v>1</v>
      </c>
      <c r="I1784" s="2">
        <v>41687</v>
      </c>
      <c r="J1784">
        <v>72</v>
      </c>
      <c r="K1784">
        <f>VLOOKUP(B1784,purchase_dataset!$B$2:$F$2241,2,FALSE)</f>
        <v>1</v>
      </c>
      <c r="L1784">
        <f>VLOOKUP(B1784,purchase_dataset!$B$2:$F$2241,3,FALSE)</f>
        <v>4</v>
      </c>
      <c r="M1784">
        <f>VLOOKUP(B1784,purchase_dataset!$B$2:$F$2241,3,FALSE)</f>
        <v>4</v>
      </c>
      <c r="N1784">
        <f>VLOOKUP(B1784,purchase_dataset!$B$2:$F$2241,5,FALSE)</f>
        <v>4</v>
      </c>
      <c r="O1784" s="5">
        <v>50</v>
      </c>
      <c r="P1784" s="4" t="str">
        <f t="shared" si="54"/>
        <v>30-50</v>
      </c>
      <c r="Q1784" s="4">
        <f>M1784+N1784</f>
        <v>8</v>
      </c>
      <c r="U1784" s="28" t="str" cm="1">
        <f t="array" ref="U1784">_xlfn.IFS(F1784&lt;30000,"30k",F1784&lt;=50000,"30k-50k",F1784&lt;=75000,"50k-75k",F1784&lt;=100000,"75k-100k",F1784&gt;100000,"100k")</f>
        <v>30k-50k</v>
      </c>
      <c r="W1784" s="1">
        <f t="shared" si="55"/>
        <v>12</v>
      </c>
    </row>
    <row r="1785" spans="1:23" x14ac:dyDescent="0.35">
      <c r="A1785">
        <v>1782</v>
      </c>
      <c r="B1785">
        <v>9645</v>
      </c>
      <c r="C1785">
        <v>1968</v>
      </c>
      <c r="D1785" s="1" t="s">
        <v>10</v>
      </c>
      <c r="E1785" s="1" t="s">
        <v>14</v>
      </c>
      <c r="F1785">
        <v>64590</v>
      </c>
      <c r="G1785">
        <v>0</v>
      </c>
      <c r="H1785" s="2">
        <v>0</v>
      </c>
      <c r="I1785" s="2">
        <v>41196</v>
      </c>
      <c r="J1785">
        <v>98</v>
      </c>
      <c r="K1785">
        <f>VLOOKUP(B1785,purchase_dataset!$B$2:$F$2241,2,FALSE)</f>
        <v>138</v>
      </c>
      <c r="L1785">
        <f>VLOOKUP(B1785,purchase_dataset!$B$2:$F$2241,3,FALSE)</f>
        <v>46</v>
      </c>
      <c r="M1785">
        <f>VLOOKUP(B1785,purchase_dataset!$B$2:$F$2241,3,FALSE)</f>
        <v>46</v>
      </c>
      <c r="N1785">
        <f>VLOOKUP(B1785,purchase_dataset!$B$2:$F$2241,5,FALSE)</f>
        <v>10</v>
      </c>
      <c r="O1785" s="5">
        <v>58</v>
      </c>
      <c r="P1785" s="4" t="str">
        <f t="shared" si="54"/>
        <v>&gt;50</v>
      </c>
      <c r="Q1785" s="4">
        <f>M1785+N1785</f>
        <v>56</v>
      </c>
      <c r="U1785" s="28" t="str" cm="1">
        <f t="array" ref="U1785">_xlfn.IFS(F1785&lt;30000,"30k",F1785&lt;=50000,"30k-50k",F1785&lt;=75000,"50k-75k",F1785&lt;=100000,"75k-100k",F1785&gt;100000,"100k")</f>
        <v>50k-75k</v>
      </c>
      <c r="W1785" s="1">
        <f t="shared" si="55"/>
        <v>14</v>
      </c>
    </row>
    <row r="1786" spans="1:23" x14ac:dyDescent="0.35">
      <c r="A1786">
        <v>1783</v>
      </c>
      <c r="B1786">
        <v>10678</v>
      </c>
      <c r="C1786">
        <v>1959</v>
      </c>
      <c r="D1786" s="1" t="s">
        <v>10</v>
      </c>
      <c r="E1786" s="1" t="s">
        <v>12</v>
      </c>
      <c r="F1786">
        <v>71232</v>
      </c>
      <c r="G1786">
        <v>0</v>
      </c>
      <c r="H1786" s="2">
        <v>1</v>
      </c>
      <c r="I1786" s="2">
        <v>41606</v>
      </c>
      <c r="J1786">
        <v>91</v>
      </c>
      <c r="K1786">
        <f>VLOOKUP(B1786,purchase_dataset!$B$2:$F$2241,2,FALSE)</f>
        <v>17</v>
      </c>
      <c r="L1786">
        <f>VLOOKUP(B1786,purchase_dataset!$B$2:$F$2241,3,FALSE)</f>
        <v>26</v>
      </c>
      <c r="M1786">
        <f>VLOOKUP(B1786,purchase_dataset!$B$2:$F$2241,3,FALSE)</f>
        <v>26</v>
      </c>
      <c r="N1786">
        <f>VLOOKUP(B1786,purchase_dataset!$B$2:$F$2241,5,FALSE)</f>
        <v>10</v>
      </c>
      <c r="O1786" s="5">
        <v>67</v>
      </c>
      <c r="P1786" s="4" t="str">
        <f t="shared" si="54"/>
        <v>&gt;50</v>
      </c>
      <c r="Q1786" s="4">
        <f>M1786+N1786</f>
        <v>36</v>
      </c>
      <c r="U1786" s="28" t="str" cm="1">
        <f t="array" ref="U1786">_xlfn.IFS(F1786&lt;30000,"30k",F1786&lt;=50000,"30k-50k",F1786&lt;=75000,"50k-75k",F1786&lt;=100000,"75k-100k",F1786&gt;100000,"100k")</f>
        <v>50k-75k</v>
      </c>
      <c r="W1786" s="1">
        <f t="shared" si="55"/>
        <v>13</v>
      </c>
    </row>
    <row r="1787" spans="1:23" x14ac:dyDescent="0.35">
      <c r="A1787">
        <v>1784</v>
      </c>
      <c r="B1787">
        <v>7261</v>
      </c>
      <c r="C1787">
        <v>1971</v>
      </c>
      <c r="D1787" s="1" t="s">
        <v>10</v>
      </c>
      <c r="E1787" s="1" t="s">
        <v>12</v>
      </c>
      <c r="F1787">
        <v>34600</v>
      </c>
      <c r="G1787">
        <v>1</v>
      </c>
      <c r="H1787" s="2">
        <v>1</v>
      </c>
      <c r="I1787" s="2">
        <v>41275</v>
      </c>
      <c r="J1787">
        <v>8</v>
      </c>
      <c r="K1787">
        <f>VLOOKUP(B1787,purchase_dataset!$B$2:$F$2241,2,FALSE)</f>
        <v>33</v>
      </c>
      <c r="L1787">
        <f>VLOOKUP(B1787,purchase_dataset!$B$2:$F$2241,3,FALSE)</f>
        <v>3</v>
      </c>
      <c r="M1787">
        <f>VLOOKUP(B1787,purchase_dataset!$B$2:$F$2241,3,FALSE)</f>
        <v>3</v>
      </c>
      <c r="N1787">
        <f>VLOOKUP(B1787,purchase_dataset!$B$2:$F$2241,5,FALSE)</f>
        <v>5</v>
      </c>
      <c r="O1787" s="5">
        <v>55</v>
      </c>
      <c r="P1787" s="4" t="str">
        <f t="shared" si="54"/>
        <v>&gt;50</v>
      </c>
      <c r="Q1787" s="4">
        <f>M1787+N1787</f>
        <v>8</v>
      </c>
      <c r="U1787" s="28" t="str" cm="1">
        <f t="array" ref="U1787">_xlfn.IFS(F1787&lt;30000,"30k",F1787&lt;=50000,"30k-50k",F1787&lt;=75000,"50k-75k",F1787&lt;=100000,"75k-100k",F1787&gt;100000,"100k")</f>
        <v>30k-50k</v>
      </c>
      <c r="W1787" s="1">
        <f t="shared" si="55"/>
        <v>13</v>
      </c>
    </row>
    <row r="1788" spans="1:23" x14ac:dyDescent="0.35">
      <c r="A1788">
        <v>1785</v>
      </c>
      <c r="B1788">
        <v>9648</v>
      </c>
      <c r="C1788">
        <v>1967</v>
      </c>
      <c r="D1788" s="1" t="s">
        <v>10</v>
      </c>
      <c r="E1788" s="1" t="s">
        <v>11</v>
      </c>
      <c r="F1788">
        <v>46904</v>
      </c>
      <c r="G1788">
        <v>1</v>
      </c>
      <c r="H1788" s="2">
        <v>1</v>
      </c>
      <c r="I1788" s="2">
        <v>41216</v>
      </c>
      <c r="J1788">
        <v>20</v>
      </c>
      <c r="K1788">
        <f>VLOOKUP(B1788,purchase_dataset!$B$2:$F$2241,2,FALSE)</f>
        <v>4</v>
      </c>
      <c r="L1788">
        <f>VLOOKUP(B1788,purchase_dataset!$B$2:$F$2241,3,FALSE)</f>
        <v>9</v>
      </c>
      <c r="M1788">
        <f>VLOOKUP(B1788,purchase_dataset!$B$2:$F$2241,3,FALSE)</f>
        <v>9</v>
      </c>
      <c r="N1788">
        <f>VLOOKUP(B1788,purchase_dataset!$B$2:$F$2241,5,FALSE)</f>
        <v>4</v>
      </c>
      <c r="O1788" s="5">
        <v>59</v>
      </c>
      <c r="P1788" s="4" t="str">
        <f t="shared" si="54"/>
        <v>&gt;50</v>
      </c>
      <c r="Q1788" s="4">
        <f>M1788+N1788</f>
        <v>13</v>
      </c>
      <c r="U1788" s="28" t="str" cm="1">
        <f t="array" ref="U1788">_xlfn.IFS(F1788&lt;30000,"30k",F1788&lt;=50000,"30k-50k",F1788&lt;=75000,"50k-75k",F1788&lt;=100000,"75k-100k",F1788&gt;100000,"100k")</f>
        <v>30k-50k</v>
      </c>
      <c r="W1788" s="1">
        <f t="shared" si="55"/>
        <v>14</v>
      </c>
    </row>
    <row r="1789" spans="1:23" x14ac:dyDescent="0.35">
      <c r="A1789">
        <v>1786</v>
      </c>
      <c r="B1789">
        <v>2870</v>
      </c>
      <c r="C1789">
        <v>1973</v>
      </c>
      <c r="D1789" s="1" t="s">
        <v>10</v>
      </c>
      <c r="E1789" s="1" t="s">
        <v>14</v>
      </c>
      <c r="F1789">
        <v>49094</v>
      </c>
      <c r="G1789">
        <v>0</v>
      </c>
      <c r="H1789" s="2">
        <v>1</v>
      </c>
      <c r="I1789" s="2">
        <v>41173</v>
      </c>
      <c r="J1789">
        <v>6</v>
      </c>
      <c r="K1789">
        <f>VLOOKUP(B1789,purchase_dataset!$B$2:$F$2241,2,FALSE)</f>
        <v>0</v>
      </c>
      <c r="L1789">
        <f>VLOOKUP(B1789,purchase_dataset!$B$2:$F$2241,3,FALSE)</f>
        <v>8</v>
      </c>
      <c r="M1789">
        <f>VLOOKUP(B1789,purchase_dataset!$B$2:$F$2241,3,FALSE)</f>
        <v>8</v>
      </c>
      <c r="N1789">
        <f>VLOOKUP(B1789,purchase_dataset!$B$2:$F$2241,5,FALSE)</f>
        <v>6</v>
      </c>
      <c r="O1789" s="5">
        <v>53</v>
      </c>
      <c r="P1789" s="4" t="str">
        <f t="shared" si="54"/>
        <v>&gt;50</v>
      </c>
      <c r="Q1789" s="4">
        <f>M1789+N1789</f>
        <v>14</v>
      </c>
      <c r="U1789" s="28" t="str" cm="1">
        <f t="array" ref="U1789">_xlfn.IFS(F1789&lt;30000,"30k",F1789&lt;=50000,"30k-50k",F1789&lt;=75000,"50k-75k",F1789&lt;=100000,"75k-100k",F1789&gt;100000,"100k")</f>
        <v>30k-50k</v>
      </c>
      <c r="W1789" s="1">
        <f t="shared" si="55"/>
        <v>14</v>
      </c>
    </row>
    <row r="1790" spans="1:23" x14ac:dyDescent="0.35">
      <c r="A1790">
        <v>1787</v>
      </c>
      <c r="B1790">
        <v>8008</v>
      </c>
      <c r="C1790">
        <v>1983</v>
      </c>
      <c r="D1790" s="1" t="s">
        <v>10</v>
      </c>
      <c r="E1790" s="1" t="s">
        <v>12</v>
      </c>
      <c r="F1790">
        <v>36075</v>
      </c>
      <c r="G1790">
        <v>1</v>
      </c>
      <c r="H1790" s="2">
        <v>0</v>
      </c>
      <c r="I1790" s="2">
        <v>41617</v>
      </c>
      <c r="J1790">
        <v>54</v>
      </c>
      <c r="K1790">
        <f>VLOOKUP(B1790,purchase_dataset!$B$2:$F$2241,2,FALSE)</f>
        <v>0</v>
      </c>
      <c r="L1790">
        <f>VLOOKUP(B1790,purchase_dataset!$B$2:$F$2241,3,FALSE)</f>
        <v>1</v>
      </c>
      <c r="M1790">
        <f>VLOOKUP(B1790,purchase_dataset!$B$2:$F$2241,3,FALSE)</f>
        <v>1</v>
      </c>
      <c r="N1790">
        <f>VLOOKUP(B1790,purchase_dataset!$B$2:$F$2241,5,FALSE)</f>
        <v>4</v>
      </c>
      <c r="O1790" s="5">
        <v>43</v>
      </c>
      <c r="P1790" s="4" t="str">
        <f t="shared" si="54"/>
        <v>30-50</v>
      </c>
      <c r="Q1790" s="4">
        <f>M1790+N1790</f>
        <v>5</v>
      </c>
      <c r="U1790" s="28" t="str" cm="1">
        <f t="array" ref="U1790">_xlfn.IFS(F1790&lt;30000,"30k",F1790&lt;=50000,"30k-50k",F1790&lt;=75000,"50k-75k",F1790&lt;=100000,"75k-100k",F1790&gt;100000,"100k")</f>
        <v>30k-50k</v>
      </c>
      <c r="W1790" s="1">
        <f t="shared" si="55"/>
        <v>13</v>
      </c>
    </row>
    <row r="1791" spans="1:23" x14ac:dyDescent="0.35">
      <c r="A1791">
        <v>1788</v>
      </c>
      <c r="B1791">
        <v>1513</v>
      </c>
      <c r="C1791">
        <v>1979</v>
      </c>
      <c r="D1791" s="1" t="s">
        <v>18</v>
      </c>
      <c r="E1791" s="1" t="s">
        <v>12</v>
      </c>
      <c r="F1791">
        <v>60839</v>
      </c>
      <c r="G1791">
        <v>1</v>
      </c>
      <c r="H1791" s="2">
        <v>1</v>
      </c>
      <c r="I1791" s="2">
        <v>41149</v>
      </c>
      <c r="J1791">
        <v>72</v>
      </c>
      <c r="K1791">
        <f>VLOOKUP(B1791,purchase_dataset!$B$2:$F$2241,2,FALSE)</f>
        <v>21</v>
      </c>
      <c r="L1791">
        <f>VLOOKUP(B1791,purchase_dataset!$B$2:$F$2241,3,FALSE)</f>
        <v>150</v>
      </c>
      <c r="M1791">
        <f>VLOOKUP(B1791,purchase_dataset!$B$2:$F$2241,3,FALSE)</f>
        <v>150</v>
      </c>
      <c r="N1791">
        <f>VLOOKUP(B1791,purchase_dataset!$B$2:$F$2241,5,FALSE)</f>
        <v>12</v>
      </c>
      <c r="O1791" s="5">
        <v>47</v>
      </c>
      <c r="P1791" s="4" t="str">
        <f t="shared" si="54"/>
        <v>30-50</v>
      </c>
      <c r="Q1791" s="4">
        <f>M1791+N1791</f>
        <v>162</v>
      </c>
      <c r="U1791" s="28" t="str" cm="1">
        <f t="array" ref="U1791">_xlfn.IFS(F1791&lt;30000,"30k",F1791&lt;=50000,"30k-50k",F1791&lt;=75000,"50k-75k",F1791&lt;=100000,"75k-100k",F1791&gt;100000,"100k")</f>
        <v>50k-75k</v>
      </c>
      <c r="W1791" s="1">
        <f t="shared" si="55"/>
        <v>14</v>
      </c>
    </row>
    <row r="1792" spans="1:23" x14ac:dyDescent="0.35">
      <c r="A1792">
        <v>1789</v>
      </c>
      <c r="B1792">
        <v>6173</v>
      </c>
      <c r="C1792">
        <v>1979</v>
      </c>
      <c r="D1792" s="1" t="s">
        <v>10</v>
      </c>
      <c r="E1792" s="1" t="s">
        <v>12</v>
      </c>
      <c r="F1792">
        <v>77298</v>
      </c>
      <c r="G1792">
        <v>0</v>
      </c>
      <c r="H1792" s="2">
        <v>1</v>
      </c>
      <c r="I1792" s="2">
        <v>41580</v>
      </c>
      <c r="J1792">
        <v>46</v>
      </c>
      <c r="K1792">
        <f>VLOOKUP(B1792,purchase_dataset!$B$2:$F$2241,2,FALSE)</f>
        <v>115</v>
      </c>
      <c r="L1792">
        <f>VLOOKUP(B1792,purchase_dataset!$B$2:$F$2241,3,FALSE)</f>
        <v>35</v>
      </c>
      <c r="M1792">
        <f>VLOOKUP(B1792,purchase_dataset!$B$2:$F$2241,3,FALSE)</f>
        <v>35</v>
      </c>
      <c r="N1792">
        <f>VLOOKUP(B1792,purchase_dataset!$B$2:$F$2241,5,FALSE)</f>
        <v>11</v>
      </c>
      <c r="O1792" s="5">
        <v>47</v>
      </c>
      <c r="P1792" s="4" t="str">
        <f t="shared" si="54"/>
        <v>30-50</v>
      </c>
      <c r="Q1792" s="4">
        <f>M1792+N1792</f>
        <v>46</v>
      </c>
      <c r="U1792" s="28" t="str" cm="1">
        <f t="array" ref="U1792">_xlfn.IFS(F1792&lt;30000,"30k",F1792&lt;=50000,"30k-50k",F1792&lt;=75000,"50k-75k",F1792&lt;=100000,"75k-100k",F1792&gt;100000,"100k")</f>
        <v>75k-100k</v>
      </c>
      <c r="W1792" s="1">
        <f t="shared" si="55"/>
        <v>13</v>
      </c>
    </row>
    <row r="1793" spans="1:23" x14ac:dyDescent="0.35">
      <c r="A1793">
        <v>1790</v>
      </c>
      <c r="B1793">
        <v>1419</v>
      </c>
      <c r="C1793">
        <v>1950</v>
      </c>
      <c r="D1793" s="1" t="s">
        <v>10</v>
      </c>
      <c r="E1793" s="1" t="s">
        <v>12</v>
      </c>
      <c r="F1793">
        <v>34026</v>
      </c>
      <c r="G1793">
        <v>1</v>
      </c>
      <c r="H1793" s="2">
        <v>1</v>
      </c>
      <c r="I1793" s="2">
        <v>41491</v>
      </c>
      <c r="J1793">
        <v>11</v>
      </c>
      <c r="K1793">
        <f>VLOOKUP(B1793,purchase_dataset!$B$2:$F$2241,2,FALSE)</f>
        <v>6</v>
      </c>
      <c r="L1793">
        <f>VLOOKUP(B1793,purchase_dataset!$B$2:$F$2241,3,FALSE)</f>
        <v>8</v>
      </c>
      <c r="M1793">
        <f>VLOOKUP(B1793,purchase_dataset!$B$2:$F$2241,3,FALSE)</f>
        <v>8</v>
      </c>
      <c r="N1793">
        <f>VLOOKUP(B1793,purchase_dataset!$B$2:$F$2241,5,FALSE)</f>
        <v>3</v>
      </c>
      <c r="O1793" s="5">
        <v>76</v>
      </c>
      <c r="P1793" s="4" t="str">
        <f t="shared" si="54"/>
        <v>&gt;50</v>
      </c>
      <c r="Q1793" s="4">
        <f>M1793+N1793</f>
        <v>11</v>
      </c>
      <c r="U1793" s="28" t="str" cm="1">
        <f t="array" ref="U1793">_xlfn.IFS(F1793&lt;30000,"30k",F1793&lt;=50000,"30k-50k",F1793&lt;=75000,"50k-75k",F1793&lt;=100000,"75k-100k",F1793&gt;100000,"100k")</f>
        <v>30k-50k</v>
      </c>
      <c r="W1793" s="1">
        <f t="shared" si="55"/>
        <v>13</v>
      </c>
    </row>
    <row r="1794" spans="1:23" x14ac:dyDescent="0.35">
      <c r="A1794">
        <v>1791</v>
      </c>
      <c r="B1794">
        <v>9150</v>
      </c>
      <c r="C1794">
        <v>1963</v>
      </c>
      <c r="D1794" s="1" t="s">
        <v>13</v>
      </c>
      <c r="E1794" s="1" t="s">
        <v>11</v>
      </c>
      <c r="F1794">
        <v>48918</v>
      </c>
      <c r="G1794">
        <v>1</v>
      </c>
      <c r="H1794" s="2">
        <v>1</v>
      </c>
      <c r="I1794" s="2">
        <v>41741</v>
      </c>
      <c r="J1794">
        <v>21</v>
      </c>
      <c r="K1794">
        <f>VLOOKUP(B1794,purchase_dataset!$B$2:$F$2241,2,FALSE)</f>
        <v>0</v>
      </c>
      <c r="L1794">
        <f>VLOOKUP(B1794,purchase_dataset!$B$2:$F$2241,3,FALSE)</f>
        <v>0</v>
      </c>
      <c r="M1794">
        <f>VLOOKUP(B1794,purchase_dataset!$B$2:$F$2241,3,FALSE)</f>
        <v>0</v>
      </c>
      <c r="N1794">
        <f>VLOOKUP(B1794,purchase_dataset!$B$2:$F$2241,5,FALSE)</f>
        <v>4</v>
      </c>
      <c r="O1794" s="5">
        <v>63</v>
      </c>
      <c r="P1794" s="4" t="str">
        <f t="shared" si="54"/>
        <v>&gt;50</v>
      </c>
      <c r="Q1794" s="4">
        <f>M1794+N1794</f>
        <v>4</v>
      </c>
      <c r="U1794" s="28" t="str" cm="1">
        <f t="array" ref="U1794">_xlfn.IFS(F1794&lt;30000,"30k",F1794&lt;=50000,"30k-50k",F1794&lt;=75000,"50k-75k",F1794&lt;=100000,"75k-100k",F1794&gt;100000,"100k")</f>
        <v>30k-50k</v>
      </c>
      <c r="W1794" s="1">
        <f t="shared" si="55"/>
        <v>12</v>
      </c>
    </row>
    <row r="1795" spans="1:23" x14ac:dyDescent="0.35">
      <c r="A1795">
        <v>1792</v>
      </c>
      <c r="B1795">
        <v>7960</v>
      </c>
      <c r="C1795">
        <v>1962</v>
      </c>
      <c r="D1795" s="1" t="s">
        <v>18</v>
      </c>
      <c r="E1795" s="1" t="s">
        <v>12</v>
      </c>
      <c r="F1795">
        <v>82122</v>
      </c>
      <c r="G1795">
        <v>0</v>
      </c>
      <c r="H1795" s="2">
        <v>0</v>
      </c>
      <c r="I1795" s="2">
        <v>41501</v>
      </c>
      <c r="J1795">
        <v>89</v>
      </c>
      <c r="K1795">
        <f>VLOOKUP(B1795,purchase_dataset!$B$2:$F$2241,2,FALSE)</f>
        <v>22</v>
      </c>
      <c r="L1795">
        <f>VLOOKUP(B1795,purchase_dataset!$B$2:$F$2241,3,FALSE)</f>
        <v>25</v>
      </c>
      <c r="M1795">
        <f>VLOOKUP(B1795,purchase_dataset!$B$2:$F$2241,3,FALSE)</f>
        <v>25</v>
      </c>
      <c r="N1795">
        <f>VLOOKUP(B1795,purchase_dataset!$B$2:$F$2241,5,FALSE)</f>
        <v>13</v>
      </c>
      <c r="O1795" s="5">
        <v>64</v>
      </c>
      <c r="P1795" s="4" t="str">
        <f t="shared" si="54"/>
        <v>&gt;50</v>
      </c>
      <c r="Q1795" s="4">
        <f>M1795+N1795</f>
        <v>38</v>
      </c>
      <c r="U1795" s="28" t="str" cm="1">
        <f t="array" ref="U1795">_xlfn.IFS(F1795&lt;30000,"30k",F1795&lt;=50000,"30k-50k",F1795&lt;=75000,"50k-75k",F1795&lt;=100000,"75k-100k",F1795&gt;100000,"100k")</f>
        <v>75k-100k</v>
      </c>
      <c r="W1795" s="1">
        <f t="shared" si="55"/>
        <v>13</v>
      </c>
    </row>
    <row r="1796" spans="1:23" x14ac:dyDescent="0.35">
      <c r="A1796">
        <v>1793</v>
      </c>
      <c r="B1796">
        <v>1250</v>
      </c>
      <c r="C1796">
        <v>1976</v>
      </c>
      <c r="D1796" s="1" t="s">
        <v>10</v>
      </c>
      <c r="E1796" s="1" t="s">
        <v>11</v>
      </c>
      <c r="F1796">
        <v>37697</v>
      </c>
      <c r="G1796">
        <v>1</v>
      </c>
      <c r="H1796" s="2">
        <v>0</v>
      </c>
      <c r="I1796" s="2">
        <v>41677</v>
      </c>
      <c r="J1796">
        <v>82</v>
      </c>
      <c r="K1796">
        <f>VLOOKUP(B1796,purchase_dataset!$B$2:$F$2241,2,FALSE)</f>
        <v>6</v>
      </c>
      <c r="L1796">
        <f>VLOOKUP(B1796,purchase_dataset!$B$2:$F$2241,3,FALSE)</f>
        <v>4</v>
      </c>
      <c r="M1796">
        <f>VLOOKUP(B1796,purchase_dataset!$B$2:$F$2241,3,FALSE)</f>
        <v>4</v>
      </c>
      <c r="N1796">
        <f>VLOOKUP(B1796,purchase_dataset!$B$2:$F$2241,5,FALSE)</f>
        <v>3</v>
      </c>
      <c r="O1796" s="5">
        <v>50</v>
      </c>
      <c r="P1796" s="4" t="str">
        <f t="shared" ref="P1796:P1859" si="56">IF(O1796&lt;30,"30",IF(O1796&lt;=50,"30-50","&gt;50"))</f>
        <v>30-50</v>
      </c>
      <c r="Q1796" s="4">
        <f>M1796+N1796</f>
        <v>7</v>
      </c>
      <c r="U1796" s="28" t="str" cm="1">
        <f t="array" ref="U1796">_xlfn.IFS(F1796&lt;30000,"30k",F1796&lt;=50000,"30k-50k",F1796&lt;=75000,"50k-75k",F1796&lt;=100000,"75k-100k",F1796&gt;100000,"100k")</f>
        <v>30k-50k</v>
      </c>
      <c r="W1796" s="1">
        <f t="shared" ref="W1796:W1859" si="57">2026-YEAR(I1796)</f>
        <v>12</v>
      </c>
    </row>
    <row r="1797" spans="1:23" x14ac:dyDescent="0.35">
      <c r="A1797">
        <v>1794</v>
      </c>
      <c r="B1797">
        <v>9905</v>
      </c>
      <c r="C1797">
        <v>1952</v>
      </c>
      <c r="D1797" s="1" t="s">
        <v>10</v>
      </c>
      <c r="E1797" s="1" t="s">
        <v>12</v>
      </c>
      <c r="F1797">
        <v>34074</v>
      </c>
      <c r="G1797">
        <v>1</v>
      </c>
      <c r="H1797" s="2">
        <v>1</v>
      </c>
      <c r="I1797" s="2">
        <v>41468</v>
      </c>
      <c r="J1797">
        <v>69</v>
      </c>
      <c r="K1797">
        <f>VLOOKUP(B1797,purchase_dataset!$B$2:$F$2241,2,FALSE)</f>
        <v>1</v>
      </c>
      <c r="L1797">
        <f>VLOOKUP(B1797,purchase_dataset!$B$2:$F$2241,3,FALSE)</f>
        <v>1</v>
      </c>
      <c r="M1797">
        <f>VLOOKUP(B1797,purchase_dataset!$B$2:$F$2241,3,FALSE)</f>
        <v>1</v>
      </c>
      <c r="N1797">
        <f>VLOOKUP(B1797,purchase_dataset!$B$2:$F$2241,5,FALSE)</f>
        <v>3</v>
      </c>
      <c r="O1797" s="5">
        <v>74</v>
      </c>
      <c r="P1797" s="4" t="str">
        <f t="shared" si="56"/>
        <v>&gt;50</v>
      </c>
      <c r="Q1797" s="4">
        <f>M1797+N1797</f>
        <v>4</v>
      </c>
      <c r="U1797" s="28" t="str" cm="1">
        <f t="array" ref="U1797">_xlfn.IFS(F1797&lt;30000,"30k",F1797&lt;=50000,"30k-50k",F1797&lt;=75000,"50k-75k",F1797&lt;=100000,"75k-100k",F1797&gt;100000,"100k")</f>
        <v>30k-50k</v>
      </c>
      <c r="W1797" s="1">
        <f t="shared" si="57"/>
        <v>13</v>
      </c>
    </row>
    <row r="1798" spans="1:23" x14ac:dyDescent="0.35">
      <c r="A1798">
        <v>1795</v>
      </c>
      <c r="B1798">
        <v>10691</v>
      </c>
      <c r="C1798">
        <v>1960</v>
      </c>
      <c r="D1798" s="1" t="s">
        <v>15</v>
      </c>
      <c r="E1798" s="1" t="s">
        <v>14</v>
      </c>
      <c r="F1798">
        <v>28520</v>
      </c>
      <c r="G1798">
        <v>1</v>
      </c>
      <c r="H1798" s="2">
        <v>1</v>
      </c>
      <c r="I1798" s="2">
        <v>41439</v>
      </c>
      <c r="J1798">
        <v>55</v>
      </c>
      <c r="K1798">
        <f>VLOOKUP(B1798,purchase_dataset!$B$2:$F$2241,2,FALSE)</f>
        <v>0</v>
      </c>
      <c r="L1798">
        <f>VLOOKUP(B1798,purchase_dataset!$B$2:$F$2241,3,FALSE)</f>
        <v>2</v>
      </c>
      <c r="M1798">
        <f>VLOOKUP(B1798,purchase_dataset!$B$2:$F$2241,3,FALSE)</f>
        <v>2</v>
      </c>
      <c r="N1798">
        <f>VLOOKUP(B1798,purchase_dataset!$B$2:$F$2241,5,FALSE)</f>
        <v>2</v>
      </c>
      <c r="O1798" s="5">
        <v>66</v>
      </c>
      <c r="P1798" s="4" t="str">
        <f t="shared" si="56"/>
        <v>&gt;50</v>
      </c>
      <c r="Q1798" s="4">
        <f>M1798+N1798</f>
        <v>4</v>
      </c>
      <c r="U1798" s="28" t="str" cm="1">
        <f t="array" ref="U1798">_xlfn.IFS(F1798&lt;30000,"30k",F1798&lt;=50000,"30k-50k",F1798&lt;=75000,"50k-75k",F1798&lt;=100000,"75k-100k",F1798&gt;100000,"100k")</f>
        <v>30k</v>
      </c>
      <c r="W1798" s="1">
        <f t="shared" si="57"/>
        <v>13</v>
      </c>
    </row>
    <row r="1799" spans="1:23" x14ac:dyDescent="0.35">
      <c r="A1799">
        <v>1796</v>
      </c>
      <c r="B1799">
        <v>7002</v>
      </c>
      <c r="C1799">
        <v>1955</v>
      </c>
      <c r="D1799" s="1" t="s">
        <v>10</v>
      </c>
      <c r="E1799" s="1" t="s">
        <v>11</v>
      </c>
      <c r="F1799">
        <v>62535</v>
      </c>
      <c r="G1799">
        <v>0</v>
      </c>
      <c r="H1799" s="2">
        <v>1</v>
      </c>
      <c r="I1799" s="2">
        <v>41550</v>
      </c>
      <c r="J1799">
        <v>13</v>
      </c>
      <c r="K1799">
        <f>VLOOKUP(B1799,purchase_dataset!$B$2:$F$2241,2,FALSE)</f>
        <v>48</v>
      </c>
      <c r="L1799">
        <f>VLOOKUP(B1799,purchase_dataset!$B$2:$F$2241,3,FALSE)</f>
        <v>45</v>
      </c>
      <c r="M1799">
        <f>VLOOKUP(B1799,purchase_dataset!$B$2:$F$2241,3,FALSE)</f>
        <v>45</v>
      </c>
      <c r="N1799">
        <f>VLOOKUP(B1799,purchase_dataset!$B$2:$F$2241,5,FALSE)</f>
        <v>8</v>
      </c>
      <c r="O1799" s="5">
        <v>71</v>
      </c>
      <c r="P1799" s="4" t="str">
        <f t="shared" si="56"/>
        <v>&gt;50</v>
      </c>
      <c r="Q1799" s="4">
        <f>M1799+N1799</f>
        <v>53</v>
      </c>
      <c r="U1799" s="28" t="str" cm="1">
        <f t="array" ref="U1799">_xlfn.IFS(F1799&lt;30000,"30k",F1799&lt;=50000,"30k-50k",F1799&lt;=75000,"50k-75k",F1799&lt;=100000,"75k-100k",F1799&gt;100000,"100k")</f>
        <v>50k-75k</v>
      </c>
      <c r="W1799" s="1">
        <f t="shared" si="57"/>
        <v>13</v>
      </c>
    </row>
    <row r="1800" spans="1:23" x14ac:dyDescent="0.35">
      <c r="A1800">
        <v>1797</v>
      </c>
      <c r="B1800">
        <v>2952</v>
      </c>
      <c r="C1800">
        <v>1977</v>
      </c>
      <c r="D1800" s="1" t="s">
        <v>15</v>
      </c>
      <c r="E1800" s="1" t="s">
        <v>11</v>
      </c>
      <c r="F1800">
        <v>36273</v>
      </c>
      <c r="G1800">
        <v>1</v>
      </c>
      <c r="H1800" s="2">
        <v>0</v>
      </c>
      <c r="I1800" s="2">
        <v>41745</v>
      </c>
      <c r="J1800">
        <v>80</v>
      </c>
      <c r="K1800">
        <f>VLOOKUP(B1800,purchase_dataset!$B$2:$F$2241,2,FALSE)</f>
        <v>3</v>
      </c>
      <c r="L1800">
        <f>VLOOKUP(B1800,purchase_dataset!$B$2:$F$2241,3,FALSE)</f>
        <v>2</v>
      </c>
      <c r="M1800">
        <f>VLOOKUP(B1800,purchase_dataset!$B$2:$F$2241,3,FALSE)</f>
        <v>2</v>
      </c>
      <c r="N1800">
        <f>VLOOKUP(B1800,purchase_dataset!$B$2:$F$2241,5,FALSE)</f>
        <v>3</v>
      </c>
      <c r="O1800" s="5">
        <v>49</v>
      </c>
      <c r="P1800" s="4" t="str">
        <f t="shared" si="56"/>
        <v>30-50</v>
      </c>
      <c r="Q1800" s="4">
        <f>M1800+N1800</f>
        <v>5</v>
      </c>
      <c r="U1800" s="28" t="str" cm="1">
        <f t="array" ref="U1800">_xlfn.IFS(F1800&lt;30000,"30k",F1800&lt;=50000,"30k-50k",F1800&lt;=75000,"50k-75k",F1800&lt;=100000,"75k-100k",F1800&gt;100000,"100k")</f>
        <v>30k-50k</v>
      </c>
      <c r="W1800" s="1">
        <f t="shared" si="57"/>
        <v>12</v>
      </c>
    </row>
    <row r="1801" spans="1:23" x14ac:dyDescent="0.35">
      <c r="A1801">
        <v>1798</v>
      </c>
      <c r="B1801">
        <v>8439</v>
      </c>
      <c r="C1801">
        <v>1964</v>
      </c>
      <c r="D1801" s="1" t="s">
        <v>10</v>
      </c>
      <c r="E1801" s="1" t="s">
        <v>12</v>
      </c>
      <c r="F1801">
        <v>63404</v>
      </c>
      <c r="G1801">
        <v>0</v>
      </c>
      <c r="H1801" s="2">
        <v>2</v>
      </c>
      <c r="I1801" s="2">
        <v>41796</v>
      </c>
      <c r="J1801">
        <v>97</v>
      </c>
      <c r="K1801">
        <f>VLOOKUP(B1801,purchase_dataset!$B$2:$F$2241,2,FALSE)</f>
        <v>26</v>
      </c>
      <c r="L1801">
        <f>VLOOKUP(B1801,purchase_dataset!$B$2:$F$2241,3,FALSE)</f>
        <v>44</v>
      </c>
      <c r="M1801">
        <f>VLOOKUP(B1801,purchase_dataset!$B$2:$F$2241,3,FALSE)</f>
        <v>44</v>
      </c>
      <c r="N1801">
        <f>VLOOKUP(B1801,purchase_dataset!$B$2:$F$2241,5,FALSE)</f>
        <v>4</v>
      </c>
      <c r="O1801" s="5">
        <v>62</v>
      </c>
      <c r="P1801" s="4" t="str">
        <f t="shared" si="56"/>
        <v>&gt;50</v>
      </c>
      <c r="Q1801" s="4">
        <f>M1801+N1801</f>
        <v>48</v>
      </c>
      <c r="U1801" s="28" t="str" cm="1">
        <f t="array" ref="U1801">_xlfn.IFS(F1801&lt;30000,"30k",F1801&lt;=50000,"30k-50k",F1801&lt;=75000,"50k-75k",F1801&lt;=100000,"75k-100k",F1801&gt;100000,"100k")</f>
        <v>50k-75k</v>
      </c>
      <c r="W1801" s="1">
        <f t="shared" si="57"/>
        <v>12</v>
      </c>
    </row>
    <row r="1802" spans="1:23" x14ac:dyDescent="0.35">
      <c r="A1802">
        <v>1799</v>
      </c>
      <c r="B1802">
        <v>762</v>
      </c>
      <c r="C1802">
        <v>1981</v>
      </c>
      <c r="D1802" s="1" t="s">
        <v>18</v>
      </c>
      <c r="E1802" s="1" t="s">
        <v>12</v>
      </c>
      <c r="F1802">
        <v>75774</v>
      </c>
      <c r="G1802">
        <v>1</v>
      </c>
      <c r="H1802" s="2">
        <v>0</v>
      </c>
      <c r="I1802" s="2">
        <v>41761</v>
      </c>
      <c r="J1802">
        <v>27</v>
      </c>
      <c r="K1802">
        <f>VLOOKUP(B1802,purchase_dataset!$B$2:$F$2241,2,FALSE)</f>
        <v>21</v>
      </c>
      <c r="L1802">
        <f>VLOOKUP(B1802,purchase_dataset!$B$2:$F$2241,3,FALSE)</f>
        <v>14</v>
      </c>
      <c r="M1802">
        <f>VLOOKUP(B1802,purchase_dataset!$B$2:$F$2241,3,FALSE)</f>
        <v>14</v>
      </c>
      <c r="N1802">
        <f>VLOOKUP(B1802,purchase_dataset!$B$2:$F$2241,5,FALSE)</f>
        <v>8</v>
      </c>
      <c r="O1802" s="5">
        <v>45</v>
      </c>
      <c r="P1802" s="4" t="str">
        <f t="shared" si="56"/>
        <v>30-50</v>
      </c>
      <c r="Q1802" s="4">
        <f>M1802+N1802</f>
        <v>22</v>
      </c>
      <c r="U1802" s="28" t="str" cm="1">
        <f t="array" ref="U1802">_xlfn.IFS(F1802&lt;30000,"30k",F1802&lt;=50000,"30k-50k",F1802&lt;=75000,"50k-75k",F1802&lt;=100000,"75k-100k",F1802&gt;100000,"100k")</f>
        <v>75k-100k</v>
      </c>
      <c r="W1802" s="1">
        <f t="shared" si="57"/>
        <v>12</v>
      </c>
    </row>
    <row r="1803" spans="1:23" x14ac:dyDescent="0.35">
      <c r="A1803">
        <v>1800</v>
      </c>
      <c r="B1803">
        <v>2831</v>
      </c>
      <c r="C1803">
        <v>1976</v>
      </c>
      <c r="D1803" s="1" t="s">
        <v>10</v>
      </c>
      <c r="E1803" s="1" t="s">
        <v>12</v>
      </c>
      <c r="F1803">
        <v>78416</v>
      </c>
      <c r="G1803">
        <v>0</v>
      </c>
      <c r="H1803" s="2">
        <v>1</v>
      </c>
      <c r="I1803" s="2">
        <v>41817</v>
      </c>
      <c r="J1803">
        <v>99</v>
      </c>
      <c r="K1803">
        <f>VLOOKUP(B1803,purchase_dataset!$B$2:$F$2241,2,FALSE)</f>
        <v>38</v>
      </c>
      <c r="L1803">
        <f>VLOOKUP(B1803,purchase_dataset!$B$2:$F$2241,3,FALSE)</f>
        <v>38</v>
      </c>
      <c r="M1803">
        <f>VLOOKUP(B1803,purchase_dataset!$B$2:$F$2241,3,FALSE)</f>
        <v>38</v>
      </c>
      <c r="N1803">
        <f>VLOOKUP(B1803,purchase_dataset!$B$2:$F$2241,5,FALSE)</f>
        <v>10</v>
      </c>
      <c r="O1803" s="5">
        <v>50</v>
      </c>
      <c r="P1803" s="4" t="str">
        <f t="shared" si="56"/>
        <v>30-50</v>
      </c>
      <c r="Q1803" s="4">
        <f>M1803+N1803</f>
        <v>48</v>
      </c>
      <c r="U1803" s="28" t="str" cm="1">
        <f t="array" ref="U1803">_xlfn.IFS(F1803&lt;30000,"30k",F1803&lt;=50000,"30k-50k",F1803&lt;=75000,"50k-75k",F1803&lt;=100000,"75k-100k",F1803&gt;100000,"100k")</f>
        <v>75k-100k</v>
      </c>
      <c r="W1803" s="1">
        <f t="shared" si="57"/>
        <v>12</v>
      </c>
    </row>
    <row r="1804" spans="1:23" x14ac:dyDescent="0.35">
      <c r="A1804">
        <v>1801</v>
      </c>
      <c r="B1804">
        <v>6977</v>
      </c>
      <c r="C1804">
        <v>1974</v>
      </c>
      <c r="D1804" s="1" t="s">
        <v>10</v>
      </c>
      <c r="E1804" s="1" t="s">
        <v>12</v>
      </c>
      <c r="F1804">
        <v>75702</v>
      </c>
      <c r="G1804">
        <v>0</v>
      </c>
      <c r="H1804" s="2">
        <v>1</v>
      </c>
      <c r="I1804" s="2">
        <v>41196</v>
      </c>
      <c r="J1804">
        <v>87</v>
      </c>
      <c r="K1804">
        <f>VLOOKUP(B1804,purchase_dataset!$B$2:$F$2241,2,FALSE)</f>
        <v>0</v>
      </c>
      <c r="L1804">
        <f>VLOOKUP(B1804,purchase_dataset!$B$2:$F$2241,3,FALSE)</f>
        <v>37</v>
      </c>
      <c r="M1804">
        <f>VLOOKUP(B1804,purchase_dataset!$B$2:$F$2241,3,FALSE)</f>
        <v>37</v>
      </c>
      <c r="N1804">
        <f>VLOOKUP(B1804,purchase_dataset!$B$2:$F$2241,5,FALSE)</f>
        <v>13</v>
      </c>
      <c r="O1804" s="5">
        <v>52</v>
      </c>
      <c r="P1804" s="4" t="str">
        <f t="shared" si="56"/>
        <v>&gt;50</v>
      </c>
      <c r="Q1804" s="4">
        <f>M1804+N1804</f>
        <v>50</v>
      </c>
      <c r="U1804" s="28" t="str" cm="1">
        <f t="array" ref="U1804">_xlfn.IFS(F1804&lt;30000,"30k",F1804&lt;=50000,"30k-50k",F1804&lt;=75000,"50k-75k",F1804&lt;=100000,"75k-100k",F1804&gt;100000,"100k")</f>
        <v>75k-100k</v>
      </c>
      <c r="W1804" s="1">
        <f t="shared" si="57"/>
        <v>14</v>
      </c>
    </row>
    <row r="1805" spans="1:23" x14ac:dyDescent="0.35">
      <c r="A1805">
        <v>1802</v>
      </c>
      <c r="B1805">
        <v>6289</v>
      </c>
      <c r="C1805">
        <v>1951</v>
      </c>
      <c r="D1805" s="1" t="s">
        <v>15</v>
      </c>
      <c r="E1805" s="1" t="s">
        <v>12</v>
      </c>
      <c r="F1805">
        <v>59385</v>
      </c>
      <c r="G1805">
        <v>1</v>
      </c>
      <c r="H1805" s="2">
        <v>1</v>
      </c>
      <c r="I1805" s="2">
        <v>41392</v>
      </c>
      <c r="J1805">
        <v>85</v>
      </c>
      <c r="K1805">
        <f>VLOOKUP(B1805,purchase_dataset!$B$2:$F$2241,2,FALSE)</f>
        <v>0</v>
      </c>
      <c r="L1805">
        <f>VLOOKUP(B1805,purchase_dataset!$B$2:$F$2241,3,FALSE)</f>
        <v>4</v>
      </c>
      <c r="M1805">
        <f>VLOOKUP(B1805,purchase_dataset!$B$2:$F$2241,3,FALSE)</f>
        <v>4</v>
      </c>
      <c r="N1805">
        <f>VLOOKUP(B1805,purchase_dataset!$B$2:$F$2241,5,FALSE)</f>
        <v>4</v>
      </c>
      <c r="O1805" s="5">
        <v>75</v>
      </c>
      <c r="P1805" s="4" t="str">
        <f t="shared" si="56"/>
        <v>&gt;50</v>
      </c>
      <c r="Q1805" s="4">
        <f>M1805+N1805</f>
        <v>8</v>
      </c>
      <c r="U1805" s="28" t="str" cm="1">
        <f t="array" ref="U1805">_xlfn.IFS(F1805&lt;30000,"30k",F1805&lt;=50000,"30k-50k",F1805&lt;=75000,"50k-75k",F1805&lt;=100000,"75k-100k",F1805&gt;100000,"100k")</f>
        <v>50k-75k</v>
      </c>
      <c r="W1805" s="1">
        <f t="shared" si="57"/>
        <v>13</v>
      </c>
    </row>
    <row r="1806" spans="1:23" x14ac:dyDescent="0.35">
      <c r="A1806">
        <v>1803</v>
      </c>
      <c r="B1806">
        <v>4168</v>
      </c>
      <c r="C1806">
        <v>1966</v>
      </c>
      <c r="D1806" s="1" t="s">
        <v>10</v>
      </c>
      <c r="E1806" s="1" t="s">
        <v>11</v>
      </c>
      <c r="F1806">
        <v>37070</v>
      </c>
      <c r="G1806">
        <v>1</v>
      </c>
      <c r="H1806" s="2">
        <v>1</v>
      </c>
      <c r="I1806" s="2">
        <v>41353</v>
      </c>
      <c r="J1806">
        <v>30</v>
      </c>
      <c r="K1806">
        <f>VLOOKUP(B1806,purchase_dataset!$B$2:$F$2241,2,FALSE)</f>
        <v>7</v>
      </c>
      <c r="L1806">
        <f>VLOOKUP(B1806,purchase_dataset!$B$2:$F$2241,3,FALSE)</f>
        <v>15</v>
      </c>
      <c r="M1806">
        <f>VLOOKUP(B1806,purchase_dataset!$B$2:$F$2241,3,FALSE)</f>
        <v>15</v>
      </c>
      <c r="N1806">
        <f>VLOOKUP(B1806,purchase_dataset!$B$2:$F$2241,5,FALSE)</f>
        <v>8</v>
      </c>
      <c r="O1806" s="5">
        <v>60</v>
      </c>
      <c r="P1806" s="4" t="str">
        <f t="shared" si="56"/>
        <v>&gt;50</v>
      </c>
      <c r="Q1806" s="4">
        <f>M1806+N1806</f>
        <v>23</v>
      </c>
      <c r="U1806" s="28" t="str" cm="1">
        <f t="array" ref="U1806">_xlfn.IFS(F1806&lt;30000,"30k",F1806&lt;=50000,"30k-50k",F1806&lt;=75000,"50k-75k",F1806&lt;=100000,"75k-100k",F1806&gt;100000,"100k")</f>
        <v>30k-50k</v>
      </c>
      <c r="W1806" s="1">
        <f t="shared" si="57"/>
        <v>13</v>
      </c>
    </row>
    <row r="1807" spans="1:23" x14ac:dyDescent="0.35">
      <c r="A1807">
        <v>1804</v>
      </c>
      <c r="B1807">
        <v>8397</v>
      </c>
      <c r="C1807">
        <v>1951</v>
      </c>
      <c r="D1807" s="1" t="s">
        <v>10</v>
      </c>
      <c r="E1807" s="1" t="s">
        <v>14</v>
      </c>
      <c r="F1807">
        <v>44689</v>
      </c>
      <c r="G1807">
        <v>1</v>
      </c>
      <c r="H1807" s="2">
        <v>1</v>
      </c>
      <c r="I1807" s="2">
        <v>41649</v>
      </c>
      <c r="J1807">
        <v>82</v>
      </c>
      <c r="K1807">
        <f>VLOOKUP(B1807,purchase_dataset!$B$2:$F$2241,2,FALSE)</f>
        <v>0</v>
      </c>
      <c r="L1807">
        <f>VLOOKUP(B1807,purchase_dataset!$B$2:$F$2241,3,FALSE)</f>
        <v>0</v>
      </c>
      <c r="M1807">
        <f>VLOOKUP(B1807,purchase_dataset!$B$2:$F$2241,3,FALSE)</f>
        <v>0</v>
      </c>
      <c r="N1807">
        <f>VLOOKUP(B1807,purchase_dataset!$B$2:$F$2241,5,FALSE)</f>
        <v>2</v>
      </c>
      <c r="O1807" s="5">
        <v>75</v>
      </c>
      <c r="P1807" s="4" t="str">
        <f t="shared" si="56"/>
        <v>&gt;50</v>
      </c>
      <c r="Q1807" s="4">
        <f>M1807+N1807</f>
        <v>2</v>
      </c>
      <c r="U1807" s="28" t="str" cm="1">
        <f t="array" ref="U1807">_xlfn.IFS(F1807&lt;30000,"30k",F1807&lt;=50000,"30k-50k",F1807&lt;=75000,"50k-75k",F1807&lt;=100000,"75k-100k",F1807&gt;100000,"100k")</f>
        <v>30k-50k</v>
      </c>
      <c r="W1807" s="1">
        <f t="shared" si="57"/>
        <v>12</v>
      </c>
    </row>
    <row r="1808" spans="1:23" x14ac:dyDescent="0.35">
      <c r="A1808">
        <v>1805</v>
      </c>
      <c r="B1808">
        <v>9284</v>
      </c>
      <c r="C1808">
        <v>1958</v>
      </c>
      <c r="D1808" s="1" t="s">
        <v>10</v>
      </c>
      <c r="E1808" s="1" t="s">
        <v>12</v>
      </c>
      <c r="F1808">
        <v>53977</v>
      </c>
      <c r="G1808">
        <v>0</v>
      </c>
      <c r="H1808" s="2">
        <v>1</v>
      </c>
      <c r="I1808" s="2">
        <v>41433</v>
      </c>
      <c r="J1808">
        <v>21</v>
      </c>
      <c r="K1808">
        <f>VLOOKUP(B1808,purchase_dataset!$B$2:$F$2241,2,FALSE)</f>
        <v>16</v>
      </c>
      <c r="L1808">
        <f>VLOOKUP(B1808,purchase_dataset!$B$2:$F$2241,3,FALSE)</f>
        <v>24</v>
      </c>
      <c r="M1808">
        <f>VLOOKUP(B1808,purchase_dataset!$B$2:$F$2241,3,FALSE)</f>
        <v>24</v>
      </c>
      <c r="N1808">
        <f>VLOOKUP(B1808,purchase_dataset!$B$2:$F$2241,5,FALSE)</f>
        <v>12</v>
      </c>
      <c r="O1808" s="5">
        <v>68</v>
      </c>
      <c r="P1808" s="4" t="str">
        <f t="shared" si="56"/>
        <v>&gt;50</v>
      </c>
      <c r="Q1808" s="4">
        <f>M1808+N1808</f>
        <v>36</v>
      </c>
      <c r="U1808" s="28" t="str" cm="1">
        <f t="array" ref="U1808">_xlfn.IFS(F1808&lt;30000,"30k",F1808&lt;=50000,"30k-50k",F1808&lt;=75000,"50k-75k",F1808&lt;=100000,"75k-100k",F1808&gt;100000,"100k")</f>
        <v>50k-75k</v>
      </c>
      <c r="W1808" s="1">
        <f t="shared" si="57"/>
        <v>13</v>
      </c>
    </row>
    <row r="1809" spans="1:23" x14ac:dyDescent="0.35">
      <c r="A1809">
        <v>1806</v>
      </c>
      <c r="B1809">
        <v>6237</v>
      </c>
      <c r="C1809">
        <v>1966</v>
      </c>
      <c r="D1809" s="1" t="s">
        <v>13</v>
      </c>
      <c r="E1809" s="1" t="s">
        <v>11</v>
      </c>
      <c r="F1809">
        <v>7144</v>
      </c>
      <c r="G1809">
        <v>0</v>
      </c>
      <c r="H1809" s="2">
        <v>2</v>
      </c>
      <c r="I1809" s="2">
        <v>41615</v>
      </c>
      <c r="J1809">
        <v>92</v>
      </c>
      <c r="K1809">
        <f>VLOOKUP(B1809,purchase_dataset!$B$2:$F$2241,2,FALSE)</f>
        <v>4</v>
      </c>
      <c r="L1809">
        <f>VLOOKUP(B1809,purchase_dataset!$B$2:$F$2241,3,FALSE)</f>
        <v>2</v>
      </c>
      <c r="M1809">
        <f>VLOOKUP(B1809,purchase_dataset!$B$2:$F$2241,3,FALSE)</f>
        <v>2</v>
      </c>
      <c r="N1809">
        <f>VLOOKUP(B1809,purchase_dataset!$B$2:$F$2241,5,FALSE)</f>
        <v>1</v>
      </c>
      <c r="O1809" s="5">
        <v>60</v>
      </c>
      <c r="P1809" s="4" t="str">
        <f t="shared" si="56"/>
        <v>&gt;50</v>
      </c>
      <c r="Q1809" s="4">
        <f>M1809+N1809</f>
        <v>3</v>
      </c>
      <c r="U1809" s="28" t="str" cm="1">
        <f t="array" ref="U1809">_xlfn.IFS(F1809&lt;30000,"30k",F1809&lt;=50000,"30k-50k",F1809&lt;=75000,"50k-75k",F1809&lt;=100000,"75k-100k",F1809&gt;100000,"100k")</f>
        <v>30k</v>
      </c>
      <c r="W1809" s="1">
        <f t="shared" si="57"/>
        <v>13</v>
      </c>
    </row>
    <row r="1810" spans="1:23" x14ac:dyDescent="0.35">
      <c r="A1810">
        <v>1807</v>
      </c>
      <c r="B1810">
        <v>3130</v>
      </c>
      <c r="C1810">
        <v>1964</v>
      </c>
      <c r="D1810" s="1" t="s">
        <v>10</v>
      </c>
      <c r="E1810" s="1" t="s">
        <v>11</v>
      </c>
      <c r="F1810">
        <v>18701</v>
      </c>
      <c r="G1810">
        <v>1</v>
      </c>
      <c r="H1810" s="2">
        <v>1</v>
      </c>
      <c r="I1810" s="2">
        <v>41429</v>
      </c>
      <c r="J1810">
        <v>95</v>
      </c>
      <c r="K1810">
        <f>VLOOKUP(B1810,purchase_dataset!$B$2:$F$2241,2,FALSE)</f>
        <v>4</v>
      </c>
      <c r="L1810">
        <f>VLOOKUP(B1810,purchase_dataset!$B$2:$F$2241,3,FALSE)</f>
        <v>6</v>
      </c>
      <c r="M1810">
        <f>VLOOKUP(B1810,purchase_dataset!$B$2:$F$2241,3,FALSE)</f>
        <v>6</v>
      </c>
      <c r="N1810">
        <f>VLOOKUP(B1810,purchase_dataset!$B$2:$F$2241,5,FALSE)</f>
        <v>4</v>
      </c>
      <c r="O1810" s="5">
        <v>62</v>
      </c>
      <c r="P1810" s="4" t="str">
        <f t="shared" si="56"/>
        <v>&gt;50</v>
      </c>
      <c r="Q1810" s="4">
        <f>M1810+N1810</f>
        <v>10</v>
      </c>
      <c r="U1810" s="28" t="str" cm="1">
        <f t="array" ref="U1810">_xlfn.IFS(F1810&lt;30000,"30k",F1810&lt;=50000,"30k-50k",F1810&lt;=75000,"50k-75k",F1810&lt;=100000,"75k-100k",F1810&gt;100000,"100k")</f>
        <v>30k</v>
      </c>
      <c r="W1810" s="1">
        <f t="shared" si="57"/>
        <v>13</v>
      </c>
    </row>
    <row r="1811" spans="1:23" x14ac:dyDescent="0.35">
      <c r="A1811">
        <v>1808</v>
      </c>
      <c r="B1811">
        <v>1619</v>
      </c>
      <c r="C1811">
        <v>1956</v>
      </c>
      <c r="D1811" s="1" t="s">
        <v>10</v>
      </c>
      <c r="E1811" s="1" t="s">
        <v>14</v>
      </c>
      <c r="F1811">
        <v>90369</v>
      </c>
      <c r="G1811">
        <v>0</v>
      </c>
      <c r="H1811" s="2">
        <v>0</v>
      </c>
      <c r="I1811" s="2">
        <v>41757</v>
      </c>
      <c r="J1811">
        <v>2</v>
      </c>
      <c r="K1811">
        <f>VLOOKUP(B1811,purchase_dataset!$B$2:$F$2241,2,FALSE)</f>
        <v>51</v>
      </c>
      <c r="L1811">
        <f>VLOOKUP(B1811,purchase_dataset!$B$2:$F$2241,3,FALSE)</f>
        <v>23</v>
      </c>
      <c r="M1811">
        <f>VLOOKUP(B1811,purchase_dataset!$B$2:$F$2241,3,FALSE)</f>
        <v>23</v>
      </c>
      <c r="N1811">
        <f>VLOOKUP(B1811,purchase_dataset!$B$2:$F$2241,5,FALSE)</f>
        <v>6</v>
      </c>
      <c r="O1811" s="5">
        <v>70</v>
      </c>
      <c r="P1811" s="4" t="str">
        <f t="shared" si="56"/>
        <v>&gt;50</v>
      </c>
      <c r="Q1811" s="4">
        <f>M1811+N1811</f>
        <v>29</v>
      </c>
      <c r="U1811" s="28" t="str" cm="1">
        <f t="array" ref="U1811">_xlfn.IFS(F1811&lt;30000,"30k",F1811&lt;=50000,"30k-50k",F1811&lt;=75000,"50k-75k",F1811&lt;=100000,"75k-100k",F1811&gt;100000,"100k")</f>
        <v>75k-100k</v>
      </c>
      <c r="W1811" s="1">
        <f t="shared" si="57"/>
        <v>12</v>
      </c>
    </row>
    <row r="1812" spans="1:23" x14ac:dyDescent="0.35">
      <c r="A1812">
        <v>1809</v>
      </c>
      <c r="B1812">
        <v>1990</v>
      </c>
      <c r="C1812">
        <v>1974</v>
      </c>
      <c r="D1812" s="1" t="s">
        <v>13</v>
      </c>
      <c r="E1812" s="1" t="s">
        <v>11</v>
      </c>
      <c r="F1812">
        <v>63159</v>
      </c>
      <c r="G1812">
        <v>0</v>
      </c>
      <c r="H1812" s="2">
        <v>0</v>
      </c>
      <c r="I1812" s="2">
        <v>41218</v>
      </c>
      <c r="J1812">
        <v>74</v>
      </c>
      <c r="K1812">
        <f>VLOOKUP(B1812,purchase_dataset!$B$2:$F$2241,2,FALSE)</f>
        <v>34</v>
      </c>
      <c r="L1812">
        <f>VLOOKUP(B1812,purchase_dataset!$B$2:$F$2241,3,FALSE)</f>
        <v>86</v>
      </c>
      <c r="M1812">
        <f>VLOOKUP(B1812,purchase_dataset!$B$2:$F$2241,3,FALSE)</f>
        <v>86</v>
      </c>
      <c r="N1812">
        <f>VLOOKUP(B1812,purchase_dataset!$B$2:$F$2241,5,FALSE)</f>
        <v>8</v>
      </c>
      <c r="O1812" s="5">
        <v>52</v>
      </c>
      <c r="P1812" s="4" t="str">
        <f t="shared" si="56"/>
        <v>&gt;50</v>
      </c>
      <c r="Q1812" s="4">
        <f>M1812+N1812</f>
        <v>94</v>
      </c>
      <c r="U1812" s="28" t="str" cm="1">
        <f t="array" ref="U1812">_xlfn.IFS(F1812&lt;30000,"30k",F1812&lt;=50000,"30k-50k",F1812&lt;=75000,"50k-75k",F1812&lt;=100000,"75k-100k",F1812&gt;100000,"100k")</f>
        <v>50k-75k</v>
      </c>
      <c r="W1812" s="1">
        <f t="shared" si="57"/>
        <v>14</v>
      </c>
    </row>
    <row r="1813" spans="1:23" x14ac:dyDescent="0.35">
      <c r="A1813">
        <v>1810</v>
      </c>
      <c r="B1813">
        <v>5513</v>
      </c>
      <c r="C1813">
        <v>1966</v>
      </c>
      <c r="D1813" s="1" t="s">
        <v>10</v>
      </c>
      <c r="E1813" s="1" t="s">
        <v>12</v>
      </c>
      <c r="F1813">
        <v>37758</v>
      </c>
      <c r="G1813">
        <v>1</v>
      </c>
      <c r="H1813" s="2">
        <v>1</v>
      </c>
      <c r="I1813" s="2">
        <v>41186</v>
      </c>
      <c r="J1813">
        <v>49</v>
      </c>
      <c r="K1813">
        <f>VLOOKUP(B1813,purchase_dataset!$B$2:$F$2241,2,FALSE)</f>
        <v>2</v>
      </c>
      <c r="L1813">
        <f>VLOOKUP(B1813,purchase_dataset!$B$2:$F$2241,3,FALSE)</f>
        <v>0</v>
      </c>
      <c r="M1813">
        <f>VLOOKUP(B1813,purchase_dataset!$B$2:$F$2241,3,FALSE)</f>
        <v>0</v>
      </c>
      <c r="N1813">
        <f>VLOOKUP(B1813,purchase_dataset!$B$2:$F$2241,5,FALSE)</f>
        <v>3</v>
      </c>
      <c r="O1813" s="5">
        <v>60</v>
      </c>
      <c r="P1813" s="4" t="str">
        <f t="shared" si="56"/>
        <v>&gt;50</v>
      </c>
      <c r="Q1813" s="4">
        <f>M1813+N1813</f>
        <v>3</v>
      </c>
      <c r="U1813" s="28" t="str" cm="1">
        <f t="array" ref="U1813">_xlfn.IFS(F1813&lt;30000,"30k",F1813&lt;=50000,"30k-50k",F1813&lt;=75000,"50k-75k",F1813&lt;=100000,"75k-100k",F1813&gt;100000,"100k")</f>
        <v>30k-50k</v>
      </c>
      <c r="W1813" s="1">
        <f t="shared" si="57"/>
        <v>14</v>
      </c>
    </row>
    <row r="1814" spans="1:23" x14ac:dyDescent="0.35">
      <c r="A1814">
        <v>1811</v>
      </c>
      <c r="B1814">
        <v>269</v>
      </c>
      <c r="C1814">
        <v>1963</v>
      </c>
      <c r="D1814" s="1" t="s">
        <v>13</v>
      </c>
      <c r="E1814" s="1" t="s">
        <v>11</v>
      </c>
      <c r="F1814">
        <v>46757</v>
      </c>
      <c r="G1814">
        <v>0</v>
      </c>
      <c r="H1814" s="2">
        <v>1</v>
      </c>
      <c r="I1814" s="2">
        <v>41229</v>
      </c>
      <c r="J1814">
        <v>71</v>
      </c>
      <c r="K1814">
        <f>VLOOKUP(B1814,purchase_dataset!$B$2:$F$2241,2,FALSE)</f>
        <v>30</v>
      </c>
      <c r="L1814">
        <f>VLOOKUP(B1814,purchase_dataset!$B$2:$F$2241,3,FALSE)</f>
        <v>51</v>
      </c>
      <c r="M1814">
        <f>VLOOKUP(B1814,purchase_dataset!$B$2:$F$2241,3,FALSE)</f>
        <v>51</v>
      </c>
      <c r="N1814">
        <f>VLOOKUP(B1814,purchase_dataset!$B$2:$F$2241,5,FALSE)</f>
        <v>7</v>
      </c>
      <c r="O1814" s="5">
        <v>63</v>
      </c>
      <c r="P1814" s="4" t="str">
        <f t="shared" si="56"/>
        <v>&gt;50</v>
      </c>
      <c r="Q1814" s="4">
        <f>M1814+N1814</f>
        <v>58</v>
      </c>
      <c r="U1814" s="28" t="str" cm="1">
        <f t="array" ref="U1814">_xlfn.IFS(F1814&lt;30000,"30k",F1814&lt;=50000,"30k-50k",F1814&lt;=75000,"50k-75k",F1814&lt;=100000,"75k-100k",F1814&gt;100000,"100k")</f>
        <v>30k-50k</v>
      </c>
      <c r="W1814" s="1">
        <f t="shared" si="57"/>
        <v>14</v>
      </c>
    </row>
    <row r="1815" spans="1:23" x14ac:dyDescent="0.35">
      <c r="A1815">
        <v>1812</v>
      </c>
      <c r="B1815">
        <v>8093</v>
      </c>
      <c r="C1815">
        <v>1969</v>
      </c>
      <c r="D1815" s="1" t="s">
        <v>15</v>
      </c>
      <c r="E1815" s="1" t="s">
        <v>14</v>
      </c>
      <c r="F1815">
        <v>79734</v>
      </c>
      <c r="G1815">
        <v>0</v>
      </c>
      <c r="H1815" s="2">
        <v>0</v>
      </c>
      <c r="I1815" s="2">
        <v>41818</v>
      </c>
      <c r="J1815">
        <v>72</v>
      </c>
      <c r="K1815">
        <f>VLOOKUP(B1815,purchase_dataset!$B$2:$F$2241,2,FALSE)</f>
        <v>8</v>
      </c>
      <c r="L1815">
        <f>VLOOKUP(B1815,purchase_dataset!$B$2:$F$2241,3,FALSE)</f>
        <v>62</v>
      </c>
      <c r="M1815">
        <f>VLOOKUP(B1815,purchase_dataset!$B$2:$F$2241,3,FALSE)</f>
        <v>62</v>
      </c>
      <c r="N1815">
        <f>VLOOKUP(B1815,purchase_dataset!$B$2:$F$2241,5,FALSE)</f>
        <v>6</v>
      </c>
      <c r="O1815" s="5">
        <v>57</v>
      </c>
      <c r="P1815" s="4" t="str">
        <f t="shared" si="56"/>
        <v>&gt;50</v>
      </c>
      <c r="Q1815" s="4">
        <f>M1815+N1815</f>
        <v>68</v>
      </c>
      <c r="U1815" s="28" t="str" cm="1">
        <f t="array" ref="U1815">_xlfn.IFS(F1815&lt;30000,"30k",F1815&lt;=50000,"30k-50k",F1815&lt;=75000,"50k-75k",F1815&lt;=100000,"75k-100k",F1815&gt;100000,"100k")</f>
        <v>75k-100k</v>
      </c>
      <c r="W1815" s="1">
        <f t="shared" si="57"/>
        <v>12</v>
      </c>
    </row>
    <row r="1816" spans="1:23" x14ac:dyDescent="0.35">
      <c r="A1816">
        <v>1813</v>
      </c>
      <c r="B1816">
        <v>10513</v>
      </c>
      <c r="C1816">
        <v>1992</v>
      </c>
      <c r="D1816" s="1" t="s">
        <v>10</v>
      </c>
      <c r="E1816" s="1" t="s">
        <v>12</v>
      </c>
      <c r="F1816">
        <v>63207</v>
      </c>
      <c r="G1816">
        <v>0</v>
      </c>
      <c r="H1816" s="2">
        <v>0</v>
      </c>
      <c r="I1816" s="2">
        <v>41294</v>
      </c>
      <c r="J1816">
        <v>68</v>
      </c>
      <c r="K1816">
        <f>VLOOKUP(B1816,purchase_dataset!$B$2:$F$2241,2,FALSE)</f>
        <v>169</v>
      </c>
      <c r="L1816">
        <f>VLOOKUP(B1816,purchase_dataset!$B$2:$F$2241,3,FALSE)</f>
        <v>169</v>
      </c>
      <c r="M1816">
        <f>VLOOKUP(B1816,purchase_dataset!$B$2:$F$2241,3,FALSE)</f>
        <v>169</v>
      </c>
      <c r="N1816">
        <f>VLOOKUP(B1816,purchase_dataset!$B$2:$F$2241,5,FALSE)</f>
        <v>6</v>
      </c>
      <c r="O1816" s="5">
        <v>34</v>
      </c>
      <c r="P1816" s="4" t="str">
        <f t="shared" si="56"/>
        <v>30-50</v>
      </c>
      <c r="Q1816" s="4">
        <f>M1816+N1816</f>
        <v>175</v>
      </c>
      <c r="U1816" s="28" t="str" cm="1">
        <f t="array" ref="U1816">_xlfn.IFS(F1816&lt;30000,"30k",F1816&lt;=50000,"30k-50k",F1816&lt;=75000,"50k-75k",F1816&lt;=100000,"75k-100k",F1816&gt;100000,"100k")</f>
        <v>50k-75k</v>
      </c>
      <c r="W1816" s="1">
        <f t="shared" si="57"/>
        <v>13</v>
      </c>
    </row>
    <row r="1817" spans="1:23" x14ac:dyDescent="0.35">
      <c r="A1817">
        <v>1814</v>
      </c>
      <c r="B1817">
        <v>10177</v>
      </c>
      <c r="C1817">
        <v>1954</v>
      </c>
      <c r="D1817" s="1" t="s">
        <v>10</v>
      </c>
      <c r="E1817" s="1" t="s">
        <v>16</v>
      </c>
      <c r="F1817">
        <v>72071</v>
      </c>
      <c r="G1817">
        <v>0</v>
      </c>
      <c r="H1817" s="2">
        <v>1</v>
      </c>
      <c r="I1817" s="2">
        <v>41319</v>
      </c>
      <c r="J1817">
        <v>4</v>
      </c>
      <c r="K1817">
        <f>VLOOKUP(B1817,purchase_dataset!$B$2:$F$2241,2,FALSE)</f>
        <v>69</v>
      </c>
      <c r="L1817">
        <f>VLOOKUP(B1817,purchase_dataset!$B$2:$F$2241,3,FALSE)</f>
        <v>138</v>
      </c>
      <c r="M1817">
        <f>VLOOKUP(B1817,purchase_dataset!$B$2:$F$2241,3,FALSE)</f>
        <v>138</v>
      </c>
      <c r="N1817">
        <f>VLOOKUP(B1817,purchase_dataset!$B$2:$F$2241,5,FALSE)</f>
        <v>8</v>
      </c>
      <c r="O1817" s="5">
        <v>72</v>
      </c>
      <c r="P1817" s="4" t="str">
        <f t="shared" si="56"/>
        <v>&gt;50</v>
      </c>
      <c r="Q1817" s="4">
        <f>M1817+N1817</f>
        <v>146</v>
      </c>
      <c r="U1817" s="28" t="str" cm="1">
        <f t="array" ref="U1817">_xlfn.IFS(F1817&lt;30000,"30k",F1817&lt;=50000,"30k-50k",F1817&lt;=75000,"50k-75k",F1817&lt;=100000,"75k-100k",F1817&gt;100000,"100k")</f>
        <v>50k-75k</v>
      </c>
      <c r="W1817" s="1">
        <f t="shared" si="57"/>
        <v>13</v>
      </c>
    </row>
    <row r="1818" spans="1:23" x14ac:dyDescent="0.35">
      <c r="A1818">
        <v>1815</v>
      </c>
      <c r="B1818">
        <v>2549</v>
      </c>
      <c r="C1818">
        <v>1983</v>
      </c>
      <c r="D1818" s="1" t="s">
        <v>13</v>
      </c>
      <c r="E1818" s="1" t="s">
        <v>12</v>
      </c>
      <c r="F1818">
        <v>21840</v>
      </c>
      <c r="G1818">
        <v>1</v>
      </c>
      <c r="H1818" s="2">
        <v>0</v>
      </c>
      <c r="I1818" s="2">
        <v>41476</v>
      </c>
      <c r="J1818">
        <v>80</v>
      </c>
      <c r="K1818">
        <f>VLOOKUP(B1818,purchase_dataset!$B$2:$F$2241,2,FALSE)</f>
        <v>0</v>
      </c>
      <c r="L1818">
        <f>VLOOKUP(B1818,purchase_dataset!$B$2:$F$2241,3,FALSE)</f>
        <v>0</v>
      </c>
      <c r="M1818">
        <f>VLOOKUP(B1818,purchase_dataset!$B$2:$F$2241,3,FALSE)</f>
        <v>0</v>
      </c>
      <c r="N1818">
        <f>VLOOKUP(B1818,purchase_dataset!$B$2:$F$2241,5,FALSE)</f>
        <v>3</v>
      </c>
      <c r="O1818" s="5">
        <v>43</v>
      </c>
      <c r="P1818" s="4" t="str">
        <f t="shared" si="56"/>
        <v>30-50</v>
      </c>
      <c r="Q1818" s="4">
        <f>M1818+N1818</f>
        <v>3</v>
      </c>
      <c r="U1818" s="28" t="str" cm="1">
        <f t="array" ref="U1818">_xlfn.IFS(F1818&lt;30000,"30k",F1818&lt;=50000,"30k-50k",F1818&lt;=75000,"50k-75k",F1818&lt;=100000,"75k-100k",F1818&gt;100000,"100k")</f>
        <v>30k</v>
      </c>
      <c r="W1818" s="1">
        <f t="shared" si="57"/>
        <v>13</v>
      </c>
    </row>
    <row r="1819" spans="1:23" x14ac:dyDescent="0.35">
      <c r="A1819">
        <v>1816</v>
      </c>
      <c r="B1819">
        <v>5782</v>
      </c>
      <c r="C1819">
        <v>1982</v>
      </c>
      <c r="D1819" s="1" t="s">
        <v>18</v>
      </c>
      <c r="E1819" s="1" t="s">
        <v>12</v>
      </c>
      <c r="F1819">
        <v>58582</v>
      </c>
      <c r="G1819">
        <v>0</v>
      </c>
      <c r="H1819" s="2">
        <v>1</v>
      </c>
      <c r="I1819" s="2">
        <v>41545</v>
      </c>
      <c r="J1819">
        <v>15</v>
      </c>
      <c r="K1819">
        <f>VLOOKUP(B1819,purchase_dataset!$B$2:$F$2241,2,FALSE)</f>
        <v>35</v>
      </c>
      <c r="L1819">
        <f>VLOOKUP(B1819,purchase_dataset!$B$2:$F$2241,3,FALSE)</f>
        <v>77</v>
      </c>
      <c r="M1819">
        <f>VLOOKUP(B1819,purchase_dataset!$B$2:$F$2241,3,FALSE)</f>
        <v>77</v>
      </c>
      <c r="N1819">
        <f>VLOOKUP(B1819,purchase_dataset!$B$2:$F$2241,5,FALSE)</f>
        <v>9</v>
      </c>
      <c r="O1819" s="5">
        <v>44</v>
      </c>
      <c r="P1819" s="4" t="str">
        <f t="shared" si="56"/>
        <v>30-50</v>
      </c>
      <c r="Q1819" s="4">
        <f>M1819+N1819</f>
        <v>86</v>
      </c>
      <c r="U1819" s="28" t="str" cm="1">
        <f t="array" ref="U1819">_xlfn.IFS(F1819&lt;30000,"30k",F1819&lt;=50000,"30k-50k",F1819&lt;=75000,"50k-75k",F1819&lt;=100000,"75k-100k",F1819&gt;100000,"100k")</f>
        <v>50k-75k</v>
      </c>
      <c r="W1819" s="1">
        <f t="shared" si="57"/>
        <v>13</v>
      </c>
    </row>
    <row r="1820" spans="1:23" x14ac:dyDescent="0.35">
      <c r="A1820">
        <v>1817</v>
      </c>
      <c r="B1820">
        <v>10057</v>
      </c>
      <c r="C1820">
        <v>1951</v>
      </c>
      <c r="D1820" s="1" t="s">
        <v>10</v>
      </c>
      <c r="E1820" s="1" t="s">
        <v>11</v>
      </c>
      <c r="F1820">
        <v>72282</v>
      </c>
      <c r="G1820">
        <v>0</v>
      </c>
      <c r="H1820" s="2">
        <v>0</v>
      </c>
      <c r="I1820" s="2">
        <v>41474</v>
      </c>
      <c r="J1820">
        <v>70</v>
      </c>
      <c r="K1820">
        <f>VLOOKUP(B1820,purchase_dataset!$B$2:$F$2241,2,FALSE)</f>
        <v>27</v>
      </c>
      <c r="L1820">
        <f>VLOOKUP(B1820,purchase_dataset!$B$2:$F$2241,3,FALSE)</f>
        <v>139</v>
      </c>
      <c r="M1820">
        <f>VLOOKUP(B1820,purchase_dataset!$B$2:$F$2241,3,FALSE)</f>
        <v>139</v>
      </c>
      <c r="N1820">
        <f>VLOOKUP(B1820,purchase_dataset!$B$2:$F$2241,5,FALSE)</f>
        <v>9</v>
      </c>
      <c r="O1820" s="5">
        <v>75</v>
      </c>
      <c r="P1820" s="4" t="str">
        <f t="shared" si="56"/>
        <v>&gt;50</v>
      </c>
      <c r="Q1820" s="4">
        <f>M1820+N1820</f>
        <v>148</v>
      </c>
      <c r="U1820" s="28" t="str" cm="1">
        <f t="array" ref="U1820">_xlfn.IFS(F1820&lt;30000,"30k",F1820&lt;=50000,"30k-50k",F1820&lt;=75000,"50k-75k",F1820&lt;=100000,"75k-100k",F1820&gt;100000,"100k")</f>
        <v>50k-75k</v>
      </c>
      <c r="W1820" s="1">
        <f t="shared" si="57"/>
        <v>13</v>
      </c>
    </row>
    <row r="1821" spans="1:23" x14ac:dyDescent="0.35">
      <c r="A1821">
        <v>1818</v>
      </c>
      <c r="B1821">
        <v>10307</v>
      </c>
      <c r="C1821">
        <v>1956</v>
      </c>
      <c r="D1821" s="1" t="s">
        <v>10</v>
      </c>
      <c r="E1821" s="1" t="s">
        <v>14</v>
      </c>
      <c r="F1821">
        <v>50387</v>
      </c>
      <c r="G1821">
        <v>0</v>
      </c>
      <c r="H1821" s="2">
        <v>2</v>
      </c>
      <c r="I1821" s="2">
        <v>41517</v>
      </c>
      <c r="J1821">
        <v>91</v>
      </c>
      <c r="K1821">
        <f>VLOOKUP(B1821,purchase_dataset!$B$2:$F$2241,2,FALSE)</f>
        <v>9</v>
      </c>
      <c r="L1821">
        <f>VLOOKUP(B1821,purchase_dataset!$B$2:$F$2241,3,FALSE)</f>
        <v>14</v>
      </c>
      <c r="M1821">
        <f>VLOOKUP(B1821,purchase_dataset!$B$2:$F$2241,3,FALSE)</f>
        <v>14</v>
      </c>
      <c r="N1821">
        <f>VLOOKUP(B1821,purchase_dataset!$B$2:$F$2241,5,FALSE)</f>
        <v>8</v>
      </c>
      <c r="O1821" s="5">
        <v>70</v>
      </c>
      <c r="P1821" s="4" t="str">
        <f t="shared" si="56"/>
        <v>&gt;50</v>
      </c>
      <c r="Q1821" s="4">
        <f>M1821+N1821</f>
        <v>22</v>
      </c>
      <c r="U1821" s="28" t="str" cm="1">
        <f t="array" ref="U1821">_xlfn.IFS(F1821&lt;30000,"30k",F1821&lt;=50000,"30k-50k",F1821&lt;=75000,"50k-75k",F1821&lt;=100000,"75k-100k",F1821&gt;100000,"100k")</f>
        <v>50k-75k</v>
      </c>
      <c r="W1821" s="1">
        <f t="shared" si="57"/>
        <v>13</v>
      </c>
    </row>
    <row r="1822" spans="1:23" x14ac:dyDescent="0.35">
      <c r="A1822">
        <v>1819</v>
      </c>
      <c r="B1822">
        <v>8566</v>
      </c>
      <c r="C1822">
        <v>1961</v>
      </c>
      <c r="D1822" s="1" t="s">
        <v>13</v>
      </c>
      <c r="E1822" s="1" t="s">
        <v>12</v>
      </c>
      <c r="F1822">
        <v>32583</v>
      </c>
      <c r="G1822">
        <v>1</v>
      </c>
      <c r="H1822" s="2">
        <v>1</v>
      </c>
      <c r="I1822" s="2">
        <v>41805</v>
      </c>
      <c r="J1822">
        <v>10</v>
      </c>
      <c r="K1822">
        <f>VLOOKUP(B1822,purchase_dataset!$B$2:$F$2241,2,FALSE)</f>
        <v>0</v>
      </c>
      <c r="L1822">
        <f>VLOOKUP(B1822,purchase_dataset!$B$2:$F$2241,3,FALSE)</f>
        <v>0</v>
      </c>
      <c r="M1822">
        <f>VLOOKUP(B1822,purchase_dataset!$B$2:$F$2241,3,FALSE)</f>
        <v>0</v>
      </c>
      <c r="N1822">
        <f>VLOOKUP(B1822,purchase_dataset!$B$2:$F$2241,5,FALSE)</f>
        <v>2</v>
      </c>
      <c r="O1822" s="5">
        <v>65</v>
      </c>
      <c r="P1822" s="4" t="str">
        <f t="shared" si="56"/>
        <v>&gt;50</v>
      </c>
      <c r="Q1822" s="4">
        <f>M1822+N1822</f>
        <v>2</v>
      </c>
      <c r="U1822" s="28" t="str" cm="1">
        <f t="array" ref="U1822">_xlfn.IFS(F1822&lt;30000,"30k",F1822&lt;=50000,"30k-50k",F1822&lt;=75000,"50k-75k",F1822&lt;=100000,"75k-100k",F1822&gt;100000,"100k")</f>
        <v>30k-50k</v>
      </c>
      <c r="W1822" s="1">
        <f t="shared" si="57"/>
        <v>12</v>
      </c>
    </row>
    <row r="1823" spans="1:23" x14ac:dyDescent="0.35">
      <c r="A1823">
        <v>1820</v>
      </c>
      <c r="B1823">
        <v>2415</v>
      </c>
      <c r="C1823">
        <v>1962</v>
      </c>
      <c r="D1823" s="1" t="s">
        <v>10</v>
      </c>
      <c r="E1823" s="1" t="s">
        <v>12</v>
      </c>
      <c r="F1823">
        <v>62568</v>
      </c>
      <c r="G1823">
        <v>0</v>
      </c>
      <c r="H1823" s="2">
        <v>1</v>
      </c>
      <c r="I1823" s="2">
        <v>41736</v>
      </c>
      <c r="J1823">
        <v>99</v>
      </c>
      <c r="K1823">
        <f>VLOOKUP(B1823,purchase_dataset!$B$2:$F$2241,2,FALSE)</f>
        <v>17</v>
      </c>
      <c r="L1823">
        <f>VLOOKUP(B1823,purchase_dataset!$B$2:$F$2241,3,FALSE)</f>
        <v>35</v>
      </c>
      <c r="M1823">
        <f>VLOOKUP(B1823,purchase_dataset!$B$2:$F$2241,3,FALSE)</f>
        <v>35</v>
      </c>
      <c r="N1823">
        <f>VLOOKUP(B1823,purchase_dataset!$B$2:$F$2241,5,FALSE)</f>
        <v>5</v>
      </c>
      <c r="O1823" s="5">
        <v>64</v>
      </c>
      <c r="P1823" s="4" t="str">
        <f t="shared" si="56"/>
        <v>&gt;50</v>
      </c>
      <c r="Q1823" s="4">
        <f>M1823+N1823</f>
        <v>40</v>
      </c>
      <c r="U1823" s="28" t="str" cm="1">
        <f t="array" ref="U1823">_xlfn.IFS(F1823&lt;30000,"30k",F1823&lt;=50000,"30k-50k",F1823&lt;=75000,"50k-75k",F1823&lt;=100000,"75k-100k",F1823&gt;100000,"100k")</f>
        <v>50k-75k</v>
      </c>
      <c r="W1823" s="1">
        <f t="shared" si="57"/>
        <v>12</v>
      </c>
    </row>
    <row r="1824" spans="1:23" x14ac:dyDescent="0.35">
      <c r="A1824">
        <v>1821</v>
      </c>
      <c r="B1824">
        <v>5684</v>
      </c>
      <c r="C1824">
        <v>1971</v>
      </c>
      <c r="D1824" s="1" t="s">
        <v>15</v>
      </c>
      <c r="E1824" s="1" t="s">
        <v>16</v>
      </c>
      <c r="F1824">
        <v>44635</v>
      </c>
      <c r="G1824">
        <v>1</v>
      </c>
      <c r="H1824" s="2">
        <v>1</v>
      </c>
      <c r="I1824" s="2">
        <v>41558</v>
      </c>
      <c r="J1824">
        <v>25</v>
      </c>
      <c r="K1824">
        <f>VLOOKUP(B1824,purchase_dataset!$B$2:$F$2241,2,FALSE)</f>
        <v>0</v>
      </c>
      <c r="L1824">
        <f>VLOOKUP(B1824,purchase_dataset!$B$2:$F$2241,3,FALSE)</f>
        <v>0</v>
      </c>
      <c r="M1824">
        <f>VLOOKUP(B1824,purchase_dataset!$B$2:$F$2241,3,FALSE)</f>
        <v>0</v>
      </c>
      <c r="N1824">
        <f>VLOOKUP(B1824,purchase_dataset!$B$2:$F$2241,5,FALSE)</f>
        <v>3</v>
      </c>
      <c r="O1824" s="5">
        <v>55</v>
      </c>
      <c r="P1824" s="4" t="str">
        <f t="shared" si="56"/>
        <v>&gt;50</v>
      </c>
      <c r="Q1824" s="4">
        <f>M1824+N1824</f>
        <v>3</v>
      </c>
      <c r="U1824" s="28" t="str" cm="1">
        <f t="array" ref="U1824">_xlfn.IFS(F1824&lt;30000,"30k",F1824&lt;=50000,"30k-50k",F1824&lt;=75000,"50k-75k",F1824&lt;=100000,"75k-100k",F1824&gt;100000,"100k")</f>
        <v>30k-50k</v>
      </c>
      <c r="W1824" s="1">
        <f t="shared" si="57"/>
        <v>13</v>
      </c>
    </row>
    <row r="1825" spans="1:23" x14ac:dyDescent="0.35">
      <c r="A1825">
        <v>1822</v>
      </c>
      <c r="B1825">
        <v>8334</v>
      </c>
      <c r="C1825">
        <v>1971</v>
      </c>
      <c r="D1825" s="1" t="s">
        <v>15</v>
      </c>
      <c r="E1825" s="1" t="s">
        <v>11</v>
      </c>
      <c r="F1825">
        <v>33316</v>
      </c>
      <c r="G1825">
        <v>1</v>
      </c>
      <c r="H1825" s="2">
        <v>1</v>
      </c>
      <c r="I1825" s="2">
        <v>41551</v>
      </c>
      <c r="J1825">
        <v>34</v>
      </c>
      <c r="K1825">
        <f>VLOOKUP(B1825,purchase_dataset!$B$2:$F$2241,2,FALSE)</f>
        <v>1</v>
      </c>
      <c r="L1825">
        <f>VLOOKUP(B1825,purchase_dataset!$B$2:$F$2241,3,FALSE)</f>
        <v>4</v>
      </c>
      <c r="M1825">
        <f>VLOOKUP(B1825,purchase_dataset!$B$2:$F$2241,3,FALSE)</f>
        <v>4</v>
      </c>
      <c r="N1825">
        <f>VLOOKUP(B1825,purchase_dataset!$B$2:$F$2241,5,FALSE)</f>
        <v>4</v>
      </c>
      <c r="O1825" s="5">
        <v>55</v>
      </c>
      <c r="P1825" s="4" t="str">
        <f t="shared" si="56"/>
        <v>&gt;50</v>
      </c>
      <c r="Q1825" s="4">
        <f>M1825+N1825</f>
        <v>8</v>
      </c>
      <c r="U1825" s="28" t="str" cm="1">
        <f t="array" ref="U1825">_xlfn.IFS(F1825&lt;30000,"30k",F1825&lt;=50000,"30k-50k",F1825&lt;=75000,"50k-75k",F1825&lt;=100000,"75k-100k",F1825&gt;100000,"100k")</f>
        <v>30k-50k</v>
      </c>
      <c r="W1825" s="1">
        <f t="shared" si="57"/>
        <v>13</v>
      </c>
    </row>
    <row r="1826" spans="1:23" x14ac:dyDescent="0.35">
      <c r="A1826">
        <v>1823</v>
      </c>
      <c r="B1826">
        <v>9166</v>
      </c>
      <c r="C1826">
        <v>1968</v>
      </c>
      <c r="D1826" s="1" t="s">
        <v>10</v>
      </c>
      <c r="E1826" s="1" t="s">
        <v>14</v>
      </c>
      <c r="F1826">
        <v>63967</v>
      </c>
      <c r="G1826">
        <v>0</v>
      </c>
      <c r="H1826" s="2">
        <v>1</v>
      </c>
      <c r="I1826" s="2">
        <v>41495</v>
      </c>
      <c r="J1826">
        <v>57</v>
      </c>
      <c r="K1826">
        <f>VLOOKUP(B1826,purchase_dataset!$B$2:$F$2241,2,FALSE)</f>
        <v>84</v>
      </c>
      <c r="L1826">
        <f>VLOOKUP(B1826,purchase_dataset!$B$2:$F$2241,3,FALSE)</f>
        <v>35</v>
      </c>
      <c r="M1826">
        <f>VLOOKUP(B1826,purchase_dataset!$B$2:$F$2241,3,FALSE)</f>
        <v>35</v>
      </c>
      <c r="N1826">
        <f>VLOOKUP(B1826,purchase_dataset!$B$2:$F$2241,5,FALSE)</f>
        <v>12</v>
      </c>
      <c r="O1826" s="5">
        <v>58</v>
      </c>
      <c r="P1826" s="4" t="str">
        <f t="shared" si="56"/>
        <v>&gt;50</v>
      </c>
      <c r="Q1826" s="4">
        <f>M1826+N1826</f>
        <v>47</v>
      </c>
      <c r="U1826" s="28" t="str" cm="1">
        <f t="array" ref="U1826">_xlfn.IFS(F1826&lt;30000,"30k",F1826&lt;=50000,"30k-50k",F1826&lt;=75000,"50k-75k",F1826&lt;=100000,"75k-100k",F1826&gt;100000,"100k")</f>
        <v>50k-75k</v>
      </c>
      <c r="W1826" s="1">
        <f t="shared" si="57"/>
        <v>13</v>
      </c>
    </row>
    <row r="1827" spans="1:23" x14ac:dyDescent="0.35">
      <c r="A1827">
        <v>1824</v>
      </c>
      <c r="B1827">
        <v>1440</v>
      </c>
      <c r="C1827">
        <v>1978</v>
      </c>
      <c r="D1827" s="1" t="s">
        <v>18</v>
      </c>
      <c r="E1827" s="1" t="s">
        <v>12</v>
      </c>
      <c r="F1827">
        <v>52513</v>
      </c>
      <c r="G1827">
        <v>0</v>
      </c>
      <c r="H1827" s="2">
        <v>0</v>
      </c>
      <c r="I1827" s="2">
        <v>41156</v>
      </c>
      <c r="J1827">
        <v>84</v>
      </c>
      <c r="K1827">
        <f>VLOOKUP(B1827,purchase_dataset!$B$2:$F$2241,2,FALSE)</f>
        <v>17</v>
      </c>
      <c r="L1827">
        <f>VLOOKUP(B1827,purchase_dataset!$B$2:$F$2241,3,FALSE)</f>
        <v>188</v>
      </c>
      <c r="M1827">
        <f>VLOOKUP(B1827,purchase_dataset!$B$2:$F$2241,3,FALSE)</f>
        <v>188</v>
      </c>
      <c r="N1827">
        <f>VLOOKUP(B1827,purchase_dataset!$B$2:$F$2241,5,FALSE)</f>
        <v>9</v>
      </c>
      <c r="O1827" s="5">
        <v>48</v>
      </c>
      <c r="P1827" s="4" t="str">
        <f t="shared" si="56"/>
        <v>30-50</v>
      </c>
      <c r="Q1827" s="4">
        <f>M1827+N1827</f>
        <v>197</v>
      </c>
      <c r="U1827" s="28" t="str" cm="1">
        <f t="array" ref="U1827">_xlfn.IFS(F1827&lt;30000,"30k",F1827&lt;=50000,"30k-50k",F1827&lt;=75000,"50k-75k",F1827&lt;=100000,"75k-100k",F1827&gt;100000,"100k")</f>
        <v>50k-75k</v>
      </c>
      <c r="W1827" s="1">
        <f t="shared" si="57"/>
        <v>14</v>
      </c>
    </row>
    <row r="1828" spans="1:23" x14ac:dyDescent="0.35">
      <c r="A1828">
        <v>1825</v>
      </c>
      <c r="B1828">
        <v>78</v>
      </c>
      <c r="C1828">
        <v>1969</v>
      </c>
      <c r="D1828" s="1" t="s">
        <v>10</v>
      </c>
      <c r="E1828" s="1" t="s">
        <v>14</v>
      </c>
      <c r="F1828">
        <v>25293</v>
      </c>
      <c r="G1828">
        <v>1</v>
      </c>
      <c r="H1828" s="2">
        <v>0</v>
      </c>
      <c r="I1828" s="2">
        <v>41532</v>
      </c>
      <c r="J1828">
        <v>51</v>
      </c>
      <c r="K1828">
        <f>VLOOKUP(B1828,purchase_dataset!$B$2:$F$2241,2,FALSE)</f>
        <v>0</v>
      </c>
      <c r="L1828">
        <f>VLOOKUP(B1828,purchase_dataset!$B$2:$F$2241,3,FALSE)</f>
        <v>2</v>
      </c>
      <c r="M1828">
        <f>VLOOKUP(B1828,purchase_dataset!$B$2:$F$2241,3,FALSE)</f>
        <v>2</v>
      </c>
      <c r="N1828">
        <f>VLOOKUP(B1828,purchase_dataset!$B$2:$F$2241,5,FALSE)</f>
        <v>2</v>
      </c>
      <c r="O1828" s="5">
        <v>57</v>
      </c>
      <c r="P1828" s="4" t="str">
        <f t="shared" si="56"/>
        <v>&gt;50</v>
      </c>
      <c r="Q1828" s="4">
        <f>M1828+N1828</f>
        <v>4</v>
      </c>
      <c r="U1828" s="28" t="str" cm="1">
        <f t="array" ref="U1828">_xlfn.IFS(F1828&lt;30000,"30k",F1828&lt;=50000,"30k-50k",F1828&lt;=75000,"50k-75k",F1828&lt;=100000,"75k-100k",F1828&gt;100000,"100k")</f>
        <v>30k</v>
      </c>
      <c r="W1828" s="1">
        <f t="shared" si="57"/>
        <v>13</v>
      </c>
    </row>
    <row r="1829" spans="1:23" x14ac:dyDescent="0.35">
      <c r="A1829">
        <v>1826</v>
      </c>
      <c r="B1829">
        <v>5441</v>
      </c>
      <c r="C1829">
        <v>1965</v>
      </c>
      <c r="D1829" s="1" t="s">
        <v>13</v>
      </c>
      <c r="E1829" s="1" t="s">
        <v>19</v>
      </c>
      <c r="F1829">
        <v>54111</v>
      </c>
      <c r="G1829">
        <v>0</v>
      </c>
      <c r="H1829" s="2">
        <v>1</v>
      </c>
      <c r="I1829" s="2">
        <v>41511</v>
      </c>
      <c r="J1829">
        <v>97</v>
      </c>
      <c r="K1829">
        <f>VLOOKUP(B1829,purchase_dataset!$B$2:$F$2241,2,FALSE)</f>
        <v>6</v>
      </c>
      <c r="L1829">
        <f>VLOOKUP(B1829,purchase_dataset!$B$2:$F$2241,3,FALSE)</f>
        <v>3</v>
      </c>
      <c r="M1829">
        <f>VLOOKUP(B1829,purchase_dataset!$B$2:$F$2241,3,FALSE)</f>
        <v>3</v>
      </c>
      <c r="N1829">
        <f>VLOOKUP(B1829,purchase_dataset!$B$2:$F$2241,5,FALSE)</f>
        <v>6</v>
      </c>
      <c r="O1829" s="5">
        <v>61</v>
      </c>
      <c r="P1829" s="4" t="str">
        <f t="shared" si="56"/>
        <v>&gt;50</v>
      </c>
      <c r="Q1829" s="4">
        <f>M1829+N1829</f>
        <v>9</v>
      </c>
      <c r="U1829" s="28" t="str" cm="1">
        <f t="array" ref="U1829">_xlfn.IFS(F1829&lt;30000,"30k",F1829&lt;=50000,"30k-50k",F1829&lt;=75000,"50k-75k",F1829&lt;=100000,"75k-100k",F1829&gt;100000,"100k")</f>
        <v>50k-75k</v>
      </c>
      <c r="W1829" s="1">
        <f t="shared" si="57"/>
        <v>13</v>
      </c>
    </row>
    <row r="1830" spans="1:23" x14ac:dyDescent="0.35">
      <c r="A1830">
        <v>1827</v>
      </c>
      <c r="B1830">
        <v>5302</v>
      </c>
      <c r="C1830">
        <v>1986</v>
      </c>
      <c r="D1830" s="1" t="s">
        <v>10</v>
      </c>
      <c r="E1830" s="1" t="s">
        <v>12</v>
      </c>
      <c r="F1830">
        <v>78394</v>
      </c>
      <c r="G1830">
        <v>0</v>
      </c>
      <c r="H1830" s="2">
        <v>0</v>
      </c>
      <c r="I1830" s="2">
        <v>41320</v>
      </c>
      <c r="J1830">
        <v>13</v>
      </c>
      <c r="K1830">
        <f>VLOOKUP(B1830,purchase_dataset!$B$2:$F$2241,2,FALSE)</f>
        <v>27</v>
      </c>
      <c r="L1830">
        <f>VLOOKUP(B1830,purchase_dataset!$B$2:$F$2241,3,FALSE)</f>
        <v>24</v>
      </c>
      <c r="M1830">
        <f>VLOOKUP(B1830,purchase_dataset!$B$2:$F$2241,3,FALSE)</f>
        <v>24</v>
      </c>
      <c r="N1830">
        <f>VLOOKUP(B1830,purchase_dataset!$B$2:$F$2241,5,FALSE)</f>
        <v>5</v>
      </c>
      <c r="O1830" s="5">
        <v>40</v>
      </c>
      <c r="P1830" s="4" t="str">
        <f t="shared" si="56"/>
        <v>30-50</v>
      </c>
      <c r="Q1830" s="4">
        <f>M1830+N1830</f>
        <v>29</v>
      </c>
      <c r="U1830" s="28" t="str" cm="1">
        <f t="array" ref="U1830">_xlfn.IFS(F1830&lt;30000,"30k",F1830&lt;=50000,"30k-50k",F1830&lt;=75000,"50k-75k",F1830&lt;=100000,"75k-100k",F1830&gt;100000,"100k")</f>
        <v>75k-100k</v>
      </c>
      <c r="W1830" s="1">
        <f t="shared" si="57"/>
        <v>13</v>
      </c>
    </row>
    <row r="1831" spans="1:23" x14ac:dyDescent="0.35">
      <c r="A1831">
        <v>1828</v>
      </c>
      <c r="B1831">
        <v>4687</v>
      </c>
      <c r="C1831">
        <v>1958</v>
      </c>
      <c r="D1831" s="1" t="s">
        <v>15</v>
      </c>
      <c r="E1831" s="1" t="s">
        <v>14</v>
      </c>
      <c r="F1831">
        <v>80739</v>
      </c>
      <c r="G1831">
        <v>0</v>
      </c>
      <c r="H1831" s="2">
        <v>0</v>
      </c>
      <c r="I1831" s="2">
        <v>41417</v>
      </c>
      <c r="J1831">
        <v>92</v>
      </c>
      <c r="K1831">
        <f>VLOOKUP(B1831,purchase_dataset!$B$2:$F$2241,2,FALSE)</f>
        <v>92</v>
      </c>
      <c r="L1831">
        <f>VLOOKUP(B1831,purchase_dataset!$B$2:$F$2241,3,FALSE)</f>
        <v>0</v>
      </c>
      <c r="M1831">
        <f>VLOOKUP(B1831,purchase_dataset!$B$2:$F$2241,3,FALSE)</f>
        <v>0</v>
      </c>
      <c r="N1831">
        <f>VLOOKUP(B1831,purchase_dataset!$B$2:$F$2241,5,FALSE)</f>
        <v>9</v>
      </c>
      <c r="O1831" s="5">
        <v>68</v>
      </c>
      <c r="P1831" s="4" t="str">
        <f t="shared" si="56"/>
        <v>&gt;50</v>
      </c>
      <c r="Q1831" s="4">
        <f>M1831+N1831</f>
        <v>9</v>
      </c>
      <c r="U1831" s="28" t="str" cm="1">
        <f t="array" ref="U1831">_xlfn.IFS(F1831&lt;30000,"30k",F1831&lt;=50000,"30k-50k",F1831&lt;=75000,"50k-75k",F1831&lt;=100000,"75k-100k",F1831&gt;100000,"100k")</f>
        <v>75k-100k</v>
      </c>
      <c r="W1831" s="1">
        <f t="shared" si="57"/>
        <v>13</v>
      </c>
    </row>
    <row r="1832" spans="1:23" x14ac:dyDescent="0.35">
      <c r="A1832">
        <v>1829</v>
      </c>
      <c r="B1832">
        <v>1087</v>
      </c>
      <c r="C1832">
        <v>1975</v>
      </c>
      <c r="D1832" s="1" t="s">
        <v>15</v>
      </c>
      <c r="E1832" s="1" t="s">
        <v>12</v>
      </c>
      <c r="F1832">
        <v>22669</v>
      </c>
      <c r="G1832">
        <v>1</v>
      </c>
      <c r="H1832" s="2">
        <v>0</v>
      </c>
      <c r="I1832" s="2">
        <v>41416</v>
      </c>
      <c r="J1832">
        <v>30</v>
      </c>
      <c r="K1832">
        <f>VLOOKUP(B1832,purchase_dataset!$B$2:$F$2241,2,FALSE)</f>
        <v>14</v>
      </c>
      <c r="L1832">
        <f>VLOOKUP(B1832,purchase_dataset!$B$2:$F$2241,3,FALSE)</f>
        <v>22</v>
      </c>
      <c r="M1832">
        <f>VLOOKUP(B1832,purchase_dataset!$B$2:$F$2241,3,FALSE)</f>
        <v>22</v>
      </c>
      <c r="N1832">
        <f>VLOOKUP(B1832,purchase_dataset!$B$2:$F$2241,5,FALSE)</f>
        <v>2</v>
      </c>
      <c r="O1832" s="5">
        <v>51</v>
      </c>
      <c r="P1832" s="4" t="str">
        <f t="shared" si="56"/>
        <v>&gt;50</v>
      </c>
      <c r="Q1832" s="4">
        <f>M1832+N1832</f>
        <v>24</v>
      </c>
      <c r="U1832" s="28" t="str" cm="1">
        <f t="array" ref="U1832">_xlfn.IFS(F1832&lt;30000,"30k",F1832&lt;=50000,"30k-50k",F1832&lt;=75000,"50k-75k",F1832&lt;=100000,"75k-100k",F1832&gt;100000,"100k")</f>
        <v>30k</v>
      </c>
      <c r="W1832" s="1">
        <f t="shared" si="57"/>
        <v>13</v>
      </c>
    </row>
    <row r="1833" spans="1:23" x14ac:dyDescent="0.35">
      <c r="A1833">
        <v>1830</v>
      </c>
      <c r="B1833">
        <v>6859</v>
      </c>
      <c r="C1833">
        <v>1987</v>
      </c>
      <c r="D1833" s="1" t="s">
        <v>10</v>
      </c>
      <c r="E1833" s="1" t="s">
        <v>11</v>
      </c>
      <c r="F1833">
        <v>29236</v>
      </c>
      <c r="G1833">
        <v>1</v>
      </c>
      <c r="H1833" s="2">
        <v>0</v>
      </c>
      <c r="I1833" s="2">
        <v>41555</v>
      </c>
      <c r="J1833">
        <v>30</v>
      </c>
      <c r="K1833">
        <f>VLOOKUP(B1833,purchase_dataset!$B$2:$F$2241,2,FALSE)</f>
        <v>4</v>
      </c>
      <c r="L1833">
        <f>VLOOKUP(B1833,purchase_dataset!$B$2:$F$2241,3,FALSE)</f>
        <v>9</v>
      </c>
      <c r="M1833">
        <f>VLOOKUP(B1833,purchase_dataset!$B$2:$F$2241,3,FALSE)</f>
        <v>9</v>
      </c>
      <c r="N1833">
        <f>VLOOKUP(B1833,purchase_dataset!$B$2:$F$2241,5,FALSE)</f>
        <v>3</v>
      </c>
      <c r="O1833" s="5">
        <v>39</v>
      </c>
      <c r="P1833" s="4" t="str">
        <f t="shared" si="56"/>
        <v>30-50</v>
      </c>
      <c r="Q1833" s="4">
        <f>M1833+N1833</f>
        <v>12</v>
      </c>
      <c r="U1833" s="28" t="str" cm="1">
        <f t="array" ref="U1833">_xlfn.IFS(F1833&lt;30000,"30k",F1833&lt;=50000,"30k-50k",F1833&lt;=75000,"50k-75k",F1833&lt;=100000,"75k-100k",F1833&gt;100000,"100k")</f>
        <v>30k</v>
      </c>
      <c r="W1833" s="1">
        <f t="shared" si="57"/>
        <v>13</v>
      </c>
    </row>
    <row r="1834" spans="1:23" x14ac:dyDescent="0.35">
      <c r="A1834">
        <v>1831</v>
      </c>
      <c r="B1834">
        <v>9860</v>
      </c>
      <c r="C1834">
        <v>1959</v>
      </c>
      <c r="D1834" s="1" t="s">
        <v>10</v>
      </c>
      <c r="E1834" s="1" t="s">
        <v>12</v>
      </c>
      <c r="F1834">
        <v>44911</v>
      </c>
      <c r="G1834">
        <v>0</v>
      </c>
      <c r="H1834" s="2">
        <v>1</v>
      </c>
      <c r="I1834" s="2">
        <v>41348</v>
      </c>
      <c r="J1834">
        <v>11</v>
      </c>
      <c r="K1834">
        <f>VLOOKUP(B1834,purchase_dataset!$B$2:$F$2241,2,FALSE)</f>
        <v>0</v>
      </c>
      <c r="L1834">
        <f>VLOOKUP(B1834,purchase_dataset!$B$2:$F$2241,3,FALSE)</f>
        <v>1</v>
      </c>
      <c r="M1834">
        <f>VLOOKUP(B1834,purchase_dataset!$B$2:$F$2241,3,FALSE)</f>
        <v>1</v>
      </c>
      <c r="N1834">
        <f>VLOOKUP(B1834,purchase_dataset!$B$2:$F$2241,5,FALSE)</f>
        <v>4</v>
      </c>
      <c r="O1834" s="5">
        <v>67</v>
      </c>
      <c r="P1834" s="4" t="str">
        <f t="shared" si="56"/>
        <v>&gt;50</v>
      </c>
      <c r="Q1834" s="4">
        <f>M1834+N1834</f>
        <v>5</v>
      </c>
      <c r="U1834" s="28" t="str" cm="1">
        <f t="array" ref="U1834">_xlfn.IFS(F1834&lt;30000,"30k",F1834&lt;=50000,"30k-50k",F1834&lt;=75000,"50k-75k",F1834&lt;=100000,"75k-100k",F1834&gt;100000,"100k")</f>
        <v>30k-50k</v>
      </c>
      <c r="W1834" s="1">
        <f t="shared" si="57"/>
        <v>13</v>
      </c>
    </row>
    <row r="1835" spans="1:23" x14ac:dyDescent="0.35">
      <c r="A1835">
        <v>1832</v>
      </c>
      <c r="B1835">
        <v>7129</v>
      </c>
      <c r="C1835">
        <v>1962</v>
      </c>
      <c r="D1835" s="1" t="s">
        <v>13</v>
      </c>
      <c r="E1835" s="1" t="s">
        <v>14</v>
      </c>
      <c r="F1835">
        <v>54693</v>
      </c>
      <c r="G1835">
        <v>0</v>
      </c>
      <c r="H1835" s="2">
        <v>1</v>
      </c>
      <c r="I1835" s="2">
        <v>41322</v>
      </c>
      <c r="J1835">
        <v>72</v>
      </c>
      <c r="K1835">
        <f>VLOOKUP(B1835,purchase_dataset!$B$2:$F$2241,2,FALSE)</f>
        <v>17</v>
      </c>
      <c r="L1835">
        <f>VLOOKUP(B1835,purchase_dataset!$B$2:$F$2241,3,FALSE)</f>
        <v>26</v>
      </c>
      <c r="M1835">
        <f>VLOOKUP(B1835,purchase_dataset!$B$2:$F$2241,3,FALSE)</f>
        <v>26</v>
      </c>
      <c r="N1835">
        <f>VLOOKUP(B1835,purchase_dataset!$B$2:$F$2241,5,FALSE)</f>
        <v>13</v>
      </c>
      <c r="O1835" s="5">
        <v>64</v>
      </c>
      <c r="P1835" s="4" t="str">
        <f t="shared" si="56"/>
        <v>&gt;50</v>
      </c>
      <c r="Q1835" s="4">
        <f>M1835+N1835</f>
        <v>39</v>
      </c>
      <c r="U1835" s="28" t="str" cm="1">
        <f t="array" ref="U1835">_xlfn.IFS(F1835&lt;30000,"30k",F1835&lt;=50000,"30k-50k",F1835&lt;=75000,"50k-75k",F1835&lt;=100000,"75k-100k",F1835&gt;100000,"100k")</f>
        <v>50k-75k</v>
      </c>
      <c r="W1835" s="1">
        <f t="shared" si="57"/>
        <v>13</v>
      </c>
    </row>
    <row r="1836" spans="1:23" x14ac:dyDescent="0.35">
      <c r="A1836">
        <v>1833</v>
      </c>
      <c r="B1836">
        <v>5866</v>
      </c>
      <c r="C1836">
        <v>1974</v>
      </c>
      <c r="D1836" s="1" t="s">
        <v>10</v>
      </c>
      <c r="E1836" s="1" t="s">
        <v>12</v>
      </c>
      <c r="F1836">
        <v>48186</v>
      </c>
      <c r="G1836">
        <v>1</v>
      </c>
      <c r="H1836" s="2">
        <v>0</v>
      </c>
      <c r="I1836" s="2">
        <v>41718</v>
      </c>
      <c r="J1836">
        <v>39</v>
      </c>
      <c r="K1836">
        <f>VLOOKUP(B1836,purchase_dataset!$B$2:$F$2241,2,FALSE)</f>
        <v>3</v>
      </c>
      <c r="L1836">
        <f>VLOOKUP(B1836,purchase_dataset!$B$2:$F$2241,3,FALSE)</f>
        <v>7</v>
      </c>
      <c r="M1836">
        <f>VLOOKUP(B1836,purchase_dataset!$B$2:$F$2241,3,FALSE)</f>
        <v>7</v>
      </c>
      <c r="N1836">
        <f>VLOOKUP(B1836,purchase_dataset!$B$2:$F$2241,5,FALSE)</f>
        <v>4</v>
      </c>
      <c r="O1836" s="5">
        <v>52</v>
      </c>
      <c r="P1836" s="4" t="str">
        <f t="shared" si="56"/>
        <v>&gt;50</v>
      </c>
      <c r="Q1836" s="4">
        <f>M1836+N1836</f>
        <v>11</v>
      </c>
      <c r="U1836" s="28" t="str" cm="1">
        <f t="array" ref="U1836">_xlfn.IFS(F1836&lt;30000,"30k",F1836&lt;=50000,"30k-50k",F1836&lt;=75000,"50k-75k",F1836&lt;=100000,"75k-100k",F1836&gt;100000,"100k")</f>
        <v>30k-50k</v>
      </c>
      <c r="W1836" s="1">
        <f t="shared" si="57"/>
        <v>12</v>
      </c>
    </row>
    <row r="1837" spans="1:23" x14ac:dyDescent="0.35">
      <c r="A1837">
        <v>1834</v>
      </c>
      <c r="B1837">
        <v>10521</v>
      </c>
      <c r="C1837">
        <v>1977</v>
      </c>
      <c r="D1837" s="1" t="s">
        <v>10</v>
      </c>
      <c r="E1837" s="1" t="s">
        <v>14</v>
      </c>
      <c r="F1837">
        <v>54809</v>
      </c>
      <c r="G1837">
        <v>1</v>
      </c>
      <c r="H1837" s="2">
        <v>1</v>
      </c>
      <c r="I1837" s="2">
        <v>41528</v>
      </c>
      <c r="J1837">
        <v>0</v>
      </c>
      <c r="K1837">
        <f>VLOOKUP(B1837,purchase_dataset!$B$2:$F$2241,2,FALSE)</f>
        <v>6</v>
      </c>
      <c r="L1837">
        <f>VLOOKUP(B1837,purchase_dataset!$B$2:$F$2241,3,FALSE)</f>
        <v>13</v>
      </c>
      <c r="M1837">
        <f>VLOOKUP(B1837,purchase_dataset!$B$2:$F$2241,3,FALSE)</f>
        <v>13</v>
      </c>
      <c r="N1837">
        <f>VLOOKUP(B1837,purchase_dataset!$B$2:$F$2241,5,FALSE)</f>
        <v>5</v>
      </c>
      <c r="O1837" s="5">
        <v>49</v>
      </c>
      <c r="P1837" s="4" t="str">
        <f t="shared" si="56"/>
        <v>30-50</v>
      </c>
      <c r="Q1837" s="4">
        <f>M1837+N1837</f>
        <v>18</v>
      </c>
      <c r="U1837" s="28" t="str" cm="1">
        <f t="array" ref="U1837">_xlfn.IFS(F1837&lt;30000,"30k",F1837&lt;=50000,"30k-50k",F1837&lt;=75000,"50k-75k",F1837&lt;=100000,"75k-100k",F1837&gt;100000,"100k")</f>
        <v>50k-75k</v>
      </c>
      <c r="W1837" s="1">
        <f t="shared" si="57"/>
        <v>13</v>
      </c>
    </row>
    <row r="1838" spans="1:23" x14ac:dyDescent="0.35">
      <c r="A1838">
        <v>1835</v>
      </c>
      <c r="B1838">
        <v>7393</v>
      </c>
      <c r="C1838">
        <v>1978</v>
      </c>
      <c r="D1838" s="1" t="s">
        <v>10</v>
      </c>
      <c r="E1838" s="1" t="s">
        <v>12</v>
      </c>
      <c r="F1838">
        <v>41580</v>
      </c>
      <c r="G1838">
        <v>1</v>
      </c>
      <c r="H1838" s="2">
        <v>1</v>
      </c>
      <c r="I1838" s="2">
        <v>41253</v>
      </c>
      <c r="J1838">
        <v>15</v>
      </c>
      <c r="K1838">
        <f>VLOOKUP(B1838,purchase_dataset!$B$2:$F$2241,2,FALSE)</f>
        <v>5</v>
      </c>
      <c r="L1838">
        <f>VLOOKUP(B1838,purchase_dataset!$B$2:$F$2241,3,FALSE)</f>
        <v>0</v>
      </c>
      <c r="M1838">
        <f>VLOOKUP(B1838,purchase_dataset!$B$2:$F$2241,3,FALSE)</f>
        <v>0</v>
      </c>
      <c r="N1838">
        <f>VLOOKUP(B1838,purchase_dataset!$B$2:$F$2241,5,FALSE)</f>
        <v>3</v>
      </c>
      <c r="O1838" s="5">
        <v>48</v>
      </c>
      <c r="P1838" s="4" t="str">
        <f t="shared" si="56"/>
        <v>30-50</v>
      </c>
      <c r="Q1838" s="4">
        <f>M1838+N1838</f>
        <v>3</v>
      </c>
      <c r="U1838" s="28" t="str" cm="1">
        <f t="array" ref="U1838">_xlfn.IFS(F1838&lt;30000,"30k",F1838&lt;=50000,"30k-50k",F1838&lt;=75000,"50k-75k",F1838&lt;=100000,"75k-100k",F1838&gt;100000,"100k")</f>
        <v>30k-50k</v>
      </c>
      <c r="W1838" s="1">
        <f t="shared" si="57"/>
        <v>14</v>
      </c>
    </row>
    <row r="1839" spans="1:23" x14ac:dyDescent="0.35">
      <c r="A1839">
        <v>1836</v>
      </c>
      <c r="B1839">
        <v>7849</v>
      </c>
      <c r="C1839">
        <v>1970</v>
      </c>
      <c r="D1839" s="1" t="s">
        <v>13</v>
      </c>
      <c r="E1839" s="1" t="s">
        <v>14</v>
      </c>
      <c r="F1839">
        <v>80336</v>
      </c>
      <c r="G1839">
        <v>0</v>
      </c>
      <c r="H1839" s="2">
        <v>0</v>
      </c>
      <c r="I1839" s="2">
        <v>41526</v>
      </c>
      <c r="J1839">
        <v>12</v>
      </c>
      <c r="K1839">
        <f>VLOOKUP(B1839,purchase_dataset!$B$2:$F$2241,2,FALSE)</f>
        <v>19</v>
      </c>
      <c r="L1839">
        <f>VLOOKUP(B1839,purchase_dataset!$B$2:$F$2241,3,FALSE)</f>
        <v>142</v>
      </c>
      <c r="M1839">
        <f>VLOOKUP(B1839,purchase_dataset!$B$2:$F$2241,3,FALSE)</f>
        <v>142</v>
      </c>
      <c r="N1839">
        <f>VLOOKUP(B1839,purchase_dataset!$B$2:$F$2241,5,FALSE)</f>
        <v>13</v>
      </c>
      <c r="O1839" s="5">
        <v>56</v>
      </c>
      <c r="P1839" s="4" t="str">
        <f t="shared" si="56"/>
        <v>&gt;50</v>
      </c>
      <c r="Q1839" s="4">
        <f>M1839+N1839</f>
        <v>155</v>
      </c>
      <c r="U1839" s="28" t="str" cm="1">
        <f t="array" ref="U1839">_xlfn.IFS(F1839&lt;30000,"30k",F1839&lt;=50000,"30k-50k",F1839&lt;=75000,"50k-75k",F1839&lt;=100000,"75k-100k",F1839&gt;100000,"100k")</f>
        <v>75k-100k</v>
      </c>
      <c r="W1839" s="1">
        <f t="shared" si="57"/>
        <v>13</v>
      </c>
    </row>
    <row r="1840" spans="1:23" x14ac:dyDescent="0.35">
      <c r="A1840">
        <v>1837</v>
      </c>
      <c r="B1840">
        <v>332</v>
      </c>
      <c r="C1840">
        <v>1957</v>
      </c>
      <c r="D1840" s="1" t="s">
        <v>10</v>
      </c>
      <c r="E1840" s="1" t="s">
        <v>14</v>
      </c>
      <c r="F1840">
        <v>47743</v>
      </c>
      <c r="G1840">
        <v>0</v>
      </c>
      <c r="H1840" s="2">
        <v>1</v>
      </c>
      <c r="I1840" s="2">
        <v>41355</v>
      </c>
      <c r="J1840">
        <v>56</v>
      </c>
      <c r="K1840">
        <f>VLOOKUP(B1840,purchase_dataset!$B$2:$F$2241,2,FALSE)</f>
        <v>2</v>
      </c>
      <c r="L1840">
        <f>VLOOKUP(B1840,purchase_dataset!$B$2:$F$2241,3,FALSE)</f>
        <v>12</v>
      </c>
      <c r="M1840">
        <f>VLOOKUP(B1840,purchase_dataset!$B$2:$F$2241,3,FALSE)</f>
        <v>12</v>
      </c>
      <c r="N1840">
        <f>VLOOKUP(B1840,purchase_dataset!$B$2:$F$2241,5,FALSE)</f>
        <v>6</v>
      </c>
      <c r="O1840" s="5">
        <v>69</v>
      </c>
      <c r="P1840" s="4" t="str">
        <f t="shared" si="56"/>
        <v>&gt;50</v>
      </c>
      <c r="Q1840" s="4">
        <f>M1840+N1840</f>
        <v>18</v>
      </c>
      <c r="U1840" s="28" t="str" cm="1">
        <f t="array" ref="U1840">_xlfn.IFS(F1840&lt;30000,"30k",F1840&lt;=50000,"30k-50k",F1840&lt;=75000,"50k-75k",F1840&lt;=100000,"75k-100k",F1840&gt;100000,"100k")</f>
        <v>30k-50k</v>
      </c>
      <c r="W1840" s="1">
        <f t="shared" si="57"/>
        <v>13</v>
      </c>
    </row>
    <row r="1841" spans="1:23" x14ac:dyDescent="0.35">
      <c r="A1841">
        <v>1838</v>
      </c>
      <c r="B1841">
        <v>9847</v>
      </c>
      <c r="C1841">
        <v>1955</v>
      </c>
      <c r="D1841" s="1" t="s">
        <v>18</v>
      </c>
      <c r="E1841" s="1" t="s">
        <v>14</v>
      </c>
      <c r="F1841">
        <v>62972</v>
      </c>
      <c r="G1841">
        <v>0</v>
      </c>
      <c r="H1841" s="2">
        <v>1</v>
      </c>
      <c r="I1841" s="2">
        <v>41124</v>
      </c>
      <c r="J1841">
        <v>39</v>
      </c>
      <c r="K1841">
        <f>VLOOKUP(B1841,purchase_dataset!$B$2:$F$2241,2,FALSE)</f>
        <v>15</v>
      </c>
      <c r="L1841">
        <f>VLOOKUP(B1841,purchase_dataset!$B$2:$F$2241,3,FALSE)</f>
        <v>0</v>
      </c>
      <c r="M1841">
        <f>VLOOKUP(B1841,purchase_dataset!$B$2:$F$2241,3,FALSE)</f>
        <v>0</v>
      </c>
      <c r="N1841">
        <f>VLOOKUP(B1841,purchase_dataset!$B$2:$F$2241,5,FALSE)</f>
        <v>3</v>
      </c>
      <c r="O1841" s="5">
        <v>71</v>
      </c>
      <c r="P1841" s="4" t="str">
        <f t="shared" si="56"/>
        <v>&gt;50</v>
      </c>
      <c r="Q1841" s="4">
        <f>M1841+N1841</f>
        <v>3</v>
      </c>
      <c r="U1841" s="28" t="str" cm="1">
        <f t="array" ref="U1841">_xlfn.IFS(F1841&lt;30000,"30k",F1841&lt;=50000,"30k-50k",F1841&lt;=75000,"50k-75k",F1841&lt;=100000,"75k-100k",F1841&gt;100000,"100k")</f>
        <v>50k-75k</v>
      </c>
      <c r="W1841" s="1">
        <f t="shared" si="57"/>
        <v>14</v>
      </c>
    </row>
    <row r="1842" spans="1:23" x14ac:dyDescent="0.35">
      <c r="A1842">
        <v>1839</v>
      </c>
      <c r="B1842">
        <v>531</v>
      </c>
      <c r="C1842">
        <v>1954</v>
      </c>
      <c r="D1842" s="1" t="s">
        <v>13</v>
      </c>
      <c r="E1842" s="1" t="s">
        <v>16</v>
      </c>
      <c r="F1842">
        <v>57333</v>
      </c>
      <c r="G1842">
        <v>0</v>
      </c>
      <c r="H1842" s="2">
        <v>1</v>
      </c>
      <c r="I1842" s="2">
        <v>41174</v>
      </c>
      <c r="J1842">
        <v>55</v>
      </c>
      <c r="K1842">
        <f>VLOOKUP(B1842,purchase_dataset!$B$2:$F$2241,2,FALSE)</f>
        <v>14</v>
      </c>
      <c r="L1842">
        <f>VLOOKUP(B1842,purchase_dataset!$B$2:$F$2241,3,FALSE)</f>
        <v>58</v>
      </c>
      <c r="M1842">
        <f>VLOOKUP(B1842,purchase_dataset!$B$2:$F$2241,3,FALSE)</f>
        <v>58</v>
      </c>
      <c r="N1842">
        <f>VLOOKUP(B1842,purchase_dataset!$B$2:$F$2241,5,FALSE)</f>
        <v>9</v>
      </c>
      <c r="O1842" s="5">
        <v>72</v>
      </c>
      <c r="P1842" s="4" t="str">
        <f t="shared" si="56"/>
        <v>&gt;50</v>
      </c>
      <c r="Q1842" s="4">
        <f>M1842+N1842</f>
        <v>67</v>
      </c>
      <c r="U1842" s="28" t="str" cm="1">
        <f t="array" ref="U1842">_xlfn.IFS(F1842&lt;30000,"30k",F1842&lt;=50000,"30k-50k",F1842&lt;=75000,"50k-75k",F1842&lt;=100000,"75k-100k",F1842&gt;100000,"100k")</f>
        <v>50k-75k</v>
      </c>
      <c r="W1842" s="1">
        <f t="shared" si="57"/>
        <v>14</v>
      </c>
    </row>
    <row r="1843" spans="1:23" x14ac:dyDescent="0.35">
      <c r="A1843">
        <v>1840</v>
      </c>
      <c r="B1843">
        <v>9576</v>
      </c>
      <c r="C1843">
        <v>1982</v>
      </c>
      <c r="D1843" s="1" t="s">
        <v>13</v>
      </c>
      <c r="E1843" s="1" t="s">
        <v>12</v>
      </c>
      <c r="F1843">
        <v>32313</v>
      </c>
      <c r="G1843">
        <v>1</v>
      </c>
      <c r="H1843" s="2">
        <v>0</v>
      </c>
      <c r="I1843" s="2">
        <v>41316</v>
      </c>
      <c r="J1843">
        <v>60</v>
      </c>
      <c r="K1843">
        <f>VLOOKUP(B1843,purchase_dataset!$B$2:$F$2241,2,FALSE)</f>
        <v>4</v>
      </c>
      <c r="L1843">
        <f>VLOOKUP(B1843,purchase_dataset!$B$2:$F$2241,3,FALSE)</f>
        <v>4</v>
      </c>
      <c r="M1843">
        <f>VLOOKUP(B1843,purchase_dataset!$B$2:$F$2241,3,FALSE)</f>
        <v>4</v>
      </c>
      <c r="N1843">
        <f>VLOOKUP(B1843,purchase_dataset!$B$2:$F$2241,5,FALSE)</f>
        <v>4</v>
      </c>
      <c r="O1843" s="5">
        <v>44</v>
      </c>
      <c r="P1843" s="4" t="str">
        <f t="shared" si="56"/>
        <v>30-50</v>
      </c>
      <c r="Q1843" s="4">
        <f>M1843+N1843</f>
        <v>8</v>
      </c>
      <c r="U1843" s="28" t="str" cm="1">
        <f t="array" ref="U1843">_xlfn.IFS(F1843&lt;30000,"30k",F1843&lt;=50000,"30k-50k",F1843&lt;=75000,"50k-75k",F1843&lt;=100000,"75k-100k",F1843&gt;100000,"100k")</f>
        <v>30k-50k</v>
      </c>
      <c r="W1843" s="1">
        <f t="shared" si="57"/>
        <v>13</v>
      </c>
    </row>
    <row r="1844" spans="1:23" x14ac:dyDescent="0.35">
      <c r="A1844">
        <v>1841</v>
      </c>
      <c r="B1844">
        <v>6906</v>
      </c>
      <c r="C1844">
        <v>1953</v>
      </c>
      <c r="D1844" s="1" t="s">
        <v>15</v>
      </c>
      <c r="E1844" s="1" t="s">
        <v>19</v>
      </c>
      <c r="F1844">
        <v>84953</v>
      </c>
      <c r="G1844">
        <v>0</v>
      </c>
      <c r="H1844" s="2">
        <v>0</v>
      </c>
      <c r="I1844" s="2">
        <v>41428</v>
      </c>
      <c r="J1844">
        <v>73</v>
      </c>
      <c r="K1844">
        <f>VLOOKUP(B1844,purchase_dataset!$B$2:$F$2241,2,FALSE)</f>
        <v>48</v>
      </c>
      <c r="L1844">
        <f>VLOOKUP(B1844,purchase_dataset!$B$2:$F$2241,3,FALSE)</f>
        <v>72</v>
      </c>
      <c r="M1844">
        <f>VLOOKUP(B1844,purchase_dataset!$B$2:$F$2241,3,FALSE)</f>
        <v>72</v>
      </c>
      <c r="N1844">
        <f>VLOOKUP(B1844,purchase_dataset!$B$2:$F$2241,5,FALSE)</f>
        <v>4</v>
      </c>
      <c r="O1844" s="5">
        <v>73</v>
      </c>
      <c r="P1844" s="4" t="str">
        <f t="shared" si="56"/>
        <v>&gt;50</v>
      </c>
      <c r="Q1844" s="4">
        <f>M1844+N1844</f>
        <v>76</v>
      </c>
      <c r="U1844" s="28" t="str" cm="1">
        <f t="array" ref="U1844">_xlfn.IFS(F1844&lt;30000,"30k",F1844&lt;=50000,"30k-50k",F1844&lt;=75000,"50k-75k",F1844&lt;=100000,"75k-100k",F1844&gt;100000,"100k")</f>
        <v>75k-100k</v>
      </c>
      <c r="W1844" s="1">
        <f t="shared" si="57"/>
        <v>13</v>
      </c>
    </row>
    <row r="1845" spans="1:23" x14ac:dyDescent="0.35">
      <c r="A1845">
        <v>1842</v>
      </c>
      <c r="B1845">
        <v>7419</v>
      </c>
      <c r="C1845">
        <v>1968</v>
      </c>
      <c r="D1845" s="1" t="s">
        <v>15</v>
      </c>
      <c r="E1845" s="1" t="s">
        <v>16</v>
      </c>
      <c r="F1845">
        <v>27071</v>
      </c>
      <c r="G1845">
        <v>1</v>
      </c>
      <c r="H1845" s="2">
        <v>0</v>
      </c>
      <c r="I1845" s="2">
        <v>41752</v>
      </c>
      <c r="J1845">
        <v>90</v>
      </c>
      <c r="K1845">
        <f>VLOOKUP(B1845,purchase_dataset!$B$2:$F$2241,2,FALSE)</f>
        <v>3</v>
      </c>
      <c r="L1845">
        <f>VLOOKUP(B1845,purchase_dataset!$B$2:$F$2241,3,FALSE)</f>
        <v>2</v>
      </c>
      <c r="M1845">
        <f>VLOOKUP(B1845,purchase_dataset!$B$2:$F$2241,3,FALSE)</f>
        <v>2</v>
      </c>
      <c r="N1845">
        <f>VLOOKUP(B1845,purchase_dataset!$B$2:$F$2241,5,FALSE)</f>
        <v>3</v>
      </c>
      <c r="O1845" s="5">
        <v>58</v>
      </c>
      <c r="P1845" s="4" t="str">
        <f t="shared" si="56"/>
        <v>&gt;50</v>
      </c>
      <c r="Q1845" s="4">
        <f>M1845+N1845</f>
        <v>5</v>
      </c>
      <c r="U1845" s="28" t="str" cm="1">
        <f t="array" ref="U1845">_xlfn.IFS(F1845&lt;30000,"30k",F1845&lt;=50000,"30k-50k",F1845&lt;=75000,"50k-75k",F1845&lt;=100000,"75k-100k",F1845&gt;100000,"100k")</f>
        <v>30k</v>
      </c>
      <c r="W1845" s="1">
        <f t="shared" si="57"/>
        <v>12</v>
      </c>
    </row>
    <row r="1846" spans="1:23" x14ac:dyDescent="0.35">
      <c r="A1846">
        <v>1843</v>
      </c>
      <c r="B1846">
        <v>3170</v>
      </c>
      <c r="C1846">
        <v>1957</v>
      </c>
      <c r="D1846" s="1" t="s">
        <v>15</v>
      </c>
      <c r="E1846" s="1" t="s">
        <v>12</v>
      </c>
      <c r="F1846">
        <v>68148</v>
      </c>
      <c r="G1846">
        <v>0</v>
      </c>
      <c r="H1846" s="2">
        <v>0</v>
      </c>
      <c r="I1846" s="2">
        <v>41517</v>
      </c>
      <c r="J1846">
        <v>86</v>
      </c>
      <c r="K1846">
        <f>VLOOKUP(B1846,purchase_dataset!$B$2:$F$2241,2,FALSE)</f>
        <v>66</v>
      </c>
      <c r="L1846">
        <f>VLOOKUP(B1846,purchase_dataset!$B$2:$F$2241,3,FALSE)</f>
        <v>57</v>
      </c>
      <c r="M1846">
        <f>VLOOKUP(B1846,purchase_dataset!$B$2:$F$2241,3,FALSE)</f>
        <v>57</v>
      </c>
      <c r="N1846">
        <f>VLOOKUP(B1846,purchase_dataset!$B$2:$F$2241,5,FALSE)</f>
        <v>6</v>
      </c>
      <c r="O1846" s="5">
        <v>69</v>
      </c>
      <c r="P1846" s="4" t="str">
        <f t="shared" si="56"/>
        <v>&gt;50</v>
      </c>
      <c r="Q1846" s="4">
        <f>M1846+N1846</f>
        <v>63</v>
      </c>
      <c r="U1846" s="28" t="str" cm="1">
        <f t="array" ref="U1846">_xlfn.IFS(F1846&lt;30000,"30k",F1846&lt;=50000,"30k-50k",F1846&lt;=75000,"50k-75k",F1846&lt;=100000,"75k-100k",F1846&gt;100000,"100k")</f>
        <v>50k-75k</v>
      </c>
      <c r="W1846" s="1">
        <f t="shared" si="57"/>
        <v>13</v>
      </c>
    </row>
    <row r="1847" spans="1:23" x14ac:dyDescent="0.35">
      <c r="A1847">
        <v>1844</v>
      </c>
      <c r="B1847">
        <v>8527</v>
      </c>
      <c r="C1847">
        <v>1965</v>
      </c>
      <c r="D1847" s="1" t="s">
        <v>15</v>
      </c>
      <c r="E1847" s="1" t="s">
        <v>12</v>
      </c>
      <c r="F1847">
        <v>65735</v>
      </c>
      <c r="G1847">
        <v>1</v>
      </c>
      <c r="H1847" s="2">
        <v>1</v>
      </c>
      <c r="I1847" s="2">
        <v>41615</v>
      </c>
      <c r="J1847">
        <v>37</v>
      </c>
      <c r="K1847">
        <f>VLOOKUP(B1847,purchase_dataset!$B$2:$F$2241,2,FALSE)</f>
        <v>7</v>
      </c>
      <c r="L1847">
        <f>VLOOKUP(B1847,purchase_dataset!$B$2:$F$2241,3,FALSE)</f>
        <v>15</v>
      </c>
      <c r="M1847">
        <f>VLOOKUP(B1847,purchase_dataset!$B$2:$F$2241,3,FALSE)</f>
        <v>15</v>
      </c>
      <c r="N1847">
        <f>VLOOKUP(B1847,purchase_dataset!$B$2:$F$2241,5,FALSE)</f>
        <v>6</v>
      </c>
      <c r="O1847" s="5">
        <v>61</v>
      </c>
      <c r="P1847" s="4" t="str">
        <f t="shared" si="56"/>
        <v>&gt;50</v>
      </c>
      <c r="Q1847" s="4">
        <f>M1847+N1847</f>
        <v>21</v>
      </c>
      <c r="U1847" s="28" t="str" cm="1">
        <f t="array" ref="U1847">_xlfn.IFS(F1847&lt;30000,"30k",F1847&lt;=50000,"30k-50k",F1847&lt;=75000,"50k-75k",F1847&lt;=100000,"75k-100k",F1847&gt;100000,"100k")</f>
        <v>50k-75k</v>
      </c>
      <c r="W1847" s="1">
        <f t="shared" si="57"/>
        <v>13</v>
      </c>
    </row>
    <row r="1848" spans="1:23" x14ac:dyDescent="0.35">
      <c r="A1848">
        <v>1845</v>
      </c>
      <c r="B1848">
        <v>7872</v>
      </c>
      <c r="C1848">
        <v>1975</v>
      </c>
      <c r="D1848" s="1" t="s">
        <v>13</v>
      </c>
      <c r="E1848" s="1" t="s">
        <v>14</v>
      </c>
      <c r="F1848">
        <v>86836</v>
      </c>
      <c r="G1848">
        <v>0</v>
      </c>
      <c r="H1848" s="2">
        <v>0</v>
      </c>
      <c r="I1848" s="2">
        <v>41164</v>
      </c>
      <c r="J1848">
        <v>7</v>
      </c>
      <c r="K1848">
        <f>VLOOKUP(B1848,purchase_dataset!$B$2:$F$2241,2,FALSE)</f>
        <v>21</v>
      </c>
      <c r="L1848">
        <f>VLOOKUP(B1848,purchase_dataset!$B$2:$F$2241,3,FALSE)</f>
        <v>21</v>
      </c>
      <c r="M1848">
        <f>VLOOKUP(B1848,purchase_dataset!$B$2:$F$2241,3,FALSE)</f>
        <v>21</v>
      </c>
      <c r="N1848">
        <f>VLOOKUP(B1848,purchase_dataset!$B$2:$F$2241,5,FALSE)</f>
        <v>6</v>
      </c>
      <c r="O1848" s="5">
        <v>51</v>
      </c>
      <c r="P1848" s="4" t="str">
        <f t="shared" si="56"/>
        <v>&gt;50</v>
      </c>
      <c r="Q1848" s="4">
        <f>M1848+N1848</f>
        <v>27</v>
      </c>
      <c r="U1848" s="28" t="str" cm="1">
        <f t="array" ref="U1848">_xlfn.IFS(F1848&lt;30000,"30k",F1848&lt;=50000,"30k-50k",F1848&lt;=75000,"50k-75k",F1848&lt;=100000,"75k-100k",F1848&gt;100000,"100k")</f>
        <v>75k-100k</v>
      </c>
      <c r="W1848" s="1">
        <f t="shared" si="57"/>
        <v>14</v>
      </c>
    </row>
    <row r="1849" spans="1:23" x14ac:dyDescent="0.35">
      <c r="A1849">
        <v>1846</v>
      </c>
      <c r="B1849">
        <v>9931</v>
      </c>
      <c r="C1849">
        <v>1963</v>
      </c>
      <c r="D1849" s="1" t="s">
        <v>13</v>
      </c>
      <c r="E1849" s="1" t="s">
        <v>14</v>
      </c>
      <c r="F1849">
        <v>4023</v>
      </c>
      <c r="G1849">
        <v>1</v>
      </c>
      <c r="H1849" s="2">
        <v>1</v>
      </c>
      <c r="I1849" s="2">
        <v>41813</v>
      </c>
      <c r="J1849">
        <v>29</v>
      </c>
      <c r="K1849">
        <f>VLOOKUP(B1849,purchase_dataset!$B$2:$F$2241,2,FALSE)</f>
        <v>0</v>
      </c>
      <c r="L1849">
        <f>VLOOKUP(B1849,purchase_dataset!$B$2:$F$2241,3,FALSE)</f>
        <v>1</v>
      </c>
      <c r="M1849">
        <f>VLOOKUP(B1849,purchase_dataset!$B$2:$F$2241,3,FALSE)</f>
        <v>1</v>
      </c>
      <c r="N1849">
        <f>VLOOKUP(B1849,purchase_dataset!$B$2:$F$2241,5,FALSE)</f>
        <v>0</v>
      </c>
      <c r="O1849" s="5">
        <v>63</v>
      </c>
      <c r="P1849" s="4" t="str">
        <f t="shared" si="56"/>
        <v>&gt;50</v>
      </c>
      <c r="Q1849" s="4">
        <f>M1849+N1849</f>
        <v>1</v>
      </c>
      <c r="U1849" s="28" t="str" cm="1">
        <f t="array" ref="U1849">_xlfn.IFS(F1849&lt;30000,"30k",F1849&lt;=50000,"30k-50k",F1849&lt;=75000,"50k-75k",F1849&lt;=100000,"75k-100k",F1849&gt;100000,"100k")</f>
        <v>30k</v>
      </c>
      <c r="W1849" s="1">
        <f t="shared" si="57"/>
        <v>12</v>
      </c>
    </row>
    <row r="1850" spans="1:23" x14ac:dyDescent="0.35">
      <c r="A1850">
        <v>1847</v>
      </c>
      <c r="B1850">
        <v>10595</v>
      </c>
      <c r="C1850">
        <v>1990</v>
      </c>
      <c r="D1850" s="1" t="s">
        <v>10</v>
      </c>
      <c r="E1850" s="1" t="s">
        <v>14</v>
      </c>
      <c r="F1850">
        <v>30093</v>
      </c>
      <c r="G1850">
        <v>0</v>
      </c>
      <c r="H1850" s="2">
        <v>0</v>
      </c>
      <c r="I1850" s="2">
        <v>41463</v>
      </c>
      <c r="J1850">
        <v>19</v>
      </c>
      <c r="K1850">
        <f>VLOOKUP(B1850,purchase_dataset!$B$2:$F$2241,2,FALSE)</f>
        <v>6</v>
      </c>
      <c r="L1850">
        <f>VLOOKUP(B1850,purchase_dataset!$B$2:$F$2241,3,FALSE)</f>
        <v>4</v>
      </c>
      <c r="M1850">
        <f>VLOOKUP(B1850,purchase_dataset!$B$2:$F$2241,3,FALSE)</f>
        <v>4</v>
      </c>
      <c r="N1850">
        <f>VLOOKUP(B1850,purchase_dataset!$B$2:$F$2241,5,FALSE)</f>
        <v>3</v>
      </c>
      <c r="O1850" s="5">
        <v>36</v>
      </c>
      <c r="P1850" s="4" t="str">
        <f t="shared" si="56"/>
        <v>30-50</v>
      </c>
      <c r="Q1850" s="4">
        <f>M1850+N1850</f>
        <v>7</v>
      </c>
      <c r="U1850" s="28" t="str" cm="1">
        <f t="array" ref="U1850">_xlfn.IFS(F1850&lt;30000,"30k",F1850&lt;=50000,"30k-50k",F1850&lt;=75000,"50k-75k",F1850&lt;=100000,"75k-100k",F1850&gt;100000,"100k")</f>
        <v>30k-50k</v>
      </c>
      <c r="W1850" s="1">
        <f t="shared" si="57"/>
        <v>13</v>
      </c>
    </row>
    <row r="1851" spans="1:23" x14ac:dyDescent="0.35">
      <c r="A1851">
        <v>1848</v>
      </c>
      <c r="B1851">
        <v>4609</v>
      </c>
      <c r="C1851">
        <v>1966</v>
      </c>
      <c r="D1851" s="1" t="s">
        <v>13</v>
      </c>
      <c r="E1851" s="1" t="s">
        <v>14</v>
      </c>
      <c r="F1851">
        <v>57705</v>
      </c>
      <c r="G1851">
        <v>0</v>
      </c>
      <c r="H1851" s="2">
        <v>1</v>
      </c>
      <c r="I1851" s="2">
        <v>41650</v>
      </c>
      <c r="J1851">
        <v>14</v>
      </c>
      <c r="K1851">
        <f>VLOOKUP(B1851,purchase_dataset!$B$2:$F$2241,2,FALSE)</f>
        <v>0</v>
      </c>
      <c r="L1851">
        <f>VLOOKUP(B1851,purchase_dataset!$B$2:$F$2241,3,FALSE)</f>
        <v>4</v>
      </c>
      <c r="M1851">
        <f>VLOOKUP(B1851,purchase_dataset!$B$2:$F$2241,3,FALSE)</f>
        <v>4</v>
      </c>
      <c r="N1851">
        <f>VLOOKUP(B1851,purchase_dataset!$B$2:$F$2241,5,FALSE)</f>
        <v>6</v>
      </c>
      <c r="O1851" s="5">
        <v>60</v>
      </c>
      <c r="P1851" s="4" t="str">
        <f t="shared" si="56"/>
        <v>&gt;50</v>
      </c>
      <c r="Q1851" s="4">
        <f>M1851+N1851</f>
        <v>10</v>
      </c>
      <c r="U1851" s="28" t="str" cm="1">
        <f t="array" ref="U1851">_xlfn.IFS(F1851&lt;30000,"30k",F1851&lt;=50000,"30k-50k",F1851&lt;=75000,"50k-75k",F1851&lt;=100000,"75k-100k",F1851&gt;100000,"100k")</f>
        <v>50k-75k</v>
      </c>
      <c r="W1851" s="1">
        <f t="shared" si="57"/>
        <v>12</v>
      </c>
    </row>
    <row r="1852" spans="1:23" x14ac:dyDescent="0.35">
      <c r="A1852">
        <v>1849</v>
      </c>
      <c r="B1852">
        <v>5010</v>
      </c>
      <c r="C1852">
        <v>1988</v>
      </c>
      <c r="D1852" s="1" t="s">
        <v>10</v>
      </c>
      <c r="E1852" s="1" t="s">
        <v>11</v>
      </c>
      <c r="F1852">
        <v>25008</v>
      </c>
      <c r="G1852">
        <v>1</v>
      </c>
      <c r="H1852" s="2">
        <v>0</v>
      </c>
      <c r="I1852" s="2">
        <v>41672</v>
      </c>
      <c r="J1852">
        <v>72</v>
      </c>
      <c r="K1852">
        <f>VLOOKUP(B1852,purchase_dataset!$B$2:$F$2241,2,FALSE)</f>
        <v>8</v>
      </c>
      <c r="L1852">
        <f>VLOOKUP(B1852,purchase_dataset!$B$2:$F$2241,3,FALSE)</f>
        <v>1</v>
      </c>
      <c r="M1852">
        <f>VLOOKUP(B1852,purchase_dataset!$B$2:$F$2241,3,FALSE)</f>
        <v>1</v>
      </c>
      <c r="N1852">
        <f>VLOOKUP(B1852,purchase_dataset!$B$2:$F$2241,5,FALSE)</f>
        <v>3</v>
      </c>
      <c r="O1852" s="5">
        <v>38</v>
      </c>
      <c r="P1852" s="4" t="str">
        <f t="shared" si="56"/>
        <v>30-50</v>
      </c>
      <c r="Q1852" s="4">
        <f>M1852+N1852</f>
        <v>4</v>
      </c>
      <c r="U1852" s="28" t="str" cm="1">
        <f t="array" ref="U1852">_xlfn.IFS(F1852&lt;30000,"30k",F1852&lt;=50000,"30k-50k",F1852&lt;=75000,"50k-75k",F1852&lt;=100000,"75k-100k",F1852&gt;100000,"100k")</f>
        <v>30k</v>
      </c>
      <c r="W1852" s="1">
        <f t="shared" si="57"/>
        <v>12</v>
      </c>
    </row>
    <row r="1853" spans="1:23" x14ac:dyDescent="0.35">
      <c r="A1853">
        <v>1850</v>
      </c>
      <c r="B1853">
        <v>4427</v>
      </c>
      <c r="C1853">
        <v>1995</v>
      </c>
      <c r="D1853" s="1" t="s">
        <v>18</v>
      </c>
      <c r="E1853" s="1" t="s">
        <v>11</v>
      </c>
      <c r="F1853">
        <v>83257</v>
      </c>
      <c r="G1853">
        <v>0</v>
      </c>
      <c r="H1853" s="2">
        <v>0</v>
      </c>
      <c r="I1853" s="2">
        <v>41170</v>
      </c>
      <c r="J1853">
        <v>56</v>
      </c>
      <c r="K1853">
        <f>VLOOKUP(B1853,purchase_dataset!$B$2:$F$2241,2,FALSE)</f>
        <v>27</v>
      </c>
      <c r="L1853">
        <f>VLOOKUP(B1853,purchase_dataset!$B$2:$F$2241,3,FALSE)</f>
        <v>107</v>
      </c>
      <c r="M1853">
        <f>VLOOKUP(B1853,purchase_dataset!$B$2:$F$2241,3,FALSE)</f>
        <v>107</v>
      </c>
      <c r="N1853">
        <f>VLOOKUP(B1853,purchase_dataset!$B$2:$F$2241,5,FALSE)</f>
        <v>12</v>
      </c>
      <c r="O1853" s="5">
        <v>31</v>
      </c>
      <c r="P1853" s="4" t="str">
        <f t="shared" si="56"/>
        <v>30-50</v>
      </c>
      <c r="Q1853" s="4">
        <f>M1853+N1853</f>
        <v>119</v>
      </c>
      <c r="U1853" s="28" t="str" cm="1">
        <f t="array" ref="U1853">_xlfn.IFS(F1853&lt;30000,"30k",F1853&lt;=50000,"30k-50k",F1853&lt;=75000,"50k-75k",F1853&lt;=100000,"75k-100k",F1853&gt;100000,"100k")</f>
        <v>75k-100k</v>
      </c>
      <c r="W1853" s="1">
        <f t="shared" si="57"/>
        <v>14</v>
      </c>
    </row>
    <row r="1854" spans="1:23" x14ac:dyDescent="0.35">
      <c r="A1854">
        <v>1851</v>
      </c>
      <c r="B1854">
        <v>11148</v>
      </c>
      <c r="C1854">
        <v>1975</v>
      </c>
      <c r="D1854" s="1" t="s">
        <v>10</v>
      </c>
      <c r="E1854" s="1" t="s">
        <v>12</v>
      </c>
      <c r="F1854">
        <v>22280</v>
      </c>
      <c r="G1854">
        <v>1</v>
      </c>
      <c r="H1854" s="2">
        <v>0</v>
      </c>
      <c r="I1854" s="2">
        <v>41413</v>
      </c>
      <c r="J1854">
        <v>85</v>
      </c>
      <c r="K1854">
        <f>VLOOKUP(B1854,purchase_dataset!$B$2:$F$2241,2,FALSE)</f>
        <v>1</v>
      </c>
      <c r="L1854">
        <f>VLOOKUP(B1854,purchase_dataset!$B$2:$F$2241,3,FALSE)</f>
        <v>1</v>
      </c>
      <c r="M1854">
        <f>VLOOKUP(B1854,purchase_dataset!$B$2:$F$2241,3,FALSE)</f>
        <v>1</v>
      </c>
      <c r="N1854">
        <f>VLOOKUP(B1854,purchase_dataset!$B$2:$F$2241,5,FALSE)</f>
        <v>2</v>
      </c>
      <c r="O1854" s="5">
        <v>51</v>
      </c>
      <c r="P1854" s="4" t="str">
        <f t="shared" si="56"/>
        <v>&gt;50</v>
      </c>
      <c r="Q1854" s="4">
        <f>M1854+N1854</f>
        <v>3</v>
      </c>
      <c r="U1854" s="28" t="str" cm="1">
        <f t="array" ref="U1854">_xlfn.IFS(F1854&lt;30000,"30k",F1854&lt;=50000,"30k-50k",F1854&lt;=75000,"50k-75k",F1854&lt;=100000,"75k-100k",F1854&gt;100000,"100k")</f>
        <v>30k</v>
      </c>
      <c r="W1854" s="1">
        <f t="shared" si="57"/>
        <v>13</v>
      </c>
    </row>
    <row r="1855" spans="1:23" x14ac:dyDescent="0.35">
      <c r="A1855">
        <v>1852</v>
      </c>
      <c r="B1855">
        <v>1168</v>
      </c>
      <c r="C1855">
        <v>1978</v>
      </c>
      <c r="D1855" s="1" t="s">
        <v>13</v>
      </c>
      <c r="E1855" s="1" t="s">
        <v>14</v>
      </c>
      <c r="F1855">
        <v>72159</v>
      </c>
      <c r="G1855">
        <v>0</v>
      </c>
      <c r="H1855" s="2">
        <v>0</v>
      </c>
      <c r="I1855" s="2">
        <v>41211</v>
      </c>
      <c r="J1855">
        <v>62</v>
      </c>
      <c r="K1855">
        <f>VLOOKUP(B1855,purchase_dataset!$B$2:$F$2241,2,FALSE)</f>
        <v>53</v>
      </c>
      <c r="L1855">
        <f>VLOOKUP(B1855,purchase_dataset!$B$2:$F$2241,3,FALSE)</f>
        <v>40</v>
      </c>
      <c r="M1855">
        <f>VLOOKUP(B1855,purchase_dataset!$B$2:$F$2241,3,FALSE)</f>
        <v>40</v>
      </c>
      <c r="N1855">
        <f>VLOOKUP(B1855,purchase_dataset!$B$2:$F$2241,5,FALSE)</f>
        <v>10</v>
      </c>
      <c r="O1855" s="5">
        <v>48</v>
      </c>
      <c r="P1855" s="4" t="str">
        <f t="shared" si="56"/>
        <v>30-50</v>
      </c>
      <c r="Q1855" s="4">
        <f>M1855+N1855</f>
        <v>50</v>
      </c>
      <c r="U1855" s="28" t="str" cm="1">
        <f t="array" ref="U1855">_xlfn.IFS(F1855&lt;30000,"30k",F1855&lt;=50000,"30k-50k",F1855&lt;=75000,"50k-75k",F1855&lt;=100000,"75k-100k",F1855&gt;100000,"100k")</f>
        <v>50k-75k</v>
      </c>
      <c r="W1855" s="1">
        <f t="shared" si="57"/>
        <v>14</v>
      </c>
    </row>
    <row r="1856" spans="1:23" x14ac:dyDescent="0.35">
      <c r="A1856">
        <v>1853</v>
      </c>
      <c r="B1856">
        <v>9595</v>
      </c>
      <c r="C1856">
        <v>1961</v>
      </c>
      <c r="D1856" s="1" t="s">
        <v>10</v>
      </c>
      <c r="E1856" s="1" t="s">
        <v>12</v>
      </c>
      <c r="F1856">
        <v>64260</v>
      </c>
      <c r="G1856">
        <v>0</v>
      </c>
      <c r="H1856" s="2">
        <v>0</v>
      </c>
      <c r="I1856" s="2">
        <v>41285</v>
      </c>
      <c r="J1856">
        <v>1</v>
      </c>
      <c r="K1856">
        <f>VLOOKUP(B1856,purchase_dataset!$B$2:$F$2241,2,FALSE)</f>
        <v>169</v>
      </c>
      <c r="L1856">
        <f>VLOOKUP(B1856,purchase_dataset!$B$2:$F$2241,3,FALSE)</f>
        <v>0</v>
      </c>
      <c r="M1856">
        <f>VLOOKUP(B1856,purchase_dataset!$B$2:$F$2241,3,FALSE)</f>
        <v>0</v>
      </c>
      <c r="N1856">
        <f>VLOOKUP(B1856,purchase_dataset!$B$2:$F$2241,5,FALSE)</f>
        <v>4</v>
      </c>
      <c r="O1856" s="5">
        <v>65</v>
      </c>
      <c r="P1856" s="4" t="str">
        <f t="shared" si="56"/>
        <v>&gt;50</v>
      </c>
      <c r="Q1856" s="4">
        <f>M1856+N1856</f>
        <v>4</v>
      </c>
      <c r="U1856" s="28" t="str" cm="1">
        <f t="array" ref="U1856">_xlfn.IFS(F1856&lt;30000,"30k",F1856&lt;=50000,"30k-50k",F1856&lt;=75000,"50k-75k",F1856&lt;=100000,"75k-100k",F1856&gt;100000,"100k")</f>
        <v>50k-75k</v>
      </c>
      <c r="W1856" s="1">
        <f t="shared" si="57"/>
        <v>13</v>
      </c>
    </row>
    <row r="1857" spans="1:23" x14ac:dyDescent="0.35">
      <c r="A1857">
        <v>1854</v>
      </c>
      <c r="B1857">
        <v>10163</v>
      </c>
      <c r="C1857">
        <v>1984</v>
      </c>
      <c r="D1857" s="1" t="s">
        <v>13</v>
      </c>
      <c r="E1857" s="1" t="s">
        <v>11</v>
      </c>
      <c r="F1857">
        <v>82733</v>
      </c>
      <c r="G1857">
        <v>0</v>
      </c>
      <c r="H1857" s="2">
        <v>0</v>
      </c>
      <c r="I1857" s="2">
        <v>41527</v>
      </c>
      <c r="J1857">
        <v>28</v>
      </c>
      <c r="K1857">
        <f>VLOOKUP(B1857,purchase_dataset!$B$2:$F$2241,2,FALSE)</f>
        <v>50</v>
      </c>
      <c r="L1857">
        <f>VLOOKUP(B1857,purchase_dataset!$B$2:$F$2241,3,FALSE)</f>
        <v>38</v>
      </c>
      <c r="M1857">
        <f>VLOOKUP(B1857,purchase_dataset!$B$2:$F$2241,3,FALSE)</f>
        <v>38</v>
      </c>
      <c r="N1857">
        <f>VLOOKUP(B1857,purchase_dataset!$B$2:$F$2241,5,FALSE)</f>
        <v>7</v>
      </c>
      <c r="O1857" s="5">
        <v>42</v>
      </c>
      <c r="P1857" s="4" t="str">
        <f t="shared" si="56"/>
        <v>30-50</v>
      </c>
      <c r="Q1857" s="4">
        <f>M1857+N1857</f>
        <v>45</v>
      </c>
      <c r="U1857" s="28" t="str" cm="1">
        <f t="array" ref="U1857">_xlfn.IFS(F1857&lt;30000,"30k",F1857&lt;=50000,"30k-50k",F1857&lt;=75000,"50k-75k",F1857&lt;=100000,"75k-100k",F1857&gt;100000,"100k")</f>
        <v>75k-100k</v>
      </c>
      <c r="W1857" s="1">
        <f t="shared" si="57"/>
        <v>13</v>
      </c>
    </row>
    <row r="1858" spans="1:23" x14ac:dyDescent="0.35">
      <c r="A1858">
        <v>1855</v>
      </c>
      <c r="B1858">
        <v>2886</v>
      </c>
      <c r="C1858">
        <v>1971</v>
      </c>
      <c r="D1858" s="1" t="s">
        <v>15</v>
      </c>
      <c r="E1858" s="1" t="s">
        <v>16</v>
      </c>
      <c r="F1858">
        <v>74290</v>
      </c>
      <c r="G1858">
        <v>0</v>
      </c>
      <c r="H1858" s="2">
        <v>1</v>
      </c>
      <c r="I1858" s="2">
        <v>41498</v>
      </c>
      <c r="J1858">
        <v>70</v>
      </c>
      <c r="K1858">
        <f>VLOOKUP(B1858,purchase_dataset!$B$2:$F$2241,2,FALSE)</f>
        <v>0</v>
      </c>
      <c r="L1858">
        <f>VLOOKUP(B1858,purchase_dataset!$B$2:$F$2241,3,FALSE)</f>
        <v>12</v>
      </c>
      <c r="M1858">
        <f>VLOOKUP(B1858,purchase_dataset!$B$2:$F$2241,3,FALSE)</f>
        <v>12</v>
      </c>
      <c r="N1858">
        <f>VLOOKUP(B1858,purchase_dataset!$B$2:$F$2241,5,FALSE)</f>
        <v>10</v>
      </c>
      <c r="O1858" s="5">
        <v>55</v>
      </c>
      <c r="P1858" s="4" t="str">
        <f t="shared" si="56"/>
        <v>&gt;50</v>
      </c>
      <c r="Q1858" s="4">
        <f>M1858+N1858</f>
        <v>22</v>
      </c>
      <c r="U1858" s="28" t="str" cm="1">
        <f t="array" ref="U1858">_xlfn.IFS(F1858&lt;30000,"30k",F1858&lt;=50000,"30k-50k",F1858&lt;=75000,"50k-75k",F1858&lt;=100000,"75k-100k",F1858&gt;100000,"100k")</f>
        <v>50k-75k</v>
      </c>
      <c r="W1858" s="1">
        <f t="shared" si="57"/>
        <v>13</v>
      </c>
    </row>
    <row r="1859" spans="1:23" x14ac:dyDescent="0.35">
      <c r="A1859">
        <v>1856</v>
      </c>
      <c r="B1859">
        <v>6710</v>
      </c>
      <c r="C1859">
        <v>1951</v>
      </c>
      <c r="D1859" s="1" t="s">
        <v>15</v>
      </c>
      <c r="E1859" s="1" t="s">
        <v>11</v>
      </c>
      <c r="F1859">
        <v>58217</v>
      </c>
      <c r="G1859">
        <v>2</v>
      </c>
      <c r="H1859" s="2">
        <v>1</v>
      </c>
      <c r="I1859" s="2">
        <v>41230</v>
      </c>
      <c r="J1859">
        <v>84</v>
      </c>
      <c r="K1859">
        <f>VLOOKUP(B1859,purchase_dataset!$B$2:$F$2241,2,FALSE)</f>
        <v>1</v>
      </c>
      <c r="L1859">
        <f>VLOOKUP(B1859,purchase_dataset!$B$2:$F$2241,3,FALSE)</f>
        <v>5</v>
      </c>
      <c r="M1859">
        <f>VLOOKUP(B1859,purchase_dataset!$B$2:$F$2241,3,FALSE)</f>
        <v>5</v>
      </c>
      <c r="N1859">
        <f>VLOOKUP(B1859,purchase_dataset!$B$2:$F$2241,5,FALSE)</f>
        <v>4</v>
      </c>
      <c r="O1859" s="5">
        <v>75</v>
      </c>
      <c r="P1859" s="4" t="str">
        <f t="shared" si="56"/>
        <v>&gt;50</v>
      </c>
      <c r="Q1859" s="4">
        <f>M1859+N1859</f>
        <v>9</v>
      </c>
      <c r="U1859" s="28" t="str" cm="1">
        <f t="array" ref="U1859">_xlfn.IFS(F1859&lt;30000,"30k",F1859&lt;=50000,"30k-50k",F1859&lt;=75000,"50k-75k",F1859&lt;=100000,"75k-100k",F1859&gt;100000,"100k")</f>
        <v>50k-75k</v>
      </c>
      <c r="W1859" s="1">
        <f t="shared" si="57"/>
        <v>14</v>
      </c>
    </row>
    <row r="1860" spans="1:23" x14ac:dyDescent="0.35">
      <c r="A1860">
        <v>1857</v>
      </c>
      <c r="B1860">
        <v>5316</v>
      </c>
      <c r="C1860">
        <v>1976</v>
      </c>
      <c r="D1860" s="1" t="s">
        <v>15</v>
      </c>
      <c r="E1860" s="1" t="s">
        <v>12</v>
      </c>
      <c r="F1860">
        <v>21024</v>
      </c>
      <c r="G1860">
        <v>0</v>
      </c>
      <c r="H1860" s="2">
        <v>0</v>
      </c>
      <c r="I1860" s="2">
        <v>41459</v>
      </c>
      <c r="J1860">
        <v>89</v>
      </c>
      <c r="K1860">
        <f>VLOOKUP(B1860,purchase_dataset!$B$2:$F$2241,2,FALSE)</f>
        <v>4</v>
      </c>
      <c r="L1860">
        <f>VLOOKUP(B1860,purchase_dataset!$B$2:$F$2241,3,FALSE)</f>
        <v>2</v>
      </c>
      <c r="M1860">
        <f>VLOOKUP(B1860,purchase_dataset!$B$2:$F$2241,3,FALSE)</f>
        <v>2</v>
      </c>
      <c r="N1860">
        <f>VLOOKUP(B1860,purchase_dataset!$B$2:$F$2241,5,FALSE)</f>
        <v>4</v>
      </c>
      <c r="O1860" s="5">
        <v>50</v>
      </c>
      <c r="P1860" s="4" t="str">
        <f t="shared" ref="P1860:P1923" si="58">IF(O1860&lt;30,"30",IF(O1860&lt;=50,"30-50","&gt;50"))</f>
        <v>30-50</v>
      </c>
      <c r="Q1860" s="4">
        <f>M1860+N1860</f>
        <v>6</v>
      </c>
      <c r="U1860" s="28" t="str" cm="1">
        <f t="array" ref="U1860">_xlfn.IFS(F1860&lt;30000,"30k",F1860&lt;=50000,"30k-50k",F1860&lt;=75000,"50k-75k",F1860&lt;=100000,"75k-100k",F1860&gt;100000,"100k")</f>
        <v>30k</v>
      </c>
      <c r="W1860" s="1">
        <f t="shared" ref="W1860:W1923" si="59">2026-YEAR(I1860)</f>
        <v>13</v>
      </c>
    </row>
    <row r="1861" spans="1:23" x14ac:dyDescent="0.35">
      <c r="A1861">
        <v>1858</v>
      </c>
      <c r="B1861">
        <v>9029</v>
      </c>
      <c r="C1861">
        <v>1972</v>
      </c>
      <c r="D1861" s="1" t="s">
        <v>13</v>
      </c>
      <c r="E1861" s="1" t="s">
        <v>14</v>
      </c>
      <c r="F1861">
        <v>70116</v>
      </c>
      <c r="G1861">
        <v>0</v>
      </c>
      <c r="H1861" s="2">
        <v>0</v>
      </c>
      <c r="I1861" s="2">
        <v>41300</v>
      </c>
      <c r="J1861">
        <v>73</v>
      </c>
      <c r="K1861">
        <f>VLOOKUP(B1861,purchase_dataset!$B$2:$F$2241,2,FALSE)</f>
        <v>44</v>
      </c>
      <c r="L1861">
        <f>VLOOKUP(B1861,purchase_dataset!$B$2:$F$2241,3,FALSE)</f>
        <v>58</v>
      </c>
      <c r="M1861">
        <f>VLOOKUP(B1861,purchase_dataset!$B$2:$F$2241,3,FALSE)</f>
        <v>58</v>
      </c>
      <c r="N1861">
        <f>VLOOKUP(B1861,purchase_dataset!$B$2:$F$2241,5,FALSE)</f>
        <v>12</v>
      </c>
      <c r="O1861" s="5">
        <v>54</v>
      </c>
      <c r="P1861" s="4" t="str">
        <f t="shared" si="58"/>
        <v>&gt;50</v>
      </c>
      <c r="Q1861" s="4">
        <f>M1861+N1861</f>
        <v>70</v>
      </c>
      <c r="U1861" s="28" t="str" cm="1">
        <f t="array" ref="U1861">_xlfn.IFS(F1861&lt;30000,"30k",F1861&lt;=50000,"30k-50k",F1861&lt;=75000,"50k-75k",F1861&lt;=100000,"75k-100k",F1861&gt;100000,"100k")</f>
        <v>50k-75k</v>
      </c>
      <c r="W1861" s="1">
        <f t="shared" si="59"/>
        <v>13</v>
      </c>
    </row>
    <row r="1862" spans="1:23" x14ac:dyDescent="0.35">
      <c r="A1862">
        <v>1859</v>
      </c>
      <c r="B1862">
        <v>521</v>
      </c>
      <c r="C1862">
        <v>1985</v>
      </c>
      <c r="D1862" s="1" t="s">
        <v>10</v>
      </c>
      <c r="E1862" s="1" t="s">
        <v>12</v>
      </c>
      <c r="F1862">
        <v>54006</v>
      </c>
      <c r="G1862">
        <v>1</v>
      </c>
      <c r="H1862" s="2">
        <v>0</v>
      </c>
      <c r="I1862" s="2">
        <v>41170</v>
      </c>
      <c r="J1862">
        <v>42</v>
      </c>
      <c r="K1862">
        <f>VLOOKUP(B1862,purchase_dataset!$B$2:$F$2241,2,FALSE)</f>
        <v>77</v>
      </c>
      <c r="L1862">
        <f>VLOOKUP(B1862,purchase_dataset!$B$2:$F$2241,3,FALSE)</f>
        <v>24</v>
      </c>
      <c r="M1862">
        <f>VLOOKUP(B1862,purchase_dataset!$B$2:$F$2241,3,FALSE)</f>
        <v>24</v>
      </c>
      <c r="N1862">
        <f>VLOOKUP(B1862,purchase_dataset!$B$2:$F$2241,5,FALSE)</f>
        <v>7</v>
      </c>
      <c r="O1862" s="5">
        <v>41</v>
      </c>
      <c r="P1862" s="4" t="str">
        <f t="shared" si="58"/>
        <v>30-50</v>
      </c>
      <c r="Q1862" s="4">
        <f>M1862+N1862</f>
        <v>31</v>
      </c>
      <c r="U1862" s="28" t="str" cm="1">
        <f t="array" ref="U1862">_xlfn.IFS(F1862&lt;30000,"30k",F1862&lt;=50000,"30k-50k",F1862&lt;=75000,"50k-75k",F1862&lt;=100000,"75k-100k",F1862&gt;100000,"100k")</f>
        <v>50k-75k</v>
      </c>
      <c r="W1862" s="1">
        <f t="shared" si="59"/>
        <v>14</v>
      </c>
    </row>
    <row r="1863" spans="1:23" x14ac:dyDescent="0.35">
      <c r="A1863">
        <v>1860</v>
      </c>
      <c r="B1863">
        <v>1459</v>
      </c>
      <c r="C1863">
        <v>1966</v>
      </c>
      <c r="D1863" s="1" t="s">
        <v>13</v>
      </c>
      <c r="E1863" s="1" t="s">
        <v>14</v>
      </c>
      <c r="F1863">
        <v>69063</v>
      </c>
      <c r="G1863">
        <v>0</v>
      </c>
      <c r="H1863" s="2">
        <v>1</v>
      </c>
      <c r="I1863" s="2">
        <v>41220</v>
      </c>
      <c r="J1863">
        <v>16</v>
      </c>
      <c r="K1863">
        <f>VLOOKUP(B1863,purchase_dataset!$B$2:$F$2241,2,FALSE)</f>
        <v>35</v>
      </c>
      <c r="L1863">
        <f>VLOOKUP(B1863,purchase_dataset!$B$2:$F$2241,3,FALSE)</f>
        <v>8</v>
      </c>
      <c r="M1863">
        <f>VLOOKUP(B1863,purchase_dataset!$B$2:$F$2241,3,FALSE)</f>
        <v>8</v>
      </c>
      <c r="N1863">
        <f>VLOOKUP(B1863,purchase_dataset!$B$2:$F$2241,5,FALSE)</f>
        <v>5</v>
      </c>
      <c r="O1863" s="5">
        <v>60</v>
      </c>
      <c r="P1863" s="4" t="str">
        <f t="shared" si="58"/>
        <v>&gt;50</v>
      </c>
      <c r="Q1863" s="4">
        <f>M1863+N1863</f>
        <v>13</v>
      </c>
      <c r="U1863" s="28" t="str" cm="1">
        <f t="array" ref="U1863">_xlfn.IFS(F1863&lt;30000,"30k",F1863&lt;=50000,"30k-50k",F1863&lt;=75000,"50k-75k",F1863&lt;=100000,"75k-100k",F1863&gt;100000,"100k")</f>
        <v>50k-75k</v>
      </c>
      <c r="W1863" s="1">
        <f t="shared" si="59"/>
        <v>14</v>
      </c>
    </row>
    <row r="1864" spans="1:23" x14ac:dyDescent="0.35">
      <c r="A1864">
        <v>1861</v>
      </c>
      <c r="B1864">
        <v>10241</v>
      </c>
      <c r="C1864">
        <v>1975</v>
      </c>
      <c r="D1864" s="1" t="s">
        <v>18</v>
      </c>
      <c r="E1864" s="1" t="s">
        <v>16</v>
      </c>
      <c r="F1864">
        <v>11448</v>
      </c>
      <c r="G1864">
        <v>0</v>
      </c>
      <c r="H1864" s="2">
        <v>0</v>
      </c>
      <c r="I1864" s="2">
        <v>41623</v>
      </c>
      <c r="J1864">
        <v>16</v>
      </c>
      <c r="K1864">
        <f>VLOOKUP(B1864,purchase_dataset!$B$2:$F$2241,2,FALSE)</f>
        <v>0</v>
      </c>
      <c r="L1864">
        <f>VLOOKUP(B1864,purchase_dataset!$B$2:$F$2241,3,FALSE)</f>
        <v>2</v>
      </c>
      <c r="M1864">
        <f>VLOOKUP(B1864,purchase_dataset!$B$2:$F$2241,3,FALSE)</f>
        <v>2</v>
      </c>
      <c r="N1864">
        <f>VLOOKUP(B1864,purchase_dataset!$B$2:$F$2241,5,FALSE)</f>
        <v>2</v>
      </c>
      <c r="O1864" s="5">
        <v>51</v>
      </c>
      <c r="P1864" s="4" t="str">
        <f t="shared" si="58"/>
        <v>&gt;50</v>
      </c>
      <c r="Q1864" s="4">
        <f>M1864+N1864</f>
        <v>4</v>
      </c>
      <c r="U1864" s="28" t="str" cm="1">
        <f t="array" ref="U1864">_xlfn.IFS(F1864&lt;30000,"30k",F1864&lt;=50000,"30k-50k",F1864&lt;=75000,"50k-75k",F1864&lt;=100000,"75k-100k",F1864&gt;100000,"100k")</f>
        <v>30k</v>
      </c>
      <c r="W1864" s="1">
        <f t="shared" si="59"/>
        <v>13</v>
      </c>
    </row>
    <row r="1865" spans="1:23" x14ac:dyDescent="0.35">
      <c r="A1865">
        <v>1862</v>
      </c>
      <c r="B1865">
        <v>1630</v>
      </c>
      <c r="C1865">
        <v>1979</v>
      </c>
      <c r="D1865" s="1" t="s">
        <v>10</v>
      </c>
      <c r="E1865" s="1" t="s">
        <v>11</v>
      </c>
      <c r="F1865">
        <v>61825</v>
      </c>
      <c r="G1865">
        <v>0</v>
      </c>
      <c r="H1865" s="2">
        <v>1</v>
      </c>
      <c r="I1865" s="2">
        <v>41493</v>
      </c>
      <c r="J1865">
        <v>56</v>
      </c>
      <c r="K1865">
        <f>VLOOKUP(B1865,purchase_dataset!$B$2:$F$2241,2,FALSE)</f>
        <v>50</v>
      </c>
      <c r="L1865">
        <f>VLOOKUP(B1865,purchase_dataset!$B$2:$F$2241,3,FALSE)</f>
        <v>30</v>
      </c>
      <c r="M1865">
        <f>VLOOKUP(B1865,purchase_dataset!$B$2:$F$2241,3,FALSE)</f>
        <v>30</v>
      </c>
      <c r="N1865">
        <f>VLOOKUP(B1865,purchase_dataset!$B$2:$F$2241,5,FALSE)</f>
        <v>8</v>
      </c>
      <c r="O1865" s="5">
        <v>47</v>
      </c>
      <c r="P1865" s="4" t="str">
        <f t="shared" si="58"/>
        <v>30-50</v>
      </c>
      <c r="Q1865" s="4">
        <f>M1865+N1865</f>
        <v>38</v>
      </c>
      <c r="U1865" s="28" t="str" cm="1">
        <f t="array" ref="U1865">_xlfn.IFS(F1865&lt;30000,"30k",F1865&lt;=50000,"30k-50k",F1865&lt;=75000,"50k-75k",F1865&lt;=100000,"75k-100k",F1865&gt;100000,"100k")</f>
        <v>50k-75k</v>
      </c>
      <c r="W1865" s="1">
        <f t="shared" si="59"/>
        <v>13</v>
      </c>
    </row>
    <row r="1866" spans="1:23" x14ac:dyDescent="0.35">
      <c r="A1866">
        <v>1863</v>
      </c>
      <c r="B1866">
        <v>3254</v>
      </c>
      <c r="C1866">
        <v>1971</v>
      </c>
      <c r="D1866" s="1" t="s">
        <v>10</v>
      </c>
      <c r="E1866" s="1" t="s">
        <v>14</v>
      </c>
      <c r="F1866">
        <v>70886</v>
      </c>
      <c r="G1866">
        <v>1</v>
      </c>
      <c r="H1866" s="2">
        <v>0</v>
      </c>
      <c r="I1866" s="2">
        <v>41561</v>
      </c>
      <c r="J1866">
        <v>65</v>
      </c>
      <c r="K1866">
        <f>VLOOKUP(B1866,purchase_dataset!$B$2:$F$2241,2,FALSE)</f>
        <v>70</v>
      </c>
      <c r="L1866">
        <f>VLOOKUP(B1866,purchase_dataset!$B$2:$F$2241,3,FALSE)</f>
        <v>88</v>
      </c>
      <c r="M1866">
        <f>VLOOKUP(B1866,purchase_dataset!$B$2:$F$2241,3,FALSE)</f>
        <v>88</v>
      </c>
      <c r="N1866">
        <f>VLOOKUP(B1866,purchase_dataset!$B$2:$F$2241,5,FALSE)</f>
        <v>4</v>
      </c>
      <c r="O1866" s="5">
        <v>55</v>
      </c>
      <c r="P1866" s="4" t="str">
        <f t="shared" si="58"/>
        <v>&gt;50</v>
      </c>
      <c r="Q1866" s="4">
        <f>M1866+N1866</f>
        <v>92</v>
      </c>
      <c r="U1866" s="28" t="str" cm="1">
        <f t="array" ref="U1866">_xlfn.IFS(F1866&lt;30000,"30k",F1866&lt;=50000,"30k-50k",F1866&lt;=75000,"50k-75k",F1866&lt;=100000,"75k-100k",F1866&gt;100000,"100k")</f>
        <v>50k-75k</v>
      </c>
      <c r="W1866" s="1">
        <f t="shared" si="59"/>
        <v>13</v>
      </c>
    </row>
    <row r="1867" spans="1:23" x14ac:dyDescent="0.35">
      <c r="A1867">
        <v>1864</v>
      </c>
      <c r="B1867">
        <v>9064</v>
      </c>
      <c r="C1867">
        <v>1982</v>
      </c>
      <c r="D1867" s="1" t="s">
        <v>10</v>
      </c>
      <c r="E1867" s="1" t="s">
        <v>14</v>
      </c>
      <c r="F1867">
        <v>69109</v>
      </c>
      <c r="G1867">
        <v>0</v>
      </c>
      <c r="H1867" s="2">
        <v>0</v>
      </c>
      <c r="I1867" s="2">
        <v>41222</v>
      </c>
      <c r="J1867">
        <v>10</v>
      </c>
      <c r="K1867">
        <f>VLOOKUP(B1867,purchase_dataset!$B$2:$F$2241,2,FALSE)</f>
        <v>25</v>
      </c>
      <c r="L1867">
        <f>VLOOKUP(B1867,purchase_dataset!$B$2:$F$2241,3,FALSE)</f>
        <v>29</v>
      </c>
      <c r="M1867">
        <f>VLOOKUP(B1867,purchase_dataset!$B$2:$F$2241,3,FALSE)</f>
        <v>29</v>
      </c>
      <c r="N1867">
        <f>VLOOKUP(B1867,purchase_dataset!$B$2:$F$2241,5,FALSE)</f>
        <v>7</v>
      </c>
      <c r="O1867" s="5">
        <v>44</v>
      </c>
      <c r="P1867" s="4" t="str">
        <f t="shared" si="58"/>
        <v>30-50</v>
      </c>
      <c r="Q1867" s="4">
        <f>M1867+N1867</f>
        <v>36</v>
      </c>
      <c r="U1867" s="28" t="str" cm="1">
        <f t="array" ref="U1867">_xlfn.IFS(F1867&lt;30000,"30k",F1867&lt;=50000,"30k-50k",F1867&lt;=75000,"50k-75k",F1867&lt;=100000,"75k-100k",F1867&gt;100000,"100k")</f>
        <v>50k-75k</v>
      </c>
      <c r="W1867" s="1">
        <f t="shared" si="59"/>
        <v>14</v>
      </c>
    </row>
    <row r="1868" spans="1:23" x14ac:dyDescent="0.35">
      <c r="A1868">
        <v>1865</v>
      </c>
      <c r="B1868">
        <v>3678</v>
      </c>
      <c r="C1868">
        <v>1973</v>
      </c>
      <c r="D1868" s="1" t="s">
        <v>10</v>
      </c>
      <c r="E1868" s="1" t="s">
        <v>19</v>
      </c>
      <c r="F1868">
        <v>60208</v>
      </c>
      <c r="G1868">
        <v>1</v>
      </c>
      <c r="H1868" s="2">
        <v>1</v>
      </c>
      <c r="I1868" s="2">
        <v>41189</v>
      </c>
      <c r="J1868">
        <v>13</v>
      </c>
      <c r="K1868">
        <f>VLOOKUP(B1868,purchase_dataset!$B$2:$F$2241,2,FALSE)</f>
        <v>23</v>
      </c>
      <c r="L1868">
        <f>VLOOKUP(B1868,purchase_dataset!$B$2:$F$2241,3,FALSE)</f>
        <v>0</v>
      </c>
      <c r="M1868">
        <f>VLOOKUP(B1868,purchase_dataset!$B$2:$F$2241,3,FALSE)</f>
        <v>0</v>
      </c>
      <c r="N1868">
        <f>VLOOKUP(B1868,purchase_dataset!$B$2:$F$2241,5,FALSE)</f>
        <v>7</v>
      </c>
      <c r="O1868" s="5">
        <v>53</v>
      </c>
      <c r="P1868" s="4" t="str">
        <f t="shared" si="58"/>
        <v>&gt;50</v>
      </c>
      <c r="Q1868" s="4">
        <f>M1868+N1868</f>
        <v>7</v>
      </c>
      <c r="U1868" s="28" t="str" cm="1">
        <f t="array" ref="U1868">_xlfn.IFS(F1868&lt;30000,"30k",F1868&lt;=50000,"30k-50k",F1868&lt;=75000,"50k-75k",F1868&lt;=100000,"75k-100k",F1868&gt;100000,"100k")</f>
        <v>50k-75k</v>
      </c>
      <c r="W1868" s="1">
        <f t="shared" si="59"/>
        <v>14</v>
      </c>
    </row>
    <row r="1869" spans="1:23" x14ac:dyDescent="0.35">
      <c r="A1869">
        <v>1866</v>
      </c>
      <c r="B1869">
        <v>4227</v>
      </c>
      <c r="C1869">
        <v>1968</v>
      </c>
      <c r="D1869" s="1" t="s">
        <v>15</v>
      </c>
      <c r="E1869" s="1" t="s">
        <v>12</v>
      </c>
      <c r="F1869">
        <v>32889</v>
      </c>
      <c r="G1869">
        <v>1</v>
      </c>
      <c r="H1869" s="2">
        <v>1</v>
      </c>
      <c r="I1869" s="2">
        <v>41523</v>
      </c>
      <c r="J1869">
        <v>78</v>
      </c>
      <c r="K1869">
        <f>VLOOKUP(B1869,purchase_dataset!$B$2:$F$2241,2,FALSE)</f>
        <v>0</v>
      </c>
      <c r="L1869">
        <f>VLOOKUP(B1869,purchase_dataset!$B$2:$F$2241,3,FALSE)</f>
        <v>2</v>
      </c>
      <c r="M1869">
        <f>VLOOKUP(B1869,purchase_dataset!$B$2:$F$2241,3,FALSE)</f>
        <v>2</v>
      </c>
      <c r="N1869">
        <f>VLOOKUP(B1869,purchase_dataset!$B$2:$F$2241,5,FALSE)</f>
        <v>3</v>
      </c>
      <c r="O1869" s="5">
        <v>58</v>
      </c>
      <c r="P1869" s="4" t="str">
        <f t="shared" si="58"/>
        <v>&gt;50</v>
      </c>
      <c r="Q1869" s="4">
        <f>M1869+N1869</f>
        <v>5</v>
      </c>
      <c r="U1869" s="28" t="str" cm="1">
        <f t="array" ref="U1869">_xlfn.IFS(F1869&lt;30000,"30k",F1869&lt;=50000,"30k-50k",F1869&lt;=75000,"50k-75k",F1869&lt;=100000,"75k-100k",F1869&gt;100000,"100k")</f>
        <v>30k-50k</v>
      </c>
      <c r="W1869" s="1">
        <f t="shared" si="59"/>
        <v>13</v>
      </c>
    </row>
    <row r="1870" spans="1:23" x14ac:dyDescent="0.35">
      <c r="A1870">
        <v>1867</v>
      </c>
      <c r="B1870">
        <v>9467</v>
      </c>
      <c r="C1870">
        <v>1984</v>
      </c>
      <c r="D1870" s="1" t="s">
        <v>10</v>
      </c>
      <c r="E1870" s="1" t="s">
        <v>11</v>
      </c>
      <c r="F1870">
        <v>34738</v>
      </c>
      <c r="G1870">
        <v>1</v>
      </c>
      <c r="H1870" s="2">
        <v>0</v>
      </c>
      <c r="I1870" s="2">
        <v>41770</v>
      </c>
      <c r="J1870">
        <v>51</v>
      </c>
      <c r="K1870">
        <f>VLOOKUP(B1870,purchase_dataset!$B$2:$F$2241,2,FALSE)</f>
        <v>2</v>
      </c>
      <c r="L1870">
        <f>VLOOKUP(B1870,purchase_dataset!$B$2:$F$2241,3,FALSE)</f>
        <v>0</v>
      </c>
      <c r="M1870">
        <f>VLOOKUP(B1870,purchase_dataset!$B$2:$F$2241,3,FALSE)</f>
        <v>0</v>
      </c>
      <c r="N1870">
        <f>VLOOKUP(B1870,purchase_dataset!$B$2:$F$2241,5,FALSE)</f>
        <v>3</v>
      </c>
      <c r="O1870" s="5">
        <v>42</v>
      </c>
      <c r="P1870" s="4" t="str">
        <f t="shared" si="58"/>
        <v>30-50</v>
      </c>
      <c r="Q1870" s="4">
        <f>M1870+N1870</f>
        <v>3</v>
      </c>
      <c r="U1870" s="28" t="str" cm="1">
        <f t="array" ref="U1870">_xlfn.IFS(F1870&lt;30000,"30k",F1870&lt;=50000,"30k-50k",F1870&lt;=75000,"50k-75k",F1870&lt;=100000,"75k-100k",F1870&gt;100000,"100k")</f>
        <v>30k-50k</v>
      </c>
      <c r="W1870" s="1">
        <f t="shared" si="59"/>
        <v>12</v>
      </c>
    </row>
    <row r="1871" spans="1:23" x14ac:dyDescent="0.35">
      <c r="A1871">
        <v>1868</v>
      </c>
      <c r="B1871">
        <v>8486</v>
      </c>
      <c r="C1871">
        <v>1971</v>
      </c>
      <c r="D1871" s="1" t="s">
        <v>15</v>
      </c>
      <c r="E1871" s="1" t="s">
        <v>12</v>
      </c>
      <c r="F1871">
        <v>30538</v>
      </c>
      <c r="G1871">
        <v>1</v>
      </c>
      <c r="H1871" s="2">
        <v>0</v>
      </c>
      <c r="I1871" s="2">
        <v>41183</v>
      </c>
      <c r="J1871">
        <v>27</v>
      </c>
      <c r="K1871">
        <f>VLOOKUP(B1871,purchase_dataset!$B$2:$F$2241,2,FALSE)</f>
        <v>0</v>
      </c>
      <c r="L1871">
        <f>VLOOKUP(B1871,purchase_dataset!$B$2:$F$2241,3,FALSE)</f>
        <v>3</v>
      </c>
      <c r="M1871">
        <f>VLOOKUP(B1871,purchase_dataset!$B$2:$F$2241,3,FALSE)</f>
        <v>3</v>
      </c>
      <c r="N1871">
        <f>VLOOKUP(B1871,purchase_dataset!$B$2:$F$2241,5,FALSE)</f>
        <v>4</v>
      </c>
      <c r="O1871" s="5">
        <v>55</v>
      </c>
      <c r="P1871" s="4" t="str">
        <f t="shared" si="58"/>
        <v>&gt;50</v>
      </c>
      <c r="Q1871" s="4">
        <f>M1871+N1871</f>
        <v>7</v>
      </c>
      <c r="U1871" s="28" t="str" cm="1">
        <f t="array" ref="U1871">_xlfn.IFS(F1871&lt;30000,"30k",F1871&lt;=50000,"30k-50k",F1871&lt;=75000,"50k-75k",F1871&lt;=100000,"75k-100k",F1871&gt;100000,"100k")</f>
        <v>30k-50k</v>
      </c>
      <c r="W1871" s="1">
        <f t="shared" si="59"/>
        <v>14</v>
      </c>
    </row>
    <row r="1872" spans="1:23" x14ac:dyDescent="0.35">
      <c r="A1872">
        <v>1869</v>
      </c>
      <c r="B1872">
        <v>2186</v>
      </c>
      <c r="C1872">
        <v>1977</v>
      </c>
      <c r="D1872" s="1" t="s">
        <v>18</v>
      </c>
      <c r="E1872" s="1" t="s">
        <v>12</v>
      </c>
      <c r="F1872">
        <v>82326</v>
      </c>
      <c r="G1872">
        <v>0</v>
      </c>
      <c r="H1872" s="2">
        <v>0</v>
      </c>
      <c r="I1872" s="2">
        <v>41708</v>
      </c>
      <c r="J1872">
        <v>30</v>
      </c>
      <c r="K1872">
        <f>VLOOKUP(B1872,purchase_dataset!$B$2:$F$2241,2,FALSE)</f>
        <v>142</v>
      </c>
      <c r="L1872">
        <f>VLOOKUP(B1872,purchase_dataset!$B$2:$F$2241,3,FALSE)</f>
        <v>81</v>
      </c>
      <c r="M1872">
        <f>VLOOKUP(B1872,purchase_dataset!$B$2:$F$2241,3,FALSE)</f>
        <v>81</v>
      </c>
      <c r="N1872">
        <f>VLOOKUP(B1872,purchase_dataset!$B$2:$F$2241,5,FALSE)</f>
        <v>6</v>
      </c>
      <c r="O1872" s="5">
        <v>49</v>
      </c>
      <c r="P1872" s="4" t="str">
        <f t="shared" si="58"/>
        <v>30-50</v>
      </c>
      <c r="Q1872" s="4">
        <f>M1872+N1872</f>
        <v>87</v>
      </c>
      <c r="U1872" s="28" t="str" cm="1">
        <f t="array" ref="U1872">_xlfn.IFS(F1872&lt;30000,"30k",F1872&lt;=50000,"30k-50k",F1872&lt;=75000,"50k-75k",F1872&lt;=100000,"75k-100k",F1872&gt;100000,"100k")</f>
        <v>75k-100k</v>
      </c>
      <c r="W1872" s="1">
        <f t="shared" si="59"/>
        <v>12</v>
      </c>
    </row>
    <row r="1873" spans="1:23" x14ac:dyDescent="0.35">
      <c r="A1873">
        <v>1870</v>
      </c>
      <c r="B1873">
        <v>3286</v>
      </c>
      <c r="C1873">
        <v>1967</v>
      </c>
      <c r="D1873" s="1" t="s">
        <v>13</v>
      </c>
      <c r="E1873" s="1" t="s">
        <v>16</v>
      </c>
      <c r="F1873">
        <v>26642</v>
      </c>
      <c r="G1873">
        <v>1</v>
      </c>
      <c r="H1873" s="2">
        <v>0</v>
      </c>
      <c r="I1873" s="2">
        <v>41699</v>
      </c>
      <c r="J1873">
        <v>71</v>
      </c>
      <c r="K1873">
        <f>VLOOKUP(B1873,purchase_dataset!$B$2:$F$2241,2,FALSE)</f>
        <v>2</v>
      </c>
      <c r="L1873">
        <f>VLOOKUP(B1873,purchase_dataset!$B$2:$F$2241,3,FALSE)</f>
        <v>2</v>
      </c>
      <c r="M1873">
        <f>VLOOKUP(B1873,purchase_dataset!$B$2:$F$2241,3,FALSE)</f>
        <v>2</v>
      </c>
      <c r="N1873">
        <f>VLOOKUP(B1873,purchase_dataset!$B$2:$F$2241,5,FALSE)</f>
        <v>3</v>
      </c>
      <c r="O1873" s="5">
        <v>59</v>
      </c>
      <c r="P1873" s="4" t="str">
        <f t="shared" si="58"/>
        <v>&gt;50</v>
      </c>
      <c r="Q1873" s="4">
        <f>M1873+N1873</f>
        <v>5</v>
      </c>
      <c r="U1873" s="28" t="str" cm="1">
        <f t="array" ref="U1873">_xlfn.IFS(F1873&lt;30000,"30k",F1873&lt;=50000,"30k-50k",F1873&lt;=75000,"50k-75k",F1873&lt;=100000,"75k-100k",F1873&gt;100000,"100k")</f>
        <v>30k</v>
      </c>
      <c r="W1873" s="1">
        <f t="shared" si="59"/>
        <v>12</v>
      </c>
    </row>
    <row r="1874" spans="1:23" x14ac:dyDescent="0.35">
      <c r="A1874">
        <v>1871</v>
      </c>
      <c r="B1874">
        <v>8602</v>
      </c>
      <c r="C1874">
        <v>1964</v>
      </c>
      <c r="D1874" s="1" t="s">
        <v>10</v>
      </c>
      <c r="E1874" s="1" t="s">
        <v>16</v>
      </c>
      <c r="F1874">
        <v>69932</v>
      </c>
      <c r="G1874">
        <v>0</v>
      </c>
      <c r="H1874" s="2">
        <v>1</v>
      </c>
      <c r="I1874" s="2">
        <v>41437</v>
      </c>
      <c r="J1874">
        <v>97</v>
      </c>
      <c r="K1874">
        <f>VLOOKUP(B1874,purchase_dataset!$B$2:$F$2241,2,FALSE)</f>
        <v>172</v>
      </c>
      <c r="L1874">
        <f>VLOOKUP(B1874,purchase_dataset!$B$2:$F$2241,3,FALSE)</f>
        <v>105</v>
      </c>
      <c r="M1874">
        <f>VLOOKUP(B1874,purchase_dataset!$B$2:$F$2241,3,FALSE)</f>
        <v>105</v>
      </c>
      <c r="N1874">
        <f>VLOOKUP(B1874,purchase_dataset!$B$2:$F$2241,5,FALSE)</f>
        <v>11</v>
      </c>
      <c r="O1874" s="5">
        <v>62</v>
      </c>
      <c r="P1874" s="4" t="str">
        <f t="shared" si="58"/>
        <v>&gt;50</v>
      </c>
      <c r="Q1874" s="4">
        <f>M1874+N1874</f>
        <v>116</v>
      </c>
      <c r="U1874" s="28" t="str" cm="1">
        <f t="array" ref="U1874">_xlfn.IFS(F1874&lt;30000,"30k",F1874&lt;=50000,"30k-50k",F1874&lt;=75000,"50k-75k",F1874&lt;=100000,"75k-100k",F1874&gt;100000,"100k")</f>
        <v>50k-75k</v>
      </c>
      <c r="W1874" s="1">
        <f t="shared" si="59"/>
        <v>13</v>
      </c>
    </row>
    <row r="1875" spans="1:23" x14ac:dyDescent="0.35">
      <c r="A1875">
        <v>1872</v>
      </c>
      <c r="B1875">
        <v>3722</v>
      </c>
      <c r="C1875">
        <v>1972</v>
      </c>
      <c r="D1875" s="1" t="s">
        <v>10</v>
      </c>
      <c r="E1875" s="1" t="s">
        <v>11</v>
      </c>
      <c r="F1875">
        <v>44503</v>
      </c>
      <c r="G1875">
        <v>1</v>
      </c>
      <c r="H1875" s="2">
        <v>1</v>
      </c>
      <c r="I1875" s="2">
        <v>41745</v>
      </c>
      <c r="J1875">
        <v>83</v>
      </c>
      <c r="K1875">
        <f>VLOOKUP(B1875,purchase_dataset!$B$2:$F$2241,2,FALSE)</f>
        <v>1</v>
      </c>
      <c r="L1875">
        <f>VLOOKUP(B1875,purchase_dataset!$B$2:$F$2241,3,FALSE)</f>
        <v>0</v>
      </c>
      <c r="M1875">
        <f>VLOOKUP(B1875,purchase_dataset!$B$2:$F$2241,3,FALSE)</f>
        <v>0</v>
      </c>
      <c r="N1875">
        <f>VLOOKUP(B1875,purchase_dataset!$B$2:$F$2241,5,FALSE)</f>
        <v>3</v>
      </c>
      <c r="O1875" s="5">
        <v>54</v>
      </c>
      <c r="P1875" s="4" t="str">
        <f t="shared" si="58"/>
        <v>&gt;50</v>
      </c>
      <c r="Q1875" s="4">
        <f>M1875+N1875</f>
        <v>3</v>
      </c>
      <c r="U1875" s="28" t="str" cm="1">
        <f t="array" ref="U1875">_xlfn.IFS(F1875&lt;30000,"30k",F1875&lt;=50000,"30k-50k",F1875&lt;=75000,"50k-75k",F1875&lt;=100000,"75k-100k",F1875&gt;100000,"100k")</f>
        <v>30k-50k</v>
      </c>
      <c r="W1875" s="1">
        <f t="shared" si="59"/>
        <v>12</v>
      </c>
    </row>
    <row r="1876" spans="1:23" x14ac:dyDescent="0.35">
      <c r="A1876">
        <v>1873</v>
      </c>
      <c r="B1876">
        <v>6715</v>
      </c>
      <c r="C1876">
        <v>1948</v>
      </c>
      <c r="D1876" s="1" t="s">
        <v>13</v>
      </c>
      <c r="E1876" s="1" t="s">
        <v>11</v>
      </c>
      <c r="F1876">
        <v>60200</v>
      </c>
      <c r="G1876">
        <v>0</v>
      </c>
      <c r="H1876" s="2">
        <v>1</v>
      </c>
      <c r="I1876" s="2">
        <v>41276</v>
      </c>
      <c r="J1876">
        <v>3</v>
      </c>
      <c r="K1876">
        <f>VLOOKUP(B1876,purchase_dataset!$B$2:$F$2241,2,FALSE)</f>
        <v>19</v>
      </c>
      <c r="L1876">
        <f>VLOOKUP(B1876,purchase_dataset!$B$2:$F$2241,3,FALSE)</f>
        <v>6</v>
      </c>
      <c r="M1876">
        <f>VLOOKUP(B1876,purchase_dataset!$B$2:$F$2241,3,FALSE)</f>
        <v>6</v>
      </c>
      <c r="N1876">
        <f>VLOOKUP(B1876,purchase_dataset!$B$2:$F$2241,5,FALSE)</f>
        <v>11</v>
      </c>
      <c r="O1876" s="5">
        <v>78</v>
      </c>
      <c r="P1876" s="4" t="str">
        <f t="shared" si="58"/>
        <v>&gt;50</v>
      </c>
      <c r="Q1876" s="4">
        <f>M1876+N1876</f>
        <v>17</v>
      </c>
      <c r="U1876" s="28" t="str" cm="1">
        <f t="array" ref="U1876">_xlfn.IFS(F1876&lt;30000,"30k",F1876&lt;=50000,"30k-50k",F1876&lt;=75000,"50k-75k",F1876&lt;=100000,"75k-100k",F1876&gt;100000,"100k")</f>
        <v>50k-75k</v>
      </c>
      <c r="W1876" s="1">
        <f t="shared" si="59"/>
        <v>13</v>
      </c>
    </row>
    <row r="1877" spans="1:23" x14ac:dyDescent="0.35">
      <c r="A1877">
        <v>1874</v>
      </c>
      <c r="B1877">
        <v>4796</v>
      </c>
      <c r="C1877">
        <v>1952</v>
      </c>
      <c r="D1877" s="1" t="s">
        <v>10</v>
      </c>
      <c r="E1877" s="1" t="s">
        <v>16</v>
      </c>
      <c r="F1877">
        <v>49638</v>
      </c>
      <c r="G1877">
        <v>0</v>
      </c>
      <c r="H1877" s="2">
        <v>1</v>
      </c>
      <c r="I1877" s="2">
        <v>41748</v>
      </c>
      <c r="J1877">
        <v>71</v>
      </c>
      <c r="K1877">
        <f>VLOOKUP(B1877,purchase_dataset!$B$2:$F$2241,2,FALSE)</f>
        <v>10</v>
      </c>
      <c r="L1877">
        <f>VLOOKUP(B1877,purchase_dataset!$B$2:$F$2241,3,FALSE)</f>
        <v>5</v>
      </c>
      <c r="M1877">
        <f>VLOOKUP(B1877,purchase_dataset!$B$2:$F$2241,3,FALSE)</f>
        <v>5</v>
      </c>
      <c r="N1877">
        <f>VLOOKUP(B1877,purchase_dataset!$B$2:$F$2241,5,FALSE)</f>
        <v>3</v>
      </c>
      <c r="O1877" s="5">
        <v>74</v>
      </c>
      <c r="P1877" s="4" t="str">
        <f t="shared" si="58"/>
        <v>&gt;50</v>
      </c>
      <c r="Q1877" s="4">
        <f>M1877+N1877</f>
        <v>8</v>
      </c>
      <c r="U1877" s="28" t="str" cm="1">
        <f t="array" ref="U1877">_xlfn.IFS(F1877&lt;30000,"30k",F1877&lt;=50000,"30k-50k",F1877&lt;=75000,"50k-75k",F1877&lt;=100000,"75k-100k",F1877&gt;100000,"100k")</f>
        <v>30k-50k</v>
      </c>
      <c r="W1877" s="1">
        <f t="shared" si="59"/>
        <v>12</v>
      </c>
    </row>
    <row r="1878" spans="1:23" x14ac:dyDescent="0.35">
      <c r="A1878">
        <v>1875</v>
      </c>
      <c r="B1878">
        <v>9612</v>
      </c>
      <c r="C1878">
        <v>1987</v>
      </c>
      <c r="D1878" s="1" t="s">
        <v>18</v>
      </c>
      <c r="E1878" s="1" t="s">
        <v>11</v>
      </c>
      <c r="F1878">
        <v>23830</v>
      </c>
      <c r="G1878">
        <v>0</v>
      </c>
      <c r="H1878" s="2">
        <v>0</v>
      </c>
      <c r="I1878" s="2">
        <v>41677</v>
      </c>
      <c r="J1878">
        <v>3</v>
      </c>
      <c r="K1878">
        <f>VLOOKUP(B1878,purchase_dataset!$B$2:$F$2241,2,FALSE)</f>
        <v>8</v>
      </c>
      <c r="L1878">
        <f>VLOOKUP(B1878,purchase_dataset!$B$2:$F$2241,3,FALSE)</f>
        <v>8</v>
      </c>
      <c r="M1878">
        <f>VLOOKUP(B1878,purchase_dataset!$B$2:$F$2241,3,FALSE)</f>
        <v>8</v>
      </c>
      <c r="N1878">
        <f>VLOOKUP(B1878,purchase_dataset!$B$2:$F$2241,5,FALSE)</f>
        <v>3</v>
      </c>
      <c r="O1878" s="5">
        <v>39</v>
      </c>
      <c r="P1878" s="4" t="str">
        <f t="shared" si="58"/>
        <v>30-50</v>
      </c>
      <c r="Q1878" s="4">
        <f>M1878+N1878</f>
        <v>11</v>
      </c>
      <c r="U1878" s="28" t="str" cm="1">
        <f t="array" ref="U1878">_xlfn.IFS(F1878&lt;30000,"30k",F1878&lt;=50000,"30k-50k",F1878&lt;=75000,"50k-75k",F1878&lt;=100000,"75k-100k",F1878&gt;100000,"100k")</f>
        <v>30k</v>
      </c>
      <c r="W1878" s="1">
        <f t="shared" si="59"/>
        <v>12</v>
      </c>
    </row>
    <row r="1879" spans="1:23" x14ac:dyDescent="0.35">
      <c r="A1879">
        <v>1876</v>
      </c>
      <c r="B1879">
        <v>3766</v>
      </c>
      <c r="C1879">
        <v>1959</v>
      </c>
      <c r="D1879" s="1" t="s">
        <v>15</v>
      </c>
      <c r="E1879" s="1" t="s">
        <v>19</v>
      </c>
      <c r="F1879">
        <v>33051</v>
      </c>
      <c r="G1879">
        <v>0</v>
      </c>
      <c r="H1879" s="2">
        <v>0</v>
      </c>
      <c r="I1879" s="2">
        <v>41137</v>
      </c>
      <c r="J1879">
        <v>15</v>
      </c>
      <c r="K1879">
        <f>VLOOKUP(B1879,purchase_dataset!$B$2:$F$2241,2,FALSE)</f>
        <v>71</v>
      </c>
      <c r="L1879">
        <f>VLOOKUP(B1879,purchase_dataset!$B$2:$F$2241,3,FALSE)</f>
        <v>94</v>
      </c>
      <c r="M1879">
        <f>VLOOKUP(B1879,purchase_dataset!$B$2:$F$2241,3,FALSE)</f>
        <v>94</v>
      </c>
      <c r="N1879">
        <f>VLOOKUP(B1879,purchase_dataset!$B$2:$F$2241,5,FALSE)</f>
        <v>8</v>
      </c>
      <c r="O1879" s="5">
        <v>67</v>
      </c>
      <c r="P1879" s="4" t="str">
        <f t="shared" si="58"/>
        <v>&gt;50</v>
      </c>
      <c r="Q1879" s="4">
        <f>M1879+N1879</f>
        <v>102</v>
      </c>
      <c r="U1879" s="28" t="str" cm="1">
        <f t="array" ref="U1879">_xlfn.IFS(F1879&lt;30000,"30k",F1879&lt;=50000,"30k-50k",F1879&lt;=75000,"50k-75k",F1879&lt;=100000,"75k-100k",F1879&gt;100000,"100k")</f>
        <v>30k-50k</v>
      </c>
      <c r="W1879" s="1">
        <f t="shared" si="59"/>
        <v>14</v>
      </c>
    </row>
    <row r="1880" spans="1:23" x14ac:dyDescent="0.35">
      <c r="A1880">
        <v>1877</v>
      </c>
      <c r="B1880">
        <v>1399</v>
      </c>
      <c r="C1880">
        <v>1958</v>
      </c>
      <c r="D1880" s="1" t="s">
        <v>10</v>
      </c>
      <c r="E1880" s="1" t="s">
        <v>14</v>
      </c>
      <c r="F1880">
        <v>72905</v>
      </c>
      <c r="G1880">
        <v>0</v>
      </c>
      <c r="H1880" s="2">
        <v>0</v>
      </c>
      <c r="I1880" s="2">
        <v>41660</v>
      </c>
      <c r="J1880">
        <v>52</v>
      </c>
      <c r="K1880">
        <f>VLOOKUP(B1880,purchase_dataset!$B$2:$F$2241,2,FALSE)</f>
        <v>114</v>
      </c>
      <c r="L1880">
        <f>VLOOKUP(B1880,purchase_dataset!$B$2:$F$2241,3,FALSE)</f>
        <v>165</v>
      </c>
      <c r="M1880">
        <f>VLOOKUP(B1880,purchase_dataset!$B$2:$F$2241,3,FALSE)</f>
        <v>165</v>
      </c>
      <c r="N1880">
        <f>VLOOKUP(B1880,purchase_dataset!$B$2:$F$2241,5,FALSE)</f>
        <v>9</v>
      </c>
      <c r="O1880" s="5">
        <v>68</v>
      </c>
      <c r="P1880" s="4" t="str">
        <f t="shared" si="58"/>
        <v>&gt;50</v>
      </c>
      <c r="Q1880" s="4">
        <f>M1880+N1880</f>
        <v>174</v>
      </c>
      <c r="U1880" s="28" t="str" cm="1">
        <f t="array" ref="U1880">_xlfn.IFS(F1880&lt;30000,"30k",F1880&lt;=50000,"30k-50k",F1880&lt;=75000,"50k-75k",F1880&lt;=100000,"75k-100k",F1880&gt;100000,"100k")</f>
        <v>50k-75k</v>
      </c>
      <c r="W1880" s="1">
        <f t="shared" si="59"/>
        <v>12</v>
      </c>
    </row>
    <row r="1881" spans="1:23" x14ac:dyDescent="0.35">
      <c r="A1881">
        <v>1878</v>
      </c>
      <c r="B1881">
        <v>1570</v>
      </c>
      <c r="C1881">
        <v>1951</v>
      </c>
      <c r="D1881" s="1" t="s">
        <v>13</v>
      </c>
      <c r="E1881" s="1" t="s">
        <v>12</v>
      </c>
      <c r="F1881">
        <v>69702</v>
      </c>
      <c r="G1881">
        <v>0</v>
      </c>
      <c r="H1881" s="2">
        <v>1</v>
      </c>
      <c r="I1881" s="2">
        <v>41324</v>
      </c>
      <c r="J1881">
        <v>8</v>
      </c>
      <c r="K1881">
        <f>VLOOKUP(B1881,purchase_dataset!$B$2:$F$2241,2,FALSE)</f>
        <v>9</v>
      </c>
      <c r="L1881">
        <f>VLOOKUP(B1881,purchase_dataset!$B$2:$F$2241,3,FALSE)</f>
        <v>19</v>
      </c>
      <c r="M1881">
        <f>VLOOKUP(B1881,purchase_dataset!$B$2:$F$2241,3,FALSE)</f>
        <v>19</v>
      </c>
      <c r="N1881">
        <f>VLOOKUP(B1881,purchase_dataset!$B$2:$F$2241,5,FALSE)</f>
        <v>10</v>
      </c>
      <c r="O1881" s="5">
        <v>75</v>
      </c>
      <c r="P1881" s="4" t="str">
        <f t="shared" si="58"/>
        <v>&gt;50</v>
      </c>
      <c r="Q1881" s="4">
        <f>M1881+N1881</f>
        <v>29</v>
      </c>
      <c r="U1881" s="28" t="str" cm="1">
        <f t="array" ref="U1881">_xlfn.IFS(F1881&lt;30000,"30k",F1881&lt;=50000,"30k-50k",F1881&lt;=75000,"50k-75k",F1881&lt;=100000,"75k-100k",F1881&gt;100000,"100k")</f>
        <v>50k-75k</v>
      </c>
      <c r="W1881" s="1">
        <f t="shared" si="59"/>
        <v>13</v>
      </c>
    </row>
    <row r="1882" spans="1:23" x14ac:dyDescent="0.35">
      <c r="A1882">
        <v>1879</v>
      </c>
      <c r="B1882">
        <v>3426</v>
      </c>
      <c r="C1882">
        <v>1975</v>
      </c>
      <c r="D1882" s="1" t="s">
        <v>10</v>
      </c>
      <c r="E1882" s="1" t="s">
        <v>16</v>
      </c>
      <c r="F1882">
        <v>70300</v>
      </c>
      <c r="G1882">
        <v>1</v>
      </c>
      <c r="H1882" s="2">
        <v>0</v>
      </c>
      <c r="I1882" s="2">
        <v>41470</v>
      </c>
      <c r="J1882">
        <v>89</v>
      </c>
      <c r="K1882">
        <f>VLOOKUP(B1882,purchase_dataset!$B$2:$F$2241,2,FALSE)</f>
        <v>61</v>
      </c>
      <c r="L1882">
        <f>VLOOKUP(B1882,purchase_dataset!$B$2:$F$2241,3,FALSE)</f>
        <v>46</v>
      </c>
      <c r="M1882">
        <f>VLOOKUP(B1882,purchase_dataset!$B$2:$F$2241,3,FALSE)</f>
        <v>46</v>
      </c>
      <c r="N1882">
        <f>VLOOKUP(B1882,purchase_dataset!$B$2:$F$2241,5,FALSE)</f>
        <v>13</v>
      </c>
      <c r="O1882" s="5">
        <v>51</v>
      </c>
      <c r="P1882" s="4" t="str">
        <f t="shared" si="58"/>
        <v>&gt;50</v>
      </c>
      <c r="Q1882" s="4">
        <f>M1882+N1882</f>
        <v>59</v>
      </c>
      <c r="U1882" s="28" t="str" cm="1">
        <f t="array" ref="U1882">_xlfn.IFS(F1882&lt;30000,"30k",F1882&lt;=50000,"30k-50k",F1882&lt;=75000,"50k-75k",F1882&lt;=100000,"75k-100k",F1882&gt;100000,"100k")</f>
        <v>50k-75k</v>
      </c>
      <c r="W1882" s="1">
        <f t="shared" si="59"/>
        <v>13</v>
      </c>
    </row>
    <row r="1883" spans="1:23" x14ac:dyDescent="0.35">
      <c r="A1883">
        <v>1880</v>
      </c>
      <c r="B1883">
        <v>3074</v>
      </c>
      <c r="C1883">
        <v>1984</v>
      </c>
      <c r="D1883" s="1" t="s">
        <v>13</v>
      </c>
      <c r="E1883" s="1" t="s">
        <v>14</v>
      </c>
      <c r="F1883">
        <v>70643</v>
      </c>
      <c r="G1883">
        <v>0</v>
      </c>
      <c r="H1883" s="2">
        <v>0</v>
      </c>
      <c r="I1883" s="2">
        <v>41197</v>
      </c>
      <c r="J1883">
        <v>66</v>
      </c>
      <c r="K1883">
        <f>VLOOKUP(B1883,purchase_dataset!$B$2:$F$2241,2,FALSE)</f>
        <v>107</v>
      </c>
      <c r="L1883">
        <f>VLOOKUP(B1883,purchase_dataset!$B$2:$F$2241,3,FALSE)</f>
        <v>143</v>
      </c>
      <c r="M1883">
        <f>VLOOKUP(B1883,purchase_dataset!$B$2:$F$2241,3,FALSE)</f>
        <v>143</v>
      </c>
      <c r="N1883">
        <f>VLOOKUP(B1883,purchase_dataset!$B$2:$F$2241,5,FALSE)</f>
        <v>4</v>
      </c>
      <c r="O1883" s="5">
        <v>42</v>
      </c>
      <c r="P1883" s="4" t="str">
        <f t="shared" si="58"/>
        <v>30-50</v>
      </c>
      <c r="Q1883" s="4">
        <f>M1883+N1883</f>
        <v>147</v>
      </c>
      <c r="U1883" s="28" t="str" cm="1">
        <f t="array" ref="U1883">_xlfn.IFS(F1883&lt;30000,"30k",F1883&lt;=50000,"30k-50k",F1883&lt;=75000,"50k-75k",F1883&lt;=100000,"75k-100k",F1883&gt;100000,"100k")</f>
        <v>50k-75k</v>
      </c>
      <c r="W1883" s="1">
        <f t="shared" si="59"/>
        <v>14</v>
      </c>
    </row>
    <row r="1884" spans="1:23" x14ac:dyDescent="0.35">
      <c r="A1884">
        <v>1881</v>
      </c>
      <c r="B1884">
        <v>8341</v>
      </c>
      <c r="C1884">
        <v>1969</v>
      </c>
      <c r="D1884" s="1" t="s">
        <v>13</v>
      </c>
      <c r="E1884" s="1" t="s">
        <v>14</v>
      </c>
      <c r="F1884">
        <v>30396</v>
      </c>
      <c r="G1884">
        <v>1</v>
      </c>
      <c r="H1884" s="2">
        <v>0</v>
      </c>
      <c r="I1884" s="2">
        <v>41759</v>
      </c>
      <c r="J1884">
        <v>22</v>
      </c>
      <c r="K1884">
        <f>VLOOKUP(B1884,purchase_dataset!$B$2:$F$2241,2,FALSE)</f>
        <v>0</v>
      </c>
      <c r="L1884">
        <f>VLOOKUP(B1884,purchase_dataset!$B$2:$F$2241,3,FALSE)</f>
        <v>1</v>
      </c>
      <c r="M1884">
        <f>VLOOKUP(B1884,purchase_dataset!$B$2:$F$2241,3,FALSE)</f>
        <v>1</v>
      </c>
      <c r="N1884">
        <f>VLOOKUP(B1884,purchase_dataset!$B$2:$F$2241,5,FALSE)</f>
        <v>2</v>
      </c>
      <c r="O1884" s="5">
        <v>57</v>
      </c>
      <c r="P1884" s="4" t="str">
        <f t="shared" si="58"/>
        <v>&gt;50</v>
      </c>
      <c r="Q1884" s="4">
        <f>M1884+N1884</f>
        <v>3</v>
      </c>
      <c r="U1884" s="28" t="str" cm="1">
        <f t="array" ref="U1884">_xlfn.IFS(F1884&lt;30000,"30k",F1884&lt;=50000,"30k-50k",F1884&lt;=75000,"50k-75k",F1884&lt;=100000,"75k-100k",F1884&gt;100000,"100k")</f>
        <v>30k-50k</v>
      </c>
      <c r="W1884" s="1">
        <f t="shared" si="59"/>
        <v>12</v>
      </c>
    </row>
    <row r="1885" spans="1:23" x14ac:dyDescent="0.35">
      <c r="A1885">
        <v>1882</v>
      </c>
      <c r="B1885">
        <v>5180</v>
      </c>
      <c r="C1885">
        <v>1968</v>
      </c>
      <c r="D1885" s="1" t="s">
        <v>13</v>
      </c>
      <c r="E1885" s="1" t="s">
        <v>16</v>
      </c>
      <c r="F1885">
        <v>50616</v>
      </c>
      <c r="G1885">
        <v>0</v>
      </c>
      <c r="H1885" s="2">
        <v>1</v>
      </c>
      <c r="I1885" s="2">
        <v>41747</v>
      </c>
      <c r="J1885">
        <v>56</v>
      </c>
      <c r="K1885">
        <f>VLOOKUP(B1885,purchase_dataset!$B$2:$F$2241,2,FALSE)</f>
        <v>0</v>
      </c>
      <c r="L1885">
        <f>VLOOKUP(B1885,purchase_dataset!$B$2:$F$2241,3,FALSE)</f>
        <v>1</v>
      </c>
      <c r="M1885">
        <f>VLOOKUP(B1885,purchase_dataset!$B$2:$F$2241,3,FALSE)</f>
        <v>1</v>
      </c>
      <c r="N1885">
        <f>VLOOKUP(B1885,purchase_dataset!$B$2:$F$2241,5,FALSE)</f>
        <v>4</v>
      </c>
      <c r="O1885" s="5">
        <v>58</v>
      </c>
      <c r="P1885" s="4" t="str">
        <f t="shared" si="58"/>
        <v>&gt;50</v>
      </c>
      <c r="Q1885" s="4">
        <f>M1885+N1885</f>
        <v>5</v>
      </c>
      <c r="U1885" s="28" t="str" cm="1">
        <f t="array" ref="U1885">_xlfn.IFS(F1885&lt;30000,"30k",F1885&lt;=50000,"30k-50k",F1885&lt;=75000,"50k-75k",F1885&lt;=100000,"75k-100k",F1885&gt;100000,"100k")</f>
        <v>50k-75k</v>
      </c>
      <c r="W1885" s="1">
        <f t="shared" si="59"/>
        <v>12</v>
      </c>
    </row>
    <row r="1886" spans="1:23" x14ac:dyDescent="0.35">
      <c r="A1886">
        <v>1883</v>
      </c>
      <c r="B1886">
        <v>6461</v>
      </c>
      <c r="C1886">
        <v>1969</v>
      </c>
      <c r="D1886" s="1" t="s">
        <v>15</v>
      </c>
      <c r="E1886" s="1" t="s">
        <v>11</v>
      </c>
      <c r="F1886">
        <v>62772</v>
      </c>
      <c r="G1886">
        <v>0</v>
      </c>
      <c r="H1886" s="2">
        <v>1</v>
      </c>
      <c r="I1886" s="2">
        <v>41413</v>
      </c>
      <c r="J1886">
        <v>74</v>
      </c>
      <c r="K1886">
        <f>VLOOKUP(B1886,purchase_dataset!$B$2:$F$2241,2,FALSE)</f>
        <v>49</v>
      </c>
      <c r="L1886">
        <f>VLOOKUP(B1886,purchase_dataset!$B$2:$F$2241,3,FALSE)</f>
        <v>8</v>
      </c>
      <c r="M1886">
        <f>VLOOKUP(B1886,purchase_dataset!$B$2:$F$2241,3,FALSE)</f>
        <v>8</v>
      </c>
      <c r="N1886">
        <f>VLOOKUP(B1886,purchase_dataset!$B$2:$F$2241,5,FALSE)</f>
        <v>11</v>
      </c>
      <c r="O1886" s="5">
        <v>57</v>
      </c>
      <c r="P1886" s="4" t="str">
        <f t="shared" si="58"/>
        <v>&gt;50</v>
      </c>
      <c r="Q1886" s="4">
        <f>M1886+N1886</f>
        <v>19</v>
      </c>
      <c r="U1886" s="28" t="str" cm="1">
        <f t="array" ref="U1886">_xlfn.IFS(F1886&lt;30000,"30k",F1886&lt;=50000,"30k-50k",F1886&lt;=75000,"50k-75k",F1886&lt;=100000,"75k-100k",F1886&gt;100000,"100k")</f>
        <v>50k-75k</v>
      </c>
      <c r="W1886" s="1">
        <f t="shared" si="59"/>
        <v>13</v>
      </c>
    </row>
    <row r="1887" spans="1:23" x14ac:dyDescent="0.35">
      <c r="A1887">
        <v>1884</v>
      </c>
      <c r="B1887">
        <v>7679</v>
      </c>
      <c r="C1887">
        <v>1985</v>
      </c>
      <c r="D1887" s="1" t="s">
        <v>13</v>
      </c>
      <c r="E1887" s="1" t="s">
        <v>11</v>
      </c>
      <c r="F1887">
        <v>30298</v>
      </c>
      <c r="G1887">
        <v>0</v>
      </c>
      <c r="H1887" s="2">
        <v>0</v>
      </c>
      <c r="I1887" s="2">
        <v>41778</v>
      </c>
      <c r="J1887">
        <v>48</v>
      </c>
      <c r="K1887">
        <f>VLOOKUP(B1887,purchase_dataset!$B$2:$F$2241,2,FALSE)</f>
        <v>3</v>
      </c>
      <c r="L1887">
        <f>VLOOKUP(B1887,purchase_dataset!$B$2:$F$2241,3,FALSE)</f>
        <v>1</v>
      </c>
      <c r="M1887">
        <f>VLOOKUP(B1887,purchase_dataset!$B$2:$F$2241,3,FALSE)</f>
        <v>1</v>
      </c>
      <c r="N1887">
        <f>VLOOKUP(B1887,purchase_dataset!$B$2:$F$2241,5,FALSE)</f>
        <v>3</v>
      </c>
      <c r="O1887" s="5">
        <v>41</v>
      </c>
      <c r="P1887" s="4" t="str">
        <f t="shared" si="58"/>
        <v>30-50</v>
      </c>
      <c r="Q1887" s="4">
        <f>M1887+N1887</f>
        <v>4</v>
      </c>
      <c r="U1887" s="28" t="str" cm="1">
        <f t="array" ref="U1887">_xlfn.IFS(F1887&lt;30000,"30k",F1887&lt;=50000,"30k-50k",F1887&lt;=75000,"50k-75k",F1887&lt;=100000,"75k-100k",F1887&gt;100000,"100k")</f>
        <v>30k-50k</v>
      </c>
      <c r="W1887" s="1">
        <f t="shared" si="59"/>
        <v>12</v>
      </c>
    </row>
    <row r="1888" spans="1:23" x14ac:dyDescent="0.35">
      <c r="A1888">
        <v>1885</v>
      </c>
      <c r="B1888">
        <v>10702</v>
      </c>
      <c r="C1888">
        <v>1984</v>
      </c>
      <c r="D1888" s="1" t="s">
        <v>10</v>
      </c>
      <c r="E1888" s="1" t="s">
        <v>11</v>
      </c>
      <c r="F1888">
        <v>52413</v>
      </c>
      <c r="G1888">
        <v>1</v>
      </c>
      <c r="H1888" s="2">
        <v>0</v>
      </c>
      <c r="I1888" s="2">
        <v>41216</v>
      </c>
      <c r="J1888">
        <v>67</v>
      </c>
      <c r="K1888">
        <f>VLOOKUP(B1888,purchase_dataset!$B$2:$F$2241,2,FALSE)</f>
        <v>8</v>
      </c>
      <c r="L1888">
        <f>VLOOKUP(B1888,purchase_dataset!$B$2:$F$2241,3,FALSE)</f>
        <v>56</v>
      </c>
      <c r="M1888">
        <f>VLOOKUP(B1888,purchase_dataset!$B$2:$F$2241,3,FALSE)</f>
        <v>56</v>
      </c>
      <c r="N1888">
        <f>VLOOKUP(B1888,purchase_dataset!$B$2:$F$2241,5,FALSE)</f>
        <v>7</v>
      </c>
      <c r="O1888" s="5">
        <v>42</v>
      </c>
      <c r="P1888" s="4" t="str">
        <f t="shared" si="58"/>
        <v>30-50</v>
      </c>
      <c r="Q1888" s="4">
        <f>M1888+N1888</f>
        <v>63</v>
      </c>
      <c r="U1888" s="28" t="str" cm="1">
        <f t="array" ref="U1888">_xlfn.IFS(F1888&lt;30000,"30k",F1888&lt;=50000,"30k-50k",F1888&lt;=75000,"50k-75k",F1888&lt;=100000,"75k-100k",F1888&gt;100000,"100k")</f>
        <v>50k-75k</v>
      </c>
      <c r="W1888" s="1">
        <f t="shared" si="59"/>
        <v>14</v>
      </c>
    </row>
    <row r="1889" spans="1:23" x14ac:dyDescent="0.35">
      <c r="A1889">
        <v>1886</v>
      </c>
      <c r="B1889">
        <v>7505</v>
      </c>
      <c r="C1889">
        <v>1957</v>
      </c>
      <c r="D1889" s="1" t="s">
        <v>13</v>
      </c>
      <c r="E1889" s="1" t="s">
        <v>14</v>
      </c>
      <c r="F1889">
        <v>44155</v>
      </c>
      <c r="G1889">
        <v>1</v>
      </c>
      <c r="H1889" s="2">
        <v>1</v>
      </c>
      <c r="I1889" s="2">
        <v>41658</v>
      </c>
      <c r="J1889">
        <v>24</v>
      </c>
      <c r="K1889">
        <f>VLOOKUP(B1889,purchase_dataset!$B$2:$F$2241,2,FALSE)</f>
        <v>1</v>
      </c>
      <c r="L1889">
        <f>VLOOKUP(B1889,purchase_dataset!$B$2:$F$2241,3,FALSE)</f>
        <v>0</v>
      </c>
      <c r="M1889">
        <f>VLOOKUP(B1889,purchase_dataset!$B$2:$F$2241,3,FALSE)</f>
        <v>0</v>
      </c>
      <c r="N1889">
        <f>VLOOKUP(B1889,purchase_dataset!$B$2:$F$2241,5,FALSE)</f>
        <v>2</v>
      </c>
      <c r="O1889" s="5">
        <v>69</v>
      </c>
      <c r="P1889" s="4" t="str">
        <f t="shared" si="58"/>
        <v>&gt;50</v>
      </c>
      <c r="Q1889" s="4">
        <f>M1889+N1889</f>
        <v>2</v>
      </c>
      <c r="U1889" s="28" t="str" cm="1">
        <f t="array" ref="U1889">_xlfn.IFS(F1889&lt;30000,"30k",F1889&lt;=50000,"30k-50k",F1889&lt;=75000,"50k-75k",F1889&lt;=100000,"75k-100k",F1889&gt;100000,"100k")</f>
        <v>30k-50k</v>
      </c>
      <c r="W1889" s="1">
        <f t="shared" si="59"/>
        <v>12</v>
      </c>
    </row>
    <row r="1890" spans="1:23" x14ac:dyDescent="0.35">
      <c r="A1890">
        <v>1887</v>
      </c>
      <c r="B1890">
        <v>5113</v>
      </c>
      <c r="C1890">
        <v>1971</v>
      </c>
      <c r="D1890" s="1" t="s">
        <v>13</v>
      </c>
      <c r="E1890" s="1" t="s">
        <v>16</v>
      </c>
      <c r="F1890">
        <v>86979</v>
      </c>
      <c r="G1890">
        <v>0</v>
      </c>
      <c r="H1890" s="2">
        <v>0</v>
      </c>
      <c r="I1890" s="2">
        <v>41585</v>
      </c>
      <c r="J1890">
        <v>67</v>
      </c>
      <c r="K1890">
        <f>VLOOKUP(B1890,purchase_dataset!$B$2:$F$2241,2,FALSE)</f>
        <v>100</v>
      </c>
      <c r="L1890">
        <f>VLOOKUP(B1890,purchase_dataset!$B$2:$F$2241,3,FALSE)</f>
        <v>83</v>
      </c>
      <c r="M1890">
        <f>VLOOKUP(B1890,purchase_dataset!$B$2:$F$2241,3,FALSE)</f>
        <v>83</v>
      </c>
      <c r="N1890">
        <f>VLOOKUP(B1890,purchase_dataset!$B$2:$F$2241,5,FALSE)</f>
        <v>5</v>
      </c>
      <c r="O1890" s="5">
        <v>55</v>
      </c>
      <c r="P1890" s="4" t="str">
        <f t="shared" si="58"/>
        <v>&gt;50</v>
      </c>
      <c r="Q1890" s="4">
        <f>M1890+N1890</f>
        <v>88</v>
      </c>
      <c r="U1890" s="28" t="str" cm="1">
        <f t="array" ref="U1890">_xlfn.IFS(F1890&lt;30000,"30k",F1890&lt;=50000,"30k-50k",F1890&lt;=75000,"50k-75k",F1890&lt;=100000,"75k-100k",F1890&gt;100000,"100k")</f>
        <v>75k-100k</v>
      </c>
      <c r="W1890" s="1">
        <f t="shared" si="59"/>
        <v>13</v>
      </c>
    </row>
    <row r="1891" spans="1:23" x14ac:dyDescent="0.35">
      <c r="A1891">
        <v>1888</v>
      </c>
      <c r="B1891">
        <v>10858</v>
      </c>
      <c r="C1891">
        <v>1975</v>
      </c>
      <c r="D1891" s="1" t="s">
        <v>10</v>
      </c>
      <c r="E1891" s="1" t="s">
        <v>12</v>
      </c>
      <c r="F1891">
        <v>76532</v>
      </c>
      <c r="G1891">
        <v>1</v>
      </c>
      <c r="H1891" s="2">
        <v>1</v>
      </c>
      <c r="I1891" s="2">
        <v>41526</v>
      </c>
      <c r="J1891">
        <v>38</v>
      </c>
      <c r="K1891">
        <f>VLOOKUP(B1891,purchase_dataset!$B$2:$F$2241,2,FALSE)</f>
        <v>30</v>
      </c>
      <c r="L1891">
        <f>VLOOKUP(B1891,purchase_dataset!$B$2:$F$2241,3,FALSE)</f>
        <v>138</v>
      </c>
      <c r="M1891">
        <f>VLOOKUP(B1891,purchase_dataset!$B$2:$F$2241,3,FALSE)</f>
        <v>138</v>
      </c>
      <c r="N1891">
        <f>VLOOKUP(B1891,purchase_dataset!$B$2:$F$2241,5,FALSE)</f>
        <v>7</v>
      </c>
      <c r="O1891" s="5">
        <v>51</v>
      </c>
      <c r="P1891" s="4" t="str">
        <f t="shared" si="58"/>
        <v>&gt;50</v>
      </c>
      <c r="Q1891" s="4">
        <f>M1891+N1891</f>
        <v>145</v>
      </c>
      <c r="U1891" s="28" t="str" cm="1">
        <f t="array" ref="U1891">_xlfn.IFS(F1891&lt;30000,"30k",F1891&lt;=50000,"30k-50k",F1891&lt;=75000,"50k-75k",F1891&lt;=100000,"75k-100k",F1891&gt;100000,"100k")</f>
        <v>75k-100k</v>
      </c>
      <c r="W1891" s="1">
        <f t="shared" si="59"/>
        <v>13</v>
      </c>
    </row>
    <row r="1892" spans="1:23" x14ac:dyDescent="0.35">
      <c r="A1892">
        <v>1889</v>
      </c>
      <c r="B1892">
        <v>2961</v>
      </c>
      <c r="C1892">
        <v>1982</v>
      </c>
      <c r="D1892" s="1" t="s">
        <v>10</v>
      </c>
      <c r="E1892" s="1" t="s">
        <v>14</v>
      </c>
      <c r="F1892">
        <v>42081</v>
      </c>
      <c r="G1892">
        <v>1</v>
      </c>
      <c r="H1892" s="2">
        <v>0</v>
      </c>
      <c r="I1892" s="2">
        <v>41331</v>
      </c>
      <c r="J1892">
        <v>86</v>
      </c>
      <c r="K1892">
        <f>VLOOKUP(B1892,purchase_dataset!$B$2:$F$2241,2,FALSE)</f>
        <v>10</v>
      </c>
      <c r="L1892">
        <f>VLOOKUP(B1892,purchase_dataset!$B$2:$F$2241,3,FALSE)</f>
        <v>6</v>
      </c>
      <c r="M1892">
        <f>VLOOKUP(B1892,purchase_dataset!$B$2:$F$2241,3,FALSE)</f>
        <v>6</v>
      </c>
      <c r="N1892">
        <f>VLOOKUP(B1892,purchase_dataset!$B$2:$F$2241,5,FALSE)</f>
        <v>4</v>
      </c>
      <c r="O1892" s="5">
        <v>44</v>
      </c>
      <c r="P1892" s="4" t="str">
        <f t="shared" si="58"/>
        <v>30-50</v>
      </c>
      <c r="Q1892" s="4">
        <f>M1892+N1892</f>
        <v>10</v>
      </c>
      <c r="U1892" s="28" t="str" cm="1">
        <f t="array" ref="U1892">_xlfn.IFS(F1892&lt;30000,"30k",F1892&lt;=50000,"30k-50k",F1892&lt;=75000,"50k-75k",F1892&lt;=100000,"75k-100k",F1892&gt;100000,"100k")</f>
        <v>30k-50k</v>
      </c>
      <c r="W1892" s="1">
        <f t="shared" si="59"/>
        <v>13</v>
      </c>
    </row>
    <row r="1893" spans="1:23" x14ac:dyDescent="0.35">
      <c r="A1893">
        <v>1890</v>
      </c>
      <c r="B1893">
        <v>2747</v>
      </c>
      <c r="C1893">
        <v>1988</v>
      </c>
      <c r="D1893" s="1" t="s">
        <v>13</v>
      </c>
      <c r="E1893" s="1" t="s">
        <v>14</v>
      </c>
      <c r="F1893">
        <v>67546</v>
      </c>
      <c r="G1893">
        <v>0</v>
      </c>
      <c r="H1893" s="2">
        <v>0</v>
      </c>
      <c r="I1893" s="2">
        <v>41152</v>
      </c>
      <c r="J1893">
        <v>90</v>
      </c>
      <c r="K1893">
        <f>VLOOKUP(B1893,purchase_dataset!$B$2:$F$2241,2,FALSE)</f>
        <v>134</v>
      </c>
      <c r="L1893">
        <f>VLOOKUP(B1893,purchase_dataset!$B$2:$F$2241,3,FALSE)</f>
        <v>38</v>
      </c>
      <c r="M1893">
        <f>VLOOKUP(B1893,purchase_dataset!$B$2:$F$2241,3,FALSE)</f>
        <v>38</v>
      </c>
      <c r="N1893">
        <f>VLOOKUP(B1893,purchase_dataset!$B$2:$F$2241,5,FALSE)</f>
        <v>5</v>
      </c>
      <c r="O1893" s="5">
        <v>38</v>
      </c>
      <c r="P1893" s="4" t="str">
        <f t="shared" si="58"/>
        <v>30-50</v>
      </c>
      <c r="Q1893" s="4">
        <f>M1893+N1893</f>
        <v>43</v>
      </c>
      <c r="U1893" s="28" t="str" cm="1">
        <f t="array" ref="U1893">_xlfn.IFS(F1893&lt;30000,"30k",F1893&lt;=50000,"30k-50k",F1893&lt;=75000,"50k-75k",F1893&lt;=100000,"75k-100k",F1893&gt;100000,"100k")</f>
        <v>50k-75k</v>
      </c>
      <c r="W1893" s="1">
        <f t="shared" si="59"/>
        <v>14</v>
      </c>
    </row>
    <row r="1894" spans="1:23" x14ac:dyDescent="0.35">
      <c r="A1894">
        <v>1891</v>
      </c>
      <c r="B1894">
        <v>3010</v>
      </c>
      <c r="C1894">
        <v>1989</v>
      </c>
      <c r="D1894" s="1" t="s">
        <v>15</v>
      </c>
      <c r="E1894" s="1" t="s">
        <v>12</v>
      </c>
      <c r="F1894">
        <v>88420</v>
      </c>
      <c r="G1894">
        <v>0</v>
      </c>
      <c r="H1894" s="2">
        <v>0</v>
      </c>
      <c r="I1894" s="2">
        <v>41761</v>
      </c>
      <c r="J1894">
        <v>87</v>
      </c>
      <c r="K1894">
        <f>VLOOKUP(B1894,purchase_dataset!$B$2:$F$2241,2,FALSE)</f>
        <v>153</v>
      </c>
      <c r="L1894">
        <f>VLOOKUP(B1894,purchase_dataset!$B$2:$F$2241,3,FALSE)</f>
        <v>95</v>
      </c>
      <c r="M1894">
        <f>VLOOKUP(B1894,purchase_dataset!$B$2:$F$2241,3,FALSE)</f>
        <v>95</v>
      </c>
      <c r="N1894">
        <f>VLOOKUP(B1894,purchase_dataset!$B$2:$F$2241,5,FALSE)</f>
        <v>8</v>
      </c>
      <c r="O1894" s="5">
        <v>37</v>
      </c>
      <c r="P1894" s="4" t="str">
        <f t="shared" si="58"/>
        <v>30-50</v>
      </c>
      <c r="Q1894" s="4">
        <f>M1894+N1894</f>
        <v>103</v>
      </c>
      <c r="U1894" s="28" t="str" cm="1">
        <f t="array" ref="U1894">_xlfn.IFS(F1894&lt;30000,"30k",F1894&lt;=50000,"30k-50k",F1894&lt;=75000,"50k-75k",F1894&lt;=100000,"75k-100k",F1894&gt;100000,"100k")</f>
        <v>75k-100k</v>
      </c>
      <c r="W1894" s="1">
        <f t="shared" si="59"/>
        <v>12</v>
      </c>
    </row>
    <row r="1895" spans="1:23" x14ac:dyDescent="0.35">
      <c r="A1895">
        <v>1892</v>
      </c>
      <c r="B1895">
        <v>5790</v>
      </c>
      <c r="C1895">
        <v>1985</v>
      </c>
      <c r="D1895" s="1" t="s">
        <v>10</v>
      </c>
      <c r="E1895" s="1" t="s">
        <v>14</v>
      </c>
      <c r="F1895">
        <v>31158</v>
      </c>
      <c r="G1895">
        <v>1</v>
      </c>
      <c r="H1895" s="2">
        <v>0</v>
      </c>
      <c r="I1895" s="2">
        <v>41301</v>
      </c>
      <c r="J1895">
        <v>62</v>
      </c>
      <c r="K1895">
        <f>VLOOKUP(B1895,purchase_dataset!$B$2:$F$2241,2,FALSE)</f>
        <v>6</v>
      </c>
      <c r="L1895">
        <f>VLOOKUP(B1895,purchase_dataset!$B$2:$F$2241,3,FALSE)</f>
        <v>0</v>
      </c>
      <c r="M1895">
        <f>VLOOKUP(B1895,purchase_dataset!$B$2:$F$2241,3,FALSE)</f>
        <v>0</v>
      </c>
      <c r="N1895">
        <f>VLOOKUP(B1895,purchase_dataset!$B$2:$F$2241,5,FALSE)</f>
        <v>3</v>
      </c>
      <c r="O1895" s="5">
        <v>41</v>
      </c>
      <c r="P1895" s="4" t="str">
        <f t="shared" si="58"/>
        <v>30-50</v>
      </c>
      <c r="Q1895" s="4">
        <f>M1895+N1895</f>
        <v>3</v>
      </c>
      <c r="U1895" s="28" t="str" cm="1">
        <f t="array" ref="U1895">_xlfn.IFS(F1895&lt;30000,"30k",F1895&lt;=50000,"30k-50k",F1895&lt;=75000,"50k-75k",F1895&lt;=100000,"75k-100k",F1895&gt;100000,"100k")</f>
        <v>30k-50k</v>
      </c>
      <c r="W1895" s="1">
        <f t="shared" si="59"/>
        <v>13</v>
      </c>
    </row>
    <row r="1896" spans="1:23" x14ac:dyDescent="0.35">
      <c r="A1896">
        <v>1893</v>
      </c>
      <c r="B1896">
        <v>6892</v>
      </c>
      <c r="C1896">
        <v>1968</v>
      </c>
      <c r="D1896" s="1" t="s">
        <v>10</v>
      </c>
      <c r="E1896" s="1" t="s">
        <v>16</v>
      </c>
      <c r="F1896">
        <v>61671</v>
      </c>
      <c r="G1896">
        <v>0</v>
      </c>
      <c r="H1896" s="2">
        <v>1</v>
      </c>
      <c r="I1896" s="2">
        <v>41793</v>
      </c>
      <c r="J1896">
        <v>23</v>
      </c>
      <c r="K1896">
        <f>VLOOKUP(B1896,purchase_dataset!$B$2:$F$2241,2,FALSE)</f>
        <v>7</v>
      </c>
      <c r="L1896">
        <f>VLOOKUP(B1896,purchase_dataset!$B$2:$F$2241,3,FALSE)</f>
        <v>0</v>
      </c>
      <c r="M1896">
        <f>VLOOKUP(B1896,purchase_dataset!$B$2:$F$2241,3,FALSE)</f>
        <v>0</v>
      </c>
      <c r="N1896">
        <f>VLOOKUP(B1896,purchase_dataset!$B$2:$F$2241,5,FALSE)</f>
        <v>6</v>
      </c>
      <c r="O1896" s="5">
        <v>58</v>
      </c>
      <c r="P1896" s="4" t="str">
        <f t="shared" si="58"/>
        <v>&gt;50</v>
      </c>
      <c r="Q1896" s="4">
        <f>M1896+N1896</f>
        <v>6</v>
      </c>
      <c r="U1896" s="28" t="str" cm="1">
        <f t="array" ref="U1896">_xlfn.IFS(F1896&lt;30000,"30k",F1896&lt;=50000,"30k-50k",F1896&lt;=75000,"50k-75k",F1896&lt;=100000,"75k-100k",F1896&gt;100000,"100k")</f>
        <v>50k-75k</v>
      </c>
      <c r="W1896" s="1">
        <f t="shared" si="59"/>
        <v>12</v>
      </c>
    </row>
    <row r="1897" spans="1:23" x14ac:dyDescent="0.35">
      <c r="A1897">
        <v>1894</v>
      </c>
      <c r="B1897">
        <v>1743</v>
      </c>
      <c r="C1897">
        <v>1974</v>
      </c>
      <c r="D1897" s="1" t="s">
        <v>10</v>
      </c>
      <c r="E1897" s="1" t="s">
        <v>11</v>
      </c>
      <c r="F1897">
        <v>69719</v>
      </c>
      <c r="G1897">
        <v>0</v>
      </c>
      <c r="H1897" s="2">
        <v>0</v>
      </c>
      <c r="I1897" s="2">
        <v>41785</v>
      </c>
      <c r="J1897">
        <v>99</v>
      </c>
      <c r="K1897">
        <f>VLOOKUP(B1897,purchase_dataset!$B$2:$F$2241,2,FALSE)</f>
        <v>86</v>
      </c>
      <c r="L1897">
        <f>VLOOKUP(B1897,purchase_dataset!$B$2:$F$2241,3,FALSE)</f>
        <v>14</v>
      </c>
      <c r="M1897">
        <f>VLOOKUP(B1897,purchase_dataset!$B$2:$F$2241,3,FALSE)</f>
        <v>14</v>
      </c>
      <c r="N1897">
        <f>VLOOKUP(B1897,purchase_dataset!$B$2:$F$2241,5,FALSE)</f>
        <v>5</v>
      </c>
      <c r="O1897" s="5">
        <v>52</v>
      </c>
      <c r="P1897" s="4" t="str">
        <f t="shared" si="58"/>
        <v>&gt;50</v>
      </c>
      <c r="Q1897" s="4">
        <f>M1897+N1897</f>
        <v>19</v>
      </c>
      <c r="U1897" s="28" t="str" cm="1">
        <f t="array" ref="U1897">_xlfn.IFS(F1897&lt;30000,"30k",F1897&lt;=50000,"30k-50k",F1897&lt;=75000,"50k-75k",F1897&lt;=100000,"75k-100k",F1897&gt;100000,"100k")</f>
        <v>50k-75k</v>
      </c>
      <c r="W1897" s="1">
        <f t="shared" si="59"/>
        <v>12</v>
      </c>
    </row>
    <row r="1898" spans="1:23" x14ac:dyDescent="0.35">
      <c r="A1898">
        <v>1895</v>
      </c>
      <c r="B1898">
        <v>3578</v>
      </c>
      <c r="C1898">
        <v>1949</v>
      </c>
      <c r="D1898" s="1" t="s">
        <v>10</v>
      </c>
      <c r="E1898" s="1" t="s">
        <v>16</v>
      </c>
      <c r="F1898">
        <v>49160</v>
      </c>
      <c r="G1898">
        <v>0</v>
      </c>
      <c r="H1898" s="2">
        <v>1</v>
      </c>
      <c r="I1898" s="2">
        <v>41567</v>
      </c>
      <c r="J1898">
        <v>29</v>
      </c>
      <c r="K1898">
        <f>VLOOKUP(B1898,purchase_dataset!$B$2:$F$2241,2,FALSE)</f>
        <v>21</v>
      </c>
      <c r="L1898">
        <f>VLOOKUP(B1898,purchase_dataset!$B$2:$F$2241,3,FALSE)</f>
        <v>10</v>
      </c>
      <c r="M1898">
        <f>VLOOKUP(B1898,purchase_dataset!$B$2:$F$2241,3,FALSE)</f>
        <v>10</v>
      </c>
      <c r="N1898">
        <f>VLOOKUP(B1898,purchase_dataset!$B$2:$F$2241,5,FALSE)</f>
        <v>6</v>
      </c>
      <c r="O1898" s="5">
        <v>77</v>
      </c>
      <c r="P1898" s="4" t="str">
        <f t="shared" si="58"/>
        <v>&gt;50</v>
      </c>
      <c r="Q1898" s="4">
        <f>M1898+N1898</f>
        <v>16</v>
      </c>
      <c r="U1898" s="28" t="str" cm="1">
        <f t="array" ref="U1898">_xlfn.IFS(F1898&lt;30000,"30k",F1898&lt;=50000,"30k-50k",F1898&lt;=75000,"50k-75k",F1898&lt;=100000,"75k-100k",F1898&gt;100000,"100k")</f>
        <v>30k-50k</v>
      </c>
      <c r="W1898" s="1">
        <f t="shared" si="59"/>
        <v>13</v>
      </c>
    </row>
    <row r="1899" spans="1:23" x14ac:dyDescent="0.35">
      <c r="A1899">
        <v>1896</v>
      </c>
      <c r="B1899">
        <v>8462</v>
      </c>
      <c r="C1899">
        <v>1978</v>
      </c>
      <c r="D1899" s="1" t="s">
        <v>17</v>
      </c>
      <c r="E1899" s="1" t="s">
        <v>12</v>
      </c>
      <c r="F1899">
        <v>24882</v>
      </c>
      <c r="G1899">
        <v>1</v>
      </c>
      <c r="H1899" s="2">
        <v>0</v>
      </c>
      <c r="I1899" s="2">
        <v>41161</v>
      </c>
      <c r="J1899">
        <v>52</v>
      </c>
      <c r="K1899">
        <f>VLOOKUP(B1899,purchase_dataset!$B$2:$F$2241,2,FALSE)</f>
        <v>4</v>
      </c>
      <c r="L1899">
        <f>VLOOKUP(B1899,purchase_dataset!$B$2:$F$2241,3,FALSE)</f>
        <v>0</v>
      </c>
      <c r="M1899">
        <f>VLOOKUP(B1899,purchase_dataset!$B$2:$F$2241,3,FALSE)</f>
        <v>0</v>
      </c>
      <c r="N1899">
        <f>VLOOKUP(B1899,purchase_dataset!$B$2:$F$2241,5,FALSE)</f>
        <v>2</v>
      </c>
      <c r="O1899" s="5">
        <v>48</v>
      </c>
      <c r="P1899" s="4" t="str">
        <f t="shared" si="58"/>
        <v>30-50</v>
      </c>
      <c r="Q1899" s="4">
        <f>M1899+N1899</f>
        <v>2</v>
      </c>
      <c r="U1899" s="28" t="str" cm="1">
        <f t="array" ref="U1899">_xlfn.IFS(F1899&lt;30000,"30k",F1899&lt;=50000,"30k-50k",F1899&lt;=75000,"50k-75k",F1899&lt;=100000,"75k-100k",F1899&gt;100000,"100k")</f>
        <v>30k</v>
      </c>
      <c r="W1899" s="1">
        <f t="shared" si="59"/>
        <v>14</v>
      </c>
    </row>
    <row r="1900" spans="1:23" x14ac:dyDescent="0.35">
      <c r="A1900">
        <v>1897</v>
      </c>
      <c r="B1900">
        <v>5558</v>
      </c>
      <c r="C1900">
        <v>1954</v>
      </c>
      <c r="D1900" s="1" t="s">
        <v>13</v>
      </c>
      <c r="E1900" s="1" t="s">
        <v>11</v>
      </c>
      <c r="F1900">
        <v>90933</v>
      </c>
      <c r="G1900">
        <v>0</v>
      </c>
      <c r="H1900" s="2">
        <v>0</v>
      </c>
      <c r="I1900" s="2">
        <v>41729</v>
      </c>
      <c r="J1900">
        <v>90</v>
      </c>
      <c r="K1900">
        <f>VLOOKUP(B1900,purchase_dataset!$B$2:$F$2241,2,FALSE)</f>
        <v>31</v>
      </c>
      <c r="L1900">
        <f>VLOOKUP(B1900,purchase_dataset!$B$2:$F$2241,3,FALSE)</f>
        <v>63</v>
      </c>
      <c r="M1900">
        <f>VLOOKUP(B1900,purchase_dataset!$B$2:$F$2241,3,FALSE)</f>
        <v>63</v>
      </c>
      <c r="N1900">
        <f>VLOOKUP(B1900,purchase_dataset!$B$2:$F$2241,5,FALSE)</f>
        <v>4</v>
      </c>
      <c r="O1900" s="5">
        <v>72</v>
      </c>
      <c r="P1900" s="4" t="str">
        <f t="shared" si="58"/>
        <v>&gt;50</v>
      </c>
      <c r="Q1900" s="4">
        <f>M1900+N1900</f>
        <v>67</v>
      </c>
      <c r="U1900" s="28" t="str" cm="1">
        <f t="array" ref="U1900">_xlfn.IFS(F1900&lt;30000,"30k",F1900&lt;=50000,"30k-50k",F1900&lt;=75000,"50k-75k",F1900&lt;=100000,"75k-100k",F1900&gt;100000,"100k")</f>
        <v>75k-100k</v>
      </c>
      <c r="W1900" s="1">
        <f t="shared" si="59"/>
        <v>12</v>
      </c>
    </row>
    <row r="1901" spans="1:23" x14ac:dyDescent="0.35">
      <c r="A1901">
        <v>1898</v>
      </c>
      <c r="B1901">
        <v>4619</v>
      </c>
      <c r="C1901">
        <v>1945</v>
      </c>
      <c r="D1901" s="1" t="s">
        <v>13</v>
      </c>
      <c r="E1901" s="1" t="s">
        <v>11</v>
      </c>
      <c r="F1901">
        <v>113734</v>
      </c>
      <c r="G1901">
        <v>0</v>
      </c>
      <c r="H1901" s="2">
        <v>0</v>
      </c>
      <c r="I1901" s="2">
        <v>41787</v>
      </c>
      <c r="J1901">
        <v>9</v>
      </c>
      <c r="K1901">
        <f>VLOOKUP(B1901,purchase_dataset!$B$2:$F$2241,2,FALSE)</f>
        <v>2</v>
      </c>
      <c r="L1901">
        <f>VLOOKUP(B1901,purchase_dataset!$B$2:$F$2241,3,FALSE)</f>
        <v>262</v>
      </c>
      <c r="M1901">
        <f>VLOOKUP(B1901,purchase_dataset!$B$2:$F$2241,3,FALSE)</f>
        <v>262</v>
      </c>
      <c r="N1901">
        <f>VLOOKUP(B1901,purchase_dataset!$B$2:$F$2241,5,FALSE)</f>
        <v>0</v>
      </c>
      <c r="O1901" s="5">
        <v>81</v>
      </c>
      <c r="P1901" s="4" t="str">
        <f t="shared" si="58"/>
        <v>&gt;50</v>
      </c>
      <c r="Q1901" s="4">
        <f>M1901+N1901</f>
        <v>262</v>
      </c>
      <c r="U1901" s="28" t="str" cm="1">
        <f t="array" ref="U1901">_xlfn.IFS(F1901&lt;30000,"30k",F1901&lt;=50000,"30k-50k",F1901&lt;=75000,"50k-75k",F1901&lt;=100000,"75k-100k",F1901&gt;100000,"100k")</f>
        <v>100k</v>
      </c>
      <c r="W1901" s="1">
        <f t="shared" si="59"/>
        <v>12</v>
      </c>
    </row>
    <row r="1902" spans="1:23" x14ac:dyDescent="0.35">
      <c r="A1902">
        <v>1899</v>
      </c>
      <c r="B1902">
        <v>8780</v>
      </c>
      <c r="C1902">
        <v>1950</v>
      </c>
      <c r="D1902" s="1" t="s">
        <v>13</v>
      </c>
      <c r="E1902" s="1" t="s">
        <v>12</v>
      </c>
      <c r="F1902">
        <v>59292</v>
      </c>
      <c r="G1902">
        <v>0</v>
      </c>
      <c r="H1902" s="2">
        <v>1</v>
      </c>
      <c r="I1902" s="2">
        <v>41438</v>
      </c>
      <c r="J1902">
        <v>71</v>
      </c>
      <c r="K1902">
        <f>VLOOKUP(B1902,purchase_dataset!$B$2:$F$2241,2,FALSE)</f>
        <v>14</v>
      </c>
      <c r="L1902">
        <f>VLOOKUP(B1902,purchase_dataset!$B$2:$F$2241,3,FALSE)</f>
        <v>14</v>
      </c>
      <c r="M1902">
        <f>VLOOKUP(B1902,purchase_dataset!$B$2:$F$2241,3,FALSE)</f>
        <v>14</v>
      </c>
      <c r="N1902">
        <f>VLOOKUP(B1902,purchase_dataset!$B$2:$F$2241,5,FALSE)</f>
        <v>8</v>
      </c>
      <c r="O1902" s="5">
        <v>76</v>
      </c>
      <c r="P1902" s="4" t="str">
        <f t="shared" si="58"/>
        <v>&gt;50</v>
      </c>
      <c r="Q1902" s="4">
        <f>M1902+N1902</f>
        <v>22</v>
      </c>
      <c r="U1902" s="28" t="str" cm="1">
        <f t="array" ref="U1902">_xlfn.IFS(F1902&lt;30000,"30k",F1902&lt;=50000,"30k-50k",F1902&lt;=75000,"50k-75k",F1902&lt;=100000,"75k-100k",F1902&gt;100000,"100k")</f>
        <v>50k-75k</v>
      </c>
      <c r="W1902" s="1">
        <f t="shared" si="59"/>
        <v>13</v>
      </c>
    </row>
    <row r="1903" spans="1:23" x14ac:dyDescent="0.35">
      <c r="A1903">
        <v>1900</v>
      </c>
      <c r="B1903">
        <v>10789</v>
      </c>
      <c r="C1903">
        <v>1964</v>
      </c>
      <c r="D1903" s="1" t="s">
        <v>13</v>
      </c>
      <c r="E1903" s="1" t="s">
        <v>14</v>
      </c>
      <c r="F1903">
        <v>45759</v>
      </c>
      <c r="G1903">
        <v>1</v>
      </c>
      <c r="H1903" s="2">
        <v>1</v>
      </c>
      <c r="I1903" s="2">
        <v>41328</v>
      </c>
      <c r="J1903">
        <v>13</v>
      </c>
      <c r="K1903">
        <f>VLOOKUP(B1903,purchase_dataset!$B$2:$F$2241,2,FALSE)</f>
        <v>1</v>
      </c>
      <c r="L1903">
        <f>VLOOKUP(B1903,purchase_dataset!$B$2:$F$2241,3,FALSE)</f>
        <v>0</v>
      </c>
      <c r="M1903">
        <f>VLOOKUP(B1903,purchase_dataset!$B$2:$F$2241,3,FALSE)</f>
        <v>0</v>
      </c>
      <c r="N1903">
        <f>VLOOKUP(B1903,purchase_dataset!$B$2:$F$2241,5,FALSE)</f>
        <v>3</v>
      </c>
      <c r="O1903" s="5">
        <v>62</v>
      </c>
      <c r="P1903" s="4" t="str">
        <f t="shared" si="58"/>
        <v>&gt;50</v>
      </c>
      <c r="Q1903" s="4">
        <f>M1903+N1903</f>
        <v>3</v>
      </c>
      <c r="U1903" s="28" t="str" cm="1">
        <f t="array" ref="U1903">_xlfn.IFS(F1903&lt;30000,"30k",F1903&lt;=50000,"30k-50k",F1903&lt;=75000,"50k-75k",F1903&lt;=100000,"75k-100k",F1903&gt;100000,"100k")</f>
        <v>30k-50k</v>
      </c>
      <c r="W1903" s="1">
        <f t="shared" si="59"/>
        <v>13</v>
      </c>
    </row>
    <row r="1904" spans="1:23" x14ac:dyDescent="0.35">
      <c r="A1904">
        <v>1901</v>
      </c>
      <c r="B1904">
        <v>10779</v>
      </c>
      <c r="C1904">
        <v>1983</v>
      </c>
      <c r="D1904" s="1" t="s">
        <v>10</v>
      </c>
      <c r="E1904" s="1" t="s">
        <v>11</v>
      </c>
      <c r="F1904">
        <v>22148</v>
      </c>
      <c r="G1904">
        <v>0</v>
      </c>
      <c r="H1904" s="2">
        <v>0</v>
      </c>
      <c r="I1904" s="2">
        <v>41742</v>
      </c>
      <c r="J1904">
        <v>16</v>
      </c>
      <c r="K1904">
        <f>VLOOKUP(B1904,purchase_dataset!$B$2:$F$2241,2,FALSE)</f>
        <v>5</v>
      </c>
      <c r="L1904">
        <f>VLOOKUP(B1904,purchase_dataset!$B$2:$F$2241,3,FALSE)</f>
        <v>4</v>
      </c>
      <c r="M1904">
        <f>VLOOKUP(B1904,purchase_dataset!$B$2:$F$2241,3,FALSE)</f>
        <v>4</v>
      </c>
      <c r="N1904">
        <f>VLOOKUP(B1904,purchase_dataset!$B$2:$F$2241,5,FALSE)</f>
        <v>3</v>
      </c>
      <c r="O1904" s="5">
        <v>43</v>
      </c>
      <c r="P1904" s="4" t="str">
        <f t="shared" si="58"/>
        <v>30-50</v>
      </c>
      <c r="Q1904" s="4">
        <f>M1904+N1904</f>
        <v>7</v>
      </c>
      <c r="U1904" s="28" t="str" cm="1">
        <f t="array" ref="U1904">_xlfn.IFS(F1904&lt;30000,"30k",F1904&lt;=50000,"30k-50k",F1904&lt;=75000,"50k-75k",F1904&lt;=100000,"75k-100k",F1904&gt;100000,"100k")</f>
        <v>30k</v>
      </c>
      <c r="W1904" s="1">
        <f t="shared" si="59"/>
        <v>12</v>
      </c>
    </row>
    <row r="1905" spans="1:23" x14ac:dyDescent="0.35">
      <c r="A1905">
        <v>1902</v>
      </c>
      <c r="B1905">
        <v>5896</v>
      </c>
      <c r="C1905">
        <v>1987</v>
      </c>
      <c r="D1905" s="1" t="s">
        <v>15</v>
      </c>
      <c r="E1905" s="1" t="s">
        <v>14</v>
      </c>
      <c r="F1905">
        <v>73395</v>
      </c>
      <c r="G1905">
        <v>0</v>
      </c>
      <c r="H1905" s="2">
        <v>0</v>
      </c>
      <c r="I1905" s="2">
        <v>41716</v>
      </c>
      <c r="J1905">
        <v>94</v>
      </c>
      <c r="K1905">
        <f>VLOOKUP(B1905,purchase_dataset!$B$2:$F$2241,2,FALSE)</f>
        <v>7</v>
      </c>
      <c r="L1905">
        <f>VLOOKUP(B1905,purchase_dataset!$B$2:$F$2241,3,FALSE)</f>
        <v>7</v>
      </c>
      <c r="M1905">
        <f>VLOOKUP(B1905,purchase_dataset!$B$2:$F$2241,3,FALSE)</f>
        <v>7</v>
      </c>
      <c r="N1905">
        <f>VLOOKUP(B1905,purchase_dataset!$B$2:$F$2241,5,FALSE)</f>
        <v>6</v>
      </c>
      <c r="O1905" s="5">
        <v>39</v>
      </c>
      <c r="P1905" s="4" t="str">
        <f t="shared" si="58"/>
        <v>30-50</v>
      </c>
      <c r="Q1905" s="4">
        <f>M1905+N1905</f>
        <v>13</v>
      </c>
      <c r="U1905" s="28" t="str" cm="1">
        <f t="array" ref="U1905">_xlfn.IFS(F1905&lt;30000,"30k",F1905&lt;=50000,"30k-50k",F1905&lt;=75000,"50k-75k",F1905&lt;=100000,"75k-100k",F1905&gt;100000,"100k")</f>
        <v>50k-75k</v>
      </c>
      <c r="W1905" s="1">
        <f t="shared" si="59"/>
        <v>12</v>
      </c>
    </row>
    <row r="1906" spans="1:23" x14ac:dyDescent="0.35">
      <c r="A1906">
        <v>1903</v>
      </c>
      <c r="B1906">
        <v>2337</v>
      </c>
      <c r="C1906">
        <v>1971</v>
      </c>
      <c r="D1906" s="1" t="s">
        <v>10</v>
      </c>
      <c r="E1906" s="1" t="s">
        <v>16</v>
      </c>
      <c r="F1906">
        <v>29819</v>
      </c>
      <c r="G1906">
        <v>1</v>
      </c>
      <c r="H1906" s="2">
        <v>0</v>
      </c>
      <c r="I1906" s="2">
        <v>41571</v>
      </c>
      <c r="J1906">
        <v>77</v>
      </c>
      <c r="K1906">
        <f>VLOOKUP(B1906,purchase_dataset!$B$2:$F$2241,2,FALSE)</f>
        <v>1</v>
      </c>
      <c r="L1906">
        <f>VLOOKUP(B1906,purchase_dataset!$B$2:$F$2241,3,FALSE)</f>
        <v>1</v>
      </c>
      <c r="M1906">
        <f>VLOOKUP(B1906,purchase_dataset!$B$2:$F$2241,3,FALSE)</f>
        <v>1</v>
      </c>
      <c r="N1906">
        <f>VLOOKUP(B1906,purchase_dataset!$B$2:$F$2241,5,FALSE)</f>
        <v>3</v>
      </c>
      <c r="O1906" s="5">
        <v>55</v>
      </c>
      <c r="P1906" s="4" t="str">
        <f t="shared" si="58"/>
        <v>&gt;50</v>
      </c>
      <c r="Q1906" s="4">
        <f>M1906+N1906</f>
        <v>4</v>
      </c>
      <c r="U1906" s="28" t="str" cm="1">
        <f t="array" ref="U1906">_xlfn.IFS(F1906&lt;30000,"30k",F1906&lt;=50000,"30k-50k",F1906&lt;=75000,"50k-75k",F1906&lt;=100000,"75k-100k",F1906&gt;100000,"100k")</f>
        <v>30k</v>
      </c>
      <c r="W1906" s="1">
        <f t="shared" si="59"/>
        <v>13</v>
      </c>
    </row>
    <row r="1907" spans="1:23" x14ac:dyDescent="0.35">
      <c r="A1907">
        <v>1904</v>
      </c>
      <c r="B1907">
        <v>10951</v>
      </c>
      <c r="C1907">
        <v>1968</v>
      </c>
      <c r="D1907" s="1" t="s">
        <v>10</v>
      </c>
      <c r="E1907" s="1" t="s">
        <v>14</v>
      </c>
      <c r="F1907">
        <v>45688</v>
      </c>
      <c r="G1907">
        <v>0</v>
      </c>
      <c r="H1907" s="2">
        <v>1</v>
      </c>
      <c r="I1907" s="2">
        <v>41664</v>
      </c>
      <c r="J1907">
        <v>20</v>
      </c>
      <c r="K1907">
        <f>VLOOKUP(B1907,purchase_dataset!$B$2:$F$2241,2,FALSE)</f>
        <v>0</v>
      </c>
      <c r="L1907">
        <f>VLOOKUP(B1907,purchase_dataset!$B$2:$F$2241,3,FALSE)</f>
        <v>0</v>
      </c>
      <c r="M1907">
        <f>VLOOKUP(B1907,purchase_dataset!$B$2:$F$2241,3,FALSE)</f>
        <v>0</v>
      </c>
      <c r="N1907">
        <f>VLOOKUP(B1907,purchase_dataset!$B$2:$F$2241,5,FALSE)</f>
        <v>8</v>
      </c>
      <c r="O1907" s="5">
        <v>58</v>
      </c>
      <c r="P1907" s="4" t="str">
        <f t="shared" si="58"/>
        <v>&gt;50</v>
      </c>
      <c r="Q1907" s="4">
        <f>M1907+N1907</f>
        <v>8</v>
      </c>
      <c r="U1907" s="28" t="str" cm="1">
        <f t="array" ref="U1907">_xlfn.IFS(F1907&lt;30000,"30k",F1907&lt;=50000,"30k-50k",F1907&lt;=75000,"50k-75k",F1907&lt;=100000,"75k-100k",F1907&gt;100000,"100k")</f>
        <v>30k-50k</v>
      </c>
      <c r="W1907" s="1">
        <f t="shared" si="59"/>
        <v>12</v>
      </c>
    </row>
    <row r="1908" spans="1:23" x14ac:dyDescent="0.35">
      <c r="A1908">
        <v>1905</v>
      </c>
      <c r="B1908">
        <v>544</v>
      </c>
      <c r="C1908">
        <v>1954</v>
      </c>
      <c r="D1908" s="1" t="s">
        <v>10</v>
      </c>
      <c r="E1908" s="1" t="s">
        <v>14</v>
      </c>
      <c r="F1908">
        <v>62820</v>
      </c>
      <c r="G1908">
        <v>0</v>
      </c>
      <c r="H1908" s="2">
        <v>0</v>
      </c>
      <c r="I1908" s="2">
        <v>41405</v>
      </c>
      <c r="J1908">
        <v>51</v>
      </c>
      <c r="K1908">
        <f>VLOOKUP(B1908,purchase_dataset!$B$2:$F$2241,2,FALSE)</f>
        <v>61</v>
      </c>
      <c r="L1908">
        <f>VLOOKUP(B1908,purchase_dataset!$B$2:$F$2241,3,FALSE)</f>
        <v>61</v>
      </c>
      <c r="M1908">
        <f>VLOOKUP(B1908,purchase_dataset!$B$2:$F$2241,3,FALSE)</f>
        <v>61</v>
      </c>
      <c r="N1908">
        <f>VLOOKUP(B1908,purchase_dataset!$B$2:$F$2241,5,FALSE)</f>
        <v>6</v>
      </c>
      <c r="O1908" s="5">
        <v>72</v>
      </c>
      <c r="P1908" s="4" t="str">
        <f t="shared" si="58"/>
        <v>&gt;50</v>
      </c>
      <c r="Q1908" s="4">
        <f>M1908+N1908</f>
        <v>67</v>
      </c>
      <c r="U1908" s="28" t="str" cm="1">
        <f t="array" ref="U1908">_xlfn.IFS(F1908&lt;30000,"30k",F1908&lt;=50000,"30k-50k",F1908&lt;=75000,"50k-75k",F1908&lt;=100000,"75k-100k",F1908&gt;100000,"100k")</f>
        <v>50k-75k</v>
      </c>
      <c r="W1908" s="1">
        <f t="shared" si="59"/>
        <v>13</v>
      </c>
    </row>
    <row r="1909" spans="1:23" x14ac:dyDescent="0.35">
      <c r="A1909">
        <v>1906</v>
      </c>
      <c r="B1909">
        <v>17</v>
      </c>
      <c r="C1909">
        <v>1971</v>
      </c>
      <c r="D1909" s="1" t="s">
        <v>13</v>
      </c>
      <c r="E1909" s="1" t="s">
        <v>14</v>
      </c>
      <c r="F1909">
        <v>60491</v>
      </c>
      <c r="G1909">
        <v>0</v>
      </c>
      <c r="H1909" s="2">
        <v>1</v>
      </c>
      <c r="I1909" s="2">
        <v>41523</v>
      </c>
      <c r="J1909">
        <v>81</v>
      </c>
      <c r="K1909">
        <f>VLOOKUP(B1909,purchase_dataset!$B$2:$F$2241,2,FALSE)</f>
        <v>47</v>
      </c>
      <c r="L1909">
        <f>VLOOKUP(B1909,purchase_dataset!$B$2:$F$2241,3,FALSE)</f>
        <v>19</v>
      </c>
      <c r="M1909">
        <f>VLOOKUP(B1909,purchase_dataset!$B$2:$F$2241,3,FALSE)</f>
        <v>19</v>
      </c>
      <c r="N1909">
        <f>VLOOKUP(B1909,purchase_dataset!$B$2:$F$2241,5,FALSE)</f>
        <v>7</v>
      </c>
      <c r="O1909" s="5">
        <v>55</v>
      </c>
      <c r="P1909" s="4" t="str">
        <f t="shared" si="58"/>
        <v>&gt;50</v>
      </c>
      <c r="Q1909" s="4">
        <f>M1909+N1909</f>
        <v>26</v>
      </c>
      <c r="U1909" s="28" t="str" cm="1">
        <f t="array" ref="U1909">_xlfn.IFS(F1909&lt;30000,"30k",F1909&lt;=50000,"30k-50k",F1909&lt;=75000,"50k-75k",F1909&lt;=100000,"75k-100k",F1909&gt;100000,"100k")</f>
        <v>50k-75k</v>
      </c>
      <c r="W1909" s="1">
        <f t="shared" si="59"/>
        <v>13</v>
      </c>
    </row>
    <row r="1910" spans="1:23" x14ac:dyDescent="0.35">
      <c r="A1910">
        <v>1907</v>
      </c>
      <c r="B1910">
        <v>10680</v>
      </c>
      <c r="C1910">
        <v>1986</v>
      </c>
      <c r="D1910" s="1" t="s">
        <v>10</v>
      </c>
      <c r="E1910" s="1" t="s">
        <v>12</v>
      </c>
      <c r="F1910">
        <v>33235</v>
      </c>
      <c r="G1910">
        <v>1</v>
      </c>
      <c r="H1910" s="2">
        <v>0</v>
      </c>
      <c r="I1910" s="2">
        <v>41675</v>
      </c>
      <c r="J1910">
        <v>71</v>
      </c>
      <c r="K1910">
        <f>VLOOKUP(B1910,purchase_dataset!$B$2:$F$2241,2,FALSE)</f>
        <v>0</v>
      </c>
      <c r="L1910">
        <f>VLOOKUP(B1910,purchase_dataset!$B$2:$F$2241,3,FALSE)</f>
        <v>1</v>
      </c>
      <c r="M1910">
        <f>VLOOKUP(B1910,purchase_dataset!$B$2:$F$2241,3,FALSE)</f>
        <v>1</v>
      </c>
      <c r="N1910">
        <f>VLOOKUP(B1910,purchase_dataset!$B$2:$F$2241,5,FALSE)</f>
        <v>3</v>
      </c>
      <c r="O1910" s="5">
        <v>40</v>
      </c>
      <c r="P1910" s="4" t="str">
        <f t="shared" si="58"/>
        <v>30-50</v>
      </c>
      <c r="Q1910" s="4">
        <f>M1910+N1910</f>
        <v>4</v>
      </c>
      <c r="U1910" s="28" t="str" cm="1">
        <f t="array" ref="U1910">_xlfn.IFS(F1910&lt;30000,"30k",F1910&lt;=50000,"30k-50k",F1910&lt;=75000,"50k-75k",F1910&lt;=100000,"75k-100k",F1910&gt;100000,"100k")</f>
        <v>30k-50k</v>
      </c>
      <c r="W1910" s="1">
        <f t="shared" si="59"/>
        <v>12</v>
      </c>
    </row>
    <row r="1911" spans="1:23" x14ac:dyDescent="0.35">
      <c r="A1911">
        <v>1908</v>
      </c>
      <c r="B1911">
        <v>3265</v>
      </c>
      <c r="C1911">
        <v>1959</v>
      </c>
      <c r="D1911" s="1" t="s">
        <v>10</v>
      </c>
      <c r="E1911" s="1" t="s">
        <v>14</v>
      </c>
      <c r="F1911">
        <v>35701</v>
      </c>
      <c r="G1911">
        <v>0</v>
      </c>
      <c r="H1911" s="2">
        <v>0</v>
      </c>
      <c r="I1911" s="2">
        <v>41352</v>
      </c>
      <c r="J1911">
        <v>36</v>
      </c>
      <c r="K1911">
        <f>VLOOKUP(B1911,purchase_dataset!$B$2:$F$2241,2,FALSE)</f>
        <v>1</v>
      </c>
      <c r="L1911">
        <f>VLOOKUP(B1911,purchase_dataset!$B$2:$F$2241,3,FALSE)</f>
        <v>3</v>
      </c>
      <c r="M1911">
        <f>VLOOKUP(B1911,purchase_dataset!$B$2:$F$2241,3,FALSE)</f>
        <v>3</v>
      </c>
      <c r="N1911">
        <f>VLOOKUP(B1911,purchase_dataset!$B$2:$F$2241,5,FALSE)</f>
        <v>3</v>
      </c>
      <c r="O1911" s="5">
        <v>67</v>
      </c>
      <c r="P1911" s="4" t="str">
        <f t="shared" si="58"/>
        <v>&gt;50</v>
      </c>
      <c r="Q1911" s="4">
        <f>M1911+N1911</f>
        <v>6</v>
      </c>
      <c r="U1911" s="28" t="str" cm="1">
        <f t="array" ref="U1911">_xlfn.IFS(F1911&lt;30000,"30k",F1911&lt;=50000,"30k-50k",F1911&lt;=75000,"50k-75k",F1911&lt;=100000,"75k-100k",F1911&gt;100000,"100k")</f>
        <v>30k-50k</v>
      </c>
      <c r="W1911" s="1">
        <f t="shared" si="59"/>
        <v>13</v>
      </c>
    </row>
    <row r="1912" spans="1:23" x14ac:dyDescent="0.35">
      <c r="A1912">
        <v>1909</v>
      </c>
      <c r="B1912">
        <v>5623</v>
      </c>
      <c r="C1912">
        <v>1980</v>
      </c>
      <c r="D1912" s="1" t="s">
        <v>15</v>
      </c>
      <c r="E1912" s="1" t="s">
        <v>14</v>
      </c>
      <c r="F1912">
        <v>31535</v>
      </c>
      <c r="G1912">
        <v>1</v>
      </c>
      <c r="H1912" s="2">
        <v>0</v>
      </c>
      <c r="I1912" s="2">
        <v>41543</v>
      </c>
      <c r="J1912">
        <v>95</v>
      </c>
      <c r="K1912">
        <f>VLOOKUP(B1912,purchase_dataset!$B$2:$F$2241,2,FALSE)</f>
        <v>4</v>
      </c>
      <c r="L1912">
        <f>VLOOKUP(B1912,purchase_dataset!$B$2:$F$2241,3,FALSE)</f>
        <v>0</v>
      </c>
      <c r="M1912">
        <f>VLOOKUP(B1912,purchase_dataset!$B$2:$F$2241,3,FALSE)</f>
        <v>0</v>
      </c>
      <c r="N1912">
        <f>VLOOKUP(B1912,purchase_dataset!$B$2:$F$2241,5,FALSE)</f>
        <v>2</v>
      </c>
      <c r="O1912" s="5">
        <v>46</v>
      </c>
      <c r="P1912" s="4" t="str">
        <f t="shared" si="58"/>
        <v>30-50</v>
      </c>
      <c r="Q1912" s="4">
        <f>M1912+N1912</f>
        <v>2</v>
      </c>
      <c r="U1912" s="28" t="str" cm="1">
        <f t="array" ref="U1912">_xlfn.IFS(F1912&lt;30000,"30k",F1912&lt;=50000,"30k-50k",F1912&lt;=75000,"50k-75k",F1912&lt;=100000,"75k-100k",F1912&gt;100000,"100k")</f>
        <v>30k-50k</v>
      </c>
      <c r="W1912" s="1">
        <f t="shared" si="59"/>
        <v>13</v>
      </c>
    </row>
    <row r="1913" spans="1:23" x14ac:dyDescent="0.35">
      <c r="A1913">
        <v>1910</v>
      </c>
      <c r="B1913">
        <v>5832</v>
      </c>
      <c r="C1913">
        <v>1960</v>
      </c>
      <c r="D1913" s="1" t="s">
        <v>18</v>
      </c>
      <c r="E1913" s="1" t="s">
        <v>12</v>
      </c>
      <c r="F1913">
        <v>92556</v>
      </c>
      <c r="G1913">
        <v>0</v>
      </c>
      <c r="H1913" s="2">
        <v>0</v>
      </c>
      <c r="I1913" s="2">
        <v>41749</v>
      </c>
      <c r="J1913">
        <v>32</v>
      </c>
      <c r="K1913">
        <f>VLOOKUP(B1913,purchase_dataset!$B$2:$F$2241,2,FALSE)</f>
        <v>183</v>
      </c>
      <c r="L1913">
        <f>VLOOKUP(B1913,purchase_dataset!$B$2:$F$2241,3,FALSE)</f>
        <v>23</v>
      </c>
      <c r="M1913">
        <f>VLOOKUP(B1913,purchase_dataset!$B$2:$F$2241,3,FALSE)</f>
        <v>23</v>
      </c>
      <c r="N1913">
        <f>VLOOKUP(B1913,purchase_dataset!$B$2:$F$2241,5,FALSE)</f>
        <v>13</v>
      </c>
      <c r="O1913" s="5">
        <v>66</v>
      </c>
      <c r="P1913" s="4" t="str">
        <f t="shared" si="58"/>
        <v>&gt;50</v>
      </c>
      <c r="Q1913" s="4">
        <f>M1913+N1913</f>
        <v>36</v>
      </c>
      <c r="U1913" s="28" t="str" cm="1">
        <f t="array" ref="U1913">_xlfn.IFS(F1913&lt;30000,"30k",F1913&lt;=50000,"30k-50k",F1913&lt;=75000,"50k-75k",F1913&lt;=100000,"75k-100k",F1913&gt;100000,"100k")</f>
        <v>75k-100k</v>
      </c>
      <c r="W1913" s="1">
        <f t="shared" si="59"/>
        <v>12</v>
      </c>
    </row>
    <row r="1914" spans="1:23" x14ac:dyDescent="0.35">
      <c r="A1914">
        <v>1911</v>
      </c>
      <c r="B1914">
        <v>5544</v>
      </c>
      <c r="C1914">
        <v>1970</v>
      </c>
      <c r="D1914" s="1" t="s">
        <v>10</v>
      </c>
      <c r="E1914" s="1" t="s">
        <v>11</v>
      </c>
      <c r="F1914">
        <v>67384</v>
      </c>
      <c r="G1914">
        <v>0</v>
      </c>
      <c r="H1914" s="2">
        <v>1</v>
      </c>
      <c r="I1914" s="2">
        <v>41223</v>
      </c>
      <c r="J1914">
        <v>32</v>
      </c>
      <c r="K1914">
        <f>VLOOKUP(B1914,purchase_dataset!$B$2:$F$2241,2,FALSE)</f>
        <v>40</v>
      </c>
      <c r="L1914">
        <f>VLOOKUP(B1914,purchase_dataset!$B$2:$F$2241,3,FALSE)</f>
        <v>53</v>
      </c>
      <c r="M1914">
        <f>VLOOKUP(B1914,purchase_dataset!$B$2:$F$2241,3,FALSE)</f>
        <v>53</v>
      </c>
      <c r="N1914">
        <f>VLOOKUP(B1914,purchase_dataset!$B$2:$F$2241,5,FALSE)</f>
        <v>5</v>
      </c>
      <c r="O1914" s="5">
        <v>56</v>
      </c>
      <c r="P1914" s="4" t="str">
        <f t="shared" si="58"/>
        <v>&gt;50</v>
      </c>
      <c r="Q1914" s="4">
        <f>M1914+N1914</f>
        <v>58</v>
      </c>
      <c r="U1914" s="28" t="str" cm="1">
        <f t="array" ref="U1914">_xlfn.IFS(F1914&lt;30000,"30k",F1914&lt;=50000,"30k-50k",F1914&lt;=75000,"50k-75k",F1914&lt;=100000,"75k-100k",F1914&gt;100000,"100k")</f>
        <v>50k-75k</v>
      </c>
      <c r="W1914" s="1">
        <f t="shared" si="59"/>
        <v>14</v>
      </c>
    </row>
    <row r="1915" spans="1:23" x14ac:dyDescent="0.35">
      <c r="A1915">
        <v>1912</v>
      </c>
      <c r="B1915">
        <v>6417</v>
      </c>
      <c r="C1915">
        <v>1971</v>
      </c>
      <c r="D1915" s="1" t="s">
        <v>15</v>
      </c>
      <c r="E1915" s="1" t="s">
        <v>12</v>
      </c>
      <c r="F1915">
        <v>80573</v>
      </c>
      <c r="G1915">
        <v>0</v>
      </c>
      <c r="H1915" s="2">
        <v>0</v>
      </c>
      <c r="I1915" s="2">
        <v>41196</v>
      </c>
      <c r="J1915">
        <v>85</v>
      </c>
      <c r="K1915">
        <f>VLOOKUP(B1915,purchase_dataset!$B$2:$F$2241,2,FALSE)</f>
        <v>138</v>
      </c>
      <c r="L1915">
        <f>VLOOKUP(B1915,purchase_dataset!$B$2:$F$2241,3,FALSE)</f>
        <v>92</v>
      </c>
      <c r="M1915">
        <f>VLOOKUP(B1915,purchase_dataset!$B$2:$F$2241,3,FALSE)</f>
        <v>92</v>
      </c>
      <c r="N1915">
        <f>VLOOKUP(B1915,purchase_dataset!$B$2:$F$2241,5,FALSE)</f>
        <v>13</v>
      </c>
      <c r="O1915" s="5">
        <v>55</v>
      </c>
      <c r="P1915" s="4" t="str">
        <f t="shared" si="58"/>
        <v>&gt;50</v>
      </c>
      <c r="Q1915" s="4">
        <f>M1915+N1915</f>
        <v>105</v>
      </c>
      <c r="U1915" s="28" t="str" cm="1">
        <f t="array" ref="U1915">_xlfn.IFS(F1915&lt;30000,"30k",F1915&lt;=50000,"30k-50k",F1915&lt;=75000,"50k-75k",F1915&lt;=100000,"75k-100k",F1915&gt;100000,"100k")</f>
        <v>75k-100k</v>
      </c>
      <c r="W1915" s="1">
        <f t="shared" si="59"/>
        <v>14</v>
      </c>
    </row>
    <row r="1916" spans="1:23" x14ac:dyDescent="0.35">
      <c r="A1916">
        <v>1913</v>
      </c>
      <c r="B1916">
        <v>5831</v>
      </c>
      <c r="C1916">
        <v>1967</v>
      </c>
      <c r="D1916" s="1" t="s">
        <v>10</v>
      </c>
      <c r="E1916" s="1" t="s">
        <v>14</v>
      </c>
      <c r="F1916">
        <v>77870</v>
      </c>
      <c r="G1916">
        <v>0</v>
      </c>
      <c r="H1916" s="2">
        <v>1</v>
      </c>
      <c r="I1916" s="2">
        <v>41143</v>
      </c>
      <c r="J1916">
        <v>93</v>
      </c>
      <c r="K1916">
        <f>VLOOKUP(B1916,purchase_dataset!$B$2:$F$2241,2,FALSE)</f>
        <v>50</v>
      </c>
      <c r="L1916">
        <f>VLOOKUP(B1916,purchase_dataset!$B$2:$F$2241,3,FALSE)</f>
        <v>50</v>
      </c>
      <c r="M1916">
        <f>VLOOKUP(B1916,purchase_dataset!$B$2:$F$2241,3,FALSE)</f>
        <v>50</v>
      </c>
      <c r="N1916">
        <f>VLOOKUP(B1916,purchase_dataset!$B$2:$F$2241,5,FALSE)</f>
        <v>5</v>
      </c>
      <c r="O1916" s="5">
        <v>59</v>
      </c>
      <c r="P1916" s="4" t="str">
        <f t="shared" si="58"/>
        <v>&gt;50</v>
      </c>
      <c r="Q1916" s="4">
        <f>M1916+N1916</f>
        <v>55</v>
      </c>
      <c r="U1916" s="28" t="str" cm="1">
        <f t="array" ref="U1916">_xlfn.IFS(F1916&lt;30000,"30k",F1916&lt;=50000,"30k-50k",F1916&lt;=75000,"50k-75k",F1916&lt;=100000,"75k-100k",F1916&gt;100000,"100k")</f>
        <v>75k-100k</v>
      </c>
      <c r="W1916" s="1">
        <f t="shared" si="59"/>
        <v>14</v>
      </c>
    </row>
    <row r="1917" spans="1:23" x14ac:dyDescent="0.35">
      <c r="A1917">
        <v>1914</v>
      </c>
      <c r="B1917">
        <v>7101</v>
      </c>
      <c r="C1917">
        <v>1963</v>
      </c>
      <c r="D1917" s="1" t="s">
        <v>13</v>
      </c>
      <c r="E1917" s="1" t="s">
        <v>19</v>
      </c>
      <c r="F1917">
        <v>52278</v>
      </c>
      <c r="G1917">
        <v>0</v>
      </c>
      <c r="H1917" s="2">
        <v>1</v>
      </c>
      <c r="I1917" s="2">
        <v>41299</v>
      </c>
      <c r="J1917">
        <v>24</v>
      </c>
      <c r="K1917">
        <f>VLOOKUP(B1917,purchase_dataset!$B$2:$F$2241,2,FALSE)</f>
        <v>0</v>
      </c>
      <c r="L1917">
        <f>VLOOKUP(B1917,purchase_dataset!$B$2:$F$2241,3,FALSE)</f>
        <v>0</v>
      </c>
      <c r="M1917">
        <f>VLOOKUP(B1917,purchase_dataset!$B$2:$F$2241,3,FALSE)</f>
        <v>0</v>
      </c>
      <c r="N1917">
        <f>VLOOKUP(B1917,purchase_dataset!$B$2:$F$2241,5,FALSE)</f>
        <v>10</v>
      </c>
      <c r="O1917" s="5">
        <v>63</v>
      </c>
      <c r="P1917" s="4" t="str">
        <f t="shared" si="58"/>
        <v>&gt;50</v>
      </c>
      <c r="Q1917" s="4">
        <f>M1917+N1917</f>
        <v>10</v>
      </c>
      <c r="U1917" s="28" t="str" cm="1">
        <f t="array" ref="U1917">_xlfn.IFS(F1917&lt;30000,"30k",F1917&lt;=50000,"30k-50k",F1917&lt;=75000,"50k-75k",F1917&lt;=100000,"75k-100k",F1917&gt;100000,"100k")</f>
        <v>50k-75k</v>
      </c>
      <c r="W1917" s="1">
        <f t="shared" si="59"/>
        <v>13</v>
      </c>
    </row>
    <row r="1918" spans="1:23" x14ac:dyDescent="0.35">
      <c r="A1918">
        <v>1915</v>
      </c>
      <c r="B1918">
        <v>10176</v>
      </c>
      <c r="C1918">
        <v>1968</v>
      </c>
      <c r="D1918" s="1" t="s">
        <v>10</v>
      </c>
      <c r="E1918" s="1" t="s">
        <v>11</v>
      </c>
      <c r="F1918">
        <v>57107</v>
      </c>
      <c r="G1918">
        <v>0</v>
      </c>
      <c r="H1918" s="2">
        <v>1</v>
      </c>
      <c r="I1918" s="2">
        <v>41145</v>
      </c>
      <c r="J1918">
        <v>44</v>
      </c>
      <c r="K1918">
        <f>VLOOKUP(B1918,purchase_dataset!$B$2:$F$2241,2,FALSE)</f>
        <v>0</v>
      </c>
      <c r="L1918">
        <f>VLOOKUP(B1918,purchase_dataset!$B$2:$F$2241,3,FALSE)</f>
        <v>0</v>
      </c>
      <c r="M1918">
        <f>VLOOKUP(B1918,purchase_dataset!$B$2:$F$2241,3,FALSE)</f>
        <v>0</v>
      </c>
      <c r="N1918">
        <f>VLOOKUP(B1918,purchase_dataset!$B$2:$F$2241,5,FALSE)</f>
        <v>8</v>
      </c>
      <c r="O1918" s="5">
        <v>58</v>
      </c>
      <c r="P1918" s="4" t="str">
        <f t="shared" si="58"/>
        <v>&gt;50</v>
      </c>
      <c r="Q1918" s="4">
        <f>M1918+N1918</f>
        <v>8</v>
      </c>
      <c r="U1918" s="28" t="str" cm="1">
        <f t="array" ref="U1918">_xlfn.IFS(F1918&lt;30000,"30k",F1918&lt;=50000,"30k-50k",F1918&lt;=75000,"50k-75k",F1918&lt;=100000,"75k-100k",F1918&gt;100000,"100k")</f>
        <v>50k-75k</v>
      </c>
      <c r="W1918" s="1">
        <f t="shared" si="59"/>
        <v>14</v>
      </c>
    </row>
    <row r="1919" spans="1:23" x14ac:dyDescent="0.35">
      <c r="A1919">
        <v>1916</v>
      </c>
      <c r="B1919">
        <v>2326</v>
      </c>
      <c r="C1919">
        <v>1990</v>
      </c>
      <c r="D1919" s="1" t="s">
        <v>10</v>
      </c>
      <c r="E1919" s="1" t="s">
        <v>14</v>
      </c>
      <c r="F1919">
        <v>18929</v>
      </c>
      <c r="G1919">
        <v>0</v>
      </c>
      <c r="H1919" s="2">
        <v>0</v>
      </c>
      <c r="I1919" s="2">
        <v>41321</v>
      </c>
      <c r="J1919">
        <v>15</v>
      </c>
      <c r="K1919">
        <f>VLOOKUP(B1919,purchase_dataset!$B$2:$F$2241,2,FALSE)</f>
        <v>0</v>
      </c>
      <c r="L1919">
        <f>VLOOKUP(B1919,purchase_dataset!$B$2:$F$2241,3,FALSE)</f>
        <v>4</v>
      </c>
      <c r="M1919">
        <f>VLOOKUP(B1919,purchase_dataset!$B$2:$F$2241,3,FALSE)</f>
        <v>4</v>
      </c>
      <c r="N1919">
        <f>VLOOKUP(B1919,purchase_dataset!$B$2:$F$2241,5,FALSE)</f>
        <v>4</v>
      </c>
      <c r="O1919" s="5">
        <v>36</v>
      </c>
      <c r="P1919" s="4" t="str">
        <f t="shared" si="58"/>
        <v>30-50</v>
      </c>
      <c r="Q1919" s="4">
        <f>M1919+N1919</f>
        <v>8</v>
      </c>
      <c r="U1919" s="28" t="str" cm="1">
        <f t="array" ref="U1919">_xlfn.IFS(F1919&lt;30000,"30k",F1919&lt;=50000,"30k-50k",F1919&lt;=75000,"50k-75k",F1919&lt;=100000,"75k-100k",F1919&gt;100000,"100k")</f>
        <v>30k</v>
      </c>
      <c r="W1919" s="1">
        <f t="shared" si="59"/>
        <v>13</v>
      </c>
    </row>
    <row r="1920" spans="1:23" x14ac:dyDescent="0.35">
      <c r="A1920">
        <v>1917</v>
      </c>
      <c r="B1920">
        <v>4385</v>
      </c>
      <c r="C1920">
        <v>1981</v>
      </c>
      <c r="D1920" s="1" t="s">
        <v>13</v>
      </c>
      <c r="E1920" s="1" t="s">
        <v>11</v>
      </c>
      <c r="F1920">
        <v>36038</v>
      </c>
      <c r="G1920">
        <v>1</v>
      </c>
      <c r="H1920" s="2">
        <v>0</v>
      </c>
      <c r="I1920" s="2">
        <v>41425</v>
      </c>
      <c r="J1920">
        <v>82</v>
      </c>
      <c r="K1920">
        <f>VLOOKUP(B1920,purchase_dataset!$B$2:$F$2241,2,FALSE)</f>
        <v>0</v>
      </c>
      <c r="L1920">
        <f>VLOOKUP(B1920,purchase_dataset!$B$2:$F$2241,3,FALSE)</f>
        <v>2</v>
      </c>
      <c r="M1920">
        <f>VLOOKUP(B1920,purchase_dataset!$B$2:$F$2241,3,FALSE)</f>
        <v>2</v>
      </c>
      <c r="N1920">
        <f>VLOOKUP(B1920,purchase_dataset!$B$2:$F$2241,5,FALSE)</f>
        <v>3</v>
      </c>
      <c r="O1920" s="5">
        <v>45</v>
      </c>
      <c r="P1920" s="4" t="str">
        <f t="shared" si="58"/>
        <v>30-50</v>
      </c>
      <c r="Q1920" s="4">
        <f>M1920+N1920</f>
        <v>5</v>
      </c>
      <c r="U1920" s="28" t="str" cm="1">
        <f t="array" ref="U1920">_xlfn.IFS(F1920&lt;30000,"30k",F1920&lt;=50000,"30k-50k",F1920&lt;=75000,"50k-75k",F1920&lt;=100000,"75k-100k",F1920&gt;100000,"100k")</f>
        <v>30k-50k</v>
      </c>
      <c r="W1920" s="1">
        <f t="shared" si="59"/>
        <v>13</v>
      </c>
    </row>
    <row r="1921" spans="1:23" x14ac:dyDescent="0.35">
      <c r="A1921">
        <v>1918</v>
      </c>
      <c r="B1921">
        <v>2929</v>
      </c>
      <c r="C1921">
        <v>1976</v>
      </c>
      <c r="D1921" s="1" t="s">
        <v>10</v>
      </c>
      <c r="E1921" s="1" t="s">
        <v>11</v>
      </c>
      <c r="F1921">
        <v>20180</v>
      </c>
      <c r="G1921">
        <v>0</v>
      </c>
      <c r="H1921" s="2">
        <v>0</v>
      </c>
      <c r="I1921" s="2">
        <v>41325</v>
      </c>
      <c r="J1921">
        <v>27</v>
      </c>
      <c r="K1921">
        <f>VLOOKUP(B1921,purchase_dataset!$B$2:$F$2241,2,FALSE)</f>
        <v>42</v>
      </c>
      <c r="L1921">
        <f>VLOOKUP(B1921,purchase_dataset!$B$2:$F$2241,3,FALSE)</f>
        <v>20</v>
      </c>
      <c r="M1921">
        <f>VLOOKUP(B1921,purchase_dataset!$B$2:$F$2241,3,FALSE)</f>
        <v>20</v>
      </c>
      <c r="N1921">
        <f>VLOOKUP(B1921,purchase_dataset!$B$2:$F$2241,5,FALSE)</f>
        <v>4</v>
      </c>
      <c r="O1921" s="5">
        <v>50</v>
      </c>
      <c r="P1921" s="4" t="str">
        <f t="shared" si="58"/>
        <v>30-50</v>
      </c>
      <c r="Q1921" s="4">
        <f>M1921+N1921</f>
        <v>24</v>
      </c>
      <c r="U1921" s="28" t="str" cm="1">
        <f t="array" ref="U1921">_xlfn.IFS(F1921&lt;30000,"30k",F1921&lt;=50000,"30k-50k",F1921&lt;=75000,"50k-75k",F1921&lt;=100000,"75k-100k",F1921&gt;100000,"100k")</f>
        <v>30k</v>
      </c>
      <c r="W1921" s="1">
        <f t="shared" si="59"/>
        <v>13</v>
      </c>
    </row>
    <row r="1922" spans="1:23" x14ac:dyDescent="0.35">
      <c r="A1922">
        <v>1919</v>
      </c>
      <c r="B1922">
        <v>10686</v>
      </c>
      <c r="C1922">
        <v>1965</v>
      </c>
      <c r="D1922" s="1" t="s">
        <v>13</v>
      </c>
      <c r="E1922" s="1" t="s">
        <v>12</v>
      </c>
      <c r="F1922">
        <v>34230</v>
      </c>
      <c r="G1922">
        <v>1</v>
      </c>
      <c r="H1922" s="2">
        <v>1</v>
      </c>
      <c r="I1922" s="2">
        <v>41269</v>
      </c>
      <c r="J1922">
        <v>72</v>
      </c>
      <c r="K1922">
        <f>VLOOKUP(B1922,purchase_dataset!$B$2:$F$2241,2,FALSE)</f>
        <v>0</v>
      </c>
      <c r="L1922">
        <f>VLOOKUP(B1922,purchase_dataset!$B$2:$F$2241,3,FALSE)</f>
        <v>0</v>
      </c>
      <c r="M1922">
        <f>VLOOKUP(B1922,purchase_dataset!$B$2:$F$2241,3,FALSE)</f>
        <v>0</v>
      </c>
      <c r="N1922">
        <f>VLOOKUP(B1922,purchase_dataset!$B$2:$F$2241,5,FALSE)</f>
        <v>2</v>
      </c>
      <c r="O1922" s="5">
        <v>61</v>
      </c>
      <c r="P1922" s="4" t="str">
        <f t="shared" si="58"/>
        <v>&gt;50</v>
      </c>
      <c r="Q1922" s="4">
        <f>M1922+N1922</f>
        <v>2</v>
      </c>
      <c r="U1922" s="28" t="str" cm="1">
        <f t="array" ref="U1922">_xlfn.IFS(F1922&lt;30000,"30k",F1922&lt;=50000,"30k-50k",F1922&lt;=75000,"50k-75k",F1922&lt;=100000,"75k-100k",F1922&gt;100000,"100k")</f>
        <v>30k-50k</v>
      </c>
      <c r="W1922" s="1">
        <f t="shared" si="59"/>
        <v>14</v>
      </c>
    </row>
    <row r="1923" spans="1:23" x14ac:dyDescent="0.35">
      <c r="A1923">
        <v>1920</v>
      </c>
      <c r="B1923">
        <v>2546</v>
      </c>
      <c r="C1923">
        <v>1977</v>
      </c>
      <c r="D1923" s="1" t="s">
        <v>18</v>
      </c>
      <c r="E1923" s="1" t="s">
        <v>11</v>
      </c>
      <c r="F1923">
        <v>31878</v>
      </c>
      <c r="G1923">
        <v>0</v>
      </c>
      <c r="H1923" s="2">
        <v>1</v>
      </c>
      <c r="I1923" s="2">
        <v>41812</v>
      </c>
      <c r="J1923">
        <v>7</v>
      </c>
      <c r="K1923">
        <f>VLOOKUP(B1923,purchase_dataset!$B$2:$F$2241,2,FALSE)</f>
        <v>4</v>
      </c>
      <c r="L1923">
        <f>VLOOKUP(B1923,purchase_dataset!$B$2:$F$2241,3,FALSE)</f>
        <v>5</v>
      </c>
      <c r="M1923">
        <f>VLOOKUP(B1923,purchase_dataset!$B$2:$F$2241,3,FALSE)</f>
        <v>5</v>
      </c>
      <c r="N1923">
        <f>VLOOKUP(B1923,purchase_dataset!$B$2:$F$2241,5,FALSE)</f>
        <v>4</v>
      </c>
      <c r="O1923" s="5">
        <v>49</v>
      </c>
      <c r="P1923" s="4" t="str">
        <f t="shared" si="58"/>
        <v>30-50</v>
      </c>
      <c r="Q1923" s="4">
        <f>M1923+N1923</f>
        <v>9</v>
      </c>
      <c r="U1923" s="28" t="str" cm="1">
        <f t="array" ref="U1923">_xlfn.IFS(F1923&lt;30000,"30k",F1923&lt;=50000,"30k-50k",F1923&lt;=75000,"50k-75k",F1923&lt;=100000,"75k-100k",F1923&gt;100000,"100k")</f>
        <v>30k-50k</v>
      </c>
      <c r="W1923" s="1">
        <f t="shared" si="59"/>
        <v>12</v>
      </c>
    </row>
    <row r="1924" spans="1:23" x14ac:dyDescent="0.35">
      <c r="A1924">
        <v>1921</v>
      </c>
      <c r="B1924">
        <v>3283</v>
      </c>
      <c r="C1924">
        <v>1972</v>
      </c>
      <c r="D1924" s="1" t="s">
        <v>18</v>
      </c>
      <c r="E1924" s="1" t="s">
        <v>14</v>
      </c>
      <c r="F1924">
        <v>70932</v>
      </c>
      <c r="G1924">
        <v>0</v>
      </c>
      <c r="H1924" s="2">
        <v>1</v>
      </c>
      <c r="I1924" s="2">
        <v>41658</v>
      </c>
      <c r="J1924">
        <v>57</v>
      </c>
      <c r="K1924">
        <f>VLOOKUP(B1924,purchase_dataset!$B$2:$F$2241,2,FALSE)</f>
        <v>193</v>
      </c>
      <c r="L1924">
        <f>VLOOKUP(B1924,purchase_dataset!$B$2:$F$2241,3,FALSE)</f>
        <v>185</v>
      </c>
      <c r="M1924">
        <f>VLOOKUP(B1924,purchase_dataset!$B$2:$F$2241,3,FALSE)</f>
        <v>185</v>
      </c>
      <c r="N1924">
        <f>VLOOKUP(B1924,purchase_dataset!$B$2:$F$2241,5,FALSE)</f>
        <v>12</v>
      </c>
      <c r="O1924" s="5">
        <v>54</v>
      </c>
      <c r="P1924" s="4" t="str">
        <f t="shared" ref="P1924:P1987" si="60">IF(O1924&lt;30,"30",IF(O1924&lt;=50,"30-50","&gt;50"))</f>
        <v>&gt;50</v>
      </c>
      <c r="Q1924" s="4">
        <f>M1924+N1924</f>
        <v>197</v>
      </c>
      <c r="U1924" s="28" t="str" cm="1">
        <f t="array" ref="U1924">_xlfn.IFS(F1924&lt;30000,"30k",F1924&lt;=50000,"30k-50k",F1924&lt;=75000,"50k-75k",F1924&lt;=100000,"75k-100k",F1924&gt;100000,"100k")</f>
        <v>50k-75k</v>
      </c>
      <c r="W1924" s="1">
        <f t="shared" ref="W1924:W1987" si="61">2026-YEAR(I1924)</f>
        <v>12</v>
      </c>
    </row>
    <row r="1925" spans="1:23" x14ac:dyDescent="0.35">
      <c r="A1925">
        <v>1922</v>
      </c>
      <c r="B1925">
        <v>3138</v>
      </c>
      <c r="C1925">
        <v>1956</v>
      </c>
      <c r="D1925" s="1" t="s">
        <v>10</v>
      </c>
      <c r="E1925" s="1" t="s">
        <v>11</v>
      </c>
      <c r="F1925">
        <v>91249</v>
      </c>
      <c r="G1925">
        <v>0</v>
      </c>
      <c r="H1925" s="2">
        <v>0</v>
      </c>
      <c r="I1925" s="2">
        <v>41202</v>
      </c>
      <c r="J1925">
        <v>84</v>
      </c>
      <c r="K1925">
        <f>VLOOKUP(B1925,purchase_dataset!$B$2:$F$2241,2,FALSE)</f>
        <v>27</v>
      </c>
      <c r="L1925">
        <f>VLOOKUP(B1925,purchase_dataset!$B$2:$F$2241,3,FALSE)</f>
        <v>108</v>
      </c>
      <c r="M1925">
        <f>VLOOKUP(B1925,purchase_dataset!$B$2:$F$2241,3,FALSE)</f>
        <v>108</v>
      </c>
      <c r="N1925">
        <f>VLOOKUP(B1925,purchase_dataset!$B$2:$F$2241,5,FALSE)</f>
        <v>6</v>
      </c>
      <c r="O1925" s="5">
        <v>70</v>
      </c>
      <c r="P1925" s="4" t="str">
        <f t="shared" si="60"/>
        <v>&gt;50</v>
      </c>
      <c r="Q1925" s="4">
        <f>M1925+N1925</f>
        <v>114</v>
      </c>
      <c r="U1925" s="28" t="str" cm="1">
        <f t="array" ref="U1925">_xlfn.IFS(F1925&lt;30000,"30k",F1925&lt;=50000,"30k-50k",F1925&lt;=75000,"50k-75k",F1925&lt;=100000,"75k-100k",F1925&gt;100000,"100k")</f>
        <v>75k-100k</v>
      </c>
      <c r="W1925" s="1">
        <f t="shared" si="61"/>
        <v>14</v>
      </c>
    </row>
    <row r="1926" spans="1:23" x14ac:dyDescent="0.35">
      <c r="A1926">
        <v>1923</v>
      </c>
      <c r="B1926">
        <v>4994</v>
      </c>
      <c r="C1926">
        <v>1943</v>
      </c>
      <c r="D1926" s="1" t="s">
        <v>15</v>
      </c>
      <c r="E1926" s="1" t="s">
        <v>11</v>
      </c>
      <c r="F1926">
        <v>77598</v>
      </c>
      <c r="G1926">
        <v>0</v>
      </c>
      <c r="H1926" s="2">
        <v>0</v>
      </c>
      <c r="I1926" s="2">
        <v>41548</v>
      </c>
      <c r="J1926">
        <v>53</v>
      </c>
      <c r="K1926">
        <f>VLOOKUP(B1926,purchase_dataset!$B$2:$F$2241,2,FALSE)</f>
        <v>33</v>
      </c>
      <c r="L1926">
        <f>VLOOKUP(B1926,purchase_dataset!$B$2:$F$2241,3,FALSE)</f>
        <v>66</v>
      </c>
      <c r="M1926">
        <f>VLOOKUP(B1926,purchase_dataset!$B$2:$F$2241,3,FALSE)</f>
        <v>66</v>
      </c>
      <c r="N1926">
        <f>VLOOKUP(B1926,purchase_dataset!$B$2:$F$2241,5,FALSE)</f>
        <v>13</v>
      </c>
      <c r="O1926" s="5">
        <v>83</v>
      </c>
      <c r="P1926" s="4" t="str">
        <f t="shared" si="60"/>
        <v>&gt;50</v>
      </c>
      <c r="Q1926" s="4">
        <f>M1926+N1926</f>
        <v>79</v>
      </c>
      <c r="U1926" s="28" t="str" cm="1">
        <f t="array" ref="U1926">_xlfn.IFS(F1926&lt;30000,"30k",F1926&lt;=50000,"30k-50k",F1926&lt;=75000,"50k-75k",F1926&lt;=100000,"75k-100k",F1926&gt;100000,"100k")</f>
        <v>75k-100k</v>
      </c>
      <c r="W1926" s="1">
        <f t="shared" si="61"/>
        <v>13</v>
      </c>
    </row>
    <row r="1927" spans="1:23" x14ac:dyDescent="0.35">
      <c r="A1927">
        <v>1924</v>
      </c>
      <c r="B1927">
        <v>7966</v>
      </c>
      <c r="C1927">
        <v>1959</v>
      </c>
      <c r="D1927" s="1" t="s">
        <v>10</v>
      </c>
      <c r="E1927" s="1" t="s">
        <v>11</v>
      </c>
      <c r="F1927">
        <v>80982</v>
      </c>
      <c r="G1927">
        <v>1</v>
      </c>
      <c r="H1927" s="2">
        <v>1</v>
      </c>
      <c r="I1927" s="2">
        <v>41282</v>
      </c>
      <c r="J1927">
        <v>48</v>
      </c>
      <c r="K1927">
        <f>VLOOKUP(B1927,purchase_dataset!$B$2:$F$2241,2,FALSE)</f>
        <v>137</v>
      </c>
      <c r="L1927">
        <f>VLOOKUP(B1927,purchase_dataset!$B$2:$F$2241,3,FALSE)</f>
        <v>22</v>
      </c>
      <c r="M1927">
        <f>VLOOKUP(B1927,purchase_dataset!$B$2:$F$2241,3,FALSE)</f>
        <v>22</v>
      </c>
      <c r="N1927">
        <f>VLOOKUP(B1927,purchase_dataset!$B$2:$F$2241,5,FALSE)</f>
        <v>11</v>
      </c>
      <c r="O1927" s="5">
        <v>67</v>
      </c>
      <c r="P1927" s="4" t="str">
        <f t="shared" si="60"/>
        <v>&gt;50</v>
      </c>
      <c r="Q1927" s="4">
        <f>M1927+N1927</f>
        <v>33</v>
      </c>
      <c r="U1927" s="28" t="str" cm="1">
        <f t="array" ref="U1927">_xlfn.IFS(F1927&lt;30000,"30k",F1927&lt;=50000,"30k-50k",F1927&lt;=75000,"50k-75k",F1927&lt;=100000,"75k-100k",F1927&gt;100000,"100k")</f>
        <v>75k-100k</v>
      </c>
      <c r="W1927" s="1">
        <f t="shared" si="61"/>
        <v>13</v>
      </c>
    </row>
    <row r="1928" spans="1:23" x14ac:dyDescent="0.35">
      <c r="A1928">
        <v>1925</v>
      </c>
      <c r="B1928">
        <v>3112</v>
      </c>
      <c r="C1928">
        <v>1977</v>
      </c>
      <c r="D1928" s="1" t="s">
        <v>15</v>
      </c>
      <c r="E1928" s="1" t="s">
        <v>14</v>
      </c>
      <c r="F1928">
        <v>22701</v>
      </c>
      <c r="G1928">
        <v>1</v>
      </c>
      <c r="H1928" s="2">
        <v>0</v>
      </c>
      <c r="I1928" s="2">
        <v>41522</v>
      </c>
      <c r="J1928">
        <v>2</v>
      </c>
      <c r="K1928">
        <f>VLOOKUP(B1928,purchase_dataset!$B$2:$F$2241,2,FALSE)</f>
        <v>4</v>
      </c>
      <c r="L1928">
        <f>VLOOKUP(B1928,purchase_dataset!$B$2:$F$2241,3,FALSE)</f>
        <v>4</v>
      </c>
      <c r="M1928">
        <f>VLOOKUP(B1928,purchase_dataset!$B$2:$F$2241,3,FALSE)</f>
        <v>4</v>
      </c>
      <c r="N1928">
        <f>VLOOKUP(B1928,purchase_dataset!$B$2:$F$2241,5,FALSE)</f>
        <v>3</v>
      </c>
      <c r="O1928" s="5">
        <v>49</v>
      </c>
      <c r="P1928" s="4" t="str">
        <f t="shared" si="60"/>
        <v>30-50</v>
      </c>
      <c r="Q1928" s="4">
        <f>M1928+N1928</f>
        <v>7</v>
      </c>
      <c r="U1928" s="28" t="str" cm="1">
        <f t="array" ref="U1928">_xlfn.IFS(F1928&lt;30000,"30k",F1928&lt;=50000,"30k-50k",F1928&lt;=75000,"50k-75k",F1928&lt;=100000,"75k-100k",F1928&gt;100000,"100k")</f>
        <v>30k</v>
      </c>
      <c r="W1928" s="1">
        <f t="shared" si="61"/>
        <v>13</v>
      </c>
    </row>
    <row r="1929" spans="1:23" x14ac:dyDescent="0.35">
      <c r="A1929">
        <v>1926</v>
      </c>
      <c r="B1929">
        <v>10872</v>
      </c>
      <c r="C1929">
        <v>1969</v>
      </c>
      <c r="D1929" s="1" t="s">
        <v>13</v>
      </c>
      <c r="E1929" s="1" t="s">
        <v>14</v>
      </c>
      <c r="F1929">
        <v>55212</v>
      </c>
      <c r="G1929">
        <v>0</v>
      </c>
      <c r="H1929" s="2">
        <v>1</v>
      </c>
      <c r="I1929" s="2">
        <v>41236</v>
      </c>
      <c r="J1929">
        <v>65</v>
      </c>
      <c r="K1929">
        <f>VLOOKUP(B1929,purchase_dataset!$B$2:$F$2241,2,FALSE)</f>
        <v>0</v>
      </c>
      <c r="L1929">
        <f>VLOOKUP(B1929,purchase_dataset!$B$2:$F$2241,3,FALSE)</f>
        <v>0</v>
      </c>
      <c r="M1929">
        <f>VLOOKUP(B1929,purchase_dataset!$B$2:$F$2241,3,FALSE)</f>
        <v>0</v>
      </c>
      <c r="N1929">
        <f>VLOOKUP(B1929,purchase_dataset!$B$2:$F$2241,5,FALSE)</f>
        <v>11</v>
      </c>
      <c r="O1929" s="5">
        <v>57</v>
      </c>
      <c r="P1929" s="4" t="str">
        <f t="shared" si="60"/>
        <v>&gt;50</v>
      </c>
      <c r="Q1929" s="4">
        <f>M1929+N1929</f>
        <v>11</v>
      </c>
      <c r="U1929" s="28" t="str" cm="1">
        <f t="array" ref="U1929">_xlfn.IFS(F1929&lt;30000,"30k",F1929&lt;=50000,"30k-50k",F1929&lt;=75000,"50k-75k",F1929&lt;=100000,"75k-100k",F1929&gt;100000,"100k")</f>
        <v>50k-75k</v>
      </c>
      <c r="W1929" s="1">
        <f t="shared" si="61"/>
        <v>14</v>
      </c>
    </row>
    <row r="1930" spans="1:23" x14ac:dyDescent="0.35">
      <c r="A1930">
        <v>1927</v>
      </c>
      <c r="B1930">
        <v>2181</v>
      </c>
      <c r="C1930">
        <v>1970</v>
      </c>
      <c r="D1930" s="1" t="s">
        <v>10</v>
      </c>
      <c r="E1930" s="1" t="s">
        <v>14</v>
      </c>
      <c r="F1930">
        <v>70617</v>
      </c>
      <c r="G1930">
        <v>0</v>
      </c>
      <c r="H1930" s="2">
        <v>0</v>
      </c>
      <c r="I1930" s="2">
        <v>41448</v>
      </c>
      <c r="J1930">
        <v>45</v>
      </c>
      <c r="K1930">
        <f>VLOOKUP(B1930,purchase_dataset!$B$2:$F$2241,2,FALSE)</f>
        <v>61</v>
      </c>
      <c r="L1930">
        <f>VLOOKUP(B1930,purchase_dataset!$B$2:$F$2241,3,FALSE)</f>
        <v>46</v>
      </c>
      <c r="M1930">
        <f>VLOOKUP(B1930,purchase_dataset!$B$2:$F$2241,3,FALSE)</f>
        <v>46</v>
      </c>
      <c r="N1930">
        <f>VLOOKUP(B1930,purchase_dataset!$B$2:$F$2241,5,FALSE)</f>
        <v>7</v>
      </c>
      <c r="O1930" s="5">
        <v>56</v>
      </c>
      <c r="P1930" s="4" t="str">
        <f t="shared" si="60"/>
        <v>&gt;50</v>
      </c>
      <c r="Q1930" s="4">
        <f>M1930+N1930</f>
        <v>53</v>
      </c>
      <c r="U1930" s="28" t="str" cm="1">
        <f t="array" ref="U1930">_xlfn.IFS(F1930&lt;30000,"30k",F1930&lt;=50000,"30k-50k",F1930&lt;=75000,"50k-75k",F1930&lt;=100000,"75k-100k",F1930&gt;100000,"100k")</f>
        <v>50k-75k</v>
      </c>
      <c r="W1930" s="1">
        <f t="shared" si="61"/>
        <v>13</v>
      </c>
    </row>
    <row r="1931" spans="1:23" x14ac:dyDescent="0.35">
      <c r="A1931">
        <v>1928</v>
      </c>
      <c r="B1931">
        <v>1867</v>
      </c>
      <c r="C1931">
        <v>1957</v>
      </c>
      <c r="D1931" s="1" t="s">
        <v>10</v>
      </c>
      <c r="E1931" s="1" t="s">
        <v>11</v>
      </c>
      <c r="F1931">
        <v>64849</v>
      </c>
      <c r="G1931">
        <v>0</v>
      </c>
      <c r="H1931" s="2">
        <v>0</v>
      </c>
      <c r="I1931" s="2">
        <v>41226</v>
      </c>
      <c r="J1931">
        <v>42</v>
      </c>
      <c r="K1931">
        <f>VLOOKUP(B1931,purchase_dataset!$B$2:$F$2241,2,FALSE)</f>
        <v>48</v>
      </c>
      <c r="L1931">
        <f>VLOOKUP(B1931,purchase_dataset!$B$2:$F$2241,3,FALSE)</f>
        <v>84</v>
      </c>
      <c r="M1931">
        <f>VLOOKUP(B1931,purchase_dataset!$B$2:$F$2241,3,FALSE)</f>
        <v>84</v>
      </c>
      <c r="N1931">
        <f>VLOOKUP(B1931,purchase_dataset!$B$2:$F$2241,5,FALSE)</f>
        <v>6</v>
      </c>
      <c r="O1931" s="5">
        <v>69</v>
      </c>
      <c r="P1931" s="4" t="str">
        <f t="shared" si="60"/>
        <v>&gt;50</v>
      </c>
      <c r="Q1931" s="4">
        <f>M1931+N1931</f>
        <v>90</v>
      </c>
      <c r="U1931" s="28" t="str" cm="1">
        <f t="array" ref="U1931">_xlfn.IFS(F1931&lt;30000,"30k",F1931&lt;=50000,"30k-50k",F1931&lt;=75000,"50k-75k",F1931&lt;=100000,"75k-100k",F1931&gt;100000,"100k")</f>
        <v>50k-75k</v>
      </c>
      <c r="W1931" s="1">
        <f t="shared" si="61"/>
        <v>14</v>
      </c>
    </row>
    <row r="1932" spans="1:23" x14ac:dyDescent="0.35">
      <c r="A1932">
        <v>1929</v>
      </c>
      <c r="B1932">
        <v>1518</v>
      </c>
      <c r="C1932">
        <v>1965</v>
      </c>
      <c r="D1932" s="1" t="s">
        <v>15</v>
      </c>
      <c r="E1932" s="1" t="s">
        <v>14</v>
      </c>
      <c r="F1932">
        <v>62694</v>
      </c>
      <c r="G1932">
        <v>1</v>
      </c>
      <c r="H1932" s="2">
        <v>1</v>
      </c>
      <c r="I1932" s="2">
        <v>41442</v>
      </c>
      <c r="J1932">
        <v>29</v>
      </c>
      <c r="K1932">
        <f>VLOOKUP(B1932,purchase_dataset!$B$2:$F$2241,2,FALSE)</f>
        <v>6</v>
      </c>
      <c r="L1932">
        <f>VLOOKUP(B1932,purchase_dataset!$B$2:$F$2241,3,FALSE)</f>
        <v>91</v>
      </c>
      <c r="M1932">
        <f>VLOOKUP(B1932,purchase_dataset!$B$2:$F$2241,3,FALSE)</f>
        <v>91</v>
      </c>
      <c r="N1932">
        <f>VLOOKUP(B1932,purchase_dataset!$B$2:$F$2241,5,FALSE)</f>
        <v>7</v>
      </c>
      <c r="O1932" s="5">
        <v>61</v>
      </c>
      <c r="P1932" s="4" t="str">
        <f t="shared" si="60"/>
        <v>&gt;50</v>
      </c>
      <c r="Q1932" s="4">
        <f>M1932+N1932</f>
        <v>98</v>
      </c>
      <c r="U1932" s="28" t="str" cm="1">
        <f t="array" ref="U1932">_xlfn.IFS(F1932&lt;30000,"30k",F1932&lt;=50000,"30k-50k",F1932&lt;=75000,"50k-75k",F1932&lt;=100000,"75k-100k",F1932&gt;100000,"100k")</f>
        <v>50k-75k</v>
      </c>
      <c r="W1932" s="1">
        <f t="shared" si="61"/>
        <v>13</v>
      </c>
    </row>
    <row r="1933" spans="1:23" x14ac:dyDescent="0.35">
      <c r="A1933">
        <v>1930</v>
      </c>
      <c r="B1933">
        <v>5734</v>
      </c>
      <c r="C1933">
        <v>1974</v>
      </c>
      <c r="D1933" s="1" t="s">
        <v>13</v>
      </c>
      <c r="E1933" s="1" t="s">
        <v>14</v>
      </c>
      <c r="F1933">
        <v>61917</v>
      </c>
      <c r="G1933">
        <v>1</v>
      </c>
      <c r="H1933" s="2">
        <v>1</v>
      </c>
      <c r="I1933" s="2">
        <v>41598</v>
      </c>
      <c r="J1933">
        <v>83</v>
      </c>
      <c r="K1933">
        <f>VLOOKUP(B1933,purchase_dataset!$B$2:$F$2241,2,FALSE)</f>
        <v>4</v>
      </c>
      <c r="L1933">
        <f>VLOOKUP(B1933,purchase_dataset!$B$2:$F$2241,3,FALSE)</f>
        <v>2</v>
      </c>
      <c r="M1933">
        <f>VLOOKUP(B1933,purchase_dataset!$B$2:$F$2241,3,FALSE)</f>
        <v>2</v>
      </c>
      <c r="N1933">
        <f>VLOOKUP(B1933,purchase_dataset!$B$2:$F$2241,5,FALSE)</f>
        <v>4</v>
      </c>
      <c r="O1933" s="5">
        <v>52</v>
      </c>
      <c r="P1933" s="4" t="str">
        <f t="shared" si="60"/>
        <v>&gt;50</v>
      </c>
      <c r="Q1933" s="4">
        <f>M1933+N1933</f>
        <v>6</v>
      </c>
      <c r="U1933" s="28" t="str" cm="1">
        <f t="array" ref="U1933">_xlfn.IFS(F1933&lt;30000,"30k",F1933&lt;=50000,"30k-50k",F1933&lt;=75000,"50k-75k",F1933&lt;=100000,"75k-100k",F1933&gt;100000,"100k")</f>
        <v>50k-75k</v>
      </c>
      <c r="W1933" s="1">
        <f t="shared" si="61"/>
        <v>13</v>
      </c>
    </row>
    <row r="1934" spans="1:23" x14ac:dyDescent="0.35">
      <c r="A1934">
        <v>1931</v>
      </c>
      <c r="B1934">
        <v>2878</v>
      </c>
      <c r="C1934">
        <v>1947</v>
      </c>
      <c r="D1934" s="1" t="s">
        <v>13</v>
      </c>
      <c r="E1934" s="1" t="s">
        <v>14</v>
      </c>
      <c r="F1934">
        <v>67472</v>
      </c>
      <c r="G1934">
        <v>0</v>
      </c>
      <c r="H1934" s="2">
        <v>1</v>
      </c>
      <c r="I1934" s="2">
        <v>41545</v>
      </c>
      <c r="J1934">
        <v>93</v>
      </c>
      <c r="K1934">
        <f>VLOOKUP(B1934,purchase_dataset!$B$2:$F$2241,2,FALSE)</f>
        <v>31</v>
      </c>
      <c r="L1934">
        <f>VLOOKUP(B1934,purchase_dataset!$B$2:$F$2241,3,FALSE)</f>
        <v>17</v>
      </c>
      <c r="M1934">
        <f>VLOOKUP(B1934,purchase_dataset!$B$2:$F$2241,3,FALSE)</f>
        <v>17</v>
      </c>
      <c r="N1934">
        <f>VLOOKUP(B1934,purchase_dataset!$B$2:$F$2241,5,FALSE)</f>
        <v>7</v>
      </c>
      <c r="O1934" s="5">
        <v>79</v>
      </c>
      <c r="P1934" s="4" t="str">
        <f t="shared" si="60"/>
        <v>&gt;50</v>
      </c>
      <c r="Q1934" s="4">
        <f>M1934+N1934</f>
        <v>24</v>
      </c>
      <c r="U1934" s="28" t="str" cm="1">
        <f t="array" ref="U1934">_xlfn.IFS(F1934&lt;30000,"30k",F1934&lt;=50000,"30k-50k",F1934&lt;=75000,"50k-75k",F1934&lt;=100000,"75k-100k",F1934&gt;100000,"100k")</f>
        <v>50k-75k</v>
      </c>
      <c r="W1934" s="1">
        <f t="shared" si="61"/>
        <v>13</v>
      </c>
    </row>
    <row r="1935" spans="1:23" x14ac:dyDescent="0.35">
      <c r="A1935">
        <v>1932</v>
      </c>
      <c r="B1935">
        <v>1458</v>
      </c>
      <c r="C1935">
        <v>1982</v>
      </c>
      <c r="D1935" s="1" t="s">
        <v>15</v>
      </c>
      <c r="E1935" s="1" t="s">
        <v>14</v>
      </c>
      <c r="F1935">
        <v>21059</v>
      </c>
      <c r="G1935">
        <v>1</v>
      </c>
      <c r="H1935" s="2">
        <v>0</v>
      </c>
      <c r="I1935" s="2">
        <v>41646</v>
      </c>
      <c r="J1935">
        <v>40</v>
      </c>
      <c r="K1935">
        <f>VLOOKUP(B1935,purchase_dataset!$B$2:$F$2241,2,FALSE)</f>
        <v>3</v>
      </c>
      <c r="L1935">
        <f>VLOOKUP(B1935,purchase_dataset!$B$2:$F$2241,3,FALSE)</f>
        <v>3</v>
      </c>
      <c r="M1935">
        <f>VLOOKUP(B1935,purchase_dataset!$B$2:$F$2241,3,FALSE)</f>
        <v>3</v>
      </c>
      <c r="N1935">
        <f>VLOOKUP(B1935,purchase_dataset!$B$2:$F$2241,5,FALSE)</f>
        <v>3</v>
      </c>
      <c r="O1935" s="5">
        <v>44</v>
      </c>
      <c r="P1935" s="4" t="str">
        <f t="shared" si="60"/>
        <v>30-50</v>
      </c>
      <c r="Q1935" s="4">
        <f>M1935+N1935</f>
        <v>6</v>
      </c>
      <c r="U1935" s="28" t="str" cm="1">
        <f t="array" ref="U1935">_xlfn.IFS(F1935&lt;30000,"30k",F1935&lt;=50000,"30k-50k",F1935&lt;=75000,"50k-75k",F1935&lt;=100000,"75k-100k",F1935&gt;100000,"100k")</f>
        <v>30k</v>
      </c>
      <c r="W1935" s="1">
        <f t="shared" si="61"/>
        <v>12</v>
      </c>
    </row>
    <row r="1936" spans="1:23" x14ac:dyDescent="0.35">
      <c r="A1936">
        <v>1933</v>
      </c>
      <c r="B1936">
        <v>7007</v>
      </c>
      <c r="C1936">
        <v>1968</v>
      </c>
      <c r="D1936" s="1" t="s">
        <v>15</v>
      </c>
      <c r="E1936" s="1" t="s">
        <v>14</v>
      </c>
      <c r="F1936">
        <v>29543</v>
      </c>
      <c r="G1936">
        <v>2</v>
      </c>
      <c r="H1936" s="2">
        <v>0</v>
      </c>
      <c r="I1936" s="2">
        <v>41730</v>
      </c>
      <c r="J1936">
        <v>47</v>
      </c>
      <c r="K1936">
        <f>VLOOKUP(B1936,purchase_dataset!$B$2:$F$2241,2,FALSE)</f>
        <v>3</v>
      </c>
      <c r="L1936">
        <f>VLOOKUP(B1936,purchase_dataset!$B$2:$F$2241,3,FALSE)</f>
        <v>4</v>
      </c>
      <c r="M1936">
        <f>VLOOKUP(B1936,purchase_dataset!$B$2:$F$2241,3,FALSE)</f>
        <v>4</v>
      </c>
      <c r="N1936">
        <f>VLOOKUP(B1936,purchase_dataset!$B$2:$F$2241,5,FALSE)</f>
        <v>2</v>
      </c>
      <c r="O1936" s="5">
        <v>58</v>
      </c>
      <c r="P1936" s="4" t="str">
        <f t="shared" si="60"/>
        <v>&gt;50</v>
      </c>
      <c r="Q1936" s="4">
        <f>M1936+N1936</f>
        <v>6</v>
      </c>
      <c r="U1936" s="28" t="str" cm="1">
        <f t="array" ref="U1936">_xlfn.IFS(F1936&lt;30000,"30k",F1936&lt;=50000,"30k-50k",F1936&lt;=75000,"50k-75k",F1936&lt;=100000,"75k-100k",F1936&gt;100000,"100k")</f>
        <v>30k</v>
      </c>
      <c r="W1936" s="1">
        <f t="shared" si="61"/>
        <v>12</v>
      </c>
    </row>
    <row r="1937" spans="1:23" x14ac:dyDescent="0.35">
      <c r="A1937">
        <v>1934</v>
      </c>
      <c r="B1937">
        <v>6200</v>
      </c>
      <c r="C1937">
        <v>1951</v>
      </c>
      <c r="D1937" s="1" t="s">
        <v>10</v>
      </c>
      <c r="E1937" s="1" t="s">
        <v>14</v>
      </c>
      <c r="F1937">
        <v>75903</v>
      </c>
      <c r="G1937">
        <v>0</v>
      </c>
      <c r="H1937" s="2">
        <v>1</v>
      </c>
      <c r="I1937" s="2">
        <v>41372</v>
      </c>
      <c r="J1937">
        <v>50</v>
      </c>
      <c r="K1937">
        <f>VLOOKUP(B1937,purchase_dataset!$B$2:$F$2241,2,FALSE)</f>
        <v>108</v>
      </c>
      <c r="L1937">
        <f>VLOOKUP(B1937,purchase_dataset!$B$2:$F$2241,3,FALSE)</f>
        <v>38</v>
      </c>
      <c r="M1937">
        <f>VLOOKUP(B1937,purchase_dataset!$B$2:$F$2241,3,FALSE)</f>
        <v>38</v>
      </c>
      <c r="N1937">
        <f>VLOOKUP(B1937,purchase_dataset!$B$2:$F$2241,5,FALSE)</f>
        <v>9</v>
      </c>
      <c r="O1937" s="5">
        <v>75</v>
      </c>
      <c r="P1937" s="4" t="str">
        <f t="shared" si="60"/>
        <v>&gt;50</v>
      </c>
      <c r="Q1937" s="4">
        <f>M1937+N1937</f>
        <v>47</v>
      </c>
      <c r="U1937" s="28" t="str" cm="1">
        <f t="array" ref="U1937">_xlfn.IFS(F1937&lt;30000,"30k",F1937&lt;=50000,"30k-50k",F1937&lt;=75000,"50k-75k",F1937&lt;=100000,"75k-100k",F1937&gt;100000,"100k")</f>
        <v>75k-100k</v>
      </c>
      <c r="W1937" s="1">
        <f t="shared" si="61"/>
        <v>13</v>
      </c>
    </row>
    <row r="1938" spans="1:23" x14ac:dyDescent="0.35">
      <c r="A1938">
        <v>1935</v>
      </c>
      <c r="B1938">
        <v>1403</v>
      </c>
      <c r="C1938">
        <v>1975</v>
      </c>
      <c r="D1938" s="1" t="s">
        <v>18</v>
      </c>
      <c r="E1938" s="1" t="s">
        <v>12</v>
      </c>
      <c r="F1938">
        <v>34984</v>
      </c>
      <c r="G1938">
        <v>1</v>
      </c>
      <c r="H1938" s="2">
        <v>1</v>
      </c>
      <c r="I1938" s="2">
        <v>41158</v>
      </c>
      <c r="J1938">
        <v>40</v>
      </c>
      <c r="K1938">
        <f>VLOOKUP(B1938,purchase_dataset!$B$2:$F$2241,2,FALSE)</f>
        <v>4</v>
      </c>
      <c r="L1938">
        <f>VLOOKUP(B1938,purchase_dataset!$B$2:$F$2241,3,FALSE)</f>
        <v>5</v>
      </c>
      <c r="M1938">
        <f>VLOOKUP(B1938,purchase_dataset!$B$2:$F$2241,3,FALSE)</f>
        <v>5</v>
      </c>
      <c r="N1938">
        <f>VLOOKUP(B1938,purchase_dataset!$B$2:$F$2241,5,FALSE)</f>
        <v>3</v>
      </c>
      <c r="O1938" s="5">
        <v>51</v>
      </c>
      <c r="P1938" s="4" t="str">
        <f t="shared" si="60"/>
        <v>&gt;50</v>
      </c>
      <c r="Q1938" s="4">
        <f>M1938+N1938</f>
        <v>8</v>
      </c>
      <c r="U1938" s="28" t="str" cm="1">
        <f t="array" ref="U1938">_xlfn.IFS(F1938&lt;30000,"30k",F1938&lt;=50000,"30k-50k",F1938&lt;=75000,"50k-75k",F1938&lt;=100000,"75k-100k",F1938&gt;100000,"100k")</f>
        <v>30k-50k</v>
      </c>
      <c r="W1938" s="1">
        <f t="shared" si="61"/>
        <v>14</v>
      </c>
    </row>
    <row r="1939" spans="1:23" x14ac:dyDescent="0.35">
      <c r="A1939">
        <v>1936</v>
      </c>
      <c r="B1939">
        <v>4827</v>
      </c>
      <c r="C1939">
        <v>1956</v>
      </c>
      <c r="D1939" s="1" t="s">
        <v>13</v>
      </c>
      <c r="E1939" s="1" t="s">
        <v>11</v>
      </c>
      <c r="F1939">
        <v>54998</v>
      </c>
      <c r="G1939">
        <v>0</v>
      </c>
      <c r="H1939" s="2">
        <v>1</v>
      </c>
      <c r="I1939" s="2">
        <v>41343</v>
      </c>
      <c r="J1939">
        <v>3</v>
      </c>
      <c r="K1939">
        <f>VLOOKUP(B1939,purchase_dataset!$B$2:$F$2241,2,FALSE)</f>
        <v>22</v>
      </c>
      <c r="L1939">
        <f>VLOOKUP(B1939,purchase_dataset!$B$2:$F$2241,3,FALSE)</f>
        <v>30</v>
      </c>
      <c r="M1939">
        <f>VLOOKUP(B1939,purchase_dataset!$B$2:$F$2241,3,FALSE)</f>
        <v>30</v>
      </c>
      <c r="N1939">
        <f>VLOOKUP(B1939,purchase_dataset!$B$2:$F$2241,5,FALSE)</f>
        <v>9</v>
      </c>
      <c r="O1939" s="5">
        <v>70</v>
      </c>
      <c r="P1939" s="4" t="str">
        <f t="shared" si="60"/>
        <v>&gt;50</v>
      </c>
      <c r="Q1939" s="4">
        <f>M1939+N1939</f>
        <v>39</v>
      </c>
      <c r="U1939" s="28" t="str" cm="1">
        <f t="array" ref="U1939">_xlfn.IFS(F1939&lt;30000,"30k",F1939&lt;=50000,"30k-50k",F1939&lt;=75000,"50k-75k",F1939&lt;=100000,"75k-100k",F1939&gt;100000,"100k")</f>
        <v>50k-75k</v>
      </c>
      <c r="W1939" s="1">
        <f t="shared" si="61"/>
        <v>13</v>
      </c>
    </row>
    <row r="1940" spans="1:23" x14ac:dyDescent="0.35">
      <c r="A1940">
        <v>1937</v>
      </c>
      <c r="B1940">
        <v>6250</v>
      </c>
      <c r="C1940">
        <v>1949</v>
      </c>
      <c r="D1940" s="1" t="s">
        <v>13</v>
      </c>
      <c r="E1940" s="1" t="s">
        <v>19</v>
      </c>
      <c r="F1940">
        <v>54356</v>
      </c>
      <c r="G1940">
        <v>0</v>
      </c>
      <c r="H1940" s="2">
        <v>1</v>
      </c>
      <c r="I1940" s="2">
        <v>41232</v>
      </c>
      <c r="J1940">
        <v>62</v>
      </c>
      <c r="K1940">
        <f>VLOOKUP(B1940,purchase_dataset!$B$2:$F$2241,2,FALSE)</f>
        <v>15</v>
      </c>
      <c r="L1940">
        <f>VLOOKUP(B1940,purchase_dataset!$B$2:$F$2241,3,FALSE)</f>
        <v>0</v>
      </c>
      <c r="M1940">
        <f>VLOOKUP(B1940,purchase_dataset!$B$2:$F$2241,3,FALSE)</f>
        <v>0</v>
      </c>
      <c r="N1940">
        <f>VLOOKUP(B1940,purchase_dataset!$B$2:$F$2241,5,FALSE)</f>
        <v>8</v>
      </c>
      <c r="O1940" s="5">
        <v>77</v>
      </c>
      <c r="P1940" s="4" t="str">
        <f t="shared" si="60"/>
        <v>&gt;50</v>
      </c>
      <c r="Q1940" s="4">
        <f>M1940+N1940</f>
        <v>8</v>
      </c>
      <c r="U1940" s="28" t="str" cm="1">
        <f t="array" ref="U1940">_xlfn.IFS(F1940&lt;30000,"30k",F1940&lt;=50000,"30k-50k",F1940&lt;=75000,"50k-75k",F1940&lt;=100000,"75k-100k",F1940&gt;100000,"100k")</f>
        <v>50k-75k</v>
      </c>
      <c r="W1940" s="1">
        <f t="shared" si="61"/>
        <v>14</v>
      </c>
    </row>
    <row r="1941" spans="1:23" x14ac:dyDescent="0.35">
      <c r="A1941">
        <v>1938</v>
      </c>
      <c r="B1941">
        <v>9291</v>
      </c>
      <c r="C1941">
        <v>1959</v>
      </c>
      <c r="D1941" s="1" t="s">
        <v>15</v>
      </c>
      <c r="E1941" s="1" t="s">
        <v>14</v>
      </c>
      <c r="F1941">
        <v>34242</v>
      </c>
      <c r="G1941">
        <v>0</v>
      </c>
      <c r="H1941" s="2">
        <v>1</v>
      </c>
      <c r="I1941" s="2">
        <v>41721</v>
      </c>
      <c r="J1941">
        <v>25</v>
      </c>
      <c r="K1941">
        <f>VLOOKUP(B1941,purchase_dataset!$B$2:$F$2241,2,FALSE)</f>
        <v>2</v>
      </c>
      <c r="L1941">
        <f>VLOOKUP(B1941,purchase_dataset!$B$2:$F$2241,3,FALSE)</f>
        <v>0</v>
      </c>
      <c r="M1941">
        <f>VLOOKUP(B1941,purchase_dataset!$B$2:$F$2241,3,FALSE)</f>
        <v>0</v>
      </c>
      <c r="N1941">
        <f>VLOOKUP(B1941,purchase_dataset!$B$2:$F$2241,5,FALSE)</f>
        <v>3</v>
      </c>
      <c r="O1941" s="5">
        <v>67</v>
      </c>
      <c r="P1941" s="4" t="str">
        <f t="shared" si="60"/>
        <v>&gt;50</v>
      </c>
      <c r="Q1941" s="4">
        <f>M1941+N1941</f>
        <v>3</v>
      </c>
      <c r="U1941" s="28" t="str" cm="1">
        <f t="array" ref="U1941">_xlfn.IFS(F1941&lt;30000,"30k",F1941&lt;=50000,"30k-50k",F1941&lt;=75000,"50k-75k",F1941&lt;=100000,"75k-100k",F1941&gt;100000,"100k")</f>
        <v>30k-50k</v>
      </c>
      <c r="W1941" s="1">
        <f t="shared" si="61"/>
        <v>12</v>
      </c>
    </row>
    <row r="1942" spans="1:23" x14ac:dyDescent="0.35">
      <c r="A1942">
        <v>1939</v>
      </c>
      <c r="B1942">
        <v>2478</v>
      </c>
      <c r="C1942">
        <v>1973</v>
      </c>
      <c r="D1942" s="1" t="s">
        <v>10</v>
      </c>
      <c r="E1942" s="1" t="s">
        <v>14</v>
      </c>
      <c r="F1942">
        <v>25410</v>
      </c>
      <c r="G1942">
        <v>1</v>
      </c>
      <c r="H1942" s="2">
        <v>0</v>
      </c>
      <c r="I1942" s="2">
        <v>41517</v>
      </c>
      <c r="J1942">
        <v>48</v>
      </c>
      <c r="K1942">
        <f>VLOOKUP(B1942,purchase_dataset!$B$2:$F$2241,2,FALSE)</f>
        <v>2</v>
      </c>
      <c r="L1942">
        <f>VLOOKUP(B1942,purchase_dataset!$B$2:$F$2241,3,FALSE)</f>
        <v>13</v>
      </c>
      <c r="M1942">
        <f>VLOOKUP(B1942,purchase_dataset!$B$2:$F$2241,3,FALSE)</f>
        <v>13</v>
      </c>
      <c r="N1942">
        <f>VLOOKUP(B1942,purchase_dataset!$B$2:$F$2241,5,FALSE)</f>
        <v>4</v>
      </c>
      <c r="O1942" s="5">
        <v>53</v>
      </c>
      <c r="P1942" s="4" t="str">
        <f t="shared" si="60"/>
        <v>&gt;50</v>
      </c>
      <c r="Q1942" s="4">
        <f>M1942+N1942</f>
        <v>17</v>
      </c>
      <c r="U1942" s="28" t="str" cm="1">
        <f t="array" ref="U1942">_xlfn.IFS(F1942&lt;30000,"30k",F1942&lt;=50000,"30k-50k",F1942&lt;=75000,"50k-75k",F1942&lt;=100000,"75k-100k",F1942&gt;100000,"100k")</f>
        <v>30k</v>
      </c>
      <c r="W1942" s="1">
        <f t="shared" si="61"/>
        <v>13</v>
      </c>
    </row>
    <row r="1943" spans="1:23" x14ac:dyDescent="0.35">
      <c r="A1943">
        <v>1940</v>
      </c>
      <c r="B1943">
        <v>1139</v>
      </c>
      <c r="C1943">
        <v>1984</v>
      </c>
      <c r="D1943" s="1" t="s">
        <v>13</v>
      </c>
      <c r="E1943" s="1" t="s">
        <v>14</v>
      </c>
      <c r="F1943">
        <v>73356</v>
      </c>
      <c r="G1943">
        <v>0</v>
      </c>
      <c r="H1943" s="2">
        <v>0</v>
      </c>
      <c r="I1943" s="2">
        <v>41676</v>
      </c>
      <c r="J1943">
        <v>56</v>
      </c>
      <c r="K1943">
        <f>VLOOKUP(B1943,purchase_dataset!$B$2:$F$2241,2,FALSE)</f>
        <v>14</v>
      </c>
      <c r="L1943">
        <f>VLOOKUP(B1943,purchase_dataset!$B$2:$F$2241,3,FALSE)</f>
        <v>14</v>
      </c>
      <c r="M1943">
        <f>VLOOKUP(B1943,purchase_dataset!$B$2:$F$2241,3,FALSE)</f>
        <v>14</v>
      </c>
      <c r="N1943">
        <f>VLOOKUP(B1943,purchase_dataset!$B$2:$F$2241,5,FALSE)</f>
        <v>5</v>
      </c>
      <c r="O1943" s="5">
        <v>42</v>
      </c>
      <c r="P1943" s="4" t="str">
        <f t="shared" si="60"/>
        <v>30-50</v>
      </c>
      <c r="Q1943" s="4">
        <f>M1943+N1943</f>
        <v>19</v>
      </c>
      <c r="U1943" s="28" t="str" cm="1">
        <f t="array" ref="U1943">_xlfn.IFS(F1943&lt;30000,"30k",F1943&lt;=50000,"30k-50k",F1943&lt;=75000,"50k-75k",F1943&lt;=100000,"75k-100k",F1943&gt;100000,"100k")</f>
        <v>50k-75k</v>
      </c>
      <c r="W1943" s="1">
        <f t="shared" si="61"/>
        <v>12</v>
      </c>
    </row>
    <row r="1944" spans="1:23" x14ac:dyDescent="0.35">
      <c r="A1944">
        <v>1941</v>
      </c>
      <c r="B1944">
        <v>5138</v>
      </c>
      <c r="C1944">
        <v>1950</v>
      </c>
      <c r="D1944" s="1" t="s">
        <v>10</v>
      </c>
      <c r="E1944" s="1" t="s">
        <v>12</v>
      </c>
      <c r="F1944">
        <v>28320</v>
      </c>
      <c r="G1944">
        <v>0</v>
      </c>
      <c r="H1944" s="2">
        <v>1</v>
      </c>
      <c r="I1944" s="2">
        <v>41288</v>
      </c>
      <c r="J1944">
        <v>68</v>
      </c>
      <c r="K1944">
        <f>VLOOKUP(B1944,purchase_dataset!$B$2:$F$2241,2,FALSE)</f>
        <v>1</v>
      </c>
      <c r="L1944">
        <f>VLOOKUP(B1944,purchase_dataset!$B$2:$F$2241,3,FALSE)</f>
        <v>2</v>
      </c>
      <c r="M1944">
        <f>VLOOKUP(B1944,purchase_dataset!$B$2:$F$2241,3,FALSE)</f>
        <v>2</v>
      </c>
      <c r="N1944">
        <f>VLOOKUP(B1944,purchase_dataset!$B$2:$F$2241,5,FALSE)</f>
        <v>3</v>
      </c>
      <c r="O1944" s="5">
        <v>76</v>
      </c>
      <c r="P1944" s="4" t="str">
        <f t="shared" si="60"/>
        <v>&gt;50</v>
      </c>
      <c r="Q1944" s="4">
        <f>M1944+N1944</f>
        <v>5</v>
      </c>
      <c r="U1944" s="28" t="str" cm="1">
        <f t="array" ref="U1944">_xlfn.IFS(F1944&lt;30000,"30k",F1944&lt;=50000,"30k-50k",F1944&lt;=75000,"50k-75k",F1944&lt;=100000,"75k-100k",F1944&gt;100000,"100k")</f>
        <v>30k</v>
      </c>
      <c r="W1944" s="1">
        <f t="shared" si="61"/>
        <v>13</v>
      </c>
    </row>
    <row r="1945" spans="1:23" x14ac:dyDescent="0.35">
      <c r="A1945">
        <v>1942</v>
      </c>
      <c r="B1945">
        <v>5393</v>
      </c>
      <c r="C1945">
        <v>1977</v>
      </c>
      <c r="D1945" s="1" t="s">
        <v>10</v>
      </c>
      <c r="E1945" s="1" t="s">
        <v>11</v>
      </c>
      <c r="F1945">
        <v>23763</v>
      </c>
      <c r="G1945">
        <v>1</v>
      </c>
      <c r="H1945" s="2">
        <v>0</v>
      </c>
      <c r="I1945" s="2">
        <v>41128</v>
      </c>
      <c r="J1945">
        <v>64</v>
      </c>
      <c r="K1945">
        <f>VLOOKUP(B1945,purchase_dataset!$B$2:$F$2241,2,FALSE)</f>
        <v>0</v>
      </c>
      <c r="L1945">
        <f>VLOOKUP(B1945,purchase_dataset!$B$2:$F$2241,3,FALSE)</f>
        <v>2</v>
      </c>
      <c r="M1945">
        <f>VLOOKUP(B1945,purchase_dataset!$B$2:$F$2241,3,FALSE)</f>
        <v>2</v>
      </c>
      <c r="N1945">
        <f>VLOOKUP(B1945,purchase_dataset!$B$2:$F$2241,5,FALSE)</f>
        <v>3</v>
      </c>
      <c r="O1945" s="5">
        <v>49</v>
      </c>
      <c r="P1945" s="4" t="str">
        <f t="shared" si="60"/>
        <v>30-50</v>
      </c>
      <c r="Q1945" s="4">
        <f>M1945+N1945</f>
        <v>5</v>
      </c>
      <c r="U1945" s="28" t="str" cm="1">
        <f t="array" ref="U1945">_xlfn.IFS(F1945&lt;30000,"30k",F1945&lt;=50000,"30k-50k",F1945&lt;=75000,"50k-75k",F1945&lt;=100000,"75k-100k",F1945&gt;100000,"100k")</f>
        <v>30k</v>
      </c>
      <c r="W1945" s="1">
        <f t="shared" si="61"/>
        <v>14</v>
      </c>
    </row>
    <row r="1946" spans="1:23" x14ac:dyDescent="0.35">
      <c r="A1946">
        <v>1943</v>
      </c>
      <c r="B1946">
        <v>10413</v>
      </c>
      <c r="C1946">
        <v>1984</v>
      </c>
      <c r="D1946" s="1" t="s">
        <v>10</v>
      </c>
      <c r="E1946" s="1" t="s">
        <v>14</v>
      </c>
      <c r="F1946">
        <v>72570</v>
      </c>
      <c r="G1946">
        <v>0</v>
      </c>
      <c r="H1946" s="2">
        <v>0</v>
      </c>
      <c r="I1946" s="2">
        <v>41754</v>
      </c>
      <c r="J1946">
        <v>67</v>
      </c>
      <c r="K1946">
        <f>VLOOKUP(B1946,purchase_dataset!$B$2:$F$2241,2,FALSE)</f>
        <v>83</v>
      </c>
      <c r="L1946">
        <f>VLOOKUP(B1946,purchase_dataset!$B$2:$F$2241,3,FALSE)</f>
        <v>141</v>
      </c>
      <c r="M1946">
        <f>VLOOKUP(B1946,purchase_dataset!$B$2:$F$2241,3,FALSE)</f>
        <v>141</v>
      </c>
      <c r="N1946">
        <f>VLOOKUP(B1946,purchase_dataset!$B$2:$F$2241,5,FALSE)</f>
        <v>12</v>
      </c>
      <c r="O1946" s="5">
        <v>42</v>
      </c>
      <c r="P1946" s="4" t="str">
        <f t="shared" si="60"/>
        <v>30-50</v>
      </c>
      <c r="Q1946" s="4">
        <f>M1946+N1946</f>
        <v>153</v>
      </c>
      <c r="U1946" s="28" t="str" cm="1">
        <f t="array" ref="U1946">_xlfn.IFS(F1946&lt;30000,"30k",F1946&lt;=50000,"30k-50k",F1946&lt;=75000,"50k-75k",F1946&lt;=100000,"75k-100k",F1946&gt;100000,"100k")</f>
        <v>50k-75k</v>
      </c>
      <c r="W1946" s="1">
        <f t="shared" si="61"/>
        <v>12</v>
      </c>
    </row>
    <row r="1947" spans="1:23" x14ac:dyDescent="0.35">
      <c r="A1947">
        <v>1944</v>
      </c>
      <c r="B1947">
        <v>5015</v>
      </c>
      <c r="C1947">
        <v>1976</v>
      </c>
      <c r="D1947" s="1" t="s">
        <v>15</v>
      </c>
      <c r="E1947" s="1" t="s">
        <v>14</v>
      </c>
      <c r="F1947">
        <v>34529</v>
      </c>
      <c r="G1947">
        <v>1</v>
      </c>
      <c r="H1947" s="2">
        <v>0</v>
      </c>
      <c r="I1947" s="2">
        <v>41166</v>
      </c>
      <c r="J1947">
        <v>94</v>
      </c>
      <c r="K1947">
        <f>VLOOKUP(B1947,purchase_dataset!$B$2:$F$2241,2,FALSE)</f>
        <v>6</v>
      </c>
      <c r="L1947">
        <f>VLOOKUP(B1947,purchase_dataset!$B$2:$F$2241,3,FALSE)</f>
        <v>6</v>
      </c>
      <c r="M1947">
        <f>VLOOKUP(B1947,purchase_dataset!$B$2:$F$2241,3,FALSE)</f>
        <v>6</v>
      </c>
      <c r="N1947">
        <f>VLOOKUP(B1947,purchase_dataset!$B$2:$F$2241,5,FALSE)</f>
        <v>3</v>
      </c>
      <c r="O1947" s="5">
        <v>50</v>
      </c>
      <c r="P1947" s="4" t="str">
        <f t="shared" si="60"/>
        <v>30-50</v>
      </c>
      <c r="Q1947" s="4">
        <f>M1947+N1947</f>
        <v>9</v>
      </c>
      <c r="U1947" s="28" t="str" cm="1">
        <f t="array" ref="U1947">_xlfn.IFS(F1947&lt;30000,"30k",F1947&lt;=50000,"30k-50k",F1947&lt;=75000,"50k-75k",F1947&lt;=100000,"75k-100k",F1947&gt;100000,"100k")</f>
        <v>30k-50k</v>
      </c>
      <c r="W1947" s="1">
        <f t="shared" si="61"/>
        <v>14</v>
      </c>
    </row>
    <row r="1948" spans="1:23" x14ac:dyDescent="0.35">
      <c r="A1948">
        <v>1945</v>
      </c>
      <c r="B1948">
        <v>10868</v>
      </c>
      <c r="C1948">
        <v>1951</v>
      </c>
      <c r="D1948" s="1" t="s">
        <v>10</v>
      </c>
      <c r="E1948" s="1" t="s">
        <v>19</v>
      </c>
      <c r="F1948">
        <v>70792</v>
      </c>
      <c r="G1948">
        <v>0</v>
      </c>
      <c r="H1948" s="2">
        <v>0</v>
      </c>
      <c r="I1948" s="2">
        <v>41311</v>
      </c>
      <c r="J1948">
        <v>82</v>
      </c>
      <c r="K1948">
        <f>VLOOKUP(B1948,purchase_dataset!$B$2:$F$2241,2,FALSE)</f>
        <v>45</v>
      </c>
      <c r="L1948">
        <f>VLOOKUP(B1948,purchase_dataset!$B$2:$F$2241,3,FALSE)</f>
        <v>11</v>
      </c>
      <c r="M1948">
        <f>VLOOKUP(B1948,purchase_dataset!$B$2:$F$2241,3,FALSE)</f>
        <v>11</v>
      </c>
      <c r="N1948">
        <f>VLOOKUP(B1948,purchase_dataset!$B$2:$F$2241,5,FALSE)</f>
        <v>10</v>
      </c>
      <c r="O1948" s="5">
        <v>75</v>
      </c>
      <c r="P1948" s="4" t="str">
        <f t="shared" si="60"/>
        <v>&gt;50</v>
      </c>
      <c r="Q1948" s="4">
        <f>M1948+N1948</f>
        <v>21</v>
      </c>
      <c r="U1948" s="28" t="str" cm="1">
        <f t="array" ref="U1948">_xlfn.IFS(F1948&lt;30000,"30k",F1948&lt;=50000,"30k-50k",F1948&lt;=75000,"50k-75k",F1948&lt;=100000,"75k-100k",F1948&gt;100000,"100k")</f>
        <v>50k-75k</v>
      </c>
      <c r="W1948" s="1">
        <f t="shared" si="61"/>
        <v>13</v>
      </c>
    </row>
    <row r="1949" spans="1:23" x14ac:dyDescent="0.35">
      <c r="A1949">
        <v>1946</v>
      </c>
      <c r="B1949">
        <v>10676</v>
      </c>
      <c r="C1949">
        <v>1982</v>
      </c>
      <c r="D1949" s="1" t="s">
        <v>10</v>
      </c>
      <c r="E1949" s="1" t="s">
        <v>14</v>
      </c>
      <c r="F1949">
        <v>63211</v>
      </c>
      <c r="G1949">
        <v>0</v>
      </c>
      <c r="H1949" s="2">
        <v>0</v>
      </c>
      <c r="I1949" s="2">
        <v>41215</v>
      </c>
      <c r="J1949">
        <v>3</v>
      </c>
      <c r="K1949">
        <f>VLOOKUP(B1949,purchase_dataset!$B$2:$F$2241,2,FALSE)</f>
        <v>193</v>
      </c>
      <c r="L1949">
        <f>VLOOKUP(B1949,purchase_dataset!$B$2:$F$2241,3,FALSE)</f>
        <v>26</v>
      </c>
      <c r="M1949">
        <f>VLOOKUP(B1949,purchase_dataset!$B$2:$F$2241,3,FALSE)</f>
        <v>26</v>
      </c>
      <c r="N1949">
        <f>VLOOKUP(B1949,purchase_dataset!$B$2:$F$2241,5,FALSE)</f>
        <v>7</v>
      </c>
      <c r="O1949" s="5">
        <v>44</v>
      </c>
      <c r="P1949" s="4" t="str">
        <f t="shared" si="60"/>
        <v>30-50</v>
      </c>
      <c r="Q1949" s="4">
        <f>M1949+N1949</f>
        <v>33</v>
      </c>
      <c r="U1949" s="28" t="str" cm="1">
        <f t="array" ref="U1949">_xlfn.IFS(F1949&lt;30000,"30k",F1949&lt;=50000,"30k-50k",F1949&lt;=75000,"50k-75k",F1949&lt;=100000,"75k-100k",F1949&gt;100000,"100k")</f>
        <v>50k-75k</v>
      </c>
      <c r="W1949" s="1">
        <f t="shared" si="61"/>
        <v>14</v>
      </c>
    </row>
    <row r="1950" spans="1:23" x14ac:dyDescent="0.35">
      <c r="A1950">
        <v>1947</v>
      </c>
      <c r="B1950">
        <v>2495</v>
      </c>
      <c r="C1950">
        <v>1974</v>
      </c>
      <c r="D1950" s="1" t="s">
        <v>15</v>
      </c>
      <c r="E1950" s="1" t="s">
        <v>14</v>
      </c>
      <c r="F1950">
        <v>83891</v>
      </c>
      <c r="G1950">
        <v>0</v>
      </c>
      <c r="H1950" s="2">
        <v>1</v>
      </c>
      <c r="I1950" s="2">
        <v>41810</v>
      </c>
      <c r="J1950">
        <v>24</v>
      </c>
      <c r="K1950">
        <f>VLOOKUP(B1950,purchase_dataset!$B$2:$F$2241,2,FALSE)</f>
        <v>38</v>
      </c>
      <c r="L1950">
        <f>VLOOKUP(B1950,purchase_dataset!$B$2:$F$2241,3,FALSE)</f>
        <v>85</v>
      </c>
      <c r="M1950">
        <f>VLOOKUP(B1950,purchase_dataset!$B$2:$F$2241,3,FALSE)</f>
        <v>85</v>
      </c>
      <c r="N1950">
        <f>VLOOKUP(B1950,purchase_dataset!$B$2:$F$2241,5,FALSE)</f>
        <v>10</v>
      </c>
      <c r="O1950" s="5">
        <v>52</v>
      </c>
      <c r="P1950" s="4" t="str">
        <f t="shared" si="60"/>
        <v>&gt;50</v>
      </c>
      <c r="Q1950" s="4">
        <f>M1950+N1950</f>
        <v>95</v>
      </c>
      <c r="U1950" s="28" t="str" cm="1">
        <f t="array" ref="U1950">_xlfn.IFS(F1950&lt;30000,"30k",F1950&lt;=50000,"30k-50k",F1950&lt;=75000,"50k-75k",F1950&lt;=100000,"75k-100k",F1950&gt;100000,"100k")</f>
        <v>75k-100k</v>
      </c>
      <c r="W1950" s="1">
        <f t="shared" si="61"/>
        <v>12</v>
      </c>
    </row>
    <row r="1951" spans="1:23" x14ac:dyDescent="0.35">
      <c r="A1951">
        <v>1948</v>
      </c>
      <c r="B1951">
        <v>7842</v>
      </c>
      <c r="C1951">
        <v>1968</v>
      </c>
      <c r="D1951" s="1" t="s">
        <v>10</v>
      </c>
      <c r="E1951" s="1" t="s">
        <v>11</v>
      </c>
      <c r="F1951">
        <v>36065</v>
      </c>
      <c r="G1951">
        <v>1</v>
      </c>
      <c r="H1951" s="2">
        <v>1</v>
      </c>
      <c r="I1951" s="2">
        <v>41364</v>
      </c>
      <c r="J1951">
        <v>54</v>
      </c>
      <c r="K1951">
        <f>VLOOKUP(B1951,purchase_dataset!$B$2:$F$2241,2,FALSE)</f>
        <v>7</v>
      </c>
      <c r="L1951">
        <f>VLOOKUP(B1951,purchase_dataset!$B$2:$F$2241,3,FALSE)</f>
        <v>2</v>
      </c>
      <c r="M1951">
        <f>VLOOKUP(B1951,purchase_dataset!$B$2:$F$2241,3,FALSE)</f>
        <v>2</v>
      </c>
      <c r="N1951">
        <f>VLOOKUP(B1951,purchase_dataset!$B$2:$F$2241,5,FALSE)</f>
        <v>3</v>
      </c>
      <c r="O1951" s="5">
        <v>58</v>
      </c>
      <c r="P1951" s="4" t="str">
        <f t="shared" si="60"/>
        <v>&gt;50</v>
      </c>
      <c r="Q1951" s="4">
        <f>M1951+N1951</f>
        <v>5</v>
      </c>
      <c r="U1951" s="28" t="str" cm="1">
        <f t="array" ref="U1951">_xlfn.IFS(F1951&lt;30000,"30k",F1951&lt;=50000,"30k-50k",F1951&lt;=75000,"50k-75k",F1951&lt;=100000,"75k-100k",F1951&gt;100000,"100k")</f>
        <v>30k-50k</v>
      </c>
      <c r="W1951" s="1">
        <f t="shared" si="61"/>
        <v>13</v>
      </c>
    </row>
    <row r="1952" spans="1:23" x14ac:dyDescent="0.35">
      <c r="A1952">
        <v>1949</v>
      </c>
      <c r="B1952">
        <v>9955</v>
      </c>
      <c r="C1952">
        <v>1954</v>
      </c>
      <c r="D1952" s="1" t="s">
        <v>10</v>
      </c>
      <c r="E1952" s="1" t="s">
        <v>12</v>
      </c>
      <c r="F1952">
        <v>39898</v>
      </c>
      <c r="G1952">
        <v>0</v>
      </c>
      <c r="H1952" s="2">
        <v>1</v>
      </c>
      <c r="I1952" s="2">
        <v>41317</v>
      </c>
      <c r="J1952">
        <v>20</v>
      </c>
      <c r="K1952">
        <f>VLOOKUP(B1952,purchase_dataset!$B$2:$F$2241,2,FALSE)</f>
        <v>8</v>
      </c>
      <c r="L1952">
        <f>VLOOKUP(B1952,purchase_dataset!$B$2:$F$2241,3,FALSE)</f>
        <v>7</v>
      </c>
      <c r="M1952">
        <f>VLOOKUP(B1952,purchase_dataset!$B$2:$F$2241,3,FALSE)</f>
        <v>7</v>
      </c>
      <c r="N1952">
        <f>VLOOKUP(B1952,purchase_dataset!$B$2:$F$2241,5,FALSE)</f>
        <v>4</v>
      </c>
      <c r="O1952" s="5">
        <v>72</v>
      </c>
      <c r="P1952" s="4" t="str">
        <f t="shared" si="60"/>
        <v>&gt;50</v>
      </c>
      <c r="Q1952" s="4">
        <f>M1952+N1952</f>
        <v>11</v>
      </c>
      <c r="U1952" s="28" t="str" cm="1">
        <f t="array" ref="U1952">_xlfn.IFS(F1952&lt;30000,"30k",F1952&lt;=50000,"30k-50k",F1952&lt;=75000,"50k-75k",F1952&lt;=100000,"75k-100k",F1952&gt;100000,"100k")</f>
        <v>30k-50k</v>
      </c>
      <c r="W1952" s="1">
        <f t="shared" si="61"/>
        <v>13</v>
      </c>
    </row>
    <row r="1953" spans="1:23" x14ac:dyDescent="0.35">
      <c r="A1953">
        <v>1950</v>
      </c>
      <c r="B1953">
        <v>6663</v>
      </c>
      <c r="C1953">
        <v>1940</v>
      </c>
      <c r="D1953" s="1" t="s">
        <v>13</v>
      </c>
      <c r="E1953" s="1" t="s">
        <v>11</v>
      </c>
      <c r="F1953">
        <v>51141</v>
      </c>
      <c r="G1953">
        <v>0</v>
      </c>
      <c r="H1953" s="2">
        <v>0</v>
      </c>
      <c r="I1953" s="2">
        <v>41463</v>
      </c>
      <c r="J1953">
        <v>96</v>
      </c>
      <c r="K1953">
        <f>VLOOKUP(B1953,purchase_dataset!$B$2:$F$2241,2,FALSE)</f>
        <v>0</v>
      </c>
      <c r="L1953">
        <f>VLOOKUP(B1953,purchase_dataset!$B$2:$F$2241,3,FALSE)</f>
        <v>0</v>
      </c>
      <c r="M1953">
        <f>VLOOKUP(B1953,purchase_dataset!$B$2:$F$2241,3,FALSE)</f>
        <v>0</v>
      </c>
      <c r="N1953">
        <f>VLOOKUP(B1953,purchase_dataset!$B$2:$F$2241,5,FALSE)</f>
        <v>4</v>
      </c>
      <c r="O1953" s="5">
        <v>86</v>
      </c>
      <c r="P1953" s="4" t="str">
        <f t="shared" si="60"/>
        <v>&gt;50</v>
      </c>
      <c r="Q1953" s="4">
        <f>M1953+N1953</f>
        <v>4</v>
      </c>
      <c r="U1953" s="28" t="str" cm="1">
        <f t="array" ref="U1953">_xlfn.IFS(F1953&lt;30000,"30k",F1953&lt;=50000,"30k-50k",F1953&lt;=75000,"50k-75k",F1953&lt;=100000,"75k-100k",F1953&gt;100000,"100k")</f>
        <v>50k-75k</v>
      </c>
      <c r="W1953" s="1">
        <f t="shared" si="61"/>
        <v>13</v>
      </c>
    </row>
    <row r="1954" spans="1:23" x14ac:dyDescent="0.35">
      <c r="A1954">
        <v>1951</v>
      </c>
      <c r="B1954">
        <v>2162</v>
      </c>
      <c r="C1954">
        <v>1976</v>
      </c>
      <c r="D1954" s="1" t="s">
        <v>10</v>
      </c>
      <c r="E1954" s="1" t="s">
        <v>14</v>
      </c>
      <c r="F1954">
        <v>56939</v>
      </c>
      <c r="G1954">
        <v>0</v>
      </c>
      <c r="H1954" s="2">
        <v>1</v>
      </c>
      <c r="I1954" s="2">
        <v>41535</v>
      </c>
      <c r="J1954">
        <v>19</v>
      </c>
      <c r="K1954">
        <f>VLOOKUP(B1954,purchase_dataset!$B$2:$F$2241,2,FALSE)</f>
        <v>34</v>
      </c>
      <c r="L1954">
        <f>VLOOKUP(B1954,purchase_dataset!$B$2:$F$2241,3,FALSE)</f>
        <v>29</v>
      </c>
      <c r="M1954">
        <f>VLOOKUP(B1954,purchase_dataset!$B$2:$F$2241,3,FALSE)</f>
        <v>29</v>
      </c>
      <c r="N1954">
        <f>VLOOKUP(B1954,purchase_dataset!$B$2:$F$2241,5,FALSE)</f>
        <v>10</v>
      </c>
      <c r="O1954" s="5">
        <v>50</v>
      </c>
      <c r="P1954" s="4" t="str">
        <f t="shared" si="60"/>
        <v>30-50</v>
      </c>
      <c r="Q1954" s="4">
        <f>M1954+N1954</f>
        <v>39</v>
      </c>
      <c r="U1954" s="28" t="str" cm="1">
        <f t="array" ref="U1954">_xlfn.IFS(F1954&lt;30000,"30k",F1954&lt;=50000,"30k-50k",F1954&lt;=75000,"50k-75k",F1954&lt;=100000,"75k-100k",F1954&gt;100000,"100k")</f>
        <v>50k-75k</v>
      </c>
      <c r="W1954" s="1">
        <f t="shared" si="61"/>
        <v>13</v>
      </c>
    </row>
    <row r="1955" spans="1:23" x14ac:dyDescent="0.35">
      <c r="A1955">
        <v>1952</v>
      </c>
      <c r="B1955">
        <v>3434</v>
      </c>
      <c r="C1955">
        <v>1951</v>
      </c>
      <c r="D1955" s="1" t="s">
        <v>10</v>
      </c>
      <c r="E1955" s="1" t="s">
        <v>11</v>
      </c>
      <c r="F1955">
        <v>80872</v>
      </c>
      <c r="G1955">
        <v>0</v>
      </c>
      <c r="H1955" s="2">
        <v>0</v>
      </c>
      <c r="I1955" s="2">
        <v>41771</v>
      </c>
      <c r="J1955">
        <v>60</v>
      </c>
      <c r="K1955">
        <f>VLOOKUP(B1955,purchase_dataset!$B$2:$F$2241,2,FALSE)</f>
        <v>72</v>
      </c>
      <c r="L1955">
        <f>VLOOKUP(B1955,purchase_dataset!$B$2:$F$2241,3,FALSE)</f>
        <v>12</v>
      </c>
      <c r="M1955">
        <f>VLOOKUP(B1955,purchase_dataset!$B$2:$F$2241,3,FALSE)</f>
        <v>12</v>
      </c>
      <c r="N1955">
        <f>VLOOKUP(B1955,purchase_dataset!$B$2:$F$2241,5,FALSE)</f>
        <v>10</v>
      </c>
      <c r="O1955" s="5">
        <v>75</v>
      </c>
      <c r="P1955" s="4" t="str">
        <f t="shared" si="60"/>
        <v>&gt;50</v>
      </c>
      <c r="Q1955" s="4">
        <f>M1955+N1955</f>
        <v>22</v>
      </c>
      <c r="U1955" s="28" t="str" cm="1">
        <f t="array" ref="U1955">_xlfn.IFS(F1955&lt;30000,"30k",F1955&lt;=50000,"30k-50k",F1955&lt;=75000,"50k-75k",F1955&lt;=100000,"75k-100k",F1955&gt;100000,"100k")</f>
        <v>75k-100k</v>
      </c>
      <c r="W1955" s="1">
        <f t="shared" si="61"/>
        <v>12</v>
      </c>
    </row>
    <row r="1956" spans="1:23" x14ac:dyDescent="0.35">
      <c r="A1956">
        <v>1953</v>
      </c>
      <c r="B1956">
        <v>7919</v>
      </c>
      <c r="C1956">
        <v>1976</v>
      </c>
      <c r="D1956" s="1" t="s">
        <v>13</v>
      </c>
      <c r="E1956" s="1" t="s">
        <v>12</v>
      </c>
      <c r="F1956">
        <v>72335</v>
      </c>
      <c r="G1956">
        <v>0</v>
      </c>
      <c r="H1956" s="2">
        <v>0</v>
      </c>
      <c r="I1956" s="2">
        <v>41134</v>
      </c>
      <c r="J1956">
        <v>2</v>
      </c>
      <c r="K1956">
        <f>VLOOKUP(B1956,purchase_dataset!$B$2:$F$2241,2,FALSE)</f>
        <v>105</v>
      </c>
      <c r="L1956">
        <f>VLOOKUP(B1956,purchase_dataset!$B$2:$F$2241,3,FALSE)</f>
        <v>21</v>
      </c>
      <c r="M1956">
        <f>VLOOKUP(B1956,purchase_dataset!$B$2:$F$2241,3,FALSE)</f>
        <v>21</v>
      </c>
      <c r="N1956">
        <f>VLOOKUP(B1956,purchase_dataset!$B$2:$F$2241,5,FALSE)</f>
        <v>8</v>
      </c>
      <c r="O1956" s="5">
        <v>50</v>
      </c>
      <c r="P1956" s="4" t="str">
        <f t="shared" si="60"/>
        <v>30-50</v>
      </c>
      <c r="Q1956" s="4">
        <f>M1956+N1956</f>
        <v>29</v>
      </c>
      <c r="U1956" s="28" t="str" cm="1">
        <f t="array" ref="U1956">_xlfn.IFS(F1956&lt;30000,"30k",F1956&lt;=50000,"30k-50k",F1956&lt;=75000,"50k-75k",F1956&lt;=100000,"75k-100k",F1956&gt;100000,"100k")</f>
        <v>50k-75k</v>
      </c>
      <c r="W1956" s="1">
        <f t="shared" si="61"/>
        <v>14</v>
      </c>
    </row>
    <row r="1957" spans="1:23" x14ac:dyDescent="0.35">
      <c r="A1957">
        <v>1954</v>
      </c>
      <c r="B1957">
        <v>5626</v>
      </c>
      <c r="C1957">
        <v>1964</v>
      </c>
      <c r="D1957" s="1" t="s">
        <v>13</v>
      </c>
      <c r="E1957" s="1" t="s">
        <v>11</v>
      </c>
      <c r="F1957">
        <v>61798</v>
      </c>
      <c r="G1957">
        <v>0</v>
      </c>
      <c r="H1957" s="2">
        <v>0</v>
      </c>
      <c r="I1957" s="2">
        <v>41601</v>
      </c>
      <c r="J1957">
        <v>13</v>
      </c>
      <c r="K1957">
        <f>VLOOKUP(B1957,purchase_dataset!$B$2:$F$2241,2,FALSE)</f>
        <v>4</v>
      </c>
      <c r="L1957">
        <f>VLOOKUP(B1957,purchase_dataset!$B$2:$F$2241,3,FALSE)</f>
        <v>8</v>
      </c>
      <c r="M1957">
        <f>VLOOKUP(B1957,purchase_dataset!$B$2:$F$2241,3,FALSE)</f>
        <v>8</v>
      </c>
      <c r="N1957">
        <f>VLOOKUP(B1957,purchase_dataset!$B$2:$F$2241,5,FALSE)</f>
        <v>9</v>
      </c>
      <c r="O1957" s="5">
        <v>62</v>
      </c>
      <c r="P1957" s="4" t="str">
        <f t="shared" si="60"/>
        <v>&gt;50</v>
      </c>
      <c r="Q1957" s="4">
        <f>M1957+N1957</f>
        <v>17</v>
      </c>
      <c r="U1957" s="28" t="str" cm="1">
        <f t="array" ref="U1957">_xlfn.IFS(F1957&lt;30000,"30k",F1957&lt;=50000,"30k-50k",F1957&lt;=75000,"50k-75k",F1957&lt;=100000,"75k-100k",F1957&gt;100000,"100k")</f>
        <v>50k-75k</v>
      </c>
      <c r="W1957" s="1">
        <f t="shared" si="61"/>
        <v>13</v>
      </c>
    </row>
    <row r="1958" spans="1:23" x14ac:dyDescent="0.35">
      <c r="A1958">
        <v>1955</v>
      </c>
      <c r="B1958">
        <v>6428</v>
      </c>
      <c r="C1958">
        <v>1950</v>
      </c>
      <c r="D1958" s="1" t="s">
        <v>13</v>
      </c>
      <c r="E1958" s="1" t="s">
        <v>19</v>
      </c>
      <c r="F1958">
        <v>76842</v>
      </c>
      <c r="G1958">
        <v>0</v>
      </c>
      <c r="H1958" s="2">
        <v>0</v>
      </c>
      <c r="I1958" s="2">
        <v>41762</v>
      </c>
      <c r="J1958">
        <v>37</v>
      </c>
      <c r="K1958">
        <f>VLOOKUP(B1958,purchase_dataset!$B$2:$F$2241,2,FALSE)</f>
        <v>10</v>
      </c>
      <c r="L1958">
        <f>VLOOKUP(B1958,purchase_dataset!$B$2:$F$2241,3,FALSE)</f>
        <v>54</v>
      </c>
      <c r="M1958">
        <f>VLOOKUP(B1958,purchase_dataset!$B$2:$F$2241,3,FALSE)</f>
        <v>54</v>
      </c>
      <c r="N1958">
        <f>VLOOKUP(B1958,purchase_dataset!$B$2:$F$2241,5,FALSE)</f>
        <v>7</v>
      </c>
      <c r="O1958" s="5">
        <v>76</v>
      </c>
      <c r="P1958" s="4" t="str">
        <f t="shared" si="60"/>
        <v>&gt;50</v>
      </c>
      <c r="Q1958" s="4">
        <f>M1958+N1958</f>
        <v>61</v>
      </c>
      <c r="U1958" s="28" t="str" cm="1">
        <f t="array" ref="U1958">_xlfn.IFS(F1958&lt;30000,"30k",F1958&lt;=50000,"30k-50k",F1958&lt;=75000,"50k-75k",F1958&lt;=100000,"75k-100k",F1958&gt;100000,"100k")</f>
        <v>75k-100k</v>
      </c>
      <c r="W1958" s="1">
        <f t="shared" si="61"/>
        <v>12</v>
      </c>
    </row>
    <row r="1959" spans="1:23" x14ac:dyDescent="0.35">
      <c r="A1959">
        <v>1956</v>
      </c>
      <c r="B1959">
        <v>8514</v>
      </c>
      <c r="C1959">
        <v>1976</v>
      </c>
      <c r="D1959" s="1" t="s">
        <v>10</v>
      </c>
      <c r="E1959" s="1" t="s">
        <v>12</v>
      </c>
      <c r="F1959">
        <v>29478</v>
      </c>
      <c r="G1959">
        <v>1</v>
      </c>
      <c r="H1959" s="2">
        <v>0</v>
      </c>
      <c r="I1959" s="2">
        <v>41656</v>
      </c>
      <c r="J1959">
        <v>59</v>
      </c>
      <c r="K1959">
        <f>VLOOKUP(B1959,purchase_dataset!$B$2:$F$2241,2,FALSE)</f>
        <v>0</v>
      </c>
      <c r="L1959">
        <f>VLOOKUP(B1959,purchase_dataset!$B$2:$F$2241,3,FALSE)</f>
        <v>1</v>
      </c>
      <c r="M1959">
        <f>VLOOKUP(B1959,purchase_dataset!$B$2:$F$2241,3,FALSE)</f>
        <v>1</v>
      </c>
      <c r="N1959">
        <f>VLOOKUP(B1959,purchase_dataset!$B$2:$F$2241,5,FALSE)</f>
        <v>3</v>
      </c>
      <c r="O1959" s="5">
        <v>50</v>
      </c>
      <c r="P1959" s="4" t="str">
        <f t="shared" si="60"/>
        <v>30-50</v>
      </c>
      <c r="Q1959" s="4">
        <f>M1959+N1959</f>
        <v>4</v>
      </c>
      <c r="U1959" s="28" t="str" cm="1">
        <f t="array" ref="U1959">_xlfn.IFS(F1959&lt;30000,"30k",F1959&lt;=50000,"30k-50k",F1959&lt;=75000,"50k-75k",F1959&lt;=100000,"75k-100k",F1959&gt;100000,"100k")</f>
        <v>30k</v>
      </c>
      <c r="W1959" s="1">
        <f t="shared" si="61"/>
        <v>12</v>
      </c>
    </row>
    <row r="1960" spans="1:23" x14ac:dyDescent="0.35">
      <c r="A1960">
        <v>1957</v>
      </c>
      <c r="B1960">
        <v>10448</v>
      </c>
      <c r="C1960">
        <v>1956</v>
      </c>
      <c r="D1960" s="1" t="s">
        <v>10</v>
      </c>
      <c r="E1960" s="1" t="s">
        <v>11</v>
      </c>
      <c r="F1960">
        <v>46998</v>
      </c>
      <c r="G1960">
        <v>0</v>
      </c>
      <c r="H1960" s="2">
        <v>1</v>
      </c>
      <c r="I1960" s="2">
        <v>41204</v>
      </c>
      <c r="J1960">
        <v>55</v>
      </c>
      <c r="K1960">
        <f>VLOOKUP(B1960,purchase_dataset!$B$2:$F$2241,2,FALSE)</f>
        <v>41</v>
      </c>
      <c r="L1960">
        <f>VLOOKUP(B1960,purchase_dataset!$B$2:$F$2241,3,FALSE)</f>
        <v>6</v>
      </c>
      <c r="M1960">
        <f>VLOOKUP(B1960,purchase_dataset!$B$2:$F$2241,3,FALSE)</f>
        <v>6</v>
      </c>
      <c r="N1960">
        <f>VLOOKUP(B1960,purchase_dataset!$B$2:$F$2241,5,FALSE)</f>
        <v>5</v>
      </c>
      <c r="O1960" s="5">
        <v>70</v>
      </c>
      <c r="P1960" s="4" t="str">
        <f t="shared" si="60"/>
        <v>&gt;50</v>
      </c>
      <c r="Q1960" s="4">
        <f>M1960+N1960</f>
        <v>11</v>
      </c>
      <c r="U1960" s="28" t="str" cm="1">
        <f t="array" ref="U1960">_xlfn.IFS(F1960&lt;30000,"30k",F1960&lt;=50000,"30k-50k",F1960&lt;=75000,"50k-75k",F1960&lt;=100000,"75k-100k",F1960&gt;100000,"100k")</f>
        <v>30k-50k</v>
      </c>
      <c r="W1960" s="1">
        <f t="shared" si="61"/>
        <v>14</v>
      </c>
    </row>
    <row r="1961" spans="1:23" x14ac:dyDescent="0.35">
      <c r="A1961">
        <v>1958</v>
      </c>
      <c r="B1961">
        <v>2109</v>
      </c>
      <c r="C1961">
        <v>1990</v>
      </c>
      <c r="D1961" s="1" t="s">
        <v>10</v>
      </c>
      <c r="E1961" s="1" t="s">
        <v>11</v>
      </c>
      <c r="F1961">
        <v>96843</v>
      </c>
      <c r="G1961">
        <v>0</v>
      </c>
      <c r="H1961" s="2">
        <v>0</v>
      </c>
      <c r="I1961" s="2">
        <v>41387</v>
      </c>
      <c r="J1961">
        <v>60</v>
      </c>
      <c r="K1961">
        <f>VLOOKUP(B1961,purchase_dataset!$B$2:$F$2241,2,FALSE)</f>
        <v>71</v>
      </c>
      <c r="L1961">
        <f>VLOOKUP(B1961,purchase_dataset!$B$2:$F$2241,3,FALSE)</f>
        <v>17</v>
      </c>
      <c r="M1961">
        <f>VLOOKUP(B1961,purchase_dataset!$B$2:$F$2241,3,FALSE)</f>
        <v>17</v>
      </c>
      <c r="N1961">
        <f>VLOOKUP(B1961,purchase_dataset!$B$2:$F$2241,5,FALSE)</f>
        <v>10</v>
      </c>
      <c r="O1961" s="5">
        <v>36</v>
      </c>
      <c r="P1961" s="4" t="str">
        <f t="shared" si="60"/>
        <v>30-50</v>
      </c>
      <c r="Q1961" s="4">
        <f>M1961+N1961</f>
        <v>27</v>
      </c>
      <c r="U1961" s="28" t="str" cm="1">
        <f t="array" ref="U1961">_xlfn.IFS(F1961&lt;30000,"30k",F1961&lt;=50000,"30k-50k",F1961&lt;=75000,"50k-75k",F1961&lt;=100000,"75k-100k",F1961&gt;100000,"100k")</f>
        <v>75k-100k</v>
      </c>
      <c r="W1961" s="1">
        <f t="shared" si="61"/>
        <v>13</v>
      </c>
    </row>
    <row r="1962" spans="1:23" x14ac:dyDescent="0.35">
      <c r="A1962">
        <v>1959</v>
      </c>
      <c r="B1962">
        <v>7530</v>
      </c>
      <c r="C1962">
        <v>1950</v>
      </c>
      <c r="D1962" s="1" t="s">
        <v>13</v>
      </c>
      <c r="E1962" s="1" t="s">
        <v>19</v>
      </c>
      <c r="F1962">
        <v>56551</v>
      </c>
      <c r="G1962">
        <v>1</v>
      </c>
      <c r="H1962" s="2">
        <v>1</v>
      </c>
      <c r="I1962" s="2">
        <v>41766</v>
      </c>
      <c r="J1962">
        <v>48</v>
      </c>
      <c r="K1962">
        <f>VLOOKUP(B1962,purchase_dataset!$B$2:$F$2241,2,FALSE)</f>
        <v>4</v>
      </c>
      <c r="L1962">
        <f>VLOOKUP(B1962,purchase_dataset!$B$2:$F$2241,3,FALSE)</f>
        <v>2</v>
      </c>
      <c r="M1962">
        <f>VLOOKUP(B1962,purchase_dataset!$B$2:$F$2241,3,FALSE)</f>
        <v>2</v>
      </c>
      <c r="N1962">
        <f>VLOOKUP(B1962,purchase_dataset!$B$2:$F$2241,5,FALSE)</f>
        <v>4</v>
      </c>
      <c r="O1962" s="5">
        <v>76</v>
      </c>
      <c r="P1962" s="4" t="str">
        <f t="shared" si="60"/>
        <v>&gt;50</v>
      </c>
      <c r="Q1962" s="4">
        <f>M1962+N1962</f>
        <v>6</v>
      </c>
      <c r="U1962" s="28" t="str" cm="1">
        <f t="array" ref="U1962">_xlfn.IFS(F1962&lt;30000,"30k",F1962&lt;=50000,"30k-50k",F1962&lt;=75000,"50k-75k",F1962&lt;=100000,"75k-100k",F1962&gt;100000,"100k")</f>
        <v>50k-75k</v>
      </c>
      <c r="W1962" s="1">
        <f t="shared" si="61"/>
        <v>12</v>
      </c>
    </row>
    <row r="1963" spans="1:23" x14ac:dyDescent="0.35">
      <c r="A1963">
        <v>1960</v>
      </c>
      <c r="B1963">
        <v>8925</v>
      </c>
      <c r="C1963">
        <v>1965</v>
      </c>
      <c r="D1963" s="1" t="s">
        <v>15</v>
      </c>
      <c r="E1963" s="1" t="s">
        <v>14</v>
      </c>
      <c r="F1963">
        <v>70053</v>
      </c>
      <c r="G1963">
        <v>0</v>
      </c>
      <c r="H1963" s="2">
        <v>1</v>
      </c>
      <c r="I1963" s="2">
        <v>41458</v>
      </c>
      <c r="J1963">
        <v>38</v>
      </c>
      <c r="K1963">
        <f>VLOOKUP(B1963,purchase_dataset!$B$2:$F$2241,2,FALSE)</f>
        <v>53</v>
      </c>
      <c r="L1963">
        <f>VLOOKUP(B1963,purchase_dataset!$B$2:$F$2241,3,FALSE)</f>
        <v>179</v>
      </c>
      <c r="M1963">
        <f>VLOOKUP(B1963,purchase_dataset!$B$2:$F$2241,3,FALSE)</f>
        <v>179</v>
      </c>
      <c r="N1963">
        <f>VLOOKUP(B1963,purchase_dataset!$B$2:$F$2241,5,FALSE)</f>
        <v>10</v>
      </c>
      <c r="O1963" s="5">
        <v>61</v>
      </c>
      <c r="P1963" s="4" t="str">
        <f t="shared" si="60"/>
        <v>&gt;50</v>
      </c>
      <c r="Q1963" s="4">
        <f>M1963+N1963</f>
        <v>189</v>
      </c>
      <c r="U1963" s="28" t="str" cm="1">
        <f t="array" ref="U1963">_xlfn.IFS(F1963&lt;30000,"30k",F1963&lt;=50000,"30k-50k",F1963&lt;=75000,"50k-75k",F1963&lt;=100000,"75k-100k",F1963&gt;100000,"100k")</f>
        <v>50k-75k</v>
      </c>
      <c r="W1963" s="1">
        <f t="shared" si="61"/>
        <v>13</v>
      </c>
    </row>
    <row r="1964" spans="1:23" x14ac:dyDescent="0.35">
      <c r="A1964">
        <v>1961</v>
      </c>
      <c r="B1964">
        <v>3009</v>
      </c>
      <c r="C1964">
        <v>1962</v>
      </c>
      <c r="D1964" s="1" t="s">
        <v>13</v>
      </c>
      <c r="E1964" s="1" t="s">
        <v>19</v>
      </c>
      <c r="F1964">
        <v>71670</v>
      </c>
      <c r="G1964">
        <v>0</v>
      </c>
      <c r="H1964" s="2">
        <v>0</v>
      </c>
      <c r="I1964" s="2">
        <v>41464</v>
      </c>
      <c r="J1964">
        <v>8</v>
      </c>
      <c r="K1964">
        <f>VLOOKUP(B1964,purchase_dataset!$B$2:$F$2241,2,FALSE)</f>
        <v>16</v>
      </c>
      <c r="L1964">
        <f>VLOOKUP(B1964,purchase_dataset!$B$2:$F$2241,3,FALSE)</f>
        <v>0</v>
      </c>
      <c r="M1964">
        <f>VLOOKUP(B1964,purchase_dataset!$B$2:$F$2241,3,FALSE)</f>
        <v>0</v>
      </c>
      <c r="N1964">
        <f>VLOOKUP(B1964,purchase_dataset!$B$2:$F$2241,5,FALSE)</f>
        <v>6</v>
      </c>
      <c r="O1964" s="5">
        <v>64</v>
      </c>
      <c r="P1964" s="4" t="str">
        <f t="shared" si="60"/>
        <v>&gt;50</v>
      </c>
      <c r="Q1964" s="4">
        <f>M1964+N1964</f>
        <v>6</v>
      </c>
      <c r="U1964" s="28" t="str" cm="1">
        <f t="array" ref="U1964">_xlfn.IFS(F1964&lt;30000,"30k",F1964&lt;=50000,"30k-50k",F1964&lt;=75000,"50k-75k",F1964&lt;=100000,"75k-100k",F1964&gt;100000,"100k")</f>
        <v>50k-75k</v>
      </c>
      <c r="W1964" s="1">
        <f t="shared" si="61"/>
        <v>13</v>
      </c>
    </row>
    <row r="1965" spans="1:23" x14ac:dyDescent="0.35">
      <c r="A1965">
        <v>1962</v>
      </c>
      <c r="B1965">
        <v>6355</v>
      </c>
      <c r="C1965">
        <v>1978</v>
      </c>
      <c r="D1965" s="1" t="s">
        <v>10</v>
      </c>
      <c r="E1965" s="1" t="s">
        <v>14</v>
      </c>
      <c r="F1965">
        <v>44359</v>
      </c>
      <c r="G1965">
        <v>1</v>
      </c>
      <c r="H1965" s="2">
        <v>1</v>
      </c>
      <c r="I1965" s="2">
        <v>41807</v>
      </c>
      <c r="J1965">
        <v>19</v>
      </c>
      <c r="K1965">
        <f>VLOOKUP(B1965,purchase_dataset!$B$2:$F$2241,2,FALSE)</f>
        <v>0</v>
      </c>
      <c r="L1965">
        <f>VLOOKUP(B1965,purchase_dataset!$B$2:$F$2241,3,FALSE)</f>
        <v>3</v>
      </c>
      <c r="M1965">
        <f>VLOOKUP(B1965,purchase_dataset!$B$2:$F$2241,3,FALSE)</f>
        <v>3</v>
      </c>
      <c r="N1965">
        <f>VLOOKUP(B1965,purchase_dataset!$B$2:$F$2241,5,FALSE)</f>
        <v>4</v>
      </c>
      <c r="O1965" s="5">
        <v>48</v>
      </c>
      <c r="P1965" s="4" t="str">
        <f t="shared" si="60"/>
        <v>30-50</v>
      </c>
      <c r="Q1965" s="4">
        <f>M1965+N1965</f>
        <v>7</v>
      </c>
      <c r="U1965" s="28" t="str" cm="1">
        <f t="array" ref="U1965">_xlfn.IFS(F1965&lt;30000,"30k",F1965&lt;=50000,"30k-50k",F1965&lt;=75000,"50k-75k",F1965&lt;=100000,"75k-100k",F1965&gt;100000,"100k")</f>
        <v>30k-50k</v>
      </c>
      <c r="W1965" s="1">
        <f t="shared" si="61"/>
        <v>12</v>
      </c>
    </row>
    <row r="1966" spans="1:23" x14ac:dyDescent="0.35">
      <c r="A1966">
        <v>1963</v>
      </c>
      <c r="B1966">
        <v>3517</v>
      </c>
      <c r="C1966">
        <v>1952</v>
      </c>
      <c r="D1966" s="1" t="s">
        <v>10</v>
      </c>
      <c r="E1966" s="1" t="s">
        <v>11</v>
      </c>
      <c r="F1966">
        <v>40887</v>
      </c>
      <c r="G1966">
        <v>1</v>
      </c>
      <c r="H1966" s="2">
        <v>1</v>
      </c>
      <c r="I1966" s="2">
        <v>41400</v>
      </c>
      <c r="J1966">
        <v>32</v>
      </c>
      <c r="K1966">
        <f>VLOOKUP(B1966,purchase_dataset!$B$2:$F$2241,2,FALSE)</f>
        <v>4</v>
      </c>
      <c r="L1966">
        <f>VLOOKUP(B1966,purchase_dataset!$B$2:$F$2241,3,FALSE)</f>
        <v>10</v>
      </c>
      <c r="M1966">
        <f>VLOOKUP(B1966,purchase_dataset!$B$2:$F$2241,3,FALSE)</f>
        <v>10</v>
      </c>
      <c r="N1966">
        <f>VLOOKUP(B1966,purchase_dataset!$B$2:$F$2241,5,FALSE)</f>
        <v>3</v>
      </c>
      <c r="O1966" s="5">
        <v>74</v>
      </c>
      <c r="P1966" s="4" t="str">
        <f t="shared" si="60"/>
        <v>&gt;50</v>
      </c>
      <c r="Q1966" s="4">
        <f>M1966+N1966</f>
        <v>13</v>
      </c>
      <c r="U1966" s="28" t="str" cm="1">
        <f t="array" ref="U1966">_xlfn.IFS(F1966&lt;30000,"30k",F1966&lt;=50000,"30k-50k",F1966&lt;=75000,"50k-75k",F1966&lt;=100000,"75k-100k",F1966&gt;100000,"100k")</f>
        <v>30k-50k</v>
      </c>
      <c r="W1966" s="1">
        <f t="shared" si="61"/>
        <v>13</v>
      </c>
    </row>
    <row r="1967" spans="1:23" x14ac:dyDescent="0.35">
      <c r="A1967">
        <v>1964</v>
      </c>
      <c r="B1967">
        <v>1158</v>
      </c>
      <c r="C1967">
        <v>1966</v>
      </c>
      <c r="D1967" s="1" t="s">
        <v>10</v>
      </c>
      <c r="E1967" s="1" t="s">
        <v>16</v>
      </c>
      <c r="F1967">
        <v>48877</v>
      </c>
      <c r="G1967">
        <v>0</v>
      </c>
      <c r="H1967" s="2">
        <v>1</v>
      </c>
      <c r="I1967" s="2">
        <v>41644</v>
      </c>
      <c r="J1967">
        <v>27</v>
      </c>
      <c r="K1967">
        <f>VLOOKUP(B1967,purchase_dataset!$B$2:$F$2241,2,FALSE)</f>
        <v>1</v>
      </c>
      <c r="L1967">
        <f>VLOOKUP(B1967,purchase_dataset!$B$2:$F$2241,3,FALSE)</f>
        <v>0</v>
      </c>
      <c r="M1967">
        <f>VLOOKUP(B1967,purchase_dataset!$B$2:$F$2241,3,FALSE)</f>
        <v>0</v>
      </c>
      <c r="N1967">
        <f>VLOOKUP(B1967,purchase_dataset!$B$2:$F$2241,5,FALSE)</f>
        <v>4</v>
      </c>
      <c r="O1967" s="5">
        <v>60</v>
      </c>
      <c r="P1967" s="4" t="str">
        <f t="shared" si="60"/>
        <v>&gt;50</v>
      </c>
      <c r="Q1967" s="4">
        <f>M1967+N1967</f>
        <v>4</v>
      </c>
      <c r="U1967" s="28" t="str" cm="1">
        <f t="array" ref="U1967">_xlfn.IFS(F1967&lt;30000,"30k",F1967&lt;=50000,"30k-50k",F1967&lt;=75000,"50k-75k",F1967&lt;=100000,"75k-100k",F1967&gt;100000,"100k")</f>
        <v>30k-50k</v>
      </c>
      <c r="W1967" s="1">
        <f t="shared" si="61"/>
        <v>12</v>
      </c>
    </row>
    <row r="1968" spans="1:23" x14ac:dyDescent="0.35">
      <c r="A1968">
        <v>1965</v>
      </c>
      <c r="B1968">
        <v>6203</v>
      </c>
      <c r="C1968">
        <v>1947</v>
      </c>
      <c r="D1968" s="1" t="s">
        <v>10</v>
      </c>
      <c r="E1968" s="1" t="s">
        <v>12</v>
      </c>
      <c r="F1968">
        <v>74485</v>
      </c>
      <c r="G1968">
        <v>0</v>
      </c>
      <c r="H1968" s="2">
        <v>0</v>
      </c>
      <c r="I1968" s="2">
        <v>41510</v>
      </c>
      <c r="J1968">
        <v>58</v>
      </c>
      <c r="K1968">
        <f>VLOOKUP(B1968,purchase_dataset!$B$2:$F$2241,2,FALSE)</f>
        <v>149</v>
      </c>
      <c r="L1968">
        <f>VLOOKUP(B1968,purchase_dataset!$B$2:$F$2241,3,FALSE)</f>
        <v>49</v>
      </c>
      <c r="M1968">
        <f>VLOOKUP(B1968,purchase_dataset!$B$2:$F$2241,3,FALSE)</f>
        <v>49</v>
      </c>
      <c r="N1968">
        <f>VLOOKUP(B1968,purchase_dataset!$B$2:$F$2241,5,FALSE)</f>
        <v>12</v>
      </c>
      <c r="O1968" s="5">
        <v>79</v>
      </c>
      <c r="P1968" s="4" t="str">
        <f t="shared" si="60"/>
        <v>&gt;50</v>
      </c>
      <c r="Q1968" s="4">
        <f>M1968+N1968</f>
        <v>61</v>
      </c>
      <c r="U1968" s="28" t="str" cm="1">
        <f t="array" ref="U1968">_xlfn.IFS(F1968&lt;30000,"30k",F1968&lt;=50000,"30k-50k",F1968&lt;=75000,"50k-75k",F1968&lt;=100000,"75k-100k",F1968&gt;100000,"100k")</f>
        <v>50k-75k</v>
      </c>
      <c r="W1968" s="1">
        <f t="shared" si="61"/>
        <v>13</v>
      </c>
    </row>
    <row r="1969" spans="1:23" x14ac:dyDescent="0.35">
      <c r="A1969">
        <v>1966</v>
      </c>
      <c r="B1969">
        <v>7165</v>
      </c>
      <c r="C1969">
        <v>1972</v>
      </c>
      <c r="D1969" s="1" t="s">
        <v>10</v>
      </c>
      <c r="E1969" s="1" t="s">
        <v>12</v>
      </c>
      <c r="F1969">
        <v>64474</v>
      </c>
      <c r="G1969">
        <v>0</v>
      </c>
      <c r="H1969" s="2">
        <v>1</v>
      </c>
      <c r="I1969" s="2">
        <v>41569</v>
      </c>
      <c r="J1969">
        <v>59</v>
      </c>
      <c r="K1969">
        <f>VLOOKUP(B1969,purchase_dataset!$B$2:$F$2241,2,FALSE)</f>
        <v>35</v>
      </c>
      <c r="L1969">
        <f>VLOOKUP(B1969,purchase_dataset!$B$2:$F$2241,3,FALSE)</f>
        <v>86</v>
      </c>
      <c r="M1969">
        <f>VLOOKUP(B1969,purchase_dataset!$B$2:$F$2241,3,FALSE)</f>
        <v>86</v>
      </c>
      <c r="N1969">
        <f>VLOOKUP(B1969,purchase_dataset!$B$2:$F$2241,5,FALSE)</f>
        <v>10</v>
      </c>
      <c r="O1969" s="5">
        <v>54</v>
      </c>
      <c r="P1969" s="4" t="str">
        <f t="shared" si="60"/>
        <v>&gt;50</v>
      </c>
      <c r="Q1969" s="4">
        <f>M1969+N1969</f>
        <v>96</v>
      </c>
      <c r="U1969" s="28" t="str" cm="1">
        <f t="array" ref="U1969">_xlfn.IFS(F1969&lt;30000,"30k",F1969&lt;=50000,"30k-50k",F1969&lt;=75000,"50k-75k",F1969&lt;=100000,"75k-100k",F1969&gt;100000,"100k")</f>
        <v>50k-75k</v>
      </c>
      <c r="W1969" s="1">
        <f t="shared" si="61"/>
        <v>13</v>
      </c>
    </row>
    <row r="1970" spans="1:23" x14ac:dyDescent="0.35">
      <c r="A1970">
        <v>1967</v>
      </c>
      <c r="B1970">
        <v>3595</v>
      </c>
      <c r="C1970">
        <v>1963</v>
      </c>
      <c r="D1970" s="1" t="s">
        <v>10</v>
      </c>
      <c r="E1970" s="1" t="s">
        <v>12</v>
      </c>
      <c r="F1970">
        <v>77226</v>
      </c>
      <c r="G1970">
        <v>0</v>
      </c>
      <c r="H1970" s="2">
        <v>1</v>
      </c>
      <c r="I1970" s="2">
        <v>41698</v>
      </c>
      <c r="J1970">
        <v>29</v>
      </c>
      <c r="K1970">
        <f>VLOOKUP(B1970,purchase_dataset!$B$2:$F$2241,2,FALSE)</f>
        <v>43</v>
      </c>
      <c r="L1970">
        <f>VLOOKUP(B1970,purchase_dataset!$B$2:$F$2241,3,FALSE)</f>
        <v>76</v>
      </c>
      <c r="M1970">
        <f>VLOOKUP(B1970,purchase_dataset!$B$2:$F$2241,3,FALSE)</f>
        <v>76</v>
      </c>
      <c r="N1970">
        <f>VLOOKUP(B1970,purchase_dataset!$B$2:$F$2241,5,FALSE)</f>
        <v>12</v>
      </c>
      <c r="O1970" s="5">
        <v>63</v>
      </c>
      <c r="P1970" s="4" t="str">
        <f t="shared" si="60"/>
        <v>&gt;50</v>
      </c>
      <c r="Q1970" s="4">
        <f>M1970+N1970</f>
        <v>88</v>
      </c>
      <c r="U1970" s="28" t="str" cm="1">
        <f t="array" ref="U1970">_xlfn.IFS(F1970&lt;30000,"30k",F1970&lt;=50000,"30k-50k",F1970&lt;=75000,"50k-75k",F1970&lt;=100000,"75k-100k",F1970&gt;100000,"100k")</f>
        <v>75k-100k</v>
      </c>
      <c r="W1970" s="1">
        <f t="shared" si="61"/>
        <v>12</v>
      </c>
    </row>
    <row r="1971" spans="1:23" x14ac:dyDescent="0.35">
      <c r="A1971">
        <v>1968</v>
      </c>
      <c r="B1971">
        <v>8537</v>
      </c>
      <c r="C1971">
        <v>1949</v>
      </c>
      <c r="D1971" s="1" t="s">
        <v>10</v>
      </c>
      <c r="E1971" s="1" t="s">
        <v>19</v>
      </c>
      <c r="F1971">
        <v>72643</v>
      </c>
      <c r="G1971">
        <v>0</v>
      </c>
      <c r="H1971" s="2">
        <v>0</v>
      </c>
      <c r="I1971" s="2">
        <v>41332</v>
      </c>
      <c r="J1971">
        <v>60</v>
      </c>
      <c r="K1971">
        <f>VLOOKUP(B1971,purchase_dataset!$B$2:$F$2241,2,FALSE)</f>
        <v>80</v>
      </c>
      <c r="L1971">
        <f>VLOOKUP(B1971,purchase_dataset!$B$2:$F$2241,3,FALSE)</f>
        <v>94</v>
      </c>
      <c r="M1971">
        <f>VLOOKUP(B1971,purchase_dataset!$B$2:$F$2241,3,FALSE)</f>
        <v>94</v>
      </c>
      <c r="N1971">
        <f>VLOOKUP(B1971,purchase_dataset!$B$2:$F$2241,5,FALSE)</f>
        <v>7</v>
      </c>
      <c r="O1971" s="5">
        <v>77</v>
      </c>
      <c r="P1971" s="4" t="str">
        <f t="shared" si="60"/>
        <v>&gt;50</v>
      </c>
      <c r="Q1971" s="4">
        <f>M1971+N1971</f>
        <v>101</v>
      </c>
      <c r="U1971" s="28" t="str" cm="1">
        <f t="array" ref="U1971">_xlfn.IFS(F1971&lt;30000,"30k",F1971&lt;=50000,"30k-50k",F1971&lt;=75000,"50k-75k",F1971&lt;=100000,"75k-100k",F1971&gt;100000,"100k")</f>
        <v>50k-75k</v>
      </c>
      <c r="W1971" s="1">
        <f t="shared" si="61"/>
        <v>13</v>
      </c>
    </row>
    <row r="1972" spans="1:23" x14ac:dyDescent="0.35">
      <c r="A1972">
        <v>1969</v>
      </c>
      <c r="B1972">
        <v>4331</v>
      </c>
      <c r="C1972">
        <v>1978</v>
      </c>
      <c r="D1972" s="1" t="s">
        <v>15</v>
      </c>
      <c r="E1972" s="1" t="s">
        <v>12</v>
      </c>
      <c r="F1972">
        <v>85738</v>
      </c>
      <c r="G1972">
        <v>0</v>
      </c>
      <c r="H1972" s="2">
        <v>0</v>
      </c>
      <c r="I1972" s="2">
        <v>41662</v>
      </c>
      <c r="J1972">
        <v>41</v>
      </c>
      <c r="K1972">
        <f>VLOOKUP(B1972,purchase_dataset!$B$2:$F$2241,2,FALSE)</f>
        <v>26</v>
      </c>
      <c r="L1972">
        <f>VLOOKUP(B1972,purchase_dataset!$B$2:$F$2241,3,FALSE)</f>
        <v>26</v>
      </c>
      <c r="M1972">
        <f>VLOOKUP(B1972,purchase_dataset!$B$2:$F$2241,3,FALSE)</f>
        <v>26</v>
      </c>
      <c r="N1972">
        <f>VLOOKUP(B1972,purchase_dataset!$B$2:$F$2241,5,FALSE)</f>
        <v>11</v>
      </c>
      <c r="O1972" s="5">
        <v>48</v>
      </c>
      <c r="P1972" s="4" t="str">
        <f t="shared" si="60"/>
        <v>30-50</v>
      </c>
      <c r="Q1972" s="4">
        <f>M1972+N1972</f>
        <v>37</v>
      </c>
      <c r="U1972" s="28" t="str" cm="1">
        <f t="array" ref="U1972">_xlfn.IFS(F1972&lt;30000,"30k",F1972&lt;=50000,"30k-50k",F1972&lt;=75000,"50k-75k",F1972&lt;=100000,"75k-100k",F1972&gt;100000,"100k")</f>
        <v>75k-100k</v>
      </c>
      <c r="W1972" s="1">
        <f t="shared" si="61"/>
        <v>12</v>
      </c>
    </row>
    <row r="1973" spans="1:23" x14ac:dyDescent="0.35">
      <c r="A1973">
        <v>1970</v>
      </c>
      <c r="B1973">
        <v>6281</v>
      </c>
      <c r="C1973">
        <v>1966</v>
      </c>
      <c r="D1973" s="1" t="s">
        <v>10</v>
      </c>
      <c r="E1973" s="1" t="s">
        <v>16</v>
      </c>
      <c r="F1973">
        <v>55686</v>
      </c>
      <c r="G1973">
        <v>0</v>
      </c>
      <c r="H1973" s="2">
        <v>1</v>
      </c>
      <c r="I1973" s="2">
        <v>41319</v>
      </c>
      <c r="J1973">
        <v>27</v>
      </c>
      <c r="K1973">
        <f>VLOOKUP(B1973,purchase_dataset!$B$2:$F$2241,2,FALSE)</f>
        <v>0</v>
      </c>
      <c r="L1973">
        <f>VLOOKUP(B1973,purchase_dataset!$B$2:$F$2241,3,FALSE)</f>
        <v>47</v>
      </c>
      <c r="M1973">
        <f>VLOOKUP(B1973,purchase_dataset!$B$2:$F$2241,3,FALSE)</f>
        <v>47</v>
      </c>
      <c r="N1973">
        <f>VLOOKUP(B1973,purchase_dataset!$B$2:$F$2241,5,FALSE)</f>
        <v>5</v>
      </c>
      <c r="O1973" s="5">
        <v>60</v>
      </c>
      <c r="P1973" s="4" t="str">
        <f t="shared" si="60"/>
        <v>&gt;50</v>
      </c>
      <c r="Q1973" s="4">
        <f>M1973+N1973</f>
        <v>52</v>
      </c>
      <c r="U1973" s="28" t="str" cm="1">
        <f t="array" ref="U1973">_xlfn.IFS(F1973&lt;30000,"30k",F1973&lt;=50000,"30k-50k",F1973&lt;=75000,"50k-75k",F1973&lt;=100000,"75k-100k",F1973&gt;100000,"100k")</f>
        <v>50k-75k</v>
      </c>
      <c r="W1973" s="1">
        <f t="shared" si="61"/>
        <v>13</v>
      </c>
    </row>
    <row r="1974" spans="1:23" x14ac:dyDescent="0.35">
      <c r="A1974">
        <v>1971</v>
      </c>
      <c r="B1974">
        <v>4338</v>
      </c>
      <c r="C1974">
        <v>1983</v>
      </c>
      <c r="D1974" s="1" t="s">
        <v>10</v>
      </c>
      <c r="E1974" s="1" t="s">
        <v>11</v>
      </c>
      <c r="F1974">
        <v>39062</v>
      </c>
      <c r="G1974">
        <v>1</v>
      </c>
      <c r="H1974" s="2">
        <v>0</v>
      </c>
      <c r="I1974" s="2">
        <v>41723</v>
      </c>
      <c r="J1974">
        <v>28</v>
      </c>
      <c r="K1974">
        <f>VLOOKUP(B1974,purchase_dataset!$B$2:$F$2241,2,FALSE)</f>
        <v>0</v>
      </c>
      <c r="L1974">
        <f>VLOOKUP(B1974,purchase_dataset!$B$2:$F$2241,3,FALSE)</f>
        <v>0</v>
      </c>
      <c r="M1974">
        <f>VLOOKUP(B1974,purchase_dataset!$B$2:$F$2241,3,FALSE)</f>
        <v>0</v>
      </c>
      <c r="N1974">
        <f>VLOOKUP(B1974,purchase_dataset!$B$2:$F$2241,5,FALSE)</f>
        <v>3</v>
      </c>
      <c r="O1974" s="5">
        <v>43</v>
      </c>
      <c r="P1974" s="4" t="str">
        <f t="shared" si="60"/>
        <v>30-50</v>
      </c>
      <c r="Q1974" s="4">
        <f>M1974+N1974</f>
        <v>3</v>
      </c>
      <c r="U1974" s="28" t="str" cm="1">
        <f t="array" ref="U1974">_xlfn.IFS(F1974&lt;30000,"30k",F1974&lt;=50000,"30k-50k",F1974&lt;=75000,"50k-75k",F1974&lt;=100000,"75k-100k",F1974&gt;100000,"100k")</f>
        <v>30k-50k</v>
      </c>
      <c r="W1974" s="1">
        <f t="shared" si="61"/>
        <v>12</v>
      </c>
    </row>
    <row r="1975" spans="1:23" x14ac:dyDescent="0.35">
      <c r="A1975">
        <v>1972</v>
      </c>
      <c r="B1975">
        <v>2452</v>
      </c>
      <c r="C1975">
        <v>1971</v>
      </c>
      <c r="D1975" s="1" t="s">
        <v>10</v>
      </c>
      <c r="E1975" s="1" t="s">
        <v>12</v>
      </c>
      <c r="F1975">
        <v>34600</v>
      </c>
      <c r="G1975">
        <v>1</v>
      </c>
      <c r="H1975" s="2">
        <v>1</v>
      </c>
      <c r="I1975" s="2">
        <v>41275</v>
      </c>
      <c r="J1975">
        <v>8</v>
      </c>
      <c r="K1975">
        <f>VLOOKUP(B1975,purchase_dataset!$B$2:$F$2241,2,FALSE)</f>
        <v>33</v>
      </c>
      <c r="L1975">
        <f>VLOOKUP(B1975,purchase_dataset!$B$2:$F$2241,3,FALSE)</f>
        <v>3</v>
      </c>
      <c r="M1975">
        <f>VLOOKUP(B1975,purchase_dataset!$B$2:$F$2241,3,FALSE)</f>
        <v>3</v>
      </c>
      <c r="N1975">
        <f>VLOOKUP(B1975,purchase_dataset!$B$2:$F$2241,5,FALSE)</f>
        <v>5</v>
      </c>
      <c r="O1975" s="5">
        <v>55</v>
      </c>
      <c r="P1975" s="4" t="str">
        <f t="shared" si="60"/>
        <v>&gt;50</v>
      </c>
      <c r="Q1975" s="4">
        <f>M1975+N1975</f>
        <v>8</v>
      </c>
      <c r="U1975" s="28" t="str" cm="1">
        <f t="array" ref="U1975">_xlfn.IFS(F1975&lt;30000,"30k",F1975&lt;=50000,"30k-50k",F1975&lt;=75000,"50k-75k",F1975&lt;=100000,"75k-100k",F1975&gt;100000,"100k")</f>
        <v>30k-50k</v>
      </c>
      <c r="W1975" s="1">
        <f t="shared" si="61"/>
        <v>13</v>
      </c>
    </row>
    <row r="1976" spans="1:23" x14ac:dyDescent="0.35">
      <c r="A1976">
        <v>1973</v>
      </c>
      <c r="B1976">
        <v>9507</v>
      </c>
      <c r="C1976">
        <v>1975</v>
      </c>
      <c r="D1976" s="1" t="s">
        <v>10</v>
      </c>
      <c r="E1976" s="1" t="s">
        <v>14</v>
      </c>
      <c r="F1976">
        <v>40794</v>
      </c>
      <c r="G1976">
        <v>0</v>
      </c>
      <c r="H1976" s="2">
        <v>1</v>
      </c>
      <c r="I1976" s="2">
        <v>41371</v>
      </c>
      <c r="J1976">
        <v>18</v>
      </c>
      <c r="K1976">
        <f>VLOOKUP(B1976,purchase_dataset!$B$2:$F$2241,2,FALSE)</f>
        <v>23</v>
      </c>
      <c r="L1976">
        <f>VLOOKUP(B1976,purchase_dataset!$B$2:$F$2241,3,FALSE)</f>
        <v>23</v>
      </c>
      <c r="M1976">
        <f>VLOOKUP(B1976,purchase_dataset!$B$2:$F$2241,3,FALSE)</f>
        <v>23</v>
      </c>
      <c r="N1976">
        <f>VLOOKUP(B1976,purchase_dataset!$B$2:$F$2241,5,FALSE)</f>
        <v>5</v>
      </c>
      <c r="O1976" s="5">
        <v>51</v>
      </c>
      <c r="P1976" s="4" t="str">
        <f t="shared" si="60"/>
        <v>&gt;50</v>
      </c>
      <c r="Q1976" s="4">
        <f>M1976+N1976</f>
        <v>28</v>
      </c>
      <c r="U1976" s="28" t="str" cm="1">
        <f t="array" ref="U1976">_xlfn.IFS(F1976&lt;30000,"30k",F1976&lt;=50000,"30k-50k",F1976&lt;=75000,"50k-75k",F1976&lt;=100000,"75k-100k",F1976&gt;100000,"100k")</f>
        <v>30k-50k</v>
      </c>
      <c r="W1976" s="1">
        <f t="shared" si="61"/>
        <v>13</v>
      </c>
    </row>
    <row r="1977" spans="1:23" x14ac:dyDescent="0.35">
      <c r="A1977">
        <v>1974</v>
      </c>
      <c r="B1977">
        <v>8360</v>
      </c>
      <c r="C1977">
        <v>1971</v>
      </c>
      <c r="D1977" s="1" t="s">
        <v>18</v>
      </c>
      <c r="E1977" s="1" t="s">
        <v>14</v>
      </c>
      <c r="F1977">
        <v>54690</v>
      </c>
      <c r="G1977">
        <v>1</v>
      </c>
      <c r="H1977" s="2">
        <v>1</v>
      </c>
      <c r="I1977" s="2">
        <v>41585</v>
      </c>
      <c r="J1977">
        <v>76</v>
      </c>
      <c r="K1977">
        <f>VLOOKUP(B1977,purchase_dataset!$B$2:$F$2241,2,FALSE)</f>
        <v>16</v>
      </c>
      <c r="L1977">
        <f>VLOOKUP(B1977,purchase_dataset!$B$2:$F$2241,3,FALSE)</f>
        <v>9</v>
      </c>
      <c r="M1977">
        <f>VLOOKUP(B1977,purchase_dataset!$B$2:$F$2241,3,FALSE)</f>
        <v>9</v>
      </c>
      <c r="N1977">
        <f>VLOOKUP(B1977,purchase_dataset!$B$2:$F$2241,5,FALSE)</f>
        <v>5</v>
      </c>
      <c r="O1977" s="5">
        <v>55</v>
      </c>
      <c r="P1977" s="4" t="str">
        <f t="shared" si="60"/>
        <v>&gt;50</v>
      </c>
      <c r="Q1977" s="4">
        <f>M1977+N1977</f>
        <v>14</v>
      </c>
      <c r="U1977" s="28" t="str" cm="1">
        <f t="array" ref="U1977">_xlfn.IFS(F1977&lt;30000,"30k",F1977&lt;=50000,"30k-50k",F1977&lt;=75000,"50k-75k",F1977&lt;=100000,"75k-100k",F1977&gt;100000,"100k")</f>
        <v>50k-75k</v>
      </c>
      <c r="W1977" s="1">
        <f t="shared" si="61"/>
        <v>13</v>
      </c>
    </row>
    <row r="1978" spans="1:23" x14ac:dyDescent="0.35">
      <c r="A1978">
        <v>1975</v>
      </c>
      <c r="B1978">
        <v>10311</v>
      </c>
      <c r="C1978">
        <v>1969</v>
      </c>
      <c r="D1978" s="1" t="s">
        <v>10</v>
      </c>
      <c r="E1978" s="1" t="s">
        <v>14</v>
      </c>
      <c r="F1978">
        <v>4428</v>
      </c>
      <c r="G1978">
        <v>0</v>
      </c>
      <c r="H1978" s="2">
        <v>1</v>
      </c>
      <c r="I1978" s="2">
        <v>41552</v>
      </c>
      <c r="J1978">
        <v>0</v>
      </c>
      <c r="K1978">
        <f>VLOOKUP(B1978,purchase_dataset!$B$2:$F$2241,2,FALSE)</f>
        <v>4</v>
      </c>
      <c r="L1978">
        <f>VLOOKUP(B1978,purchase_dataset!$B$2:$F$2241,3,FALSE)</f>
        <v>4</v>
      </c>
      <c r="M1978">
        <f>VLOOKUP(B1978,purchase_dataset!$B$2:$F$2241,3,FALSE)</f>
        <v>4</v>
      </c>
      <c r="N1978">
        <f>VLOOKUP(B1978,purchase_dataset!$B$2:$F$2241,5,FALSE)</f>
        <v>0</v>
      </c>
      <c r="O1978" s="5">
        <v>57</v>
      </c>
      <c r="P1978" s="4" t="str">
        <f t="shared" si="60"/>
        <v>&gt;50</v>
      </c>
      <c r="Q1978" s="4">
        <f>M1978+N1978</f>
        <v>4</v>
      </c>
      <c r="U1978" s="28" t="str" cm="1">
        <f t="array" ref="U1978">_xlfn.IFS(F1978&lt;30000,"30k",F1978&lt;=50000,"30k-50k",F1978&lt;=75000,"50k-75k",F1978&lt;=100000,"75k-100k",F1978&gt;100000,"100k")</f>
        <v>30k</v>
      </c>
      <c r="W1978" s="1">
        <f t="shared" si="61"/>
        <v>13</v>
      </c>
    </row>
    <row r="1979" spans="1:23" x14ac:dyDescent="0.35">
      <c r="A1979">
        <v>1976</v>
      </c>
      <c r="B1979">
        <v>5117</v>
      </c>
      <c r="C1979">
        <v>1963</v>
      </c>
      <c r="D1979" s="1" t="s">
        <v>18</v>
      </c>
      <c r="E1979" s="1" t="s">
        <v>14</v>
      </c>
      <c r="F1979">
        <v>32632</v>
      </c>
      <c r="G1979">
        <v>0</v>
      </c>
      <c r="H1979" s="2">
        <v>0</v>
      </c>
      <c r="I1979" s="2">
        <v>41123</v>
      </c>
      <c r="J1979">
        <v>32</v>
      </c>
      <c r="K1979">
        <f>VLOOKUP(B1979,purchase_dataset!$B$2:$F$2241,2,FALSE)</f>
        <v>151</v>
      </c>
      <c r="L1979">
        <f>VLOOKUP(B1979,purchase_dataset!$B$2:$F$2241,3,FALSE)</f>
        <v>19</v>
      </c>
      <c r="M1979">
        <f>VLOOKUP(B1979,purchase_dataset!$B$2:$F$2241,3,FALSE)</f>
        <v>19</v>
      </c>
      <c r="N1979">
        <f>VLOOKUP(B1979,purchase_dataset!$B$2:$F$2241,5,FALSE)</f>
        <v>8</v>
      </c>
      <c r="O1979" s="5">
        <v>63</v>
      </c>
      <c r="P1979" s="4" t="str">
        <f t="shared" si="60"/>
        <v>&gt;50</v>
      </c>
      <c r="Q1979" s="4">
        <f>M1979+N1979</f>
        <v>27</v>
      </c>
      <c r="U1979" s="28" t="str" cm="1">
        <f t="array" ref="U1979">_xlfn.IFS(F1979&lt;30000,"30k",F1979&lt;=50000,"30k-50k",F1979&lt;=75000,"50k-75k",F1979&lt;=100000,"75k-100k",F1979&gt;100000,"100k")</f>
        <v>30k-50k</v>
      </c>
      <c r="W1979" s="1">
        <f t="shared" si="61"/>
        <v>14</v>
      </c>
    </row>
    <row r="1980" spans="1:23" x14ac:dyDescent="0.35">
      <c r="A1980">
        <v>1977</v>
      </c>
      <c r="B1980">
        <v>4867</v>
      </c>
      <c r="C1980">
        <v>1968</v>
      </c>
      <c r="D1980" s="1" t="s">
        <v>13</v>
      </c>
      <c r="E1980" s="1" t="s">
        <v>11</v>
      </c>
      <c r="F1980">
        <v>38236</v>
      </c>
      <c r="G1980">
        <v>1</v>
      </c>
      <c r="H1980" s="2">
        <v>1</v>
      </c>
      <c r="I1980" s="2">
        <v>41537</v>
      </c>
      <c r="J1980">
        <v>2</v>
      </c>
      <c r="K1980">
        <f>VLOOKUP(B1980,purchase_dataset!$B$2:$F$2241,2,FALSE)</f>
        <v>0</v>
      </c>
      <c r="L1980">
        <f>VLOOKUP(B1980,purchase_dataset!$B$2:$F$2241,3,FALSE)</f>
        <v>0</v>
      </c>
      <c r="M1980">
        <f>VLOOKUP(B1980,purchase_dataset!$B$2:$F$2241,3,FALSE)</f>
        <v>0</v>
      </c>
      <c r="N1980">
        <f>VLOOKUP(B1980,purchase_dataset!$B$2:$F$2241,5,FALSE)</f>
        <v>4</v>
      </c>
      <c r="O1980" s="5">
        <v>58</v>
      </c>
      <c r="P1980" s="4" t="str">
        <f t="shared" si="60"/>
        <v>&gt;50</v>
      </c>
      <c r="Q1980" s="4">
        <f>M1980+N1980</f>
        <v>4</v>
      </c>
      <c r="U1980" s="28" t="str" cm="1">
        <f t="array" ref="U1980">_xlfn.IFS(F1980&lt;30000,"30k",F1980&lt;=50000,"30k-50k",F1980&lt;=75000,"50k-75k",F1980&lt;=100000,"75k-100k",F1980&gt;100000,"100k")</f>
        <v>30k-50k</v>
      </c>
      <c r="W1980" s="1">
        <f t="shared" si="61"/>
        <v>13</v>
      </c>
    </row>
    <row r="1981" spans="1:23" x14ac:dyDescent="0.35">
      <c r="A1981">
        <v>1978</v>
      </c>
      <c r="B1981">
        <v>9289</v>
      </c>
      <c r="C1981">
        <v>1979</v>
      </c>
      <c r="D1981" s="1" t="s">
        <v>10</v>
      </c>
      <c r="E1981" s="1" t="s">
        <v>14</v>
      </c>
      <c r="F1981">
        <v>36781</v>
      </c>
      <c r="G1981">
        <v>1</v>
      </c>
      <c r="H1981" s="2">
        <v>0</v>
      </c>
      <c r="I1981" s="2">
        <v>41739</v>
      </c>
      <c r="J1981">
        <v>16</v>
      </c>
      <c r="K1981">
        <f>VLOOKUP(B1981,purchase_dataset!$B$2:$F$2241,2,FALSE)</f>
        <v>1</v>
      </c>
      <c r="L1981">
        <f>VLOOKUP(B1981,purchase_dataset!$B$2:$F$2241,3,FALSE)</f>
        <v>3</v>
      </c>
      <c r="M1981">
        <f>VLOOKUP(B1981,purchase_dataset!$B$2:$F$2241,3,FALSE)</f>
        <v>3</v>
      </c>
      <c r="N1981">
        <f>VLOOKUP(B1981,purchase_dataset!$B$2:$F$2241,5,FALSE)</f>
        <v>2</v>
      </c>
      <c r="O1981" s="5">
        <v>47</v>
      </c>
      <c r="P1981" s="4" t="str">
        <f t="shared" si="60"/>
        <v>30-50</v>
      </c>
      <c r="Q1981" s="4">
        <f>M1981+N1981</f>
        <v>5</v>
      </c>
      <c r="U1981" s="28" t="str" cm="1">
        <f t="array" ref="U1981">_xlfn.IFS(F1981&lt;30000,"30k",F1981&lt;=50000,"30k-50k",F1981&lt;=75000,"50k-75k",F1981&lt;=100000,"75k-100k",F1981&gt;100000,"100k")</f>
        <v>30k-50k</v>
      </c>
      <c r="W1981" s="1">
        <f t="shared" si="61"/>
        <v>12</v>
      </c>
    </row>
    <row r="1982" spans="1:23" x14ac:dyDescent="0.35">
      <c r="A1982">
        <v>1979</v>
      </c>
      <c r="B1982">
        <v>10913</v>
      </c>
      <c r="C1982">
        <v>1984</v>
      </c>
      <c r="D1982" s="1" t="s">
        <v>15</v>
      </c>
      <c r="E1982" s="1" t="s">
        <v>11</v>
      </c>
      <c r="F1982">
        <v>31385</v>
      </c>
      <c r="G1982">
        <v>1</v>
      </c>
      <c r="H1982" s="2">
        <v>0</v>
      </c>
      <c r="I1982" s="2">
        <v>41248</v>
      </c>
      <c r="J1982">
        <v>56</v>
      </c>
      <c r="K1982">
        <f>VLOOKUP(B1982,purchase_dataset!$B$2:$F$2241,2,FALSE)</f>
        <v>2</v>
      </c>
      <c r="L1982">
        <f>VLOOKUP(B1982,purchase_dataset!$B$2:$F$2241,3,FALSE)</f>
        <v>1</v>
      </c>
      <c r="M1982">
        <f>VLOOKUP(B1982,purchase_dataset!$B$2:$F$2241,3,FALSE)</f>
        <v>1</v>
      </c>
      <c r="N1982">
        <f>VLOOKUP(B1982,purchase_dataset!$B$2:$F$2241,5,FALSE)</f>
        <v>2</v>
      </c>
      <c r="O1982" s="5">
        <v>42</v>
      </c>
      <c r="P1982" s="4" t="str">
        <f t="shared" si="60"/>
        <v>30-50</v>
      </c>
      <c r="Q1982" s="4">
        <f>M1982+N1982</f>
        <v>3</v>
      </c>
      <c r="U1982" s="28" t="str" cm="1">
        <f t="array" ref="U1982">_xlfn.IFS(F1982&lt;30000,"30k",F1982&lt;=50000,"30k-50k",F1982&lt;=75000,"50k-75k",F1982&lt;=100000,"75k-100k",F1982&gt;100000,"100k")</f>
        <v>30k-50k</v>
      </c>
      <c r="W1982" s="1">
        <f t="shared" si="61"/>
        <v>14</v>
      </c>
    </row>
    <row r="1983" spans="1:23" x14ac:dyDescent="0.35">
      <c r="A1983">
        <v>1980</v>
      </c>
      <c r="B1983">
        <v>3032</v>
      </c>
      <c r="C1983">
        <v>1984</v>
      </c>
      <c r="D1983" s="1" t="s">
        <v>10</v>
      </c>
      <c r="E1983" s="1" t="s">
        <v>14</v>
      </c>
      <c r="F1983">
        <v>24570</v>
      </c>
      <c r="G1983">
        <v>1</v>
      </c>
      <c r="H1983" s="2">
        <v>0</v>
      </c>
      <c r="I1983" s="2">
        <v>41332</v>
      </c>
      <c r="J1983">
        <v>97</v>
      </c>
      <c r="K1983">
        <f>VLOOKUP(B1983,purchase_dataset!$B$2:$F$2241,2,FALSE)</f>
        <v>34</v>
      </c>
      <c r="L1983">
        <f>VLOOKUP(B1983,purchase_dataset!$B$2:$F$2241,3,FALSE)</f>
        <v>14</v>
      </c>
      <c r="M1983">
        <f>VLOOKUP(B1983,purchase_dataset!$B$2:$F$2241,3,FALSE)</f>
        <v>14</v>
      </c>
      <c r="N1983">
        <f>VLOOKUP(B1983,purchase_dataset!$B$2:$F$2241,5,FALSE)</f>
        <v>4</v>
      </c>
      <c r="O1983" s="5">
        <v>42</v>
      </c>
      <c r="P1983" s="4" t="str">
        <f t="shared" si="60"/>
        <v>30-50</v>
      </c>
      <c r="Q1983" s="4">
        <f>M1983+N1983</f>
        <v>18</v>
      </c>
      <c r="U1983" s="28" t="str" cm="1">
        <f t="array" ref="U1983">_xlfn.IFS(F1983&lt;30000,"30k",F1983&lt;=50000,"30k-50k",F1983&lt;=75000,"50k-75k",F1983&lt;=100000,"75k-100k",F1983&gt;100000,"100k")</f>
        <v>30k</v>
      </c>
      <c r="W1983" s="1">
        <f t="shared" si="61"/>
        <v>13</v>
      </c>
    </row>
    <row r="1984" spans="1:23" x14ac:dyDescent="0.35">
      <c r="A1984">
        <v>1981</v>
      </c>
      <c r="B1984">
        <v>8524</v>
      </c>
      <c r="C1984">
        <v>1974</v>
      </c>
      <c r="D1984" s="1" t="s">
        <v>13</v>
      </c>
      <c r="E1984" s="1" t="s">
        <v>16</v>
      </c>
      <c r="F1984">
        <v>25509</v>
      </c>
      <c r="G1984">
        <v>1</v>
      </c>
      <c r="H1984" s="2">
        <v>0</v>
      </c>
      <c r="I1984" s="2">
        <v>41170</v>
      </c>
      <c r="J1984">
        <v>15</v>
      </c>
      <c r="K1984">
        <f>VLOOKUP(B1984,purchase_dataset!$B$2:$F$2241,2,FALSE)</f>
        <v>3</v>
      </c>
      <c r="L1984">
        <f>VLOOKUP(B1984,purchase_dataset!$B$2:$F$2241,3,FALSE)</f>
        <v>7</v>
      </c>
      <c r="M1984">
        <f>VLOOKUP(B1984,purchase_dataset!$B$2:$F$2241,3,FALSE)</f>
        <v>7</v>
      </c>
      <c r="N1984">
        <f>VLOOKUP(B1984,purchase_dataset!$B$2:$F$2241,5,FALSE)</f>
        <v>3</v>
      </c>
      <c r="O1984" s="5">
        <v>52</v>
      </c>
      <c r="P1984" s="4" t="str">
        <f t="shared" si="60"/>
        <v>&gt;50</v>
      </c>
      <c r="Q1984" s="4">
        <f>M1984+N1984</f>
        <v>10</v>
      </c>
      <c r="U1984" s="28" t="str" cm="1">
        <f t="array" ref="U1984">_xlfn.IFS(F1984&lt;30000,"30k",F1984&lt;=50000,"30k-50k",F1984&lt;=75000,"50k-75k",F1984&lt;=100000,"75k-100k",F1984&gt;100000,"100k")</f>
        <v>30k</v>
      </c>
      <c r="W1984" s="1">
        <f t="shared" si="61"/>
        <v>14</v>
      </c>
    </row>
    <row r="1985" spans="1:23" x14ac:dyDescent="0.35">
      <c r="A1985">
        <v>1982</v>
      </c>
      <c r="B1985">
        <v>3334</v>
      </c>
      <c r="C1985">
        <v>1951</v>
      </c>
      <c r="D1985" s="1" t="s">
        <v>10</v>
      </c>
      <c r="E1985" s="1" t="s">
        <v>14</v>
      </c>
      <c r="F1985">
        <v>94642</v>
      </c>
      <c r="G1985">
        <v>0</v>
      </c>
      <c r="H1985" s="2">
        <v>0</v>
      </c>
      <c r="I1985" s="2">
        <v>41682</v>
      </c>
      <c r="J1985">
        <v>35</v>
      </c>
      <c r="K1985">
        <f>VLOOKUP(B1985,purchase_dataset!$B$2:$F$2241,2,FALSE)</f>
        <v>143</v>
      </c>
      <c r="L1985">
        <f>VLOOKUP(B1985,purchase_dataset!$B$2:$F$2241,3,FALSE)</f>
        <v>143</v>
      </c>
      <c r="M1985">
        <f>VLOOKUP(B1985,purchase_dataset!$B$2:$F$2241,3,FALSE)</f>
        <v>143</v>
      </c>
      <c r="N1985">
        <f>VLOOKUP(B1985,purchase_dataset!$B$2:$F$2241,5,FALSE)</f>
        <v>9</v>
      </c>
      <c r="O1985" s="5">
        <v>75</v>
      </c>
      <c r="P1985" s="4" t="str">
        <f t="shared" si="60"/>
        <v>&gt;50</v>
      </c>
      <c r="Q1985" s="4">
        <f>M1985+N1985</f>
        <v>152</v>
      </c>
      <c r="U1985" s="28" t="str" cm="1">
        <f t="array" ref="U1985">_xlfn.IFS(F1985&lt;30000,"30k",F1985&lt;=50000,"30k-50k",F1985&lt;=75000,"50k-75k",F1985&lt;=100000,"75k-100k",F1985&gt;100000,"100k")</f>
        <v>75k-100k</v>
      </c>
      <c r="W1985" s="1">
        <f t="shared" si="61"/>
        <v>12</v>
      </c>
    </row>
    <row r="1986" spans="1:23" x14ac:dyDescent="0.35">
      <c r="A1986">
        <v>1983</v>
      </c>
      <c r="B1986">
        <v>4470</v>
      </c>
      <c r="C1986">
        <v>1962</v>
      </c>
      <c r="D1986" s="1" t="s">
        <v>15</v>
      </c>
      <c r="E1986" s="1" t="s">
        <v>14</v>
      </c>
      <c r="F1986">
        <v>58646</v>
      </c>
      <c r="G1986">
        <v>0</v>
      </c>
      <c r="H1986" s="2">
        <v>1</v>
      </c>
      <c r="I1986" s="2">
        <v>41435</v>
      </c>
      <c r="J1986">
        <v>3</v>
      </c>
      <c r="K1986">
        <f>VLOOKUP(B1986,purchase_dataset!$B$2:$F$2241,2,FALSE)</f>
        <v>1</v>
      </c>
      <c r="L1986">
        <f>VLOOKUP(B1986,purchase_dataset!$B$2:$F$2241,3,FALSE)</f>
        <v>5</v>
      </c>
      <c r="M1986">
        <f>VLOOKUP(B1986,purchase_dataset!$B$2:$F$2241,3,FALSE)</f>
        <v>5</v>
      </c>
      <c r="N1986">
        <f>VLOOKUP(B1986,purchase_dataset!$B$2:$F$2241,5,FALSE)</f>
        <v>4</v>
      </c>
      <c r="O1986" s="5">
        <v>64</v>
      </c>
      <c r="P1986" s="4" t="str">
        <f t="shared" si="60"/>
        <v>&gt;50</v>
      </c>
      <c r="Q1986" s="4">
        <f>M1986+N1986</f>
        <v>9</v>
      </c>
      <c r="U1986" s="28" t="str" cm="1">
        <f t="array" ref="U1986">_xlfn.IFS(F1986&lt;30000,"30k",F1986&lt;=50000,"30k-50k",F1986&lt;=75000,"50k-75k",F1986&lt;=100000,"75k-100k",F1986&gt;100000,"100k")</f>
        <v>50k-75k</v>
      </c>
      <c r="W1986" s="1">
        <f t="shared" si="61"/>
        <v>13</v>
      </c>
    </row>
    <row r="1987" spans="1:23" x14ac:dyDescent="0.35">
      <c r="A1987">
        <v>1984</v>
      </c>
      <c r="B1987">
        <v>1406</v>
      </c>
      <c r="C1987">
        <v>1975</v>
      </c>
      <c r="D1987" s="1" t="s">
        <v>10</v>
      </c>
      <c r="E1987" s="1" t="s">
        <v>11</v>
      </c>
      <c r="F1987">
        <v>53201</v>
      </c>
      <c r="G1987">
        <v>1</v>
      </c>
      <c r="H1987" s="2">
        <v>1</v>
      </c>
      <c r="I1987" s="2">
        <v>41317</v>
      </c>
      <c r="J1987">
        <v>49</v>
      </c>
      <c r="K1987">
        <f>VLOOKUP(B1987,purchase_dataset!$B$2:$F$2241,2,FALSE)</f>
        <v>7</v>
      </c>
      <c r="L1987">
        <f>VLOOKUP(B1987,purchase_dataset!$B$2:$F$2241,3,FALSE)</f>
        <v>0</v>
      </c>
      <c r="M1987">
        <f>VLOOKUP(B1987,purchase_dataset!$B$2:$F$2241,3,FALSE)</f>
        <v>0</v>
      </c>
      <c r="N1987">
        <f>VLOOKUP(B1987,purchase_dataset!$B$2:$F$2241,5,FALSE)</f>
        <v>5</v>
      </c>
      <c r="O1987" s="5">
        <v>51</v>
      </c>
      <c r="P1987" s="4" t="str">
        <f t="shared" si="60"/>
        <v>&gt;50</v>
      </c>
      <c r="Q1987" s="4">
        <f>M1987+N1987</f>
        <v>5</v>
      </c>
      <c r="U1987" s="28" t="str" cm="1">
        <f t="array" ref="U1987">_xlfn.IFS(F1987&lt;30000,"30k",F1987&lt;=50000,"30k-50k",F1987&lt;=75000,"50k-75k",F1987&lt;=100000,"75k-100k",F1987&gt;100000,"100k")</f>
        <v>50k-75k</v>
      </c>
      <c r="W1987" s="1">
        <f t="shared" si="61"/>
        <v>13</v>
      </c>
    </row>
    <row r="1988" spans="1:23" x14ac:dyDescent="0.35">
      <c r="A1988">
        <v>1985</v>
      </c>
      <c r="B1988">
        <v>8619</v>
      </c>
      <c r="C1988">
        <v>1957</v>
      </c>
      <c r="D1988" s="1" t="s">
        <v>10</v>
      </c>
      <c r="E1988" s="1" t="s">
        <v>12</v>
      </c>
      <c r="F1988">
        <v>21994</v>
      </c>
      <c r="G1988">
        <v>0</v>
      </c>
      <c r="H1988" s="2">
        <v>1</v>
      </c>
      <c r="I1988" s="2">
        <v>41267</v>
      </c>
      <c r="J1988">
        <v>4</v>
      </c>
      <c r="K1988">
        <f>VLOOKUP(B1988,purchase_dataset!$B$2:$F$2241,2,FALSE)</f>
        <v>0</v>
      </c>
      <c r="L1988">
        <f>VLOOKUP(B1988,purchase_dataset!$B$2:$F$2241,3,FALSE)</f>
        <v>1</v>
      </c>
      <c r="M1988">
        <f>VLOOKUP(B1988,purchase_dataset!$B$2:$F$2241,3,FALSE)</f>
        <v>1</v>
      </c>
      <c r="N1988">
        <f>VLOOKUP(B1988,purchase_dataset!$B$2:$F$2241,5,FALSE)</f>
        <v>3</v>
      </c>
      <c r="O1988" s="5">
        <v>69</v>
      </c>
      <c r="P1988" s="4" t="str">
        <f t="shared" ref="P1988:P2051" si="62">IF(O1988&lt;30,"30",IF(O1988&lt;=50,"30-50","&gt;50"))</f>
        <v>&gt;50</v>
      </c>
      <c r="Q1988" s="4">
        <f>M1988+N1988</f>
        <v>4</v>
      </c>
      <c r="U1988" s="28" t="str" cm="1">
        <f t="array" ref="U1988">_xlfn.IFS(F1988&lt;30000,"30k",F1988&lt;=50000,"30k-50k",F1988&lt;=75000,"50k-75k",F1988&lt;=100000,"75k-100k",F1988&gt;100000,"100k")</f>
        <v>30k</v>
      </c>
      <c r="W1988" s="1">
        <f t="shared" ref="W1988:W2051" si="63">2026-YEAR(I1988)</f>
        <v>14</v>
      </c>
    </row>
    <row r="1989" spans="1:23" x14ac:dyDescent="0.35">
      <c r="A1989">
        <v>1986</v>
      </c>
      <c r="B1989">
        <v>10821</v>
      </c>
      <c r="C1989">
        <v>1978</v>
      </c>
      <c r="D1989" s="1" t="s">
        <v>10</v>
      </c>
      <c r="E1989" s="1" t="s">
        <v>14</v>
      </c>
      <c r="F1989">
        <v>57113</v>
      </c>
      <c r="G1989">
        <v>1</v>
      </c>
      <c r="H1989" s="2">
        <v>1</v>
      </c>
      <c r="I1989" s="2">
        <v>41311</v>
      </c>
      <c r="J1989">
        <v>45</v>
      </c>
      <c r="K1989">
        <f>VLOOKUP(B1989,purchase_dataset!$B$2:$F$2241,2,FALSE)</f>
        <v>4</v>
      </c>
      <c r="L1989">
        <f>VLOOKUP(B1989,purchase_dataset!$B$2:$F$2241,3,FALSE)</f>
        <v>2</v>
      </c>
      <c r="M1989">
        <f>VLOOKUP(B1989,purchase_dataset!$B$2:$F$2241,3,FALSE)</f>
        <v>2</v>
      </c>
      <c r="N1989">
        <f>VLOOKUP(B1989,purchase_dataset!$B$2:$F$2241,5,FALSE)</f>
        <v>5</v>
      </c>
      <c r="O1989" s="5">
        <v>48</v>
      </c>
      <c r="P1989" s="4" t="str">
        <f t="shared" si="62"/>
        <v>30-50</v>
      </c>
      <c r="Q1989" s="4">
        <f>M1989+N1989</f>
        <v>7</v>
      </c>
      <c r="U1989" s="28" t="str" cm="1">
        <f t="array" ref="U1989">_xlfn.IFS(F1989&lt;30000,"30k",F1989&lt;=50000,"30k-50k",F1989&lt;=75000,"50k-75k",F1989&lt;=100000,"75k-100k",F1989&gt;100000,"100k")</f>
        <v>50k-75k</v>
      </c>
      <c r="W1989" s="1">
        <f t="shared" si="63"/>
        <v>13</v>
      </c>
    </row>
    <row r="1990" spans="1:23" x14ac:dyDescent="0.35">
      <c r="A1990">
        <v>1987</v>
      </c>
      <c r="B1990">
        <v>4552</v>
      </c>
      <c r="C1990">
        <v>1991</v>
      </c>
      <c r="D1990" s="1" t="s">
        <v>10</v>
      </c>
      <c r="E1990" s="1" t="s">
        <v>14</v>
      </c>
      <c r="F1990">
        <v>51373</v>
      </c>
      <c r="G1990">
        <v>0</v>
      </c>
      <c r="H1990" s="2">
        <v>0</v>
      </c>
      <c r="I1990" s="2">
        <v>41447</v>
      </c>
      <c r="J1990">
        <v>37</v>
      </c>
      <c r="K1990">
        <f>VLOOKUP(B1990,purchase_dataset!$B$2:$F$2241,2,FALSE)</f>
        <v>2</v>
      </c>
      <c r="L1990">
        <f>VLOOKUP(B1990,purchase_dataset!$B$2:$F$2241,3,FALSE)</f>
        <v>26</v>
      </c>
      <c r="M1990">
        <f>VLOOKUP(B1990,purchase_dataset!$B$2:$F$2241,3,FALSE)</f>
        <v>26</v>
      </c>
      <c r="N1990">
        <f>VLOOKUP(B1990,purchase_dataset!$B$2:$F$2241,5,FALSE)</f>
        <v>3</v>
      </c>
      <c r="O1990" s="5">
        <v>35</v>
      </c>
      <c r="P1990" s="4" t="str">
        <f t="shared" si="62"/>
        <v>30-50</v>
      </c>
      <c r="Q1990" s="4">
        <f>M1990+N1990</f>
        <v>29</v>
      </c>
      <c r="U1990" s="28" t="str" cm="1">
        <f t="array" ref="U1990">_xlfn.IFS(F1990&lt;30000,"30k",F1990&lt;=50000,"30k-50k",F1990&lt;=75000,"50k-75k",F1990&lt;=100000,"75k-100k",F1990&gt;100000,"100k")</f>
        <v>50k-75k</v>
      </c>
      <c r="W1990" s="1">
        <f t="shared" si="63"/>
        <v>13</v>
      </c>
    </row>
    <row r="1991" spans="1:23" x14ac:dyDescent="0.35">
      <c r="A1991">
        <v>1988</v>
      </c>
      <c r="B1991">
        <v>898</v>
      </c>
      <c r="C1991">
        <v>1986</v>
      </c>
      <c r="D1991" s="1" t="s">
        <v>10</v>
      </c>
      <c r="E1991" s="1" t="s">
        <v>14</v>
      </c>
      <c r="F1991">
        <v>23477</v>
      </c>
      <c r="G1991">
        <v>1</v>
      </c>
      <c r="H1991" s="2">
        <v>0</v>
      </c>
      <c r="I1991" s="2">
        <v>41568</v>
      </c>
      <c r="J1991">
        <v>39</v>
      </c>
      <c r="K1991">
        <f>VLOOKUP(B1991,purchase_dataset!$B$2:$F$2241,2,FALSE)</f>
        <v>15</v>
      </c>
      <c r="L1991">
        <f>VLOOKUP(B1991,purchase_dataset!$B$2:$F$2241,3,FALSE)</f>
        <v>8</v>
      </c>
      <c r="M1991">
        <f>VLOOKUP(B1991,purchase_dataset!$B$2:$F$2241,3,FALSE)</f>
        <v>8</v>
      </c>
      <c r="N1991">
        <f>VLOOKUP(B1991,purchase_dataset!$B$2:$F$2241,5,FALSE)</f>
        <v>4</v>
      </c>
      <c r="O1991" s="5">
        <v>40</v>
      </c>
      <c r="P1991" s="4" t="str">
        <f t="shared" si="62"/>
        <v>30-50</v>
      </c>
      <c r="Q1991" s="4">
        <f>M1991+N1991</f>
        <v>12</v>
      </c>
      <c r="U1991" s="28" t="str" cm="1">
        <f t="array" ref="U1991">_xlfn.IFS(F1991&lt;30000,"30k",F1991&lt;=50000,"30k-50k",F1991&lt;=75000,"50k-75k",F1991&lt;=100000,"75k-100k",F1991&gt;100000,"100k")</f>
        <v>30k</v>
      </c>
      <c r="W1991" s="1">
        <f t="shared" si="63"/>
        <v>13</v>
      </c>
    </row>
    <row r="1992" spans="1:23" x14ac:dyDescent="0.35">
      <c r="A1992">
        <v>1989</v>
      </c>
      <c r="B1992">
        <v>9797</v>
      </c>
      <c r="C1992">
        <v>1956</v>
      </c>
      <c r="D1992" s="1" t="s">
        <v>10</v>
      </c>
      <c r="E1992" s="1" t="s">
        <v>14</v>
      </c>
      <c r="F1992">
        <v>58116</v>
      </c>
      <c r="G1992">
        <v>0</v>
      </c>
      <c r="H1992" s="2">
        <v>1</v>
      </c>
      <c r="I1992" s="2">
        <v>41742</v>
      </c>
      <c r="J1992">
        <v>38</v>
      </c>
      <c r="K1992">
        <f>VLOOKUP(B1992,purchase_dataset!$B$2:$F$2241,2,FALSE)</f>
        <v>19</v>
      </c>
      <c r="L1992">
        <f>VLOOKUP(B1992,purchase_dataset!$B$2:$F$2241,3,FALSE)</f>
        <v>11</v>
      </c>
      <c r="M1992">
        <f>VLOOKUP(B1992,purchase_dataset!$B$2:$F$2241,3,FALSE)</f>
        <v>11</v>
      </c>
      <c r="N1992">
        <f>VLOOKUP(B1992,purchase_dataset!$B$2:$F$2241,5,FALSE)</f>
        <v>8</v>
      </c>
      <c r="O1992" s="5">
        <v>70</v>
      </c>
      <c r="P1992" s="4" t="str">
        <f t="shared" si="62"/>
        <v>&gt;50</v>
      </c>
      <c r="Q1992" s="4">
        <f>M1992+N1992</f>
        <v>19</v>
      </c>
      <c r="U1992" s="28" t="str" cm="1">
        <f t="array" ref="U1992">_xlfn.IFS(F1992&lt;30000,"30k",F1992&lt;=50000,"30k-50k",F1992&lt;=75000,"50k-75k",F1992&lt;=100000,"75k-100k",F1992&gt;100000,"100k")</f>
        <v>50k-75k</v>
      </c>
      <c r="W1992" s="1">
        <f t="shared" si="63"/>
        <v>12</v>
      </c>
    </row>
    <row r="1993" spans="1:23" x14ac:dyDescent="0.35">
      <c r="A1993">
        <v>1990</v>
      </c>
      <c r="B1993">
        <v>10949</v>
      </c>
      <c r="C1993">
        <v>1963</v>
      </c>
      <c r="D1993" s="1" t="s">
        <v>13</v>
      </c>
      <c r="E1993" s="1" t="s">
        <v>16</v>
      </c>
      <c r="F1993">
        <v>72968</v>
      </c>
      <c r="G1993">
        <v>0</v>
      </c>
      <c r="H1993" s="2">
        <v>0</v>
      </c>
      <c r="I1993" s="2">
        <v>41624</v>
      </c>
      <c r="J1993">
        <v>8</v>
      </c>
      <c r="K1993">
        <f>VLOOKUP(B1993,purchase_dataset!$B$2:$F$2241,2,FALSE)</f>
        <v>37</v>
      </c>
      <c r="L1993">
        <f>VLOOKUP(B1993,purchase_dataset!$B$2:$F$2241,3,FALSE)</f>
        <v>37</v>
      </c>
      <c r="M1993">
        <f>VLOOKUP(B1993,purchase_dataset!$B$2:$F$2241,3,FALSE)</f>
        <v>37</v>
      </c>
      <c r="N1993">
        <f>VLOOKUP(B1993,purchase_dataset!$B$2:$F$2241,5,FALSE)</f>
        <v>8</v>
      </c>
      <c r="O1993" s="5">
        <v>63</v>
      </c>
      <c r="P1993" s="4" t="str">
        <f t="shared" si="62"/>
        <v>&gt;50</v>
      </c>
      <c r="Q1993" s="4">
        <f>M1993+N1993</f>
        <v>45</v>
      </c>
      <c r="U1993" s="28" t="str" cm="1">
        <f t="array" ref="U1993">_xlfn.IFS(F1993&lt;30000,"30k",F1993&lt;=50000,"30k-50k",F1993&lt;=75000,"50k-75k",F1993&lt;=100000,"75k-100k",F1993&gt;100000,"100k")</f>
        <v>50k-75k</v>
      </c>
      <c r="W1993" s="1">
        <f t="shared" si="63"/>
        <v>13</v>
      </c>
    </row>
    <row r="1994" spans="1:23" x14ac:dyDescent="0.35">
      <c r="A1994">
        <v>1991</v>
      </c>
      <c r="B1994">
        <v>8212</v>
      </c>
      <c r="C1994">
        <v>1971</v>
      </c>
      <c r="D1994" s="1" t="s">
        <v>15</v>
      </c>
      <c r="E1994" s="1" t="s">
        <v>14</v>
      </c>
      <c r="F1994">
        <v>39791</v>
      </c>
      <c r="G1994">
        <v>0</v>
      </c>
      <c r="H1994" s="2">
        <v>1</v>
      </c>
      <c r="I1994" s="2">
        <v>41361</v>
      </c>
      <c r="J1994">
        <v>89</v>
      </c>
      <c r="K1994">
        <f>VLOOKUP(B1994,purchase_dataset!$B$2:$F$2241,2,FALSE)</f>
        <v>15</v>
      </c>
      <c r="L1994">
        <f>VLOOKUP(B1994,purchase_dataset!$B$2:$F$2241,3,FALSE)</f>
        <v>13</v>
      </c>
      <c r="M1994">
        <f>VLOOKUP(B1994,purchase_dataset!$B$2:$F$2241,3,FALSE)</f>
        <v>13</v>
      </c>
      <c r="N1994">
        <f>VLOOKUP(B1994,purchase_dataset!$B$2:$F$2241,5,FALSE)</f>
        <v>4</v>
      </c>
      <c r="O1994" s="5">
        <v>55</v>
      </c>
      <c r="P1994" s="4" t="str">
        <f t="shared" si="62"/>
        <v>&gt;50</v>
      </c>
      <c r="Q1994" s="4">
        <f>M1994+N1994</f>
        <v>17</v>
      </c>
      <c r="U1994" s="28" t="str" cm="1">
        <f t="array" ref="U1994">_xlfn.IFS(F1994&lt;30000,"30k",F1994&lt;=50000,"30k-50k",F1994&lt;=75000,"50k-75k",F1994&lt;=100000,"75k-100k",F1994&gt;100000,"100k")</f>
        <v>30k-50k</v>
      </c>
      <c r="W1994" s="1">
        <f t="shared" si="63"/>
        <v>13</v>
      </c>
    </row>
    <row r="1995" spans="1:23" x14ac:dyDescent="0.35">
      <c r="A1995">
        <v>1992</v>
      </c>
      <c r="B1995">
        <v>6248</v>
      </c>
      <c r="C1995">
        <v>1947</v>
      </c>
      <c r="D1995" s="1" t="s">
        <v>15</v>
      </c>
      <c r="E1995" s="1" t="s">
        <v>11</v>
      </c>
      <c r="F1995">
        <v>91712</v>
      </c>
      <c r="G1995">
        <v>0</v>
      </c>
      <c r="H1995" s="2">
        <v>0</v>
      </c>
      <c r="I1995" s="2">
        <v>41564</v>
      </c>
      <c r="J1995">
        <v>47</v>
      </c>
      <c r="K1995">
        <f>VLOOKUP(B1995,purchase_dataset!$B$2:$F$2241,2,FALSE)</f>
        <v>24</v>
      </c>
      <c r="L1995">
        <f>VLOOKUP(B1995,purchase_dataset!$B$2:$F$2241,3,FALSE)</f>
        <v>29</v>
      </c>
      <c r="M1995">
        <f>VLOOKUP(B1995,purchase_dataset!$B$2:$F$2241,3,FALSE)</f>
        <v>29</v>
      </c>
      <c r="N1995">
        <f>VLOOKUP(B1995,purchase_dataset!$B$2:$F$2241,5,FALSE)</f>
        <v>11</v>
      </c>
      <c r="O1995" s="5">
        <v>79</v>
      </c>
      <c r="P1995" s="4" t="str">
        <f t="shared" si="62"/>
        <v>&gt;50</v>
      </c>
      <c r="Q1995" s="4">
        <f>M1995+N1995</f>
        <v>40</v>
      </c>
      <c r="U1995" s="28" t="str" cm="1">
        <f t="array" ref="U1995">_xlfn.IFS(F1995&lt;30000,"30k",F1995&lt;=50000,"30k-50k",F1995&lt;=75000,"50k-75k",F1995&lt;=100000,"75k-100k",F1995&gt;100000,"100k")</f>
        <v>75k-100k</v>
      </c>
      <c r="W1995" s="1">
        <f t="shared" si="63"/>
        <v>13</v>
      </c>
    </row>
    <row r="1996" spans="1:23" x14ac:dyDescent="0.35">
      <c r="A1996">
        <v>1993</v>
      </c>
      <c r="B1996">
        <v>10164</v>
      </c>
      <c r="C1996">
        <v>1958</v>
      </c>
      <c r="D1996" s="1" t="s">
        <v>10</v>
      </c>
      <c r="E1996" s="1" t="s">
        <v>11</v>
      </c>
      <c r="F1996">
        <v>94472</v>
      </c>
      <c r="G1996">
        <v>0</v>
      </c>
      <c r="H1996" s="2">
        <v>1</v>
      </c>
      <c r="I1996" s="2">
        <v>41732</v>
      </c>
      <c r="J1996">
        <v>75</v>
      </c>
      <c r="K1996">
        <f>VLOOKUP(B1996,purchase_dataset!$B$2:$F$2241,2,FALSE)</f>
        <v>33</v>
      </c>
      <c r="L1996">
        <f>VLOOKUP(B1996,purchase_dataset!$B$2:$F$2241,3,FALSE)</f>
        <v>100</v>
      </c>
      <c r="M1996">
        <f>VLOOKUP(B1996,purchase_dataset!$B$2:$F$2241,3,FALSE)</f>
        <v>100</v>
      </c>
      <c r="N1996">
        <f>VLOOKUP(B1996,purchase_dataset!$B$2:$F$2241,5,FALSE)</f>
        <v>5</v>
      </c>
      <c r="O1996" s="5">
        <v>68</v>
      </c>
      <c r="P1996" s="4" t="str">
        <f t="shared" si="62"/>
        <v>&gt;50</v>
      </c>
      <c r="Q1996" s="4">
        <f>M1996+N1996</f>
        <v>105</v>
      </c>
      <c r="U1996" s="28" t="str" cm="1">
        <f t="array" ref="U1996">_xlfn.IFS(F1996&lt;30000,"30k",F1996&lt;=50000,"30k-50k",F1996&lt;=75000,"50k-75k",F1996&lt;=100000,"75k-100k",F1996&gt;100000,"100k")</f>
        <v>75k-100k</v>
      </c>
      <c r="W1996" s="1">
        <f t="shared" si="63"/>
        <v>12</v>
      </c>
    </row>
    <row r="1997" spans="1:23" x14ac:dyDescent="0.35">
      <c r="A1997">
        <v>1994</v>
      </c>
      <c r="B1997">
        <v>4547</v>
      </c>
      <c r="C1997">
        <v>1960</v>
      </c>
      <c r="D1997" s="1" t="s">
        <v>10</v>
      </c>
      <c r="E1997" s="1" t="s">
        <v>12</v>
      </c>
      <c r="F1997">
        <v>13672</v>
      </c>
      <c r="G1997">
        <v>1</v>
      </c>
      <c r="H1997" s="2">
        <v>1</v>
      </c>
      <c r="I1997" s="2">
        <v>41381</v>
      </c>
      <c r="J1997">
        <v>86</v>
      </c>
      <c r="K1997">
        <f>VLOOKUP(B1997,purchase_dataset!$B$2:$F$2241,2,FALSE)</f>
        <v>2</v>
      </c>
      <c r="L1997">
        <f>VLOOKUP(B1997,purchase_dataset!$B$2:$F$2241,3,FALSE)</f>
        <v>1</v>
      </c>
      <c r="M1997">
        <f>VLOOKUP(B1997,purchase_dataset!$B$2:$F$2241,3,FALSE)</f>
        <v>1</v>
      </c>
      <c r="N1997">
        <f>VLOOKUP(B1997,purchase_dataset!$B$2:$F$2241,5,FALSE)</f>
        <v>3</v>
      </c>
      <c r="O1997" s="5">
        <v>66</v>
      </c>
      <c r="P1997" s="4" t="str">
        <f t="shared" si="62"/>
        <v>&gt;50</v>
      </c>
      <c r="Q1997" s="4">
        <f>M1997+N1997</f>
        <v>4</v>
      </c>
      <c r="U1997" s="28" t="str" cm="1">
        <f t="array" ref="U1997">_xlfn.IFS(F1997&lt;30000,"30k",F1997&lt;=50000,"30k-50k",F1997&lt;=75000,"50k-75k",F1997&lt;=100000,"75k-100k",F1997&gt;100000,"100k")</f>
        <v>30k</v>
      </c>
      <c r="W1997" s="1">
        <f t="shared" si="63"/>
        <v>13</v>
      </c>
    </row>
    <row r="1998" spans="1:23" x14ac:dyDescent="0.35">
      <c r="A1998">
        <v>1995</v>
      </c>
      <c r="B1998">
        <v>6815</v>
      </c>
      <c r="C1998">
        <v>1980</v>
      </c>
      <c r="D1998" s="1" t="s">
        <v>18</v>
      </c>
      <c r="E1998" s="1" t="s">
        <v>14</v>
      </c>
      <c r="F1998">
        <v>96547</v>
      </c>
      <c r="G1998">
        <v>0</v>
      </c>
      <c r="H1998" s="2">
        <v>0</v>
      </c>
      <c r="I1998" s="2">
        <v>41782</v>
      </c>
      <c r="J1998">
        <v>4</v>
      </c>
      <c r="K1998">
        <f>VLOOKUP(B1998,purchase_dataset!$B$2:$F$2241,2,FALSE)</f>
        <v>21</v>
      </c>
      <c r="L1998">
        <f>VLOOKUP(B1998,purchase_dataset!$B$2:$F$2241,3,FALSE)</f>
        <v>101</v>
      </c>
      <c r="M1998">
        <f>VLOOKUP(B1998,purchase_dataset!$B$2:$F$2241,3,FALSE)</f>
        <v>101</v>
      </c>
      <c r="N1998">
        <f>VLOOKUP(B1998,purchase_dataset!$B$2:$F$2241,5,FALSE)</f>
        <v>8</v>
      </c>
      <c r="O1998" s="5">
        <v>46</v>
      </c>
      <c r="P1998" s="4" t="str">
        <f t="shared" si="62"/>
        <v>30-50</v>
      </c>
      <c r="Q1998" s="4">
        <f>M1998+N1998</f>
        <v>109</v>
      </c>
      <c r="U1998" s="28" t="str" cm="1">
        <f t="array" ref="U1998">_xlfn.IFS(F1998&lt;30000,"30k",F1998&lt;=50000,"30k-50k",F1998&lt;=75000,"50k-75k",F1998&lt;=100000,"75k-100k",F1998&gt;100000,"100k")</f>
        <v>75k-100k</v>
      </c>
      <c r="W1998" s="1">
        <f t="shared" si="63"/>
        <v>12</v>
      </c>
    </row>
    <row r="1999" spans="1:23" x14ac:dyDescent="0.35">
      <c r="A1999">
        <v>1996</v>
      </c>
      <c r="B1999">
        <v>4122</v>
      </c>
      <c r="C1999">
        <v>1975</v>
      </c>
      <c r="D1999" s="1" t="s">
        <v>10</v>
      </c>
      <c r="E1999" s="1" t="s">
        <v>14</v>
      </c>
      <c r="F1999">
        <v>79205</v>
      </c>
      <c r="G1999">
        <v>0</v>
      </c>
      <c r="H1999" s="2">
        <v>0</v>
      </c>
      <c r="I1999" s="2">
        <v>41150</v>
      </c>
      <c r="J1999">
        <v>73</v>
      </c>
      <c r="K1999">
        <f>VLOOKUP(B1999,purchase_dataset!$B$2:$F$2241,2,FALSE)</f>
        <v>23</v>
      </c>
      <c r="L1999">
        <f>VLOOKUP(B1999,purchase_dataset!$B$2:$F$2241,3,FALSE)</f>
        <v>28</v>
      </c>
      <c r="M1999">
        <f>VLOOKUP(B1999,purchase_dataset!$B$2:$F$2241,3,FALSE)</f>
        <v>28</v>
      </c>
      <c r="N1999">
        <f>VLOOKUP(B1999,purchase_dataset!$B$2:$F$2241,5,FALSE)</f>
        <v>4</v>
      </c>
      <c r="O1999" s="5">
        <v>51</v>
      </c>
      <c r="P1999" s="4" t="str">
        <f t="shared" si="62"/>
        <v>&gt;50</v>
      </c>
      <c r="Q1999" s="4">
        <f>M1999+N1999</f>
        <v>32</v>
      </c>
      <c r="U1999" s="28" t="str" cm="1">
        <f t="array" ref="U1999">_xlfn.IFS(F1999&lt;30000,"30k",F1999&lt;=50000,"30k-50k",F1999&lt;=75000,"50k-75k",F1999&lt;=100000,"75k-100k",F1999&gt;100000,"100k")</f>
        <v>75k-100k</v>
      </c>
      <c r="W1999" s="1">
        <f t="shared" si="63"/>
        <v>14</v>
      </c>
    </row>
    <row r="2000" spans="1:23" x14ac:dyDescent="0.35">
      <c r="A2000">
        <v>1997</v>
      </c>
      <c r="B2000">
        <v>10841</v>
      </c>
      <c r="C2000">
        <v>1975</v>
      </c>
      <c r="D2000" s="1" t="s">
        <v>13</v>
      </c>
      <c r="E2000" s="1" t="s">
        <v>12</v>
      </c>
      <c r="F2000">
        <v>56559</v>
      </c>
      <c r="G2000">
        <v>0</v>
      </c>
      <c r="H2000" s="2">
        <v>1</v>
      </c>
      <c r="I2000" s="2">
        <v>41268</v>
      </c>
      <c r="J2000">
        <v>46</v>
      </c>
      <c r="K2000">
        <f>VLOOKUP(B2000,purchase_dataset!$B$2:$F$2241,2,FALSE)</f>
        <v>22</v>
      </c>
      <c r="L2000">
        <f>VLOOKUP(B2000,purchase_dataset!$B$2:$F$2241,3,FALSE)</f>
        <v>31</v>
      </c>
      <c r="M2000">
        <f>VLOOKUP(B2000,purchase_dataset!$B$2:$F$2241,3,FALSE)</f>
        <v>31</v>
      </c>
      <c r="N2000">
        <f>VLOOKUP(B2000,purchase_dataset!$B$2:$F$2241,5,FALSE)</f>
        <v>8</v>
      </c>
      <c r="O2000" s="5">
        <v>51</v>
      </c>
      <c r="P2000" s="4" t="str">
        <f t="shared" si="62"/>
        <v>&gt;50</v>
      </c>
      <c r="Q2000" s="4">
        <f>M2000+N2000</f>
        <v>39</v>
      </c>
      <c r="U2000" s="28" t="str" cm="1">
        <f t="array" ref="U2000">_xlfn.IFS(F2000&lt;30000,"30k",F2000&lt;=50000,"30k-50k",F2000&lt;=75000,"50k-75k",F2000&lt;=100000,"75k-100k",F2000&gt;100000,"100k")</f>
        <v>50k-75k</v>
      </c>
      <c r="W2000" s="1">
        <f t="shared" si="63"/>
        <v>14</v>
      </c>
    </row>
    <row r="2001" spans="1:23" x14ac:dyDescent="0.35">
      <c r="A2001">
        <v>1998</v>
      </c>
      <c r="B2001">
        <v>5370</v>
      </c>
      <c r="C2001">
        <v>1973</v>
      </c>
      <c r="D2001" s="1" t="s">
        <v>13</v>
      </c>
      <c r="E2001" s="1" t="s">
        <v>14</v>
      </c>
      <c r="F2001">
        <v>32644</v>
      </c>
      <c r="G2001">
        <v>1</v>
      </c>
      <c r="H2001" s="2">
        <v>0</v>
      </c>
      <c r="I2001" s="2">
        <v>41290</v>
      </c>
      <c r="J2001">
        <v>38</v>
      </c>
      <c r="K2001">
        <f>VLOOKUP(B2001,purchase_dataset!$B$2:$F$2241,2,FALSE)</f>
        <v>3</v>
      </c>
      <c r="L2001">
        <f>VLOOKUP(B2001,purchase_dataset!$B$2:$F$2241,3,FALSE)</f>
        <v>7</v>
      </c>
      <c r="M2001">
        <f>VLOOKUP(B2001,purchase_dataset!$B$2:$F$2241,3,FALSE)</f>
        <v>7</v>
      </c>
      <c r="N2001">
        <f>VLOOKUP(B2001,purchase_dataset!$B$2:$F$2241,5,FALSE)</f>
        <v>6</v>
      </c>
      <c r="O2001" s="5">
        <v>53</v>
      </c>
      <c r="P2001" s="4" t="str">
        <f t="shared" si="62"/>
        <v>&gt;50</v>
      </c>
      <c r="Q2001" s="4">
        <f>M2001+N2001</f>
        <v>13</v>
      </c>
      <c r="U2001" s="28" t="str" cm="1">
        <f t="array" ref="U2001">_xlfn.IFS(F2001&lt;30000,"30k",F2001&lt;=50000,"30k-50k",F2001&lt;=75000,"50k-75k",F2001&lt;=100000,"75k-100k",F2001&gt;100000,"100k")</f>
        <v>30k-50k</v>
      </c>
      <c r="W2001" s="1">
        <f t="shared" si="63"/>
        <v>13</v>
      </c>
    </row>
    <row r="2002" spans="1:23" x14ac:dyDescent="0.35">
      <c r="A2002">
        <v>1999</v>
      </c>
      <c r="B2002">
        <v>176</v>
      </c>
      <c r="C2002">
        <v>1980</v>
      </c>
      <c r="D2002" s="1" t="s">
        <v>18</v>
      </c>
      <c r="E2002" s="1" t="s">
        <v>11</v>
      </c>
      <c r="F2002">
        <v>67506</v>
      </c>
      <c r="G2002">
        <v>0</v>
      </c>
      <c r="H2002" s="2">
        <v>1</v>
      </c>
      <c r="I2002" s="2">
        <v>41641</v>
      </c>
      <c r="J2002">
        <v>73</v>
      </c>
      <c r="K2002">
        <f>VLOOKUP(B2002,purchase_dataset!$B$2:$F$2241,2,FALSE)</f>
        <v>38</v>
      </c>
      <c r="L2002">
        <f>VLOOKUP(B2002,purchase_dataset!$B$2:$F$2241,3,FALSE)</f>
        <v>36</v>
      </c>
      <c r="M2002">
        <f>VLOOKUP(B2002,purchase_dataset!$B$2:$F$2241,3,FALSE)</f>
        <v>36</v>
      </c>
      <c r="N2002">
        <f>VLOOKUP(B2002,purchase_dataset!$B$2:$F$2241,5,FALSE)</f>
        <v>6</v>
      </c>
      <c r="O2002" s="5">
        <v>46</v>
      </c>
      <c r="P2002" s="4" t="str">
        <f t="shared" si="62"/>
        <v>30-50</v>
      </c>
      <c r="Q2002" s="4">
        <f>M2002+N2002</f>
        <v>42</v>
      </c>
      <c r="U2002" s="28" t="str" cm="1">
        <f t="array" ref="U2002">_xlfn.IFS(F2002&lt;30000,"30k",F2002&lt;=50000,"30k-50k",F2002&lt;=75000,"50k-75k",F2002&lt;=100000,"75k-100k",F2002&gt;100000,"100k")</f>
        <v>50k-75k</v>
      </c>
      <c r="W2002" s="1">
        <f t="shared" si="63"/>
        <v>12</v>
      </c>
    </row>
    <row r="2003" spans="1:23" x14ac:dyDescent="0.35">
      <c r="A2003">
        <v>2000</v>
      </c>
      <c r="B2003">
        <v>4860</v>
      </c>
      <c r="C2003">
        <v>1970</v>
      </c>
      <c r="D2003" s="1" t="s">
        <v>10</v>
      </c>
      <c r="E2003" s="1" t="s">
        <v>11</v>
      </c>
      <c r="F2003">
        <v>24206</v>
      </c>
      <c r="G2003">
        <v>1</v>
      </c>
      <c r="H2003" s="2">
        <v>0</v>
      </c>
      <c r="I2003" s="2">
        <v>41341</v>
      </c>
      <c r="J2003">
        <v>66</v>
      </c>
      <c r="K2003">
        <f>VLOOKUP(B2003,purchase_dataset!$B$2:$F$2241,2,FALSE)</f>
        <v>2</v>
      </c>
      <c r="L2003">
        <f>VLOOKUP(B2003,purchase_dataset!$B$2:$F$2241,3,FALSE)</f>
        <v>2</v>
      </c>
      <c r="M2003">
        <f>VLOOKUP(B2003,purchase_dataset!$B$2:$F$2241,3,FALSE)</f>
        <v>2</v>
      </c>
      <c r="N2003">
        <f>VLOOKUP(B2003,purchase_dataset!$B$2:$F$2241,5,FALSE)</f>
        <v>3</v>
      </c>
      <c r="O2003" s="5">
        <v>56</v>
      </c>
      <c r="P2003" s="4" t="str">
        <f t="shared" si="62"/>
        <v>&gt;50</v>
      </c>
      <c r="Q2003" s="4">
        <f>M2003+N2003</f>
        <v>5</v>
      </c>
      <c r="U2003" s="28" t="str" cm="1">
        <f t="array" ref="U2003">_xlfn.IFS(F2003&lt;30000,"30k",F2003&lt;=50000,"30k-50k",F2003&lt;=75000,"50k-75k",F2003&lt;=100000,"75k-100k",F2003&gt;100000,"100k")</f>
        <v>30k</v>
      </c>
      <c r="W2003" s="1">
        <f t="shared" si="63"/>
        <v>13</v>
      </c>
    </row>
    <row r="2004" spans="1:23" x14ac:dyDescent="0.35">
      <c r="A2004">
        <v>2001</v>
      </c>
      <c r="B2004">
        <v>10757</v>
      </c>
      <c r="C2004">
        <v>1967</v>
      </c>
      <c r="D2004" s="1" t="s">
        <v>13</v>
      </c>
      <c r="E2004" s="1" t="s">
        <v>16</v>
      </c>
      <c r="F2004">
        <v>28420</v>
      </c>
      <c r="G2004">
        <v>1</v>
      </c>
      <c r="H2004" s="2">
        <v>0</v>
      </c>
      <c r="I2004" s="2">
        <v>41632</v>
      </c>
      <c r="J2004">
        <v>36</v>
      </c>
      <c r="K2004">
        <f>VLOOKUP(B2004,purchase_dataset!$B$2:$F$2241,2,FALSE)</f>
        <v>2</v>
      </c>
      <c r="L2004">
        <f>VLOOKUP(B2004,purchase_dataset!$B$2:$F$2241,3,FALSE)</f>
        <v>0</v>
      </c>
      <c r="M2004">
        <f>VLOOKUP(B2004,purchase_dataset!$B$2:$F$2241,3,FALSE)</f>
        <v>0</v>
      </c>
      <c r="N2004">
        <f>VLOOKUP(B2004,purchase_dataset!$B$2:$F$2241,5,FALSE)</f>
        <v>2</v>
      </c>
      <c r="O2004" s="5">
        <v>59</v>
      </c>
      <c r="P2004" s="4" t="str">
        <f t="shared" si="62"/>
        <v>&gt;50</v>
      </c>
      <c r="Q2004" s="4">
        <f>M2004+N2004</f>
        <v>2</v>
      </c>
      <c r="U2004" s="28" t="str" cm="1">
        <f t="array" ref="U2004">_xlfn.IFS(F2004&lt;30000,"30k",F2004&lt;=50000,"30k-50k",F2004&lt;=75000,"50k-75k",F2004&lt;=100000,"75k-100k",F2004&gt;100000,"100k")</f>
        <v>30k</v>
      </c>
      <c r="W2004" s="1">
        <f t="shared" si="63"/>
        <v>13</v>
      </c>
    </row>
    <row r="2005" spans="1:23" x14ac:dyDescent="0.35">
      <c r="A2005">
        <v>2002</v>
      </c>
      <c r="B2005">
        <v>4023</v>
      </c>
      <c r="C2005">
        <v>1970</v>
      </c>
      <c r="D2005" s="1" t="s">
        <v>10</v>
      </c>
      <c r="E2005" s="1" t="s">
        <v>14</v>
      </c>
      <c r="F2005">
        <v>22979</v>
      </c>
      <c r="G2005">
        <v>1</v>
      </c>
      <c r="H2005" s="2">
        <v>0</v>
      </c>
      <c r="I2005" s="2">
        <v>41158</v>
      </c>
      <c r="J2005">
        <v>29</v>
      </c>
      <c r="K2005">
        <f>VLOOKUP(B2005,purchase_dataset!$B$2:$F$2241,2,FALSE)</f>
        <v>17</v>
      </c>
      <c r="L2005">
        <f>VLOOKUP(B2005,purchase_dataset!$B$2:$F$2241,3,FALSE)</f>
        <v>21</v>
      </c>
      <c r="M2005">
        <f>VLOOKUP(B2005,purchase_dataset!$B$2:$F$2241,3,FALSE)</f>
        <v>21</v>
      </c>
      <c r="N2005">
        <f>VLOOKUP(B2005,purchase_dataset!$B$2:$F$2241,5,FALSE)</f>
        <v>2</v>
      </c>
      <c r="O2005" s="5">
        <v>56</v>
      </c>
      <c r="P2005" s="4" t="str">
        <f t="shared" si="62"/>
        <v>&gt;50</v>
      </c>
      <c r="Q2005" s="4">
        <f>M2005+N2005</f>
        <v>23</v>
      </c>
      <c r="U2005" s="28" t="str" cm="1">
        <f t="array" ref="U2005">_xlfn.IFS(F2005&lt;30000,"30k",F2005&lt;=50000,"30k-50k",F2005&lt;=75000,"50k-75k",F2005&lt;=100000,"75k-100k",F2005&gt;100000,"100k")</f>
        <v>30k</v>
      </c>
      <c r="W2005" s="1">
        <f t="shared" si="63"/>
        <v>14</v>
      </c>
    </row>
    <row r="2006" spans="1:23" x14ac:dyDescent="0.35">
      <c r="A2006">
        <v>2003</v>
      </c>
      <c r="B2006">
        <v>6679</v>
      </c>
      <c r="C2006">
        <v>1966</v>
      </c>
      <c r="D2006" s="1" t="s">
        <v>10</v>
      </c>
      <c r="E2006" s="1" t="s">
        <v>11</v>
      </c>
      <c r="F2006">
        <v>33279</v>
      </c>
      <c r="G2006">
        <v>0</v>
      </c>
      <c r="H2006" s="2">
        <v>0</v>
      </c>
      <c r="I2006" s="2">
        <v>41802</v>
      </c>
      <c r="J2006">
        <v>29</v>
      </c>
      <c r="K2006">
        <f>VLOOKUP(B2006,purchase_dataset!$B$2:$F$2241,2,FALSE)</f>
        <v>3</v>
      </c>
      <c r="L2006">
        <f>VLOOKUP(B2006,purchase_dataset!$B$2:$F$2241,3,FALSE)</f>
        <v>0</v>
      </c>
      <c r="M2006">
        <f>VLOOKUP(B2006,purchase_dataset!$B$2:$F$2241,3,FALSE)</f>
        <v>0</v>
      </c>
      <c r="N2006">
        <f>VLOOKUP(B2006,purchase_dataset!$B$2:$F$2241,5,FALSE)</f>
        <v>3</v>
      </c>
      <c r="O2006" s="5">
        <v>60</v>
      </c>
      <c r="P2006" s="4" t="str">
        <f t="shared" si="62"/>
        <v>&gt;50</v>
      </c>
      <c r="Q2006" s="4">
        <f>M2006+N2006</f>
        <v>3</v>
      </c>
      <c r="U2006" s="28" t="str" cm="1">
        <f t="array" ref="U2006">_xlfn.IFS(F2006&lt;30000,"30k",F2006&lt;=50000,"30k-50k",F2006&lt;=75000,"50k-75k",F2006&lt;=100000,"75k-100k",F2006&gt;100000,"100k")</f>
        <v>30k-50k</v>
      </c>
      <c r="W2006" s="1">
        <f t="shared" si="63"/>
        <v>12</v>
      </c>
    </row>
    <row r="2007" spans="1:23" x14ac:dyDescent="0.35">
      <c r="A2007">
        <v>2004</v>
      </c>
      <c r="B2007">
        <v>9923</v>
      </c>
      <c r="C2007">
        <v>1972</v>
      </c>
      <c r="D2007" s="1" t="s">
        <v>15</v>
      </c>
      <c r="E2007" s="1" t="s">
        <v>11</v>
      </c>
      <c r="F2007">
        <v>46423</v>
      </c>
      <c r="G2007">
        <v>1</v>
      </c>
      <c r="H2007" s="2">
        <v>1</v>
      </c>
      <c r="I2007" s="2">
        <v>41535</v>
      </c>
      <c r="J2007">
        <v>6</v>
      </c>
      <c r="K2007">
        <f>VLOOKUP(B2007,purchase_dataset!$B$2:$F$2241,2,FALSE)</f>
        <v>0</v>
      </c>
      <c r="L2007">
        <f>VLOOKUP(B2007,purchase_dataset!$B$2:$F$2241,3,FALSE)</f>
        <v>0</v>
      </c>
      <c r="M2007">
        <f>VLOOKUP(B2007,purchase_dataset!$B$2:$F$2241,3,FALSE)</f>
        <v>0</v>
      </c>
      <c r="N2007">
        <f>VLOOKUP(B2007,purchase_dataset!$B$2:$F$2241,5,FALSE)</f>
        <v>4</v>
      </c>
      <c r="O2007" s="5">
        <v>54</v>
      </c>
      <c r="P2007" s="4" t="str">
        <f t="shared" si="62"/>
        <v>&gt;50</v>
      </c>
      <c r="Q2007" s="4">
        <f>M2007+N2007</f>
        <v>4</v>
      </c>
      <c r="U2007" s="28" t="str" cm="1">
        <f t="array" ref="U2007">_xlfn.IFS(F2007&lt;30000,"30k",F2007&lt;=50000,"30k-50k",F2007&lt;=75000,"50k-75k",F2007&lt;=100000,"75k-100k",F2007&gt;100000,"100k")</f>
        <v>30k-50k</v>
      </c>
      <c r="W2007" s="1">
        <f t="shared" si="63"/>
        <v>13</v>
      </c>
    </row>
    <row r="2008" spans="1:23" x14ac:dyDescent="0.35">
      <c r="A2008">
        <v>2005</v>
      </c>
      <c r="B2008">
        <v>7181</v>
      </c>
      <c r="C2008">
        <v>1977</v>
      </c>
      <c r="D2008" s="1" t="s">
        <v>10</v>
      </c>
      <c r="E2008" s="1" t="s">
        <v>14</v>
      </c>
      <c r="F2008">
        <v>30368</v>
      </c>
      <c r="G2008">
        <v>0</v>
      </c>
      <c r="H2008" s="2">
        <v>1</v>
      </c>
      <c r="I2008" s="2">
        <v>41585</v>
      </c>
      <c r="J2008">
        <v>97</v>
      </c>
      <c r="K2008">
        <f>VLOOKUP(B2008,purchase_dataset!$B$2:$F$2241,2,FALSE)</f>
        <v>0</v>
      </c>
      <c r="L2008">
        <f>VLOOKUP(B2008,purchase_dataset!$B$2:$F$2241,3,FALSE)</f>
        <v>0</v>
      </c>
      <c r="M2008">
        <f>VLOOKUP(B2008,purchase_dataset!$B$2:$F$2241,3,FALSE)</f>
        <v>0</v>
      </c>
      <c r="N2008">
        <f>VLOOKUP(B2008,purchase_dataset!$B$2:$F$2241,5,FALSE)</f>
        <v>3</v>
      </c>
      <c r="O2008" s="5">
        <v>49</v>
      </c>
      <c r="P2008" s="4" t="str">
        <f t="shared" si="62"/>
        <v>30-50</v>
      </c>
      <c r="Q2008" s="4">
        <f>M2008+N2008</f>
        <v>3</v>
      </c>
      <c r="U2008" s="28" t="str" cm="1">
        <f t="array" ref="U2008">_xlfn.IFS(F2008&lt;30000,"30k",F2008&lt;=50000,"30k-50k",F2008&lt;=75000,"50k-75k",F2008&lt;=100000,"75k-100k",F2008&gt;100000,"100k")</f>
        <v>30k-50k</v>
      </c>
      <c r="W2008" s="1">
        <f t="shared" si="63"/>
        <v>13</v>
      </c>
    </row>
    <row r="2009" spans="1:23" x14ac:dyDescent="0.35">
      <c r="A2009">
        <v>2006</v>
      </c>
      <c r="B2009">
        <v>3599</v>
      </c>
      <c r="C2009">
        <v>1970</v>
      </c>
      <c r="D2009" s="1" t="s">
        <v>10</v>
      </c>
      <c r="E2009" s="1" t="s">
        <v>14</v>
      </c>
      <c r="F2009">
        <v>63684</v>
      </c>
      <c r="G2009">
        <v>0</v>
      </c>
      <c r="H2009" s="2">
        <v>1</v>
      </c>
      <c r="I2009" s="2">
        <v>41239</v>
      </c>
      <c r="J2009">
        <v>61</v>
      </c>
      <c r="K2009">
        <f>VLOOKUP(B2009,purchase_dataset!$B$2:$F$2241,2,FALSE)</f>
        <v>80</v>
      </c>
      <c r="L2009">
        <f>VLOOKUP(B2009,purchase_dataset!$B$2:$F$2241,3,FALSE)</f>
        <v>93</v>
      </c>
      <c r="M2009">
        <f>VLOOKUP(B2009,purchase_dataset!$B$2:$F$2241,3,FALSE)</f>
        <v>93</v>
      </c>
      <c r="N2009">
        <f>VLOOKUP(B2009,purchase_dataset!$B$2:$F$2241,5,FALSE)</f>
        <v>8</v>
      </c>
      <c r="O2009" s="5">
        <v>56</v>
      </c>
      <c r="P2009" s="4" t="str">
        <f t="shared" si="62"/>
        <v>&gt;50</v>
      </c>
      <c r="Q2009" s="4">
        <f>M2009+N2009</f>
        <v>101</v>
      </c>
      <c r="U2009" s="28" t="str" cm="1">
        <f t="array" ref="U2009">_xlfn.IFS(F2009&lt;30000,"30k",F2009&lt;=50000,"30k-50k",F2009&lt;=75000,"50k-75k",F2009&lt;=100000,"75k-100k",F2009&gt;100000,"100k")</f>
        <v>50k-75k</v>
      </c>
      <c r="W2009" s="1">
        <f t="shared" si="63"/>
        <v>14</v>
      </c>
    </row>
    <row r="2010" spans="1:23" x14ac:dyDescent="0.35">
      <c r="A2010">
        <v>2007</v>
      </c>
      <c r="B2010">
        <v>405</v>
      </c>
      <c r="C2010">
        <v>1964</v>
      </c>
      <c r="D2010" s="1" t="s">
        <v>10</v>
      </c>
      <c r="E2010" s="1" t="s">
        <v>16</v>
      </c>
      <c r="F2010">
        <v>41638</v>
      </c>
      <c r="G2010">
        <v>0</v>
      </c>
      <c r="H2010" s="2">
        <v>1</v>
      </c>
      <c r="I2010" s="2">
        <v>41318</v>
      </c>
      <c r="J2010">
        <v>68</v>
      </c>
      <c r="K2010">
        <f>VLOOKUP(B2010,purchase_dataset!$B$2:$F$2241,2,FALSE)</f>
        <v>0</v>
      </c>
      <c r="L2010">
        <f>VLOOKUP(B2010,purchase_dataset!$B$2:$F$2241,3,FALSE)</f>
        <v>0</v>
      </c>
      <c r="M2010">
        <f>VLOOKUP(B2010,purchase_dataset!$B$2:$F$2241,3,FALSE)</f>
        <v>0</v>
      </c>
      <c r="N2010">
        <f>VLOOKUP(B2010,purchase_dataset!$B$2:$F$2241,5,FALSE)</f>
        <v>3</v>
      </c>
      <c r="O2010" s="5">
        <v>62</v>
      </c>
      <c r="P2010" s="4" t="str">
        <f t="shared" si="62"/>
        <v>&gt;50</v>
      </c>
      <c r="Q2010" s="4">
        <f>M2010+N2010</f>
        <v>3</v>
      </c>
      <c r="U2010" s="28" t="str" cm="1">
        <f t="array" ref="U2010">_xlfn.IFS(F2010&lt;30000,"30k",F2010&lt;=50000,"30k-50k",F2010&lt;=75000,"50k-75k",F2010&lt;=100000,"75k-100k",F2010&gt;100000,"100k")</f>
        <v>30k-50k</v>
      </c>
      <c r="W2010" s="1">
        <f t="shared" si="63"/>
        <v>13</v>
      </c>
    </row>
    <row r="2011" spans="1:23" x14ac:dyDescent="0.35">
      <c r="A2011">
        <v>2008</v>
      </c>
      <c r="B2011">
        <v>6870</v>
      </c>
      <c r="C2011">
        <v>1959</v>
      </c>
      <c r="D2011" s="1" t="s">
        <v>13</v>
      </c>
      <c r="E2011" s="1" t="s">
        <v>16</v>
      </c>
      <c r="F2011">
        <v>68805</v>
      </c>
      <c r="G2011">
        <v>0</v>
      </c>
      <c r="H2011" s="2">
        <v>1</v>
      </c>
      <c r="I2011" s="2">
        <v>41534</v>
      </c>
      <c r="J2011">
        <v>73</v>
      </c>
      <c r="K2011">
        <f>VLOOKUP(B2011,purchase_dataset!$B$2:$F$2241,2,FALSE)</f>
        <v>2</v>
      </c>
      <c r="L2011">
        <f>VLOOKUP(B2011,purchase_dataset!$B$2:$F$2241,3,FALSE)</f>
        <v>13</v>
      </c>
      <c r="M2011">
        <f>VLOOKUP(B2011,purchase_dataset!$B$2:$F$2241,3,FALSE)</f>
        <v>13</v>
      </c>
      <c r="N2011">
        <f>VLOOKUP(B2011,purchase_dataset!$B$2:$F$2241,5,FALSE)</f>
        <v>7</v>
      </c>
      <c r="O2011" s="5">
        <v>67</v>
      </c>
      <c r="P2011" s="4" t="str">
        <f t="shared" si="62"/>
        <v>&gt;50</v>
      </c>
      <c r="Q2011" s="4">
        <f>M2011+N2011</f>
        <v>20</v>
      </c>
      <c r="U2011" s="28" t="str" cm="1">
        <f t="array" ref="U2011">_xlfn.IFS(F2011&lt;30000,"30k",F2011&lt;=50000,"30k-50k",F2011&lt;=75000,"50k-75k",F2011&lt;=100000,"75k-100k",F2011&gt;100000,"100k")</f>
        <v>50k-75k</v>
      </c>
      <c r="W2011" s="1">
        <f t="shared" si="63"/>
        <v>13</v>
      </c>
    </row>
    <row r="2012" spans="1:23" x14ac:dyDescent="0.35">
      <c r="A2012">
        <v>2009</v>
      </c>
      <c r="B2012">
        <v>832</v>
      </c>
      <c r="C2012">
        <v>1966</v>
      </c>
      <c r="D2012" s="1" t="s">
        <v>13</v>
      </c>
      <c r="E2012" s="1" t="s">
        <v>12</v>
      </c>
      <c r="F2012">
        <v>65814</v>
      </c>
      <c r="G2012">
        <v>0</v>
      </c>
      <c r="H2012" s="2">
        <v>1</v>
      </c>
      <c r="I2012" s="2">
        <v>41700</v>
      </c>
      <c r="J2012">
        <v>90</v>
      </c>
      <c r="K2012">
        <f>VLOOKUP(B2012,purchase_dataset!$B$2:$F$2241,2,FALSE)</f>
        <v>14</v>
      </c>
      <c r="L2012">
        <f>VLOOKUP(B2012,purchase_dataset!$B$2:$F$2241,3,FALSE)</f>
        <v>14</v>
      </c>
      <c r="M2012">
        <f>VLOOKUP(B2012,purchase_dataset!$B$2:$F$2241,3,FALSE)</f>
        <v>14</v>
      </c>
      <c r="N2012">
        <f>VLOOKUP(B2012,purchase_dataset!$B$2:$F$2241,5,FALSE)</f>
        <v>10</v>
      </c>
      <c r="O2012" s="5">
        <v>60</v>
      </c>
      <c r="P2012" s="4" t="str">
        <f t="shared" si="62"/>
        <v>&gt;50</v>
      </c>
      <c r="Q2012" s="4">
        <f>M2012+N2012</f>
        <v>24</v>
      </c>
      <c r="U2012" s="28" t="str" cm="1">
        <f t="array" ref="U2012">_xlfn.IFS(F2012&lt;30000,"30k",F2012&lt;=50000,"30k-50k",F2012&lt;=75000,"50k-75k",F2012&lt;=100000,"75k-100k",F2012&gt;100000,"100k")</f>
        <v>50k-75k</v>
      </c>
      <c r="W2012" s="1">
        <f t="shared" si="63"/>
        <v>12</v>
      </c>
    </row>
    <row r="2013" spans="1:23" x14ac:dyDescent="0.35">
      <c r="A2013">
        <v>2010</v>
      </c>
      <c r="B2013">
        <v>2002</v>
      </c>
      <c r="C2013">
        <v>1958</v>
      </c>
      <c r="D2013" s="1" t="s">
        <v>10</v>
      </c>
      <c r="E2013" s="1" t="s">
        <v>16</v>
      </c>
      <c r="F2013">
        <v>71964</v>
      </c>
      <c r="G2013">
        <v>0</v>
      </c>
      <c r="H2013" s="2">
        <v>0</v>
      </c>
      <c r="I2013" s="2">
        <v>41414</v>
      </c>
      <c r="J2013">
        <v>81</v>
      </c>
      <c r="K2013">
        <f>VLOOKUP(B2013,purchase_dataset!$B$2:$F$2241,2,FALSE)</f>
        <v>51</v>
      </c>
      <c r="L2013">
        <f>VLOOKUP(B2013,purchase_dataset!$B$2:$F$2241,3,FALSE)</f>
        <v>34</v>
      </c>
      <c r="M2013">
        <f>VLOOKUP(B2013,purchase_dataset!$B$2:$F$2241,3,FALSE)</f>
        <v>34</v>
      </c>
      <c r="N2013">
        <f>VLOOKUP(B2013,purchase_dataset!$B$2:$F$2241,5,FALSE)</f>
        <v>5</v>
      </c>
      <c r="O2013" s="5">
        <v>68</v>
      </c>
      <c r="P2013" s="4" t="str">
        <f t="shared" si="62"/>
        <v>&gt;50</v>
      </c>
      <c r="Q2013" s="4">
        <f>M2013+N2013</f>
        <v>39</v>
      </c>
      <c r="U2013" s="28" t="str" cm="1">
        <f t="array" ref="U2013">_xlfn.IFS(F2013&lt;30000,"30k",F2013&lt;=50000,"30k-50k",F2013&lt;=75000,"50k-75k",F2013&lt;=100000,"75k-100k",F2013&gt;100000,"100k")</f>
        <v>50k-75k</v>
      </c>
      <c r="W2013" s="1">
        <f t="shared" si="63"/>
        <v>13</v>
      </c>
    </row>
    <row r="2014" spans="1:23" x14ac:dyDescent="0.35">
      <c r="A2014">
        <v>2011</v>
      </c>
      <c r="B2014">
        <v>3657</v>
      </c>
      <c r="C2014">
        <v>1986</v>
      </c>
      <c r="D2014" s="1" t="s">
        <v>10</v>
      </c>
      <c r="E2014" s="1" t="s">
        <v>11</v>
      </c>
      <c r="F2014">
        <v>39146</v>
      </c>
      <c r="G2014">
        <v>1</v>
      </c>
      <c r="H2014" s="2">
        <v>0</v>
      </c>
      <c r="I2014" s="2">
        <v>41319</v>
      </c>
      <c r="J2014">
        <v>1</v>
      </c>
      <c r="K2014">
        <f>VLOOKUP(B2014,purchase_dataset!$B$2:$F$2241,2,FALSE)</f>
        <v>1</v>
      </c>
      <c r="L2014">
        <f>VLOOKUP(B2014,purchase_dataset!$B$2:$F$2241,3,FALSE)</f>
        <v>12</v>
      </c>
      <c r="M2014">
        <f>VLOOKUP(B2014,purchase_dataset!$B$2:$F$2241,3,FALSE)</f>
        <v>12</v>
      </c>
      <c r="N2014">
        <f>VLOOKUP(B2014,purchase_dataset!$B$2:$F$2241,5,FALSE)</f>
        <v>4</v>
      </c>
      <c r="O2014" s="5">
        <v>40</v>
      </c>
      <c r="P2014" s="4" t="str">
        <f t="shared" si="62"/>
        <v>30-50</v>
      </c>
      <c r="Q2014" s="4">
        <f>M2014+N2014</f>
        <v>16</v>
      </c>
      <c r="U2014" s="28" t="str" cm="1">
        <f t="array" ref="U2014">_xlfn.IFS(F2014&lt;30000,"30k",F2014&lt;=50000,"30k-50k",F2014&lt;=75000,"50k-75k",F2014&lt;=100000,"75k-100k",F2014&gt;100000,"100k")</f>
        <v>30k-50k</v>
      </c>
      <c r="W2014" s="1">
        <f t="shared" si="63"/>
        <v>13</v>
      </c>
    </row>
    <row r="2015" spans="1:23" x14ac:dyDescent="0.35">
      <c r="A2015">
        <v>2012</v>
      </c>
      <c r="B2015">
        <v>500</v>
      </c>
      <c r="C2015">
        <v>1977</v>
      </c>
      <c r="D2015" s="1" t="s">
        <v>10</v>
      </c>
      <c r="E2015" s="1" t="s">
        <v>12</v>
      </c>
      <c r="F2015">
        <v>96876</v>
      </c>
      <c r="G2015">
        <v>0</v>
      </c>
      <c r="H2015" s="2">
        <v>0</v>
      </c>
      <c r="I2015" s="2">
        <v>41492</v>
      </c>
      <c r="J2015">
        <v>79</v>
      </c>
      <c r="K2015">
        <f>VLOOKUP(B2015,purchase_dataset!$B$2:$F$2241,2,FALSE)</f>
        <v>43</v>
      </c>
      <c r="L2015">
        <f>VLOOKUP(B2015,purchase_dataset!$B$2:$F$2241,3,FALSE)</f>
        <v>194</v>
      </c>
      <c r="M2015">
        <f>VLOOKUP(B2015,purchase_dataset!$B$2:$F$2241,3,FALSE)</f>
        <v>194</v>
      </c>
      <c r="N2015">
        <f>VLOOKUP(B2015,purchase_dataset!$B$2:$F$2241,5,FALSE)</f>
        <v>9</v>
      </c>
      <c r="O2015" s="5">
        <v>49</v>
      </c>
      <c r="P2015" s="4" t="str">
        <f t="shared" si="62"/>
        <v>30-50</v>
      </c>
      <c r="Q2015" s="4">
        <f>M2015+N2015</f>
        <v>203</v>
      </c>
      <c r="U2015" s="28" t="str" cm="1">
        <f t="array" ref="U2015">_xlfn.IFS(F2015&lt;30000,"30k",F2015&lt;=50000,"30k-50k",F2015&lt;=75000,"50k-75k",F2015&lt;=100000,"75k-100k",F2015&gt;100000,"100k")</f>
        <v>75k-100k</v>
      </c>
      <c r="W2015" s="1">
        <f t="shared" si="63"/>
        <v>13</v>
      </c>
    </row>
    <row r="2016" spans="1:23" x14ac:dyDescent="0.35">
      <c r="A2016">
        <v>2013</v>
      </c>
      <c r="B2016">
        <v>1951</v>
      </c>
      <c r="C2016">
        <v>1981</v>
      </c>
      <c r="D2016" s="1" t="s">
        <v>17</v>
      </c>
      <c r="E2016" s="1" t="s">
        <v>14</v>
      </c>
      <c r="F2016">
        <v>34445</v>
      </c>
      <c r="G2016">
        <v>0</v>
      </c>
      <c r="H2016" s="2">
        <v>0</v>
      </c>
      <c r="I2016" s="2">
        <v>41301</v>
      </c>
      <c r="J2016">
        <v>92</v>
      </c>
      <c r="K2016">
        <f>VLOOKUP(B2016,purchase_dataset!$B$2:$F$2241,2,FALSE)</f>
        <v>122</v>
      </c>
      <c r="L2016">
        <f>VLOOKUP(B2016,purchase_dataset!$B$2:$F$2241,3,FALSE)</f>
        <v>129</v>
      </c>
      <c r="M2016">
        <f>VLOOKUP(B2016,purchase_dataset!$B$2:$F$2241,3,FALSE)</f>
        <v>129</v>
      </c>
      <c r="N2016">
        <f>VLOOKUP(B2016,purchase_dataset!$B$2:$F$2241,5,FALSE)</f>
        <v>8</v>
      </c>
      <c r="O2016" s="5">
        <v>45</v>
      </c>
      <c r="P2016" s="4" t="str">
        <f t="shared" si="62"/>
        <v>30-50</v>
      </c>
      <c r="Q2016" s="4">
        <f>M2016+N2016</f>
        <v>137</v>
      </c>
      <c r="U2016" s="28" t="str" cm="1">
        <f t="array" ref="U2016">_xlfn.IFS(F2016&lt;30000,"30k",F2016&lt;=50000,"30k-50k",F2016&lt;=75000,"50k-75k",F2016&lt;=100000,"75k-100k",F2016&gt;100000,"100k")</f>
        <v>30k-50k</v>
      </c>
      <c r="W2016" s="1">
        <f t="shared" si="63"/>
        <v>13</v>
      </c>
    </row>
    <row r="2017" spans="1:23" x14ac:dyDescent="0.35">
      <c r="A2017">
        <v>2014</v>
      </c>
      <c r="B2017">
        <v>3262</v>
      </c>
      <c r="C2017">
        <v>1958</v>
      </c>
      <c r="D2017" s="1" t="s">
        <v>10</v>
      </c>
      <c r="E2017" s="1" t="s">
        <v>11</v>
      </c>
      <c r="F2017">
        <v>68281</v>
      </c>
      <c r="G2017">
        <v>0</v>
      </c>
      <c r="H2017" s="2">
        <v>0</v>
      </c>
      <c r="I2017" s="2">
        <v>41128</v>
      </c>
      <c r="J2017">
        <v>31</v>
      </c>
      <c r="K2017">
        <f>VLOOKUP(B2017,purchase_dataset!$B$2:$F$2241,2,FALSE)</f>
        <v>112</v>
      </c>
      <c r="L2017">
        <f>VLOOKUP(B2017,purchase_dataset!$B$2:$F$2241,3,FALSE)</f>
        <v>48</v>
      </c>
      <c r="M2017">
        <f>VLOOKUP(B2017,purchase_dataset!$B$2:$F$2241,3,FALSE)</f>
        <v>48</v>
      </c>
      <c r="N2017">
        <f>VLOOKUP(B2017,purchase_dataset!$B$2:$F$2241,5,FALSE)</f>
        <v>13</v>
      </c>
      <c r="O2017" s="5">
        <v>68</v>
      </c>
      <c r="P2017" s="4" t="str">
        <f t="shared" si="62"/>
        <v>&gt;50</v>
      </c>
      <c r="Q2017" s="4">
        <f>M2017+N2017</f>
        <v>61</v>
      </c>
      <c r="U2017" s="28" t="str" cm="1">
        <f t="array" ref="U2017">_xlfn.IFS(F2017&lt;30000,"30k",F2017&lt;=50000,"30k-50k",F2017&lt;=75000,"50k-75k",F2017&lt;=100000,"75k-100k",F2017&gt;100000,"100k")</f>
        <v>50k-75k</v>
      </c>
      <c r="W2017" s="1">
        <f t="shared" si="63"/>
        <v>14</v>
      </c>
    </row>
    <row r="2018" spans="1:23" x14ac:dyDescent="0.35">
      <c r="A2018">
        <v>2015</v>
      </c>
      <c r="B2018">
        <v>4102</v>
      </c>
      <c r="C2018">
        <v>1975</v>
      </c>
      <c r="D2018" s="1" t="s">
        <v>18</v>
      </c>
      <c r="E2018" s="1" t="s">
        <v>14</v>
      </c>
      <c r="F2018">
        <v>37284</v>
      </c>
      <c r="G2018">
        <v>1</v>
      </c>
      <c r="H2018" s="2">
        <v>1</v>
      </c>
      <c r="I2018" s="2">
        <v>41362</v>
      </c>
      <c r="J2018">
        <v>46</v>
      </c>
      <c r="K2018">
        <f>VLOOKUP(B2018,purchase_dataset!$B$2:$F$2241,2,FALSE)</f>
        <v>1</v>
      </c>
      <c r="L2018">
        <f>VLOOKUP(B2018,purchase_dataset!$B$2:$F$2241,3,FALSE)</f>
        <v>1</v>
      </c>
      <c r="M2018">
        <f>VLOOKUP(B2018,purchase_dataset!$B$2:$F$2241,3,FALSE)</f>
        <v>1</v>
      </c>
      <c r="N2018">
        <f>VLOOKUP(B2018,purchase_dataset!$B$2:$F$2241,5,FALSE)</f>
        <v>3</v>
      </c>
      <c r="O2018" s="5">
        <v>51</v>
      </c>
      <c r="P2018" s="4" t="str">
        <f t="shared" si="62"/>
        <v>&gt;50</v>
      </c>
      <c r="Q2018" s="4">
        <f>M2018+N2018</f>
        <v>4</v>
      </c>
      <c r="U2018" s="28" t="str" cm="1">
        <f t="array" ref="U2018">_xlfn.IFS(F2018&lt;30000,"30k",F2018&lt;=50000,"30k-50k",F2018&lt;=75000,"50k-75k",F2018&lt;=100000,"75k-100k",F2018&gt;100000,"100k")</f>
        <v>30k-50k</v>
      </c>
      <c r="W2018" s="1">
        <f t="shared" si="63"/>
        <v>13</v>
      </c>
    </row>
    <row r="2019" spans="1:23" x14ac:dyDescent="0.35">
      <c r="A2019">
        <v>2016</v>
      </c>
      <c r="B2019">
        <v>7042</v>
      </c>
      <c r="C2019">
        <v>1983</v>
      </c>
      <c r="D2019" s="1" t="s">
        <v>10</v>
      </c>
      <c r="E2019" s="1" t="s">
        <v>14</v>
      </c>
      <c r="F2019">
        <v>36790</v>
      </c>
      <c r="G2019">
        <v>0</v>
      </c>
      <c r="H2019" s="2">
        <v>0</v>
      </c>
      <c r="I2019" s="2">
        <v>41334</v>
      </c>
      <c r="J2019">
        <v>14</v>
      </c>
      <c r="K2019">
        <f>VLOOKUP(B2019,purchase_dataset!$B$2:$F$2241,2,FALSE)</f>
        <v>3</v>
      </c>
      <c r="L2019">
        <f>VLOOKUP(B2019,purchase_dataset!$B$2:$F$2241,3,FALSE)</f>
        <v>21</v>
      </c>
      <c r="M2019">
        <f>VLOOKUP(B2019,purchase_dataset!$B$2:$F$2241,3,FALSE)</f>
        <v>21</v>
      </c>
      <c r="N2019">
        <f>VLOOKUP(B2019,purchase_dataset!$B$2:$F$2241,5,FALSE)</f>
        <v>2</v>
      </c>
      <c r="O2019" s="5">
        <v>43</v>
      </c>
      <c r="P2019" s="4" t="str">
        <f t="shared" si="62"/>
        <v>30-50</v>
      </c>
      <c r="Q2019" s="4">
        <f>M2019+N2019</f>
        <v>23</v>
      </c>
      <c r="U2019" s="28" t="str" cm="1">
        <f t="array" ref="U2019">_xlfn.IFS(F2019&lt;30000,"30k",F2019&lt;=50000,"30k-50k",F2019&lt;=75000,"50k-75k",F2019&lt;=100000,"75k-100k",F2019&gt;100000,"100k")</f>
        <v>30k-50k</v>
      </c>
      <c r="W2019" s="1">
        <f t="shared" si="63"/>
        <v>13</v>
      </c>
    </row>
    <row r="2020" spans="1:23" x14ac:dyDescent="0.35">
      <c r="A2020">
        <v>2017</v>
      </c>
      <c r="B2020">
        <v>10598</v>
      </c>
      <c r="C2020">
        <v>1967</v>
      </c>
      <c r="D2020" s="1" t="s">
        <v>10</v>
      </c>
      <c r="E2020" s="1" t="s">
        <v>12</v>
      </c>
      <c r="F2020">
        <v>27943</v>
      </c>
      <c r="G2020">
        <v>1</v>
      </c>
      <c r="H2020" s="2">
        <v>1</v>
      </c>
      <c r="I2020" s="2">
        <v>41379</v>
      </c>
      <c r="J2020">
        <v>89</v>
      </c>
      <c r="K2020">
        <f>VLOOKUP(B2020,purchase_dataset!$B$2:$F$2241,2,FALSE)</f>
        <v>1</v>
      </c>
      <c r="L2020">
        <f>VLOOKUP(B2020,purchase_dataset!$B$2:$F$2241,3,FALSE)</f>
        <v>1</v>
      </c>
      <c r="M2020">
        <f>VLOOKUP(B2020,purchase_dataset!$B$2:$F$2241,3,FALSE)</f>
        <v>1</v>
      </c>
      <c r="N2020">
        <f>VLOOKUP(B2020,purchase_dataset!$B$2:$F$2241,5,FALSE)</f>
        <v>3</v>
      </c>
      <c r="O2020" s="5">
        <v>59</v>
      </c>
      <c r="P2020" s="4" t="str">
        <f t="shared" si="62"/>
        <v>&gt;50</v>
      </c>
      <c r="Q2020" s="4">
        <f>M2020+N2020</f>
        <v>4</v>
      </c>
      <c r="U2020" s="28" t="str" cm="1">
        <f t="array" ref="U2020">_xlfn.IFS(F2020&lt;30000,"30k",F2020&lt;=50000,"30k-50k",F2020&lt;=75000,"50k-75k",F2020&lt;=100000,"75k-100k",F2020&gt;100000,"100k")</f>
        <v>30k</v>
      </c>
      <c r="W2020" s="1">
        <f t="shared" si="63"/>
        <v>13</v>
      </c>
    </row>
    <row r="2021" spans="1:23" x14ac:dyDescent="0.35">
      <c r="A2021">
        <v>2018</v>
      </c>
      <c r="B2021">
        <v>255</v>
      </c>
      <c r="C2021">
        <v>1951</v>
      </c>
      <c r="D2021" s="1" t="s">
        <v>10</v>
      </c>
      <c r="E2021" s="1" t="s">
        <v>16</v>
      </c>
      <c r="F2021">
        <v>22263</v>
      </c>
      <c r="G2021">
        <v>1</v>
      </c>
      <c r="H2021" s="2">
        <v>1</v>
      </c>
      <c r="I2021" s="2">
        <v>41728</v>
      </c>
      <c r="J2021">
        <v>31</v>
      </c>
      <c r="K2021">
        <f>VLOOKUP(B2021,purchase_dataset!$B$2:$F$2241,2,FALSE)</f>
        <v>0</v>
      </c>
      <c r="L2021">
        <f>VLOOKUP(B2021,purchase_dataset!$B$2:$F$2241,3,FALSE)</f>
        <v>0</v>
      </c>
      <c r="M2021">
        <f>VLOOKUP(B2021,purchase_dataset!$B$2:$F$2241,3,FALSE)</f>
        <v>0</v>
      </c>
      <c r="N2021">
        <f>VLOOKUP(B2021,purchase_dataset!$B$2:$F$2241,5,FALSE)</f>
        <v>3</v>
      </c>
      <c r="O2021" s="5">
        <v>75</v>
      </c>
      <c r="P2021" s="4" t="str">
        <f t="shared" si="62"/>
        <v>&gt;50</v>
      </c>
      <c r="Q2021" s="4">
        <f>M2021+N2021</f>
        <v>3</v>
      </c>
      <c r="U2021" s="28" t="str" cm="1">
        <f t="array" ref="U2021">_xlfn.IFS(F2021&lt;30000,"30k",F2021&lt;=50000,"30k-50k",F2021&lt;=75000,"50k-75k",F2021&lt;=100000,"75k-100k",F2021&gt;100000,"100k")</f>
        <v>30k</v>
      </c>
      <c r="W2021" s="1">
        <f t="shared" si="63"/>
        <v>12</v>
      </c>
    </row>
    <row r="2022" spans="1:23" x14ac:dyDescent="0.35">
      <c r="A2022">
        <v>2019</v>
      </c>
      <c r="B2022">
        <v>2375</v>
      </c>
      <c r="C2022">
        <v>1972</v>
      </c>
      <c r="D2022" s="1" t="s">
        <v>10</v>
      </c>
      <c r="E2022" s="1" t="s">
        <v>12</v>
      </c>
      <c r="F2022">
        <v>30261</v>
      </c>
      <c r="G2022">
        <v>1</v>
      </c>
      <c r="H2022" s="2">
        <v>2</v>
      </c>
      <c r="I2022" s="2">
        <v>41177</v>
      </c>
      <c r="J2022">
        <v>75</v>
      </c>
      <c r="K2022">
        <f>VLOOKUP(B2022,purchase_dataset!$B$2:$F$2241,2,FALSE)</f>
        <v>0</v>
      </c>
      <c r="L2022">
        <f>VLOOKUP(B2022,purchase_dataset!$B$2:$F$2241,3,FALSE)</f>
        <v>3</v>
      </c>
      <c r="M2022">
        <f>VLOOKUP(B2022,purchase_dataset!$B$2:$F$2241,3,FALSE)</f>
        <v>3</v>
      </c>
      <c r="N2022">
        <f>VLOOKUP(B2022,purchase_dataset!$B$2:$F$2241,5,FALSE)</f>
        <v>3</v>
      </c>
      <c r="O2022" s="5">
        <v>54</v>
      </c>
      <c r="P2022" s="4" t="str">
        <f t="shared" si="62"/>
        <v>&gt;50</v>
      </c>
      <c r="Q2022" s="4">
        <f>M2022+N2022</f>
        <v>6</v>
      </c>
      <c r="U2022" s="28" t="str" cm="1">
        <f t="array" ref="U2022">_xlfn.IFS(F2022&lt;30000,"30k",F2022&lt;=50000,"30k-50k",F2022&lt;=75000,"50k-75k",F2022&lt;=100000,"75k-100k",F2022&gt;100000,"100k")</f>
        <v>30k-50k</v>
      </c>
      <c r="W2022" s="1">
        <f t="shared" si="63"/>
        <v>14</v>
      </c>
    </row>
    <row r="2023" spans="1:23" x14ac:dyDescent="0.35">
      <c r="A2023">
        <v>2020</v>
      </c>
      <c r="B2023">
        <v>9829</v>
      </c>
      <c r="C2023">
        <v>1978</v>
      </c>
      <c r="D2023" s="1" t="s">
        <v>10</v>
      </c>
      <c r="E2023" s="1" t="s">
        <v>12</v>
      </c>
      <c r="F2023">
        <v>28587</v>
      </c>
      <c r="G2023">
        <v>1</v>
      </c>
      <c r="H2023" s="2">
        <v>0</v>
      </c>
      <c r="I2023" s="2">
        <v>41682</v>
      </c>
      <c r="J2023">
        <v>42</v>
      </c>
      <c r="K2023">
        <f>VLOOKUP(B2023,purchase_dataset!$B$2:$F$2241,2,FALSE)</f>
        <v>4</v>
      </c>
      <c r="L2023">
        <f>VLOOKUP(B2023,purchase_dataset!$B$2:$F$2241,3,FALSE)</f>
        <v>10</v>
      </c>
      <c r="M2023">
        <f>VLOOKUP(B2023,purchase_dataset!$B$2:$F$2241,3,FALSE)</f>
        <v>10</v>
      </c>
      <c r="N2023">
        <f>VLOOKUP(B2023,purchase_dataset!$B$2:$F$2241,5,FALSE)</f>
        <v>4</v>
      </c>
      <c r="O2023" s="5">
        <v>48</v>
      </c>
      <c r="P2023" s="4" t="str">
        <f t="shared" si="62"/>
        <v>30-50</v>
      </c>
      <c r="Q2023" s="4">
        <f>M2023+N2023</f>
        <v>14</v>
      </c>
      <c r="U2023" s="28" t="str" cm="1">
        <f t="array" ref="U2023">_xlfn.IFS(F2023&lt;30000,"30k",F2023&lt;=50000,"30k-50k",F2023&lt;=75000,"50k-75k",F2023&lt;=100000,"75k-100k",F2023&gt;100000,"100k")</f>
        <v>30k</v>
      </c>
      <c r="W2023" s="1">
        <f t="shared" si="63"/>
        <v>12</v>
      </c>
    </row>
    <row r="2024" spans="1:23" x14ac:dyDescent="0.35">
      <c r="A2024">
        <v>2021</v>
      </c>
      <c r="B2024">
        <v>6214</v>
      </c>
      <c r="C2024">
        <v>1982</v>
      </c>
      <c r="D2024" s="1" t="s">
        <v>15</v>
      </c>
      <c r="E2024" s="1" t="s">
        <v>14</v>
      </c>
      <c r="F2024">
        <v>43815</v>
      </c>
      <c r="G2024">
        <v>1</v>
      </c>
      <c r="H2024" s="2">
        <v>0</v>
      </c>
      <c r="I2024" s="2">
        <v>41369</v>
      </c>
      <c r="J2024">
        <v>53</v>
      </c>
      <c r="K2024">
        <f>VLOOKUP(B2024,purchase_dataset!$B$2:$F$2241,2,FALSE)</f>
        <v>10</v>
      </c>
      <c r="L2024">
        <f>VLOOKUP(B2024,purchase_dataset!$B$2:$F$2241,3,FALSE)</f>
        <v>7</v>
      </c>
      <c r="M2024">
        <f>VLOOKUP(B2024,purchase_dataset!$B$2:$F$2241,3,FALSE)</f>
        <v>7</v>
      </c>
      <c r="N2024">
        <f>VLOOKUP(B2024,purchase_dataset!$B$2:$F$2241,5,FALSE)</f>
        <v>3</v>
      </c>
      <c r="O2024" s="5">
        <v>44</v>
      </c>
      <c r="P2024" s="4" t="str">
        <f t="shared" si="62"/>
        <v>30-50</v>
      </c>
      <c r="Q2024" s="4">
        <f>M2024+N2024</f>
        <v>10</v>
      </c>
      <c r="U2024" s="28" t="str" cm="1">
        <f t="array" ref="U2024">_xlfn.IFS(F2024&lt;30000,"30k",F2024&lt;=50000,"30k-50k",F2024&lt;=75000,"50k-75k",F2024&lt;=100000,"75k-100k",F2024&gt;100000,"100k")</f>
        <v>30k-50k</v>
      </c>
      <c r="W2024" s="1">
        <f t="shared" si="63"/>
        <v>13</v>
      </c>
    </row>
    <row r="2025" spans="1:23" x14ac:dyDescent="0.35">
      <c r="A2025">
        <v>2022</v>
      </c>
      <c r="B2025">
        <v>4954</v>
      </c>
      <c r="C2025">
        <v>1956</v>
      </c>
      <c r="D2025" s="1" t="s">
        <v>10</v>
      </c>
      <c r="E2025" s="1" t="s">
        <v>14</v>
      </c>
      <c r="F2025">
        <v>48195</v>
      </c>
      <c r="G2025">
        <v>1</v>
      </c>
      <c r="H2025" s="2">
        <v>1</v>
      </c>
      <c r="I2025" s="2">
        <v>41660</v>
      </c>
      <c r="J2025">
        <v>53</v>
      </c>
      <c r="K2025">
        <f>VLOOKUP(B2025,purchase_dataset!$B$2:$F$2241,2,FALSE)</f>
        <v>27</v>
      </c>
      <c r="L2025">
        <f>VLOOKUP(B2025,purchase_dataset!$B$2:$F$2241,3,FALSE)</f>
        <v>7</v>
      </c>
      <c r="M2025">
        <f>VLOOKUP(B2025,purchase_dataset!$B$2:$F$2241,3,FALSE)</f>
        <v>7</v>
      </c>
      <c r="N2025">
        <f>VLOOKUP(B2025,purchase_dataset!$B$2:$F$2241,5,FALSE)</f>
        <v>5</v>
      </c>
      <c r="O2025" s="5">
        <v>70</v>
      </c>
      <c r="P2025" s="4" t="str">
        <f t="shared" si="62"/>
        <v>&gt;50</v>
      </c>
      <c r="Q2025" s="4">
        <f>M2025+N2025</f>
        <v>12</v>
      </c>
      <c r="U2025" s="28" t="str" cm="1">
        <f t="array" ref="U2025">_xlfn.IFS(F2025&lt;30000,"30k",F2025&lt;=50000,"30k-50k",F2025&lt;=75000,"50k-75k",F2025&lt;=100000,"75k-100k",F2025&gt;100000,"100k")</f>
        <v>30k-50k</v>
      </c>
      <c r="W2025" s="1">
        <f t="shared" si="63"/>
        <v>12</v>
      </c>
    </row>
    <row r="2026" spans="1:23" x14ac:dyDescent="0.35">
      <c r="A2026">
        <v>2023</v>
      </c>
      <c r="B2026">
        <v>7861</v>
      </c>
      <c r="C2026">
        <v>1952</v>
      </c>
      <c r="D2026" s="1" t="s">
        <v>15</v>
      </c>
      <c r="E2026" s="1" t="s">
        <v>14</v>
      </c>
      <c r="F2026">
        <v>77027</v>
      </c>
      <c r="G2026">
        <v>0</v>
      </c>
      <c r="H2026" s="2">
        <v>1</v>
      </c>
      <c r="I2026" s="2">
        <v>41675</v>
      </c>
      <c r="J2026">
        <v>23</v>
      </c>
      <c r="K2026">
        <f>VLOOKUP(B2026,purchase_dataset!$B$2:$F$2241,2,FALSE)</f>
        <v>57</v>
      </c>
      <c r="L2026">
        <f>VLOOKUP(B2026,purchase_dataset!$B$2:$F$2241,3,FALSE)</f>
        <v>0</v>
      </c>
      <c r="M2026">
        <f>VLOOKUP(B2026,purchase_dataset!$B$2:$F$2241,3,FALSE)</f>
        <v>0</v>
      </c>
      <c r="N2026">
        <f>VLOOKUP(B2026,purchase_dataset!$B$2:$F$2241,5,FALSE)</f>
        <v>6</v>
      </c>
      <c r="O2026" s="5">
        <v>74</v>
      </c>
      <c r="P2026" s="4" t="str">
        <f t="shared" si="62"/>
        <v>&gt;50</v>
      </c>
      <c r="Q2026" s="4">
        <f>M2026+N2026</f>
        <v>6</v>
      </c>
      <c r="U2026" s="28" t="str" cm="1">
        <f t="array" ref="U2026">_xlfn.IFS(F2026&lt;30000,"30k",F2026&lt;=50000,"30k-50k",F2026&lt;=75000,"50k-75k",F2026&lt;=100000,"75k-100k",F2026&gt;100000,"100k")</f>
        <v>75k-100k</v>
      </c>
      <c r="W2026" s="1">
        <f t="shared" si="63"/>
        <v>12</v>
      </c>
    </row>
    <row r="2027" spans="1:23" x14ac:dyDescent="0.35">
      <c r="A2027">
        <v>2024</v>
      </c>
      <c r="B2027">
        <v>4837</v>
      </c>
      <c r="C2027">
        <v>1965</v>
      </c>
      <c r="D2027" s="1" t="s">
        <v>13</v>
      </c>
      <c r="E2027" s="1" t="s">
        <v>14</v>
      </c>
      <c r="F2027">
        <v>71322</v>
      </c>
      <c r="G2027">
        <v>0</v>
      </c>
      <c r="H2027" s="2">
        <v>1</v>
      </c>
      <c r="I2027" s="2">
        <v>41321</v>
      </c>
      <c r="J2027">
        <v>57</v>
      </c>
      <c r="K2027">
        <f>VLOOKUP(B2027,purchase_dataset!$B$2:$F$2241,2,FALSE)</f>
        <v>43</v>
      </c>
      <c r="L2027">
        <f>VLOOKUP(B2027,purchase_dataset!$B$2:$F$2241,3,FALSE)</f>
        <v>10</v>
      </c>
      <c r="M2027">
        <f>VLOOKUP(B2027,purchase_dataset!$B$2:$F$2241,3,FALSE)</f>
        <v>10</v>
      </c>
      <c r="N2027">
        <f>VLOOKUP(B2027,purchase_dataset!$B$2:$F$2241,5,FALSE)</f>
        <v>13</v>
      </c>
      <c r="O2027" s="5">
        <v>61</v>
      </c>
      <c r="P2027" s="4" t="str">
        <f t="shared" si="62"/>
        <v>&gt;50</v>
      </c>
      <c r="Q2027" s="4">
        <f>M2027+N2027</f>
        <v>23</v>
      </c>
      <c r="U2027" s="28" t="str" cm="1">
        <f t="array" ref="U2027">_xlfn.IFS(F2027&lt;30000,"30k",F2027&lt;=50000,"30k-50k",F2027&lt;=75000,"50k-75k",F2027&lt;=100000,"75k-100k",F2027&gt;100000,"100k")</f>
        <v>50k-75k</v>
      </c>
      <c r="W2027" s="1">
        <f t="shared" si="63"/>
        <v>13</v>
      </c>
    </row>
    <row r="2028" spans="1:23" x14ac:dyDescent="0.35">
      <c r="A2028">
        <v>2025</v>
      </c>
      <c r="B2028">
        <v>9423</v>
      </c>
      <c r="C2028">
        <v>1979</v>
      </c>
      <c r="D2028" s="1" t="s">
        <v>15</v>
      </c>
      <c r="E2028" s="1" t="s">
        <v>14</v>
      </c>
      <c r="F2028">
        <v>32765</v>
      </c>
      <c r="G2028">
        <v>1</v>
      </c>
      <c r="H2028" s="2">
        <v>0</v>
      </c>
      <c r="I2028" s="2">
        <v>41693</v>
      </c>
      <c r="J2028">
        <v>49</v>
      </c>
      <c r="K2028">
        <f>VLOOKUP(B2028,purchase_dataset!$B$2:$F$2241,2,FALSE)</f>
        <v>3</v>
      </c>
      <c r="L2028">
        <f>VLOOKUP(B2028,purchase_dataset!$B$2:$F$2241,3,FALSE)</f>
        <v>3</v>
      </c>
      <c r="M2028">
        <f>VLOOKUP(B2028,purchase_dataset!$B$2:$F$2241,3,FALSE)</f>
        <v>3</v>
      </c>
      <c r="N2028">
        <f>VLOOKUP(B2028,purchase_dataset!$B$2:$F$2241,5,FALSE)</f>
        <v>4</v>
      </c>
      <c r="O2028" s="5">
        <v>47</v>
      </c>
      <c r="P2028" s="4" t="str">
        <f t="shared" si="62"/>
        <v>30-50</v>
      </c>
      <c r="Q2028" s="4">
        <f>M2028+N2028</f>
        <v>7</v>
      </c>
      <c r="U2028" s="28" t="str" cm="1">
        <f t="array" ref="U2028">_xlfn.IFS(F2028&lt;30000,"30k",F2028&lt;=50000,"30k-50k",F2028&lt;=75000,"50k-75k",F2028&lt;=100000,"75k-100k",F2028&gt;100000,"100k")</f>
        <v>30k-50k</v>
      </c>
      <c r="W2028" s="1">
        <f t="shared" si="63"/>
        <v>12</v>
      </c>
    </row>
    <row r="2029" spans="1:23" x14ac:dyDescent="0.35">
      <c r="A2029">
        <v>2026</v>
      </c>
      <c r="B2029">
        <v>4198</v>
      </c>
      <c r="C2029">
        <v>1965</v>
      </c>
      <c r="D2029" s="1" t="s">
        <v>10</v>
      </c>
      <c r="E2029" s="1" t="s">
        <v>12</v>
      </c>
      <c r="F2029">
        <v>29672</v>
      </c>
      <c r="G2029">
        <v>1</v>
      </c>
      <c r="H2029" s="2">
        <v>1</v>
      </c>
      <c r="I2029" s="2">
        <v>41345</v>
      </c>
      <c r="J2029">
        <v>6</v>
      </c>
      <c r="K2029">
        <f>VLOOKUP(B2029,purchase_dataset!$B$2:$F$2241,2,FALSE)</f>
        <v>1</v>
      </c>
      <c r="L2029">
        <f>VLOOKUP(B2029,purchase_dataset!$B$2:$F$2241,3,FALSE)</f>
        <v>4</v>
      </c>
      <c r="M2029">
        <f>VLOOKUP(B2029,purchase_dataset!$B$2:$F$2241,3,FALSE)</f>
        <v>4</v>
      </c>
      <c r="N2029">
        <f>VLOOKUP(B2029,purchase_dataset!$B$2:$F$2241,5,FALSE)</f>
        <v>3</v>
      </c>
      <c r="O2029" s="5">
        <v>61</v>
      </c>
      <c r="P2029" s="4" t="str">
        <f t="shared" si="62"/>
        <v>&gt;50</v>
      </c>
      <c r="Q2029" s="4">
        <f>M2029+N2029</f>
        <v>7</v>
      </c>
      <c r="U2029" s="28" t="str" cm="1">
        <f t="array" ref="U2029">_xlfn.IFS(F2029&lt;30000,"30k",F2029&lt;=50000,"30k-50k",F2029&lt;=75000,"50k-75k",F2029&lt;=100000,"75k-100k",F2029&gt;100000,"100k")</f>
        <v>30k</v>
      </c>
      <c r="W2029" s="1">
        <f t="shared" si="63"/>
        <v>13</v>
      </c>
    </row>
    <row r="2030" spans="1:23" x14ac:dyDescent="0.35">
      <c r="A2030">
        <v>2027</v>
      </c>
      <c r="B2030">
        <v>153</v>
      </c>
      <c r="C2030">
        <v>1953</v>
      </c>
      <c r="D2030" s="1" t="s">
        <v>10</v>
      </c>
      <c r="E2030" s="1" t="s">
        <v>16</v>
      </c>
      <c r="F2030">
        <v>23272</v>
      </c>
      <c r="G2030">
        <v>0</v>
      </c>
      <c r="H2030" s="2">
        <v>0</v>
      </c>
      <c r="I2030" s="2">
        <v>41564</v>
      </c>
      <c r="J2030">
        <v>29</v>
      </c>
      <c r="K2030">
        <f>VLOOKUP(B2030,purchase_dataset!$B$2:$F$2241,2,FALSE)</f>
        <v>3</v>
      </c>
      <c r="L2030">
        <f>VLOOKUP(B2030,purchase_dataset!$B$2:$F$2241,3,FALSE)</f>
        <v>2</v>
      </c>
      <c r="M2030">
        <f>VLOOKUP(B2030,purchase_dataset!$B$2:$F$2241,3,FALSE)</f>
        <v>2</v>
      </c>
      <c r="N2030">
        <f>VLOOKUP(B2030,purchase_dataset!$B$2:$F$2241,5,FALSE)</f>
        <v>3</v>
      </c>
      <c r="O2030" s="5">
        <v>73</v>
      </c>
      <c r="P2030" s="4" t="str">
        <f t="shared" si="62"/>
        <v>&gt;50</v>
      </c>
      <c r="Q2030" s="4">
        <f>M2030+N2030</f>
        <v>5</v>
      </c>
      <c r="U2030" s="28" t="str" cm="1">
        <f t="array" ref="U2030">_xlfn.IFS(F2030&lt;30000,"30k",F2030&lt;=50000,"30k-50k",F2030&lt;=75000,"50k-75k",F2030&lt;=100000,"75k-100k",F2030&gt;100000,"100k")</f>
        <v>30k</v>
      </c>
      <c r="W2030" s="1">
        <f t="shared" si="63"/>
        <v>13</v>
      </c>
    </row>
    <row r="2031" spans="1:23" x14ac:dyDescent="0.35">
      <c r="A2031">
        <v>2028</v>
      </c>
      <c r="B2031">
        <v>9323</v>
      </c>
      <c r="C2031">
        <v>1949</v>
      </c>
      <c r="D2031" s="1" t="s">
        <v>15</v>
      </c>
      <c r="E2031" s="1" t="s">
        <v>12</v>
      </c>
      <c r="F2031">
        <v>49912</v>
      </c>
      <c r="G2031">
        <v>0</v>
      </c>
      <c r="H2031" s="2">
        <v>1</v>
      </c>
      <c r="I2031" s="2">
        <v>41159</v>
      </c>
      <c r="J2031">
        <v>5</v>
      </c>
      <c r="K2031">
        <f>VLOOKUP(B2031,purchase_dataset!$B$2:$F$2241,2,FALSE)</f>
        <v>8</v>
      </c>
      <c r="L2031">
        <f>VLOOKUP(B2031,purchase_dataset!$B$2:$F$2241,3,FALSE)</f>
        <v>49</v>
      </c>
      <c r="M2031">
        <f>VLOOKUP(B2031,purchase_dataset!$B$2:$F$2241,3,FALSE)</f>
        <v>49</v>
      </c>
      <c r="N2031">
        <f>VLOOKUP(B2031,purchase_dataset!$B$2:$F$2241,5,FALSE)</f>
        <v>7</v>
      </c>
      <c r="O2031" s="5">
        <v>77</v>
      </c>
      <c r="P2031" s="4" t="str">
        <f t="shared" si="62"/>
        <v>&gt;50</v>
      </c>
      <c r="Q2031" s="4">
        <f>M2031+N2031</f>
        <v>56</v>
      </c>
      <c r="U2031" s="28" t="str" cm="1">
        <f t="array" ref="U2031">_xlfn.IFS(F2031&lt;30000,"30k",F2031&lt;=50000,"30k-50k",F2031&lt;=75000,"50k-75k",F2031&lt;=100000,"75k-100k",F2031&gt;100000,"100k")</f>
        <v>30k-50k</v>
      </c>
      <c r="W2031" s="1">
        <f t="shared" si="63"/>
        <v>14</v>
      </c>
    </row>
    <row r="2032" spans="1:23" x14ac:dyDescent="0.35">
      <c r="A2032">
        <v>2029</v>
      </c>
      <c r="B2032">
        <v>10001</v>
      </c>
      <c r="C2032">
        <v>1985</v>
      </c>
      <c r="D2032" s="1" t="s">
        <v>18</v>
      </c>
      <c r="E2032" s="1" t="s">
        <v>12</v>
      </c>
      <c r="F2032">
        <v>7500</v>
      </c>
      <c r="G2032">
        <v>1</v>
      </c>
      <c r="H2032" s="2">
        <v>0</v>
      </c>
      <c r="I2032" s="2">
        <v>41122</v>
      </c>
      <c r="J2032">
        <v>98</v>
      </c>
      <c r="K2032">
        <f>VLOOKUP(B2032,purchase_dataset!$B$2:$F$2241,2,FALSE)</f>
        <v>17</v>
      </c>
      <c r="L2032">
        <f>VLOOKUP(B2032,purchase_dataset!$B$2:$F$2241,3,FALSE)</f>
        <v>14</v>
      </c>
      <c r="M2032">
        <f>VLOOKUP(B2032,purchase_dataset!$B$2:$F$2241,3,FALSE)</f>
        <v>14</v>
      </c>
      <c r="N2032">
        <f>VLOOKUP(B2032,purchase_dataset!$B$2:$F$2241,5,FALSE)</f>
        <v>3</v>
      </c>
      <c r="O2032" s="5">
        <v>41</v>
      </c>
      <c r="P2032" s="4" t="str">
        <f t="shared" si="62"/>
        <v>30-50</v>
      </c>
      <c r="Q2032" s="4">
        <f>M2032+N2032</f>
        <v>17</v>
      </c>
      <c r="U2032" s="28" t="str" cm="1">
        <f t="array" ref="U2032">_xlfn.IFS(F2032&lt;30000,"30k",F2032&lt;=50000,"30k-50k",F2032&lt;=75000,"50k-75k",F2032&lt;=100000,"75k-100k",F2032&gt;100000,"100k")</f>
        <v>30k</v>
      </c>
      <c r="W2032" s="1">
        <f t="shared" si="63"/>
        <v>14</v>
      </c>
    </row>
    <row r="2033" spans="1:23" x14ac:dyDescent="0.35">
      <c r="A2033">
        <v>2030</v>
      </c>
      <c r="B2033">
        <v>3945</v>
      </c>
      <c r="C2033">
        <v>1947</v>
      </c>
      <c r="D2033" s="1" t="s">
        <v>13</v>
      </c>
      <c r="E2033" s="1" t="s">
        <v>19</v>
      </c>
      <c r="F2033">
        <v>68117</v>
      </c>
      <c r="G2033">
        <v>0</v>
      </c>
      <c r="H2033" s="2">
        <v>1</v>
      </c>
      <c r="I2033" s="2">
        <v>41343</v>
      </c>
      <c r="J2033">
        <v>80</v>
      </c>
      <c r="K2033">
        <f>VLOOKUP(B2033,purchase_dataset!$B$2:$F$2241,2,FALSE)</f>
        <v>44</v>
      </c>
      <c r="L2033">
        <f>VLOOKUP(B2033,purchase_dataset!$B$2:$F$2241,3,FALSE)</f>
        <v>17</v>
      </c>
      <c r="M2033">
        <f>VLOOKUP(B2033,purchase_dataset!$B$2:$F$2241,3,FALSE)</f>
        <v>17</v>
      </c>
      <c r="N2033">
        <f>VLOOKUP(B2033,purchase_dataset!$B$2:$F$2241,5,FALSE)</f>
        <v>4</v>
      </c>
      <c r="O2033" s="5">
        <v>79</v>
      </c>
      <c r="P2033" s="4" t="str">
        <f t="shared" si="62"/>
        <v>&gt;50</v>
      </c>
      <c r="Q2033" s="4">
        <f>M2033+N2033</f>
        <v>21</v>
      </c>
      <c r="U2033" s="28" t="str" cm="1">
        <f t="array" ref="U2033">_xlfn.IFS(F2033&lt;30000,"30k",F2033&lt;=50000,"30k-50k",F2033&lt;=75000,"50k-75k",F2033&lt;=100000,"75k-100k",F2033&gt;100000,"100k")</f>
        <v>50k-75k</v>
      </c>
      <c r="W2033" s="1">
        <f t="shared" si="63"/>
        <v>13</v>
      </c>
    </row>
    <row r="2034" spans="1:23" x14ac:dyDescent="0.35">
      <c r="A2034">
        <v>2031</v>
      </c>
      <c r="B2034">
        <v>3799</v>
      </c>
      <c r="C2034">
        <v>1955</v>
      </c>
      <c r="D2034" s="1" t="s">
        <v>10</v>
      </c>
      <c r="E2034" s="1" t="s">
        <v>14</v>
      </c>
      <c r="F2034">
        <v>67225</v>
      </c>
      <c r="G2034">
        <v>0</v>
      </c>
      <c r="H2034" s="2">
        <v>1</v>
      </c>
      <c r="I2034" s="2">
        <v>41604</v>
      </c>
      <c r="J2034">
        <v>4</v>
      </c>
      <c r="K2034">
        <f>VLOOKUP(B2034,purchase_dataset!$B$2:$F$2241,2,FALSE)</f>
        <v>35</v>
      </c>
      <c r="L2034">
        <f>VLOOKUP(B2034,purchase_dataset!$B$2:$F$2241,3,FALSE)</f>
        <v>7</v>
      </c>
      <c r="M2034">
        <f>VLOOKUP(B2034,purchase_dataset!$B$2:$F$2241,3,FALSE)</f>
        <v>7</v>
      </c>
      <c r="N2034">
        <f>VLOOKUP(B2034,purchase_dataset!$B$2:$F$2241,5,FALSE)</f>
        <v>11</v>
      </c>
      <c r="O2034" s="5">
        <v>71</v>
      </c>
      <c r="P2034" s="4" t="str">
        <f t="shared" si="62"/>
        <v>&gt;50</v>
      </c>
      <c r="Q2034" s="4">
        <f>M2034+N2034</f>
        <v>18</v>
      </c>
      <c r="U2034" s="28" t="str" cm="1">
        <f t="array" ref="U2034">_xlfn.IFS(F2034&lt;30000,"30k",F2034&lt;=50000,"30k-50k",F2034&lt;=75000,"50k-75k",F2034&lt;=100000,"75k-100k",F2034&gt;100000,"100k")</f>
        <v>50k-75k</v>
      </c>
      <c r="W2034" s="1">
        <f t="shared" si="63"/>
        <v>13</v>
      </c>
    </row>
    <row r="2035" spans="1:23" x14ac:dyDescent="0.35">
      <c r="A2035">
        <v>2032</v>
      </c>
      <c r="B2035">
        <v>8625</v>
      </c>
      <c r="C2035">
        <v>1976</v>
      </c>
      <c r="D2035" s="1" t="s">
        <v>10</v>
      </c>
      <c r="E2035" s="1" t="s">
        <v>14</v>
      </c>
      <c r="F2035">
        <v>17649</v>
      </c>
      <c r="G2035">
        <v>1</v>
      </c>
      <c r="H2035" s="2">
        <v>0</v>
      </c>
      <c r="I2035" s="2">
        <v>41590</v>
      </c>
      <c r="J2035">
        <v>70</v>
      </c>
      <c r="K2035">
        <f>VLOOKUP(B2035,purchase_dataset!$B$2:$F$2241,2,FALSE)</f>
        <v>1</v>
      </c>
      <c r="L2035">
        <f>VLOOKUP(B2035,purchase_dataset!$B$2:$F$2241,3,FALSE)</f>
        <v>5</v>
      </c>
      <c r="M2035">
        <f>VLOOKUP(B2035,purchase_dataset!$B$2:$F$2241,3,FALSE)</f>
        <v>5</v>
      </c>
      <c r="N2035">
        <f>VLOOKUP(B2035,purchase_dataset!$B$2:$F$2241,5,FALSE)</f>
        <v>3</v>
      </c>
      <c r="O2035" s="5">
        <v>50</v>
      </c>
      <c r="P2035" s="4" t="str">
        <f t="shared" si="62"/>
        <v>30-50</v>
      </c>
      <c r="Q2035" s="4">
        <f>M2035+N2035</f>
        <v>8</v>
      </c>
      <c r="U2035" s="28" t="str" cm="1">
        <f t="array" ref="U2035">_xlfn.IFS(F2035&lt;30000,"30k",F2035&lt;=50000,"30k-50k",F2035&lt;=75000,"50k-75k",F2035&lt;=100000,"75k-100k",F2035&gt;100000,"100k")</f>
        <v>30k</v>
      </c>
      <c r="W2035" s="1">
        <f t="shared" si="63"/>
        <v>13</v>
      </c>
    </row>
    <row r="2036" spans="1:23" x14ac:dyDescent="0.35">
      <c r="A2036">
        <v>2033</v>
      </c>
      <c r="B2036">
        <v>3491</v>
      </c>
      <c r="C2036">
        <v>1975</v>
      </c>
      <c r="D2036" s="1" t="s">
        <v>10</v>
      </c>
      <c r="E2036" s="1" t="s">
        <v>12</v>
      </c>
      <c r="F2036">
        <v>55914</v>
      </c>
      <c r="G2036">
        <v>0</v>
      </c>
      <c r="H2036" s="2">
        <v>1</v>
      </c>
      <c r="I2036" s="2">
        <v>41393</v>
      </c>
      <c r="J2036">
        <v>32</v>
      </c>
      <c r="K2036">
        <f>VLOOKUP(B2036,purchase_dataset!$B$2:$F$2241,2,FALSE)</f>
        <v>60</v>
      </c>
      <c r="L2036">
        <f>VLOOKUP(B2036,purchase_dataset!$B$2:$F$2241,3,FALSE)</f>
        <v>101</v>
      </c>
      <c r="M2036">
        <f>VLOOKUP(B2036,purchase_dataset!$B$2:$F$2241,3,FALSE)</f>
        <v>101</v>
      </c>
      <c r="N2036">
        <f>VLOOKUP(B2036,purchase_dataset!$B$2:$F$2241,5,FALSE)</f>
        <v>8</v>
      </c>
      <c r="O2036" s="5">
        <v>51</v>
      </c>
      <c r="P2036" s="4" t="str">
        <f t="shared" si="62"/>
        <v>&gt;50</v>
      </c>
      <c r="Q2036" s="4">
        <f>M2036+N2036</f>
        <v>109</v>
      </c>
      <c r="U2036" s="28" t="str" cm="1">
        <f t="array" ref="U2036">_xlfn.IFS(F2036&lt;30000,"30k",F2036&lt;=50000,"30k-50k",F2036&lt;=75000,"50k-75k",F2036&lt;=100000,"75k-100k",F2036&gt;100000,"100k")</f>
        <v>50k-75k</v>
      </c>
      <c r="W2036" s="1">
        <f t="shared" si="63"/>
        <v>13</v>
      </c>
    </row>
    <row r="2037" spans="1:23" x14ac:dyDescent="0.35">
      <c r="A2037">
        <v>2034</v>
      </c>
      <c r="B2037">
        <v>983</v>
      </c>
      <c r="C2037">
        <v>1984</v>
      </c>
      <c r="D2037" s="1" t="s">
        <v>10</v>
      </c>
      <c r="E2037" s="1" t="s">
        <v>14</v>
      </c>
      <c r="F2037">
        <v>40059</v>
      </c>
      <c r="G2037">
        <v>1</v>
      </c>
      <c r="H2037" s="2">
        <v>0</v>
      </c>
      <c r="I2037" s="2">
        <v>41545</v>
      </c>
      <c r="J2037">
        <v>82</v>
      </c>
      <c r="K2037">
        <f>VLOOKUP(B2037,purchase_dataset!$B$2:$F$2241,2,FALSE)</f>
        <v>29</v>
      </c>
      <c r="L2037">
        <f>VLOOKUP(B2037,purchase_dataset!$B$2:$F$2241,3,FALSE)</f>
        <v>10</v>
      </c>
      <c r="M2037">
        <f>VLOOKUP(B2037,purchase_dataset!$B$2:$F$2241,3,FALSE)</f>
        <v>10</v>
      </c>
      <c r="N2037">
        <f>VLOOKUP(B2037,purchase_dataset!$B$2:$F$2241,5,FALSE)</f>
        <v>3</v>
      </c>
      <c r="O2037" s="5">
        <v>42</v>
      </c>
      <c r="P2037" s="4" t="str">
        <f t="shared" si="62"/>
        <v>30-50</v>
      </c>
      <c r="Q2037" s="4">
        <f>M2037+N2037</f>
        <v>13</v>
      </c>
      <c r="U2037" s="28" t="str" cm="1">
        <f t="array" ref="U2037">_xlfn.IFS(F2037&lt;30000,"30k",F2037&lt;=50000,"30k-50k",F2037&lt;=75000,"50k-75k",F2037&lt;=100000,"75k-100k",F2037&gt;100000,"100k")</f>
        <v>30k-50k</v>
      </c>
      <c r="W2037" s="1">
        <f t="shared" si="63"/>
        <v>13</v>
      </c>
    </row>
    <row r="2038" spans="1:23" x14ac:dyDescent="0.35">
      <c r="A2038">
        <v>2035</v>
      </c>
      <c r="B2038">
        <v>9119</v>
      </c>
      <c r="C2038">
        <v>1950</v>
      </c>
      <c r="D2038" s="1" t="s">
        <v>10</v>
      </c>
      <c r="E2038" s="1" t="s">
        <v>12</v>
      </c>
      <c r="F2038">
        <v>60905</v>
      </c>
      <c r="G2038">
        <v>0</v>
      </c>
      <c r="H2038" s="2">
        <v>1</v>
      </c>
      <c r="I2038" s="2">
        <v>41613</v>
      </c>
      <c r="J2038">
        <v>27</v>
      </c>
      <c r="K2038">
        <f>VLOOKUP(B2038,purchase_dataset!$B$2:$F$2241,2,FALSE)</f>
        <v>17</v>
      </c>
      <c r="L2038">
        <f>VLOOKUP(B2038,purchase_dataset!$B$2:$F$2241,3,FALSE)</f>
        <v>17</v>
      </c>
      <c r="M2038">
        <f>VLOOKUP(B2038,purchase_dataset!$B$2:$F$2241,3,FALSE)</f>
        <v>17</v>
      </c>
      <c r="N2038">
        <f>VLOOKUP(B2038,purchase_dataset!$B$2:$F$2241,5,FALSE)</f>
        <v>7</v>
      </c>
      <c r="O2038" s="5">
        <v>76</v>
      </c>
      <c r="P2038" s="4" t="str">
        <f t="shared" si="62"/>
        <v>&gt;50</v>
      </c>
      <c r="Q2038" s="4">
        <f>M2038+N2038</f>
        <v>24</v>
      </c>
      <c r="U2038" s="28" t="str" cm="1">
        <f t="array" ref="U2038">_xlfn.IFS(F2038&lt;30000,"30k",F2038&lt;=50000,"30k-50k",F2038&lt;=75000,"50k-75k",F2038&lt;=100000,"75k-100k",F2038&gt;100000,"100k")</f>
        <v>50k-75k</v>
      </c>
      <c r="W2038" s="1">
        <f t="shared" si="63"/>
        <v>13</v>
      </c>
    </row>
    <row r="2039" spans="1:23" x14ac:dyDescent="0.35">
      <c r="A2039">
        <v>2036</v>
      </c>
      <c r="B2039">
        <v>4786</v>
      </c>
      <c r="C2039">
        <v>1977</v>
      </c>
      <c r="D2039" s="1" t="s">
        <v>10</v>
      </c>
      <c r="E2039" s="1" t="s">
        <v>14</v>
      </c>
      <c r="F2039">
        <v>75330</v>
      </c>
      <c r="G2039">
        <v>1</v>
      </c>
      <c r="H2039" s="2">
        <v>1</v>
      </c>
      <c r="I2039" s="2">
        <v>41186</v>
      </c>
      <c r="J2039">
        <v>94</v>
      </c>
      <c r="K2039">
        <f>VLOOKUP(B2039,purchase_dataset!$B$2:$F$2241,2,FALSE)</f>
        <v>82</v>
      </c>
      <c r="L2039">
        <f>VLOOKUP(B2039,purchase_dataset!$B$2:$F$2241,3,FALSE)</f>
        <v>61</v>
      </c>
      <c r="M2039">
        <f>VLOOKUP(B2039,purchase_dataset!$B$2:$F$2241,3,FALSE)</f>
        <v>61</v>
      </c>
      <c r="N2039">
        <f>VLOOKUP(B2039,purchase_dataset!$B$2:$F$2241,5,FALSE)</f>
        <v>12</v>
      </c>
      <c r="O2039" s="5">
        <v>49</v>
      </c>
      <c r="P2039" s="4" t="str">
        <f t="shared" si="62"/>
        <v>30-50</v>
      </c>
      <c r="Q2039" s="4">
        <f>M2039+N2039</f>
        <v>73</v>
      </c>
      <c r="U2039" s="28" t="str" cm="1">
        <f t="array" ref="U2039">_xlfn.IFS(F2039&lt;30000,"30k",F2039&lt;=50000,"30k-50k",F2039&lt;=75000,"50k-75k",F2039&lt;=100000,"75k-100k",F2039&gt;100000,"100k")</f>
        <v>75k-100k</v>
      </c>
      <c r="W2039" s="1">
        <f t="shared" si="63"/>
        <v>14</v>
      </c>
    </row>
    <row r="2040" spans="1:23" x14ac:dyDescent="0.35">
      <c r="A2040">
        <v>2037</v>
      </c>
      <c r="B2040">
        <v>5872</v>
      </c>
      <c r="C2040">
        <v>1951</v>
      </c>
      <c r="D2040" s="1" t="s">
        <v>10</v>
      </c>
      <c r="E2040" s="1" t="s">
        <v>11</v>
      </c>
      <c r="F2040">
        <v>60689</v>
      </c>
      <c r="G2040">
        <v>0</v>
      </c>
      <c r="H2040" s="2">
        <v>1</v>
      </c>
      <c r="I2040" s="2">
        <v>41426</v>
      </c>
      <c r="J2040">
        <v>23</v>
      </c>
      <c r="K2040">
        <f>VLOOKUP(B2040,purchase_dataset!$B$2:$F$2241,2,FALSE)</f>
        <v>90</v>
      </c>
      <c r="L2040">
        <f>VLOOKUP(B2040,purchase_dataset!$B$2:$F$2241,3,FALSE)</f>
        <v>6</v>
      </c>
      <c r="M2040">
        <f>VLOOKUP(B2040,purchase_dataset!$B$2:$F$2241,3,FALSE)</f>
        <v>6</v>
      </c>
      <c r="N2040">
        <f>VLOOKUP(B2040,purchase_dataset!$B$2:$F$2241,5,FALSE)</f>
        <v>10</v>
      </c>
      <c r="O2040" s="5">
        <v>75</v>
      </c>
      <c r="P2040" s="4" t="str">
        <f t="shared" si="62"/>
        <v>&gt;50</v>
      </c>
      <c r="Q2040" s="4">
        <f>M2040+N2040</f>
        <v>16</v>
      </c>
      <c r="U2040" s="28" t="str" cm="1">
        <f t="array" ref="U2040">_xlfn.IFS(F2040&lt;30000,"30k",F2040&lt;=50000,"30k-50k",F2040&lt;=75000,"50k-75k",F2040&lt;=100000,"75k-100k",F2040&gt;100000,"100k")</f>
        <v>50k-75k</v>
      </c>
      <c r="W2040" s="1">
        <f t="shared" si="63"/>
        <v>13</v>
      </c>
    </row>
    <row r="2041" spans="1:23" x14ac:dyDescent="0.35">
      <c r="A2041">
        <v>2038</v>
      </c>
      <c r="B2041">
        <v>6568</v>
      </c>
      <c r="C2041">
        <v>1984</v>
      </c>
      <c r="D2041" s="1" t="s">
        <v>10</v>
      </c>
      <c r="E2041" s="1" t="s">
        <v>14</v>
      </c>
      <c r="F2041">
        <v>38680</v>
      </c>
      <c r="G2041">
        <v>1</v>
      </c>
      <c r="H2041" s="2">
        <v>0</v>
      </c>
      <c r="I2041" s="2">
        <v>41361</v>
      </c>
      <c r="J2041">
        <v>97</v>
      </c>
      <c r="K2041">
        <f>VLOOKUP(B2041,purchase_dataset!$B$2:$F$2241,2,FALSE)</f>
        <v>0</v>
      </c>
      <c r="L2041">
        <f>VLOOKUP(B2041,purchase_dataset!$B$2:$F$2241,3,FALSE)</f>
        <v>5</v>
      </c>
      <c r="M2041">
        <f>VLOOKUP(B2041,purchase_dataset!$B$2:$F$2241,3,FALSE)</f>
        <v>5</v>
      </c>
      <c r="N2041">
        <f>VLOOKUP(B2041,purchase_dataset!$B$2:$F$2241,5,FALSE)</f>
        <v>3</v>
      </c>
      <c r="O2041" s="5">
        <v>42</v>
      </c>
      <c r="P2041" s="4" t="str">
        <f t="shared" si="62"/>
        <v>30-50</v>
      </c>
      <c r="Q2041" s="4">
        <f>M2041+N2041</f>
        <v>8</v>
      </c>
      <c r="U2041" s="28" t="str" cm="1">
        <f t="array" ref="U2041">_xlfn.IFS(F2041&lt;30000,"30k",F2041&lt;=50000,"30k-50k",F2041&lt;=75000,"50k-75k",F2041&lt;=100000,"75k-100k",F2041&gt;100000,"100k")</f>
        <v>30k-50k</v>
      </c>
      <c r="W2041" s="1">
        <f t="shared" si="63"/>
        <v>13</v>
      </c>
    </row>
    <row r="2042" spans="1:23" x14ac:dyDescent="0.35">
      <c r="A2042">
        <v>2039</v>
      </c>
      <c r="B2042">
        <v>5628</v>
      </c>
      <c r="C2042">
        <v>1982</v>
      </c>
      <c r="D2042" s="1" t="s">
        <v>10</v>
      </c>
      <c r="E2042" s="1" t="s">
        <v>12</v>
      </c>
      <c r="F2042">
        <v>61416</v>
      </c>
      <c r="G2042">
        <v>0</v>
      </c>
      <c r="H2042" s="2">
        <v>0</v>
      </c>
      <c r="I2042" s="2">
        <v>41313</v>
      </c>
      <c r="J2042">
        <v>25</v>
      </c>
      <c r="K2042">
        <f>VLOOKUP(B2042,purchase_dataset!$B$2:$F$2241,2,FALSE)</f>
        <v>154</v>
      </c>
      <c r="L2042">
        <f>VLOOKUP(B2042,purchase_dataset!$B$2:$F$2241,3,FALSE)</f>
        <v>61</v>
      </c>
      <c r="M2042">
        <f>VLOOKUP(B2042,purchase_dataset!$B$2:$F$2241,3,FALSE)</f>
        <v>61</v>
      </c>
      <c r="N2042">
        <f>VLOOKUP(B2042,purchase_dataset!$B$2:$F$2241,5,FALSE)</f>
        <v>10</v>
      </c>
      <c r="O2042" s="5">
        <v>44</v>
      </c>
      <c r="P2042" s="4" t="str">
        <f t="shared" si="62"/>
        <v>30-50</v>
      </c>
      <c r="Q2042" s="4">
        <f>M2042+N2042</f>
        <v>71</v>
      </c>
      <c r="U2042" s="28" t="str" cm="1">
        <f t="array" ref="U2042">_xlfn.IFS(F2042&lt;30000,"30k",F2042&lt;=50000,"30k-50k",F2042&lt;=75000,"50k-75k",F2042&lt;=100000,"75k-100k",F2042&gt;100000,"100k")</f>
        <v>50k-75k</v>
      </c>
      <c r="W2042" s="1">
        <f t="shared" si="63"/>
        <v>13</v>
      </c>
    </row>
    <row r="2043" spans="1:23" x14ac:dyDescent="0.35">
      <c r="A2043">
        <v>2040</v>
      </c>
      <c r="B2043">
        <v>5631</v>
      </c>
      <c r="C2043">
        <v>1991</v>
      </c>
      <c r="D2043" s="1" t="s">
        <v>10</v>
      </c>
      <c r="E2043" s="1" t="s">
        <v>11</v>
      </c>
      <c r="F2043">
        <v>49767</v>
      </c>
      <c r="G2043">
        <v>0</v>
      </c>
      <c r="H2043" s="2">
        <v>0</v>
      </c>
      <c r="I2043" s="2">
        <v>41396</v>
      </c>
      <c r="J2043">
        <v>92</v>
      </c>
      <c r="K2043">
        <f>VLOOKUP(B2043,purchase_dataset!$B$2:$F$2241,2,FALSE)</f>
        <v>47</v>
      </c>
      <c r="L2043">
        <f>VLOOKUP(B2043,purchase_dataset!$B$2:$F$2241,3,FALSE)</f>
        <v>42</v>
      </c>
      <c r="M2043">
        <f>VLOOKUP(B2043,purchase_dataset!$B$2:$F$2241,3,FALSE)</f>
        <v>42</v>
      </c>
      <c r="N2043">
        <f>VLOOKUP(B2043,purchase_dataset!$B$2:$F$2241,5,FALSE)</f>
        <v>8</v>
      </c>
      <c r="O2043" s="5">
        <v>35</v>
      </c>
      <c r="P2043" s="4" t="str">
        <f t="shared" si="62"/>
        <v>30-50</v>
      </c>
      <c r="Q2043" s="4">
        <f>M2043+N2043</f>
        <v>50</v>
      </c>
      <c r="U2043" s="28" t="str" cm="1">
        <f t="array" ref="U2043">_xlfn.IFS(F2043&lt;30000,"30k",F2043&lt;=50000,"30k-50k",F2043&lt;=75000,"50k-75k",F2043&lt;=100000,"75k-100k",F2043&gt;100000,"100k")</f>
        <v>30k-50k</v>
      </c>
      <c r="W2043" s="1">
        <f t="shared" si="63"/>
        <v>13</v>
      </c>
    </row>
    <row r="2044" spans="1:23" x14ac:dyDescent="0.35">
      <c r="A2044">
        <v>2041</v>
      </c>
      <c r="B2044">
        <v>4974</v>
      </c>
      <c r="C2044">
        <v>1970</v>
      </c>
      <c r="D2044" s="1" t="s">
        <v>10</v>
      </c>
      <c r="E2044" s="1" t="s">
        <v>11</v>
      </c>
      <c r="F2044">
        <v>83273</v>
      </c>
      <c r="G2044">
        <v>1</v>
      </c>
      <c r="H2044" s="2">
        <v>2</v>
      </c>
      <c r="I2044" s="2">
        <v>41177</v>
      </c>
      <c r="J2044">
        <v>98</v>
      </c>
      <c r="K2044">
        <f>VLOOKUP(B2044,purchase_dataset!$B$2:$F$2241,2,FALSE)</f>
        <v>89</v>
      </c>
      <c r="L2044">
        <f>VLOOKUP(B2044,purchase_dataset!$B$2:$F$2241,3,FALSE)</f>
        <v>102</v>
      </c>
      <c r="M2044">
        <f>VLOOKUP(B2044,purchase_dataset!$B$2:$F$2241,3,FALSE)</f>
        <v>102</v>
      </c>
      <c r="N2044">
        <f>VLOOKUP(B2044,purchase_dataset!$B$2:$F$2241,5,FALSE)</f>
        <v>9</v>
      </c>
      <c r="O2044" s="5">
        <v>56</v>
      </c>
      <c r="P2044" s="4" t="str">
        <f t="shared" si="62"/>
        <v>&gt;50</v>
      </c>
      <c r="Q2044" s="4">
        <f>M2044+N2044</f>
        <v>111</v>
      </c>
      <c r="U2044" s="28" t="str" cm="1">
        <f t="array" ref="U2044">_xlfn.IFS(F2044&lt;30000,"30k",F2044&lt;=50000,"30k-50k",F2044&lt;=75000,"50k-75k",F2044&lt;=100000,"75k-100k",F2044&gt;100000,"100k")</f>
        <v>75k-100k</v>
      </c>
      <c r="W2044" s="1">
        <f t="shared" si="63"/>
        <v>14</v>
      </c>
    </row>
    <row r="2045" spans="1:23" x14ac:dyDescent="0.35">
      <c r="A2045">
        <v>2042</v>
      </c>
      <c r="B2045">
        <v>8416</v>
      </c>
      <c r="C2045">
        <v>1981</v>
      </c>
      <c r="D2045" s="1" t="s">
        <v>10</v>
      </c>
      <c r="E2045" s="1" t="s">
        <v>14</v>
      </c>
      <c r="F2045">
        <v>29009</v>
      </c>
      <c r="G2045">
        <v>1</v>
      </c>
      <c r="H2045" s="2">
        <v>0</v>
      </c>
      <c r="I2045" s="2">
        <v>41607</v>
      </c>
      <c r="J2045">
        <v>19</v>
      </c>
      <c r="K2045">
        <f>VLOOKUP(B2045,purchase_dataset!$B$2:$F$2241,2,FALSE)</f>
        <v>6</v>
      </c>
      <c r="L2045">
        <f>VLOOKUP(B2045,purchase_dataset!$B$2:$F$2241,3,FALSE)</f>
        <v>5</v>
      </c>
      <c r="M2045">
        <f>VLOOKUP(B2045,purchase_dataset!$B$2:$F$2241,3,FALSE)</f>
        <v>5</v>
      </c>
      <c r="N2045">
        <f>VLOOKUP(B2045,purchase_dataset!$B$2:$F$2241,5,FALSE)</f>
        <v>3</v>
      </c>
      <c r="O2045" s="5">
        <v>45</v>
      </c>
      <c r="P2045" s="4" t="str">
        <f t="shared" si="62"/>
        <v>30-50</v>
      </c>
      <c r="Q2045" s="4">
        <f>M2045+N2045</f>
        <v>8</v>
      </c>
      <c r="U2045" s="28" t="str" cm="1">
        <f t="array" ref="U2045">_xlfn.IFS(F2045&lt;30000,"30k",F2045&lt;=50000,"30k-50k",F2045&lt;=75000,"50k-75k",F2045&lt;=100000,"75k-100k",F2045&gt;100000,"100k")</f>
        <v>30k</v>
      </c>
      <c r="W2045" s="1">
        <f t="shared" si="63"/>
        <v>13</v>
      </c>
    </row>
    <row r="2046" spans="1:23" x14ac:dyDescent="0.35">
      <c r="A2046">
        <v>2043</v>
      </c>
      <c r="B2046">
        <v>5454</v>
      </c>
      <c r="C2046">
        <v>1979</v>
      </c>
      <c r="D2046" s="1" t="s">
        <v>15</v>
      </c>
      <c r="E2046" s="1" t="s">
        <v>14</v>
      </c>
      <c r="F2046">
        <v>45057</v>
      </c>
      <c r="G2046">
        <v>1</v>
      </c>
      <c r="H2046" s="2">
        <v>0</v>
      </c>
      <c r="I2046" s="2">
        <v>41609</v>
      </c>
      <c r="J2046">
        <v>80</v>
      </c>
      <c r="K2046">
        <f>VLOOKUP(B2046,purchase_dataset!$B$2:$F$2241,2,FALSE)</f>
        <v>0</v>
      </c>
      <c r="L2046">
        <f>VLOOKUP(B2046,purchase_dataset!$B$2:$F$2241,3,FALSE)</f>
        <v>0</v>
      </c>
      <c r="M2046">
        <f>VLOOKUP(B2046,purchase_dataset!$B$2:$F$2241,3,FALSE)</f>
        <v>0</v>
      </c>
      <c r="N2046">
        <f>VLOOKUP(B2046,purchase_dataset!$B$2:$F$2241,5,FALSE)</f>
        <v>3</v>
      </c>
      <c r="O2046" s="5">
        <v>47</v>
      </c>
      <c r="P2046" s="4" t="str">
        <f t="shared" si="62"/>
        <v>30-50</v>
      </c>
      <c r="Q2046" s="4">
        <f>M2046+N2046</f>
        <v>3</v>
      </c>
      <c r="U2046" s="28" t="str" cm="1">
        <f t="array" ref="U2046">_xlfn.IFS(F2046&lt;30000,"30k",F2046&lt;=50000,"30k-50k",F2046&lt;=75000,"50k-75k",F2046&lt;=100000,"75k-100k",F2046&gt;100000,"100k")</f>
        <v>30k-50k</v>
      </c>
      <c r="W2046" s="1">
        <f t="shared" si="63"/>
        <v>13</v>
      </c>
    </row>
    <row r="2047" spans="1:23" x14ac:dyDescent="0.35">
      <c r="A2047">
        <v>2044</v>
      </c>
      <c r="B2047">
        <v>4095</v>
      </c>
      <c r="C2047">
        <v>1971</v>
      </c>
      <c r="D2047" s="1" t="s">
        <v>10</v>
      </c>
      <c r="E2047" s="1" t="s">
        <v>14</v>
      </c>
      <c r="F2047">
        <v>37150</v>
      </c>
      <c r="G2047">
        <v>1</v>
      </c>
      <c r="H2047" s="2">
        <v>0</v>
      </c>
      <c r="I2047" s="2">
        <v>41163</v>
      </c>
      <c r="J2047">
        <v>80</v>
      </c>
      <c r="K2047">
        <f>VLOOKUP(B2047,purchase_dataset!$B$2:$F$2241,2,FALSE)</f>
        <v>37</v>
      </c>
      <c r="L2047">
        <f>VLOOKUP(B2047,purchase_dataset!$B$2:$F$2241,3,FALSE)</f>
        <v>34</v>
      </c>
      <c r="M2047">
        <f>VLOOKUP(B2047,purchase_dataset!$B$2:$F$2241,3,FALSE)</f>
        <v>34</v>
      </c>
      <c r="N2047">
        <f>VLOOKUP(B2047,purchase_dataset!$B$2:$F$2241,5,FALSE)</f>
        <v>6</v>
      </c>
      <c r="O2047" s="5">
        <v>55</v>
      </c>
      <c r="P2047" s="4" t="str">
        <f t="shared" si="62"/>
        <v>&gt;50</v>
      </c>
      <c r="Q2047" s="4">
        <f>M2047+N2047</f>
        <v>40</v>
      </c>
      <c r="U2047" s="28" t="str" cm="1">
        <f t="array" ref="U2047">_xlfn.IFS(F2047&lt;30000,"30k",F2047&lt;=50000,"30k-50k",F2047&lt;=75000,"50k-75k",F2047&lt;=100000,"75k-100k",F2047&gt;100000,"100k")</f>
        <v>30k-50k</v>
      </c>
      <c r="W2047" s="1">
        <f t="shared" si="63"/>
        <v>14</v>
      </c>
    </row>
    <row r="2048" spans="1:23" x14ac:dyDescent="0.35">
      <c r="A2048">
        <v>2045</v>
      </c>
      <c r="B2048">
        <v>5474</v>
      </c>
      <c r="C2048">
        <v>1970</v>
      </c>
      <c r="D2048" s="1" t="s">
        <v>10</v>
      </c>
      <c r="E2048" s="1" t="s">
        <v>11</v>
      </c>
      <c r="F2048">
        <v>43020</v>
      </c>
      <c r="G2048">
        <v>1</v>
      </c>
      <c r="H2048" s="2">
        <v>0</v>
      </c>
      <c r="I2048" s="2">
        <v>41608</v>
      </c>
      <c r="J2048">
        <v>79</v>
      </c>
      <c r="K2048">
        <f>VLOOKUP(B2048,purchase_dataset!$B$2:$F$2241,2,FALSE)</f>
        <v>7</v>
      </c>
      <c r="L2048">
        <f>VLOOKUP(B2048,purchase_dataset!$B$2:$F$2241,3,FALSE)</f>
        <v>25</v>
      </c>
      <c r="M2048">
        <f>VLOOKUP(B2048,purchase_dataset!$B$2:$F$2241,3,FALSE)</f>
        <v>25</v>
      </c>
      <c r="N2048">
        <f>VLOOKUP(B2048,purchase_dataset!$B$2:$F$2241,5,FALSE)</f>
        <v>4</v>
      </c>
      <c r="O2048" s="5">
        <v>56</v>
      </c>
      <c r="P2048" s="4" t="str">
        <f t="shared" si="62"/>
        <v>&gt;50</v>
      </c>
      <c r="Q2048" s="4">
        <f>M2048+N2048</f>
        <v>29</v>
      </c>
      <c r="U2048" s="28" t="str" cm="1">
        <f t="array" ref="U2048">_xlfn.IFS(F2048&lt;30000,"30k",F2048&lt;=50000,"30k-50k",F2048&lt;=75000,"50k-75k",F2048&lt;=100000,"75k-100k",F2048&gt;100000,"100k")</f>
        <v>30k-50k</v>
      </c>
      <c r="W2048" s="1">
        <f t="shared" si="63"/>
        <v>13</v>
      </c>
    </row>
    <row r="2049" spans="1:23" x14ac:dyDescent="0.35">
      <c r="A2049">
        <v>2046</v>
      </c>
      <c r="B2049">
        <v>4268</v>
      </c>
      <c r="C2049">
        <v>1959</v>
      </c>
      <c r="D2049" s="1" t="s">
        <v>10</v>
      </c>
      <c r="E2049" s="1" t="s">
        <v>14</v>
      </c>
      <c r="F2049">
        <v>53154</v>
      </c>
      <c r="G2049">
        <v>0</v>
      </c>
      <c r="H2049" s="2">
        <v>1</v>
      </c>
      <c r="I2049" s="2">
        <v>41799</v>
      </c>
      <c r="J2049">
        <v>50</v>
      </c>
      <c r="K2049">
        <f>VLOOKUP(B2049,purchase_dataset!$B$2:$F$2241,2,FALSE)</f>
        <v>0</v>
      </c>
      <c r="L2049">
        <f>VLOOKUP(B2049,purchase_dataset!$B$2:$F$2241,3,FALSE)</f>
        <v>1</v>
      </c>
      <c r="M2049">
        <f>VLOOKUP(B2049,purchase_dataset!$B$2:$F$2241,3,FALSE)</f>
        <v>1</v>
      </c>
      <c r="N2049">
        <f>VLOOKUP(B2049,purchase_dataset!$B$2:$F$2241,5,FALSE)</f>
        <v>4</v>
      </c>
      <c r="O2049" s="5">
        <v>67</v>
      </c>
      <c r="P2049" s="4" t="str">
        <f t="shared" si="62"/>
        <v>&gt;50</v>
      </c>
      <c r="Q2049" s="4">
        <f>M2049+N2049</f>
        <v>5</v>
      </c>
      <c r="U2049" s="28" t="str" cm="1">
        <f t="array" ref="U2049">_xlfn.IFS(F2049&lt;30000,"30k",F2049&lt;=50000,"30k-50k",F2049&lt;=75000,"50k-75k",F2049&lt;=100000,"75k-100k",F2049&gt;100000,"100k")</f>
        <v>50k-75k</v>
      </c>
      <c r="W2049" s="1">
        <f t="shared" si="63"/>
        <v>12</v>
      </c>
    </row>
    <row r="2050" spans="1:23" x14ac:dyDescent="0.35">
      <c r="A2050">
        <v>2047</v>
      </c>
      <c r="B2050">
        <v>10701</v>
      </c>
      <c r="C2050">
        <v>1973</v>
      </c>
      <c r="D2050" s="1" t="s">
        <v>10</v>
      </c>
      <c r="E2050" s="1" t="s">
        <v>14</v>
      </c>
      <c r="F2050">
        <v>65308</v>
      </c>
      <c r="G2050">
        <v>0</v>
      </c>
      <c r="H2050" s="2">
        <v>0</v>
      </c>
      <c r="I2050" s="2">
        <v>41528</v>
      </c>
      <c r="J2050">
        <v>60</v>
      </c>
      <c r="K2050">
        <f>VLOOKUP(B2050,purchase_dataset!$B$2:$F$2241,2,FALSE)</f>
        <v>0</v>
      </c>
      <c r="L2050">
        <f>VLOOKUP(B2050,purchase_dataset!$B$2:$F$2241,3,FALSE)</f>
        <v>80</v>
      </c>
      <c r="M2050">
        <f>VLOOKUP(B2050,purchase_dataset!$B$2:$F$2241,3,FALSE)</f>
        <v>80</v>
      </c>
      <c r="N2050">
        <f>VLOOKUP(B2050,purchase_dataset!$B$2:$F$2241,5,FALSE)</f>
        <v>12</v>
      </c>
      <c r="O2050" s="5">
        <v>53</v>
      </c>
      <c r="P2050" s="4" t="str">
        <f t="shared" si="62"/>
        <v>&gt;50</v>
      </c>
      <c r="Q2050" s="4">
        <f>M2050+N2050</f>
        <v>92</v>
      </c>
      <c r="U2050" s="28" t="str" cm="1">
        <f t="array" ref="U2050">_xlfn.IFS(F2050&lt;30000,"30k",F2050&lt;=50000,"30k-50k",F2050&lt;=75000,"50k-75k",F2050&lt;=100000,"75k-100k",F2050&gt;100000,"100k")</f>
        <v>50k-75k</v>
      </c>
      <c r="W2050" s="1">
        <f t="shared" si="63"/>
        <v>13</v>
      </c>
    </row>
    <row r="2051" spans="1:23" x14ac:dyDescent="0.35">
      <c r="A2051">
        <v>2048</v>
      </c>
      <c r="B2051">
        <v>3507</v>
      </c>
      <c r="C2051">
        <v>1970</v>
      </c>
      <c r="D2051" s="1" t="s">
        <v>10</v>
      </c>
      <c r="E2051" s="1" t="s">
        <v>11</v>
      </c>
      <c r="F2051">
        <v>76467</v>
      </c>
      <c r="G2051">
        <v>1</v>
      </c>
      <c r="H2051" s="2">
        <v>0</v>
      </c>
      <c r="I2051" s="2">
        <v>41138</v>
      </c>
      <c r="J2051">
        <v>44</v>
      </c>
      <c r="K2051">
        <f>VLOOKUP(B2051,purchase_dataset!$B$2:$F$2241,2,FALSE)</f>
        <v>161</v>
      </c>
      <c r="L2051">
        <f>VLOOKUP(B2051,purchase_dataset!$B$2:$F$2241,3,FALSE)</f>
        <v>44</v>
      </c>
      <c r="M2051">
        <f>VLOOKUP(B2051,purchase_dataset!$B$2:$F$2241,3,FALSE)</f>
        <v>44</v>
      </c>
      <c r="N2051">
        <f>VLOOKUP(B2051,purchase_dataset!$B$2:$F$2241,5,FALSE)</f>
        <v>5</v>
      </c>
      <c r="O2051" s="5">
        <v>56</v>
      </c>
      <c r="P2051" s="4" t="str">
        <f t="shared" si="62"/>
        <v>&gt;50</v>
      </c>
      <c r="Q2051" s="4">
        <f>M2051+N2051</f>
        <v>49</v>
      </c>
      <c r="U2051" s="28" t="str" cm="1">
        <f t="array" ref="U2051">_xlfn.IFS(F2051&lt;30000,"30k",F2051&lt;=50000,"30k-50k",F2051&lt;=75000,"50k-75k",F2051&lt;=100000,"75k-100k",F2051&gt;100000,"100k")</f>
        <v>75k-100k</v>
      </c>
      <c r="W2051" s="1">
        <f t="shared" si="63"/>
        <v>14</v>
      </c>
    </row>
    <row r="2052" spans="1:23" x14ac:dyDescent="0.35">
      <c r="A2052">
        <v>2049</v>
      </c>
      <c r="B2052">
        <v>2079</v>
      </c>
      <c r="C2052">
        <v>1947</v>
      </c>
      <c r="D2052" s="1" t="s">
        <v>18</v>
      </c>
      <c r="E2052" s="1" t="s">
        <v>14</v>
      </c>
      <c r="F2052">
        <v>81044</v>
      </c>
      <c r="G2052">
        <v>0</v>
      </c>
      <c r="H2052" s="2">
        <v>0</v>
      </c>
      <c r="I2052" s="2">
        <v>41635</v>
      </c>
      <c r="J2052">
        <v>0</v>
      </c>
      <c r="K2052">
        <f>VLOOKUP(B2052,purchase_dataset!$B$2:$F$2241,2,FALSE)</f>
        <v>26</v>
      </c>
      <c r="L2052">
        <f>VLOOKUP(B2052,purchase_dataset!$B$2:$F$2241,3,FALSE)</f>
        <v>98</v>
      </c>
      <c r="M2052">
        <f>VLOOKUP(B2052,purchase_dataset!$B$2:$F$2241,3,FALSE)</f>
        <v>98</v>
      </c>
      <c r="N2052">
        <f>VLOOKUP(B2052,purchase_dataset!$B$2:$F$2241,5,FALSE)</f>
        <v>10</v>
      </c>
      <c r="O2052" s="5">
        <v>79</v>
      </c>
      <c r="P2052" s="4" t="str">
        <f t="shared" ref="P2052:P2115" si="64">IF(O2052&lt;30,"30",IF(O2052&lt;=50,"30-50","&gt;50"))</f>
        <v>&gt;50</v>
      </c>
      <c r="Q2052" s="4">
        <f>M2052+N2052</f>
        <v>108</v>
      </c>
      <c r="U2052" s="28" t="str" cm="1">
        <f t="array" ref="U2052">_xlfn.IFS(F2052&lt;30000,"30k",F2052&lt;=50000,"30k-50k",F2052&lt;=75000,"50k-75k",F2052&lt;=100000,"75k-100k",F2052&gt;100000,"100k")</f>
        <v>75k-100k</v>
      </c>
      <c r="W2052" s="1">
        <f t="shared" ref="W2052:W2115" si="65">2026-YEAR(I2052)</f>
        <v>13</v>
      </c>
    </row>
    <row r="2053" spans="1:23" x14ac:dyDescent="0.35">
      <c r="A2053">
        <v>2050</v>
      </c>
      <c r="B2053">
        <v>626</v>
      </c>
      <c r="C2053">
        <v>1951</v>
      </c>
      <c r="D2053" s="1" t="s">
        <v>10</v>
      </c>
      <c r="E2053" s="1" t="s">
        <v>14</v>
      </c>
      <c r="F2053">
        <v>32871</v>
      </c>
      <c r="G2053">
        <v>1</v>
      </c>
      <c r="H2053" s="2">
        <v>1</v>
      </c>
      <c r="I2053" s="2">
        <v>41342</v>
      </c>
      <c r="J2053">
        <v>28</v>
      </c>
      <c r="K2053">
        <f>VLOOKUP(B2053,purchase_dataset!$B$2:$F$2241,2,FALSE)</f>
        <v>2</v>
      </c>
      <c r="L2053">
        <f>VLOOKUP(B2053,purchase_dataset!$B$2:$F$2241,3,FALSE)</f>
        <v>2</v>
      </c>
      <c r="M2053">
        <f>VLOOKUP(B2053,purchase_dataset!$B$2:$F$2241,3,FALSE)</f>
        <v>2</v>
      </c>
      <c r="N2053">
        <f>VLOOKUP(B2053,purchase_dataset!$B$2:$F$2241,5,FALSE)</f>
        <v>3</v>
      </c>
      <c r="O2053" s="5">
        <v>75</v>
      </c>
      <c r="P2053" s="4" t="str">
        <f t="shared" si="64"/>
        <v>&gt;50</v>
      </c>
      <c r="Q2053" s="4">
        <f>M2053+N2053</f>
        <v>5</v>
      </c>
      <c r="U2053" s="28" t="str" cm="1">
        <f t="array" ref="U2053">_xlfn.IFS(F2053&lt;30000,"30k",F2053&lt;=50000,"30k-50k",F2053&lt;=75000,"50k-75k",F2053&lt;=100000,"75k-100k",F2053&gt;100000,"100k")</f>
        <v>30k-50k</v>
      </c>
      <c r="W2053" s="1">
        <f t="shared" si="65"/>
        <v>13</v>
      </c>
    </row>
    <row r="2054" spans="1:23" x14ac:dyDescent="0.35">
      <c r="A2054">
        <v>2051</v>
      </c>
      <c r="B2054">
        <v>4426</v>
      </c>
      <c r="C2054">
        <v>1975</v>
      </c>
      <c r="D2054" s="1" t="s">
        <v>10</v>
      </c>
      <c r="E2054" s="1" t="s">
        <v>11</v>
      </c>
      <c r="F2054">
        <v>55801</v>
      </c>
      <c r="G2054">
        <v>1</v>
      </c>
      <c r="H2054" s="2">
        <v>1</v>
      </c>
      <c r="I2054" s="2">
        <v>41539</v>
      </c>
      <c r="J2054">
        <v>35</v>
      </c>
      <c r="K2054">
        <f>VLOOKUP(B2054,purchase_dataset!$B$2:$F$2241,2,FALSE)</f>
        <v>4</v>
      </c>
      <c r="L2054">
        <f>VLOOKUP(B2054,purchase_dataset!$B$2:$F$2241,3,FALSE)</f>
        <v>4</v>
      </c>
      <c r="M2054">
        <f>VLOOKUP(B2054,purchase_dataset!$B$2:$F$2241,3,FALSE)</f>
        <v>4</v>
      </c>
      <c r="N2054">
        <f>VLOOKUP(B2054,purchase_dataset!$B$2:$F$2241,5,FALSE)</f>
        <v>6</v>
      </c>
      <c r="O2054" s="5">
        <v>51</v>
      </c>
      <c r="P2054" s="4" t="str">
        <f t="shared" si="64"/>
        <v>&gt;50</v>
      </c>
      <c r="Q2054" s="4">
        <f>M2054+N2054</f>
        <v>10</v>
      </c>
      <c r="U2054" s="28" t="str" cm="1">
        <f t="array" ref="U2054">_xlfn.IFS(F2054&lt;30000,"30k",F2054&lt;=50000,"30k-50k",F2054&lt;=75000,"50k-75k",F2054&lt;=100000,"75k-100k",F2054&gt;100000,"100k")</f>
        <v>50k-75k</v>
      </c>
      <c r="W2054" s="1">
        <f t="shared" si="65"/>
        <v>13</v>
      </c>
    </row>
    <row r="2055" spans="1:23" x14ac:dyDescent="0.35">
      <c r="A2055">
        <v>2052</v>
      </c>
      <c r="B2055">
        <v>2591</v>
      </c>
      <c r="C2055">
        <v>1959</v>
      </c>
      <c r="D2055" s="1" t="s">
        <v>10</v>
      </c>
      <c r="E2055" s="1" t="s">
        <v>19</v>
      </c>
      <c r="F2055">
        <v>76320</v>
      </c>
      <c r="G2055">
        <v>0</v>
      </c>
      <c r="H2055" s="2">
        <v>1</v>
      </c>
      <c r="I2055" s="2">
        <v>41812</v>
      </c>
      <c r="J2055">
        <v>49</v>
      </c>
      <c r="K2055">
        <f>VLOOKUP(B2055,purchase_dataset!$B$2:$F$2241,2,FALSE)</f>
        <v>35</v>
      </c>
      <c r="L2055">
        <f>VLOOKUP(B2055,purchase_dataset!$B$2:$F$2241,3,FALSE)</f>
        <v>53</v>
      </c>
      <c r="M2055">
        <f>VLOOKUP(B2055,purchase_dataset!$B$2:$F$2241,3,FALSE)</f>
        <v>53</v>
      </c>
      <c r="N2055">
        <f>VLOOKUP(B2055,purchase_dataset!$B$2:$F$2241,5,FALSE)</f>
        <v>4</v>
      </c>
      <c r="O2055" s="5">
        <v>67</v>
      </c>
      <c r="P2055" s="4" t="str">
        <f t="shared" si="64"/>
        <v>&gt;50</v>
      </c>
      <c r="Q2055" s="4">
        <f>M2055+N2055</f>
        <v>57</v>
      </c>
      <c r="U2055" s="28" t="str" cm="1">
        <f t="array" ref="U2055">_xlfn.IFS(F2055&lt;30000,"30k",F2055&lt;=50000,"30k-50k",F2055&lt;=75000,"50k-75k",F2055&lt;=100000,"75k-100k",F2055&gt;100000,"100k")</f>
        <v>75k-100k</v>
      </c>
      <c r="W2055" s="1">
        <f t="shared" si="65"/>
        <v>12</v>
      </c>
    </row>
    <row r="2056" spans="1:23" x14ac:dyDescent="0.35">
      <c r="A2056">
        <v>2053</v>
      </c>
      <c r="B2056">
        <v>10509</v>
      </c>
      <c r="C2056">
        <v>1955</v>
      </c>
      <c r="D2056" s="1" t="s">
        <v>15</v>
      </c>
      <c r="E2056" s="1" t="s">
        <v>11</v>
      </c>
      <c r="F2056">
        <v>36927</v>
      </c>
      <c r="G2056">
        <v>1</v>
      </c>
      <c r="H2056" s="2">
        <v>1</v>
      </c>
      <c r="I2056" s="2">
        <v>41792</v>
      </c>
      <c r="J2056">
        <v>46</v>
      </c>
      <c r="K2056">
        <f>VLOOKUP(B2056,purchase_dataset!$B$2:$F$2241,2,FALSE)</f>
        <v>0</v>
      </c>
      <c r="L2056">
        <f>VLOOKUP(B2056,purchase_dataset!$B$2:$F$2241,3,FALSE)</f>
        <v>0</v>
      </c>
      <c r="M2056">
        <f>VLOOKUP(B2056,purchase_dataset!$B$2:$F$2241,3,FALSE)</f>
        <v>0</v>
      </c>
      <c r="N2056">
        <f>VLOOKUP(B2056,purchase_dataset!$B$2:$F$2241,5,FALSE)</f>
        <v>3</v>
      </c>
      <c r="O2056" s="5">
        <v>71</v>
      </c>
      <c r="P2056" s="4" t="str">
        <f t="shared" si="64"/>
        <v>&gt;50</v>
      </c>
      <c r="Q2056" s="4">
        <f>M2056+N2056</f>
        <v>3</v>
      </c>
      <c r="U2056" s="28" t="str" cm="1">
        <f t="array" ref="U2056">_xlfn.IFS(F2056&lt;30000,"30k",F2056&lt;=50000,"30k-50k",F2056&lt;=75000,"50k-75k",F2056&lt;=100000,"75k-100k",F2056&gt;100000,"100k")</f>
        <v>30k-50k</v>
      </c>
      <c r="W2056" s="1">
        <f t="shared" si="65"/>
        <v>12</v>
      </c>
    </row>
    <row r="2057" spans="1:23" x14ac:dyDescent="0.35">
      <c r="A2057">
        <v>2054</v>
      </c>
      <c r="B2057">
        <v>6382</v>
      </c>
      <c r="C2057">
        <v>1953</v>
      </c>
      <c r="D2057" s="1" t="s">
        <v>10</v>
      </c>
      <c r="E2057" s="1" t="s">
        <v>12</v>
      </c>
      <c r="F2057">
        <v>48794</v>
      </c>
      <c r="G2057">
        <v>1</v>
      </c>
      <c r="H2057" s="2">
        <v>1</v>
      </c>
      <c r="I2057" s="2">
        <v>41816</v>
      </c>
      <c r="J2057">
        <v>97</v>
      </c>
      <c r="K2057">
        <f>VLOOKUP(B2057,purchase_dataset!$B$2:$F$2241,2,FALSE)</f>
        <v>0</v>
      </c>
      <c r="L2057">
        <f>VLOOKUP(B2057,purchase_dataset!$B$2:$F$2241,3,FALSE)</f>
        <v>0</v>
      </c>
      <c r="M2057">
        <f>VLOOKUP(B2057,purchase_dataset!$B$2:$F$2241,3,FALSE)</f>
        <v>0</v>
      </c>
      <c r="N2057">
        <f>VLOOKUP(B2057,purchase_dataset!$B$2:$F$2241,5,FALSE)</f>
        <v>3</v>
      </c>
      <c r="O2057" s="5">
        <v>73</v>
      </c>
      <c r="P2057" s="4" t="str">
        <f t="shared" si="64"/>
        <v>&gt;50</v>
      </c>
      <c r="Q2057" s="4">
        <f>M2057+N2057</f>
        <v>3</v>
      </c>
      <c r="U2057" s="28" t="str" cm="1">
        <f t="array" ref="U2057">_xlfn.IFS(F2057&lt;30000,"30k",F2057&lt;=50000,"30k-50k",F2057&lt;=75000,"50k-75k",F2057&lt;=100000,"75k-100k",F2057&gt;100000,"100k")</f>
        <v>30k-50k</v>
      </c>
      <c r="W2057" s="1">
        <f t="shared" si="65"/>
        <v>12</v>
      </c>
    </row>
    <row r="2058" spans="1:23" x14ac:dyDescent="0.35">
      <c r="A2058">
        <v>2055</v>
      </c>
      <c r="B2058">
        <v>6673</v>
      </c>
      <c r="C2058">
        <v>1965</v>
      </c>
      <c r="D2058" s="1" t="s">
        <v>10</v>
      </c>
      <c r="E2058" s="1" t="s">
        <v>11</v>
      </c>
      <c r="F2058">
        <v>23478</v>
      </c>
      <c r="G2058">
        <v>0</v>
      </c>
      <c r="H2058" s="2">
        <v>0</v>
      </c>
      <c r="I2058" s="2">
        <v>41352</v>
      </c>
      <c r="J2058">
        <v>51</v>
      </c>
      <c r="K2058">
        <f>VLOOKUP(B2058,purchase_dataset!$B$2:$F$2241,2,FALSE)</f>
        <v>6</v>
      </c>
      <c r="L2058">
        <f>VLOOKUP(B2058,purchase_dataset!$B$2:$F$2241,3,FALSE)</f>
        <v>17</v>
      </c>
      <c r="M2058">
        <f>VLOOKUP(B2058,purchase_dataset!$B$2:$F$2241,3,FALSE)</f>
        <v>17</v>
      </c>
      <c r="N2058">
        <f>VLOOKUP(B2058,purchase_dataset!$B$2:$F$2241,5,FALSE)</f>
        <v>3</v>
      </c>
      <c r="O2058" s="5">
        <v>61</v>
      </c>
      <c r="P2058" s="4" t="str">
        <f t="shared" si="64"/>
        <v>&gt;50</v>
      </c>
      <c r="Q2058" s="4">
        <f>M2058+N2058</f>
        <v>20</v>
      </c>
      <c r="U2058" s="28" t="str" cm="1">
        <f t="array" ref="U2058">_xlfn.IFS(F2058&lt;30000,"30k",F2058&lt;=50000,"30k-50k",F2058&lt;=75000,"50k-75k",F2058&lt;=100000,"75k-100k",F2058&gt;100000,"100k")</f>
        <v>30k</v>
      </c>
      <c r="W2058" s="1">
        <f t="shared" si="65"/>
        <v>13</v>
      </c>
    </row>
    <row r="2059" spans="1:23" x14ac:dyDescent="0.35">
      <c r="A2059">
        <v>2056</v>
      </c>
      <c r="B2059">
        <v>7441</v>
      </c>
      <c r="C2059">
        <v>1973</v>
      </c>
      <c r="D2059" s="1" t="s">
        <v>10</v>
      </c>
      <c r="E2059" s="1" t="s">
        <v>16</v>
      </c>
      <c r="F2059">
        <v>71128</v>
      </c>
      <c r="G2059">
        <v>1</v>
      </c>
      <c r="H2059" s="2">
        <v>0</v>
      </c>
      <c r="I2059" s="2">
        <v>41188</v>
      </c>
      <c r="J2059">
        <v>80</v>
      </c>
      <c r="K2059">
        <f>VLOOKUP(B2059,purchase_dataset!$B$2:$F$2241,2,FALSE)</f>
        <v>159</v>
      </c>
      <c r="L2059">
        <f>VLOOKUP(B2059,purchase_dataset!$B$2:$F$2241,3,FALSE)</f>
        <v>0</v>
      </c>
      <c r="M2059">
        <f>VLOOKUP(B2059,purchase_dataset!$B$2:$F$2241,3,FALSE)</f>
        <v>0</v>
      </c>
      <c r="N2059">
        <f>VLOOKUP(B2059,purchase_dataset!$B$2:$F$2241,5,FALSE)</f>
        <v>12</v>
      </c>
      <c r="O2059" s="5">
        <v>53</v>
      </c>
      <c r="P2059" s="4" t="str">
        <f t="shared" si="64"/>
        <v>&gt;50</v>
      </c>
      <c r="Q2059" s="4">
        <f>M2059+N2059</f>
        <v>12</v>
      </c>
      <c r="U2059" s="28" t="str" cm="1">
        <f t="array" ref="U2059">_xlfn.IFS(F2059&lt;30000,"30k",F2059&lt;=50000,"30k-50k",F2059&lt;=75000,"50k-75k",F2059&lt;=100000,"75k-100k",F2059&gt;100000,"100k")</f>
        <v>50k-75k</v>
      </c>
      <c r="W2059" s="1">
        <f t="shared" si="65"/>
        <v>14</v>
      </c>
    </row>
    <row r="2060" spans="1:23" x14ac:dyDescent="0.35">
      <c r="A2060">
        <v>2057</v>
      </c>
      <c r="B2060">
        <v>1071</v>
      </c>
      <c r="C2060">
        <v>1976</v>
      </c>
      <c r="D2060" s="1" t="s">
        <v>13</v>
      </c>
      <c r="E2060" s="1" t="s">
        <v>16</v>
      </c>
      <c r="F2060">
        <v>70179</v>
      </c>
      <c r="G2060">
        <v>0</v>
      </c>
      <c r="H2060" s="2">
        <v>1</v>
      </c>
      <c r="I2060" s="2">
        <v>41476</v>
      </c>
      <c r="J2060">
        <v>10</v>
      </c>
      <c r="K2060">
        <f>VLOOKUP(B2060,purchase_dataset!$B$2:$F$2241,2,FALSE)</f>
        <v>88</v>
      </c>
      <c r="L2060">
        <f>VLOOKUP(B2060,purchase_dataset!$B$2:$F$2241,3,FALSE)</f>
        <v>44</v>
      </c>
      <c r="M2060">
        <f>VLOOKUP(B2060,purchase_dataset!$B$2:$F$2241,3,FALSE)</f>
        <v>44</v>
      </c>
      <c r="N2060">
        <f>VLOOKUP(B2060,purchase_dataset!$B$2:$F$2241,5,FALSE)</f>
        <v>13</v>
      </c>
      <c r="O2060" s="5">
        <v>50</v>
      </c>
      <c r="P2060" s="4" t="str">
        <f t="shared" si="64"/>
        <v>30-50</v>
      </c>
      <c r="Q2060" s="4">
        <f>M2060+N2060</f>
        <v>57</v>
      </c>
      <c r="U2060" s="28" t="str" cm="1">
        <f t="array" ref="U2060">_xlfn.IFS(F2060&lt;30000,"30k",F2060&lt;=50000,"30k-50k",F2060&lt;=75000,"50k-75k",F2060&lt;=100000,"75k-100k",F2060&gt;100000,"100k")</f>
        <v>50k-75k</v>
      </c>
      <c r="W2060" s="1">
        <f t="shared" si="65"/>
        <v>13</v>
      </c>
    </row>
    <row r="2061" spans="1:23" x14ac:dyDescent="0.35">
      <c r="A2061">
        <v>2058</v>
      </c>
      <c r="B2061">
        <v>10061</v>
      </c>
      <c r="C2061">
        <v>1950</v>
      </c>
      <c r="D2061" s="1" t="s">
        <v>10</v>
      </c>
      <c r="E2061" s="1" t="s">
        <v>14</v>
      </c>
      <c r="F2061">
        <v>59462</v>
      </c>
      <c r="G2061">
        <v>0</v>
      </c>
      <c r="H2061" s="2">
        <v>1</v>
      </c>
      <c r="I2061" s="2">
        <v>41279</v>
      </c>
      <c r="J2061">
        <v>29</v>
      </c>
      <c r="K2061">
        <f>VLOOKUP(B2061,purchase_dataset!$B$2:$F$2241,2,FALSE)</f>
        <v>17</v>
      </c>
      <c r="L2061">
        <f>VLOOKUP(B2061,purchase_dataset!$B$2:$F$2241,3,FALSE)</f>
        <v>8</v>
      </c>
      <c r="M2061">
        <f>VLOOKUP(B2061,purchase_dataset!$B$2:$F$2241,3,FALSE)</f>
        <v>8</v>
      </c>
      <c r="N2061">
        <f>VLOOKUP(B2061,purchase_dataset!$B$2:$F$2241,5,FALSE)</f>
        <v>12</v>
      </c>
      <c r="O2061" s="5">
        <v>76</v>
      </c>
      <c r="P2061" s="4" t="str">
        <f t="shared" si="64"/>
        <v>&gt;50</v>
      </c>
      <c r="Q2061" s="4">
        <f>M2061+N2061</f>
        <v>20</v>
      </c>
      <c r="U2061" s="28" t="str" cm="1">
        <f t="array" ref="U2061">_xlfn.IFS(F2061&lt;30000,"30k",F2061&lt;=50000,"30k-50k",F2061&lt;=75000,"50k-75k",F2061&lt;=100000,"75k-100k",F2061&gt;100000,"100k")</f>
        <v>50k-75k</v>
      </c>
      <c r="W2061" s="1">
        <f t="shared" si="65"/>
        <v>13</v>
      </c>
    </row>
    <row r="2062" spans="1:23" x14ac:dyDescent="0.35">
      <c r="A2062">
        <v>2059</v>
      </c>
      <c r="B2062">
        <v>7187</v>
      </c>
      <c r="C2062">
        <v>1969</v>
      </c>
      <c r="D2062" s="1" t="s">
        <v>15</v>
      </c>
      <c r="E2062" s="1" t="s">
        <v>12</v>
      </c>
      <c r="G2062">
        <v>1</v>
      </c>
      <c r="H2062" s="2">
        <v>1</v>
      </c>
      <c r="I2062" s="2">
        <v>41412</v>
      </c>
      <c r="J2062">
        <v>52</v>
      </c>
      <c r="K2062">
        <f>VLOOKUP(B2062,purchase_dataset!$B$2:$F$2241,2,FALSE)</f>
        <v>42</v>
      </c>
      <c r="L2062">
        <f>VLOOKUP(B2062,purchase_dataset!$B$2:$F$2241,3,FALSE)</f>
        <v>66</v>
      </c>
      <c r="M2062">
        <f>VLOOKUP(B2062,purchase_dataset!$B$2:$F$2241,3,FALSE)</f>
        <v>66</v>
      </c>
      <c r="N2062">
        <f>VLOOKUP(B2062,purchase_dataset!$B$2:$F$2241,5,FALSE)</f>
        <v>4</v>
      </c>
      <c r="O2062" s="5">
        <v>57</v>
      </c>
      <c r="P2062" s="4" t="str">
        <f t="shared" si="64"/>
        <v>&gt;50</v>
      </c>
      <c r="Q2062" s="4">
        <f>M2062+N2062</f>
        <v>70</v>
      </c>
      <c r="U2062" s="28" t="str" cm="1">
        <f t="array" ref="U2062">_xlfn.IFS(F2062&lt;30000,"30k",F2062&lt;=50000,"30k-50k",F2062&lt;=75000,"50k-75k",F2062&lt;=100000,"75k-100k",F2062&gt;100000,"100k")</f>
        <v>30k</v>
      </c>
      <c r="W2062" s="1">
        <f t="shared" si="65"/>
        <v>13</v>
      </c>
    </row>
    <row r="2063" spans="1:23" x14ac:dyDescent="0.35">
      <c r="A2063">
        <v>2060</v>
      </c>
      <c r="B2063">
        <v>8775</v>
      </c>
      <c r="C2063">
        <v>1969</v>
      </c>
      <c r="D2063" s="1" t="s">
        <v>10</v>
      </c>
      <c r="E2063" s="1" t="s">
        <v>12</v>
      </c>
      <c r="F2063">
        <v>38361</v>
      </c>
      <c r="G2063">
        <v>1</v>
      </c>
      <c r="H2063" s="2">
        <v>0</v>
      </c>
      <c r="I2063" s="2">
        <v>41635</v>
      </c>
      <c r="J2063">
        <v>74</v>
      </c>
      <c r="K2063">
        <f>VLOOKUP(B2063,purchase_dataset!$B$2:$F$2241,2,FALSE)</f>
        <v>0</v>
      </c>
      <c r="L2063">
        <f>VLOOKUP(B2063,purchase_dataset!$B$2:$F$2241,3,FALSE)</f>
        <v>8</v>
      </c>
      <c r="M2063">
        <f>VLOOKUP(B2063,purchase_dataset!$B$2:$F$2241,3,FALSE)</f>
        <v>8</v>
      </c>
      <c r="N2063">
        <f>VLOOKUP(B2063,purchase_dataset!$B$2:$F$2241,5,FALSE)</f>
        <v>3</v>
      </c>
      <c r="O2063" s="5">
        <v>57</v>
      </c>
      <c r="P2063" s="4" t="str">
        <f t="shared" si="64"/>
        <v>&gt;50</v>
      </c>
      <c r="Q2063" s="4">
        <f>M2063+N2063</f>
        <v>11</v>
      </c>
      <c r="U2063" s="28" t="str" cm="1">
        <f t="array" ref="U2063">_xlfn.IFS(F2063&lt;30000,"30k",F2063&lt;=50000,"30k-50k",F2063&lt;=75000,"50k-75k",F2063&lt;=100000,"75k-100k",F2063&gt;100000,"100k")</f>
        <v>30k-50k</v>
      </c>
      <c r="W2063" s="1">
        <f t="shared" si="65"/>
        <v>13</v>
      </c>
    </row>
    <row r="2064" spans="1:23" x14ac:dyDescent="0.35">
      <c r="A2064">
        <v>2061</v>
      </c>
      <c r="B2064">
        <v>1612</v>
      </c>
      <c r="C2064">
        <v>1981</v>
      </c>
      <c r="D2064" s="1" t="s">
        <v>13</v>
      </c>
      <c r="E2064" s="1" t="s">
        <v>11</v>
      </c>
      <c r="G2064">
        <v>1</v>
      </c>
      <c r="H2064" s="2">
        <v>0</v>
      </c>
      <c r="I2064" s="2">
        <v>41425</v>
      </c>
      <c r="J2064">
        <v>82</v>
      </c>
      <c r="K2064">
        <f>VLOOKUP(B2064,purchase_dataset!$B$2:$F$2241,2,FALSE)</f>
        <v>0</v>
      </c>
      <c r="L2064">
        <f>VLOOKUP(B2064,purchase_dataset!$B$2:$F$2241,3,FALSE)</f>
        <v>2</v>
      </c>
      <c r="M2064">
        <f>VLOOKUP(B2064,purchase_dataset!$B$2:$F$2241,3,FALSE)</f>
        <v>2</v>
      </c>
      <c r="N2064">
        <f>VLOOKUP(B2064,purchase_dataset!$B$2:$F$2241,5,FALSE)</f>
        <v>3</v>
      </c>
      <c r="O2064" s="5">
        <v>45</v>
      </c>
      <c r="P2064" s="4" t="str">
        <f t="shared" si="64"/>
        <v>30-50</v>
      </c>
      <c r="Q2064" s="4">
        <f>M2064+N2064</f>
        <v>5</v>
      </c>
      <c r="U2064" s="28" t="str" cm="1">
        <f t="array" ref="U2064">_xlfn.IFS(F2064&lt;30000,"30k",F2064&lt;=50000,"30k-50k",F2064&lt;=75000,"50k-75k",F2064&lt;=100000,"75k-100k",F2064&gt;100000,"100k")</f>
        <v>30k</v>
      </c>
      <c r="W2064" s="1">
        <f t="shared" si="65"/>
        <v>13</v>
      </c>
    </row>
    <row r="2065" spans="1:23" x14ac:dyDescent="0.35">
      <c r="A2065">
        <v>2062</v>
      </c>
      <c r="B2065">
        <v>2345</v>
      </c>
      <c r="C2065">
        <v>1982</v>
      </c>
      <c r="D2065" s="1" t="s">
        <v>13</v>
      </c>
      <c r="E2065" s="1" t="s">
        <v>12</v>
      </c>
      <c r="F2065">
        <v>70038</v>
      </c>
      <c r="G2065">
        <v>0</v>
      </c>
      <c r="H2065" s="2">
        <v>0</v>
      </c>
      <c r="I2065" s="2">
        <v>41572</v>
      </c>
      <c r="J2065">
        <v>54</v>
      </c>
      <c r="K2065">
        <f>VLOOKUP(B2065,purchase_dataset!$B$2:$F$2241,2,FALSE)</f>
        <v>54</v>
      </c>
      <c r="L2065">
        <f>VLOOKUP(B2065,purchase_dataset!$B$2:$F$2241,3,FALSE)</f>
        <v>54</v>
      </c>
      <c r="M2065">
        <f>VLOOKUP(B2065,purchase_dataset!$B$2:$F$2241,3,FALSE)</f>
        <v>54</v>
      </c>
      <c r="N2065">
        <f>VLOOKUP(B2065,purchase_dataset!$B$2:$F$2241,5,FALSE)</f>
        <v>8</v>
      </c>
      <c r="O2065" s="5">
        <v>44</v>
      </c>
      <c r="P2065" s="4" t="str">
        <f t="shared" si="64"/>
        <v>30-50</v>
      </c>
      <c r="Q2065" s="4">
        <f>M2065+N2065</f>
        <v>62</v>
      </c>
      <c r="U2065" s="28" t="str" cm="1">
        <f t="array" ref="U2065">_xlfn.IFS(F2065&lt;30000,"30k",F2065&lt;=50000,"30k-50k",F2065&lt;=75000,"50k-75k",F2065&lt;=100000,"75k-100k",F2065&gt;100000,"100k")</f>
        <v>50k-75k</v>
      </c>
      <c r="W2065" s="1">
        <f t="shared" si="65"/>
        <v>13</v>
      </c>
    </row>
    <row r="2066" spans="1:23" x14ac:dyDescent="0.35">
      <c r="A2066">
        <v>2063</v>
      </c>
      <c r="B2066">
        <v>322</v>
      </c>
      <c r="C2066">
        <v>1978</v>
      </c>
      <c r="D2066" s="1" t="s">
        <v>10</v>
      </c>
      <c r="E2066" s="1" t="s">
        <v>12</v>
      </c>
      <c r="F2066">
        <v>42554</v>
      </c>
      <c r="G2066">
        <v>1</v>
      </c>
      <c r="H2066" s="2">
        <v>1</v>
      </c>
      <c r="I2066" s="2">
        <v>41286</v>
      </c>
      <c r="J2066">
        <v>93</v>
      </c>
      <c r="K2066">
        <f>VLOOKUP(B2066,purchase_dataset!$B$2:$F$2241,2,FALSE)</f>
        <v>1</v>
      </c>
      <c r="L2066">
        <f>VLOOKUP(B2066,purchase_dataset!$B$2:$F$2241,3,FALSE)</f>
        <v>0</v>
      </c>
      <c r="M2066">
        <f>VLOOKUP(B2066,purchase_dataset!$B$2:$F$2241,3,FALSE)</f>
        <v>0</v>
      </c>
      <c r="N2066">
        <f>VLOOKUP(B2066,purchase_dataset!$B$2:$F$2241,5,FALSE)</f>
        <v>3</v>
      </c>
      <c r="O2066" s="5">
        <v>48</v>
      </c>
      <c r="P2066" s="4" t="str">
        <f t="shared" si="64"/>
        <v>30-50</v>
      </c>
      <c r="Q2066" s="4">
        <f>M2066+N2066</f>
        <v>3</v>
      </c>
      <c r="U2066" s="28" t="str" cm="1">
        <f t="array" ref="U2066">_xlfn.IFS(F2066&lt;30000,"30k",F2066&lt;=50000,"30k-50k",F2066&lt;=75000,"50k-75k",F2066&lt;=100000,"75k-100k",F2066&gt;100000,"100k")</f>
        <v>30k-50k</v>
      </c>
      <c r="W2066" s="1">
        <f t="shared" si="65"/>
        <v>13</v>
      </c>
    </row>
    <row r="2067" spans="1:23" x14ac:dyDescent="0.35">
      <c r="A2067">
        <v>2064</v>
      </c>
      <c r="B2067">
        <v>10897</v>
      </c>
      <c r="C2067">
        <v>1974</v>
      </c>
      <c r="D2067" s="1" t="s">
        <v>10</v>
      </c>
      <c r="E2067" s="1" t="s">
        <v>14</v>
      </c>
      <c r="F2067">
        <v>67445</v>
      </c>
      <c r="G2067">
        <v>0</v>
      </c>
      <c r="H2067" s="2">
        <v>1</v>
      </c>
      <c r="I2067" s="2">
        <v>41133</v>
      </c>
      <c r="J2067">
        <v>63</v>
      </c>
      <c r="K2067">
        <f>VLOOKUP(B2067,purchase_dataset!$B$2:$F$2241,2,FALSE)</f>
        <v>80</v>
      </c>
      <c r="L2067">
        <f>VLOOKUP(B2067,purchase_dataset!$B$2:$F$2241,3,FALSE)</f>
        <v>80</v>
      </c>
      <c r="M2067">
        <f>VLOOKUP(B2067,purchase_dataset!$B$2:$F$2241,3,FALSE)</f>
        <v>80</v>
      </c>
      <c r="N2067">
        <f>VLOOKUP(B2067,purchase_dataset!$B$2:$F$2241,5,FALSE)</f>
        <v>12</v>
      </c>
      <c r="O2067" s="5">
        <v>52</v>
      </c>
      <c r="P2067" s="4" t="str">
        <f t="shared" si="64"/>
        <v>&gt;50</v>
      </c>
      <c r="Q2067" s="4">
        <f>M2067+N2067</f>
        <v>92</v>
      </c>
      <c r="U2067" s="28" t="str" cm="1">
        <f t="array" ref="U2067">_xlfn.IFS(F2067&lt;30000,"30k",F2067&lt;=50000,"30k-50k",F2067&lt;=75000,"50k-75k",F2067&lt;=100000,"75k-100k",F2067&gt;100000,"100k")</f>
        <v>50k-75k</v>
      </c>
      <c r="W2067" s="1">
        <f t="shared" si="65"/>
        <v>14</v>
      </c>
    </row>
    <row r="2068" spans="1:23" x14ac:dyDescent="0.35">
      <c r="A2068">
        <v>2065</v>
      </c>
      <c r="B2068">
        <v>123</v>
      </c>
      <c r="C2068">
        <v>1951</v>
      </c>
      <c r="D2068" s="1" t="s">
        <v>10</v>
      </c>
      <c r="E2068" s="1" t="s">
        <v>19</v>
      </c>
      <c r="F2068">
        <v>67046</v>
      </c>
      <c r="G2068">
        <v>0</v>
      </c>
      <c r="H2068" s="2">
        <v>1</v>
      </c>
      <c r="I2068" s="2">
        <v>41280</v>
      </c>
      <c r="J2068">
        <v>92</v>
      </c>
      <c r="K2068">
        <f>VLOOKUP(B2068,purchase_dataset!$B$2:$F$2241,2,FALSE)</f>
        <v>35</v>
      </c>
      <c r="L2068">
        <f>VLOOKUP(B2068,purchase_dataset!$B$2:$F$2241,3,FALSE)</f>
        <v>151</v>
      </c>
      <c r="M2068">
        <f>VLOOKUP(B2068,purchase_dataset!$B$2:$F$2241,3,FALSE)</f>
        <v>151</v>
      </c>
      <c r="N2068">
        <f>VLOOKUP(B2068,purchase_dataset!$B$2:$F$2241,5,FALSE)</f>
        <v>4</v>
      </c>
      <c r="O2068" s="5">
        <v>75</v>
      </c>
      <c r="P2068" s="4" t="str">
        <f t="shared" si="64"/>
        <v>&gt;50</v>
      </c>
      <c r="Q2068" s="4">
        <f>M2068+N2068</f>
        <v>155</v>
      </c>
      <c r="U2068" s="28" t="str" cm="1">
        <f t="array" ref="U2068">_xlfn.IFS(F2068&lt;30000,"30k",F2068&lt;=50000,"30k-50k",F2068&lt;=75000,"50k-75k",F2068&lt;=100000,"75k-100k",F2068&gt;100000,"100k")</f>
        <v>50k-75k</v>
      </c>
      <c r="W2068" s="1">
        <f t="shared" si="65"/>
        <v>13</v>
      </c>
    </row>
    <row r="2069" spans="1:23" x14ac:dyDescent="0.35">
      <c r="A2069">
        <v>2066</v>
      </c>
      <c r="B2069">
        <v>6103</v>
      </c>
      <c r="C2069">
        <v>1948</v>
      </c>
      <c r="D2069" s="1" t="s">
        <v>10</v>
      </c>
      <c r="E2069" s="1" t="s">
        <v>14</v>
      </c>
      <c r="F2069">
        <v>42192</v>
      </c>
      <c r="G2069">
        <v>0</v>
      </c>
      <c r="H2069" s="2">
        <v>0</v>
      </c>
      <c r="I2069" s="2">
        <v>41523</v>
      </c>
      <c r="J2069">
        <v>40</v>
      </c>
      <c r="K2069">
        <f>VLOOKUP(B2069,purchase_dataset!$B$2:$F$2241,2,FALSE)</f>
        <v>15</v>
      </c>
      <c r="L2069">
        <f>VLOOKUP(B2069,purchase_dataset!$B$2:$F$2241,3,FALSE)</f>
        <v>6</v>
      </c>
      <c r="M2069">
        <f>VLOOKUP(B2069,purchase_dataset!$B$2:$F$2241,3,FALSE)</f>
        <v>6</v>
      </c>
      <c r="N2069">
        <f>VLOOKUP(B2069,purchase_dataset!$B$2:$F$2241,5,FALSE)</f>
        <v>3</v>
      </c>
      <c r="O2069" s="5">
        <v>78</v>
      </c>
      <c r="P2069" s="4" t="str">
        <f t="shared" si="64"/>
        <v>&gt;50</v>
      </c>
      <c r="Q2069" s="4">
        <f>M2069+N2069</f>
        <v>9</v>
      </c>
      <c r="U2069" s="28" t="str" cm="1">
        <f t="array" ref="U2069">_xlfn.IFS(F2069&lt;30000,"30k",F2069&lt;=50000,"30k-50k",F2069&lt;=75000,"50k-75k",F2069&lt;=100000,"75k-100k",F2069&gt;100000,"100k")</f>
        <v>30k-50k</v>
      </c>
      <c r="W2069" s="1">
        <f t="shared" si="65"/>
        <v>13</v>
      </c>
    </row>
    <row r="2070" spans="1:23" x14ac:dyDescent="0.35">
      <c r="A2070">
        <v>2067</v>
      </c>
      <c r="B2070">
        <v>7899</v>
      </c>
      <c r="C2070">
        <v>1952</v>
      </c>
      <c r="D2070" s="1" t="s">
        <v>13</v>
      </c>
      <c r="E2070" s="1" t="s">
        <v>14</v>
      </c>
      <c r="F2070">
        <v>77610</v>
      </c>
      <c r="G2070">
        <v>0</v>
      </c>
      <c r="H2070" s="2">
        <v>1</v>
      </c>
      <c r="I2070" s="2">
        <v>41211</v>
      </c>
      <c r="J2070">
        <v>70</v>
      </c>
      <c r="K2070">
        <f>VLOOKUP(B2070,purchase_dataset!$B$2:$F$2241,2,FALSE)</f>
        <v>33</v>
      </c>
      <c r="L2070">
        <f>VLOOKUP(B2070,purchase_dataset!$B$2:$F$2241,3,FALSE)</f>
        <v>33</v>
      </c>
      <c r="M2070">
        <f>VLOOKUP(B2070,purchase_dataset!$B$2:$F$2241,3,FALSE)</f>
        <v>33</v>
      </c>
      <c r="N2070">
        <f>VLOOKUP(B2070,purchase_dataset!$B$2:$F$2241,5,FALSE)</f>
        <v>4</v>
      </c>
      <c r="O2070" s="5">
        <v>74</v>
      </c>
      <c r="P2070" s="4" t="str">
        <f t="shared" si="64"/>
        <v>&gt;50</v>
      </c>
      <c r="Q2070" s="4">
        <f>M2070+N2070</f>
        <v>37</v>
      </c>
      <c r="U2070" s="28" t="str" cm="1">
        <f t="array" ref="U2070">_xlfn.IFS(F2070&lt;30000,"30k",F2070&lt;=50000,"30k-50k",F2070&lt;=75000,"50k-75k",F2070&lt;=100000,"75k-100k",F2070&gt;100000,"100k")</f>
        <v>75k-100k</v>
      </c>
      <c r="W2070" s="1">
        <f t="shared" si="65"/>
        <v>14</v>
      </c>
    </row>
    <row r="2071" spans="1:23" x14ac:dyDescent="0.35">
      <c r="A2071">
        <v>2068</v>
      </c>
      <c r="B2071">
        <v>10500</v>
      </c>
      <c r="C2071">
        <v>1984</v>
      </c>
      <c r="D2071" s="1" t="s">
        <v>10</v>
      </c>
      <c r="E2071" s="1" t="s">
        <v>14</v>
      </c>
      <c r="F2071">
        <v>31761</v>
      </c>
      <c r="G2071">
        <v>1</v>
      </c>
      <c r="H2071" s="2">
        <v>0</v>
      </c>
      <c r="I2071" s="2">
        <v>41734</v>
      </c>
      <c r="J2071">
        <v>96</v>
      </c>
      <c r="K2071">
        <f>VLOOKUP(B2071,purchase_dataset!$B$2:$F$2241,2,FALSE)</f>
        <v>1</v>
      </c>
      <c r="L2071">
        <f>VLOOKUP(B2071,purchase_dataset!$B$2:$F$2241,3,FALSE)</f>
        <v>14</v>
      </c>
      <c r="M2071">
        <f>VLOOKUP(B2071,purchase_dataset!$B$2:$F$2241,3,FALSE)</f>
        <v>14</v>
      </c>
      <c r="N2071">
        <f>VLOOKUP(B2071,purchase_dataset!$B$2:$F$2241,5,FALSE)</f>
        <v>4</v>
      </c>
      <c r="O2071" s="5">
        <v>42</v>
      </c>
      <c r="P2071" s="4" t="str">
        <f t="shared" si="64"/>
        <v>30-50</v>
      </c>
      <c r="Q2071" s="4">
        <f>M2071+N2071</f>
        <v>18</v>
      </c>
      <c r="U2071" s="28" t="str" cm="1">
        <f t="array" ref="U2071">_xlfn.IFS(F2071&lt;30000,"30k",F2071&lt;=50000,"30k-50k",F2071&lt;=75000,"50k-75k",F2071&lt;=100000,"75k-100k",F2071&gt;100000,"100k")</f>
        <v>30k-50k</v>
      </c>
      <c r="W2071" s="1">
        <f t="shared" si="65"/>
        <v>12</v>
      </c>
    </row>
    <row r="2072" spans="1:23" x14ac:dyDescent="0.35">
      <c r="A2072">
        <v>2069</v>
      </c>
      <c r="B2072">
        <v>1655</v>
      </c>
      <c r="C2072">
        <v>1979</v>
      </c>
      <c r="D2072" s="1" t="s">
        <v>10</v>
      </c>
      <c r="E2072" s="1" t="s">
        <v>12</v>
      </c>
      <c r="F2072">
        <v>34350</v>
      </c>
      <c r="G2072">
        <v>1</v>
      </c>
      <c r="H2072" s="2">
        <v>0</v>
      </c>
      <c r="I2072" s="2">
        <v>41566</v>
      </c>
      <c r="J2072">
        <v>81</v>
      </c>
      <c r="K2072">
        <f>VLOOKUP(B2072,purchase_dataset!$B$2:$F$2241,2,FALSE)</f>
        <v>3</v>
      </c>
      <c r="L2072">
        <f>VLOOKUP(B2072,purchase_dataset!$B$2:$F$2241,3,FALSE)</f>
        <v>1</v>
      </c>
      <c r="M2072">
        <f>VLOOKUP(B2072,purchase_dataset!$B$2:$F$2241,3,FALSE)</f>
        <v>1</v>
      </c>
      <c r="N2072">
        <f>VLOOKUP(B2072,purchase_dataset!$B$2:$F$2241,5,FALSE)</f>
        <v>3</v>
      </c>
      <c r="O2072" s="5">
        <v>47</v>
      </c>
      <c r="P2072" s="4" t="str">
        <f t="shared" si="64"/>
        <v>30-50</v>
      </c>
      <c r="Q2072" s="4">
        <f>M2072+N2072</f>
        <v>4</v>
      </c>
      <c r="U2072" s="28" t="str" cm="1">
        <f t="array" ref="U2072">_xlfn.IFS(F2072&lt;30000,"30k",F2072&lt;=50000,"30k-50k",F2072&lt;=75000,"50k-75k",F2072&lt;=100000,"75k-100k",F2072&gt;100000,"100k")</f>
        <v>30k-50k</v>
      </c>
      <c r="W2072" s="1">
        <f t="shared" si="65"/>
        <v>13</v>
      </c>
    </row>
    <row r="2073" spans="1:23" x14ac:dyDescent="0.35">
      <c r="A2073">
        <v>2070</v>
      </c>
      <c r="B2073">
        <v>2406</v>
      </c>
      <c r="C2073">
        <v>1949</v>
      </c>
      <c r="D2073" s="1" t="s">
        <v>10</v>
      </c>
      <c r="E2073" s="1" t="s">
        <v>12</v>
      </c>
      <c r="F2073">
        <v>54591</v>
      </c>
      <c r="G2073">
        <v>0</v>
      </c>
      <c r="H2073" s="2">
        <v>1</v>
      </c>
      <c r="I2073" s="2">
        <v>41491</v>
      </c>
      <c r="J2073">
        <v>63</v>
      </c>
      <c r="K2073">
        <f>VLOOKUP(B2073,purchase_dataset!$B$2:$F$2241,2,FALSE)</f>
        <v>4</v>
      </c>
      <c r="L2073">
        <f>VLOOKUP(B2073,purchase_dataset!$B$2:$F$2241,3,FALSE)</f>
        <v>9</v>
      </c>
      <c r="M2073">
        <f>VLOOKUP(B2073,purchase_dataset!$B$2:$F$2241,3,FALSE)</f>
        <v>9</v>
      </c>
      <c r="N2073">
        <f>VLOOKUP(B2073,purchase_dataset!$B$2:$F$2241,5,FALSE)</f>
        <v>8</v>
      </c>
      <c r="O2073" s="5">
        <v>77</v>
      </c>
      <c r="P2073" s="4" t="str">
        <f t="shared" si="64"/>
        <v>&gt;50</v>
      </c>
      <c r="Q2073" s="4">
        <f>M2073+N2073</f>
        <v>17</v>
      </c>
      <c r="U2073" s="28" t="str" cm="1">
        <f t="array" ref="U2073">_xlfn.IFS(F2073&lt;30000,"30k",F2073&lt;=50000,"30k-50k",F2073&lt;=75000,"50k-75k",F2073&lt;=100000,"75k-100k",F2073&gt;100000,"100k")</f>
        <v>50k-75k</v>
      </c>
      <c r="W2073" s="1">
        <f t="shared" si="65"/>
        <v>13</v>
      </c>
    </row>
    <row r="2074" spans="1:23" x14ac:dyDescent="0.35">
      <c r="A2074">
        <v>2071</v>
      </c>
      <c r="B2074">
        <v>2712</v>
      </c>
      <c r="C2074">
        <v>1956</v>
      </c>
      <c r="D2074" s="1" t="s">
        <v>10</v>
      </c>
      <c r="E2074" s="1" t="s">
        <v>14</v>
      </c>
      <c r="F2074">
        <v>71866</v>
      </c>
      <c r="G2074">
        <v>0</v>
      </c>
      <c r="H2074" s="2">
        <v>1</v>
      </c>
      <c r="I2074" s="2">
        <v>41633</v>
      </c>
      <c r="J2074">
        <v>85</v>
      </c>
      <c r="K2074">
        <f>VLOOKUP(B2074,purchase_dataset!$B$2:$F$2241,2,FALSE)</f>
        <v>178</v>
      </c>
      <c r="L2074">
        <f>VLOOKUP(B2074,purchase_dataset!$B$2:$F$2241,3,FALSE)</f>
        <v>39</v>
      </c>
      <c r="M2074">
        <f>VLOOKUP(B2074,purchase_dataset!$B$2:$F$2241,3,FALSE)</f>
        <v>39</v>
      </c>
      <c r="N2074">
        <f>VLOOKUP(B2074,purchase_dataset!$B$2:$F$2241,5,FALSE)</f>
        <v>10</v>
      </c>
      <c r="O2074" s="5">
        <v>70</v>
      </c>
      <c r="P2074" s="4" t="str">
        <f t="shared" si="64"/>
        <v>&gt;50</v>
      </c>
      <c r="Q2074" s="4">
        <f>M2074+N2074</f>
        <v>49</v>
      </c>
      <c r="U2074" s="28" t="str" cm="1">
        <f t="array" ref="U2074">_xlfn.IFS(F2074&lt;30000,"30k",F2074&lt;=50000,"30k-50k",F2074&lt;=75000,"50k-75k",F2074&lt;=100000,"75k-100k",F2074&gt;100000,"100k")</f>
        <v>50k-75k</v>
      </c>
      <c r="W2074" s="1">
        <f t="shared" si="65"/>
        <v>13</v>
      </c>
    </row>
    <row r="2075" spans="1:23" x14ac:dyDescent="0.35">
      <c r="A2075">
        <v>2072</v>
      </c>
      <c r="B2075">
        <v>5517</v>
      </c>
      <c r="C2075">
        <v>1969</v>
      </c>
      <c r="D2075" s="1" t="s">
        <v>10</v>
      </c>
      <c r="E2075" s="1" t="s">
        <v>14</v>
      </c>
      <c r="F2075">
        <v>25293</v>
      </c>
      <c r="G2075">
        <v>1</v>
      </c>
      <c r="H2075" s="2">
        <v>0</v>
      </c>
      <c r="I2075" s="2">
        <v>41532</v>
      </c>
      <c r="J2075">
        <v>51</v>
      </c>
      <c r="K2075">
        <f>VLOOKUP(B2075,purchase_dataset!$B$2:$F$2241,2,FALSE)</f>
        <v>0</v>
      </c>
      <c r="L2075">
        <f>VLOOKUP(B2075,purchase_dataset!$B$2:$F$2241,3,FALSE)</f>
        <v>2</v>
      </c>
      <c r="M2075">
        <f>VLOOKUP(B2075,purchase_dataset!$B$2:$F$2241,3,FALSE)</f>
        <v>2</v>
      </c>
      <c r="N2075">
        <f>VLOOKUP(B2075,purchase_dataset!$B$2:$F$2241,5,FALSE)</f>
        <v>2</v>
      </c>
      <c r="O2075" s="5">
        <v>57</v>
      </c>
      <c r="P2075" s="4" t="str">
        <f t="shared" si="64"/>
        <v>&gt;50</v>
      </c>
      <c r="Q2075" s="4">
        <f>M2075+N2075</f>
        <v>4</v>
      </c>
      <c r="U2075" s="28" t="str" cm="1">
        <f t="array" ref="U2075">_xlfn.IFS(F2075&lt;30000,"30k",F2075&lt;=50000,"30k-50k",F2075&lt;=75000,"50k-75k",F2075&lt;=100000,"75k-100k",F2075&gt;100000,"100k")</f>
        <v>30k</v>
      </c>
      <c r="W2075" s="1">
        <f t="shared" si="65"/>
        <v>13</v>
      </c>
    </row>
    <row r="2076" spans="1:23" x14ac:dyDescent="0.35">
      <c r="A2076">
        <v>2073</v>
      </c>
      <c r="B2076">
        <v>10643</v>
      </c>
      <c r="C2076">
        <v>1987</v>
      </c>
      <c r="D2076" s="1" t="s">
        <v>13</v>
      </c>
      <c r="E2076" s="1" t="s">
        <v>11</v>
      </c>
      <c r="F2076">
        <v>42000</v>
      </c>
      <c r="G2076">
        <v>0</v>
      </c>
      <c r="H2076" s="2">
        <v>0</v>
      </c>
      <c r="I2076" s="2">
        <v>41284</v>
      </c>
      <c r="J2076">
        <v>23</v>
      </c>
      <c r="K2076">
        <f>VLOOKUP(B2076,purchase_dataset!$B$2:$F$2241,2,FALSE)</f>
        <v>83</v>
      </c>
      <c r="L2076">
        <f>VLOOKUP(B2076,purchase_dataset!$B$2:$F$2241,3,FALSE)</f>
        <v>59</v>
      </c>
      <c r="M2076">
        <f>VLOOKUP(B2076,purchase_dataset!$B$2:$F$2241,3,FALSE)</f>
        <v>59</v>
      </c>
      <c r="N2076">
        <f>VLOOKUP(B2076,purchase_dataset!$B$2:$F$2241,5,FALSE)</f>
        <v>11</v>
      </c>
      <c r="O2076" s="5">
        <v>39</v>
      </c>
      <c r="P2076" s="4" t="str">
        <f t="shared" si="64"/>
        <v>30-50</v>
      </c>
      <c r="Q2076" s="4">
        <f>M2076+N2076</f>
        <v>70</v>
      </c>
      <c r="U2076" s="28" t="str" cm="1">
        <f t="array" ref="U2076">_xlfn.IFS(F2076&lt;30000,"30k",F2076&lt;=50000,"30k-50k",F2076&lt;=75000,"50k-75k",F2076&lt;=100000,"75k-100k",F2076&gt;100000,"100k")</f>
        <v>30k-50k</v>
      </c>
      <c r="W2076" s="1">
        <f t="shared" si="65"/>
        <v>13</v>
      </c>
    </row>
    <row r="2077" spans="1:23" x14ac:dyDescent="0.35">
      <c r="A2077">
        <v>2074</v>
      </c>
      <c r="B2077">
        <v>2254</v>
      </c>
      <c r="C2077">
        <v>1983</v>
      </c>
      <c r="D2077" s="1" t="s">
        <v>10</v>
      </c>
      <c r="E2077" s="1" t="s">
        <v>14</v>
      </c>
      <c r="F2077">
        <v>69520</v>
      </c>
      <c r="G2077">
        <v>0</v>
      </c>
      <c r="H2077" s="2">
        <v>0</v>
      </c>
      <c r="I2077" s="2">
        <v>41462</v>
      </c>
      <c r="J2077">
        <v>95</v>
      </c>
      <c r="K2077">
        <f>VLOOKUP(B2077,purchase_dataset!$B$2:$F$2241,2,FALSE)</f>
        <v>120</v>
      </c>
      <c r="L2077">
        <f>VLOOKUP(B2077,purchase_dataset!$B$2:$F$2241,3,FALSE)</f>
        <v>80</v>
      </c>
      <c r="M2077">
        <f>VLOOKUP(B2077,purchase_dataset!$B$2:$F$2241,3,FALSE)</f>
        <v>80</v>
      </c>
      <c r="N2077">
        <f>VLOOKUP(B2077,purchase_dataset!$B$2:$F$2241,5,FALSE)</f>
        <v>5</v>
      </c>
      <c r="O2077" s="5">
        <v>43</v>
      </c>
      <c r="P2077" s="4" t="str">
        <f t="shared" si="64"/>
        <v>30-50</v>
      </c>
      <c r="Q2077" s="4">
        <f>M2077+N2077</f>
        <v>85</v>
      </c>
      <c r="U2077" s="28" t="str" cm="1">
        <f t="array" ref="U2077">_xlfn.IFS(F2077&lt;30000,"30k",F2077&lt;=50000,"30k-50k",F2077&lt;=75000,"50k-75k",F2077&lt;=100000,"75k-100k",F2077&gt;100000,"100k")</f>
        <v>50k-75k</v>
      </c>
      <c r="W2077" s="1">
        <f t="shared" si="65"/>
        <v>13</v>
      </c>
    </row>
    <row r="2078" spans="1:23" x14ac:dyDescent="0.35">
      <c r="A2078">
        <v>2075</v>
      </c>
      <c r="B2078">
        <v>10281</v>
      </c>
      <c r="C2078">
        <v>1970</v>
      </c>
      <c r="D2078" s="1" t="s">
        <v>10</v>
      </c>
      <c r="E2078" s="1" t="s">
        <v>16</v>
      </c>
      <c r="F2078">
        <v>64713</v>
      </c>
      <c r="G2078">
        <v>1</v>
      </c>
      <c r="H2078" s="2">
        <v>0</v>
      </c>
      <c r="I2078" s="2">
        <v>41677</v>
      </c>
      <c r="J2078">
        <v>11</v>
      </c>
      <c r="K2078">
        <f>VLOOKUP(B2078,purchase_dataset!$B$2:$F$2241,2,FALSE)</f>
        <v>60</v>
      </c>
      <c r="L2078">
        <f>VLOOKUP(B2078,purchase_dataset!$B$2:$F$2241,3,FALSE)</f>
        <v>54</v>
      </c>
      <c r="M2078">
        <f>VLOOKUP(B2078,purchase_dataset!$B$2:$F$2241,3,FALSE)</f>
        <v>54</v>
      </c>
      <c r="N2078">
        <f>VLOOKUP(B2078,purchase_dataset!$B$2:$F$2241,5,FALSE)</f>
        <v>7</v>
      </c>
      <c r="O2078" s="5">
        <v>56</v>
      </c>
      <c r="P2078" s="4" t="str">
        <f t="shared" si="64"/>
        <v>&gt;50</v>
      </c>
      <c r="Q2078" s="4">
        <f>M2078+N2078</f>
        <v>61</v>
      </c>
      <c r="U2078" s="28" t="str" cm="1">
        <f t="array" ref="U2078">_xlfn.IFS(F2078&lt;30000,"30k",F2078&lt;=50000,"30k-50k",F2078&lt;=75000,"50k-75k",F2078&lt;=100000,"75k-100k",F2078&gt;100000,"100k")</f>
        <v>50k-75k</v>
      </c>
      <c r="W2078" s="1">
        <f t="shared" si="65"/>
        <v>12</v>
      </c>
    </row>
    <row r="2079" spans="1:23" x14ac:dyDescent="0.35">
      <c r="A2079">
        <v>2076</v>
      </c>
      <c r="B2079">
        <v>6958</v>
      </c>
      <c r="C2079">
        <v>1977</v>
      </c>
      <c r="D2079" s="1" t="s">
        <v>15</v>
      </c>
      <c r="E2079" s="1" t="s">
        <v>14</v>
      </c>
      <c r="F2079">
        <v>27889</v>
      </c>
      <c r="G2079">
        <v>1</v>
      </c>
      <c r="H2079" s="2">
        <v>0</v>
      </c>
      <c r="I2079" s="2">
        <v>41460</v>
      </c>
      <c r="J2079">
        <v>42</v>
      </c>
      <c r="K2079">
        <f>VLOOKUP(B2079,purchase_dataset!$B$2:$F$2241,2,FALSE)</f>
        <v>0</v>
      </c>
      <c r="L2079">
        <f>VLOOKUP(B2079,purchase_dataset!$B$2:$F$2241,3,FALSE)</f>
        <v>0</v>
      </c>
      <c r="M2079">
        <f>VLOOKUP(B2079,purchase_dataset!$B$2:$F$2241,3,FALSE)</f>
        <v>0</v>
      </c>
      <c r="N2079">
        <f>VLOOKUP(B2079,purchase_dataset!$B$2:$F$2241,5,FALSE)</f>
        <v>2</v>
      </c>
      <c r="O2079" s="5">
        <v>49</v>
      </c>
      <c r="P2079" s="4" t="str">
        <f t="shared" si="64"/>
        <v>30-50</v>
      </c>
      <c r="Q2079" s="4">
        <f>M2079+N2079</f>
        <v>2</v>
      </c>
      <c r="U2079" s="28" t="str" cm="1">
        <f t="array" ref="U2079">_xlfn.IFS(F2079&lt;30000,"30k",F2079&lt;=50000,"30k-50k",F2079&lt;=75000,"50k-75k",F2079&lt;=100000,"75k-100k",F2079&gt;100000,"100k")</f>
        <v>30k</v>
      </c>
      <c r="W2079" s="1">
        <f t="shared" si="65"/>
        <v>13</v>
      </c>
    </row>
    <row r="2080" spans="1:23" x14ac:dyDescent="0.35">
      <c r="A2080">
        <v>2077</v>
      </c>
      <c r="B2080">
        <v>954</v>
      </c>
      <c r="C2080">
        <v>1960</v>
      </c>
      <c r="D2080" s="1" t="s">
        <v>17</v>
      </c>
      <c r="E2080" s="1" t="s">
        <v>19</v>
      </c>
      <c r="F2080">
        <v>22123</v>
      </c>
      <c r="G2080">
        <v>0</v>
      </c>
      <c r="H2080" s="2">
        <v>0</v>
      </c>
      <c r="I2080" s="2">
        <v>41725</v>
      </c>
      <c r="J2080">
        <v>77</v>
      </c>
      <c r="K2080">
        <f>VLOOKUP(B2080,purchase_dataset!$B$2:$F$2241,2,FALSE)</f>
        <v>3</v>
      </c>
      <c r="L2080">
        <f>VLOOKUP(B2080,purchase_dataset!$B$2:$F$2241,3,FALSE)</f>
        <v>7</v>
      </c>
      <c r="M2080">
        <f>VLOOKUP(B2080,purchase_dataset!$B$2:$F$2241,3,FALSE)</f>
        <v>7</v>
      </c>
      <c r="N2080">
        <f>VLOOKUP(B2080,purchase_dataset!$B$2:$F$2241,5,FALSE)</f>
        <v>3</v>
      </c>
      <c r="O2080" s="5">
        <v>66</v>
      </c>
      <c r="P2080" s="4" t="str">
        <f t="shared" si="64"/>
        <v>&gt;50</v>
      </c>
      <c r="Q2080" s="4">
        <f>M2080+N2080</f>
        <v>10</v>
      </c>
      <c r="U2080" s="28" t="str" cm="1">
        <f t="array" ref="U2080">_xlfn.IFS(F2080&lt;30000,"30k",F2080&lt;=50000,"30k-50k",F2080&lt;=75000,"50k-75k",F2080&lt;=100000,"75k-100k",F2080&gt;100000,"100k")</f>
        <v>30k</v>
      </c>
      <c r="W2080" s="1">
        <f t="shared" si="65"/>
        <v>12</v>
      </c>
    </row>
    <row r="2081" spans="1:23" x14ac:dyDescent="0.35">
      <c r="A2081">
        <v>2078</v>
      </c>
      <c r="B2081">
        <v>5079</v>
      </c>
      <c r="C2081">
        <v>1971</v>
      </c>
      <c r="D2081" s="1" t="s">
        <v>10</v>
      </c>
      <c r="E2081" s="1" t="s">
        <v>14</v>
      </c>
      <c r="G2081">
        <v>1</v>
      </c>
      <c r="H2081" s="2">
        <v>1</v>
      </c>
      <c r="I2081" s="2">
        <v>41336</v>
      </c>
      <c r="J2081">
        <v>82</v>
      </c>
      <c r="K2081">
        <f>VLOOKUP(B2081,purchase_dataset!$B$2:$F$2241,2,FALSE)</f>
        <v>1</v>
      </c>
      <c r="L2081">
        <f>VLOOKUP(B2081,purchase_dataset!$B$2:$F$2241,3,FALSE)</f>
        <v>0</v>
      </c>
      <c r="M2081">
        <f>VLOOKUP(B2081,purchase_dataset!$B$2:$F$2241,3,FALSE)</f>
        <v>0</v>
      </c>
      <c r="N2081">
        <f>VLOOKUP(B2081,purchase_dataset!$B$2:$F$2241,5,FALSE)</f>
        <v>3</v>
      </c>
      <c r="O2081" s="5">
        <v>55</v>
      </c>
      <c r="P2081" s="4" t="str">
        <f t="shared" si="64"/>
        <v>&gt;50</v>
      </c>
      <c r="Q2081" s="4">
        <f>M2081+N2081</f>
        <v>3</v>
      </c>
      <c r="U2081" s="28" t="str" cm="1">
        <f t="array" ref="U2081">_xlfn.IFS(F2081&lt;30000,"30k",F2081&lt;=50000,"30k-50k",F2081&lt;=75000,"50k-75k",F2081&lt;=100000,"75k-100k",F2081&gt;100000,"100k")</f>
        <v>30k</v>
      </c>
      <c r="W2081" s="1">
        <f t="shared" si="65"/>
        <v>13</v>
      </c>
    </row>
    <row r="2082" spans="1:23" x14ac:dyDescent="0.35">
      <c r="A2082">
        <v>2079</v>
      </c>
      <c r="B2082">
        <v>10339</v>
      </c>
      <c r="C2082">
        <v>1954</v>
      </c>
      <c r="D2082" s="1" t="s">
        <v>15</v>
      </c>
      <c r="E2082" s="1" t="s">
        <v>12</v>
      </c>
      <c r="G2082">
        <v>0</v>
      </c>
      <c r="H2082" s="2">
        <v>1</v>
      </c>
      <c r="I2082" s="2">
        <v>41448</v>
      </c>
      <c r="J2082">
        <v>83</v>
      </c>
      <c r="K2082">
        <f>VLOOKUP(B2082,purchase_dataset!$B$2:$F$2241,2,FALSE)</f>
        <v>0</v>
      </c>
      <c r="L2082">
        <f>VLOOKUP(B2082,purchase_dataset!$B$2:$F$2241,3,FALSE)</f>
        <v>0</v>
      </c>
      <c r="M2082">
        <f>VLOOKUP(B2082,purchase_dataset!$B$2:$F$2241,3,FALSE)</f>
        <v>0</v>
      </c>
      <c r="N2082">
        <f>VLOOKUP(B2082,purchase_dataset!$B$2:$F$2241,5,FALSE)</f>
        <v>4</v>
      </c>
      <c r="O2082" s="5">
        <v>72</v>
      </c>
      <c r="P2082" s="4" t="str">
        <f t="shared" si="64"/>
        <v>&gt;50</v>
      </c>
      <c r="Q2082" s="4">
        <f>M2082+N2082</f>
        <v>4</v>
      </c>
      <c r="U2082" s="28" t="str" cm="1">
        <f t="array" ref="U2082">_xlfn.IFS(F2082&lt;30000,"30k",F2082&lt;=50000,"30k-50k",F2082&lt;=75000,"50k-75k",F2082&lt;=100000,"75k-100k",F2082&gt;100000,"100k")</f>
        <v>30k</v>
      </c>
      <c r="W2082" s="1">
        <f t="shared" si="65"/>
        <v>13</v>
      </c>
    </row>
    <row r="2083" spans="1:23" x14ac:dyDescent="0.35">
      <c r="A2083">
        <v>2080</v>
      </c>
      <c r="B2083">
        <v>4643</v>
      </c>
      <c r="C2083">
        <v>1973</v>
      </c>
      <c r="D2083" s="1" t="s">
        <v>10</v>
      </c>
      <c r="E2083" s="1" t="s">
        <v>14</v>
      </c>
      <c r="F2083">
        <v>27803</v>
      </c>
      <c r="G2083">
        <v>1</v>
      </c>
      <c r="H2083" s="2">
        <v>0</v>
      </c>
      <c r="I2083" s="2">
        <v>41147</v>
      </c>
      <c r="J2083">
        <v>40</v>
      </c>
      <c r="K2083">
        <f>VLOOKUP(B2083,purchase_dataset!$B$2:$F$2241,2,FALSE)</f>
        <v>26</v>
      </c>
      <c r="L2083">
        <f>VLOOKUP(B2083,purchase_dataset!$B$2:$F$2241,3,FALSE)</f>
        <v>9</v>
      </c>
      <c r="M2083">
        <f>VLOOKUP(B2083,purchase_dataset!$B$2:$F$2241,3,FALSE)</f>
        <v>9</v>
      </c>
      <c r="N2083">
        <f>VLOOKUP(B2083,purchase_dataset!$B$2:$F$2241,5,FALSE)</f>
        <v>4</v>
      </c>
      <c r="O2083" s="5">
        <v>53</v>
      </c>
      <c r="P2083" s="4" t="str">
        <f t="shared" si="64"/>
        <v>&gt;50</v>
      </c>
      <c r="Q2083" s="4">
        <f>M2083+N2083</f>
        <v>13</v>
      </c>
      <c r="U2083" s="28" t="str" cm="1">
        <f t="array" ref="U2083">_xlfn.IFS(F2083&lt;30000,"30k",F2083&lt;=50000,"30k-50k",F2083&lt;=75000,"50k-75k",F2083&lt;=100000,"75k-100k",F2083&gt;100000,"100k")</f>
        <v>30k</v>
      </c>
      <c r="W2083" s="1">
        <f t="shared" si="65"/>
        <v>14</v>
      </c>
    </row>
    <row r="2084" spans="1:23" x14ac:dyDescent="0.35">
      <c r="A2084">
        <v>2081</v>
      </c>
      <c r="B2084">
        <v>3117</v>
      </c>
      <c r="C2084">
        <v>1955</v>
      </c>
      <c r="D2084" s="1" t="s">
        <v>10</v>
      </c>
      <c r="E2084" s="1" t="s">
        <v>11</v>
      </c>
      <c r="G2084">
        <v>0</v>
      </c>
      <c r="H2084" s="2">
        <v>1</v>
      </c>
      <c r="I2084" s="2">
        <v>41565</v>
      </c>
      <c r="J2084">
        <v>95</v>
      </c>
      <c r="K2084">
        <f>VLOOKUP(B2084,purchase_dataset!$B$2:$F$2241,2,FALSE)</f>
        <v>0</v>
      </c>
      <c r="L2084">
        <f>VLOOKUP(B2084,purchase_dataset!$B$2:$F$2241,3,FALSE)</f>
        <v>6</v>
      </c>
      <c r="M2084">
        <f>VLOOKUP(B2084,purchase_dataset!$B$2:$F$2241,3,FALSE)</f>
        <v>6</v>
      </c>
      <c r="N2084">
        <f>VLOOKUP(B2084,purchase_dataset!$B$2:$F$2241,5,FALSE)</f>
        <v>5</v>
      </c>
      <c r="O2084" s="5">
        <v>71</v>
      </c>
      <c r="P2084" s="4" t="str">
        <f t="shared" si="64"/>
        <v>&gt;50</v>
      </c>
      <c r="Q2084" s="4">
        <f>M2084+N2084</f>
        <v>11</v>
      </c>
      <c r="U2084" s="28" t="str" cm="1">
        <f t="array" ref="U2084">_xlfn.IFS(F2084&lt;30000,"30k",F2084&lt;=50000,"30k-50k",F2084&lt;=75000,"50k-75k",F2084&lt;=100000,"75k-100k",F2084&gt;100000,"100k")</f>
        <v>30k</v>
      </c>
      <c r="W2084" s="1">
        <f t="shared" si="65"/>
        <v>13</v>
      </c>
    </row>
    <row r="2085" spans="1:23" x14ac:dyDescent="0.35">
      <c r="A2085">
        <v>2082</v>
      </c>
      <c r="B2085">
        <v>6497</v>
      </c>
      <c r="C2085">
        <v>1960</v>
      </c>
      <c r="D2085" s="1" t="s">
        <v>10</v>
      </c>
      <c r="E2085" s="1" t="s">
        <v>14</v>
      </c>
      <c r="F2085">
        <v>51651</v>
      </c>
      <c r="G2085">
        <v>0</v>
      </c>
      <c r="H2085" s="2">
        <v>1</v>
      </c>
      <c r="I2085" s="2">
        <v>41220</v>
      </c>
      <c r="J2085">
        <v>32</v>
      </c>
      <c r="K2085">
        <f>VLOOKUP(B2085,purchase_dataset!$B$2:$F$2241,2,FALSE)</f>
        <v>6</v>
      </c>
      <c r="L2085">
        <f>VLOOKUP(B2085,purchase_dataset!$B$2:$F$2241,3,FALSE)</f>
        <v>6</v>
      </c>
      <c r="M2085">
        <f>VLOOKUP(B2085,purchase_dataset!$B$2:$F$2241,3,FALSE)</f>
        <v>6</v>
      </c>
      <c r="N2085">
        <f>VLOOKUP(B2085,purchase_dataset!$B$2:$F$2241,5,FALSE)</f>
        <v>5</v>
      </c>
      <c r="O2085" s="5">
        <v>66</v>
      </c>
      <c r="P2085" s="4" t="str">
        <f t="shared" si="64"/>
        <v>&gt;50</v>
      </c>
      <c r="Q2085" s="4">
        <f>M2085+N2085</f>
        <v>11</v>
      </c>
      <c r="U2085" s="28" t="str" cm="1">
        <f t="array" ref="U2085">_xlfn.IFS(F2085&lt;30000,"30k",F2085&lt;=50000,"30k-50k",F2085&lt;=75000,"50k-75k",F2085&lt;=100000,"75k-100k",F2085&gt;100000,"100k")</f>
        <v>50k-75k</v>
      </c>
      <c r="W2085" s="1">
        <f t="shared" si="65"/>
        <v>14</v>
      </c>
    </row>
    <row r="2086" spans="1:23" x14ac:dyDescent="0.35">
      <c r="A2086">
        <v>2083</v>
      </c>
      <c r="B2086">
        <v>5396</v>
      </c>
      <c r="C2086">
        <v>1988</v>
      </c>
      <c r="D2086" s="1" t="s">
        <v>10</v>
      </c>
      <c r="E2086" s="1" t="s">
        <v>14</v>
      </c>
      <c r="F2086">
        <v>68487</v>
      </c>
      <c r="G2086">
        <v>0</v>
      </c>
      <c r="H2086" s="2">
        <v>0</v>
      </c>
      <c r="I2086" s="2">
        <v>41287</v>
      </c>
      <c r="J2086">
        <v>48</v>
      </c>
      <c r="K2086">
        <f>VLOOKUP(B2086,purchase_dataset!$B$2:$F$2241,2,FALSE)</f>
        <v>12</v>
      </c>
      <c r="L2086">
        <f>VLOOKUP(B2086,purchase_dataset!$B$2:$F$2241,3,FALSE)</f>
        <v>89</v>
      </c>
      <c r="M2086">
        <f>VLOOKUP(B2086,purchase_dataset!$B$2:$F$2241,3,FALSE)</f>
        <v>89</v>
      </c>
      <c r="N2086">
        <f>VLOOKUP(B2086,purchase_dataset!$B$2:$F$2241,5,FALSE)</f>
        <v>13</v>
      </c>
      <c r="O2086" s="5">
        <v>38</v>
      </c>
      <c r="P2086" s="4" t="str">
        <f t="shared" si="64"/>
        <v>30-50</v>
      </c>
      <c r="Q2086" s="4">
        <f>M2086+N2086</f>
        <v>102</v>
      </c>
      <c r="U2086" s="28" t="str" cm="1">
        <f t="array" ref="U2086">_xlfn.IFS(F2086&lt;30000,"30k",F2086&lt;=50000,"30k-50k",F2086&lt;=75000,"50k-75k",F2086&lt;=100000,"75k-100k",F2086&gt;100000,"100k")</f>
        <v>50k-75k</v>
      </c>
      <c r="W2086" s="1">
        <f t="shared" si="65"/>
        <v>13</v>
      </c>
    </row>
    <row r="2087" spans="1:23" x14ac:dyDescent="0.35">
      <c r="A2087">
        <v>2084</v>
      </c>
      <c r="B2087">
        <v>5250</v>
      </c>
      <c r="C2087">
        <v>1943</v>
      </c>
      <c r="D2087" s="1" t="s">
        <v>15</v>
      </c>
      <c r="E2087" s="1" t="s">
        <v>19</v>
      </c>
      <c r="G2087">
        <v>0</v>
      </c>
      <c r="H2087" s="2">
        <v>0</v>
      </c>
      <c r="I2087" s="2">
        <v>41577</v>
      </c>
      <c r="J2087">
        <v>75</v>
      </c>
      <c r="K2087">
        <f>VLOOKUP(B2087,purchase_dataset!$B$2:$F$2241,2,FALSE)</f>
        <v>126</v>
      </c>
      <c r="L2087">
        <f>VLOOKUP(B2087,purchase_dataset!$B$2:$F$2241,3,FALSE)</f>
        <v>126</v>
      </c>
      <c r="M2087">
        <f>VLOOKUP(B2087,purchase_dataset!$B$2:$F$2241,3,FALSE)</f>
        <v>126</v>
      </c>
      <c r="N2087">
        <f>VLOOKUP(B2087,purchase_dataset!$B$2:$F$2241,5,FALSE)</f>
        <v>11</v>
      </c>
      <c r="O2087" s="5">
        <v>83</v>
      </c>
      <c r="P2087" s="4" t="str">
        <f t="shared" si="64"/>
        <v>&gt;50</v>
      </c>
      <c r="Q2087" s="4">
        <f>M2087+N2087</f>
        <v>137</v>
      </c>
      <c r="U2087" s="28" t="str" cm="1">
        <f t="array" ref="U2087">_xlfn.IFS(F2087&lt;30000,"30k",F2087&lt;=50000,"30k-50k",F2087&lt;=75000,"50k-75k",F2087&lt;=100000,"75k-100k",F2087&gt;100000,"100k")</f>
        <v>30k</v>
      </c>
      <c r="W2087" s="1">
        <f t="shared" si="65"/>
        <v>13</v>
      </c>
    </row>
    <row r="2088" spans="1:23" x14ac:dyDescent="0.35">
      <c r="A2088">
        <v>2085</v>
      </c>
      <c r="B2088">
        <v>1052</v>
      </c>
      <c r="C2088">
        <v>1969</v>
      </c>
      <c r="D2088" s="1" t="s">
        <v>10</v>
      </c>
      <c r="E2088" s="1" t="s">
        <v>14</v>
      </c>
      <c r="F2088">
        <v>56796</v>
      </c>
      <c r="G2088">
        <v>0</v>
      </c>
      <c r="H2088" s="2">
        <v>1</v>
      </c>
      <c r="I2088" s="2">
        <v>41321</v>
      </c>
      <c r="J2088">
        <v>24</v>
      </c>
      <c r="K2088">
        <f>VLOOKUP(B2088,purchase_dataset!$B$2:$F$2241,2,FALSE)</f>
        <v>38</v>
      </c>
      <c r="L2088">
        <f>VLOOKUP(B2088,purchase_dataset!$B$2:$F$2241,3,FALSE)</f>
        <v>47</v>
      </c>
      <c r="M2088">
        <f>VLOOKUP(B2088,purchase_dataset!$B$2:$F$2241,3,FALSE)</f>
        <v>47</v>
      </c>
      <c r="N2088">
        <f>VLOOKUP(B2088,purchase_dataset!$B$2:$F$2241,5,FALSE)</f>
        <v>7</v>
      </c>
      <c r="O2088" s="5">
        <v>57</v>
      </c>
      <c r="P2088" s="4" t="str">
        <f t="shared" si="64"/>
        <v>&gt;50</v>
      </c>
      <c r="Q2088" s="4">
        <f>M2088+N2088</f>
        <v>54</v>
      </c>
      <c r="U2088" s="28" t="str" cm="1">
        <f t="array" ref="U2088">_xlfn.IFS(F2088&lt;30000,"30k",F2088&lt;=50000,"30k-50k",F2088&lt;=75000,"50k-75k",F2088&lt;=100000,"75k-100k",F2088&gt;100000,"100k")</f>
        <v>50k-75k</v>
      </c>
      <c r="W2088" s="1">
        <f t="shared" si="65"/>
        <v>13</v>
      </c>
    </row>
    <row r="2089" spans="1:23" x14ac:dyDescent="0.35">
      <c r="A2089">
        <v>2086</v>
      </c>
      <c r="B2089">
        <v>2802</v>
      </c>
      <c r="C2089">
        <v>1992</v>
      </c>
      <c r="D2089" s="1" t="s">
        <v>18</v>
      </c>
      <c r="E2089" s="1" t="s">
        <v>14</v>
      </c>
      <c r="F2089">
        <v>87000</v>
      </c>
      <c r="G2089">
        <v>0</v>
      </c>
      <c r="H2089" s="2">
        <v>0</v>
      </c>
      <c r="I2089" s="2">
        <v>41258</v>
      </c>
      <c r="J2089">
        <v>61</v>
      </c>
      <c r="K2089">
        <f>VLOOKUP(B2089,purchase_dataset!$B$2:$F$2241,2,FALSE)</f>
        <v>25</v>
      </c>
      <c r="L2089">
        <f>VLOOKUP(B2089,purchase_dataset!$B$2:$F$2241,3,FALSE)</f>
        <v>17</v>
      </c>
      <c r="M2089">
        <f>VLOOKUP(B2089,purchase_dataset!$B$2:$F$2241,3,FALSE)</f>
        <v>17</v>
      </c>
      <c r="N2089">
        <f>VLOOKUP(B2089,purchase_dataset!$B$2:$F$2241,5,FALSE)</f>
        <v>7</v>
      </c>
      <c r="O2089" s="5">
        <v>34</v>
      </c>
      <c r="P2089" s="4" t="str">
        <f t="shared" si="64"/>
        <v>30-50</v>
      </c>
      <c r="Q2089" s="4">
        <f>M2089+N2089</f>
        <v>24</v>
      </c>
      <c r="U2089" s="28" t="str" cm="1">
        <f t="array" ref="U2089">_xlfn.IFS(F2089&lt;30000,"30k",F2089&lt;=50000,"30k-50k",F2089&lt;=75000,"50k-75k",F2089&lt;=100000,"75k-100k",F2089&gt;100000,"100k")</f>
        <v>75k-100k</v>
      </c>
      <c r="W2089" s="1">
        <f t="shared" si="65"/>
        <v>14</v>
      </c>
    </row>
    <row r="2090" spans="1:23" x14ac:dyDescent="0.35">
      <c r="A2090">
        <v>2087</v>
      </c>
      <c r="B2090">
        <v>6343</v>
      </c>
      <c r="C2090">
        <v>1959</v>
      </c>
      <c r="D2090" s="1" t="s">
        <v>10</v>
      </c>
      <c r="E2090" s="1" t="s">
        <v>14</v>
      </c>
      <c r="F2090">
        <v>79823</v>
      </c>
      <c r="G2090">
        <v>0</v>
      </c>
      <c r="H2090" s="2">
        <v>1</v>
      </c>
      <c r="I2090" s="2">
        <v>41729</v>
      </c>
      <c r="J2090">
        <v>6</v>
      </c>
      <c r="K2090">
        <f>VLOOKUP(B2090,purchase_dataset!$B$2:$F$2241,2,FALSE)</f>
        <v>73</v>
      </c>
      <c r="L2090">
        <f>VLOOKUP(B2090,purchase_dataset!$B$2:$F$2241,3,FALSE)</f>
        <v>73</v>
      </c>
      <c r="M2090">
        <f>VLOOKUP(B2090,purchase_dataset!$B$2:$F$2241,3,FALSE)</f>
        <v>73</v>
      </c>
      <c r="N2090">
        <f>VLOOKUP(B2090,purchase_dataset!$B$2:$F$2241,5,FALSE)</f>
        <v>7</v>
      </c>
      <c r="O2090" s="5">
        <v>67</v>
      </c>
      <c r="P2090" s="4" t="str">
        <f t="shared" si="64"/>
        <v>&gt;50</v>
      </c>
      <c r="Q2090" s="4">
        <f>M2090+N2090</f>
        <v>80</v>
      </c>
      <c r="U2090" s="28" t="str" cm="1">
        <f t="array" ref="U2090">_xlfn.IFS(F2090&lt;30000,"30k",F2090&lt;=50000,"30k-50k",F2090&lt;=75000,"50k-75k",F2090&lt;=100000,"75k-100k",F2090&gt;100000,"100k")</f>
        <v>75k-100k</v>
      </c>
      <c r="W2090" s="1">
        <f t="shared" si="65"/>
        <v>12</v>
      </c>
    </row>
    <row r="2091" spans="1:23" x14ac:dyDescent="0.35">
      <c r="A2091">
        <v>2088</v>
      </c>
      <c r="B2091">
        <v>6507</v>
      </c>
      <c r="C2091">
        <v>1980</v>
      </c>
      <c r="D2091" s="1" t="s">
        <v>10</v>
      </c>
      <c r="E2091" s="1" t="s">
        <v>11</v>
      </c>
      <c r="F2091">
        <v>30828</v>
      </c>
      <c r="G2091">
        <v>1</v>
      </c>
      <c r="H2091" s="2">
        <v>0</v>
      </c>
      <c r="I2091" s="2">
        <v>41551</v>
      </c>
      <c r="J2091">
        <v>16</v>
      </c>
      <c r="K2091">
        <f>VLOOKUP(B2091,purchase_dataset!$B$2:$F$2241,2,FALSE)</f>
        <v>11</v>
      </c>
      <c r="L2091">
        <f>VLOOKUP(B2091,purchase_dataset!$B$2:$F$2241,3,FALSE)</f>
        <v>0</v>
      </c>
      <c r="M2091">
        <f>VLOOKUP(B2091,purchase_dataset!$B$2:$F$2241,3,FALSE)</f>
        <v>0</v>
      </c>
      <c r="N2091">
        <f>VLOOKUP(B2091,purchase_dataset!$B$2:$F$2241,5,FALSE)</f>
        <v>4</v>
      </c>
      <c r="O2091" s="5">
        <v>46</v>
      </c>
      <c r="P2091" s="4" t="str">
        <f t="shared" si="64"/>
        <v>30-50</v>
      </c>
      <c r="Q2091" s="4">
        <f>M2091+N2091</f>
        <v>4</v>
      </c>
      <c r="U2091" s="28" t="str" cm="1">
        <f t="array" ref="U2091">_xlfn.IFS(F2091&lt;30000,"30k",F2091&lt;=50000,"30k-50k",F2091&lt;=75000,"50k-75k",F2091&lt;=100000,"75k-100k",F2091&gt;100000,"100k")</f>
        <v>30k-50k</v>
      </c>
      <c r="W2091" s="1">
        <f t="shared" si="65"/>
        <v>13</v>
      </c>
    </row>
    <row r="2092" spans="1:23" x14ac:dyDescent="0.35">
      <c r="A2092">
        <v>2089</v>
      </c>
      <c r="B2092">
        <v>7901</v>
      </c>
      <c r="C2092">
        <v>1971</v>
      </c>
      <c r="D2092" s="1" t="s">
        <v>15</v>
      </c>
      <c r="E2092" s="1" t="s">
        <v>14</v>
      </c>
      <c r="F2092">
        <v>34109</v>
      </c>
      <c r="G2092">
        <v>0</v>
      </c>
      <c r="H2092" s="2">
        <v>1</v>
      </c>
      <c r="I2092" s="2">
        <v>41584</v>
      </c>
      <c r="J2092">
        <v>39</v>
      </c>
      <c r="K2092">
        <f>VLOOKUP(B2092,purchase_dataset!$B$2:$F$2241,2,FALSE)</f>
        <v>1</v>
      </c>
      <c r="L2092">
        <f>VLOOKUP(B2092,purchase_dataset!$B$2:$F$2241,3,FALSE)</f>
        <v>1</v>
      </c>
      <c r="M2092">
        <f>VLOOKUP(B2092,purchase_dataset!$B$2:$F$2241,3,FALSE)</f>
        <v>1</v>
      </c>
      <c r="N2092">
        <f>VLOOKUP(B2092,purchase_dataset!$B$2:$F$2241,5,FALSE)</f>
        <v>3</v>
      </c>
      <c r="O2092" s="5">
        <v>55</v>
      </c>
      <c r="P2092" s="4" t="str">
        <f t="shared" si="64"/>
        <v>&gt;50</v>
      </c>
      <c r="Q2092" s="4">
        <f>M2092+N2092</f>
        <v>4</v>
      </c>
      <c r="U2092" s="28" t="str" cm="1">
        <f t="array" ref="U2092">_xlfn.IFS(F2092&lt;30000,"30k",F2092&lt;=50000,"30k-50k",F2092&lt;=75000,"50k-75k",F2092&lt;=100000,"75k-100k",F2092&gt;100000,"100k")</f>
        <v>30k-50k</v>
      </c>
      <c r="W2092" s="1">
        <f t="shared" si="65"/>
        <v>13</v>
      </c>
    </row>
    <row r="2093" spans="1:23" x14ac:dyDescent="0.35">
      <c r="A2093">
        <v>2090</v>
      </c>
      <c r="B2093">
        <v>4865</v>
      </c>
      <c r="C2093">
        <v>1974</v>
      </c>
      <c r="D2093" s="1" t="s">
        <v>15</v>
      </c>
      <c r="E2093" s="1" t="s">
        <v>16</v>
      </c>
      <c r="F2093">
        <v>53367</v>
      </c>
      <c r="G2093">
        <v>1</v>
      </c>
      <c r="H2093" s="2">
        <v>1</v>
      </c>
      <c r="I2093" s="2">
        <v>41517</v>
      </c>
      <c r="J2093">
        <v>2</v>
      </c>
      <c r="K2093">
        <f>VLOOKUP(B2093,purchase_dataset!$B$2:$F$2241,2,FALSE)</f>
        <v>7</v>
      </c>
      <c r="L2093">
        <f>VLOOKUP(B2093,purchase_dataset!$B$2:$F$2241,3,FALSE)</f>
        <v>3</v>
      </c>
      <c r="M2093">
        <f>VLOOKUP(B2093,purchase_dataset!$B$2:$F$2241,3,FALSE)</f>
        <v>3</v>
      </c>
      <c r="N2093">
        <f>VLOOKUP(B2093,purchase_dataset!$B$2:$F$2241,5,FALSE)</f>
        <v>8</v>
      </c>
      <c r="O2093" s="5">
        <v>52</v>
      </c>
      <c r="P2093" s="4" t="str">
        <f t="shared" si="64"/>
        <v>&gt;50</v>
      </c>
      <c r="Q2093" s="4">
        <f>M2093+N2093</f>
        <v>11</v>
      </c>
      <c r="U2093" s="28" t="str" cm="1">
        <f t="array" ref="U2093">_xlfn.IFS(F2093&lt;30000,"30k",F2093&lt;=50000,"30k-50k",F2093&lt;=75000,"50k-75k",F2093&lt;=100000,"75k-100k",F2093&gt;100000,"100k")</f>
        <v>50k-75k</v>
      </c>
      <c r="W2093" s="1">
        <f t="shared" si="65"/>
        <v>13</v>
      </c>
    </row>
    <row r="2094" spans="1:23" x14ac:dyDescent="0.35">
      <c r="A2094">
        <v>2091</v>
      </c>
      <c r="B2094">
        <v>2686</v>
      </c>
      <c r="C2094">
        <v>1969</v>
      </c>
      <c r="D2094" s="1" t="s">
        <v>17</v>
      </c>
      <c r="E2094" s="1" t="s">
        <v>12</v>
      </c>
      <c r="F2094">
        <v>22390</v>
      </c>
      <c r="G2094">
        <v>0</v>
      </c>
      <c r="H2094" s="2">
        <v>0</v>
      </c>
      <c r="I2094" s="2">
        <v>41568</v>
      </c>
      <c r="J2094">
        <v>49</v>
      </c>
      <c r="K2094">
        <f>VLOOKUP(B2094,purchase_dataset!$B$2:$F$2241,2,FALSE)</f>
        <v>1</v>
      </c>
      <c r="L2094">
        <f>VLOOKUP(B2094,purchase_dataset!$B$2:$F$2241,3,FALSE)</f>
        <v>1</v>
      </c>
      <c r="M2094">
        <f>VLOOKUP(B2094,purchase_dataset!$B$2:$F$2241,3,FALSE)</f>
        <v>1</v>
      </c>
      <c r="N2094">
        <f>VLOOKUP(B2094,purchase_dataset!$B$2:$F$2241,5,FALSE)</f>
        <v>2</v>
      </c>
      <c r="O2094" s="5">
        <v>57</v>
      </c>
      <c r="P2094" s="4" t="str">
        <f t="shared" si="64"/>
        <v>&gt;50</v>
      </c>
      <c r="Q2094" s="4">
        <f>M2094+N2094</f>
        <v>3</v>
      </c>
      <c r="U2094" s="28" t="str" cm="1">
        <f t="array" ref="U2094">_xlfn.IFS(F2094&lt;30000,"30k",F2094&lt;=50000,"30k-50k",F2094&lt;=75000,"50k-75k",F2094&lt;=100000,"75k-100k",F2094&gt;100000,"100k")</f>
        <v>30k</v>
      </c>
      <c r="W2094" s="1">
        <f t="shared" si="65"/>
        <v>13</v>
      </c>
    </row>
    <row r="2095" spans="1:23" x14ac:dyDescent="0.35">
      <c r="A2095">
        <v>2092</v>
      </c>
      <c r="B2095">
        <v>3107</v>
      </c>
      <c r="C2095">
        <v>1976</v>
      </c>
      <c r="D2095" s="1" t="s">
        <v>10</v>
      </c>
      <c r="E2095" s="1" t="s">
        <v>12</v>
      </c>
      <c r="F2095">
        <v>71322</v>
      </c>
      <c r="G2095">
        <v>0</v>
      </c>
      <c r="H2095" s="2">
        <v>1</v>
      </c>
      <c r="I2095" s="2">
        <v>41761</v>
      </c>
      <c r="J2095">
        <v>31</v>
      </c>
      <c r="K2095">
        <f>VLOOKUP(B2095,purchase_dataset!$B$2:$F$2241,2,FALSE)</f>
        <v>24</v>
      </c>
      <c r="L2095">
        <f>VLOOKUP(B2095,purchase_dataset!$B$2:$F$2241,3,FALSE)</f>
        <v>15</v>
      </c>
      <c r="M2095">
        <f>VLOOKUP(B2095,purchase_dataset!$B$2:$F$2241,3,FALSE)</f>
        <v>15</v>
      </c>
      <c r="N2095">
        <f>VLOOKUP(B2095,purchase_dataset!$B$2:$F$2241,5,FALSE)</f>
        <v>7</v>
      </c>
      <c r="O2095" s="5">
        <v>50</v>
      </c>
      <c r="P2095" s="4" t="str">
        <f t="shared" si="64"/>
        <v>30-50</v>
      </c>
      <c r="Q2095" s="4">
        <f>M2095+N2095</f>
        <v>22</v>
      </c>
      <c r="U2095" s="28" t="str" cm="1">
        <f t="array" ref="U2095">_xlfn.IFS(F2095&lt;30000,"30k",F2095&lt;=50000,"30k-50k",F2095&lt;=75000,"50k-75k",F2095&lt;=100000,"75k-100k",F2095&gt;100000,"100k")</f>
        <v>50k-75k</v>
      </c>
      <c r="W2095" s="1">
        <f t="shared" si="65"/>
        <v>12</v>
      </c>
    </row>
    <row r="2096" spans="1:23" x14ac:dyDescent="0.35">
      <c r="A2096">
        <v>2093</v>
      </c>
      <c r="B2096">
        <v>7734</v>
      </c>
      <c r="C2096">
        <v>1993</v>
      </c>
      <c r="D2096" s="1" t="s">
        <v>10</v>
      </c>
      <c r="E2096" s="1" t="s">
        <v>21</v>
      </c>
      <c r="F2096">
        <v>79244</v>
      </c>
      <c r="G2096">
        <v>0</v>
      </c>
      <c r="H2096" s="2">
        <v>0</v>
      </c>
      <c r="I2096" s="2">
        <v>41262</v>
      </c>
      <c r="J2096">
        <v>58</v>
      </c>
      <c r="K2096">
        <f>VLOOKUP(B2096,purchase_dataset!$B$2:$F$2241,2,FALSE)</f>
        <v>102</v>
      </c>
      <c r="L2096">
        <f>VLOOKUP(B2096,purchase_dataset!$B$2:$F$2241,3,FALSE)</f>
        <v>61</v>
      </c>
      <c r="M2096">
        <f>VLOOKUP(B2096,purchase_dataset!$B$2:$F$2241,3,FALSE)</f>
        <v>61</v>
      </c>
      <c r="N2096">
        <f>VLOOKUP(B2096,purchase_dataset!$B$2:$F$2241,5,FALSE)</f>
        <v>7</v>
      </c>
      <c r="O2096" s="5">
        <v>33</v>
      </c>
      <c r="P2096" s="4" t="str">
        <f t="shared" si="64"/>
        <v>30-50</v>
      </c>
      <c r="Q2096" s="4">
        <f>M2096+N2096</f>
        <v>68</v>
      </c>
      <c r="U2096" s="28" t="str" cm="1">
        <f t="array" ref="U2096">_xlfn.IFS(F2096&lt;30000,"30k",F2096&lt;=50000,"30k-50k",F2096&lt;=75000,"50k-75k",F2096&lt;=100000,"75k-100k",F2096&gt;100000,"100k")</f>
        <v>75k-100k</v>
      </c>
      <c r="W2096" s="1">
        <f t="shared" si="65"/>
        <v>14</v>
      </c>
    </row>
    <row r="2097" spans="1:23" x14ac:dyDescent="0.35">
      <c r="A2097">
        <v>2094</v>
      </c>
      <c r="B2097">
        <v>1146</v>
      </c>
      <c r="C2097">
        <v>1949</v>
      </c>
      <c r="D2097" s="1" t="s">
        <v>15</v>
      </c>
      <c r="E2097" s="1" t="s">
        <v>12</v>
      </c>
      <c r="F2097">
        <v>49912</v>
      </c>
      <c r="G2097">
        <v>0</v>
      </c>
      <c r="H2097" s="2">
        <v>1</v>
      </c>
      <c r="I2097" s="2">
        <v>41159</v>
      </c>
      <c r="J2097">
        <v>5</v>
      </c>
      <c r="K2097">
        <f>VLOOKUP(B2097,purchase_dataset!$B$2:$F$2241,2,FALSE)</f>
        <v>8</v>
      </c>
      <c r="L2097">
        <f>VLOOKUP(B2097,purchase_dataset!$B$2:$F$2241,3,FALSE)</f>
        <v>49</v>
      </c>
      <c r="M2097">
        <f>VLOOKUP(B2097,purchase_dataset!$B$2:$F$2241,3,FALSE)</f>
        <v>49</v>
      </c>
      <c r="N2097">
        <f>VLOOKUP(B2097,purchase_dataset!$B$2:$F$2241,5,FALSE)</f>
        <v>7</v>
      </c>
      <c r="O2097" s="5">
        <v>77</v>
      </c>
      <c r="P2097" s="4" t="str">
        <f t="shared" si="64"/>
        <v>&gt;50</v>
      </c>
      <c r="Q2097" s="4">
        <f>M2097+N2097</f>
        <v>56</v>
      </c>
      <c r="U2097" s="28" t="str" cm="1">
        <f t="array" ref="U2097">_xlfn.IFS(F2097&lt;30000,"30k",F2097&lt;=50000,"30k-50k",F2097&lt;=75000,"50k-75k",F2097&lt;=100000,"75k-100k",F2097&gt;100000,"100k")</f>
        <v>30k-50k</v>
      </c>
      <c r="W2097" s="1">
        <f t="shared" si="65"/>
        <v>14</v>
      </c>
    </row>
    <row r="2098" spans="1:23" x14ac:dyDescent="0.35">
      <c r="A2098">
        <v>2095</v>
      </c>
      <c r="B2098">
        <v>11031</v>
      </c>
      <c r="C2098">
        <v>1950</v>
      </c>
      <c r="D2098" s="1" t="s">
        <v>13</v>
      </c>
      <c r="E2098" s="1" t="s">
        <v>14</v>
      </c>
      <c r="F2098">
        <v>48699</v>
      </c>
      <c r="G2098">
        <v>1</v>
      </c>
      <c r="H2098" s="2">
        <v>1</v>
      </c>
      <c r="I2098" s="2">
        <v>41415</v>
      </c>
      <c r="J2098">
        <v>90</v>
      </c>
      <c r="K2098">
        <f>VLOOKUP(B2098,purchase_dataset!$B$2:$F$2241,2,FALSE)</f>
        <v>1</v>
      </c>
      <c r="L2098">
        <f>VLOOKUP(B2098,purchase_dataset!$B$2:$F$2241,3,FALSE)</f>
        <v>0</v>
      </c>
      <c r="M2098">
        <f>VLOOKUP(B2098,purchase_dataset!$B$2:$F$2241,3,FALSE)</f>
        <v>0</v>
      </c>
      <c r="N2098">
        <f>VLOOKUP(B2098,purchase_dataset!$B$2:$F$2241,5,FALSE)</f>
        <v>3</v>
      </c>
      <c r="O2098" s="5">
        <v>76</v>
      </c>
      <c r="P2098" s="4" t="str">
        <f t="shared" si="64"/>
        <v>&gt;50</v>
      </c>
      <c r="Q2098" s="4">
        <f>M2098+N2098</f>
        <v>3</v>
      </c>
      <c r="U2098" s="28" t="str" cm="1">
        <f t="array" ref="U2098">_xlfn.IFS(F2098&lt;30000,"30k",F2098&lt;=50000,"30k-50k",F2098&lt;=75000,"50k-75k",F2098&lt;=100000,"75k-100k",F2098&gt;100000,"100k")</f>
        <v>30k-50k</v>
      </c>
      <c r="W2098" s="1">
        <f t="shared" si="65"/>
        <v>13</v>
      </c>
    </row>
    <row r="2099" spans="1:23" x14ac:dyDescent="0.35">
      <c r="A2099">
        <v>2096</v>
      </c>
      <c r="B2099">
        <v>7428</v>
      </c>
      <c r="C2099">
        <v>1975</v>
      </c>
      <c r="D2099" s="1" t="s">
        <v>10</v>
      </c>
      <c r="E2099" s="1" t="s">
        <v>12</v>
      </c>
      <c r="F2099">
        <v>80144</v>
      </c>
      <c r="G2099">
        <v>0</v>
      </c>
      <c r="H2099" s="2">
        <v>0</v>
      </c>
      <c r="I2099" s="2">
        <v>41547</v>
      </c>
      <c r="J2099">
        <v>47</v>
      </c>
      <c r="K2099">
        <f>VLOOKUP(B2099,purchase_dataset!$B$2:$F$2241,2,FALSE)</f>
        <v>132</v>
      </c>
      <c r="L2099">
        <f>VLOOKUP(B2099,purchase_dataset!$B$2:$F$2241,3,FALSE)</f>
        <v>192</v>
      </c>
      <c r="M2099">
        <f>VLOOKUP(B2099,purchase_dataset!$B$2:$F$2241,3,FALSE)</f>
        <v>192</v>
      </c>
      <c r="N2099">
        <f>VLOOKUP(B2099,purchase_dataset!$B$2:$F$2241,5,FALSE)</f>
        <v>8</v>
      </c>
      <c r="O2099" s="5">
        <v>51</v>
      </c>
      <c r="P2099" s="4" t="str">
        <f t="shared" si="64"/>
        <v>&gt;50</v>
      </c>
      <c r="Q2099" s="4">
        <f>M2099+N2099</f>
        <v>200</v>
      </c>
      <c r="U2099" s="28" t="str" cm="1">
        <f t="array" ref="U2099">_xlfn.IFS(F2099&lt;30000,"30k",F2099&lt;=50000,"30k-50k",F2099&lt;=75000,"50k-75k",F2099&lt;=100000,"75k-100k",F2099&gt;100000,"100k")</f>
        <v>75k-100k</v>
      </c>
      <c r="W2099" s="1">
        <f t="shared" si="65"/>
        <v>13</v>
      </c>
    </row>
    <row r="2100" spans="1:23" x14ac:dyDescent="0.35">
      <c r="A2100">
        <v>2097</v>
      </c>
      <c r="B2100">
        <v>975</v>
      </c>
      <c r="C2100">
        <v>1956</v>
      </c>
      <c r="D2100" s="1" t="s">
        <v>10</v>
      </c>
      <c r="E2100" s="1" t="s">
        <v>11</v>
      </c>
      <c r="F2100">
        <v>54252</v>
      </c>
      <c r="G2100">
        <v>1</v>
      </c>
      <c r="H2100" s="2">
        <v>1</v>
      </c>
      <c r="I2100" s="2">
        <v>41422</v>
      </c>
      <c r="J2100">
        <v>25</v>
      </c>
      <c r="K2100">
        <f>VLOOKUP(B2100,purchase_dataset!$B$2:$F$2241,2,FALSE)</f>
        <v>4</v>
      </c>
      <c r="L2100">
        <f>VLOOKUP(B2100,purchase_dataset!$B$2:$F$2241,3,FALSE)</f>
        <v>4</v>
      </c>
      <c r="M2100">
        <f>VLOOKUP(B2100,purchase_dataset!$B$2:$F$2241,3,FALSE)</f>
        <v>4</v>
      </c>
      <c r="N2100">
        <f>VLOOKUP(B2100,purchase_dataset!$B$2:$F$2241,5,FALSE)</f>
        <v>5</v>
      </c>
      <c r="O2100" s="5">
        <v>70</v>
      </c>
      <c r="P2100" s="4" t="str">
        <f t="shared" si="64"/>
        <v>&gt;50</v>
      </c>
      <c r="Q2100" s="4">
        <f>M2100+N2100</f>
        <v>9</v>
      </c>
      <c r="U2100" s="28" t="str" cm="1">
        <f t="array" ref="U2100">_xlfn.IFS(F2100&lt;30000,"30k",F2100&lt;=50000,"30k-50k",F2100&lt;=75000,"50k-75k",F2100&lt;=100000,"75k-100k",F2100&gt;100000,"100k")</f>
        <v>50k-75k</v>
      </c>
      <c r="W2100" s="1">
        <f t="shared" si="65"/>
        <v>13</v>
      </c>
    </row>
    <row r="2101" spans="1:23" x14ac:dyDescent="0.35">
      <c r="A2101">
        <v>2098</v>
      </c>
      <c r="B2101">
        <v>1103</v>
      </c>
      <c r="C2101">
        <v>1976</v>
      </c>
      <c r="D2101" s="1" t="s">
        <v>15</v>
      </c>
      <c r="E2101" s="1" t="s">
        <v>14</v>
      </c>
      <c r="F2101">
        <v>81929</v>
      </c>
      <c r="G2101">
        <v>1</v>
      </c>
      <c r="H2101" s="2">
        <v>0</v>
      </c>
      <c r="I2101" s="2">
        <v>41181</v>
      </c>
      <c r="J2101">
        <v>60</v>
      </c>
      <c r="K2101">
        <f>VLOOKUP(B2101,purchase_dataset!$B$2:$F$2241,2,FALSE)</f>
        <v>55</v>
      </c>
      <c r="L2101">
        <f>VLOOKUP(B2101,purchase_dataset!$B$2:$F$2241,3,FALSE)</f>
        <v>0</v>
      </c>
      <c r="M2101">
        <f>VLOOKUP(B2101,purchase_dataset!$B$2:$F$2241,3,FALSE)</f>
        <v>0</v>
      </c>
      <c r="N2101">
        <f>VLOOKUP(B2101,purchase_dataset!$B$2:$F$2241,5,FALSE)</f>
        <v>10</v>
      </c>
      <c r="O2101" s="5">
        <v>50</v>
      </c>
      <c r="P2101" s="4" t="str">
        <f t="shared" si="64"/>
        <v>30-50</v>
      </c>
      <c r="Q2101" s="4">
        <f>M2101+N2101</f>
        <v>10</v>
      </c>
      <c r="U2101" s="28" t="str" cm="1">
        <f t="array" ref="U2101">_xlfn.IFS(F2101&lt;30000,"30k",F2101&lt;=50000,"30k-50k",F2101&lt;=75000,"50k-75k",F2101&lt;=100000,"75k-100k",F2101&gt;100000,"100k")</f>
        <v>75k-100k</v>
      </c>
      <c r="W2101" s="1">
        <f t="shared" si="65"/>
        <v>14</v>
      </c>
    </row>
    <row r="2102" spans="1:23" x14ac:dyDescent="0.35">
      <c r="A2102">
        <v>2099</v>
      </c>
      <c r="B2102">
        <v>3422</v>
      </c>
      <c r="C2102">
        <v>1975</v>
      </c>
      <c r="D2102" s="1" t="s">
        <v>10</v>
      </c>
      <c r="E2102" s="1" t="s">
        <v>14</v>
      </c>
      <c r="F2102">
        <v>76068</v>
      </c>
      <c r="G2102">
        <v>0</v>
      </c>
      <c r="H2102" s="2">
        <v>1</v>
      </c>
      <c r="I2102" s="2">
        <v>41242</v>
      </c>
      <c r="J2102">
        <v>67</v>
      </c>
      <c r="K2102">
        <f>VLOOKUP(B2102,purchase_dataset!$B$2:$F$2241,2,FALSE)</f>
        <v>12</v>
      </c>
      <c r="L2102">
        <f>VLOOKUP(B2102,purchase_dataset!$B$2:$F$2241,3,FALSE)</f>
        <v>12</v>
      </c>
      <c r="M2102">
        <f>VLOOKUP(B2102,purchase_dataset!$B$2:$F$2241,3,FALSE)</f>
        <v>12</v>
      </c>
      <c r="N2102">
        <f>VLOOKUP(B2102,purchase_dataset!$B$2:$F$2241,5,FALSE)</f>
        <v>4</v>
      </c>
      <c r="O2102" s="5">
        <v>51</v>
      </c>
      <c r="P2102" s="4" t="str">
        <f t="shared" si="64"/>
        <v>&gt;50</v>
      </c>
      <c r="Q2102" s="4">
        <f>M2102+N2102</f>
        <v>16</v>
      </c>
      <c r="U2102" s="28" t="str" cm="1">
        <f t="array" ref="U2102">_xlfn.IFS(F2102&lt;30000,"30k",F2102&lt;=50000,"30k-50k",F2102&lt;=75000,"50k-75k",F2102&lt;=100000,"75k-100k",F2102&gt;100000,"100k")</f>
        <v>75k-100k</v>
      </c>
      <c r="W2102" s="1">
        <f t="shared" si="65"/>
        <v>14</v>
      </c>
    </row>
    <row r="2103" spans="1:23" x14ac:dyDescent="0.35">
      <c r="A2103">
        <v>2100</v>
      </c>
      <c r="B2103">
        <v>1055</v>
      </c>
      <c r="C2103">
        <v>1976</v>
      </c>
      <c r="D2103" s="1" t="s">
        <v>15</v>
      </c>
      <c r="E2103" s="1" t="s">
        <v>14</v>
      </c>
      <c r="F2103">
        <v>53204</v>
      </c>
      <c r="G2103">
        <v>1</v>
      </c>
      <c r="H2103" s="2">
        <v>1</v>
      </c>
      <c r="I2103" s="2">
        <v>41718</v>
      </c>
      <c r="J2103">
        <v>40</v>
      </c>
      <c r="K2103">
        <f>VLOOKUP(B2103,purchase_dataset!$B$2:$F$2241,2,FALSE)</f>
        <v>0</v>
      </c>
      <c r="L2103">
        <f>VLOOKUP(B2103,purchase_dataset!$B$2:$F$2241,3,FALSE)</f>
        <v>0</v>
      </c>
      <c r="M2103">
        <f>VLOOKUP(B2103,purchase_dataset!$B$2:$F$2241,3,FALSE)</f>
        <v>0</v>
      </c>
      <c r="N2103">
        <f>VLOOKUP(B2103,purchase_dataset!$B$2:$F$2241,5,FALSE)</f>
        <v>3</v>
      </c>
      <c r="O2103" s="5">
        <v>50</v>
      </c>
      <c r="P2103" s="4" t="str">
        <f t="shared" si="64"/>
        <v>30-50</v>
      </c>
      <c r="Q2103" s="4">
        <f>M2103+N2103</f>
        <v>3</v>
      </c>
      <c r="U2103" s="28" t="str" cm="1">
        <f t="array" ref="U2103">_xlfn.IFS(F2103&lt;30000,"30k",F2103&lt;=50000,"30k-50k",F2103&lt;=75000,"50k-75k",F2103&lt;=100000,"75k-100k",F2103&gt;100000,"100k")</f>
        <v>50k-75k</v>
      </c>
      <c r="W2103" s="1">
        <f t="shared" si="65"/>
        <v>12</v>
      </c>
    </row>
    <row r="2104" spans="1:23" x14ac:dyDescent="0.35">
      <c r="A2104">
        <v>2101</v>
      </c>
      <c r="B2104">
        <v>6544</v>
      </c>
      <c r="C2104">
        <v>1949</v>
      </c>
      <c r="D2104" s="1" t="s">
        <v>13</v>
      </c>
      <c r="E2104" s="1" t="s">
        <v>12</v>
      </c>
      <c r="F2104">
        <v>67911</v>
      </c>
      <c r="G2104">
        <v>0</v>
      </c>
      <c r="H2104" s="2">
        <v>1</v>
      </c>
      <c r="I2104" s="2">
        <v>41781</v>
      </c>
      <c r="J2104">
        <v>63</v>
      </c>
      <c r="K2104">
        <f>VLOOKUP(B2104,purchase_dataset!$B$2:$F$2241,2,FALSE)</f>
        <v>0</v>
      </c>
      <c r="L2104">
        <f>VLOOKUP(B2104,purchase_dataset!$B$2:$F$2241,3,FALSE)</f>
        <v>28</v>
      </c>
      <c r="M2104">
        <f>VLOOKUP(B2104,purchase_dataset!$B$2:$F$2241,3,FALSE)</f>
        <v>28</v>
      </c>
      <c r="N2104">
        <f>VLOOKUP(B2104,purchase_dataset!$B$2:$F$2241,5,FALSE)</f>
        <v>11</v>
      </c>
      <c r="O2104" s="5">
        <v>77</v>
      </c>
      <c r="P2104" s="4" t="str">
        <f t="shared" si="64"/>
        <v>&gt;50</v>
      </c>
      <c r="Q2104" s="4">
        <f>M2104+N2104</f>
        <v>39</v>
      </c>
      <c r="U2104" s="28" t="str" cm="1">
        <f t="array" ref="U2104">_xlfn.IFS(F2104&lt;30000,"30k",F2104&lt;=50000,"30k-50k",F2104&lt;=75000,"50k-75k",F2104&lt;=100000,"75k-100k",F2104&gt;100000,"100k")</f>
        <v>50k-75k</v>
      </c>
      <c r="W2104" s="1">
        <f t="shared" si="65"/>
        <v>12</v>
      </c>
    </row>
    <row r="2105" spans="1:23" x14ac:dyDescent="0.35">
      <c r="A2105">
        <v>2102</v>
      </c>
      <c r="B2105">
        <v>1241</v>
      </c>
      <c r="C2105">
        <v>1984</v>
      </c>
      <c r="D2105" s="1" t="s">
        <v>18</v>
      </c>
      <c r="E2105" s="1" t="s">
        <v>14</v>
      </c>
      <c r="F2105">
        <v>14796</v>
      </c>
      <c r="G2105">
        <v>1</v>
      </c>
      <c r="H2105" s="2">
        <v>0</v>
      </c>
      <c r="I2105" s="2">
        <v>41169</v>
      </c>
      <c r="J2105">
        <v>1</v>
      </c>
      <c r="K2105">
        <f>VLOOKUP(B2105,purchase_dataset!$B$2:$F$2241,2,FALSE)</f>
        <v>3</v>
      </c>
      <c r="L2105">
        <f>VLOOKUP(B2105,purchase_dataset!$B$2:$F$2241,3,FALSE)</f>
        <v>4</v>
      </c>
      <c r="M2105">
        <f>VLOOKUP(B2105,purchase_dataset!$B$2:$F$2241,3,FALSE)</f>
        <v>4</v>
      </c>
      <c r="N2105">
        <f>VLOOKUP(B2105,purchase_dataset!$B$2:$F$2241,5,FALSE)</f>
        <v>3</v>
      </c>
      <c r="O2105" s="5">
        <v>42</v>
      </c>
      <c r="P2105" s="4" t="str">
        <f t="shared" si="64"/>
        <v>30-50</v>
      </c>
      <c r="Q2105" s="4">
        <f>M2105+N2105</f>
        <v>7</v>
      </c>
      <c r="U2105" s="28" t="str" cm="1">
        <f t="array" ref="U2105">_xlfn.IFS(F2105&lt;30000,"30k",F2105&lt;=50000,"30k-50k",F2105&lt;=75000,"50k-75k",F2105&lt;=100000,"75k-100k",F2105&gt;100000,"100k")</f>
        <v>30k</v>
      </c>
      <c r="W2105" s="1">
        <f t="shared" si="65"/>
        <v>14</v>
      </c>
    </row>
    <row r="2106" spans="1:23" x14ac:dyDescent="0.35">
      <c r="A2106">
        <v>2103</v>
      </c>
      <c r="B2106">
        <v>2909</v>
      </c>
      <c r="C2106">
        <v>1974</v>
      </c>
      <c r="D2106" s="1" t="s">
        <v>13</v>
      </c>
      <c r="E2106" s="1" t="s">
        <v>14</v>
      </c>
      <c r="F2106">
        <v>78128</v>
      </c>
      <c r="G2106">
        <v>0</v>
      </c>
      <c r="H2106" s="2">
        <v>1</v>
      </c>
      <c r="I2106" s="2">
        <v>41689</v>
      </c>
      <c r="J2106">
        <v>89</v>
      </c>
      <c r="K2106">
        <f>VLOOKUP(B2106,purchase_dataset!$B$2:$F$2241,2,FALSE)</f>
        <v>24</v>
      </c>
      <c r="L2106">
        <f>VLOOKUP(B2106,purchase_dataset!$B$2:$F$2241,3,FALSE)</f>
        <v>24</v>
      </c>
      <c r="M2106">
        <f>VLOOKUP(B2106,purchase_dataset!$B$2:$F$2241,3,FALSE)</f>
        <v>24</v>
      </c>
      <c r="N2106">
        <f>VLOOKUP(B2106,purchase_dataset!$B$2:$F$2241,5,FALSE)</f>
        <v>6</v>
      </c>
      <c r="O2106" s="5">
        <v>52</v>
      </c>
      <c r="P2106" s="4" t="str">
        <f t="shared" si="64"/>
        <v>&gt;50</v>
      </c>
      <c r="Q2106" s="4">
        <f>M2106+N2106</f>
        <v>30</v>
      </c>
      <c r="U2106" s="28" t="str" cm="1">
        <f t="array" ref="U2106">_xlfn.IFS(F2106&lt;30000,"30k",F2106&lt;=50000,"30k-50k",F2106&lt;=75000,"50k-75k",F2106&lt;=100000,"75k-100k",F2106&gt;100000,"100k")</f>
        <v>75k-100k</v>
      </c>
      <c r="W2106" s="1">
        <f t="shared" si="65"/>
        <v>12</v>
      </c>
    </row>
    <row r="2107" spans="1:23" x14ac:dyDescent="0.35">
      <c r="A2107">
        <v>2104</v>
      </c>
      <c r="B2107">
        <v>5802</v>
      </c>
      <c r="C2107">
        <v>1972</v>
      </c>
      <c r="D2107" s="1" t="s">
        <v>17</v>
      </c>
      <c r="E2107" s="1" t="s">
        <v>14</v>
      </c>
      <c r="F2107">
        <v>14188</v>
      </c>
      <c r="G2107">
        <v>0</v>
      </c>
      <c r="H2107" s="2">
        <v>0</v>
      </c>
      <c r="I2107" s="2">
        <v>41333</v>
      </c>
      <c r="J2107">
        <v>40</v>
      </c>
      <c r="K2107">
        <f>VLOOKUP(B2107,purchase_dataset!$B$2:$F$2241,2,FALSE)</f>
        <v>7</v>
      </c>
      <c r="L2107">
        <f>VLOOKUP(B2107,purchase_dataset!$B$2:$F$2241,3,FALSE)</f>
        <v>12</v>
      </c>
      <c r="M2107">
        <f>VLOOKUP(B2107,purchase_dataset!$B$2:$F$2241,3,FALSE)</f>
        <v>12</v>
      </c>
      <c r="N2107">
        <f>VLOOKUP(B2107,purchase_dataset!$B$2:$F$2241,5,FALSE)</f>
        <v>4</v>
      </c>
      <c r="O2107" s="5">
        <v>54</v>
      </c>
      <c r="P2107" s="4" t="str">
        <f t="shared" si="64"/>
        <v>&gt;50</v>
      </c>
      <c r="Q2107" s="4">
        <f>M2107+N2107</f>
        <v>16</v>
      </c>
      <c r="U2107" s="28" t="str" cm="1">
        <f t="array" ref="U2107">_xlfn.IFS(F2107&lt;30000,"30k",F2107&lt;=50000,"30k-50k",F2107&lt;=75000,"50k-75k",F2107&lt;=100000,"75k-100k",F2107&gt;100000,"100k")</f>
        <v>30k</v>
      </c>
      <c r="W2107" s="1">
        <f t="shared" si="65"/>
        <v>13</v>
      </c>
    </row>
    <row r="2108" spans="1:23" x14ac:dyDescent="0.35">
      <c r="A2108">
        <v>2105</v>
      </c>
      <c r="B2108">
        <v>1407</v>
      </c>
      <c r="C2108">
        <v>1986</v>
      </c>
      <c r="D2108" s="1" t="s">
        <v>17</v>
      </c>
      <c r="E2108" s="1" t="s">
        <v>14</v>
      </c>
      <c r="F2108">
        <v>20425</v>
      </c>
      <c r="G2108">
        <v>1</v>
      </c>
      <c r="H2108" s="2">
        <v>0</v>
      </c>
      <c r="I2108" s="2">
        <v>41211</v>
      </c>
      <c r="J2108">
        <v>5</v>
      </c>
      <c r="K2108">
        <f>VLOOKUP(B2108,purchase_dataset!$B$2:$F$2241,2,FALSE)</f>
        <v>12</v>
      </c>
      <c r="L2108">
        <f>VLOOKUP(B2108,purchase_dataset!$B$2:$F$2241,3,FALSE)</f>
        <v>16</v>
      </c>
      <c r="M2108">
        <f>VLOOKUP(B2108,purchase_dataset!$B$2:$F$2241,3,FALSE)</f>
        <v>16</v>
      </c>
      <c r="N2108">
        <f>VLOOKUP(B2108,purchase_dataset!$B$2:$F$2241,5,FALSE)</f>
        <v>3</v>
      </c>
      <c r="O2108" s="5">
        <v>40</v>
      </c>
      <c r="P2108" s="4" t="str">
        <f t="shared" si="64"/>
        <v>30-50</v>
      </c>
      <c r="Q2108" s="4">
        <f>M2108+N2108</f>
        <v>19</v>
      </c>
      <c r="U2108" s="28" t="str" cm="1">
        <f t="array" ref="U2108">_xlfn.IFS(F2108&lt;30000,"30k",F2108&lt;=50000,"30k-50k",F2108&lt;=75000,"50k-75k",F2108&lt;=100000,"75k-100k",F2108&gt;100000,"100k")</f>
        <v>30k</v>
      </c>
      <c r="W2108" s="1">
        <f t="shared" si="65"/>
        <v>14</v>
      </c>
    </row>
    <row r="2109" spans="1:23" x14ac:dyDescent="0.35">
      <c r="A2109">
        <v>2106</v>
      </c>
      <c r="B2109">
        <v>6183</v>
      </c>
      <c r="C2109">
        <v>1962</v>
      </c>
      <c r="D2109" s="1" t="s">
        <v>15</v>
      </c>
      <c r="E2109" s="1" t="s">
        <v>14</v>
      </c>
      <c r="F2109">
        <v>58646</v>
      </c>
      <c r="G2109">
        <v>0</v>
      </c>
      <c r="H2109" s="2">
        <v>1</v>
      </c>
      <c r="I2109" s="2">
        <v>41435</v>
      </c>
      <c r="J2109">
        <v>3</v>
      </c>
      <c r="K2109">
        <f>VLOOKUP(B2109,purchase_dataset!$B$2:$F$2241,2,FALSE)</f>
        <v>1</v>
      </c>
      <c r="L2109">
        <f>VLOOKUP(B2109,purchase_dataset!$B$2:$F$2241,3,FALSE)</f>
        <v>5</v>
      </c>
      <c r="M2109">
        <f>VLOOKUP(B2109,purchase_dataset!$B$2:$F$2241,3,FALSE)</f>
        <v>5</v>
      </c>
      <c r="N2109">
        <f>VLOOKUP(B2109,purchase_dataset!$B$2:$F$2241,5,FALSE)</f>
        <v>4</v>
      </c>
      <c r="O2109" s="5">
        <v>64</v>
      </c>
      <c r="P2109" s="4" t="str">
        <f t="shared" si="64"/>
        <v>&gt;50</v>
      </c>
      <c r="Q2109" s="4">
        <f>M2109+N2109</f>
        <v>9</v>
      </c>
      <c r="U2109" s="28" t="str" cm="1">
        <f t="array" ref="U2109">_xlfn.IFS(F2109&lt;30000,"30k",F2109&lt;=50000,"30k-50k",F2109&lt;=75000,"50k-75k",F2109&lt;=100000,"75k-100k",F2109&gt;100000,"100k")</f>
        <v>50k-75k</v>
      </c>
      <c r="W2109" s="1">
        <f t="shared" si="65"/>
        <v>13</v>
      </c>
    </row>
    <row r="2110" spans="1:23" x14ac:dyDescent="0.35">
      <c r="A2110">
        <v>2107</v>
      </c>
      <c r="B2110">
        <v>340</v>
      </c>
      <c r="C2110">
        <v>1970</v>
      </c>
      <c r="D2110" s="1" t="s">
        <v>10</v>
      </c>
      <c r="E2110" s="1" t="s">
        <v>16</v>
      </c>
      <c r="F2110">
        <v>72967</v>
      </c>
      <c r="G2110">
        <v>0</v>
      </c>
      <c r="H2110" s="2">
        <v>1</v>
      </c>
      <c r="I2110" s="2">
        <v>41258</v>
      </c>
      <c r="J2110">
        <v>1</v>
      </c>
      <c r="K2110">
        <f>VLOOKUP(B2110,purchase_dataset!$B$2:$F$2241,2,FALSE)</f>
        <v>35</v>
      </c>
      <c r="L2110">
        <f>VLOOKUP(B2110,purchase_dataset!$B$2:$F$2241,3,FALSE)</f>
        <v>0</v>
      </c>
      <c r="M2110">
        <f>VLOOKUP(B2110,purchase_dataset!$B$2:$F$2241,3,FALSE)</f>
        <v>0</v>
      </c>
      <c r="N2110">
        <f>VLOOKUP(B2110,purchase_dataset!$B$2:$F$2241,5,FALSE)</f>
        <v>8</v>
      </c>
      <c r="O2110" s="5">
        <v>56</v>
      </c>
      <c r="P2110" s="4" t="str">
        <f t="shared" si="64"/>
        <v>&gt;50</v>
      </c>
      <c r="Q2110" s="4">
        <f>M2110+N2110</f>
        <v>8</v>
      </c>
      <c r="U2110" s="28" t="str" cm="1">
        <f t="array" ref="U2110">_xlfn.IFS(F2110&lt;30000,"30k",F2110&lt;=50000,"30k-50k",F2110&lt;=75000,"50k-75k",F2110&lt;=100000,"75k-100k",F2110&gt;100000,"100k")</f>
        <v>50k-75k</v>
      </c>
      <c r="W2110" s="1">
        <f t="shared" si="65"/>
        <v>14</v>
      </c>
    </row>
    <row r="2111" spans="1:23" x14ac:dyDescent="0.35">
      <c r="A2111">
        <v>2108</v>
      </c>
      <c r="B2111">
        <v>5991</v>
      </c>
      <c r="C2111">
        <v>1949</v>
      </c>
      <c r="D2111" s="1" t="s">
        <v>15</v>
      </c>
      <c r="E2111" s="1" t="s">
        <v>14</v>
      </c>
      <c r="F2111">
        <v>48150</v>
      </c>
      <c r="G2111">
        <v>0</v>
      </c>
      <c r="H2111" s="2">
        <v>1</v>
      </c>
      <c r="I2111" s="2">
        <v>41433</v>
      </c>
      <c r="J2111">
        <v>24</v>
      </c>
      <c r="K2111">
        <f>VLOOKUP(B2111,purchase_dataset!$B$2:$F$2241,2,FALSE)</f>
        <v>2</v>
      </c>
      <c r="L2111">
        <f>VLOOKUP(B2111,purchase_dataset!$B$2:$F$2241,3,FALSE)</f>
        <v>2</v>
      </c>
      <c r="M2111">
        <f>VLOOKUP(B2111,purchase_dataset!$B$2:$F$2241,3,FALSE)</f>
        <v>2</v>
      </c>
      <c r="N2111">
        <f>VLOOKUP(B2111,purchase_dataset!$B$2:$F$2241,5,FALSE)</f>
        <v>4</v>
      </c>
      <c r="O2111" s="5">
        <v>77</v>
      </c>
      <c r="P2111" s="4" t="str">
        <f t="shared" si="64"/>
        <v>&gt;50</v>
      </c>
      <c r="Q2111" s="4">
        <f>M2111+N2111</f>
        <v>6</v>
      </c>
      <c r="U2111" s="28" t="str" cm="1">
        <f t="array" ref="U2111">_xlfn.IFS(F2111&lt;30000,"30k",F2111&lt;=50000,"30k-50k",F2111&lt;=75000,"50k-75k",F2111&lt;=100000,"75k-100k",F2111&gt;100000,"100k")</f>
        <v>30k-50k</v>
      </c>
      <c r="W2111" s="1">
        <f t="shared" si="65"/>
        <v>13</v>
      </c>
    </row>
    <row r="2112" spans="1:23" x14ac:dyDescent="0.35">
      <c r="A2112">
        <v>2109</v>
      </c>
      <c r="B2112">
        <v>3104</v>
      </c>
      <c r="C2112">
        <v>1961</v>
      </c>
      <c r="D2112" s="1" t="s">
        <v>10</v>
      </c>
      <c r="E2112" s="1" t="s">
        <v>11</v>
      </c>
      <c r="F2112">
        <v>82332</v>
      </c>
      <c r="G2112">
        <v>0</v>
      </c>
      <c r="H2112" s="2">
        <v>0</v>
      </c>
      <c r="I2112" s="2">
        <v>41169</v>
      </c>
      <c r="J2112">
        <v>89</v>
      </c>
      <c r="K2112">
        <f>VLOOKUP(B2112,purchase_dataset!$B$2:$F$2241,2,FALSE)</f>
        <v>59</v>
      </c>
      <c r="L2112">
        <f>VLOOKUP(B2112,purchase_dataset!$B$2:$F$2241,3,FALSE)</f>
        <v>79</v>
      </c>
      <c r="M2112">
        <f>VLOOKUP(B2112,purchase_dataset!$B$2:$F$2241,3,FALSE)</f>
        <v>79</v>
      </c>
      <c r="N2112">
        <f>VLOOKUP(B2112,purchase_dataset!$B$2:$F$2241,5,FALSE)</f>
        <v>12</v>
      </c>
      <c r="O2112" s="5">
        <v>65</v>
      </c>
      <c r="P2112" s="4" t="str">
        <f t="shared" si="64"/>
        <v>&gt;50</v>
      </c>
      <c r="Q2112" s="4">
        <f>M2112+N2112</f>
        <v>91</v>
      </c>
      <c r="U2112" s="28" t="str" cm="1">
        <f t="array" ref="U2112">_xlfn.IFS(F2112&lt;30000,"30k",F2112&lt;=50000,"30k-50k",F2112&lt;=75000,"50k-75k",F2112&lt;=100000,"75k-100k",F2112&gt;100000,"100k")</f>
        <v>75k-100k</v>
      </c>
      <c r="W2112" s="1">
        <f t="shared" si="65"/>
        <v>14</v>
      </c>
    </row>
    <row r="2113" spans="1:23" x14ac:dyDescent="0.35">
      <c r="A2113">
        <v>2110</v>
      </c>
      <c r="B2113">
        <v>9729</v>
      </c>
      <c r="C2113">
        <v>1955</v>
      </c>
      <c r="D2113" s="1" t="s">
        <v>10</v>
      </c>
      <c r="E2113" s="1" t="s">
        <v>19</v>
      </c>
      <c r="F2113">
        <v>58275</v>
      </c>
      <c r="G2113">
        <v>1</v>
      </c>
      <c r="H2113" s="2">
        <v>1</v>
      </c>
      <c r="I2113" s="2">
        <v>41427</v>
      </c>
      <c r="J2113">
        <v>48</v>
      </c>
      <c r="K2113">
        <f>VLOOKUP(B2113,purchase_dataset!$B$2:$F$2241,2,FALSE)</f>
        <v>10</v>
      </c>
      <c r="L2113">
        <f>VLOOKUP(B2113,purchase_dataset!$B$2:$F$2241,3,FALSE)</f>
        <v>43</v>
      </c>
      <c r="M2113">
        <f>VLOOKUP(B2113,purchase_dataset!$B$2:$F$2241,3,FALSE)</f>
        <v>43</v>
      </c>
      <c r="N2113">
        <f>VLOOKUP(B2113,purchase_dataset!$B$2:$F$2241,5,FALSE)</f>
        <v>7</v>
      </c>
      <c r="O2113" s="5">
        <v>71</v>
      </c>
      <c r="P2113" s="4" t="str">
        <f t="shared" si="64"/>
        <v>&gt;50</v>
      </c>
      <c r="Q2113" s="4">
        <f>M2113+N2113</f>
        <v>50</v>
      </c>
      <c r="U2113" s="28" t="str" cm="1">
        <f t="array" ref="U2113">_xlfn.IFS(F2113&lt;30000,"30k",F2113&lt;=50000,"30k-50k",F2113&lt;=75000,"50k-75k",F2113&lt;=100000,"75k-100k",F2113&gt;100000,"100k")</f>
        <v>50k-75k</v>
      </c>
      <c r="W2113" s="1">
        <f t="shared" si="65"/>
        <v>13</v>
      </c>
    </row>
    <row r="2114" spans="1:23" x14ac:dyDescent="0.35">
      <c r="A2114">
        <v>2111</v>
      </c>
      <c r="B2114">
        <v>1008</v>
      </c>
      <c r="C2114">
        <v>1981</v>
      </c>
      <c r="D2114" s="1" t="s">
        <v>13</v>
      </c>
      <c r="E2114" s="1" t="s">
        <v>12</v>
      </c>
      <c r="F2114">
        <v>44953</v>
      </c>
      <c r="G2114">
        <v>0</v>
      </c>
      <c r="H2114" s="2">
        <v>0</v>
      </c>
      <c r="I2114" s="2">
        <v>41264</v>
      </c>
      <c r="J2114">
        <v>31</v>
      </c>
      <c r="K2114">
        <f>VLOOKUP(B2114,purchase_dataset!$B$2:$F$2241,2,FALSE)</f>
        <v>17</v>
      </c>
      <c r="L2114">
        <f>VLOOKUP(B2114,purchase_dataset!$B$2:$F$2241,3,FALSE)</f>
        <v>8</v>
      </c>
      <c r="M2114">
        <f>VLOOKUP(B2114,purchase_dataset!$B$2:$F$2241,3,FALSE)</f>
        <v>8</v>
      </c>
      <c r="N2114">
        <f>VLOOKUP(B2114,purchase_dataset!$B$2:$F$2241,5,FALSE)</f>
        <v>13</v>
      </c>
      <c r="O2114" s="5">
        <v>45</v>
      </c>
      <c r="P2114" s="4" t="str">
        <f t="shared" si="64"/>
        <v>30-50</v>
      </c>
      <c r="Q2114" s="4">
        <f>M2114+N2114</f>
        <v>21</v>
      </c>
      <c r="U2114" s="28" t="str" cm="1">
        <f t="array" ref="U2114">_xlfn.IFS(F2114&lt;30000,"30k",F2114&lt;=50000,"30k-50k",F2114&lt;=75000,"50k-75k",F2114&lt;=100000,"75k-100k",F2114&gt;100000,"100k")</f>
        <v>30k-50k</v>
      </c>
      <c r="W2114" s="1">
        <f t="shared" si="65"/>
        <v>14</v>
      </c>
    </row>
    <row r="2115" spans="1:23" x14ac:dyDescent="0.35">
      <c r="A2115">
        <v>2112</v>
      </c>
      <c r="B2115">
        <v>11091</v>
      </c>
      <c r="C2115">
        <v>1953</v>
      </c>
      <c r="D2115" s="1" t="s">
        <v>10</v>
      </c>
      <c r="E2115" s="1" t="s">
        <v>12</v>
      </c>
      <c r="F2115">
        <v>34587</v>
      </c>
      <c r="G2115">
        <v>1</v>
      </c>
      <c r="H2115" s="2">
        <v>1</v>
      </c>
      <c r="I2115" s="2">
        <v>41775</v>
      </c>
      <c r="J2115">
        <v>68</v>
      </c>
      <c r="K2115">
        <f>VLOOKUP(B2115,purchase_dataset!$B$2:$F$2241,2,FALSE)</f>
        <v>2</v>
      </c>
      <c r="L2115">
        <f>VLOOKUP(B2115,purchase_dataset!$B$2:$F$2241,3,FALSE)</f>
        <v>0</v>
      </c>
      <c r="M2115">
        <f>VLOOKUP(B2115,purchase_dataset!$B$2:$F$2241,3,FALSE)</f>
        <v>0</v>
      </c>
      <c r="N2115">
        <f>VLOOKUP(B2115,purchase_dataset!$B$2:$F$2241,5,FALSE)</f>
        <v>3</v>
      </c>
      <c r="O2115" s="5">
        <v>73</v>
      </c>
      <c r="P2115" s="4" t="str">
        <f t="shared" si="64"/>
        <v>&gt;50</v>
      </c>
      <c r="Q2115" s="4">
        <f>M2115+N2115</f>
        <v>3</v>
      </c>
      <c r="U2115" s="28" t="str" cm="1">
        <f t="array" ref="U2115">_xlfn.IFS(F2115&lt;30000,"30k",F2115&lt;=50000,"30k-50k",F2115&lt;=75000,"50k-75k",F2115&lt;=100000,"75k-100k",F2115&gt;100000,"100k")</f>
        <v>30k-50k</v>
      </c>
      <c r="W2115" s="1">
        <f t="shared" si="65"/>
        <v>12</v>
      </c>
    </row>
    <row r="2116" spans="1:23" x14ac:dyDescent="0.35">
      <c r="A2116">
        <v>2113</v>
      </c>
      <c r="B2116">
        <v>3969</v>
      </c>
      <c r="C2116">
        <v>1974</v>
      </c>
      <c r="D2116" s="1" t="s">
        <v>15</v>
      </c>
      <c r="E2116" s="1" t="s">
        <v>12</v>
      </c>
      <c r="F2116">
        <v>43018</v>
      </c>
      <c r="G2116">
        <v>0</v>
      </c>
      <c r="H2116" s="2">
        <v>1</v>
      </c>
      <c r="I2116" s="2">
        <v>41579</v>
      </c>
      <c r="J2116">
        <v>46</v>
      </c>
      <c r="K2116">
        <f>VLOOKUP(B2116,purchase_dataset!$B$2:$F$2241,2,FALSE)</f>
        <v>4</v>
      </c>
      <c r="L2116">
        <f>VLOOKUP(B2116,purchase_dataset!$B$2:$F$2241,3,FALSE)</f>
        <v>6</v>
      </c>
      <c r="M2116">
        <f>VLOOKUP(B2116,purchase_dataset!$B$2:$F$2241,3,FALSE)</f>
        <v>6</v>
      </c>
      <c r="N2116">
        <f>VLOOKUP(B2116,purchase_dataset!$B$2:$F$2241,5,FALSE)</f>
        <v>2</v>
      </c>
      <c r="O2116" s="5">
        <v>52</v>
      </c>
      <c r="P2116" s="4" t="str">
        <f t="shared" ref="P2116:P2179" si="66">IF(O2116&lt;30,"30",IF(O2116&lt;=50,"30-50","&gt;50"))</f>
        <v>&gt;50</v>
      </c>
      <c r="Q2116" s="4">
        <f>M2116+N2116</f>
        <v>8</v>
      </c>
      <c r="U2116" s="28" t="str" cm="1">
        <f t="array" ref="U2116">_xlfn.IFS(F2116&lt;30000,"30k",F2116&lt;=50000,"30k-50k",F2116&lt;=75000,"50k-75k",F2116&lt;=100000,"75k-100k",F2116&gt;100000,"100k")</f>
        <v>30k-50k</v>
      </c>
      <c r="W2116" s="1">
        <f t="shared" ref="W2116:W2179" si="67">2026-YEAR(I2116)</f>
        <v>13</v>
      </c>
    </row>
    <row r="2117" spans="1:23" x14ac:dyDescent="0.35">
      <c r="A2117">
        <v>2114</v>
      </c>
      <c r="B2117">
        <v>1916</v>
      </c>
      <c r="C2117">
        <v>1954</v>
      </c>
      <c r="D2117" s="1" t="s">
        <v>15</v>
      </c>
      <c r="E2117" s="1" t="s">
        <v>14</v>
      </c>
      <c r="F2117">
        <v>45736</v>
      </c>
      <c r="G2117">
        <v>0</v>
      </c>
      <c r="H2117" s="2">
        <v>1</v>
      </c>
      <c r="I2117" s="2">
        <v>41479</v>
      </c>
      <c r="J2117">
        <v>92</v>
      </c>
      <c r="K2117">
        <f>VLOOKUP(B2117,purchase_dataset!$B$2:$F$2241,2,FALSE)</f>
        <v>3</v>
      </c>
      <c r="L2117">
        <f>VLOOKUP(B2117,purchase_dataset!$B$2:$F$2241,3,FALSE)</f>
        <v>3</v>
      </c>
      <c r="M2117">
        <f>VLOOKUP(B2117,purchase_dataset!$B$2:$F$2241,3,FALSE)</f>
        <v>3</v>
      </c>
      <c r="N2117">
        <f>VLOOKUP(B2117,purchase_dataset!$B$2:$F$2241,5,FALSE)</f>
        <v>6</v>
      </c>
      <c r="O2117" s="5">
        <v>72</v>
      </c>
      <c r="P2117" s="4" t="str">
        <f t="shared" si="66"/>
        <v>&gt;50</v>
      </c>
      <c r="Q2117" s="4">
        <f>M2117+N2117</f>
        <v>9</v>
      </c>
      <c r="U2117" s="28" t="str" cm="1">
        <f t="array" ref="U2117">_xlfn.IFS(F2117&lt;30000,"30k",F2117&lt;=50000,"30k-50k",F2117&lt;=75000,"50k-75k",F2117&lt;=100000,"75k-100k",F2117&gt;100000,"100k")</f>
        <v>30k-50k</v>
      </c>
      <c r="W2117" s="1">
        <f t="shared" si="67"/>
        <v>13</v>
      </c>
    </row>
    <row r="2118" spans="1:23" x14ac:dyDescent="0.35">
      <c r="A2118">
        <v>2115</v>
      </c>
      <c r="B2118">
        <v>9907</v>
      </c>
      <c r="C2118">
        <v>1969</v>
      </c>
      <c r="D2118" s="1" t="s">
        <v>15</v>
      </c>
      <c r="E2118" s="1" t="s">
        <v>12</v>
      </c>
      <c r="F2118">
        <v>66476</v>
      </c>
      <c r="G2118">
        <v>0</v>
      </c>
      <c r="H2118" s="2">
        <v>1</v>
      </c>
      <c r="I2118" s="2">
        <v>41612</v>
      </c>
      <c r="J2118">
        <v>80</v>
      </c>
      <c r="K2118">
        <f>VLOOKUP(B2118,purchase_dataset!$B$2:$F$2241,2,FALSE)</f>
        <v>28</v>
      </c>
      <c r="L2118">
        <f>VLOOKUP(B2118,purchase_dataset!$B$2:$F$2241,3,FALSE)</f>
        <v>9</v>
      </c>
      <c r="M2118">
        <f>VLOOKUP(B2118,purchase_dataset!$B$2:$F$2241,3,FALSE)</f>
        <v>9</v>
      </c>
      <c r="N2118">
        <f>VLOOKUP(B2118,purchase_dataset!$B$2:$F$2241,5,FALSE)</f>
        <v>10</v>
      </c>
      <c r="O2118" s="5">
        <v>57</v>
      </c>
      <c r="P2118" s="4" t="str">
        <f t="shared" si="66"/>
        <v>&gt;50</v>
      </c>
      <c r="Q2118" s="4">
        <f>M2118+N2118</f>
        <v>19</v>
      </c>
      <c r="U2118" s="28" t="str" cm="1">
        <f t="array" ref="U2118">_xlfn.IFS(F2118&lt;30000,"30k",F2118&lt;=50000,"30k-50k",F2118&lt;=75000,"50k-75k",F2118&lt;=100000,"75k-100k",F2118&gt;100000,"100k")</f>
        <v>50k-75k</v>
      </c>
      <c r="W2118" s="1">
        <f t="shared" si="67"/>
        <v>13</v>
      </c>
    </row>
    <row r="2119" spans="1:23" x14ac:dyDescent="0.35">
      <c r="A2119">
        <v>2116</v>
      </c>
      <c r="B2119">
        <v>87</v>
      </c>
      <c r="C2119">
        <v>1981</v>
      </c>
      <c r="D2119" s="1" t="s">
        <v>18</v>
      </c>
      <c r="E2119" s="1" t="s">
        <v>14</v>
      </c>
      <c r="F2119">
        <v>27733</v>
      </c>
      <c r="G2119">
        <v>1</v>
      </c>
      <c r="H2119" s="2">
        <v>0</v>
      </c>
      <c r="I2119" s="2">
        <v>41512</v>
      </c>
      <c r="J2119">
        <v>16</v>
      </c>
      <c r="K2119">
        <f>VLOOKUP(B2119,purchase_dataset!$B$2:$F$2241,2,FALSE)</f>
        <v>7</v>
      </c>
      <c r="L2119">
        <f>VLOOKUP(B2119,purchase_dataset!$B$2:$F$2241,3,FALSE)</f>
        <v>2</v>
      </c>
      <c r="M2119">
        <f>VLOOKUP(B2119,purchase_dataset!$B$2:$F$2241,3,FALSE)</f>
        <v>2</v>
      </c>
      <c r="N2119">
        <f>VLOOKUP(B2119,purchase_dataset!$B$2:$F$2241,5,FALSE)</f>
        <v>3</v>
      </c>
      <c r="O2119" s="5">
        <v>45</v>
      </c>
      <c r="P2119" s="4" t="str">
        <f t="shared" si="66"/>
        <v>30-50</v>
      </c>
      <c r="Q2119" s="4">
        <f>M2119+N2119</f>
        <v>5</v>
      </c>
      <c r="U2119" s="28" t="str" cm="1">
        <f t="array" ref="U2119">_xlfn.IFS(F2119&lt;30000,"30k",F2119&lt;=50000,"30k-50k",F2119&lt;=75000,"50k-75k",F2119&lt;=100000,"75k-100k",F2119&gt;100000,"100k")</f>
        <v>30k</v>
      </c>
      <c r="W2119" s="1">
        <f t="shared" si="67"/>
        <v>13</v>
      </c>
    </row>
    <row r="2120" spans="1:23" x14ac:dyDescent="0.35">
      <c r="A2120">
        <v>2117</v>
      </c>
      <c r="B2120">
        <v>8659</v>
      </c>
      <c r="C2120">
        <v>1952</v>
      </c>
      <c r="D2120" s="1" t="s">
        <v>13</v>
      </c>
      <c r="E2120" s="1" t="s">
        <v>12</v>
      </c>
      <c r="F2120">
        <v>69805</v>
      </c>
      <c r="G2120">
        <v>0</v>
      </c>
      <c r="H2120" s="2">
        <v>1</v>
      </c>
      <c r="I2120" s="2">
        <v>41660</v>
      </c>
      <c r="J2120">
        <v>50</v>
      </c>
      <c r="K2120">
        <f>VLOOKUP(B2120,purchase_dataset!$B$2:$F$2241,2,FALSE)</f>
        <v>71</v>
      </c>
      <c r="L2120">
        <f>VLOOKUP(B2120,purchase_dataset!$B$2:$F$2241,3,FALSE)</f>
        <v>10</v>
      </c>
      <c r="M2120">
        <f>VLOOKUP(B2120,purchase_dataset!$B$2:$F$2241,3,FALSE)</f>
        <v>10</v>
      </c>
      <c r="N2120">
        <f>VLOOKUP(B2120,purchase_dataset!$B$2:$F$2241,5,FALSE)</f>
        <v>11</v>
      </c>
      <c r="O2120" s="5">
        <v>74</v>
      </c>
      <c r="P2120" s="4" t="str">
        <f t="shared" si="66"/>
        <v>&gt;50</v>
      </c>
      <c r="Q2120" s="4">
        <f>M2120+N2120</f>
        <v>21</v>
      </c>
      <c r="U2120" s="28" t="str" cm="1">
        <f t="array" ref="U2120">_xlfn.IFS(F2120&lt;30000,"30k",F2120&lt;=50000,"30k-50k",F2120&lt;=75000,"50k-75k",F2120&lt;=100000,"75k-100k",F2120&gt;100000,"100k")</f>
        <v>50k-75k</v>
      </c>
      <c r="W2120" s="1">
        <f t="shared" si="67"/>
        <v>12</v>
      </c>
    </row>
    <row r="2121" spans="1:23" x14ac:dyDescent="0.35">
      <c r="A2121">
        <v>2118</v>
      </c>
      <c r="B2121">
        <v>6262</v>
      </c>
      <c r="C2121">
        <v>1962</v>
      </c>
      <c r="D2121" s="1" t="s">
        <v>15</v>
      </c>
      <c r="E2121" s="1" t="s">
        <v>11</v>
      </c>
      <c r="F2121">
        <v>72217</v>
      </c>
      <c r="G2121">
        <v>0</v>
      </c>
      <c r="H2121" s="2">
        <v>0</v>
      </c>
      <c r="I2121" s="2">
        <v>41374</v>
      </c>
      <c r="J2121">
        <v>93</v>
      </c>
      <c r="K2121">
        <f>VLOOKUP(B2121,purchase_dataset!$B$2:$F$2241,2,FALSE)</f>
        <v>42</v>
      </c>
      <c r="L2121">
        <f>VLOOKUP(B2121,purchase_dataset!$B$2:$F$2241,3,FALSE)</f>
        <v>56</v>
      </c>
      <c r="M2121">
        <f>VLOOKUP(B2121,purchase_dataset!$B$2:$F$2241,3,FALSE)</f>
        <v>56</v>
      </c>
      <c r="N2121">
        <f>VLOOKUP(B2121,purchase_dataset!$B$2:$F$2241,5,FALSE)</f>
        <v>8</v>
      </c>
      <c r="O2121" s="5">
        <v>64</v>
      </c>
      <c r="P2121" s="4" t="str">
        <f t="shared" si="66"/>
        <v>&gt;50</v>
      </c>
      <c r="Q2121" s="4">
        <f>M2121+N2121</f>
        <v>64</v>
      </c>
      <c r="U2121" s="28" t="str" cm="1">
        <f t="array" ref="U2121">_xlfn.IFS(F2121&lt;30000,"30k",F2121&lt;=50000,"30k-50k",F2121&lt;=75000,"50k-75k",F2121&lt;=100000,"75k-100k",F2121&gt;100000,"100k")</f>
        <v>50k-75k</v>
      </c>
      <c r="W2121" s="1">
        <f t="shared" si="67"/>
        <v>13</v>
      </c>
    </row>
    <row r="2122" spans="1:23" x14ac:dyDescent="0.35">
      <c r="A2122">
        <v>2119</v>
      </c>
      <c r="B2122">
        <v>6147</v>
      </c>
      <c r="C2122">
        <v>1971</v>
      </c>
      <c r="D2122" s="1" t="s">
        <v>10</v>
      </c>
      <c r="E2122" s="1" t="s">
        <v>16</v>
      </c>
      <c r="F2122">
        <v>25818</v>
      </c>
      <c r="G2122">
        <v>1</v>
      </c>
      <c r="H2122" s="2">
        <v>0</v>
      </c>
      <c r="I2122" s="2">
        <v>41200</v>
      </c>
      <c r="J2122">
        <v>51</v>
      </c>
      <c r="K2122">
        <f>VLOOKUP(B2122,purchase_dataset!$B$2:$F$2241,2,FALSE)</f>
        <v>2</v>
      </c>
      <c r="L2122">
        <f>VLOOKUP(B2122,purchase_dataset!$B$2:$F$2241,3,FALSE)</f>
        <v>2</v>
      </c>
      <c r="M2122">
        <f>VLOOKUP(B2122,purchase_dataset!$B$2:$F$2241,3,FALSE)</f>
        <v>2</v>
      </c>
      <c r="N2122">
        <f>VLOOKUP(B2122,purchase_dataset!$B$2:$F$2241,5,FALSE)</f>
        <v>2</v>
      </c>
      <c r="O2122" s="5">
        <v>55</v>
      </c>
      <c r="P2122" s="4" t="str">
        <f t="shared" si="66"/>
        <v>&gt;50</v>
      </c>
      <c r="Q2122" s="4">
        <f>M2122+N2122</f>
        <v>4</v>
      </c>
      <c r="U2122" s="28" t="str" cm="1">
        <f t="array" ref="U2122">_xlfn.IFS(F2122&lt;30000,"30k",F2122&lt;=50000,"30k-50k",F2122&lt;=75000,"50k-75k",F2122&lt;=100000,"75k-100k",F2122&gt;100000,"100k")</f>
        <v>30k</v>
      </c>
      <c r="W2122" s="1">
        <f t="shared" si="67"/>
        <v>14</v>
      </c>
    </row>
    <row r="2123" spans="1:23" x14ac:dyDescent="0.35">
      <c r="A2123">
        <v>2120</v>
      </c>
      <c r="B2123">
        <v>8832</v>
      </c>
      <c r="C2123">
        <v>1976</v>
      </c>
      <c r="D2123" s="1" t="s">
        <v>15</v>
      </c>
      <c r="E2123" s="1" t="s">
        <v>12</v>
      </c>
      <c r="F2123">
        <v>37509</v>
      </c>
      <c r="G2123">
        <v>1</v>
      </c>
      <c r="H2123" s="2">
        <v>0</v>
      </c>
      <c r="I2123" s="2">
        <v>41164</v>
      </c>
      <c r="J2123">
        <v>24</v>
      </c>
      <c r="K2123">
        <f>VLOOKUP(B2123,purchase_dataset!$B$2:$F$2241,2,FALSE)</f>
        <v>5</v>
      </c>
      <c r="L2123">
        <f>VLOOKUP(B2123,purchase_dataset!$B$2:$F$2241,3,FALSE)</f>
        <v>8</v>
      </c>
      <c r="M2123">
        <f>VLOOKUP(B2123,purchase_dataset!$B$2:$F$2241,3,FALSE)</f>
        <v>8</v>
      </c>
      <c r="N2123">
        <f>VLOOKUP(B2123,purchase_dataset!$B$2:$F$2241,5,FALSE)</f>
        <v>4</v>
      </c>
      <c r="O2123" s="5">
        <v>50</v>
      </c>
      <c r="P2123" s="4" t="str">
        <f t="shared" si="66"/>
        <v>30-50</v>
      </c>
      <c r="Q2123" s="4">
        <f>M2123+N2123</f>
        <v>12</v>
      </c>
      <c r="U2123" s="28" t="str" cm="1">
        <f t="array" ref="U2123">_xlfn.IFS(F2123&lt;30000,"30k",F2123&lt;=50000,"30k-50k",F2123&lt;=75000,"50k-75k",F2123&lt;=100000,"75k-100k",F2123&gt;100000,"100k")</f>
        <v>30k-50k</v>
      </c>
      <c r="W2123" s="1">
        <f t="shared" si="67"/>
        <v>14</v>
      </c>
    </row>
    <row r="2124" spans="1:23" x14ac:dyDescent="0.35">
      <c r="A2124">
        <v>2121</v>
      </c>
      <c r="B2124">
        <v>10067</v>
      </c>
      <c r="C2124">
        <v>1976</v>
      </c>
      <c r="D2124" s="1" t="s">
        <v>18</v>
      </c>
      <c r="E2124" s="1" t="s">
        <v>12</v>
      </c>
      <c r="F2124">
        <v>25176</v>
      </c>
      <c r="G2124">
        <v>1</v>
      </c>
      <c r="H2124" s="2">
        <v>1</v>
      </c>
      <c r="I2124" s="2">
        <v>41496</v>
      </c>
      <c r="J2124">
        <v>79</v>
      </c>
      <c r="K2124">
        <f>VLOOKUP(B2124,purchase_dataset!$B$2:$F$2241,2,FALSE)</f>
        <v>0</v>
      </c>
      <c r="L2124">
        <f>VLOOKUP(B2124,purchase_dataset!$B$2:$F$2241,3,FALSE)</f>
        <v>0</v>
      </c>
      <c r="M2124">
        <f>VLOOKUP(B2124,purchase_dataset!$B$2:$F$2241,3,FALSE)</f>
        <v>0</v>
      </c>
      <c r="N2124">
        <f>VLOOKUP(B2124,purchase_dataset!$B$2:$F$2241,5,FALSE)</f>
        <v>2</v>
      </c>
      <c r="O2124" s="5">
        <v>50</v>
      </c>
      <c r="P2124" s="4" t="str">
        <f t="shared" si="66"/>
        <v>30-50</v>
      </c>
      <c r="Q2124" s="4">
        <f>M2124+N2124</f>
        <v>2</v>
      </c>
      <c r="U2124" s="28" t="str" cm="1">
        <f t="array" ref="U2124">_xlfn.IFS(F2124&lt;30000,"30k",F2124&lt;=50000,"30k-50k",F2124&lt;=75000,"50k-75k",F2124&lt;=100000,"75k-100k",F2124&gt;100000,"100k")</f>
        <v>30k</v>
      </c>
      <c r="W2124" s="1">
        <f t="shared" si="67"/>
        <v>13</v>
      </c>
    </row>
    <row r="2125" spans="1:23" x14ac:dyDescent="0.35">
      <c r="A2125">
        <v>2122</v>
      </c>
      <c r="B2125">
        <v>7532</v>
      </c>
      <c r="C2125">
        <v>1980</v>
      </c>
      <c r="D2125" s="1" t="s">
        <v>10</v>
      </c>
      <c r="E2125" s="1" t="s">
        <v>14</v>
      </c>
      <c r="F2125">
        <v>43586</v>
      </c>
      <c r="G2125">
        <v>0</v>
      </c>
      <c r="H2125" s="2">
        <v>1</v>
      </c>
      <c r="I2125" s="2">
        <v>41151</v>
      </c>
      <c r="J2125">
        <v>26</v>
      </c>
      <c r="K2125">
        <f>VLOOKUP(B2125,purchase_dataset!$B$2:$F$2241,2,FALSE)</f>
        <v>2</v>
      </c>
      <c r="L2125">
        <f>VLOOKUP(B2125,purchase_dataset!$B$2:$F$2241,3,FALSE)</f>
        <v>0</v>
      </c>
      <c r="M2125">
        <f>VLOOKUP(B2125,purchase_dataset!$B$2:$F$2241,3,FALSE)</f>
        <v>0</v>
      </c>
      <c r="N2125">
        <f>VLOOKUP(B2125,purchase_dataset!$B$2:$F$2241,5,FALSE)</f>
        <v>4</v>
      </c>
      <c r="O2125" s="5">
        <v>46</v>
      </c>
      <c r="P2125" s="4" t="str">
        <f t="shared" si="66"/>
        <v>30-50</v>
      </c>
      <c r="Q2125" s="4">
        <f>M2125+N2125</f>
        <v>4</v>
      </c>
      <c r="U2125" s="28" t="str" cm="1">
        <f t="array" ref="U2125">_xlfn.IFS(F2125&lt;30000,"30k",F2125&lt;=50000,"30k-50k",F2125&lt;=75000,"50k-75k",F2125&lt;=100000,"75k-100k",F2125&gt;100000,"100k")</f>
        <v>30k-50k</v>
      </c>
      <c r="W2125" s="1">
        <f t="shared" si="67"/>
        <v>14</v>
      </c>
    </row>
    <row r="2126" spans="1:23" x14ac:dyDescent="0.35">
      <c r="A2126">
        <v>2123</v>
      </c>
      <c r="B2126">
        <v>4915</v>
      </c>
      <c r="C2126">
        <v>1956</v>
      </c>
      <c r="D2126" s="1" t="s">
        <v>18</v>
      </c>
      <c r="E2126" s="1" t="s">
        <v>14</v>
      </c>
      <c r="F2126">
        <v>53230</v>
      </c>
      <c r="G2126">
        <v>0</v>
      </c>
      <c r="H2126" s="2">
        <v>1</v>
      </c>
      <c r="I2126" s="2">
        <v>41124</v>
      </c>
      <c r="J2126">
        <v>86</v>
      </c>
      <c r="K2126">
        <f>VLOOKUP(B2126,purchase_dataset!$B$2:$F$2241,2,FALSE)</f>
        <v>72</v>
      </c>
      <c r="L2126">
        <f>VLOOKUP(B2126,purchase_dataset!$B$2:$F$2241,3,FALSE)</f>
        <v>21</v>
      </c>
      <c r="M2126">
        <f>VLOOKUP(B2126,purchase_dataset!$B$2:$F$2241,3,FALSE)</f>
        <v>21</v>
      </c>
      <c r="N2126">
        <f>VLOOKUP(B2126,purchase_dataset!$B$2:$F$2241,5,FALSE)</f>
        <v>12</v>
      </c>
      <c r="O2126" s="5">
        <v>70</v>
      </c>
      <c r="P2126" s="4" t="str">
        <f t="shared" si="66"/>
        <v>&gt;50</v>
      </c>
      <c r="Q2126" s="4">
        <f>M2126+N2126</f>
        <v>33</v>
      </c>
      <c r="U2126" s="28" t="str" cm="1">
        <f t="array" ref="U2126">_xlfn.IFS(F2126&lt;30000,"30k",F2126&lt;=50000,"30k-50k",F2126&lt;=75000,"50k-75k",F2126&lt;=100000,"75k-100k",F2126&gt;100000,"100k")</f>
        <v>50k-75k</v>
      </c>
      <c r="W2126" s="1">
        <f t="shared" si="67"/>
        <v>14</v>
      </c>
    </row>
    <row r="2127" spans="1:23" x14ac:dyDescent="0.35">
      <c r="A2127">
        <v>2124</v>
      </c>
      <c r="B2127">
        <v>2115</v>
      </c>
      <c r="C2127">
        <v>1957</v>
      </c>
      <c r="D2127" s="1" t="s">
        <v>10</v>
      </c>
      <c r="E2127" s="1" t="s">
        <v>12</v>
      </c>
      <c r="F2127">
        <v>50116</v>
      </c>
      <c r="G2127">
        <v>1</v>
      </c>
      <c r="H2127" s="2">
        <v>1</v>
      </c>
      <c r="I2127" s="2">
        <v>41810</v>
      </c>
      <c r="J2127">
        <v>68</v>
      </c>
      <c r="K2127">
        <f>VLOOKUP(B2127,purchase_dataset!$B$2:$F$2241,2,FALSE)</f>
        <v>0</v>
      </c>
      <c r="L2127">
        <f>VLOOKUP(B2127,purchase_dataset!$B$2:$F$2241,3,FALSE)</f>
        <v>0</v>
      </c>
      <c r="M2127">
        <f>VLOOKUP(B2127,purchase_dataset!$B$2:$F$2241,3,FALSE)</f>
        <v>0</v>
      </c>
      <c r="N2127">
        <f>VLOOKUP(B2127,purchase_dataset!$B$2:$F$2241,5,FALSE)</f>
        <v>4</v>
      </c>
      <c r="O2127" s="5">
        <v>69</v>
      </c>
      <c r="P2127" s="4" t="str">
        <f t="shared" si="66"/>
        <v>&gt;50</v>
      </c>
      <c r="Q2127" s="4">
        <f>M2127+N2127</f>
        <v>4</v>
      </c>
      <c r="U2127" s="28" t="str" cm="1">
        <f t="array" ref="U2127">_xlfn.IFS(F2127&lt;30000,"30k",F2127&lt;=50000,"30k-50k",F2127&lt;=75000,"50k-75k",F2127&lt;=100000,"75k-100k",F2127&gt;100000,"100k")</f>
        <v>50k-75k</v>
      </c>
      <c r="W2127" s="1">
        <f t="shared" si="67"/>
        <v>12</v>
      </c>
    </row>
    <row r="2128" spans="1:23" x14ac:dyDescent="0.35">
      <c r="A2128">
        <v>2125</v>
      </c>
      <c r="B2128">
        <v>2088</v>
      </c>
      <c r="C2128">
        <v>1972</v>
      </c>
      <c r="D2128" s="1" t="s">
        <v>10</v>
      </c>
      <c r="E2128" s="1" t="s">
        <v>12</v>
      </c>
      <c r="F2128">
        <v>84906</v>
      </c>
      <c r="G2128">
        <v>0</v>
      </c>
      <c r="H2128" s="2">
        <v>0</v>
      </c>
      <c r="I2128" s="2">
        <v>41551</v>
      </c>
      <c r="J2128">
        <v>98</v>
      </c>
      <c r="K2128">
        <f>VLOOKUP(B2128,purchase_dataset!$B$2:$F$2241,2,FALSE)</f>
        <v>15</v>
      </c>
      <c r="L2128">
        <f>VLOOKUP(B2128,purchase_dataset!$B$2:$F$2241,3,FALSE)</f>
        <v>30</v>
      </c>
      <c r="M2128">
        <f>VLOOKUP(B2128,purchase_dataset!$B$2:$F$2241,3,FALSE)</f>
        <v>30</v>
      </c>
      <c r="N2128">
        <f>VLOOKUP(B2128,purchase_dataset!$B$2:$F$2241,5,FALSE)</f>
        <v>12</v>
      </c>
      <c r="O2128" s="5">
        <v>54</v>
      </c>
      <c r="P2128" s="4" t="str">
        <f t="shared" si="66"/>
        <v>&gt;50</v>
      </c>
      <c r="Q2128" s="4">
        <f>M2128+N2128</f>
        <v>42</v>
      </c>
      <c r="U2128" s="28" t="str" cm="1">
        <f t="array" ref="U2128">_xlfn.IFS(F2128&lt;30000,"30k",F2128&lt;=50000,"30k-50k",F2128&lt;=75000,"50k-75k",F2128&lt;=100000,"75k-100k",F2128&gt;100000,"100k")</f>
        <v>75k-100k</v>
      </c>
      <c r="W2128" s="1">
        <f t="shared" si="67"/>
        <v>13</v>
      </c>
    </row>
    <row r="2129" spans="1:23" x14ac:dyDescent="0.35">
      <c r="A2129">
        <v>2126</v>
      </c>
      <c r="B2129">
        <v>2493</v>
      </c>
      <c r="C2129">
        <v>1966</v>
      </c>
      <c r="D2129" s="1" t="s">
        <v>10</v>
      </c>
      <c r="E2129" s="1" t="s">
        <v>14</v>
      </c>
      <c r="F2129">
        <v>61286</v>
      </c>
      <c r="G2129">
        <v>0</v>
      </c>
      <c r="H2129" s="2">
        <v>1</v>
      </c>
      <c r="I2129" s="2">
        <v>41488</v>
      </c>
      <c r="J2129">
        <v>34</v>
      </c>
      <c r="K2129">
        <f>VLOOKUP(B2129,purchase_dataset!$B$2:$F$2241,2,FALSE)</f>
        <v>0</v>
      </c>
      <c r="L2129">
        <f>VLOOKUP(B2129,purchase_dataset!$B$2:$F$2241,3,FALSE)</f>
        <v>9</v>
      </c>
      <c r="M2129">
        <f>VLOOKUP(B2129,purchase_dataset!$B$2:$F$2241,3,FALSE)</f>
        <v>9</v>
      </c>
      <c r="N2129">
        <f>VLOOKUP(B2129,purchase_dataset!$B$2:$F$2241,5,FALSE)</f>
        <v>8</v>
      </c>
      <c r="O2129" s="5">
        <v>60</v>
      </c>
      <c r="P2129" s="4" t="str">
        <f t="shared" si="66"/>
        <v>&gt;50</v>
      </c>
      <c r="Q2129" s="4">
        <f>M2129+N2129</f>
        <v>17</v>
      </c>
      <c r="U2129" s="28" t="str" cm="1">
        <f t="array" ref="U2129">_xlfn.IFS(F2129&lt;30000,"30k",F2129&lt;=50000,"30k-50k",F2129&lt;=75000,"50k-75k",F2129&lt;=100000,"75k-100k",F2129&gt;100000,"100k")</f>
        <v>50k-75k</v>
      </c>
      <c r="W2129" s="1">
        <f t="shared" si="67"/>
        <v>13</v>
      </c>
    </row>
    <row r="2130" spans="1:23" x14ac:dyDescent="0.35">
      <c r="A2130">
        <v>2127</v>
      </c>
      <c r="B2130">
        <v>6292</v>
      </c>
      <c r="C2130">
        <v>1986</v>
      </c>
      <c r="D2130" s="1" t="s">
        <v>13</v>
      </c>
      <c r="E2130" s="1" t="s">
        <v>14</v>
      </c>
      <c r="F2130">
        <v>82333</v>
      </c>
      <c r="G2130">
        <v>0</v>
      </c>
      <c r="H2130" s="2">
        <v>0</v>
      </c>
      <c r="I2130" s="2">
        <v>41363</v>
      </c>
      <c r="J2130">
        <v>60</v>
      </c>
      <c r="K2130">
        <f>VLOOKUP(B2130,purchase_dataset!$B$2:$F$2241,2,FALSE)</f>
        <v>0</v>
      </c>
      <c r="L2130">
        <f>VLOOKUP(B2130,purchase_dataset!$B$2:$F$2241,3,FALSE)</f>
        <v>89</v>
      </c>
      <c r="M2130">
        <f>VLOOKUP(B2130,purchase_dataset!$B$2:$F$2241,3,FALSE)</f>
        <v>89</v>
      </c>
      <c r="N2130">
        <f>VLOOKUP(B2130,purchase_dataset!$B$2:$F$2241,5,FALSE)</f>
        <v>10</v>
      </c>
      <c r="O2130" s="5">
        <v>40</v>
      </c>
      <c r="P2130" s="4" t="str">
        <f t="shared" si="66"/>
        <v>30-50</v>
      </c>
      <c r="Q2130" s="4">
        <f>M2130+N2130</f>
        <v>99</v>
      </c>
      <c r="U2130" s="28" t="str" cm="1">
        <f t="array" ref="U2130">_xlfn.IFS(F2130&lt;30000,"30k",F2130&lt;=50000,"30k-50k",F2130&lt;=75000,"50k-75k",F2130&lt;=100000,"75k-100k",F2130&gt;100000,"100k")</f>
        <v>75k-100k</v>
      </c>
      <c r="W2130" s="1">
        <f t="shared" si="67"/>
        <v>13</v>
      </c>
    </row>
    <row r="2131" spans="1:23" x14ac:dyDescent="0.35">
      <c r="A2131">
        <v>2128</v>
      </c>
      <c r="B2131">
        <v>1631</v>
      </c>
      <c r="C2131">
        <v>1965</v>
      </c>
      <c r="D2131" s="1" t="s">
        <v>13</v>
      </c>
      <c r="E2131" s="1" t="s">
        <v>12</v>
      </c>
      <c r="F2131">
        <v>65220</v>
      </c>
      <c r="G2131">
        <v>0</v>
      </c>
      <c r="H2131" s="2">
        <v>0</v>
      </c>
      <c r="I2131" s="2">
        <v>41155</v>
      </c>
      <c r="J2131">
        <v>3</v>
      </c>
      <c r="K2131">
        <f>VLOOKUP(B2131,purchase_dataset!$B$2:$F$2241,2,FALSE)</f>
        <v>63</v>
      </c>
      <c r="L2131">
        <f>VLOOKUP(B2131,purchase_dataset!$B$2:$F$2241,3,FALSE)</f>
        <v>25</v>
      </c>
      <c r="M2131">
        <f>VLOOKUP(B2131,purchase_dataset!$B$2:$F$2241,3,FALSE)</f>
        <v>25</v>
      </c>
      <c r="N2131">
        <f>VLOOKUP(B2131,purchase_dataset!$B$2:$F$2241,5,FALSE)</f>
        <v>7</v>
      </c>
      <c r="O2131" s="5">
        <v>61</v>
      </c>
      <c r="P2131" s="4" t="str">
        <f t="shared" si="66"/>
        <v>&gt;50</v>
      </c>
      <c r="Q2131" s="4">
        <f>M2131+N2131</f>
        <v>32</v>
      </c>
      <c r="U2131" s="28" t="str" cm="1">
        <f t="array" ref="U2131">_xlfn.IFS(F2131&lt;30000,"30k",F2131&lt;=50000,"30k-50k",F2131&lt;=75000,"50k-75k",F2131&lt;=100000,"75k-100k",F2131&gt;100000,"100k")</f>
        <v>50k-75k</v>
      </c>
      <c r="W2131" s="1">
        <f t="shared" si="67"/>
        <v>14</v>
      </c>
    </row>
    <row r="2132" spans="1:23" x14ac:dyDescent="0.35">
      <c r="A2132">
        <v>2129</v>
      </c>
      <c r="B2132">
        <v>10104</v>
      </c>
      <c r="C2132">
        <v>1974</v>
      </c>
      <c r="D2132" s="1" t="s">
        <v>10</v>
      </c>
      <c r="E2132" s="1" t="s">
        <v>12</v>
      </c>
      <c r="F2132">
        <v>33590</v>
      </c>
      <c r="G2132">
        <v>2</v>
      </c>
      <c r="H2132" s="2">
        <v>1</v>
      </c>
      <c r="I2132" s="2">
        <v>41581</v>
      </c>
      <c r="J2132">
        <v>65</v>
      </c>
      <c r="K2132">
        <f>VLOOKUP(B2132,purchase_dataset!$B$2:$F$2241,2,FALSE)</f>
        <v>0</v>
      </c>
      <c r="L2132">
        <f>VLOOKUP(B2132,purchase_dataset!$B$2:$F$2241,3,FALSE)</f>
        <v>0</v>
      </c>
      <c r="M2132">
        <f>VLOOKUP(B2132,purchase_dataset!$B$2:$F$2241,3,FALSE)</f>
        <v>0</v>
      </c>
      <c r="N2132">
        <f>VLOOKUP(B2132,purchase_dataset!$B$2:$F$2241,5,FALSE)</f>
        <v>2</v>
      </c>
      <c r="O2132" s="5">
        <v>52</v>
      </c>
      <c r="P2132" s="4" t="str">
        <f t="shared" si="66"/>
        <v>&gt;50</v>
      </c>
      <c r="Q2132" s="4">
        <f>M2132+N2132</f>
        <v>2</v>
      </c>
      <c r="U2132" s="28" t="str" cm="1">
        <f t="array" ref="U2132">_xlfn.IFS(F2132&lt;30000,"30k",F2132&lt;=50000,"30k-50k",F2132&lt;=75000,"50k-75k",F2132&lt;=100000,"75k-100k",F2132&gt;100000,"100k")</f>
        <v>30k-50k</v>
      </c>
      <c r="W2132" s="1">
        <f t="shared" si="67"/>
        <v>13</v>
      </c>
    </row>
    <row r="2133" spans="1:23" x14ac:dyDescent="0.35">
      <c r="A2133">
        <v>2130</v>
      </c>
      <c r="B2133">
        <v>3006</v>
      </c>
      <c r="C2133">
        <v>1976</v>
      </c>
      <c r="D2133" s="1" t="s">
        <v>10</v>
      </c>
      <c r="E2133" s="1" t="s">
        <v>16</v>
      </c>
      <c r="F2133">
        <v>30992</v>
      </c>
      <c r="G2133">
        <v>1</v>
      </c>
      <c r="H2133" s="2">
        <v>0</v>
      </c>
      <c r="I2133" s="2">
        <v>41386</v>
      </c>
      <c r="J2133">
        <v>83</v>
      </c>
      <c r="K2133">
        <f>VLOOKUP(B2133,purchase_dataset!$B$2:$F$2241,2,FALSE)</f>
        <v>0</v>
      </c>
      <c r="L2133">
        <f>VLOOKUP(B2133,purchase_dataset!$B$2:$F$2241,3,FALSE)</f>
        <v>3</v>
      </c>
      <c r="M2133">
        <f>VLOOKUP(B2133,purchase_dataset!$B$2:$F$2241,3,FALSE)</f>
        <v>3</v>
      </c>
      <c r="N2133">
        <f>VLOOKUP(B2133,purchase_dataset!$B$2:$F$2241,5,FALSE)</f>
        <v>3</v>
      </c>
      <c r="O2133" s="5">
        <v>50</v>
      </c>
      <c r="P2133" s="4" t="str">
        <f t="shared" si="66"/>
        <v>30-50</v>
      </c>
      <c r="Q2133" s="4">
        <f>M2133+N2133</f>
        <v>6</v>
      </c>
      <c r="U2133" s="28" t="str" cm="1">
        <f t="array" ref="U2133">_xlfn.IFS(F2133&lt;30000,"30k",F2133&lt;=50000,"30k-50k",F2133&lt;=75000,"50k-75k",F2133&lt;=100000,"75k-100k",F2133&gt;100000,"100k")</f>
        <v>30k-50k</v>
      </c>
      <c r="W2133" s="1">
        <f t="shared" si="67"/>
        <v>13</v>
      </c>
    </row>
    <row r="2134" spans="1:23" x14ac:dyDescent="0.35">
      <c r="A2134">
        <v>2131</v>
      </c>
      <c r="B2134">
        <v>3919</v>
      </c>
      <c r="C2134">
        <v>1976</v>
      </c>
      <c r="D2134" s="1" t="s">
        <v>15</v>
      </c>
      <c r="E2134" s="1" t="s">
        <v>11</v>
      </c>
      <c r="F2134">
        <v>72309</v>
      </c>
      <c r="G2134">
        <v>0</v>
      </c>
      <c r="H2134" s="2">
        <v>0</v>
      </c>
      <c r="I2134" s="2">
        <v>41344</v>
      </c>
      <c r="J2134">
        <v>64</v>
      </c>
      <c r="K2134">
        <f>VLOOKUP(B2134,purchase_dataset!$B$2:$F$2241,2,FALSE)</f>
        <v>0</v>
      </c>
      <c r="L2134">
        <f>VLOOKUP(B2134,purchase_dataset!$B$2:$F$2241,3,FALSE)</f>
        <v>38</v>
      </c>
      <c r="M2134">
        <f>VLOOKUP(B2134,purchase_dataset!$B$2:$F$2241,3,FALSE)</f>
        <v>38</v>
      </c>
      <c r="N2134">
        <f>VLOOKUP(B2134,purchase_dataset!$B$2:$F$2241,5,FALSE)</f>
        <v>8</v>
      </c>
      <c r="O2134" s="5">
        <v>50</v>
      </c>
      <c r="P2134" s="4" t="str">
        <f t="shared" si="66"/>
        <v>30-50</v>
      </c>
      <c r="Q2134" s="4">
        <f>M2134+N2134</f>
        <v>46</v>
      </c>
      <c r="U2134" s="28" t="str" cm="1">
        <f t="array" ref="U2134">_xlfn.IFS(F2134&lt;30000,"30k",F2134&lt;=50000,"30k-50k",F2134&lt;=75000,"50k-75k",F2134&lt;=100000,"75k-100k",F2134&gt;100000,"100k")</f>
        <v>50k-75k</v>
      </c>
      <c r="W2134" s="1">
        <f t="shared" si="67"/>
        <v>13</v>
      </c>
    </row>
    <row r="2135" spans="1:23" x14ac:dyDescent="0.35">
      <c r="A2135">
        <v>2132</v>
      </c>
      <c r="B2135">
        <v>11181</v>
      </c>
      <c r="C2135">
        <v>1949</v>
      </c>
      <c r="D2135" s="1" t="s">
        <v>13</v>
      </c>
      <c r="E2135" s="1" t="s">
        <v>14</v>
      </c>
      <c r="F2135">
        <v>156924</v>
      </c>
      <c r="G2135">
        <v>0</v>
      </c>
      <c r="H2135" s="2">
        <v>0</v>
      </c>
      <c r="I2135" s="2">
        <v>41515</v>
      </c>
      <c r="J2135">
        <v>85</v>
      </c>
      <c r="K2135">
        <f>VLOOKUP(B2135,purchase_dataset!$B$2:$F$2241,2,FALSE)</f>
        <v>1</v>
      </c>
      <c r="L2135">
        <f>VLOOKUP(B2135,purchase_dataset!$B$2:$F$2241,3,FALSE)</f>
        <v>1</v>
      </c>
      <c r="M2135">
        <f>VLOOKUP(B2135,purchase_dataset!$B$2:$F$2241,3,FALSE)</f>
        <v>1</v>
      </c>
      <c r="N2135">
        <f>VLOOKUP(B2135,purchase_dataset!$B$2:$F$2241,5,FALSE)</f>
        <v>0</v>
      </c>
      <c r="O2135" s="5">
        <v>77</v>
      </c>
      <c r="P2135" s="4" t="str">
        <f t="shared" si="66"/>
        <v>&gt;50</v>
      </c>
      <c r="Q2135" s="4">
        <f>M2135+N2135</f>
        <v>1</v>
      </c>
      <c r="U2135" s="28" t="str" cm="1">
        <f t="array" ref="U2135">_xlfn.IFS(F2135&lt;30000,"30k",F2135&lt;=50000,"30k-50k",F2135&lt;=75000,"50k-75k",F2135&lt;=100000,"75k-100k",F2135&gt;100000,"100k")</f>
        <v>100k</v>
      </c>
      <c r="W2135" s="1">
        <f t="shared" si="67"/>
        <v>13</v>
      </c>
    </row>
    <row r="2136" spans="1:23" x14ac:dyDescent="0.35">
      <c r="A2136">
        <v>2133</v>
      </c>
      <c r="B2136">
        <v>642</v>
      </c>
      <c r="C2136">
        <v>1980</v>
      </c>
      <c r="D2136" s="1" t="s">
        <v>17</v>
      </c>
      <c r="E2136" s="1" t="s">
        <v>14</v>
      </c>
      <c r="F2136">
        <v>16005</v>
      </c>
      <c r="G2136">
        <v>1</v>
      </c>
      <c r="H2136" s="2">
        <v>0</v>
      </c>
      <c r="I2136" s="2">
        <v>41135</v>
      </c>
      <c r="J2136">
        <v>69</v>
      </c>
      <c r="K2136">
        <f>VLOOKUP(B2136,purchase_dataset!$B$2:$F$2241,2,FALSE)</f>
        <v>3</v>
      </c>
      <c r="L2136">
        <f>VLOOKUP(B2136,purchase_dataset!$B$2:$F$2241,3,FALSE)</f>
        <v>30</v>
      </c>
      <c r="M2136">
        <f>VLOOKUP(B2136,purchase_dataset!$B$2:$F$2241,3,FALSE)</f>
        <v>30</v>
      </c>
      <c r="N2136">
        <f>VLOOKUP(B2136,purchase_dataset!$B$2:$F$2241,5,FALSE)</f>
        <v>2</v>
      </c>
      <c r="O2136" s="5">
        <v>46</v>
      </c>
      <c r="P2136" s="4" t="str">
        <f t="shared" si="66"/>
        <v>30-50</v>
      </c>
      <c r="Q2136" s="4">
        <f>M2136+N2136</f>
        <v>32</v>
      </c>
      <c r="U2136" s="28" t="str" cm="1">
        <f t="array" ref="U2136">_xlfn.IFS(F2136&lt;30000,"30k",F2136&lt;=50000,"30k-50k",F2136&lt;=75000,"50k-75k",F2136&lt;=100000,"75k-100k",F2136&gt;100000,"100k")</f>
        <v>30k</v>
      </c>
      <c r="W2136" s="1">
        <f t="shared" si="67"/>
        <v>14</v>
      </c>
    </row>
    <row r="2137" spans="1:23" x14ac:dyDescent="0.35">
      <c r="A2137">
        <v>2134</v>
      </c>
      <c r="B2137">
        <v>4369</v>
      </c>
      <c r="C2137">
        <v>1957</v>
      </c>
      <c r="D2137" s="1" t="s">
        <v>15</v>
      </c>
      <c r="E2137" s="1" t="s">
        <v>21</v>
      </c>
      <c r="F2137">
        <v>65487</v>
      </c>
      <c r="G2137">
        <v>0</v>
      </c>
      <c r="H2137" s="2">
        <v>0</v>
      </c>
      <c r="I2137" s="2">
        <v>41649</v>
      </c>
      <c r="J2137">
        <v>48</v>
      </c>
      <c r="K2137">
        <f>VLOOKUP(B2137,purchase_dataset!$B$2:$F$2241,2,FALSE)</f>
        <v>67</v>
      </c>
      <c r="L2137">
        <f>VLOOKUP(B2137,purchase_dataset!$B$2:$F$2241,3,FALSE)</f>
        <v>0</v>
      </c>
      <c r="M2137">
        <f>VLOOKUP(B2137,purchase_dataset!$B$2:$F$2241,3,FALSE)</f>
        <v>0</v>
      </c>
      <c r="N2137">
        <f>VLOOKUP(B2137,purchase_dataset!$B$2:$F$2241,5,FALSE)</f>
        <v>6</v>
      </c>
      <c r="O2137" s="5">
        <v>69</v>
      </c>
      <c r="P2137" s="4" t="str">
        <f t="shared" si="66"/>
        <v>&gt;50</v>
      </c>
      <c r="Q2137" s="4">
        <f>M2137+N2137</f>
        <v>6</v>
      </c>
      <c r="U2137" s="28" t="str" cm="1">
        <f t="array" ref="U2137">_xlfn.IFS(F2137&lt;30000,"30k",F2137&lt;=50000,"30k-50k",F2137&lt;=75000,"50k-75k",F2137&lt;=100000,"75k-100k",F2137&gt;100000,"100k")</f>
        <v>50k-75k</v>
      </c>
      <c r="W2137" s="1">
        <f t="shared" si="67"/>
        <v>12</v>
      </c>
    </row>
    <row r="2138" spans="1:23" x14ac:dyDescent="0.35">
      <c r="A2138">
        <v>2135</v>
      </c>
      <c r="B2138">
        <v>10127</v>
      </c>
      <c r="C2138">
        <v>1965</v>
      </c>
      <c r="D2138" s="1" t="s">
        <v>10</v>
      </c>
      <c r="E2138" s="1" t="s">
        <v>14</v>
      </c>
      <c r="F2138">
        <v>58692</v>
      </c>
      <c r="G2138">
        <v>0</v>
      </c>
      <c r="H2138" s="2">
        <v>1</v>
      </c>
      <c r="I2138" s="2">
        <v>41735</v>
      </c>
      <c r="J2138">
        <v>21</v>
      </c>
      <c r="K2138">
        <f>VLOOKUP(B2138,purchase_dataset!$B$2:$F$2241,2,FALSE)</f>
        <v>11</v>
      </c>
      <c r="L2138">
        <f>VLOOKUP(B2138,purchase_dataset!$B$2:$F$2241,3,FALSE)</f>
        <v>7</v>
      </c>
      <c r="M2138">
        <f>VLOOKUP(B2138,purchase_dataset!$B$2:$F$2241,3,FALSE)</f>
        <v>7</v>
      </c>
      <c r="N2138">
        <f>VLOOKUP(B2138,purchase_dataset!$B$2:$F$2241,5,FALSE)</f>
        <v>4</v>
      </c>
      <c r="O2138" s="5">
        <v>61</v>
      </c>
      <c r="P2138" s="4" t="str">
        <f t="shared" si="66"/>
        <v>&gt;50</v>
      </c>
      <c r="Q2138" s="4">
        <f>M2138+N2138</f>
        <v>11</v>
      </c>
      <c r="U2138" s="28" t="str" cm="1">
        <f t="array" ref="U2138">_xlfn.IFS(F2138&lt;30000,"30k",F2138&lt;=50000,"30k-50k",F2138&lt;=75000,"50k-75k",F2138&lt;=100000,"75k-100k",F2138&gt;100000,"100k")</f>
        <v>50k-75k</v>
      </c>
      <c r="W2138" s="1">
        <f t="shared" si="67"/>
        <v>12</v>
      </c>
    </row>
    <row r="2139" spans="1:23" x14ac:dyDescent="0.35">
      <c r="A2139">
        <v>2136</v>
      </c>
      <c r="B2139">
        <v>271</v>
      </c>
      <c r="C2139">
        <v>1969</v>
      </c>
      <c r="D2139" s="1" t="s">
        <v>10</v>
      </c>
      <c r="E2139" s="1" t="s">
        <v>19</v>
      </c>
      <c r="F2139">
        <v>40590</v>
      </c>
      <c r="G2139">
        <v>1</v>
      </c>
      <c r="H2139" s="2">
        <v>1</v>
      </c>
      <c r="I2139" s="2">
        <v>41549</v>
      </c>
      <c r="J2139">
        <v>30</v>
      </c>
      <c r="K2139">
        <f>VLOOKUP(B2139,purchase_dataset!$B$2:$F$2241,2,FALSE)</f>
        <v>0</v>
      </c>
      <c r="L2139">
        <f>VLOOKUP(B2139,purchase_dataset!$B$2:$F$2241,3,FALSE)</f>
        <v>11</v>
      </c>
      <c r="M2139">
        <f>VLOOKUP(B2139,purchase_dataset!$B$2:$F$2241,3,FALSE)</f>
        <v>11</v>
      </c>
      <c r="N2139">
        <f>VLOOKUP(B2139,purchase_dataset!$B$2:$F$2241,5,FALSE)</f>
        <v>3</v>
      </c>
      <c r="O2139" s="5">
        <v>57</v>
      </c>
      <c r="P2139" s="4" t="str">
        <f t="shared" si="66"/>
        <v>&gt;50</v>
      </c>
      <c r="Q2139" s="4">
        <f>M2139+N2139</f>
        <v>14</v>
      </c>
      <c r="U2139" s="28" t="str" cm="1">
        <f t="array" ref="U2139">_xlfn.IFS(F2139&lt;30000,"30k",F2139&lt;=50000,"30k-50k",F2139&lt;=75000,"50k-75k",F2139&lt;=100000,"75k-100k",F2139&gt;100000,"100k")</f>
        <v>30k-50k</v>
      </c>
      <c r="W2139" s="1">
        <f t="shared" si="67"/>
        <v>13</v>
      </c>
    </row>
    <row r="2140" spans="1:23" x14ac:dyDescent="0.35">
      <c r="A2140">
        <v>2137</v>
      </c>
      <c r="B2140">
        <v>4973</v>
      </c>
      <c r="C2140">
        <v>1970</v>
      </c>
      <c r="D2140" s="1" t="s">
        <v>10</v>
      </c>
      <c r="E2140" s="1" t="s">
        <v>11</v>
      </c>
      <c r="F2140">
        <v>20587</v>
      </c>
      <c r="G2140">
        <v>1</v>
      </c>
      <c r="H2140" s="2">
        <v>0</v>
      </c>
      <c r="I2140" s="2">
        <v>41770</v>
      </c>
      <c r="J2140">
        <v>39</v>
      </c>
      <c r="K2140">
        <f>VLOOKUP(B2140,purchase_dataset!$B$2:$F$2241,2,FALSE)</f>
        <v>3</v>
      </c>
      <c r="L2140">
        <f>VLOOKUP(B2140,purchase_dataset!$B$2:$F$2241,3,FALSE)</f>
        <v>1</v>
      </c>
      <c r="M2140">
        <f>VLOOKUP(B2140,purchase_dataset!$B$2:$F$2241,3,FALSE)</f>
        <v>1</v>
      </c>
      <c r="N2140">
        <f>VLOOKUP(B2140,purchase_dataset!$B$2:$F$2241,5,FALSE)</f>
        <v>2</v>
      </c>
      <c r="O2140" s="5">
        <v>56</v>
      </c>
      <c r="P2140" s="4" t="str">
        <f t="shared" si="66"/>
        <v>&gt;50</v>
      </c>
      <c r="Q2140" s="4">
        <f>M2140+N2140</f>
        <v>3</v>
      </c>
      <c r="U2140" s="28" t="str" cm="1">
        <f t="array" ref="U2140">_xlfn.IFS(F2140&lt;30000,"30k",F2140&lt;=50000,"30k-50k",F2140&lt;=75000,"50k-75k",F2140&lt;=100000,"75k-100k",F2140&gt;100000,"100k")</f>
        <v>30k</v>
      </c>
      <c r="W2140" s="1">
        <f t="shared" si="67"/>
        <v>12</v>
      </c>
    </row>
    <row r="2141" spans="1:23" x14ac:dyDescent="0.35">
      <c r="A2141">
        <v>2138</v>
      </c>
      <c r="B2141">
        <v>2948</v>
      </c>
      <c r="C2141">
        <v>1954</v>
      </c>
      <c r="D2141" s="1" t="s">
        <v>15</v>
      </c>
      <c r="E2141" s="1" t="s">
        <v>16</v>
      </c>
      <c r="F2141">
        <v>62637</v>
      </c>
      <c r="G2141">
        <v>0</v>
      </c>
      <c r="H2141" s="2">
        <v>1</v>
      </c>
      <c r="I2141" s="2">
        <v>41699</v>
      </c>
      <c r="J2141">
        <v>76</v>
      </c>
      <c r="K2141">
        <f>VLOOKUP(B2141,purchase_dataset!$B$2:$F$2241,2,FALSE)</f>
        <v>12</v>
      </c>
      <c r="L2141">
        <f>VLOOKUP(B2141,purchase_dataset!$B$2:$F$2241,3,FALSE)</f>
        <v>12</v>
      </c>
      <c r="M2141">
        <f>VLOOKUP(B2141,purchase_dataset!$B$2:$F$2241,3,FALSE)</f>
        <v>12</v>
      </c>
      <c r="N2141">
        <f>VLOOKUP(B2141,purchase_dataset!$B$2:$F$2241,5,FALSE)</f>
        <v>5</v>
      </c>
      <c r="O2141" s="5">
        <v>72</v>
      </c>
      <c r="P2141" s="4" t="str">
        <f t="shared" si="66"/>
        <v>&gt;50</v>
      </c>
      <c r="Q2141" s="4">
        <f>M2141+N2141</f>
        <v>17</v>
      </c>
      <c r="U2141" s="28" t="str" cm="1">
        <f t="array" ref="U2141">_xlfn.IFS(F2141&lt;30000,"30k",F2141&lt;=50000,"30k-50k",F2141&lt;=75000,"50k-75k",F2141&lt;=100000,"75k-100k",F2141&gt;100000,"100k")</f>
        <v>50k-75k</v>
      </c>
      <c r="W2141" s="1">
        <f t="shared" si="67"/>
        <v>12</v>
      </c>
    </row>
    <row r="2142" spans="1:23" x14ac:dyDescent="0.35">
      <c r="A2142">
        <v>2139</v>
      </c>
      <c r="B2142">
        <v>2715</v>
      </c>
      <c r="C2142">
        <v>1966</v>
      </c>
      <c r="D2142" s="1" t="s">
        <v>15</v>
      </c>
      <c r="E2142" s="1" t="s">
        <v>16</v>
      </c>
      <c r="F2142">
        <v>29435</v>
      </c>
      <c r="G2142">
        <v>1</v>
      </c>
      <c r="H2142" s="2">
        <v>1</v>
      </c>
      <c r="I2142" s="2">
        <v>41127</v>
      </c>
      <c r="J2142">
        <v>11</v>
      </c>
      <c r="K2142">
        <f>VLOOKUP(B2142,purchase_dataset!$B$2:$F$2241,2,FALSE)</f>
        <v>3</v>
      </c>
      <c r="L2142">
        <f>VLOOKUP(B2142,purchase_dataset!$B$2:$F$2241,3,FALSE)</f>
        <v>2</v>
      </c>
      <c r="M2142">
        <f>VLOOKUP(B2142,purchase_dataset!$B$2:$F$2241,3,FALSE)</f>
        <v>2</v>
      </c>
      <c r="N2142">
        <f>VLOOKUP(B2142,purchase_dataset!$B$2:$F$2241,5,FALSE)</f>
        <v>2</v>
      </c>
      <c r="O2142" s="5">
        <v>60</v>
      </c>
      <c r="P2142" s="4" t="str">
        <f t="shared" si="66"/>
        <v>&gt;50</v>
      </c>
      <c r="Q2142" s="4">
        <f>M2142+N2142</f>
        <v>4</v>
      </c>
      <c r="U2142" s="28" t="str" cm="1">
        <f t="array" ref="U2142">_xlfn.IFS(F2142&lt;30000,"30k",F2142&lt;=50000,"30k-50k",F2142&lt;=75000,"50k-75k",F2142&lt;=100000,"75k-100k",F2142&gt;100000,"100k")</f>
        <v>30k</v>
      </c>
      <c r="W2142" s="1">
        <f t="shared" si="67"/>
        <v>14</v>
      </c>
    </row>
    <row r="2143" spans="1:23" x14ac:dyDescent="0.35">
      <c r="A2143">
        <v>2140</v>
      </c>
      <c r="B2143">
        <v>10432</v>
      </c>
      <c r="C2143">
        <v>1974</v>
      </c>
      <c r="D2143" s="1" t="s">
        <v>10</v>
      </c>
      <c r="E2143" s="1" t="s">
        <v>16</v>
      </c>
      <c r="F2143">
        <v>19346</v>
      </c>
      <c r="G2143">
        <v>1</v>
      </c>
      <c r="H2143" s="2">
        <v>0</v>
      </c>
      <c r="I2143" s="2">
        <v>41669</v>
      </c>
      <c r="J2143">
        <v>26</v>
      </c>
      <c r="K2143">
        <f>VLOOKUP(B2143,purchase_dataset!$B$2:$F$2241,2,FALSE)</f>
        <v>0</v>
      </c>
      <c r="L2143">
        <f>VLOOKUP(B2143,purchase_dataset!$B$2:$F$2241,3,FALSE)</f>
        <v>6</v>
      </c>
      <c r="M2143">
        <f>VLOOKUP(B2143,purchase_dataset!$B$2:$F$2241,3,FALSE)</f>
        <v>6</v>
      </c>
      <c r="N2143">
        <f>VLOOKUP(B2143,purchase_dataset!$B$2:$F$2241,5,FALSE)</f>
        <v>3</v>
      </c>
      <c r="O2143" s="5">
        <v>52</v>
      </c>
      <c r="P2143" s="4" t="str">
        <f t="shared" si="66"/>
        <v>&gt;50</v>
      </c>
      <c r="Q2143" s="4">
        <f>M2143+N2143</f>
        <v>9</v>
      </c>
      <c r="U2143" s="28" t="str" cm="1">
        <f t="array" ref="U2143">_xlfn.IFS(F2143&lt;30000,"30k",F2143&lt;=50000,"30k-50k",F2143&lt;=75000,"50k-75k",F2143&lt;=100000,"75k-100k",F2143&gt;100000,"100k")</f>
        <v>30k</v>
      </c>
      <c r="W2143" s="1">
        <f t="shared" si="67"/>
        <v>12</v>
      </c>
    </row>
    <row r="2144" spans="1:23" x14ac:dyDescent="0.35">
      <c r="A2144">
        <v>2141</v>
      </c>
      <c r="B2144">
        <v>9216</v>
      </c>
      <c r="C2144">
        <v>1971</v>
      </c>
      <c r="D2144" s="1" t="s">
        <v>10</v>
      </c>
      <c r="E2144" s="1" t="s">
        <v>14</v>
      </c>
      <c r="F2144">
        <v>35788</v>
      </c>
      <c r="G2144">
        <v>1</v>
      </c>
      <c r="H2144" s="2">
        <v>1</v>
      </c>
      <c r="I2144" s="2">
        <v>41662</v>
      </c>
      <c r="J2144">
        <v>34</v>
      </c>
      <c r="K2144">
        <f>VLOOKUP(B2144,purchase_dataset!$B$2:$F$2241,2,FALSE)</f>
        <v>2</v>
      </c>
      <c r="L2144">
        <f>VLOOKUP(B2144,purchase_dataset!$B$2:$F$2241,3,FALSE)</f>
        <v>1</v>
      </c>
      <c r="M2144">
        <f>VLOOKUP(B2144,purchase_dataset!$B$2:$F$2241,3,FALSE)</f>
        <v>1</v>
      </c>
      <c r="N2144">
        <f>VLOOKUP(B2144,purchase_dataset!$B$2:$F$2241,5,FALSE)</f>
        <v>3</v>
      </c>
      <c r="O2144" s="5">
        <v>55</v>
      </c>
      <c r="P2144" s="4" t="str">
        <f t="shared" si="66"/>
        <v>&gt;50</v>
      </c>
      <c r="Q2144" s="4">
        <f>M2144+N2144</f>
        <v>4</v>
      </c>
      <c r="U2144" s="28" t="str" cm="1">
        <f t="array" ref="U2144">_xlfn.IFS(F2144&lt;30000,"30k",F2144&lt;=50000,"30k-50k",F2144&lt;=75000,"50k-75k",F2144&lt;=100000,"75k-100k",F2144&gt;100000,"100k")</f>
        <v>30k-50k</v>
      </c>
      <c r="W2144" s="1">
        <f t="shared" si="67"/>
        <v>12</v>
      </c>
    </row>
    <row r="2145" spans="1:23" x14ac:dyDescent="0.35">
      <c r="A2145">
        <v>2142</v>
      </c>
      <c r="B2145">
        <v>7124</v>
      </c>
      <c r="C2145">
        <v>1968</v>
      </c>
      <c r="D2145" s="1" t="s">
        <v>10</v>
      </c>
      <c r="E2145" s="1" t="s">
        <v>16</v>
      </c>
      <c r="F2145">
        <v>36997</v>
      </c>
      <c r="G2145">
        <v>1</v>
      </c>
      <c r="H2145" s="2">
        <v>1</v>
      </c>
      <c r="I2145" s="2">
        <v>41306</v>
      </c>
      <c r="J2145">
        <v>72</v>
      </c>
      <c r="K2145">
        <f>VLOOKUP(B2145,purchase_dataset!$B$2:$F$2241,2,FALSE)</f>
        <v>4</v>
      </c>
      <c r="L2145">
        <f>VLOOKUP(B2145,purchase_dataset!$B$2:$F$2241,3,FALSE)</f>
        <v>0</v>
      </c>
      <c r="M2145">
        <f>VLOOKUP(B2145,purchase_dataset!$B$2:$F$2241,3,FALSE)</f>
        <v>0</v>
      </c>
      <c r="N2145">
        <f>VLOOKUP(B2145,purchase_dataset!$B$2:$F$2241,5,FALSE)</f>
        <v>4</v>
      </c>
      <c r="O2145" s="5">
        <v>58</v>
      </c>
      <c r="P2145" s="4" t="str">
        <f t="shared" si="66"/>
        <v>&gt;50</v>
      </c>
      <c r="Q2145" s="4">
        <f>M2145+N2145</f>
        <v>4</v>
      </c>
      <c r="U2145" s="28" t="str" cm="1">
        <f t="array" ref="U2145">_xlfn.IFS(F2145&lt;30000,"30k",F2145&lt;=50000,"30k-50k",F2145&lt;=75000,"50k-75k",F2145&lt;=100000,"75k-100k",F2145&gt;100000,"100k")</f>
        <v>30k-50k</v>
      </c>
      <c r="W2145" s="1">
        <f t="shared" si="67"/>
        <v>13</v>
      </c>
    </row>
    <row r="2146" spans="1:23" x14ac:dyDescent="0.35">
      <c r="A2146">
        <v>2143</v>
      </c>
      <c r="B2146">
        <v>9727</v>
      </c>
      <c r="C2146">
        <v>1957</v>
      </c>
      <c r="D2146" s="1" t="s">
        <v>10</v>
      </c>
      <c r="E2146" s="1" t="s">
        <v>14</v>
      </c>
      <c r="F2146">
        <v>23539</v>
      </c>
      <c r="G2146">
        <v>0</v>
      </c>
      <c r="H2146" s="2">
        <v>0</v>
      </c>
      <c r="I2146" s="2">
        <v>41698</v>
      </c>
      <c r="J2146">
        <v>13</v>
      </c>
      <c r="K2146">
        <f>VLOOKUP(B2146,purchase_dataset!$B$2:$F$2241,2,FALSE)</f>
        <v>24</v>
      </c>
      <c r="L2146">
        <f>VLOOKUP(B2146,purchase_dataset!$B$2:$F$2241,3,FALSE)</f>
        <v>1</v>
      </c>
      <c r="M2146">
        <f>VLOOKUP(B2146,purchase_dataset!$B$2:$F$2241,3,FALSE)</f>
        <v>1</v>
      </c>
      <c r="N2146">
        <f>VLOOKUP(B2146,purchase_dataset!$B$2:$F$2241,5,FALSE)</f>
        <v>4</v>
      </c>
      <c r="O2146" s="5">
        <v>69</v>
      </c>
      <c r="P2146" s="4" t="str">
        <f t="shared" si="66"/>
        <v>&gt;50</v>
      </c>
      <c r="Q2146" s="4">
        <f>M2146+N2146</f>
        <v>5</v>
      </c>
      <c r="U2146" s="28" t="str" cm="1">
        <f t="array" ref="U2146">_xlfn.IFS(F2146&lt;30000,"30k",F2146&lt;=50000,"30k-50k",F2146&lt;=75000,"50k-75k",F2146&lt;=100000,"75k-100k",F2146&gt;100000,"100k")</f>
        <v>30k</v>
      </c>
      <c r="W2146" s="1">
        <f t="shared" si="67"/>
        <v>12</v>
      </c>
    </row>
    <row r="2147" spans="1:23" x14ac:dyDescent="0.35">
      <c r="A2147">
        <v>2144</v>
      </c>
      <c r="B2147">
        <v>5136</v>
      </c>
      <c r="C2147">
        <v>1973</v>
      </c>
      <c r="D2147" s="1" t="s">
        <v>10</v>
      </c>
      <c r="E2147" s="1" t="s">
        <v>11</v>
      </c>
      <c r="F2147">
        <v>65333</v>
      </c>
      <c r="G2147">
        <v>0</v>
      </c>
      <c r="H2147" s="2">
        <v>1</v>
      </c>
      <c r="I2147" s="2">
        <v>41656</v>
      </c>
      <c r="J2147">
        <v>58</v>
      </c>
      <c r="K2147">
        <f>VLOOKUP(B2147,purchase_dataset!$B$2:$F$2241,2,FALSE)</f>
        <v>7</v>
      </c>
      <c r="L2147">
        <f>VLOOKUP(B2147,purchase_dataset!$B$2:$F$2241,3,FALSE)</f>
        <v>15</v>
      </c>
      <c r="M2147">
        <f>VLOOKUP(B2147,purchase_dataset!$B$2:$F$2241,3,FALSE)</f>
        <v>15</v>
      </c>
      <c r="N2147">
        <f>VLOOKUP(B2147,purchase_dataset!$B$2:$F$2241,5,FALSE)</f>
        <v>8</v>
      </c>
      <c r="O2147" s="5">
        <v>53</v>
      </c>
      <c r="P2147" s="4" t="str">
        <f t="shared" si="66"/>
        <v>&gt;50</v>
      </c>
      <c r="Q2147" s="4">
        <f>M2147+N2147</f>
        <v>23</v>
      </c>
      <c r="U2147" s="28" t="str" cm="1">
        <f t="array" ref="U2147">_xlfn.IFS(F2147&lt;30000,"30k",F2147&lt;=50000,"30k-50k",F2147&lt;=75000,"50k-75k",F2147&lt;=100000,"75k-100k",F2147&gt;100000,"100k")</f>
        <v>50k-75k</v>
      </c>
      <c r="W2147" s="1">
        <f t="shared" si="67"/>
        <v>12</v>
      </c>
    </row>
    <row r="2148" spans="1:23" x14ac:dyDescent="0.35">
      <c r="A2148">
        <v>2145</v>
      </c>
      <c r="B2148">
        <v>9790</v>
      </c>
      <c r="C2148">
        <v>1957</v>
      </c>
      <c r="D2148" s="1" t="s">
        <v>10</v>
      </c>
      <c r="E2148" s="1" t="s">
        <v>11</v>
      </c>
      <c r="F2148">
        <v>78499</v>
      </c>
      <c r="G2148">
        <v>0</v>
      </c>
      <c r="H2148" s="2">
        <v>0</v>
      </c>
      <c r="I2148" s="2">
        <v>41601</v>
      </c>
      <c r="J2148">
        <v>12</v>
      </c>
      <c r="K2148">
        <f>VLOOKUP(B2148,purchase_dataset!$B$2:$F$2241,2,FALSE)</f>
        <v>72</v>
      </c>
      <c r="L2148">
        <f>VLOOKUP(B2148,purchase_dataset!$B$2:$F$2241,3,FALSE)</f>
        <v>36</v>
      </c>
      <c r="M2148">
        <f>VLOOKUP(B2148,purchase_dataset!$B$2:$F$2241,3,FALSE)</f>
        <v>36</v>
      </c>
      <c r="N2148">
        <f>VLOOKUP(B2148,purchase_dataset!$B$2:$F$2241,5,FALSE)</f>
        <v>4</v>
      </c>
      <c r="O2148" s="5">
        <v>69</v>
      </c>
      <c r="P2148" s="4" t="str">
        <f t="shared" si="66"/>
        <v>&gt;50</v>
      </c>
      <c r="Q2148" s="4">
        <f>M2148+N2148</f>
        <v>40</v>
      </c>
      <c r="U2148" s="28" t="str" cm="1">
        <f t="array" ref="U2148">_xlfn.IFS(F2148&lt;30000,"30k",F2148&lt;=50000,"30k-50k",F2148&lt;=75000,"50k-75k",F2148&lt;=100000,"75k-100k",F2148&gt;100000,"100k")</f>
        <v>75k-100k</v>
      </c>
      <c r="W2148" s="1">
        <f t="shared" si="67"/>
        <v>13</v>
      </c>
    </row>
    <row r="2149" spans="1:23" x14ac:dyDescent="0.35">
      <c r="A2149">
        <v>2146</v>
      </c>
      <c r="B2149">
        <v>1818</v>
      </c>
      <c r="C2149">
        <v>1971</v>
      </c>
      <c r="D2149" s="1" t="s">
        <v>13</v>
      </c>
      <c r="E2149" s="1" t="s">
        <v>12</v>
      </c>
      <c r="F2149">
        <v>29732</v>
      </c>
      <c r="G2149">
        <v>1</v>
      </c>
      <c r="H2149" s="2">
        <v>0</v>
      </c>
      <c r="I2149" s="2">
        <v>41723</v>
      </c>
      <c r="J2149">
        <v>23</v>
      </c>
      <c r="K2149">
        <f>VLOOKUP(B2149,purchase_dataset!$B$2:$F$2241,2,FALSE)</f>
        <v>0</v>
      </c>
      <c r="L2149">
        <f>VLOOKUP(B2149,purchase_dataset!$B$2:$F$2241,3,FALSE)</f>
        <v>1</v>
      </c>
      <c r="M2149">
        <f>VLOOKUP(B2149,purchase_dataset!$B$2:$F$2241,3,FALSE)</f>
        <v>1</v>
      </c>
      <c r="N2149">
        <f>VLOOKUP(B2149,purchase_dataset!$B$2:$F$2241,5,FALSE)</f>
        <v>2</v>
      </c>
      <c r="O2149" s="5">
        <v>55</v>
      </c>
      <c r="P2149" s="4" t="str">
        <f t="shared" si="66"/>
        <v>&gt;50</v>
      </c>
      <c r="Q2149" s="4">
        <f>M2149+N2149</f>
        <v>3</v>
      </c>
      <c r="U2149" s="28" t="str" cm="1">
        <f t="array" ref="U2149">_xlfn.IFS(F2149&lt;30000,"30k",F2149&lt;=50000,"30k-50k",F2149&lt;=75000,"50k-75k",F2149&lt;=100000,"75k-100k",F2149&gt;100000,"100k")</f>
        <v>30k</v>
      </c>
      <c r="W2149" s="1">
        <f t="shared" si="67"/>
        <v>12</v>
      </c>
    </row>
    <row r="2150" spans="1:23" x14ac:dyDescent="0.35">
      <c r="A2150">
        <v>2147</v>
      </c>
      <c r="B2150">
        <v>1100</v>
      </c>
      <c r="C2150">
        <v>1960</v>
      </c>
      <c r="D2150" s="1" t="s">
        <v>15</v>
      </c>
      <c r="E2150" s="1" t="s">
        <v>12</v>
      </c>
      <c r="F2150">
        <v>41275</v>
      </c>
      <c r="G2150">
        <v>1</v>
      </c>
      <c r="H2150" s="2">
        <v>2</v>
      </c>
      <c r="I2150" s="2">
        <v>41722</v>
      </c>
      <c r="J2150">
        <v>33</v>
      </c>
      <c r="K2150">
        <f>VLOOKUP(B2150,purchase_dataset!$B$2:$F$2241,2,FALSE)</f>
        <v>4</v>
      </c>
      <c r="L2150">
        <f>VLOOKUP(B2150,purchase_dataset!$B$2:$F$2241,3,FALSE)</f>
        <v>2</v>
      </c>
      <c r="M2150">
        <f>VLOOKUP(B2150,purchase_dataset!$B$2:$F$2241,3,FALSE)</f>
        <v>2</v>
      </c>
      <c r="N2150">
        <f>VLOOKUP(B2150,purchase_dataset!$B$2:$F$2241,5,FALSE)</f>
        <v>3</v>
      </c>
      <c r="O2150" s="5">
        <v>66</v>
      </c>
      <c r="P2150" s="4" t="str">
        <f t="shared" si="66"/>
        <v>&gt;50</v>
      </c>
      <c r="Q2150" s="4">
        <f>M2150+N2150</f>
        <v>5</v>
      </c>
      <c r="U2150" s="28" t="str" cm="1">
        <f t="array" ref="U2150">_xlfn.IFS(F2150&lt;30000,"30k",F2150&lt;=50000,"30k-50k",F2150&lt;=75000,"50k-75k",F2150&lt;=100000,"75k-100k",F2150&gt;100000,"100k")</f>
        <v>30k-50k</v>
      </c>
      <c r="W2150" s="1">
        <f t="shared" si="67"/>
        <v>12</v>
      </c>
    </row>
    <row r="2151" spans="1:23" x14ac:dyDescent="0.35">
      <c r="A2151">
        <v>2148</v>
      </c>
      <c r="B2151">
        <v>7873</v>
      </c>
      <c r="C2151">
        <v>1973</v>
      </c>
      <c r="D2151" s="1" t="s">
        <v>13</v>
      </c>
      <c r="E2151" s="1" t="s">
        <v>12</v>
      </c>
      <c r="F2151">
        <v>63516</v>
      </c>
      <c r="G2151">
        <v>1</v>
      </c>
      <c r="H2151" s="2">
        <v>1</v>
      </c>
      <c r="I2151" s="2">
        <v>41461</v>
      </c>
      <c r="J2151">
        <v>30</v>
      </c>
      <c r="K2151">
        <f>VLOOKUP(B2151,purchase_dataset!$B$2:$F$2241,2,FALSE)</f>
        <v>11</v>
      </c>
      <c r="L2151">
        <f>VLOOKUP(B2151,purchase_dataset!$B$2:$F$2241,3,FALSE)</f>
        <v>14</v>
      </c>
      <c r="M2151">
        <f>VLOOKUP(B2151,purchase_dataset!$B$2:$F$2241,3,FALSE)</f>
        <v>14</v>
      </c>
      <c r="N2151">
        <f>VLOOKUP(B2151,purchase_dataset!$B$2:$F$2241,5,FALSE)</f>
        <v>7</v>
      </c>
      <c r="O2151" s="5">
        <v>53</v>
      </c>
      <c r="P2151" s="4" t="str">
        <f t="shared" si="66"/>
        <v>&gt;50</v>
      </c>
      <c r="Q2151" s="4">
        <f>M2151+N2151</f>
        <v>21</v>
      </c>
      <c r="U2151" s="28" t="str" cm="1">
        <f t="array" ref="U2151">_xlfn.IFS(F2151&lt;30000,"30k",F2151&lt;=50000,"30k-50k",F2151&lt;=75000,"50k-75k",F2151&lt;=100000,"75k-100k",F2151&gt;100000,"100k")</f>
        <v>50k-75k</v>
      </c>
      <c r="W2151" s="1">
        <f t="shared" si="67"/>
        <v>13</v>
      </c>
    </row>
    <row r="2152" spans="1:23" x14ac:dyDescent="0.35">
      <c r="A2152">
        <v>2149</v>
      </c>
      <c r="B2152">
        <v>10609</v>
      </c>
      <c r="C2152">
        <v>1962</v>
      </c>
      <c r="D2152" s="1" t="s">
        <v>13</v>
      </c>
      <c r="E2152" s="1" t="s">
        <v>14</v>
      </c>
      <c r="F2152">
        <v>42769</v>
      </c>
      <c r="G2152">
        <v>0</v>
      </c>
      <c r="H2152" s="2">
        <v>1</v>
      </c>
      <c r="I2152" s="2">
        <v>41559</v>
      </c>
      <c r="J2152">
        <v>15</v>
      </c>
      <c r="K2152">
        <f>VLOOKUP(B2152,purchase_dataset!$B$2:$F$2241,2,FALSE)</f>
        <v>0</v>
      </c>
      <c r="L2152">
        <f>VLOOKUP(B2152,purchase_dataset!$B$2:$F$2241,3,FALSE)</f>
        <v>1</v>
      </c>
      <c r="M2152">
        <f>VLOOKUP(B2152,purchase_dataset!$B$2:$F$2241,3,FALSE)</f>
        <v>1</v>
      </c>
      <c r="N2152">
        <f>VLOOKUP(B2152,purchase_dataset!$B$2:$F$2241,5,FALSE)</f>
        <v>4</v>
      </c>
      <c r="O2152" s="5">
        <v>64</v>
      </c>
      <c r="P2152" s="4" t="str">
        <f t="shared" si="66"/>
        <v>&gt;50</v>
      </c>
      <c r="Q2152" s="4">
        <f>M2152+N2152</f>
        <v>5</v>
      </c>
      <c r="U2152" s="28" t="str" cm="1">
        <f t="array" ref="U2152">_xlfn.IFS(F2152&lt;30000,"30k",F2152&lt;=50000,"30k-50k",F2152&lt;=75000,"50k-75k",F2152&lt;=100000,"75k-100k",F2152&gt;100000,"100k")</f>
        <v>30k-50k</v>
      </c>
      <c r="W2152" s="1">
        <f t="shared" si="67"/>
        <v>13</v>
      </c>
    </row>
    <row r="2153" spans="1:23" x14ac:dyDescent="0.35">
      <c r="A2153">
        <v>2150</v>
      </c>
      <c r="B2153">
        <v>6950</v>
      </c>
      <c r="C2153">
        <v>1958</v>
      </c>
      <c r="D2153" s="1" t="s">
        <v>15</v>
      </c>
      <c r="E2153" s="1" t="s">
        <v>14</v>
      </c>
      <c r="F2153">
        <v>49572</v>
      </c>
      <c r="G2153">
        <v>1</v>
      </c>
      <c r="H2153" s="2">
        <v>1</v>
      </c>
      <c r="I2153" s="2">
        <v>41623</v>
      </c>
      <c r="J2153">
        <v>25</v>
      </c>
      <c r="K2153">
        <f>VLOOKUP(B2153,purchase_dataset!$B$2:$F$2241,2,FALSE)</f>
        <v>1</v>
      </c>
      <c r="L2153">
        <f>VLOOKUP(B2153,purchase_dataset!$B$2:$F$2241,3,FALSE)</f>
        <v>1</v>
      </c>
      <c r="M2153">
        <f>VLOOKUP(B2153,purchase_dataset!$B$2:$F$2241,3,FALSE)</f>
        <v>1</v>
      </c>
      <c r="N2153">
        <f>VLOOKUP(B2153,purchase_dataset!$B$2:$F$2241,5,FALSE)</f>
        <v>3</v>
      </c>
      <c r="O2153" s="5">
        <v>68</v>
      </c>
      <c r="P2153" s="4" t="str">
        <f t="shared" si="66"/>
        <v>&gt;50</v>
      </c>
      <c r="Q2153" s="4">
        <f>M2153+N2153</f>
        <v>4</v>
      </c>
      <c r="U2153" s="28" t="str" cm="1">
        <f t="array" ref="U2153">_xlfn.IFS(F2153&lt;30000,"30k",F2153&lt;=50000,"30k-50k",F2153&lt;=75000,"50k-75k",F2153&lt;=100000,"75k-100k",F2153&gt;100000,"100k")</f>
        <v>30k-50k</v>
      </c>
      <c r="W2153" s="1">
        <f t="shared" si="67"/>
        <v>13</v>
      </c>
    </row>
    <row r="2154" spans="1:23" x14ac:dyDescent="0.35">
      <c r="A2154">
        <v>2151</v>
      </c>
      <c r="B2154">
        <v>7233</v>
      </c>
      <c r="C2154">
        <v>1972</v>
      </c>
      <c r="D2154" s="1" t="s">
        <v>10</v>
      </c>
      <c r="E2154" s="1" t="s">
        <v>14</v>
      </c>
      <c r="F2154">
        <v>69209</v>
      </c>
      <c r="G2154">
        <v>0</v>
      </c>
      <c r="H2154" s="2">
        <v>0</v>
      </c>
      <c r="I2154" s="2">
        <v>41169</v>
      </c>
      <c r="J2154">
        <v>4</v>
      </c>
      <c r="K2154">
        <f>VLOOKUP(B2154,purchase_dataset!$B$2:$F$2241,2,FALSE)</f>
        <v>32</v>
      </c>
      <c r="L2154">
        <f>VLOOKUP(B2154,purchase_dataset!$B$2:$F$2241,3,FALSE)</f>
        <v>48</v>
      </c>
      <c r="M2154">
        <f>VLOOKUP(B2154,purchase_dataset!$B$2:$F$2241,3,FALSE)</f>
        <v>48</v>
      </c>
      <c r="N2154">
        <f>VLOOKUP(B2154,purchase_dataset!$B$2:$F$2241,5,FALSE)</f>
        <v>6</v>
      </c>
      <c r="O2154" s="5">
        <v>54</v>
      </c>
      <c r="P2154" s="4" t="str">
        <f t="shared" si="66"/>
        <v>&gt;50</v>
      </c>
      <c r="Q2154" s="4">
        <f>M2154+N2154</f>
        <v>54</v>
      </c>
      <c r="U2154" s="28" t="str" cm="1">
        <f t="array" ref="U2154">_xlfn.IFS(F2154&lt;30000,"30k",F2154&lt;=50000,"30k-50k",F2154&lt;=75000,"50k-75k",F2154&lt;=100000,"75k-100k",F2154&gt;100000,"100k")</f>
        <v>50k-75k</v>
      </c>
      <c r="W2154" s="1">
        <f t="shared" si="67"/>
        <v>14</v>
      </c>
    </row>
    <row r="2155" spans="1:23" x14ac:dyDescent="0.35">
      <c r="A2155">
        <v>2152</v>
      </c>
      <c r="B2155">
        <v>9481</v>
      </c>
      <c r="C2155">
        <v>1976</v>
      </c>
      <c r="D2155" s="1" t="s">
        <v>10</v>
      </c>
      <c r="E2155" s="1" t="s">
        <v>14</v>
      </c>
      <c r="F2155">
        <v>17148</v>
      </c>
      <c r="G2155">
        <v>1</v>
      </c>
      <c r="H2155" s="2">
        <v>0</v>
      </c>
      <c r="I2155" s="2">
        <v>41667</v>
      </c>
      <c r="J2155">
        <v>80</v>
      </c>
      <c r="K2155">
        <f>VLOOKUP(B2155,purchase_dataset!$B$2:$F$2241,2,FALSE)</f>
        <v>9</v>
      </c>
      <c r="L2155">
        <f>VLOOKUP(B2155,purchase_dataset!$B$2:$F$2241,3,FALSE)</f>
        <v>10</v>
      </c>
      <c r="M2155">
        <f>VLOOKUP(B2155,purchase_dataset!$B$2:$F$2241,3,FALSE)</f>
        <v>10</v>
      </c>
      <c r="N2155">
        <f>VLOOKUP(B2155,purchase_dataset!$B$2:$F$2241,5,FALSE)</f>
        <v>3</v>
      </c>
      <c r="O2155" s="5">
        <v>50</v>
      </c>
      <c r="P2155" s="4" t="str">
        <f t="shared" si="66"/>
        <v>30-50</v>
      </c>
      <c r="Q2155" s="4">
        <f>M2155+N2155</f>
        <v>13</v>
      </c>
      <c r="U2155" s="28" t="str" cm="1">
        <f t="array" ref="U2155">_xlfn.IFS(F2155&lt;30000,"30k",F2155&lt;=50000,"30k-50k",F2155&lt;=75000,"50k-75k",F2155&lt;=100000,"75k-100k",F2155&gt;100000,"100k")</f>
        <v>30k</v>
      </c>
      <c r="W2155" s="1">
        <f t="shared" si="67"/>
        <v>12</v>
      </c>
    </row>
    <row r="2156" spans="1:23" x14ac:dyDescent="0.35">
      <c r="A2156">
        <v>2153</v>
      </c>
      <c r="B2156">
        <v>7699</v>
      </c>
      <c r="C2156">
        <v>1969</v>
      </c>
      <c r="D2156" s="1" t="s">
        <v>10</v>
      </c>
      <c r="E2156" s="1" t="s">
        <v>19</v>
      </c>
      <c r="F2156">
        <v>40590</v>
      </c>
      <c r="G2156">
        <v>1</v>
      </c>
      <c r="H2156" s="2">
        <v>1</v>
      </c>
      <c r="I2156" s="2">
        <v>41549</v>
      </c>
      <c r="J2156">
        <v>30</v>
      </c>
      <c r="K2156">
        <f>VLOOKUP(B2156,purchase_dataset!$B$2:$F$2241,2,FALSE)</f>
        <v>0</v>
      </c>
      <c r="L2156">
        <f>VLOOKUP(B2156,purchase_dataset!$B$2:$F$2241,3,FALSE)</f>
        <v>11</v>
      </c>
      <c r="M2156">
        <f>VLOOKUP(B2156,purchase_dataset!$B$2:$F$2241,3,FALSE)</f>
        <v>11</v>
      </c>
      <c r="N2156">
        <f>VLOOKUP(B2156,purchase_dataset!$B$2:$F$2241,5,FALSE)</f>
        <v>3</v>
      </c>
      <c r="O2156" s="5">
        <v>57</v>
      </c>
      <c r="P2156" s="4" t="str">
        <f t="shared" si="66"/>
        <v>&gt;50</v>
      </c>
      <c r="Q2156" s="4">
        <f>M2156+N2156</f>
        <v>14</v>
      </c>
      <c r="U2156" s="28" t="str" cm="1">
        <f t="array" ref="U2156">_xlfn.IFS(F2156&lt;30000,"30k",F2156&lt;=50000,"30k-50k",F2156&lt;=75000,"50k-75k",F2156&lt;=100000,"75k-100k",F2156&gt;100000,"100k")</f>
        <v>30k-50k</v>
      </c>
      <c r="W2156" s="1">
        <f t="shared" si="67"/>
        <v>13</v>
      </c>
    </row>
    <row r="2157" spans="1:23" x14ac:dyDescent="0.35">
      <c r="A2157">
        <v>2154</v>
      </c>
      <c r="B2157">
        <v>2711</v>
      </c>
      <c r="C2157">
        <v>1976</v>
      </c>
      <c r="D2157" s="1" t="s">
        <v>15</v>
      </c>
      <c r="E2157" s="1" t="s">
        <v>12</v>
      </c>
      <c r="F2157">
        <v>30560</v>
      </c>
      <c r="G2157">
        <v>1</v>
      </c>
      <c r="H2157" s="2">
        <v>0</v>
      </c>
      <c r="I2157" s="2">
        <v>41452</v>
      </c>
      <c r="J2157">
        <v>6</v>
      </c>
      <c r="K2157">
        <f>VLOOKUP(B2157,purchase_dataset!$B$2:$F$2241,2,FALSE)</f>
        <v>1</v>
      </c>
      <c r="L2157">
        <f>VLOOKUP(B2157,purchase_dataset!$B$2:$F$2241,3,FALSE)</f>
        <v>5</v>
      </c>
      <c r="M2157">
        <f>VLOOKUP(B2157,purchase_dataset!$B$2:$F$2241,3,FALSE)</f>
        <v>5</v>
      </c>
      <c r="N2157">
        <f>VLOOKUP(B2157,purchase_dataset!$B$2:$F$2241,5,FALSE)</f>
        <v>3</v>
      </c>
      <c r="O2157" s="5">
        <v>50</v>
      </c>
      <c r="P2157" s="4" t="str">
        <f t="shared" si="66"/>
        <v>30-50</v>
      </c>
      <c r="Q2157" s="4">
        <f>M2157+N2157</f>
        <v>8</v>
      </c>
      <c r="U2157" s="28" t="str" cm="1">
        <f t="array" ref="U2157">_xlfn.IFS(F2157&lt;30000,"30k",F2157&lt;=50000,"30k-50k",F2157&lt;=75000,"50k-75k",F2157&lt;=100000,"75k-100k",F2157&gt;100000,"100k")</f>
        <v>30k-50k</v>
      </c>
      <c r="W2157" s="1">
        <f t="shared" si="67"/>
        <v>13</v>
      </c>
    </row>
    <row r="2158" spans="1:23" x14ac:dyDescent="0.35">
      <c r="A2158">
        <v>2155</v>
      </c>
      <c r="B2158">
        <v>8933</v>
      </c>
      <c r="C2158">
        <v>1983</v>
      </c>
      <c r="D2158" s="1" t="s">
        <v>18</v>
      </c>
      <c r="E2158" s="1" t="s">
        <v>14</v>
      </c>
      <c r="F2158">
        <v>32146</v>
      </c>
      <c r="G2158">
        <v>1</v>
      </c>
      <c r="H2158" s="2">
        <v>0</v>
      </c>
      <c r="I2158" s="2">
        <v>41771</v>
      </c>
      <c r="J2158">
        <v>16</v>
      </c>
      <c r="K2158">
        <f>VLOOKUP(B2158,purchase_dataset!$B$2:$F$2241,2,FALSE)</f>
        <v>3</v>
      </c>
      <c r="L2158">
        <f>VLOOKUP(B2158,purchase_dataset!$B$2:$F$2241,3,FALSE)</f>
        <v>7</v>
      </c>
      <c r="M2158">
        <f>VLOOKUP(B2158,purchase_dataset!$B$2:$F$2241,3,FALSE)</f>
        <v>7</v>
      </c>
      <c r="N2158">
        <f>VLOOKUP(B2158,purchase_dataset!$B$2:$F$2241,5,FALSE)</f>
        <v>4</v>
      </c>
      <c r="O2158" s="5">
        <v>43</v>
      </c>
      <c r="P2158" s="4" t="str">
        <f t="shared" si="66"/>
        <v>30-50</v>
      </c>
      <c r="Q2158" s="4">
        <f>M2158+N2158</f>
        <v>11</v>
      </c>
      <c r="U2158" s="28" t="str" cm="1">
        <f t="array" ref="U2158">_xlfn.IFS(F2158&lt;30000,"30k",F2158&lt;=50000,"30k-50k",F2158&lt;=75000,"50k-75k",F2158&lt;=100000,"75k-100k",F2158&gt;100000,"100k")</f>
        <v>30k-50k</v>
      </c>
      <c r="W2158" s="1">
        <f t="shared" si="67"/>
        <v>12</v>
      </c>
    </row>
    <row r="2159" spans="1:23" x14ac:dyDescent="0.35">
      <c r="A2159">
        <v>2156</v>
      </c>
      <c r="B2159">
        <v>8726</v>
      </c>
      <c r="C2159">
        <v>1964</v>
      </c>
      <c r="D2159" s="1" t="s">
        <v>18</v>
      </c>
      <c r="E2159" s="1" t="s">
        <v>16</v>
      </c>
      <c r="F2159">
        <v>41713</v>
      </c>
      <c r="G2159">
        <v>1</v>
      </c>
      <c r="H2159" s="2">
        <v>1</v>
      </c>
      <c r="I2159" s="2">
        <v>41758</v>
      </c>
      <c r="J2159">
        <v>57</v>
      </c>
      <c r="K2159">
        <f>VLOOKUP(B2159,purchase_dataset!$B$2:$F$2241,2,FALSE)</f>
        <v>8</v>
      </c>
      <c r="L2159">
        <f>VLOOKUP(B2159,purchase_dataset!$B$2:$F$2241,3,FALSE)</f>
        <v>10</v>
      </c>
      <c r="M2159">
        <f>VLOOKUP(B2159,purchase_dataset!$B$2:$F$2241,3,FALSE)</f>
        <v>10</v>
      </c>
      <c r="N2159">
        <f>VLOOKUP(B2159,purchase_dataset!$B$2:$F$2241,5,FALSE)</f>
        <v>4</v>
      </c>
      <c r="O2159" s="5">
        <v>62</v>
      </c>
      <c r="P2159" s="4" t="str">
        <f t="shared" si="66"/>
        <v>&gt;50</v>
      </c>
      <c r="Q2159" s="4">
        <f>M2159+N2159</f>
        <v>14</v>
      </c>
      <c r="U2159" s="28" t="str" cm="1">
        <f t="array" ref="U2159">_xlfn.IFS(F2159&lt;30000,"30k",F2159&lt;=50000,"30k-50k",F2159&lt;=75000,"50k-75k",F2159&lt;=100000,"75k-100k",F2159&gt;100000,"100k")</f>
        <v>30k-50k</v>
      </c>
      <c r="W2159" s="1">
        <f t="shared" si="67"/>
        <v>12</v>
      </c>
    </row>
    <row r="2160" spans="1:23" x14ac:dyDescent="0.35">
      <c r="A2160">
        <v>2157</v>
      </c>
      <c r="B2160">
        <v>1515</v>
      </c>
      <c r="C2160">
        <v>1975</v>
      </c>
      <c r="D2160" s="1" t="s">
        <v>15</v>
      </c>
      <c r="E2160" s="1" t="s">
        <v>12</v>
      </c>
      <c r="F2160">
        <v>34176</v>
      </c>
      <c r="G2160">
        <v>0</v>
      </c>
      <c r="H2160" s="2">
        <v>1</v>
      </c>
      <c r="I2160" s="2">
        <v>41661</v>
      </c>
      <c r="J2160">
        <v>9</v>
      </c>
      <c r="K2160">
        <f>VLOOKUP(B2160,purchase_dataset!$B$2:$F$2241,2,FALSE)</f>
        <v>2</v>
      </c>
      <c r="L2160">
        <f>VLOOKUP(B2160,purchase_dataset!$B$2:$F$2241,3,FALSE)</f>
        <v>2</v>
      </c>
      <c r="M2160">
        <f>VLOOKUP(B2160,purchase_dataset!$B$2:$F$2241,3,FALSE)</f>
        <v>2</v>
      </c>
      <c r="N2160">
        <f>VLOOKUP(B2160,purchase_dataset!$B$2:$F$2241,5,FALSE)</f>
        <v>3</v>
      </c>
      <c r="O2160" s="5">
        <v>51</v>
      </c>
      <c r="P2160" s="4" t="str">
        <f t="shared" si="66"/>
        <v>&gt;50</v>
      </c>
      <c r="Q2160" s="4">
        <f>M2160+N2160</f>
        <v>5</v>
      </c>
      <c r="U2160" s="28" t="str" cm="1">
        <f t="array" ref="U2160">_xlfn.IFS(F2160&lt;30000,"30k",F2160&lt;=50000,"30k-50k",F2160&lt;=75000,"50k-75k",F2160&lt;=100000,"75k-100k",F2160&gt;100000,"100k")</f>
        <v>30k-50k</v>
      </c>
      <c r="W2160" s="1">
        <f t="shared" si="67"/>
        <v>12</v>
      </c>
    </row>
    <row r="2161" spans="1:23" x14ac:dyDescent="0.35">
      <c r="A2161">
        <v>2158</v>
      </c>
      <c r="B2161">
        <v>5186</v>
      </c>
      <c r="C2161">
        <v>1955</v>
      </c>
      <c r="D2161" s="1" t="s">
        <v>13</v>
      </c>
      <c r="E2161" s="1" t="s">
        <v>14</v>
      </c>
      <c r="F2161">
        <v>58482</v>
      </c>
      <c r="G2161">
        <v>0</v>
      </c>
      <c r="H2161" s="2">
        <v>1</v>
      </c>
      <c r="I2161" s="2">
        <v>41710</v>
      </c>
      <c r="J2161">
        <v>59</v>
      </c>
      <c r="K2161">
        <f>VLOOKUP(B2161,purchase_dataset!$B$2:$F$2241,2,FALSE)</f>
        <v>7</v>
      </c>
      <c r="L2161">
        <f>VLOOKUP(B2161,purchase_dataset!$B$2:$F$2241,3,FALSE)</f>
        <v>7</v>
      </c>
      <c r="M2161">
        <f>VLOOKUP(B2161,purchase_dataset!$B$2:$F$2241,3,FALSE)</f>
        <v>7</v>
      </c>
      <c r="N2161">
        <f>VLOOKUP(B2161,purchase_dataset!$B$2:$F$2241,5,FALSE)</f>
        <v>9</v>
      </c>
      <c r="O2161" s="5">
        <v>71</v>
      </c>
      <c r="P2161" s="4" t="str">
        <f t="shared" si="66"/>
        <v>&gt;50</v>
      </c>
      <c r="Q2161" s="4">
        <f>M2161+N2161</f>
        <v>16</v>
      </c>
      <c r="U2161" s="28" t="str" cm="1">
        <f t="array" ref="U2161">_xlfn.IFS(F2161&lt;30000,"30k",F2161&lt;=50000,"30k-50k",F2161&lt;=75000,"50k-75k",F2161&lt;=100000,"75k-100k",F2161&gt;100000,"100k")</f>
        <v>50k-75k</v>
      </c>
      <c r="W2161" s="1">
        <f t="shared" si="67"/>
        <v>12</v>
      </c>
    </row>
    <row r="2162" spans="1:23" x14ac:dyDescent="0.35">
      <c r="A2162">
        <v>2159</v>
      </c>
      <c r="B2162">
        <v>10157</v>
      </c>
      <c r="C2162">
        <v>1965</v>
      </c>
      <c r="D2162" s="1" t="s">
        <v>10</v>
      </c>
      <c r="E2162" s="1" t="s">
        <v>11</v>
      </c>
      <c r="F2162">
        <v>59686</v>
      </c>
      <c r="G2162">
        <v>0</v>
      </c>
      <c r="H2162" s="2">
        <v>1</v>
      </c>
      <c r="I2162" s="2">
        <v>41664</v>
      </c>
      <c r="J2162">
        <v>78</v>
      </c>
      <c r="K2162">
        <f>VLOOKUP(B2162,purchase_dataset!$B$2:$F$2241,2,FALSE)</f>
        <v>15</v>
      </c>
      <c r="L2162">
        <f>VLOOKUP(B2162,purchase_dataset!$B$2:$F$2241,3,FALSE)</f>
        <v>42</v>
      </c>
      <c r="M2162">
        <f>VLOOKUP(B2162,purchase_dataset!$B$2:$F$2241,3,FALSE)</f>
        <v>42</v>
      </c>
      <c r="N2162">
        <f>VLOOKUP(B2162,purchase_dataset!$B$2:$F$2241,5,FALSE)</f>
        <v>6</v>
      </c>
      <c r="O2162" s="5">
        <v>61</v>
      </c>
      <c r="P2162" s="4" t="str">
        <f t="shared" si="66"/>
        <v>&gt;50</v>
      </c>
      <c r="Q2162" s="4">
        <f>M2162+N2162</f>
        <v>48</v>
      </c>
      <c r="U2162" s="28" t="str" cm="1">
        <f t="array" ref="U2162">_xlfn.IFS(F2162&lt;30000,"30k",F2162&lt;=50000,"30k-50k",F2162&lt;=75000,"50k-75k",F2162&lt;=100000,"75k-100k",F2162&gt;100000,"100k")</f>
        <v>50k-75k</v>
      </c>
      <c r="W2162" s="1">
        <f t="shared" si="67"/>
        <v>12</v>
      </c>
    </row>
    <row r="2163" spans="1:23" x14ac:dyDescent="0.35">
      <c r="A2163">
        <v>2160</v>
      </c>
      <c r="B2163">
        <v>5667</v>
      </c>
      <c r="C2163">
        <v>1964</v>
      </c>
      <c r="D2163" s="1" t="s">
        <v>13</v>
      </c>
      <c r="E2163" s="1" t="s">
        <v>14</v>
      </c>
      <c r="F2163">
        <v>60896</v>
      </c>
      <c r="G2163">
        <v>0</v>
      </c>
      <c r="H2163" s="2">
        <v>1</v>
      </c>
      <c r="I2163" s="2">
        <v>41193</v>
      </c>
      <c r="J2163">
        <v>90</v>
      </c>
      <c r="K2163">
        <f>VLOOKUP(B2163,purchase_dataset!$B$2:$F$2241,2,FALSE)</f>
        <v>30</v>
      </c>
      <c r="L2163">
        <f>VLOOKUP(B2163,purchase_dataset!$B$2:$F$2241,3,FALSE)</f>
        <v>46</v>
      </c>
      <c r="M2163">
        <f>VLOOKUP(B2163,purchase_dataset!$B$2:$F$2241,3,FALSE)</f>
        <v>46</v>
      </c>
      <c r="N2163">
        <f>VLOOKUP(B2163,purchase_dataset!$B$2:$F$2241,5,FALSE)</f>
        <v>4</v>
      </c>
      <c r="O2163" s="5">
        <v>62</v>
      </c>
      <c r="P2163" s="4" t="str">
        <f t="shared" si="66"/>
        <v>&gt;50</v>
      </c>
      <c r="Q2163" s="4">
        <f>M2163+N2163</f>
        <v>50</v>
      </c>
      <c r="U2163" s="28" t="str" cm="1">
        <f t="array" ref="U2163">_xlfn.IFS(F2163&lt;30000,"30k",F2163&lt;=50000,"30k-50k",F2163&lt;=75000,"50k-75k",F2163&lt;=100000,"75k-100k",F2163&gt;100000,"100k")</f>
        <v>50k-75k</v>
      </c>
      <c r="W2163" s="1">
        <f t="shared" si="67"/>
        <v>14</v>
      </c>
    </row>
    <row r="2164" spans="1:23" x14ac:dyDescent="0.35">
      <c r="A2164">
        <v>2161</v>
      </c>
      <c r="B2164">
        <v>902</v>
      </c>
      <c r="C2164">
        <v>1980</v>
      </c>
      <c r="D2164" s="1" t="s">
        <v>10</v>
      </c>
      <c r="E2164" s="1" t="s">
        <v>12</v>
      </c>
      <c r="F2164">
        <v>62994</v>
      </c>
      <c r="G2164">
        <v>1</v>
      </c>
      <c r="H2164" s="2">
        <v>0</v>
      </c>
      <c r="I2164" s="2">
        <v>41702</v>
      </c>
      <c r="J2164">
        <v>74</v>
      </c>
      <c r="K2164">
        <f>VLOOKUP(B2164,purchase_dataset!$B$2:$F$2241,2,FALSE)</f>
        <v>12</v>
      </c>
      <c r="L2164">
        <f>VLOOKUP(B2164,purchase_dataset!$B$2:$F$2241,3,FALSE)</f>
        <v>12</v>
      </c>
      <c r="M2164">
        <f>VLOOKUP(B2164,purchase_dataset!$B$2:$F$2241,3,FALSE)</f>
        <v>12</v>
      </c>
      <c r="N2164">
        <f>VLOOKUP(B2164,purchase_dataset!$B$2:$F$2241,5,FALSE)</f>
        <v>4</v>
      </c>
      <c r="O2164" s="5">
        <v>46</v>
      </c>
      <c r="P2164" s="4" t="str">
        <f t="shared" si="66"/>
        <v>30-50</v>
      </c>
      <c r="Q2164" s="4">
        <f>M2164+N2164</f>
        <v>16</v>
      </c>
      <c r="U2164" s="28" t="str" cm="1">
        <f t="array" ref="U2164">_xlfn.IFS(F2164&lt;30000,"30k",F2164&lt;=50000,"30k-50k",F2164&lt;=75000,"50k-75k",F2164&lt;=100000,"75k-100k",F2164&gt;100000,"100k")</f>
        <v>50k-75k</v>
      </c>
      <c r="W2164" s="1">
        <f t="shared" si="67"/>
        <v>12</v>
      </c>
    </row>
    <row r="2165" spans="1:23" x14ac:dyDescent="0.35">
      <c r="A2165">
        <v>2162</v>
      </c>
      <c r="B2165">
        <v>977</v>
      </c>
      <c r="C2165">
        <v>1957</v>
      </c>
      <c r="D2165" s="1" t="s">
        <v>10</v>
      </c>
      <c r="E2165" s="1" t="s">
        <v>12</v>
      </c>
      <c r="F2165">
        <v>47320</v>
      </c>
      <c r="G2165">
        <v>0</v>
      </c>
      <c r="H2165" s="2">
        <v>1</v>
      </c>
      <c r="I2165" s="2">
        <v>41487</v>
      </c>
      <c r="J2165">
        <v>10</v>
      </c>
      <c r="K2165">
        <f>VLOOKUP(B2165,purchase_dataset!$B$2:$F$2241,2,FALSE)</f>
        <v>19</v>
      </c>
      <c r="L2165">
        <f>VLOOKUP(B2165,purchase_dataset!$B$2:$F$2241,3,FALSE)</f>
        <v>15</v>
      </c>
      <c r="M2165">
        <f>VLOOKUP(B2165,purchase_dataset!$B$2:$F$2241,3,FALSE)</f>
        <v>15</v>
      </c>
      <c r="N2165">
        <f>VLOOKUP(B2165,purchase_dataset!$B$2:$F$2241,5,FALSE)</f>
        <v>8</v>
      </c>
      <c r="O2165" s="5">
        <v>69</v>
      </c>
      <c r="P2165" s="4" t="str">
        <f t="shared" si="66"/>
        <v>&gt;50</v>
      </c>
      <c r="Q2165" s="4">
        <f>M2165+N2165</f>
        <v>23</v>
      </c>
      <c r="U2165" s="28" t="str" cm="1">
        <f t="array" ref="U2165">_xlfn.IFS(F2165&lt;30000,"30k",F2165&lt;=50000,"30k-50k",F2165&lt;=75000,"50k-75k",F2165&lt;=100000,"75k-100k",F2165&gt;100000,"100k")</f>
        <v>30k-50k</v>
      </c>
      <c r="W2165" s="1">
        <f t="shared" si="67"/>
        <v>13</v>
      </c>
    </row>
    <row r="2166" spans="1:23" x14ac:dyDescent="0.35">
      <c r="A2166">
        <v>2163</v>
      </c>
      <c r="B2166">
        <v>7313</v>
      </c>
      <c r="C2166">
        <v>1949</v>
      </c>
      <c r="D2166" s="1" t="s">
        <v>18</v>
      </c>
      <c r="E2166" s="1" t="s">
        <v>19</v>
      </c>
      <c r="F2166">
        <v>74859</v>
      </c>
      <c r="G2166">
        <v>0</v>
      </c>
      <c r="H2166" s="2">
        <v>0</v>
      </c>
      <c r="I2166" s="2">
        <v>41428</v>
      </c>
      <c r="J2166">
        <v>63</v>
      </c>
      <c r="K2166">
        <f>VLOOKUP(B2166,purchase_dataset!$B$2:$F$2241,2,FALSE)</f>
        <v>73</v>
      </c>
      <c r="L2166">
        <f>VLOOKUP(B2166,purchase_dataset!$B$2:$F$2241,3,FALSE)</f>
        <v>102</v>
      </c>
      <c r="M2166">
        <f>VLOOKUP(B2166,purchase_dataset!$B$2:$F$2241,3,FALSE)</f>
        <v>102</v>
      </c>
      <c r="N2166">
        <f>VLOOKUP(B2166,purchase_dataset!$B$2:$F$2241,5,FALSE)</f>
        <v>11</v>
      </c>
      <c r="O2166" s="5">
        <v>77</v>
      </c>
      <c r="P2166" s="4" t="str">
        <f t="shared" si="66"/>
        <v>&gt;50</v>
      </c>
      <c r="Q2166" s="4">
        <f>M2166+N2166</f>
        <v>113</v>
      </c>
      <c r="U2166" s="28" t="str" cm="1">
        <f t="array" ref="U2166">_xlfn.IFS(F2166&lt;30000,"30k",F2166&lt;=50000,"30k-50k",F2166&lt;=75000,"50k-75k",F2166&lt;=100000,"75k-100k",F2166&gt;100000,"100k")</f>
        <v>50k-75k</v>
      </c>
      <c r="W2166" s="1">
        <f t="shared" si="67"/>
        <v>13</v>
      </c>
    </row>
    <row r="2167" spans="1:23" x14ac:dyDescent="0.35">
      <c r="A2167">
        <v>2164</v>
      </c>
      <c r="B2167">
        <v>7600</v>
      </c>
      <c r="C2167">
        <v>1992</v>
      </c>
      <c r="D2167" s="1" t="s">
        <v>17</v>
      </c>
      <c r="E2167" s="1" t="s">
        <v>11</v>
      </c>
      <c r="F2167">
        <v>15253</v>
      </c>
      <c r="G2167">
        <v>1</v>
      </c>
      <c r="H2167" s="2">
        <v>0</v>
      </c>
      <c r="I2167" s="2">
        <v>41575</v>
      </c>
      <c r="J2167">
        <v>13</v>
      </c>
      <c r="K2167">
        <f>VLOOKUP(B2167,purchase_dataset!$B$2:$F$2241,2,FALSE)</f>
        <v>3</v>
      </c>
      <c r="L2167">
        <f>VLOOKUP(B2167,purchase_dataset!$B$2:$F$2241,3,FALSE)</f>
        <v>1</v>
      </c>
      <c r="M2167">
        <f>VLOOKUP(B2167,purchase_dataset!$B$2:$F$2241,3,FALSE)</f>
        <v>1</v>
      </c>
      <c r="N2167">
        <f>VLOOKUP(B2167,purchase_dataset!$B$2:$F$2241,5,FALSE)</f>
        <v>3</v>
      </c>
      <c r="O2167" s="5">
        <v>34</v>
      </c>
      <c r="P2167" s="4" t="str">
        <f t="shared" si="66"/>
        <v>30-50</v>
      </c>
      <c r="Q2167" s="4">
        <f>M2167+N2167</f>
        <v>4</v>
      </c>
      <c r="U2167" s="28" t="str" cm="1">
        <f t="array" ref="U2167">_xlfn.IFS(F2167&lt;30000,"30k",F2167&lt;=50000,"30k-50k",F2167&lt;=75000,"50k-75k",F2167&lt;=100000,"75k-100k",F2167&gt;100000,"100k")</f>
        <v>30k</v>
      </c>
      <c r="W2167" s="1">
        <f t="shared" si="67"/>
        <v>13</v>
      </c>
    </row>
    <row r="2168" spans="1:23" x14ac:dyDescent="0.35">
      <c r="A2168">
        <v>2165</v>
      </c>
      <c r="B2168">
        <v>9706</v>
      </c>
      <c r="C2168">
        <v>1974</v>
      </c>
      <c r="D2168" s="1" t="s">
        <v>13</v>
      </c>
      <c r="E2168" s="1" t="s">
        <v>11</v>
      </c>
      <c r="F2168">
        <v>31560</v>
      </c>
      <c r="G2168">
        <v>1</v>
      </c>
      <c r="H2168" s="2">
        <v>0</v>
      </c>
      <c r="I2168" s="2">
        <v>41449</v>
      </c>
      <c r="J2168">
        <v>98</v>
      </c>
      <c r="K2168">
        <f>VLOOKUP(B2168,purchase_dataset!$B$2:$F$2241,2,FALSE)</f>
        <v>1</v>
      </c>
      <c r="L2168">
        <f>VLOOKUP(B2168,purchase_dataset!$B$2:$F$2241,3,FALSE)</f>
        <v>0</v>
      </c>
      <c r="M2168">
        <f>VLOOKUP(B2168,purchase_dataset!$B$2:$F$2241,3,FALSE)</f>
        <v>0</v>
      </c>
      <c r="N2168">
        <f>VLOOKUP(B2168,purchase_dataset!$B$2:$F$2241,5,FALSE)</f>
        <v>3</v>
      </c>
      <c r="O2168" s="5">
        <v>52</v>
      </c>
      <c r="P2168" s="4" t="str">
        <f t="shared" si="66"/>
        <v>&gt;50</v>
      </c>
      <c r="Q2168" s="4">
        <f>M2168+N2168</f>
        <v>3</v>
      </c>
      <c r="U2168" s="28" t="str" cm="1">
        <f t="array" ref="U2168">_xlfn.IFS(F2168&lt;30000,"30k",F2168&lt;=50000,"30k-50k",F2168&lt;=75000,"50k-75k",F2168&lt;=100000,"75k-100k",F2168&gt;100000,"100k")</f>
        <v>30k-50k</v>
      </c>
      <c r="W2168" s="1">
        <f t="shared" si="67"/>
        <v>13</v>
      </c>
    </row>
    <row r="2169" spans="1:23" x14ac:dyDescent="0.35">
      <c r="A2169">
        <v>2166</v>
      </c>
      <c r="B2169">
        <v>2429</v>
      </c>
      <c r="C2169">
        <v>1954</v>
      </c>
      <c r="D2169" s="1" t="s">
        <v>10</v>
      </c>
      <c r="E2169" s="1" t="s">
        <v>16</v>
      </c>
      <c r="F2169">
        <v>72071</v>
      </c>
      <c r="G2169">
        <v>0</v>
      </c>
      <c r="H2169" s="2">
        <v>1</v>
      </c>
      <c r="I2169" s="2">
        <v>41319</v>
      </c>
      <c r="J2169">
        <v>4</v>
      </c>
      <c r="K2169">
        <f>VLOOKUP(B2169,purchase_dataset!$B$2:$F$2241,2,FALSE)</f>
        <v>69</v>
      </c>
      <c r="L2169">
        <f>VLOOKUP(B2169,purchase_dataset!$B$2:$F$2241,3,FALSE)</f>
        <v>138</v>
      </c>
      <c r="M2169">
        <f>VLOOKUP(B2169,purchase_dataset!$B$2:$F$2241,3,FALSE)</f>
        <v>138</v>
      </c>
      <c r="N2169">
        <f>VLOOKUP(B2169,purchase_dataset!$B$2:$F$2241,5,FALSE)</f>
        <v>8</v>
      </c>
      <c r="O2169" s="5">
        <v>72</v>
      </c>
      <c r="P2169" s="4" t="str">
        <f t="shared" si="66"/>
        <v>&gt;50</v>
      </c>
      <c r="Q2169" s="4">
        <f>M2169+N2169</f>
        <v>146</v>
      </c>
      <c r="U2169" s="28" t="str" cm="1">
        <f t="array" ref="U2169">_xlfn.IFS(F2169&lt;30000,"30k",F2169&lt;=50000,"30k-50k",F2169&lt;=75000,"50k-75k",F2169&lt;=100000,"75k-100k",F2169&gt;100000,"100k")</f>
        <v>50k-75k</v>
      </c>
      <c r="W2169" s="1">
        <f t="shared" si="67"/>
        <v>13</v>
      </c>
    </row>
    <row r="2170" spans="1:23" x14ac:dyDescent="0.35">
      <c r="A2170">
        <v>2167</v>
      </c>
      <c r="B2170">
        <v>3520</v>
      </c>
      <c r="C2170">
        <v>1990</v>
      </c>
      <c r="D2170" s="1" t="s">
        <v>15</v>
      </c>
      <c r="E2170" s="1" t="s">
        <v>11</v>
      </c>
      <c r="F2170">
        <v>91172</v>
      </c>
      <c r="G2170">
        <v>0</v>
      </c>
      <c r="H2170" s="2">
        <v>0</v>
      </c>
      <c r="I2170" s="2">
        <v>41360</v>
      </c>
      <c r="J2170">
        <v>94</v>
      </c>
      <c r="K2170">
        <f>VLOOKUP(B2170,purchase_dataset!$B$2:$F$2241,2,FALSE)</f>
        <v>28</v>
      </c>
      <c r="L2170">
        <f>VLOOKUP(B2170,purchase_dataset!$B$2:$F$2241,3,FALSE)</f>
        <v>28</v>
      </c>
      <c r="M2170">
        <f>VLOOKUP(B2170,purchase_dataset!$B$2:$F$2241,3,FALSE)</f>
        <v>28</v>
      </c>
      <c r="N2170">
        <f>VLOOKUP(B2170,purchase_dataset!$B$2:$F$2241,5,FALSE)</f>
        <v>7</v>
      </c>
      <c r="O2170" s="5">
        <v>36</v>
      </c>
      <c r="P2170" s="4" t="str">
        <f t="shared" si="66"/>
        <v>30-50</v>
      </c>
      <c r="Q2170" s="4">
        <f>M2170+N2170</f>
        <v>35</v>
      </c>
      <c r="U2170" s="28" t="str" cm="1">
        <f t="array" ref="U2170">_xlfn.IFS(F2170&lt;30000,"30k",F2170&lt;=50000,"30k-50k",F2170&lt;=75000,"50k-75k",F2170&lt;=100000,"75k-100k",F2170&gt;100000,"100k")</f>
        <v>75k-100k</v>
      </c>
      <c r="W2170" s="1">
        <f t="shared" si="67"/>
        <v>13</v>
      </c>
    </row>
    <row r="2171" spans="1:23" x14ac:dyDescent="0.35">
      <c r="A2171">
        <v>2168</v>
      </c>
      <c r="B2171">
        <v>10394</v>
      </c>
      <c r="C2171">
        <v>1984</v>
      </c>
      <c r="D2171" s="1" t="s">
        <v>10</v>
      </c>
      <c r="E2171" s="1" t="s">
        <v>14</v>
      </c>
      <c r="F2171">
        <v>90000</v>
      </c>
      <c r="G2171">
        <v>0</v>
      </c>
      <c r="H2171" s="2">
        <v>0</v>
      </c>
      <c r="I2171" s="2">
        <v>41631</v>
      </c>
      <c r="J2171">
        <v>91</v>
      </c>
      <c r="K2171">
        <f>VLOOKUP(B2171,purchase_dataset!$B$2:$F$2241,2,FALSE)</f>
        <v>144</v>
      </c>
      <c r="L2171">
        <f>VLOOKUP(B2171,purchase_dataset!$B$2:$F$2241,3,FALSE)</f>
        <v>192</v>
      </c>
      <c r="M2171">
        <f>VLOOKUP(B2171,purchase_dataset!$B$2:$F$2241,3,FALSE)</f>
        <v>192</v>
      </c>
      <c r="N2171">
        <f>VLOOKUP(B2171,purchase_dataset!$B$2:$F$2241,5,FALSE)</f>
        <v>5</v>
      </c>
      <c r="O2171" s="5">
        <v>42</v>
      </c>
      <c r="P2171" s="4" t="str">
        <f t="shared" si="66"/>
        <v>30-50</v>
      </c>
      <c r="Q2171" s="4">
        <f>M2171+N2171</f>
        <v>197</v>
      </c>
      <c r="U2171" s="28" t="str" cm="1">
        <f t="array" ref="U2171">_xlfn.IFS(F2171&lt;30000,"30k",F2171&lt;=50000,"30k-50k",F2171&lt;=75000,"50k-75k",F2171&lt;=100000,"75k-100k",F2171&gt;100000,"100k")</f>
        <v>75k-100k</v>
      </c>
      <c r="W2171" s="1">
        <f t="shared" si="67"/>
        <v>13</v>
      </c>
    </row>
    <row r="2172" spans="1:23" x14ac:dyDescent="0.35">
      <c r="A2172">
        <v>2169</v>
      </c>
      <c r="B2172">
        <v>4548</v>
      </c>
      <c r="C2172">
        <v>1981</v>
      </c>
      <c r="D2172" s="1" t="s">
        <v>10</v>
      </c>
      <c r="E2172" s="1" t="s">
        <v>11</v>
      </c>
      <c r="F2172">
        <v>41967</v>
      </c>
      <c r="G2172">
        <v>1</v>
      </c>
      <c r="H2172" s="2">
        <v>1</v>
      </c>
      <c r="I2172" s="2">
        <v>41601</v>
      </c>
      <c r="J2172">
        <v>66</v>
      </c>
      <c r="K2172">
        <f>VLOOKUP(B2172,purchase_dataset!$B$2:$F$2241,2,FALSE)</f>
        <v>4</v>
      </c>
      <c r="L2172">
        <f>VLOOKUP(B2172,purchase_dataset!$B$2:$F$2241,3,FALSE)</f>
        <v>2</v>
      </c>
      <c r="M2172">
        <f>VLOOKUP(B2172,purchase_dataset!$B$2:$F$2241,3,FALSE)</f>
        <v>2</v>
      </c>
      <c r="N2172">
        <f>VLOOKUP(B2172,purchase_dataset!$B$2:$F$2241,5,FALSE)</f>
        <v>3</v>
      </c>
      <c r="O2172" s="5">
        <v>45</v>
      </c>
      <c r="P2172" s="4" t="str">
        <f t="shared" si="66"/>
        <v>30-50</v>
      </c>
      <c r="Q2172" s="4">
        <f>M2172+N2172</f>
        <v>5</v>
      </c>
      <c r="U2172" s="28" t="str" cm="1">
        <f t="array" ref="U2172">_xlfn.IFS(F2172&lt;30000,"30k",F2172&lt;=50000,"30k-50k",F2172&lt;=75000,"50k-75k",F2172&lt;=100000,"75k-100k",F2172&gt;100000,"100k")</f>
        <v>30k-50k</v>
      </c>
      <c r="W2172" s="1">
        <f t="shared" si="67"/>
        <v>13</v>
      </c>
    </row>
    <row r="2173" spans="1:23" x14ac:dyDescent="0.35">
      <c r="A2173">
        <v>2170</v>
      </c>
      <c r="B2173">
        <v>9362</v>
      </c>
      <c r="C2173">
        <v>1965</v>
      </c>
      <c r="D2173" s="1" t="s">
        <v>10</v>
      </c>
      <c r="E2173" s="1" t="s">
        <v>11</v>
      </c>
      <c r="F2173">
        <v>69263</v>
      </c>
      <c r="G2173">
        <v>0</v>
      </c>
      <c r="H2173" s="2">
        <v>1</v>
      </c>
      <c r="I2173" s="2">
        <v>41703</v>
      </c>
      <c r="J2173">
        <v>14</v>
      </c>
      <c r="K2173">
        <f>VLOOKUP(B2173,purchase_dataset!$B$2:$F$2241,2,FALSE)</f>
        <v>5</v>
      </c>
      <c r="L2173">
        <f>VLOOKUP(B2173,purchase_dataset!$B$2:$F$2241,3,FALSE)</f>
        <v>5</v>
      </c>
      <c r="M2173">
        <f>VLOOKUP(B2173,purchase_dataset!$B$2:$F$2241,3,FALSE)</f>
        <v>5</v>
      </c>
      <c r="N2173">
        <f>VLOOKUP(B2173,purchase_dataset!$B$2:$F$2241,5,FALSE)</f>
        <v>7</v>
      </c>
      <c r="O2173" s="5">
        <v>61</v>
      </c>
      <c r="P2173" s="4" t="str">
        <f t="shared" si="66"/>
        <v>&gt;50</v>
      </c>
      <c r="Q2173" s="4">
        <f>M2173+N2173</f>
        <v>12</v>
      </c>
      <c r="U2173" s="28" t="str" cm="1">
        <f t="array" ref="U2173">_xlfn.IFS(F2173&lt;30000,"30k",F2173&lt;=50000,"30k-50k",F2173&lt;=75000,"50k-75k",F2173&lt;=100000,"75k-100k",F2173&gt;100000,"100k")</f>
        <v>50k-75k</v>
      </c>
      <c r="W2173" s="1">
        <f t="shared" si="67"/>
        <v>12</v>
      </c>
    </row>
    <row r="2174" spans="1:23" x14ac:dyDescent="0.35">
      <c r="A2174">
        <v>2171</v>
      </c>
      <c r="B2174">
        <v>3968</v>
      </c>
      <c r="C2174">
        <v>1970</v>
      </c>
      <c r="D2174" s="1" t="s">
        <v>18</v>
      </c>
      <c r="E2174" s="1" t="s">
        <v>16</v>
      </c>
      <c r="F2174">
        <v>65706</v>
      </c>
      <c r="G2174">
        <v>0</v>
      </c>
      <c r="H2174" s="2">
        <v>0</v>
      </c>
      <c r="I2174" s="2">
        <v>41453</v>
      </c>
      <c r="J2174">
        <v>77</v>
      </c>
      <c r="K2174">
        <f>VLOOKUP(B2174,purchase_dataset!$B$2:$F$2241,2,FALSE)</f>
        <v>10</v>
      </c>
      <c r="L2174">
        <f>VLOOKUP(B2174,purchase_dataset!$B$2:$F$2241,3,FALSE)</f>
        <v>0</v>
      </c>
      <c r="M2174">
        <f>VLOOKUP(B2174,purchase_dataset!$B$2:$F$2241,3,FALSE)</f>
        <v>0</v>
      </c>
      <c r="N2174">
        <f>VLOOKUP(B2174,purchase_dataset!$B$2:$F$2241,5,FALSE)</f>
        <v>12</v>
      </c>
      <c r="O2174" s="5">
        <v>56</v>
      </c>
      <c r="P2174" s="4" t="str">
        <f t="shared" si="66"/>
        <v>&gt;50</v>
      </c>
      <c r="Q2174" s="4">
        <f>M2174+N2174</f>
        <v>12</v>
      </c>
      <c r="U2174" s="28" t="str" cm="1">
        <f t="array" ref="U2174">_xlfn.IFS(F2174&lt;30000,"30k",F2174&lt;=50000,"30k-50k",F2174&lt;=75000,"50k-75k",F2174&lt;=100000,"75k-100k",F2174&gt;100000,"100k")</f>
        <v>50k-75k</v>
      </c>
      <c r="W2174" s="1">
        <f t="shared" si="67"/>
        <v>13</v>
      </c>
    </row>
    <row r="2175" spans="1:23" x14ac:dyDescent="0.35">
      <c r="A2175">
        <v>2172</v>
      </c>
      <c r="B2175">
        <v>4084</v>
      </c>
      <c r="C2175">
        <v>1975</v>
      </c>
      <c r="D2175" s="1" t="s">
        <v>10</v>
      </c>
      <c r="E2175" s="1" t="s">
        <v>12</v>
      </c>
      <c r="F2175">
        <v>60934</v>
      </c>
      <c r="G2175">
        <v>0</v>
      </c>
      <c r="H2175" s="2">
        <v>1</v>
      </c>
      <c r="I2175" s="2">
        <v>41656</v>
      </c>
      <c r="J2175">
        <v>41</v>
      </c>
      <c r="K2175">
        <f>VLOOKUP(B2175,purchase_dataset!$B$2:$F$2241,2,FALSE)</f>
        <v>155</v>
      </c>
      <c r="L2175">
        <f>VLOOKUP(B2175,purchase_dataset!$B$2:$F$2241,3,FALSE)</f>
        <v>93</v>
      </c>
      <c r="M2175">
        <f>VLOOKUP(B2175,purchase_dataset!$B$2:$F$2241,3,FALSE)</f>
        <v>93</v>
      </c>
      <c r="N2175">
        <f>VLOOKUP(B2175,purchase_dataset!$B$2:$F$2241,5,FALSE)</f>
        <v>11</v>
      </c>
      <c r="O2175" s="5">
        <v>51</v>
      </c>
      <c r="P2175" s="4" t="str">
        <f t="shared" si="66"/>
        <v>&gt;50</v>
      </c>
      <c r="Q2175" s="4">
        <f>M2175+N2175</f>
        <v>104</v>
      </c>
      <c r="U2175" s="28" t="str" cm="1">
        <f t="array" ref="U2175">_xlfn.IFS(F2175&lt;30000,"30k",F2175&lt;=50000,"30k-50k",F2175&lt;=75000,"50k-75k",F2175&lt;=100000,"75k-100k",F2175&gt;100000,"100k")</f>
        <v>50k-75k</v>
      </c>
      <c r="W2175" s="1">
        <f t="shared" si="67"/>
        <v>12</v>
      </c>
    </row>
    <row r="2176" spans="1:23" x14ac:dyDescent="0.35">
      <c r="A2176">
        <v>2173</v>
      </c>
      <c r="B2176">
        <v>6721</v>
      </c>
      <c r="C2176">
        <v>1951</v>
      </c>
      <c r="D2176" s="1" t="s">
        <v>10</v>
      </c>
      <c r="E2176" s="1" t="s">
        <v>14</v>
      </c>
      <c r="F2176">
        <v>71965</v>
      </c>
      <c r="G2176">
        <v>0</v>
      </c>
      <c r="H2176" s="2">
        <v>1</v>
      </c>
      <c r="I2176" s="2">
        <v>41484</v>
      </c>
      <c r="J2176">
        <v>21</v>
      </c>
      <c r="K2176">
        <f>VLOOKUP(B2176,purchase_dataset!$B$2:$F$2241,2,FALSE)</f>
        <v>19</v>
      </c>
      <c r="L2176">
        <f>VLOOKUP(B2176,purchase_dataset!$B$2:$F$2241,3,FALSE)</f>
        <v>38</v>
      </c>
      <c r="M2176">
        <f>VLOOKUP(B2176,purchase_dataset!$B$2:$F$2241,3,FALSE)</f>
        <v>38</v>
      </c>
      <c r="N2176">
        <f>VLOOKUP(B2176,purchase_dataset!$B$2:$F$2241,5,FALSE)</f>
        <v>5</v>
      </c>
      <c r="O2176" s="5">
        <v>75</v>
      </c>
      <c r="P2176" s="4" t="str">
        <f t="shared" si="66"/>
        <v>&gt;50</v>
      </c>
      <c r="Q2176" s="4">
        <f>M2176+N2176</f>
        <v>43</v>
      </c>
      <c r="U2176" s="28" t="str" cm="1">
        <f t="array" ref="U2176">_xlfn.IFS(F2176&lt;30000,"30k",F2176&lt;=50000,"30k-50k",F2176&lt;=75000,"50k-75k",F2176&lt;=100000,"75k-100k",F2176&gt;100000,"100k")</f>
        <v>50k-75k</v>
      </c>
      <c r="W2176" s="1">
        <f t="shared" si="67"/>
        <v>13</v>
      </c>
    </row>
    <row r="2177" spans="1:23" x14ac:dyDescent="0.35">
      <c r="A2177">
        <v>2174</v>
      </c>
      <c r="B2177">
        <v>2829</v>
      </c>
      <c r="C2177">
        <v>1955</v>
      </c>
      <c r="D2177" s="1" t="s">
        <v>10</v>
      </c>
      <c r="E2177" s="1" t="s">
        <v>14</v>
      </c>
      <c r="F2177">
        <v>65210</v>
      </c>
      <c r="G2177">
        <v>0</v>
      </c>
      <c r="H2177" s="2">
        <v>1</v>
      </c>
      <c r="I2177" s="2">
        <v>41708</v>
      </c>
      <c r="J2177">
        <v>25</v>
      </c>
      <c r="K2177">
        <f>VLOOKUP(B2177,purchase_dataset!$B$2:$F$2241,2,FALSE)</f>
        <v>0</v>
      </c>
      <c r="L2177">
        <f>VLOOKUP(B2177,purchase_dataset!$B$2:$F$2241,3,FALSE)</f>
        <v>7</v>
      </c>
      <c r="M2177">
        <f>VLOOKUP(B2177,purchase_dataset!$B$2:$F$2241,3,FALSE)</f>
        <v>7</v>
      </c>
      <c r="N2177">
        <f>VLOOKUP(B2177,purchase_dataset!$B$2:$F$2241,5,FALSE)</f>
        <v>8</v>
      </c>
      <c r="O2177" s="5">
        <v>71</v>
      </c>
      <c r="P2177" s="4" t="str">
        <f t="shared" si="66"/>
        <v>&gt;50</v>
      </c>
      <c r="Q2177" s="4">
        <f>M2177+N2177</f>
        <v>15</v>
      </c>
      <c r="U2177" s="28" t="str" cm="1">
        <f t="array" ref="U2177">_xlfn.IFS(F2177&lt;30000,"30k",F2177&lt;=50000,"30k-50k",F2177&lt;=75000,"50k-75k",F2177&lt;=100000,"75k-100k",F2177&gt;100000,"100k")</f>
        <v>50k-75k</v>
      </c>
      <c r="W2177" s="1">
        <f t="shared" si="67"/>
        <v>12</v>
      </c>
    </row>
    <row r="2178" spans="1:23" x14ac:dyDescent="0.35">
      <c r="A2178">
        <v>2175</v>
      </c>
      <c r="B2178">
        <v>1772</v>
      </c>
      <c r="C2178">
        <v>1975</v>
      </c>
      <c r="D2178" s="1" t="s">
        <v>13</v>
      </c>
      <c r="E2178" s="1" t="s">
        <v>14</v>
      </c>
      <c r="F2178">
        <v>79174</v>
      </c>
      <c r="G2178">
        <v>0</v>
      </c>
      <c r="H2178" s="2">
        <v>0</v>
      </c>
      <c r="I2178" s="2">
        <v>41285</v>
      </c>
      <c r="J2178">
        <v>2</v>
      </c>
      <c r="K2178">
        <f>VLOOKUP(B2178,purchase_dataset!$B$2:$F$2241,2,FALSE)</f>
        <v>37</v>
      </c>
      <c r="L2178">
        <f>VLOOKUP(B2178,purchase_dataset!$B$2:$F$2241,3,FALSE)</f>
        <v>92</v>
      </c>
      <c r="M2178">
        <f>VLOOKUP(B2178,purchase_dataset!$B$2:$F$2241,3,FALSE)</f>
        <v>92</v>
      </c>
      <c r="N2178">
        <f>VLOOKUP(B2178,purchase_dataset!$B$2:$F$2241,5,FALSE)</f>
        <v>7</v>
      </c>
      <c r="O2178" s="5">
        <v>51</v>
      </c>
      <c r="P2178" s="4" t="str">
        <f t="shared" si="66"/>
        <v>&gt;50</v>
      </c>
      <c r="Q2178" s="4">
        <f>M2178+N2178</f>
        <v>99</v>
      </c>
      <c r="U2178" s="28" t="str" cm="1">
        <f t="array" ref="U2178">_xlfn.IFS(F2178&lt;30000,"30k",F2178&lt;=50000,"30k-50k",F2178&lt;=75000,"50k-75k",F2178&lt;=100000,"75k-100k",F2178&gt;100000,"100k")</f>
        <v>75k-100k</v>
      </c>
      <c r="W2178" s="1">
        <f t="shared" si="67"/>
        <v>13</v>
      </c>
    </row>
    <row r="2179" spans="1:23" x14ac:dyDescent="0.35">
      <c r="A2179">
        <v>2176</v>
      </c>
      <c r="B2179">
        <v>1544</v>
      </c>
      <c r="C2179">
        <v>1967</v>
      </c>
      <c r="D2179" s="1" t="s">
        <v>15</v>
      </c>
      <c r="E2179" s="1" t="s">
        <v>16</v>
      </c>
      <c r="F2179">
        <v>81380</v>
      </c>
      <c r="G2179">
        <v>0</v>
      </c>
      <c r="H2179" s="2">
        <v>0</v>
      </c>
      <c r="I2179" s="2">
        <v>41265</v>
      </c>
      <c r="J2179">
        <v>51</v>
      </c>
      <c r="K2179">
        <f>VLOOKUP(B2179,purchase_dataset!$B$2:$F$2241,2,FALSE)</f>
        <v>68</v>
      </c>
      <c r="L2179">
        <f>VLOOKUP(B2179,purchase_dataset!$B$2:$F$2241,3,FALSE)</f>
        <v>68</v>
      </c>
      <c r="M2179">
        <f>VLOOKUP(B2179,purchase_dataset!$B$2:$F$2241,3,FALSE)</f>
        <v>68</v>
      </c>
      <c r="N2179">
        <f>VLOOKUP(B2179,purchase_dataset!$B$2:$F$2241,5,FALSE)</f>
        <v>10</v>
      </c>
      <c r="O2179" s="5">
        <v>59</v>
      </c>
      <c r="P2179" s="4" t="str">
        <f t="shared" si="66"/>
        <v>&gt;50</v>
      </c>
      <c r="Q2179" s="4">
        <f>M2179+N2179</f>
        <v>78</v>
      </c>
      <c r="U2179" s="28" t="str" cm="1">
        <f t="array" ref="U2179">_xlfn.IFS(F2179&lt;30000,"30k",F2179&lt;=50000,"30k-50k",F2179&lt;=75000,"50k-75k",F2179&lt;=100000,"75k-100k",F2179&gt;100000,"100k")</f>
        <v>75k-100k</v>
      </c>
      <c r="W2179" s="1">
        <f t="shared" si="67"/>
        <v>14</v>
      </c>
    </row>
    <row r="2180" spans="1:23" x14ac:dyDescent="0.35">
      <c r="A2180">
        <v>2177</v>
      </c>
      <c r="B2180">
        <v>492</v>
      </c>
      <c r="C2180">
        <v>1973</v>
      </c>
      <c r="D2180" s="1" t="s">
        <v>13</v>
      </c>
      <c r="E2180" s="1" t="s">
        <v>22</v>
      </c>
      <c r="F2180">
        <v>48432</v>
      </c>
      <c r="G2180">
        <v>0</v>
      </c>
      <c r="H2180" s="2">
        <v>1</v>
      </c>
      <c r="I2180" s="2">
        <v>41200</v>
      </c>
      <c r="J2180">
        <v>3</v>
      </c>
      <c r="K2180">
        <f>VLOOKUP(B2180,purchase_dataset!$B$2:$F$2241,2,FALSE)</f>
        <v>3</v>
      </c>
      <c r="L2180">
        <f>VLOOKUP(B2180,purchase_dataset!$B$2:$F$2241,3,FALSE)</f>
        <v>3</v>
      </c>
      <c r="M2180">
        <f>VLOOKUP(B2180,purchase_dataset!$B$2:$F$2241,3,FALSE)</f>
        <v>3</v>
      </c>
      <c r="N2180">
        <f>VLOOKUP(B2180,purchase_dataset!$B$2:$F$2241,5,FALSE)</f>
        <v>6</v>
      </c>
      <c r="O2180" s="5">
        <v>53</v>
      </c>
      <c r="P2180" s="4" t="str">
        <f t="shared" ref="P2180:P2242" si="68">IF(O2180&lt;30,"30",IF(O2180&lt;=50,"30-50","&gt;50"))</f>
        <v>&gt;50</v>
      </c>
      <c r="Q2180" s="4">
        <f>M2180+N2180</f>
        <v>9</v>
      </c>
      <c r="U2180" s="28" t="str" cm="1">
        <f t="array" ref="U2180">_xlfn.IFS(F2180&lt;30000,"30k",F2180&lt;=50000,"30k-50k",F2180&lt;=75000,"50k-75k",F2180&lt;=100000,"75k-100k",F2180&gt;100000,"100k")</f>
        <v>30k-50k</v>
      </c>
      <c r="W2180" s="1">
        <f t="shared" ref="W2180:W2242" si="69">2026-YEAR(I2180)</f>
        <v>14</v>
      </c>
    </row>
    <row r="2181" spans="1:23" x14ac:dyDescent="0.35">
      <c r="A2181">
        <v>2178</v>
      </c>
      <c r="B2181">
        <v>4377</v>
      </c>
      <c r="C2181">
        <v>1971</v>
      </c>
      <c r="D2181" s="1" t="s">
        <v>10</v>
      </c>
      <c r="E2181" s="1" t="s">
        <v>14</v>
      </c>
      <c r="F2181">
        <v>52914</v>
      </c>
      <c r="G2181">
        <v>0</v>
      </c>
      <c r="H2181" s="2">
        <v>1</v>
      </c>
      <c r="I2181" s="2">
        <v>41281</v>
      </c>
      <c r="J2181">
        <v>32</v>
      </c>
      <c r="K2181">
        <f>VLOOKUP(B2181,purchase_dataset!$B$2:$F$2241,2,FALSE)</f>
        <v>10</v>
      </c>
      <c r="L2181">
        <f>VLOOKUP(B2181,purchase_dataset!$B$2:$F$2241,3,FALSE)</f>
        <v>10</v>
      </c>
      <c r="M2181">
        <f>VLOOKUP(B2181,purchase_dataset!$B$2:$F$2241,3,FALSE)</f>
        <v>10</v>
      </c>
      <c r="N2181">
        <f>VLOOKUP(B2181,purchase_dataset!$B$2:$F$2241,5,FALSE)</f>
        <v>3</v>
      </c>
      <c r="O2181" s="5">
        <v>55</v>
      </c>
      <c r="P2181" s="4" t="str">
        <f t="shared" si="68"/>
        <v>&gt;50</v>
      </c>
      <c r="Q2181" s="4">
        <f>M2181+N2181</f>
        <v>13</v>
      </c>
      <c r="U2181" s="28" t="str" cm="1">
        <f t="array" ref="U2181">_xlfn.IFS(F2181&lt;30000,"30k",F2181&lt;=50000,"30k-50k",F2181&lt;=75000,"50k-75k",F2181&lt;=100000,"75k-100k",F2181&gt;100000,"100k")</f>
        <v>50k-75k</v>
      </c>
      <c r="W2181" s="1">
        <f t="shared" si="69"/>
        <v>13</v>
      </c>
    </row>
    <row r="2182" spans="1:23" x14ac:dyDescent="0.35">
      <c r="A2182">
        <v>2179</v>
      </c>
      <c r="B2182">
        <v>4541</v>
      </c>
      <c r="C2182">
        <v>1955</v>
      </c>
      <c r="D2182" s="1" t="s">
        <v>10</v>
      </c>
      <c r="E2182" s="1" t="s">
        <v>12</v>
      </c>
      <c r="F2182">
        <v>38946</v>
      </c>
      <c r="G2182">
        <v>0</v>
      </c>
      <c r="H2182" s="2">
        <v>1</v>
      </c>
      <c r="I2182" s="2">
        <v>41571</v>
      </c>
      <c r="J2182">
        <v>84</v>
      </c>
      <c r="K2182">
        <f>VLOOKUP(B2182,purchase_dataset!$B$2:$F$2241,2,FALSE)</f>
        <v>6</v>
      </c>
      <c r="L2182">
        <f>VLOOKUP(B2182,purchase_dataset!$B$2:$F$2241,3,FALSE)</f>
        <v>6</v>
      </c>
      <c r="M2182">
        <f>VLOOKUP(B2182,purchase_dataset!$B$2:$F$2241,3,FALSE)</f>
        <v>6</v>
      </c>
      <c r="N2182">
        <f>VLOOKUP(B2182,purchase_dataset!$B$2:$F$2241,5,FALSE)</f>
        <v>6</v>
      </c>
      <c r="O2182" s="5">
        <v>71</v>
      </c>
      <c r="P2182" s="4" t="str">
        <f t="shared" si="68"/>
        <v>&gt;50</v>
      </c>
      <c r="Q2182" s="4">
        <f>M2182+N2182</f>
        <v>12</v>
      </c>
      <c r="U2182" s="28" t="str" cm="1">
        <f t="array" ref="U2182">_xlfn.IFS(F2182&lt;30000,"30k",F2182&lt;=50000,"30k-50k",F2182&lt;=75000,"50k-75k",F2182&lt;=100000,"75k-100k",F2182&gt;100000,"100k")</f>
        <v>30k-50k</v>
      </c>
      <c r="W2182" s="1">
        <f t="shared" si="69"/>
        <v>13</v>
      </c>
    </row>
    <row r="2183" spans="1:23" x14ac:dyDescent="0.35">
      <c r="A2183">
        <v>2180</v>
      </c>
      <c r="B2183">
        <v>1321</v>
      </c>
      <c r="C2183">
        <v>1974</v>
      </c>
      <c r="D2183" s="1" t="s">
        <v>10</v>
      </c>
      <c r="E2183" s="1" t="s">
        <v>14</v>
      </c>
      <c r="F2183">
        <v>26067</v>
      </c>
      <c r="G2183">
        <v>1</v>
      </c>
      <c r="H2183" s="2">
        <v>0</v>
      </c>
      <c r="I2183" s="2">
        <v>41582</v>
      </c>
      <c r="J2183">
        <v>49</v>
      </c>
      <c r="K2183">
        <f>VLOOKUP(B2183,purchase_dataset!$B$2:$F$2241,2,FALSE)</f>
        <v>2</v>
      </c>
      <c r="L2183">
        <f>VLOOKUP(B2183,purchase_dataset!$B$2:$F$2241,3,FALSE)</f>
        <v>2</v>
      </c>
      <c r="M2183">
        <f>VLOOKUP(B2183,purchase_dataset!$B$2:$F$2241,3,FALSE)</f>
        <v>2</v>
      </c>
      <c r="N2183">
        <f>VLOOKUP(B2183,purchase_dataset!$B$2:$F$2241,5,FALSE)</f>
        <v>3</v>
      </c>
      <c r="O2183" s="5">
        <v>52</v>
      </c>
      <c r="P2183" s="4" t="str">
        <f t="shared" si="68"/>
        <v>&gt;50</v>
      </c>
      <c r="Q2183" s="4">
        <f>M2183+N2183</f>
        <v>5</v>
      </c>
      <c r="U2183" s="28" t="str" cm="1">
        <f t="array" ref="U2183">_xlfn.IFS(F2183&lt;30000,"30k",F2183&lt;=50000,"30k-50k",F2183&lt;=75000,"50k-75k",F2183&lt;=100000,"75k-100k",F2183&gt;100000,"100k")</f>
        <v>30k</v>
      </c>
      <c r="W2183" s="1">
        <f t="shared" si="69"/>
        <v>13</v>
      </c>
    </row>
    <row r="2184" spans="1:23" x14ac:dyDescent="0.35">
      <c r="A2184">
        <v>2181</v>
      </c>
      <c r="B2184">
        <v>8858</v>
      </c>
      <c r="C2184">
        <v>1972</v>
      </c>
      <c r="D2184" s="1" t="s">
        <v>13</v>
      </c>
      <c r="E2184" s="1" t="s">
        <v>14</v>
      </c>
      <c r="F2184">
        <v>44325</v>
      </c>
      <c r="G2184">
        <v>0</v>
      </c>
      <c r="H2184" s="2">
        <v>1</v>
      </c>
      <c r="I2184" s="2">
        <v>41340</v>
      </c>
      <c r="J2184">
        <v>69</v>
      </c>
      <c r="K2184">
        <f>VLOOKUP(B2184,purchase_dataset!$B$2:$F$2241,2,FALSE)</f>
        <v>0</v>
      </c>
      <c r="L2184">
        <f>VLOOKUP(B2184,purchase_dataset!$B$2:$F$2241,3,FALSE)</f>
        <v>0</v>
      </c>
      <c r="M2184">
        <f>VLOOKUP(B2184,purchase_dataset!$B$2:$F$2241,3,FALSE)</f>
        <v>0</v>
      </c>
      <c r="N2184">
        <f>VLOOKUP(B2184,purchase_dataset!$B$2:$F$2241,5,FALSE)</f>
        <v>7</v>
      </c>
      <c r="O2184" s="5">
        <v>54</v>
      </c>
      <c r="P2184" s="4" t="str">
        <f t="shared" si="68"/>
        <v>&gt;50</v>
      </c>
      <c r="Q2184" s="4">
        <f>M2184+N2184</f>
        <v>7</v>
      </c>
      <c r="U2184" s="28" t="str" cm="1">
        <f t="array" ref="U2184">_xlfn.IFS(F2184&lt;30000,"30k",F2184&lt;=50000,"30k-50k",F2184&lt;=75000,"50k-75k",F2184&lt;=100000,"75k-100k",F2184&gt;100000,"100k")</f>
        <v>30k-50k</v>
      </c>
      <c r="W2184" s="1">
        <f t="shared" si="69"/>
        <v>13</v>
      </c>
    </row>
    <row r="2185" spans="1:23" x14ac:dyDescent="0.35">
      <c r="A2185">
        <v>2182</v>
      </c>
      <c r="B2185">
        <v>3266</v>
      </c>
      <c r="C2185">
        <v>1964</v>
      </c>
      <c r="D2185" s="1" t="s">
        <v>10</v>
      </c>
      <c r="E2185" s="1" t="s">
        <v>14</v>
      </c>
      <c r="F2185">
        <v>42523</v>
      </c>
      <c r="G2185">
        <v>0</v>
      </c>
      <c r="H2185" s="2">
        <v>0</v>
      </c>
      <c r="I2185" s="2">
        <v>41752</v>
      </c>
      <c r="J2185">
        <v>96</v>
      </c>
      <c r="K2185">
        <f>VLOOKUP(B2185,purchase_dataset!$B$2:$F$2241,2,FALSE)</f>
        <v>36</v>
      </c>
      <c r="L2185">
        <f>VLOOKUP(B2185,purchase_dataset!$B$2:$F$2241,3,FALSE)</f>
        <v>26</v>
      </c>
      <c r="M2185">
        <f>VLOOKUP(B2185,purchase_dataset!$B$2:$F$2241,3,FALSE)</f>
        <v>26</v>
      </c>
      <c r="N2185">
        <f>VLOOKUP(B2185,purchase_dataset!$B$2:$F$2241,5,FALSE)</f>
        <v>4</v>
      </c>
      <c r="O2185" s="5">
        <v>62</v>
      </c>
      <c r="P2185" s="4" t="str">
        <f t="shared" si="68"/>
        <v>&gt;50</v>
      </c>
      <c r="Q2185" s="4">
        <f>M2185+N2185</f>
        <v>30</v>
      </c>
      <c r="U2185" s="28" t="str" cm="1">
        <f t="array" ref="U2185">_xlfn.IFS(F2185&lt;30000,"30k",F2185&lt;=50000,"30k-50k",F2185&lt;=75000,"50k-75k",F2185&lt;=100000,"75k-100k",F2185&gt;100000,"100k")</f>
        <v>30k-50k</v>
      </c>
      <c r="W2185" s="1">
        <f t="shared" si="69"/>
        <v>12</v>
      </c>
    </row>
    <row r="2186" spans="1:23" x14ac:dyDescent="0.35">
      <c r="A2186">
        <v>2183</v>
      </c>
      <c r="B2186">
        <v>11187</v>
      </c>
      <c r="C2186">
        <v>1978</v>
      </c>
      <c r="D2186" s="1" t="s">
        <v>17</v>
      </c>
      <c r="E2186" s="1" t="s">
        <v>11</v>
      </c>
      <c r="F2186">
        <v>26487</v>
      </c>
      <c r="G2186">
        <v>1</v>
      </c>
      <c r="H2186" s="2">
        <v>0</v>
      </c>
      <c r="I2186" s="2">
        <v>41414</v>
      </c>
      <c r="J2186">
        <v>23</v>
      </c>
      <c r="K2186">
        <f>VLOOKUP(B2186,purchase_dataset!$B$2:$F$2241,2,FALSE)</f>
        <v>8</v>
      </c>
      <c r="L2186">
        <f>VLOOKUP(B2186,purchase_dataset!$B$2:$F$2241,3,FALSE)</f>
        <v>14</v>
      </c>
      <c r="M2186">
        <f>VLOOKUP(B2186,purchase_dataset!$B$2:$F$2241,3,FALSE)</f>
        <v>14</v>
      </c>
      <c r="N2186">
        <f>VLOOKUP(B2186,purchase_dataset!$B$2:$F$2241,5,FALSE)</f>
        <v>3</v>
      </c>
      <c r="O2186" s="5">
        <v>48</v>
      </c>
      <c r="P2186" s="4" t="str">
        <f t="shared" si="68"/>
        <v>30-50</v>
      </c>
      <c r="Q2186" s="4">
        <f>M2186+N2186</f>
        <v>17</v>
      </c>
      <c r="U2186" s="28" t="str" cm="1">
        <f t="array" ref="U2186">_xlfn.IFS(F2186&lt;30000,"30k",F2186&lt;=50000,"30k-50k",F2186&lt;=75000,"50k-75k",F2186&lt;=100000,"75k-100k",F2186&gt;100000,"100k")</f>
        <v>30k</v>
      </c>
      <c r="W2186" s="1">
        <f t="shared" si="69"/>
        <v>13</v>
      </c>
    </row>
    <row r="2187" spans="1:23" x14ac:dyDescent="0.35">
      <c r="A2187">
        <v>2184</v>
      </c>
      <c r="B2187">
        <v>8207</v>
      </c>
      <c r="C2187">
        <v>1957</v>
      </c>
      <c r="D2187" s="1" t="s">
        <v>18</v>
      </c>
      <c r="E2187" s="1" t="s">
        <v>14</v>
      </c>
      <c r="F2187">
        <v>53233</v>
      </c>
      <c r="G2187">
        <v>0</v>
      </c>
      <c r="H2187" s="2">
        <v>1</v>
      </c>
      <c r="I2187" s="2">
        <v>41716</v>
      </c>
      <c r="J2187">
        <v>18</v>
      </c>
      <c r="K2187">
        <f>VLOOKUP(B2187,purchase_dataset!$B$2:$F$2241,2,FALSE)</f>
        <v>0</v>
      </c>
      <c r="L2187">
        <f>VLOOKUP(B2187,purchase_dataset!$B$2:$F$2241,3,FALSE)</f>
        <v>0</v>
      </c>
      <c r="M2187">
        <f>VLOOKUP(B2187,purchase_dataset!$B$2:$F$2241,3,FALSE)</f>
        <v>0</v>
      </c>
      <c r="N2187">
        <f>VLOOKUP(B2187,purchase_dataset!$B$2:$F$2241,5,FALSE)</f>
        <v>3</v>
      </c>
      <c r="O2187" s="5">
        <v>69</v>
      </c>
      <c r="P2187" s="4" t="str">
        <f t="shared" si="68"/>
        <v>&gt;50</v>
      </c>
      <c r="Q2187" s="4">
        <f>M2187+N2187</f>
        <v>3</v>
      </c>
      <c r="U2187" s="28" t="str" cm="1">
        <f t="array" ref="U2187">_xlfn.IFS(F2187&lt;30000,"30k",F2187&lt;=50000,"30k-50k",F2187&lt;=75000,"50k-75k",F2187&lt;=100000,"75k-100k",F2187&gt;100000,"100k")</f>
        <v>50k-75k</v>
      </c>
      <c r="W2187" s="1">
        <f t="shared" si="69"/>
        <v>12</v>
      </c>
    </row>
    <row r="2188" spans="1:23" x14ac:dyDescent="0.35">
      <c r="A2188">
        <v>2185</v>
      </c>
      <c r="B2188">
        <v>9723</v>
      </c>
      <c r="C2188">
        <v>1960</v>
      </c>
      <c r="D2188" s="1" t="s">
        <v>10</v>
      </c>
      <c r="E2188" s="1" t="s">
        <v>14</v>
      </c>
      <c r="F2188">
        <v>67716</v>
      </c>
      <c r="G2188">
        <v>0</v>
      </c>
      <c r="H2188" s="2">
        <v>1</v>
      </c>
      <c r="I2188" s="2">
        <v>41284</v>
      </c>
      <c r="J2188">
        <v>8</v>
      </c>
      <c r="K2188">
        <f>VLOOKUP(B2188,purchase_dataset!$B$2:$F$2241,2,FALSE)</f>
        <v>142</v>
      </c>
      <c r="L2188">
        <f>VLOOKUP(B2188,purchase_dataset!$B$2:$F$2241,3,FALSE)</f>
        <v>9</v>
      </c>
      <c r="M2188">
        <f>VLOOKUP(B2188,purchase_dataset!$B$2:$F$2241,3,FALSE)</f>
        <v>9</v>
      </c>
      <c r="N2188">
        <f>VLOOKUP(B2188,purchase_dataset!$B$2:$F$2241,5,FALSE)</f>
        <v>13</v>
      </c>
      <c r="O2188" s="5">
        <v>66</v>
      </c>
      <c r="P2188" s="4" t="str">
        <f t="shared" si="68"/>
        <v>&gt;50</v>
      </c>
      <c r="Q2188" s="4">
        <f>M2188+N2188</f>
        <v>22</v>
      </c>
      <c r="U2188" s="28" t="str" cm="1">
        <f t="array" ref="U2188">_xlfn.IFS(F2188&lt;30000,"30k",F2188&lt;=50000,"30k-50k",F2188&lt;=75000,"50k-75k",F2188&lt;=100000,"75k-100k",F2188&gt;100000,"100k")</f>
        <v>50k-75k</v>
      </c>
      <c r="W2188" s="1">
        <f t="shared" si="69"/>
        <v>13</v>
      </c>
    </row>
    <row r="2189" spans="1:23" x14ac:dyDescent="0.35">
      <c r="A2189">
        <v>2186</v>
      </c>
      <c r="B2189">
        <v>2666</v>
      </c>
      <c r="C2189">
        <v>1972</v>
      </c>
      <c r="D2189" s="1" t="s">
        <v>15</v>
      </c>
      <c r="E2189" s="1" t="s">
        <v>14</v>
      </c>
      <c r="F2189">
        <v>76234</v>
      </c>
      <c r="G2189">
        <v>0</v>
      </c>
      <c r="H2189" s="2">
        <v>1</v>
      </c>
      <c r="I2189" s="2">
        <v>41676</v>
      </c>
      <c r="J2189">
        <v>21</v>
      </c>
      <c r="K2189">
        <f>VLOOKUP(B2189,purchase_dataset!$B$2:$F$2241,2,FALSE)</f>
        <v>50</v>
      </c>
      <c r="L2189">
        <f>VLOOKUP(B2189,purchase_dataset!$B$2:$F$2241,3,FALSE)</f>
        <v>0</v>
      </c>
      <c r="M2189">
        <f>VLOOKUP(B2189,purchase_dataset!$B$2:$F$2241,3,FALSE)</f>
        <v>0</v>
      </c>
      <c r="N2189">
        <f>VLOOKUP(B2189,purchase_dataset!$B$2:$F$2241,5,FALSE)</f>
        <v>11</v>
      </c>
      <c r="O2189" s="5">
        <v>54</v>
      </c>
      <c r="P2189" s="4" t="str">
        <f t="shared" si="68"/>
        <v>&gt;50</v>
      </c>
      <c r="Q2189" s="4">
        <f>M2189+N2189</f>
        <v>11</v>
      </c>
      <c r="U2189" s="28" t="str" cm="1">
        <f t="array" ref="U2189">_xlfn.IFS(F2189&lt;30000,"30k",F2189&lt;=50000,"30k-50k",F2189&lt;=75000,"50k-75k",F2189&lt;=100000,"75k-100k",F2189&gt;100000,"100k")</f>
        <v>75k-100k</v>
      </c>
      <c r="W2189" s="1">
        <f t="shared" si="69"/>
        <v>12</v>
      </c>
    </row>
    <row r="2190" spans="1:23" x14ac:dyDescent="0.35">
      <c r="A2190">
        <v>2187</v>
      </c>
      <c r="B2190">
        <v>5721</v>
      </c>
      <c r="C2190">
        <v>1956</v>
      </c>
      <c r="D2190" s="1" t="s">
        <v>13</v>
      </c>
      <c r="E2190" s="1" t="s">
        <v>14</v>
      </c>
      <c r="F2190">
        <v>84117</v>
      </c>
      <c r="G2190">
        <v>0</v>
      </c>
      <c r="H2190" s="2">
        <v>0</v>
      </c>
      <c r="I2190" s="2">
        <v>41770</v>
      </c>
      <c r="J2190">
        <v>60</v>
      </c>
      <c r="K2190">
        <f>VLOOKUP(B2190,purchase_dataset!$B$2:$F$2241,2,FALSE)</f>
        <v>76</v>
      </c>
      <c r="L2190">
        <f>VLOOKUP(B2190,purchase_dataset!$B$2:$F$2241,3,FALSE)</f>
        <v>45</v>
      </c>
      <c r="M2190">
        <f>VLOOKUP(B2190,purchase_dataset!$B$2:$F$2241,3,FALSE)</f>
        <v>45</v>
      </c>
      <c r="N2190">
        <f>VLOOKUP(B2190,purchase_dataset!$B$2:$F$2241,5,FALSE)</f>
        <v>6</v>
      </c>
      <c r="O2190" s="5">
        <v>70</v>
      </c>
      <c r="P2190" s="4" t="str">
        <f t="shared" si="68"/>
        <v>&gt;50</v>
      </c>
      <c r="Q2190" s="4">
        <f>M2190+N2190</f>
        <v>51</v>
      </c>
      <c r="U2190" s="28" t="str" cm="1">
        <f t="array" ref="U2190">_xlfn.IFS(F2190&lt;30000,"30k",F2190&lt;=50000,"30k-50k",F2190&lt;=75000,"50k-75k",F2190&lt;=100000,"75k-100k",F2190&gt;100000,"100k")</f>
        <v>75k-100k</v>
      </c>
      <c r="W2190" s="1">
        <f t="shared" si="69"/>
        <v>12</v>
      </c>
    </row>
    <row r="2191" spans="1:23" x14ac:dyDescent="0.35">
      <c r="A2191">
        <v>2188</v>
      </c>
      <c r="B2191">
        <v>10652</v>
      </c>
      <c r="C2191">
        <v>1957</v>
      </c>
      <c r="D2191" s="1" t="s">
        <v>15</v>
      </c>
      <c r="E2191" s="1" t="s">
        <v>12</v>
      </c>
      <c r="F2191">
        <v>65487</v>
      </c>
      <c r="G2191">
        <v>0</v>
      </c>
      <c r="H2191" s="2">
        <v>0</v>
      </c>
      <c r="I2191" s="2">
        <v>41649</v>
      </c>
      <c r="J2191">
        <v>48</v>
      </c>
      <c r="K2191">
        <f>VLOOKUP(B2191,purchase_dataset!$B$2:$F$2241,2,FALSE)</f>
        <v>67</v>
      </c>
      <c r="L2191">
        <f>VLOOKUP(B2191,purchase_dataset!$B$2:$F$2241,3,FALSE)</f>
        <v>0</v>
      </c>
      <c r="M2191">
        <f>VLOOKUP(B2191,purchase_dataset!$B$2:$F$2241,3,FALSE)</f>
        <v>0</v>
      </c>
      <c r="N2191">
        <f>VLOOKUP(B2191,purchase_dataset!$B$2:$F$2241,5,FALSE)</f>
        <v>6</v>
      </c>
      <c r="O2191" s="5">
        <v>69</v>
      </c>
      <c r="P2191" s="4" t="str">
        <f t="shared" si="68"/>
        <v>&gt;50</v>
      </c>
      <c r="Q2191" s="4">
        <f>M2191+N2191</f>
        <v>6</v>
      </c>
      <c r="U2191" s="28" t="str" cm="1">
        <f t="array" ref="U2191">_xlfn.IFS(F2191&lt;30000,"30k",F2191&lt;=50000,"30k-50k",F2191&lt;=75000,"50k-75k",F2191&lt;=100000,"75k-100k",F2191&gt;100000,"100k")</f>
        <v>50k-75k</v>
      </c>
      <c r="W2191" s="1">
        <f t="shared" si="69"/>
        <v>12</v>
      </c>
    </row>
    <row r="2192" spans="1:23" x14ac:dyDescent="0.35">
      <c r="A2192">
        <v>2189</v>
      </c>
      <c r="B2192">
        <v>1646</v>
      </c>
      <c r="C2192">
        <v>1972</v>
      </c>
      <c r="D2192" s="1" t="s">
        <v>17</v>
      </c>
      <c r="E2192" s="1" t="s">
        <v>14</v>
      </c>
      <c r="F2192">
        <v>25224</v>
      </c>
      <c r="G2192">
        <v>1</v>
      </c>
      <c r="H2192" s="2">
        <v>0</v>
      </c>
      <c r="I2192" s="2">
        <v>41714</v>
      </c>
      <c r="J2192">
        <v>36</v>
      </c>
      <c r="K2192">
        <f>VLOOKUP(B2192,purchase_dataset!$B$2:$F$2241,2,FALSE)</f>
        <v>9</v>
      </c>
      <c r="L2192">
        <f>VLOOKUP(B2192,purchase_dataset!$B$2:$F$2241,3,FALSE)</f>
        <v>2</v>
      </c>
      <c r="M2192">
        <f>VLOOKUP(B2192,purchase_dataset!$B$2:$F$2241,3,FALSE)</f>
        <v>2</v>
      </c>
      <c r="N2192">
        <f>VLOOKUP(B2192,purchase_dataset!$B$2:$F$2241,5,FALSE)</f>
        <v>3</v>
      </c>
      <c r="O2192" s="5">
        <v>54</v>
      </c>
      <c r="P2192" s="4" t="str">
        <f t="shared" si="68"/>
        <v>&gt;50</v>
      </c>
      <c r="Q2192" s="4">
        <f>M2192+N2192</f>
        <v>5</v>
      </c>
      <c r="U2192" s="28" t="str" cm="1">
        <f t="array" ref="U2192">_xlfn.IFS(F2192&lt;30000,"30k",F2192&lt;=50000,"30k-50k",F2192&lt;=75000,"50k-75k",F2192&lt;=100000,"75k-100k",F2192&gt;100000,"100k")</f>
        <v>30k</v>
      </c>
      <c r="W2192" s="1">
        <f t="shared" si="69"/>
        <v>12</v>
      </c>
    </row>
    <row r="2193" spans="1:23" x14ac:dyDescent="0.35">
      <c r="A2193">
        <v>2190</v>
      </c>
      <c r="B2193">
        <v>4418</v>
      </c>
      <c r="C2193">
        <v>1983</v>
      </c>
      <c r="D2193" s="1" t="s">
        <v>15</v>
      </c>
      <c r="E2193" s="1" t="s">
        <v>11</v>
      </c>
      <c r="F2193">
        <v>89616</v>
      </c>
      <c r="G2193">
        <v>0</v>
      </c>
      <c r="H2193" s="2">
        <v>0</v>
      </c>
      <c r="I2193" s="2">
        <v>41330</v>
      </c>
      <c r="J2193">
        <v>36</v>
      </c>
      <c r="K2193">
        <f>VLOOKUP(B2193,purchase_dataset!$B$2:$F$2241,2,FALSE)</f>
        <v>47</v>
      </c>
      <c r="L2193">
        <f>VLOOKUP(B2193,purchase_dataset!$B$2:$F$2241,3,FALSE)</f>
        <v>111</v>
      </c>
      <c r="M2193">
        <f>VLOOKUP(B2193,purchase_dataset!$B$2:$F$2241,3,FALSE)</f>
        <v>111</v>
      </c>
      <c r="N2193">
        <f>VLOOKUP(B2193,purchase_dataset!$B$2:$F$2241,5,FALSE)</f>
        <v>12</v>
      </c>
      <c r="O2193" s="5">
        <v>43</v>
      </c>
      <c r="P2193" s="4" t="str">
        <f t="shared" si="68"/>
        <v>30-50</v>
      </c>
      <c r="Q2193" s="4">
        <f>M2193+N2193</f>
        <v>123</v>
      </c>
      <c r="U2193" s="28" t="str" cm="1">
        <f t="array" ref="U2193">_xlfn.IFS(F2193&lt;30000,"30k",F2193&lt;=50000,"30k-50k",F2193&lt;=75000,"50k-75k",F2193&lt;=100000,"75k-100k",F2193&gt;100000,"100k")</f>
        <v>75k-100k</v>
      </c>
      <c r="W2193" s="1">
        <f t="shared" si="69"/>
        <v>13</v>
      </c>
    </row>
    <row r="2194" spans="1:23" x14ac:dyDescent="0.35">
      <c r="A2194">
        <v>2191</v>
      </c>
      <c r="B2194">
        <v>2656</v>
      </c>
      <c r="C2194">
        <v>1971</v>
      </c>
      <c r="D2194" s="1" t="s">
        <v>10</v>
      </c>
      <c r="E2194" s="1" t="s">
        <v>16</v>
      </c>
      <c r="F2194">
        <v>40851</v>
      </c>
      <c r="G2194">
        <v>1</v>
      </c>
      <c r="H2194" s="2">
        <v>1</v>
      </c>
      <c r="I2194" s="2">
        <v>41326</v>
      </c>
      <c r="J2194">
        <v>63</v>
      </c>
      <c r="K2194">
        <f>VLOOKUP(B2194,purchase_dataset!$B$2:$F$2241,2,FALSE)</f>
        <v>1</v>
      </c>
      <c r="L2194">
        <f>VLOOKUP(B2194,purchase_dataset!$B$2:$F$2241,3,FALSE)</f>
        <v>4</v>
      </c>
      <c r="M2194">
        <f>VLOOKUP(B2194,purchase_dataset!$B$2:$F$2241,3,FALSE)</f>
        <v>4</v>
      </c>
      <c r="N2194">
        <f>VLOOKUP(B2194,purchase_dataset!$B$2:$F$2241,5,FALSE)</f>
        <v>2</v>
      </c>
      <c r="O2194" s="5">
        <v>55</v>
      </c>
      <c r="P2194" s="4" t="str">
        <f t="shared" si="68"/>
        <v>&gt;50</v>
      </c>
      <c r="Q2194" s="4">
        <f>M2194+N2194</f>
        <v>6</v>
      </c>
      <c r="U2194" s="28" t="str" cm="1">
        <f t="array" ref="U2194">_xlfn.IFS(F2194&lt;30000,"30k",F2194&lt;=50000,"30k-50k",F2194&lt;=75000,"50k-75k",F2194&lt;=100000,"75k-100k",F2194&gt;100000,"100k")</f>
        <v>30k-50k</v>
      </c>
      <c r="W2194" s="1">
        <f t="shared" si="69"/>
        <v>13</v>
      </c>
    </row>
    <row r="2195" spans="1:23" x14ac:dyDescent="0.35">
      <c r="A2195">
        <v>2192</v>
      </c>
      <c r="B2195">
        <v>7990</v>
      </c>
      <c r="C2195">
        <v>1947</v>
      </c>
      <c r="D2195" s="1" t="s">
        <v>10</v>
      </c>
      <c r="E2195" s="1" t="s">
        <v>14</v>
      </c>
      <c r="F2195">
        <v>27469</v>
      </c>
      <c r="G2195">
        <v>0</v>
      </c>
      <c r="H2195" s="2">
        <v>0</v>
      </c>
      <c r="I2195" s="2">
        <v>41123</v>
      </c>
      <c r="J2195">
        <v>2</v>
      </c>
      <c r="K2195">
        <f>VLOOKUP(B2195,purchase_dataset!$B$2:$F$2241,2,FALSE)</f>
        <v>1</v>
      </c>
      <c r="L2195">
        <f>VLOOKUP(B2195,purchase_dataset!$B$2:$F$2241,3,FALSE)</f>
        <v>2</v>
      </c>
      <c r="M2195">
        <f>VLOOKUP(B2195,purchase_dataset!$B$2:$F$2241,3,FALSE)</f>
        <v>2</v>
      </c>
      <c r="N2195">
        <f>VLOOKUP(B2195,purchase_dataset!$B$2:$F$2241,5,FALSE)</f>
        <v>3</v>
      </c>
      <c r="O2195" s="5">
        <v>79</v>
      </c>
      <c r="P2195" s="4" t="str">
        <f t="shared" si="68"/>
        <v>&gt;50</v>
      </c>
      <c r="Q2195" s="4">
        <f>M2195+N2195</f>
        <v>5</v>
      </c>
      <c r="U2195" s="28" t="str" cm="1">
        <f t="array" ref="U2195">_xlfn.IFS(F2195&lt;30000,"30k",F2195&lt;=50000,"30k-50k",F2195&lt;=75000,"50k-75k",F2195&lt;=100000,"75k-100k",F2195&gt;100000,"100k")</f>
        <v>30k</v>
      </c>
      <c r="W2195" s="1">
        <f t="shared" si="69"/>
        <v>14</v>
      </c>
    </row>
    <row r="2196" spans="1:23" x14ac:dyDescent="0.35">
      <c r="A2196">
        <v>2193</v>
      </c>
      <c r="B2196">
        <v>8722</v>
      </c>
      <c r="C2196">
        <v>1957</v>
      </c>
      <c r="D2196" s="1" t="s">
        <v>18</v>
      </c>
      <c r="E2196" s="1" t="s">
        <v>14</v>
      </c>
      <c r="F2196">
        <v>82347</v>
      </c>
      <c r="G2196">
        <v>0</v>
      </c>
      <c r="H2196" s="2">
        <v>0</v>
      </c>
      <c r="I2196" s="2">
        <v>41219</v>
      </c>
      <c r="J2196">
        <v>38</v>
      </c>
      <c r="K2196">
        <f>VLOOKUP(B2196,purchase_dataset!$B$2:$F$2241,2,FALSE)</f>
        <v>54</v>
      </c>
      <c r="L2196">
        <f>VLOOKUP(B2196,purchase_dataset!$B$2:$F$2241,3,FALSE)</f>
        <v>133</v>
      </c>
      <c r="M2196">
        <f>VLOOKUP(B2196,purchase_dataset!$B$2:$F$2241,3,FALSE)</f>
        <v>133</v>
      </c>
      <c r="N2196">
        <f>VLOOKUP(B2196,purchase_dataset!$B$2:$F$2241,5,FALSE)</f>
        <v>10</v>
      </c>
      <c r="O2196" s="5">
        <v>69</v>
      </c>
      <c r="P2196" s="4" t="str">
        <f t="shared" si="68"/>
        <v>&gt;50</v>
      </c>
      <c r="Q2196" s="4">
        <f>M2196+N2196</f>
        <v>143</v>
      </c>
      <c r="U2196" s="28" t="str" cm="1">
        <f t="array" ref="U2196">_xlfn.IFS(F2196&lt;30000,"30k",F2196&lt;=50000,"30k-50k",F2196&lt;=75000,"50k-75k",F2196&lt;=100000,"75k-100k",F2196&gt;100000,"100k")</f>
        <v>75k-100k</v>
      </c>
      <c r="W2196" s="1">
        <f t="shared" si="69"/>
        <v>14</v>
      </c>
    </row>
    <row r="2197" spans="1:23" x14ac:dyDescent="0.35">
      <c r="A2197">
        <v>2194</v>
      </c>
      <c r="B2197">
        <v>7118</v>
      </c>
      <c r="C2197">
        <v>1957</v>
      </c>
      <c r="D2197" s="1" t="s">
        <v>10</v>
      </c>
      <c r="E2197" s="1" t="s">
        <v>14</v>
      </c>
      <c r="F2197">
        <v>73803</v>
      </c>
      <c r="G2197">
        <v>0</v>
      </c>
      <c r="H2197" s="2">
        <v>1</v>
      </c>
      <c r="I2197" s="2">
        <v>41122</v>
      </c>
      <c r="J2197">
        <v>61</v>
      </c>
      <c r="K2197">
        <f>VLOOKUP(B2197,purchase_dataset!$B$2:$F$2241,2,FALSE)</f>
        <v>80</v>
      </c>
      <c r="L2197">
        <f>VLOOKUP(B2197,purchase_dataset!$B$2:$F$2241,3,FALSE)</f>
        <v>26</v>
      </c>
      <c r="M2197">
        <f>VLOOKUP(B2197,purchase_dataset!$B$2:$F$2241,3,FALSE)</f>
        <v>26</v>
      </c>
      <c r="N2197">
        <f>VLOOKUP(B2197,purchase_dataset!$B$2:$F$2241,5,FALSE)</f>
        <v>6</v>
      </c>
      <c r="O2197" s="5">
        <v>69</v>
      </c>
      <c r="P2197" s="4" t="str">
        <f t="shared" si="68"/>
        <v>&gt;50</v>
      </c>
      <c r="Q2197" s="4">
        <f>M2197+N2197</f>
        <v>32</v>
      </c>
      <c r="U2197" s="28" t="str" cm="1">
        <f t="array" ref="U2197">_xlfn.IFS(F2197&lt;30000,"30k",F2197&lt;=50000,"30k-50k",F2197&lt;=75000,"50k-75k",F2197&lt;=100000,"75k-100k",F2197&gt;100000,"100k")</f>
        <v>50k-75k</v>
      </c>
      <c r="W2197" s="1">
        <f t="shared" si="69"/>
        <v>14</v>
      </c>
    </row>
    <row r="2198" spans="1:23" x14ac:dyDescent="0.35">
      <c r="A2198">
        <v>2195</v>
      </c>
      <c r="B2198">
        <v>2980</v>
      </c>
      <c r="C2198">
        <v>1952</v>
      </c>
      <c r="D2198" s="1" t="s">
        <v>15</v>
      </c>
      <c r="E2198" s="1" t="s">
        <v>11</v>
      </c>
      <c r="F2198">
        <v>8820</v>
      </c>
      <c r="G2198">
        <v>1</v>
      </c>
      <c r="H2198" s="2">
        <v>1</v>
      </c>
      <c r="I2198" s="2">
        <v>41355</v>
      </c>
      <c r="J2198">
        <v>52</v>
      </c>
      <c r="K2198">
        <f>VLOOKUP(B2198,purchase_dataset!$B$2:$F$2241,2,FALSE)</f>
        <v>0</v>
      </c>
      <c r="L2198">
        <f>VLOOKUP(B2198,purchase_dataset!$B$2:$F$2241,3,FALSE)</f>
        <v>2</v>
      </c>
      <c r="M2198">
        <f>VLOOKUP(B2198,purchase_dataset!$B$2:$F$2241,3,FALSE)</f>
        <v>2</v>
      </c>
      <c r="N2198">
        <f>VLOOKUP(B2198,purchase_dataset!$B$2:$F$2241,5,FALSE)</f>
        <v>3</v>
      </c>
      <c r="O2198" s="5">
        <v>74</v>
      </c>
      <c r="P2198" s="4" t="str">
        <f t="shared" si="68"/>
        <v>&gt;50</v>
      </c>
      <c r="Q2198" s="4">
        <f>M2198+N2198</f>
        <v>5</v>
      </c>
      <c r="U2198" s="28" t="str" cm="1">
        <f t="array" ref="U2198">_xlfn.IFS(F2198&lt;30000,"30k",F2198&lt;=50000,"30k-50k",F2198&lt;=75000,"50k-75k",F2198&lt;=100000,"75k-100k",F2198&gt;100000,"100k")</f>
        <v>30k</v>
      </c>
      <c r="W2198" s="1">
        <f t="shared" si="69"/>
        <v>13</v>
      </c>
    </row>
    <row r="2199" spans="1:23" x14ac:dyDescent="0.35">
      <c r="A2199">
        <v>2196</v>
      </c>
      <c r="B2199">
        <v>1839</v>
      </c>
      <c r="C2199">
        <v>1974</v>
      </c>
      <c r="D2199" s="1" t="s">
        <v>10</v>
      </c>
      <c r="E2199" s="1" t="s">
        <v>11</v>
      </c>
      <c r="F2199">
        <v>43322</v>
      </c>
      <c r="G2199">
        <v>0</v>
      </c>
      <c r="H2199" s="2">
        <v>0</v>
      </c>
      <c r="I2199" s="2">
        <v>41750</v>
      </c>
      <c r="J2199">
        <v>25</v>
      </c>
      <c r="K2199">
        <f>VLOOKUP(B2199,purchase_dataset!$B$2:$F$2241,2,FALSE)</f>
        <v>7</v>
      </c>
      <c r="L2199">
        <f>VLOOKUP(B2199,purchase_dataset!$B$2:$F$2241,3,FALSE)</f>
        <v>2</v>
      </c>
      <c r="M2199">
        <f>VLOOKUP(B2199,purchase_dataset!$B$2:$F$2241,3,FALSE)</f>
        <v>2</v>
      </c>
      <c r="N2199">
        <f>VLOOKUP(B2199,purchase_dataset!$B$2:$F$2241,5,FALSE)</f>
        <v>4</v>
      </c>
      <c r="O2199" s="5">
        <v>52</v>
      </c>
      <c r="P2199" s="4" t="str">
        <f t="shared" si="68"/>
        <v>&gt;50</v>
      </c>
      <c r="Q2199" s="4">
        <f>M2199+N2199</f>
        <v>6</v>
      </c>
      <c r="U2199" s="28" t="str" cm="1">
        <f t="array" ref="U2199">_xlfn.IFS(F2199&lt;30000,"30k",F2199&lt;=50000,"30k-50k",F2199&lt;=75000,"50k-75k",F2199&lt;=100000,"75k-100k",F2199&gt;100000,"100k")</f>
        <v>30k-50k</v>
      </c>
      <c r="W2199" s="1">
        <f t="shared" si="69"/>
        <v>12</v>
      </c>
    </row>
    <row r="2200" spans="1:23" x14ac:dyDescent="0.35">
      <c r="A2200">
        <v>2197</v>
      </c>
      <c r="B2200">
        <v>10722</v>
      </c>
      <c r="C2200">
        <v>1973</v>
      </c>
      <c r="D2200" s="1" t="s">
        <v>10</v>
      </c>
      <c r="E2200" s="1" t="s">
        <v>12</v>
      </c>
      <c r="F2200">
        <v>55593</v>
      </c>
      <c r="G2200">
        <v>0</v>
      </c>
      <c r="H2200" s="2">
        <v>1</v>
      </c>
      <c r="I2200" s="2">
        <v>41507</v>
      </c>
      <c r="J2200">
        <v>63</v>
      </c>
      <c r="K2200">
        <f>VLOOKUP(B2200,purchase_dataset!$B$2:$F$2241,2,FALSE)</f>
        <v>8</v>
      </c>
      <c r="L2200">
        <f>VLOOKUP(B2200,purchase_dataset!$B$2:$F$2241,3,FALSE)</f>
        <v>4</v>
      </c>
      <c r="M2200">
        <f>VLOOKUP(B2200,purchase_dataset!$B$2:$F$2241,3,FALSE)</f>
        <v>4</v>
      </c>
      <c r="N2200">
        <f>VLOOKUP(B2200,purchase_dataset!$B$2:$F$2241,5,FALSE)</f>
        <v>3</v>
      </c>
      <c r="O2200" s="5">
        <v>53</v>
      </c>
      <c r="P2200" s="4" t="str">
        <f t="shared" si="68"/>
        <v>&gt;50</v>
      </c>
      <c r="Q2200" s="4">
        <f>M2200+N2200</f>
        <v>7</v>
      </c>
      <c r="U2200" s="28" t="str" cm="1">
        <f t="array" ref="U2200">_xlfn.IFS(F2200&lt;30000,"30k",F2200&lt;=50000,"30k-50k",F2200&lt;=75000,"50k-75k",F2200&lt;=100000,"75k-100k",F2200&gt;100000,"100k")</f>
        <v>50k-75k</v>
      </c>
      <c r="W2200" s="1">
        <f t="shared" si="69"/>
        <v>13</v>
      </c>
    </row>
    <row r="2201" spans="1:23" x14ac:dyDescent="0.35">
      <c r="A2201">
        <v>2198</v>
      </c>
      <c r="B2201">
        <v>2632</v>
      </c>
      <c r="C2201">
        <v>1954</v>
      </c>
      <c r="D2201" s="1" t="s">
        <v>10</v>
      </c>
      <c r="E2201" s="1" t="s">
        <v>14</v>
      </c>
      <c r="F2201">
        <v>50501</v>
      </c>
      <c r="G2201">
        <v>1</v>
      </c>
      <c r="H2201" s="2">
        <v>1</v>
      </c>
      <c r="I2201" s="2">
        <v>41443</v>
      </c>
      <c r="J2201">
        <v>10</v>
      </c>
      <c r="K2201">
        <f>VLOOKUP(B2201,purchase_dataset!$B$2:$F$2241,2,FALSE)</f>
        <v>0</v>
      </c>
      <c r="L2201">
        <f>VLOOKUP(B2201,purchase_dataset!$B$2:$F$2241,3,FALSE)</f>
        <v>0</v>
      </c>
      <c r="M2201">
        <f>VLOOKUP(B2201,purchase_dataset!$B$2:$F$2241,3,FALSE)</f>
        <v>0</v>
      </c>
      <c r="N2201">
        <f>VLOOKUP(B2201,purchase_dataset!$B$2:$F$2241,5,FALSE)</f>
        <v>4</v>
      </c>
      <c r="O2201" s="5">
        <v>72</v>
      </c>
      <c r="P2201" s="4" t="str">
        <f t="shared" si="68"/>
        <v>&gt;50</v>
      </c>
      <c r="Q2201" s="4">
        <f>M2201+N2201</f>
        <v>4</v>
      </c>
      <c r="U2201" s="28" t="str" cm="1">
        <f t="array" ref="U2201">_xlfn.IFS(F2201&lt;30000,"30k",F2201&lt;=50000,"30k-50k",F2201&lt;=75000,"50k-75k",F2201&lt;=100000,"75k-100k",F2201&gt;100000,"100k")</f>
        <v>50k-75k</v>
      </c>
      <c r="W2201" s="1">
        <f t="shared" si="69"/>
        <v>13</v>
      </c>
    </row>
    <row r="2202" spans="1:23" x14ac:dyDescent="0.35">
      <c r="A2202">
        <v>2199</v>
      </c>
      <c r="B2202">
        <v>9014</v>
      </c>
      <c r="C2202">
        <v>1975</v>
      </c>
      <c r="D2202" s="1" t="s">
        <v>10</v>
      </c>
      <c r="E2202" s="1" t="s">
        <v>14</v>
      </c>
      <c r="F2202">
        <v>37085</v>
      </c>
      <c r="G2202">
        <v>1</v>
      </c>
      <c r="H2202" s="2">
        <v>1</v>
      </c>
      <c r="I2202" s="2">
        <v>41816</v>
      </c>
      <c r="J2202">
        <v>65</v>
      </c>
      <c r="K2202">
        <f>VLOOKUP(B2202,purchase_dataset!$B$2:$F$2241,2,FALSE)</f>
        <v>1</v>
      </c>
      <c r="L2202">
        <f>VLOOKUP(B2202,purchase_dataset!$B$2:$F$2241,3,FALSE)</f>
        <v>0</v>
      </c>
      <c r="M2202">
        <f>VLOOKUP(B2202,purchase_dataset!$B$2:$F$2241,3,FALSE)</f>
        <v>0</v>
      </c>
      <c r="N2202">
        <f>VLOOKUP(B2202,purchase_dataset!$B$2:$F$2241,5,FALSE)</f>
        <v>3</v>
      </c>
      <c r="O2202" s="5">
        <v>51</v>
      </c>
      <c r="P2202" s="4" t="str">
        <f t="shared" si="68"/>
        <v>&gt;50</v>
      </c>
      <c r="Q2202" s="4">
        <f>M2202+N2202</f>
        <v>3</v>
      </c>
      <c r="U2202" s="28" t="str" cm="1">
        <f t="array" ref="U2202">_xlfn.IFS(F2202&lt;30000,"30k",F2202&lt;=50000,"30k-50k",F2202&lt;=75000,"50k-75k",F2202&lt;=100000,"75k-100k",F2202&gt;100000,"100k")</f>
        <v>30k-50k</v>
      </c>
      <c r="W2202" s="1">
        <f t="shared" si="69"/>
        <v>12</v>
      </c>
    </row>
    <row r="2203" spans="1:23" x14ac:dyDescent="0.35">
      <c r="A2203">
        <v>2200</v>
      </c>
      <c r="B2203">
        <v>7620</v>
      </c>
      <c r="C2203">
        <v>1990</v>
      </c>
      <c r="D2203" s="1" t="s">
        <v>17</v>
      </c>
      <c r="E2203" s="1" t="s">
        <v>11</v>
      </c>
      <c r="F2203">
        <v>16185</v>
      </c>
      <c r="G2203">
        <v>1</v>
      </c>
      <c r="H2203" s="2">
        <v>0</v>
      </c>
      <c r="I2203" s="2">
        <v>41491</v>
      </c>
      <c r="J2203">
        <v>71</v>
      </c>
      <c r="K2203">
        <f>VLOOKUP(B2203,purchase_dataset!$B$2:$F$2241,2,FALSE)</f>
        <v>11</v>
      </c>
      <c r="L2203">
        <f>VLOOKUP(B2203,purchase_dataset!$B$2:$F$2241,3,FALSE)</f>
        <v>8</v>
      </c>
      <c r="M2203">
        <f>VLOOKUP(B2203,purchase_dataset!$B$2:$F$2241,3,FALSE)</f>
        <v>8</v>
      </c>
      <c r="N2203">
        <f>VLOOKUP(B2203,purchase_dataset!$B$2:$F$2241,5,FALSE)</f>
        <v>2</v>
      </c>
      <c r="O2203" s="5">
        <v>36</v>
      </c>
      <c r="P2203" s="4" t="str">
        <f t="shared" si="68"/>
        <v>30-50</v>
      </c>
      <c r="Q2203" s="4">
        <f>M2203+N2203</f>
        <v>10</v>
      </c>
      <c r="U2203" s="28" t="str" cm="1">
        <f t="array" ref="U2203">_xlfn.IFS(F2203&lt;30000,"30k",F2203&lt;=50000,"30k-50k",F2203&lt;=75000,"50k-75k",F2203&lt;=100000,"75k-100k",F2203&gt;100000,"100k")</f>
        <v>30k</v>
      </c>
      <c r="W2203" s="1">
        <f t="shared" si="69"/>
        <v>13</v>
      </c>
    </row>
    <row r="2204" spans="1:23" x14ac:dyDescent="0.35">
      <c r="A2204">
        <v>2201</v>
      </c>
      <c r="B2204">
        <v>10968</v>
      </c>
      <c r="C2204">
        <v>1969</v>
      </c>
      <c r="D2204" s="1" t="s">
        <v>10</v>
      </c>
      <c r="E2204" s="1" t="s">
        <v>11</v>
      </c>
      <c r="F2204">
        <v>57731</v>
      </c>
      <c r="G2204">
        <v>0</v>
      </c>
      <c r="H2204" s="2">
        <v>1</v>
      </c>
      <c r="I2204" s="2">
        <v>41236</v>
      </c>
      <c r="J2204">
        <v>0</v>
      </c>
      <c r="K2204">
        <f>VLOOKUP(B2204,purchase_dataset!$B$2:$F$2241,2,FALSE)</f>
        <v>21</v>
      </c>
      <c r="L2204">
        <f>VLOOKUP(B2204,purchase_dataset!$B$2:$F$2241,3,FALSE)</f>
        <v>8</v>
      </c>
      <c r="M2204">
        <f>VLOOKUP(B2204,purchase_dataset!$B$2:$F$2241,3,FALSE)</f>
        <v>8</v>
      </c>
      <c r="N2204">
        <f>VLOOKUP(B2204,purchase_dataset!$B$2:$F$2241,5,FALSE)</f>
        <v>6</v>
      </c>
      <c r="O2204" s="5">
        <v>57</v>
      </c>
      <c r="P2204" s="4" t="str">
        <f t="shared" si="68"/>
        <v>&gt;50</v>
      </c>
      <c r="Q2204" s="4">
        <f>M2204+N2204</f>
        <v>14</v>
      </c>
      <c r="U2204" s="28" t="str" cm="1">
        <f t="array" ref="U2204">_xlfn.IFS(F2204&lt;30000,"30k",F2204&lt;=50000,"30k-50k",F2204&lt;=75000,"50k-75k",F2204&lt;=100000,"75k-100k",F2204&gt;100000,"100k")</f>
        <v>50k-75k</v>
      </c>
      <c r="W2204" s="1">
        <f t="shared" si="69"/>
        <v>14</v>
      </c>
    </row>
    <row r="2205" spans="1:23" x14ac:dyDescent="0.35">
      <c r="A2205">
        <v>2202</v>
      </c>
      <c r="B2205">
        <v>11133</v>
      </c>
      <c r="C2205">
        <v>1973</v>
      </c>
      <c r="D2205" s="1" t="s">
        <v>13</v>
      </c>
      <c r="E2205" s="1" t="s">
        <v>22</v>
      </c>
      <c r="F2205">
        <v>48432</v>
      </c>
      <c r="G2205">
        <v>0</v>
      </c>
      <c r="H2205" s="2">
        <v>1</v>
      </c>
      <c r="I2205" s="2">
        <v>41200</v>
      </c>
      <c r="J2205">
        <v>3</v>
      </c>
      <c r="K2205">
        <f>VLOOKUP(B2205,purchase_dataset!$B$2:$F$2241,2,FALSE)</f>
        <v>3</v>
      </c>
      <c r="L2205">
        <f>VLOOKUP(B2205,purchase_dataset!$B$2:$F$2241,3,FALSE)</f>
        <v>3</v>
      </c>
      <c r="M2205">
        <f>VLOOKUP(B2205,purchase_dataset!$B$2:$F$2241,3,FALSE)</f>
        <v>3</v>
      </c>
      <c r="N2205">
        <f>VLOOKUP(B2205,purchase_dataset!$B$2:$F$2241,5,FALSE)</f>
        <v>6</v>
      </c>
      <c r="O2205" s="5">
        <v>53</v>
      </c>
      <c r="P2205" s="4" t="str">
        <f t="shared" si="68"/>
        <v>&gt;50</v>
      </c>
      <c r="Q2205" s="4">
        <f>M2205+N2205</f>
        <v>9</v>
      </c>
      <c r="U2205" s="28" t="str" cm="1">
        <f t="array" ref="U2205">_xlfn.IFS(F2205&lt;30000,"30k",F2205&lt;=50000,"30k-50k",F2205&lt;=75000,"50k-75k",F2205&lt;=100000,"75k-100k",F2205&gt;100000,"100k")</f>
        <v>30k-50k</v>
      </c>
      <c r="W2205" s="1">
        <f t="shared" si="69"/>
        <v>14</v>
      </c>
    </row>
    <row r="2206" spans="1:23" x14ac:dyDescent="0.35">
      <c r="A2206">
        <v>2203</v>
      </c>
      <c r="B2206">
        <v>2736</v>
      </c>
      <c r="C2206">
        <v>1978</v>
      </c>
      <c r="D2206" s="1" t="s">
        <v>10</v>
      </c>
      <c r="E2206" s="1" t="s">
        <v>14</v>
      </c>
      <c r="F2206">
        <v>73807</v>
      </c>
      <c r="G2206">
        <v>0</v>
      </c>
      <c r="H2206" s="2">
        <v>1</v>
      </c>
      <c r="I2206" s="2">
        <v>41276</v>
      </c>
      <c r="J2206">
        <v>88</v>
      </c>
      <c r="K2206">
        <f>VLOOKUP(B2206,purchase_dataset!$B$2:$F$2241,2,FALSE)</f>
        <v>124</v>
      </c>
      <c r="L2206">
        <f>VLOOKUP(B2206,purchase_dataset!$B$2:$F$2241,3,FALSE)</f>
        <v>78</v>
      </c>
      <c r="M2206">
        <f>VLOOKUP(B2206,purchase_dataset!$B$2:$F$2241,3,FALSE)</f>
        <v>78</v>
      </c>
      <c r="N2206">
        <f>VLOOKUP(B2206,purchase_dataset!$B$2:$F$2241,5,FALSE)</f>
        <v>11</v>
      </c>
      <c r="O2206" s="5">
        <v>48</v>
      </c>
      <c r="P2206" s="4" t="str">
        <f t="shared" si="68"/>
        <v>30-50</v>
      </c>
      <c r="Q2206" s="4">
        <f>M2206+N2206</f>
        <v>89</v>
      </c>
      <c r="U2206" s="28" t="str" cm="1">
        <f t="array" ref="U2206">_xlfn.IFS(F2206&lt;30000,"30k",F2206&lt;=50000,"30k-50k",F2206&lt;=75000,"50k-75k",F2206&lt;=100000,"75k-100k",F2206&gt;100000,"100k")</f>
        <v>50k-75k</v>
      </c>
      <c r="W2206" s="1">
        <f t="shared" si="69"/>
        <v>13</v>
      </c>
    </row>
    <row r="2207" spans="1:23" x14ac:dyDescent="0.35">
      <c r="A2207">
        <v>2204</v>
      </c>
      <c r="B2207">
        <v>1876</v>
      </c>
      <c r="C2207">
        <v>1990</v>
      </c>
      <c r="D2207" s="1" t="s">
        <v>10</v>
      </c>
      <c r="E2207" s="1" t="s">
        <v>14</v>
      </c>
      <c r="F2207">
        <v>18929</v>
      </c>
      <c r="G2207">
        <v>0</v>
      </c>
      <c r="H2207" s="2">
        <v>0</v>
      </c>
      <c r="I2207" s="2">
        <v>41321</v>
      </c>
      <c r="J2207">
        <v>15</v>
      </c>
      <c r="K2207">
        <f>VLOOKUP(B2207,purchase_dataset!$B$2:$F$2241,2,FALSE)</f>
        <v>0</v>
      </c>
      <c r="L2207">
        <f>VLOOKUP(B2207,purchase_dataset!$B$2:$F$2241,3,FALSE)</f>
        <v>4</v>
      </c>
      <c r="M2207">
        <f>VLOOKUP(B2207,purchase_dataset!$B$2:$F$2241,3,FALSE)</f>
        <v>4</v>
      </c>
      <c r="N2207">
        <f>VLOOKUP(B2207,purchase_dataset!$B$2:$F$2241,5,FALSE)</f>
        <v>4</v>
      </c>
      <c r="O2207" s="5">
        <v>36</v>
      </c>
      <c r="P2207" s="4" t="str">
        <f t="shared" si="68"/>
        <v>30-50</v>
      </c>
      <c r="Q2207" s="4">
        <f>M2207+N2207</f>
        <v>8</v>
      </c>
      <c r="U2207" s="28" t="str" cm="1">
        <f t="array" ref="U2207">_xlfn.IFS(F2207&lt;30000,"30k",F2207&lt;=50000,"30k-50k",F2207&lt;=75000,"50k-75k",F2207&lt;=100000,"75k-100k",F2207&gt;100000,"100k")</f>
        <v>30k</v>
      </c>
      <c r="W2207" s="1">
        <f t="shared" si="69"/>
        <v>13</v>
      </c>
    </row>
    <row r="2208" spans="1:23" x14ac:dyDescent="0.35">
      <c r="A2208">
        <v>2205</v>
      </c>
      <c r="B2208">
        <v>5959</v>
      </c>
      <c r="C2208">
        <v>1968</v>
      </c>
      <c r="D2208" s="1" t="s">
        <v>10</v>
      </c>
      <c r="E2208" s="1" t="s">
        <v>11</v>
      </c>
      <c r="F2208">
        <v>35893</v>
      </c>
      <c r="G2208">
        <v>1</v>
      </c>
      <c r="H2208" s="2">
        <v>1</v>
      </c>
      <c r="I2208" s="2">
        <v>41197</v>
      </c>
      <c r="J2208">
        <v>80</v>
      </c>
      <c r="K2208">
        <f>VLOOKUP(B2208,purchase_dataset!$B$2:$F$2241,2,FALSE)</f>
        <v>0</v>
      </c>
      <c r="L2208">
        <f>VLOOKUP(B2208,purchase_dataset!$B$2:$F$2241,3,FALSE)</f>
        <v>0</v>
      </c>
      <c r="M2208">
        <f>VLOOKUP(B2208,purchase_dataset!$B$2:$F$2241,3,FALSE)</f>
        <v>0</v>
      </c>
      <c r="N2208">
        <f>VLOOKUP(B2208,purchase_dataset!$B$2:$F$2241,5,FALSE)</f>
        <v>5</v>
      </c>
      <c r="O2208" s="5">
        <v>58</v>
      </c>
      <c r="P2208" s="4" t="str">
        <f t="shared" si="68"/>
        <v>&gt;50</v>
      </c>
      <c r="Q2208" s="4">
        <f>M2208+N2208</f>
        <v>5</v>
      </c>
      <c r="U2208" s="28" t="str" cm="1">
        <f t="array" ref="U2208">_xlfn.IFS(F2208&lt;30000,"30k",F2208&lt;=50000,"30k-50k",F2208&lt;=75000,"50k-75k",F2208&lt;=100000,"75k-100k",F2208&gt;100000,"100k")</f>
        <v>30k-50k</v>
      </c>
      <c r="W2208" s="1">
        <f t="shared" si="69"/>
        <v>14</v>
      </c>
    </row>
    <row r="2209" spans="1:23" x14ac:dyDescent="0.35">
      <c r="A2209">
        <v>2206</v>
      </c>
      <c r="B2209">
        <v>1092</v>
      </c>
      <c r="C2209">
        <v>1980</v>
      </c>
      <c r="D2209" s="1" t="s">
        <v>10</v>
      </c>
      <c r="E2209" s="1" t="s">
        <v>14</v>
      </c>
      <c r="F2209">
        <v>61014</v>
      </c>
      <c r="G2209">
        <v>0</v>
      </c>
      <c r="H2209" s="2">
        <v>1</v>
      </c>
      <c r="I2209" s="2">
        <v>41132</v>
      </c>
      <c r="J2209">
        <v>17</v>
      </c>
      <c r="K2209">
        <f>VLOOKUP(B2209,purchase_dataset!$B$2:$F$2241,2,FALSE)</f>
        <v>129</v>
      </c>
      <c r="L2209">
        <f>VLOOKUP(B2209,purchase_dataset!$B$2:$F$2241,3,FALSE)</f>
        <v>43</v>
      </c>
      <c r="M2209">
        <f>VLOOKUP(B2209,purchase_dataset!$B$2:$F$2241,3,FALSE)</f>
        <v>43</v>
      </c>
      <c r="N2209">
        <f>VLOOKUP(B2209,purchase_dataset!$B$2:$F$2241,5,FALSE)</f>
        <v>4</v>
      </c>
      <c r="O2209" s="5">
        <v>46</v>
      </c>
      <c r="P2209" s="4" t="str">
        <f t="shared" si="68"/>
        <v>30-50</v>
      </c>
      <c r="Q2209" s="4">
        <f>M2209+N2209</f>
        <v>47</v>
      </c>
      <c r="U2209" s="28" t="str" cm="1">
        <f t="array" ref="U2209">_xlfn.IFS(F2209&lt;30000,"30k",F2209&lt;=50000,"30k-50k",F2209&lt;=75000,"50k-75k",F2209&lt;=100000,"75k-100k",F2209&gt;100000,"100k")</f>
        <v>50k-75k</v>
      </c>
      <c r="W2209" s="1">
        <f t="shared" si="69"/>
        <v>14</v>
      </c>
    </row>
    <row r="2210" spans="1:23" x14ac:dyDescent="0.35">
      <c r="A2210">
        <v>2207</v>
      </c>
      <c r="B2210">
        <v>4333</v>
      </c>
      <c r="C2210">
        <v>1954</v>
      </c>
      <c r="D2210" s="1" t="s">
        <v>10</v>
      </c>
      <c r="E2210" s="1" t="s">
        <v>12</v>
      </c>
      <c r="F2210">
        <v>32144</v>
      </c>
      <c r="G2210">
        <v>1</v>
      </c>
      <c r="H2210" s="2">
        <v>1</v>
      </c>
      <c r="I2210" s="2">
        <v>41721</v>
      </c>
      <c r="J2210">
        <v>76</v>
      </c>
      <c r="K2210">
        <f>VLOOKUP(B2210,purchase_dataset!$B$2:$F$2241,2,FALSE)</f>
        <v>0</v>
      </c>
      <c r="L2210">
        <f>VLOOKUP(B2210,purchase_dataset!$B$2:$F$2241,3,FALSE)</f>
        <v>0</v>
      </c>
      <c r="M2210">
        <f>VLOOKUP(B2210,purchase_dataset!$B$2:$F$2241,3,FALSE)</f>
        <v>0</v>
      </c>
      <c r="N2210">
        <f>VLOOKUP(B2210,purchase_dataset!$B$2:$F$2241,5,FALSE)</f>
        <v>3</v>
      </c>
      <c r="O2210" s="5">
        <v>72</v>
      </c>
      <c r="P2210" s="4" t="str">
        <f t="shared" si="68"/>
        <v>&gt;50</v>
      </c>
      <c r="Q2210" s="4">
        <f>M2210+N2210</f>
        <v>3</v>
      </c>
      <c r="U2210" s="28" t="str" cm="1">
        <f t="array" ref="U2210">_xlfn.IFS(F2210&lt;30000,"30k",F2210&lt;=50000,"30k-50k",F2210&lt;=75000,"50k-75k",F2210&lt;=100000,"75k-100k",F2210&gt;100000,"100k")</f>
        <v>30k-50k</v>
      </c>
      <c r="W2210" s="1">
        <f t="shared" si="69"/>
        <v>12</v>
      </c>
    </row>
    <row r="2211" spans="1:23" x14ac:dyDescent="0.35">
      <c r="A2211">
        <v>2208</v>
      </c>
      <c r="B2211">
        <v>3850</v>
      </c>
      <c r="C2211">
        <v>1963</v>
      </c>
      <c r="D2211" s="1" t="s">
        <v>17</v>
      </c>
      <c r="E2211" s="1" t="s">
        <v>12</v>
      </c>
      <c r="F2211">
        <v>14918</v>
      </c>
      <c r="G2211">
        <v>0</v>
      </c>
      <c r="H2211" s="2">
        <v>1</v>
      </c>
      <c r="I2211" s="2">
        <v>41250</v>
      </c>
      <c r="J2211">
        <v>52</v>
      </c>
      <c r="K2211">
        <f>VLOOKUP(B2211,purchase_dataset!$B$2:$F$2241,2,FALSE)</f>
        <v>3</v>
      </c>
      <c r="L2211">
        <f>VLOOKUP(B2211,purchase_dataset!$B$2:$F$2241,3,FALSE)</f>
        <v>4</v>
      </c>
      <c r="M2211">
        <f>VLOOKUP(B2211,purchase_dataset!$B$2:$F$2241,3,FALSE)</f>
        <v>4</v>
      </c>
      <c r="N2211">
        <f>VLOOKUP(B2211,purchase_dataset!$B$2:$F$2241,5,FALSE)</f>
        <v>3</v>
      </c>
      <c r="O2211" s="5">
        <v>63</v>
      </c>
      <c r="P2211" s="4" t="str">
        <f t="shared" si="68"/>
        <v>&gt;50</v>
      </c>
      <c r="Q2211" s="4">
        <f>M2211+N2211</f>
        <v>7</v>
      </c>
      <c r="U2211" s="28" t="str" cm="1">
        <f t="array" ref="U2211">_xlfn.IFS(F2211&lt;30000,"30k",F2211&lt;=50000,"30k-50k",F2211&lt;=75000,"50k-75k",F2211&lt;=100000,"75k-100k",F2211&gt;100000,"100k")</f>
        <v>30k</v>
      </c>
      <c r="W2211" s="1">
        <f t="shared" si="69"/>
        <v>14</v>
      </c>
    </row>
    <row r="2212" spans="1:23" x14ac:dyDescent="0.35">
      <c r="A2212">
        <v>2209</v>
      </c>
      <c r="B2212">
        <v>6168</v>
      </c>
      <c r="C2212">
        <v>1963</v>
      </c>
      <c r="D2212" s="1" t="s">
        <v>10</v>
      </c>
      <c r="E2212" s="1" t="s">
        <v>16</v>
      </c>
      <c r="F2212">
        <v>45146</v>
      </c>
      <c r="G2212">
        <v>1</v>
      </c>
      <c r="H2212" s="2">
        <v>1</v>
      </c>
      <c r="I2212" s="2">
        <v>41470</v>
      </c>
      <c r="J2212">
        <v>28</v>
      </c>
      <c r="K2212">
        <f>VLOOKUP(B2212,purchase_dataset!$B$2:$F$2241,2,FALSE)</f>
        <v>0</v>
      </c>
      <c r="L2212">
        <f>VLOOKUP(B2212,purchase_dataset!$B$2:$F$2241,3,FALSE)</f>
        <v>0</v>
      </c>
      <c r="M2212">
        <f>VLOOKUP(B2212,purchase_dataset!$B$2:$F$2241,3,FALSE)</f>
        <v>0</v>
      </c>
      <c r="N2212">
        <f>VLOOKUP(B2212,purchase_dataset!$B$2:$F$2241,5,FALSE)</f>
        <v>2</v>
      </c>
      <c r="O2212" s="5">
        <v>63</v>
      </c>
      <c r="P2212" s="4" t="str">
        <f t="shared" si="68"/>
        <v>&gt;50</v>
      </c>
      <c r="Q2212" s="4">
        <f>M2212+N2212</f>
        <v>2</v>
      </c>
      <c r="U2212" s="28" t="str" cm="1">
        <f t="array" ref="U2212">_xlfn.IFS(F2212&lt;30000,"30k",F2212&lt;=50000,"30k-50k",F2212&lt;=75000,"50k-75k",F2212&lt;=100000,"75k-100k",F2212&gt;100000,"100k")</f>
        <v>30k-50k</v>
      </c>
      <c r="W2212" s="1">
        <f t="shared" si="69"/>
        <v>13</v>
      </c>
    </row>
    <row r="2213" spans="1:23" x14ac:dyDescent="0.35">
      <c r="A2213">
        <v>2210</v>
      </c>
      <c r="B2213">
        <v>607</v>
      </c>
      <c r="C2213">
        <v>1955</v>
      </c>
      <c r="D2213" s="1" t="s">
        <v>18</v>
      </c>
      <c r="E2213" s="1" t="s">
        <v>16</v>
      </c>
      <c r="F2213">
        <v>41769</v>
      </c>
      <c r="G2213">
        <v>0</v>
      </c>
      <c r="H2213" s="2">
        <v>1</v>
      </c>
      <c r="I2213" s="2">
        <v>41318</v>
      </c>
      <c r="J2213">
        <v>31</v>
      </c>
      <c r="K2213">
        <f>VLOOKUP(B2213,purchase_dataset!$B$2:$F$2241,2,FALSE)</f>
        <v>29</v>
      </c>
      <c r="L2213">
        <f>VLOOKUP(B2213,purchase_dataset!$B$2:$F$2241,3,FALSE)</f>
        <v>0</v>
      </c>
      <c r="M2213">
        <f>VLOOKUP(B2213,purchase_dataset!$B$2:$F$2241,3,FALSE)</f>
        <v>0</v>
      </c>
      <c r="N2213">
        <f>VLOOKUP(B2213,purchase_dataset!$B$2:$F$2241,5,FALSE)</f>
        <v>7</v>
      </c>
      <c r="O2213" s="5">
        <v>71</v>
      </c>
      <c r="P2213" s="4" t="str">
        <f t="shared" si="68"/>
        <v>&gt;50</v>
      </c>
      <c r="Q2213" s="4">
        <f>M2213+N2213</f>
        <v>7</v>
      </c>
      <c r="U2213" s="28" t="str" cm="1">
        <f t="array" ref="U2213">_xlfn.IFS(F2213&lt;30000,"30k",F2213&lt;=50000,"30k-50k",F2213&lt;=75000,"50k-75k",F2213&lt;=100000,"75k-100k",F2213&gt;100000,"100k")</f>
        <v>30k-50k</v>
      </c>
      <c r="W2213" s="1">
        <f t="shared" si="69"/>
        <v>13</v>
      </c>
    </row>
    <row r="2214" spans="1:23" x14ac:dyDescent="0.35">
      <c r="A2214">
        <v>2211</v>
      </c>
      <c r="B2214">
        <v>10469</v>
      </c>
      <c r="C2214">
        <v>1981</v>
      </c>
      <c r="D2214" s="1" t="s">
        <v>10</v>
      </c>
      <c r="E2214" s="1" t="s">
        <v>12</v>
      </c>
      <c r="F2214">
        <v>88325</v>
      </c>
      <c r="G2214">
        <v>0</v>
      </c>
      <c r="H2214" s="2">
        <v>0</v>
      </c>
      <c r="I2214" s="2">
        <v>41675</v>
      </c>
      <c r="J2214">
        <v>42</v>
      </c>
      <c r="K2214">
        <f>VLOOKUP(B2214,purchase_dataset!$B$2:$F$2241,2,FALSE)</f>
        <v>71</v>
      </c>
      <c r="L2214">
        <f>VLOOKUP(B2214,purchase_dataset!$B$2:$F$2241,3,FALSE)</f>
        <v>27</v>
      </c>
      <c r="M2214">
        <f>VLOOKUP(B2214,purchase_dataset!$B$2:$F$2241,3,FALSE)</f>
        <v>27</v>
      </c>
      <c r="N2214">
        <f>VLOOKUP(B2214,purchase_dataset!$B$2:$F$2241,5,FALSE)</f>
        <v>9</v>
      </c>
      <c r="O2214" s="5">
        <v>45</v>
      </c>
      <c r="P2214" s="4" t="str">
        <f t="shared" si="68"/>
        <v>30-50</v>
      </c>
      <c r="Q2214" s="4">
        <f>M2214+N2214</f>
        <v>36</v>
      </c>
      <c r="U2214" s="28" t="str" cm="1">
        <f t="array" ref="U2214">_xlfn.IFS(F2214&lt;30000,"30k",F2214&lt;=50000,"30k-50k",F2214&lt;=75000,"50k-75k",F2214&lt;=100000,"75k-100k",F2214&gt;100000,"100k")</f>
        <v>75k-100k</v>
      </c>
      <c r="W2214" s="1">
        <f t="shared" si="69"/>
        <v>12</v>
      </c>
    </row>
    <row r="2215" spans="1:23" x14ac:dyDescent="0.35">
      <c r="A2215">
        <v>2212</v>
      </c>
      <c r="B2215">
        <v>6983</v>
      </c>
      <c r="C2215">
        <v>1950</v>
      </c>
      <c r="D2215" s="1" t="s">
        <v>15</v>
      </c>
      <c r="E2215" s="1" t="s">
        <v>16</v>
      </c>
      <c r="F2215">
        <v>38054</v>
      </c>
      <c r="G2215">
        <v>1</v>
      </c>
      <c r="H2215" s="2">
        <v>1</v>
      </c>
      <c r="I2215" s="2">
        <v>41760</v>
      </c>
      <c r="J2215">
        <v>24</v>
      </c>
      <c r="K2215">
        <f>VLOOKUP(B2215,purchase_dataset!$B$2:$F$2241,2,FALSE)</f>
        <v>2</v>
      </c>
      <c r="L2215">
        <f>VLOOKUP(B2215,purchase_dataset!$B$2:$F$2241,3,FALSE)</f>
        <v>1</v>
      </c>
      <c r="M2215">
        <f>VLOOKUP(B2215,purchase_dataset!$B$2:$F$2241,3,FALSE)</f>
        <v>1</v>
      </c>
      <c r="N2215">
        <f>VLOOKUP(B2215,purchase_dataset!$B$2:$F$2241,5,FALSE)</f>
        <v>3</v>
      </c>
      <c r="O2215" s="5">
        <v>76</v>
      </c>
      <c r="P2215" s="4" t="str">
        <f t="shared" si="68"/>
        <v>&gt;50</v>
      </c>
      <c r="Q2215" s="4">
        <f>M2215+N2215</f>
        <v>4</v>
      </c>
      <c r="U2215" s="28" t="str" cm="1">
        <f t="array" ref="U2215">_xlfn.IFS(F2215&lt;30000,"30k",F2215&lt;=50000,"30k-50k",F2215&lt;=75000,"50k-75k",F2215&lt;=100000,"75k-100k",F2215&gt;100000,"100k")</f>
        <v>30k-50k</v>
      </c>
      <c r="W2215" s="1">
        <f t="shared" si="69"/>
        <v>12</v>
      </c>
    </row>
    <row r="2216" spans="1:23" x14ac:dyDescent="0.35">
      <c r="A2216">
        <v>2213</v>
      </c>
      <c r="B2216">
        <v>3661</v>
      </c>
      <c r="C2216">
        <v>1995</v>
      </c>
      <c r="D2216" s="1" t="s">
        <v>18</v>
      </c>
      <c r="E2216" s="1" t="s">
        <v>11</v>
      </c>
      <c r="F2216">
        <v>80617</v>
      </c>
      <c r="G2216">
        <v>0</v>
      </c>
      <c r="H2216" s="2">
        <v>0</v>
      </c>
      <c r="I2216" s="2">
        <v>41194</v>
      </c>
      <c r="J2216">
        <v>42</v>
      </c>
      <c r="K2216">
        <f>VLOOKUP(B2216,purchase_dataset!$B$2:$F$2241,2,FALSE)</f>
        <v>51</v>
      </c>
      <c r="L2216">
        <f>VLOOKUP(B2216,purchase_dataset!$B$2:$F$2241,3,FALSE)</f>
        <v>55</v>
      </c>
      <c r="M2216">
        <f>VLOOKUP(B2216,purchase_dataset!$B$2:$F$2241,3,FALSE)</f>
        <v>55</v>
      </c>
      <c r="N2216">
        <f>VLOOKUP(B2216,purchase_dataset!$B$2:$F$2241,5,FALSE)</f>
        <v>8</v>
      </c>
      <c r="O2216" s="5">
        <v>31</v>
      </c>
      <c r="P2216" s="4" t="str">
        <f t="shared" si="68"/>
        <v>30-50</v>
      </c>
      <c r="Q2216" s="4">
        <f>M2216+N2216</f>
        <v>63</v>
      </c>
      <c r="U2216" s="28" t="str" cm="1">
        <f t="array" ref="U2216">_xlfn.IFS(F2216&lt;30000,"30k",F2216&lt;=50000,"30k-50k",F2216&lt;=75000,"50k-75k",F2216&lt;=100000,"75k-100k",F2216&gt;100000,"100k")</f>
        <v>75k-100k</v>
      </c>
      <c r="W2216" s="1">
        <f t="shared" si="69"/>
        <v>14</v>
      </c>
    </row>
    <row r="2217" spans="1:23" x14ac:dyDescent="0.35">
      <c r="A2217">
        <v>2214</v>
      </c>
      <c r="B2217">
        <v>9303</v>
      </c>
      <c r="C2217">
        <v>1976</v>
      </c>
      <c r="D2217" s="1" t="s">
        <v>10</v>
      </c>
      <c r="E2217" s="1" t="s">
        <v>14</v>
      </c>
      <c r="F2217">
        <v>5305</v>
      </c>
      <c r="G2217">
        <v>0</v>
      </c>
      <c r="H2217" s="2">
        <v>1</v>
      </c>
      <c r="I2217" s="2">
        <v>41485</v>
      </c>
      <c r="J2217">
        <v>12</v>
      </c>
      <c r="K2217">
        <f>VLOOKUP(B2217,purchase_dataset!$B$2:$F$2241,2,FALSE)</f>
        <v>4</v>
      </c>
      <c r="L2217">
        <f>VLOOKUP(B2217,purchase_dataset!$B$2:$F$2241,3,FALSE)</f>
        <v>3</v>
      </c>
      <c r="M2217">
        <f>VLOOKUP(B2217,purchase_dataset!$B$2:$F$2241,3,FALSE)</f>
        <v>3</v>
      </c>
      <c r="N2217">
        <f>VLOOKUP(B2217,purchase_dataset!$B$2:$F$2241,5,FALSE)</f>
        <v>0</v>
      </c>
      <c r="O2217" s="5">
        <v>50</v>
      </c>
      <c r="P2217" s="4" t="str">
        <f t="shared" si="68"/>
        <v>30-50</v>
      </c>
      <c r="Q2217" s="4">
        <f>M2217+N2217</f>
        <v>3</v>
      </c>
      <c r="U2217" s="28" t="str" cm="1">
        <f t="array" ref="U2217">_xlfn.IFS(F2217&lt;30000,"30k",F2217&lt;=50000,"30k-50k",F2217&lt;=75000,"50k-75k",F2217&lt;=100000,"75k-100k",F2217&gt;100000,"100k")</f>
        <v>30k</v>
      </c>
      <c r="W2217" s="1">
        <f t="shared" si="69"/>
        <v>13</v>
      </c>
    </row>
    <row r="2218" spans="1:23" x14ac:dyDescent="0.35">
      <c r="A2218">
        <v>2215</v>
      </c>
      <c r="B2218">
        <v>692</v>
      </c>
      <c r="C2218">
        <v>1954</v>
      </c>
      <c r="D2218" s="1" t="s">
        <v>10</v>
      </c>
      <c r="E2218" s="1" t="s">
        <v>12</v>
      </c>
      <c r="F2218">
        <v>36807</v>
      </c>
      <c r="G2218">
        <v>1</v>
      </c>
      <c r="H2218" s="2">
        <v>1</v>
      </c>
      <c r="I2218" s="2">
        <v>41263</v>
      </c>
      <c r="J2218">
        <v>88</v>
      </c>
      <c r="K2218">
        <f>VLOOKUP(B2218,purchase_dataset!$B$2:$F$2241,2,FALSE)</f>
        <v>2</v>
      </c>
      <c r="L2218">
        <f>VLOOKUP(B2218,purchase_dataset!$B$2:$F$2241,3,FALSE)</f>
        <v>0</v>
      </c>
      <c r="M2218">
        <f>VLOOKUP(B2218,purchase_dataset!$B$2:$F$2241,3,FALSE)</f>
        <v>0</v>
      </c>
      <c r="N2218">
        <f>VLOOKUP(B2218,purchase_dataset!$B$2:$F$2241,5,FALSE)</f>
        <v>2</v>
      </c>
      <c r="O2218" s="5">
        <v>72</v>
      </c>
      <c r="P2218" s="4" t="str">
        <f t="shared" si="68"/>
        <v>&gt;50</v>
      </c>
      <c r="Q2218" s="4">
        <f>M2218+N2218</f>
        <v>2</v>
      </c>
      <c r="U2218" s="28" t="str" cm="1">
        <f t="array" ref="U2218">_xlfn.IFS(F2218&lt;30000,"30k",F2218&lt;=50000,"30k-50k",F2218&lt;=75000,"50k-75k",F2218&lt;=100000,"75k-100k",F2218&gt;100000,"100k")</f>
        <v>30k-50k</v>
      </c>
      <c r="W2218" s="1">
        <f t="shared" si="69"/>
        <v>14</v>
      </c>
    </row>
    <row r="2219" spans="1:23" x14ac:dyDescent="0.35">
      <c r="A2219">
        <v>2216</v>
      </c>
      <c r="B2219">
        <v>736</v>
      </c>
      <c r="C2219">
        <v>1983</v>
      </c>
      <c r="D2219" s="1" t="s">
        <v>10</v>
      </c>
      <c r="E2219" s="1" t="s">
        <v>12</v>
      </c>
      <c r="F2219">
        <v>28427</v>
      </c>
      <c r="G2219">
        <v>1</v>
      </c>
      <c r="H2219" s="2">
        <v>0</v>
      </c>
      <c r="I2219" s="2">
        <v>41354</v>
      </c>
      <c r="J2219">
        <v>67</v>
      </c>
      <c r="K2219">
        <f>VLOOKUP(B2219,purchase_dataset!$B$2:$F$2241,2,FALSE)</f>
        <v>3</v>
      </c>
      <c r="L2219">
        <f>VLOOKUP(B2219,purchase_dataset!$B$2:$F$2241,3,FALSE)</f>
        <v>3</v>
      </c>
      <c r="M2219">
        <f>VLOOKUP(B2219,purchase_dataset!$B$2:$F$2241,3,FALSE)</f>
        <v>3</v>
      </c>
      <c r="N2219">
        <f>VLOOKUP(B2219,purchase_dataset!$B$2:$F$2241,5,FALSE)</f>
        <v>3</v>
      </c>
      <c r="O2219" s="5">
        <v>43</v>
      </c>
      <c r="P2219" s="4" t="str">
        <f t="shared" si="68"/>
        <v>30-50</v>
      </c>
      <c r="Q2219" s="4">
        <f>M2219+N2219</f>
        <v>6</v>
      </c>
      <c r="U2219" s="28" t="str" cm="1">
        <f t="array" ref="U2219">_xlfn.IFS(F2219&lt;30000,"30k",F2219&lt;=50000,"30k-50k",F2219&lt;=75000,"50k-75k",F2219&lt;=100000,"75k-100k",F2219&gt;100000,"100k")</f>
        <v>30k</v>
      </c>
      <c r="W2219" s="1">
        <f t="shared" si="69"/>
        <v>13</v>
      </c>
    </row>
    <row r="2220" spans="1:23" x14ac:dyDescent="0.35">
      <c r="A2220">
        <v>2217</v>
      </c>
      <c r="B2220">
        <v>9589</v>
      </c>
      <c r="C2220">
        <v>1948</v>
      </c>
      <c r="D2220" s="1" t="s">
        <v>13</v>
      </c>
      <c r="E2220" s="1" t="s">
        <v>19</v>
      </c>
      <c r="F2220">
        <v>82032</v>
      </c>
      <c r="G2220">
        <v>0</v>
      </c>
      <c r="H2220" s="2">
        <v>0</v>
      </c>
      <c r="I2220" s="2">
        <v>41734</v>
      </c>
      <c r="J2220">
        <v>54</v>
      </c>
      <c r="K2220">
        <f>VLOOKUP(B2220,purchase_dataset!$B$2:$F$2241,2,FALSE)</f>
        <v>194</v>
      </c>
      <c r="L2220">
        <f>VLOOKUP(B2220,purchase_dataset!$B$2:$F$2241,3,FALSE)</f>
        <v>125</v>
      </c>
      <c r="M2220">
        <f>VLOOKUP(B2220,purchase_dataset!$B$2:$F$2241,3,FALSE)</f>
        <v>125</v>
      </c>
      <c r="N2220">
        <f>VLOOKUP(B2220,purchase_dataset!$B$2:$F$2241,5,FALSE)</f>
        <v>7</v>
      </c>
      <c r="O2220" s="5">
        <v>78</v>
      </c>
      <c r="P2220" s="4" t="str">
        <f t="shared" si="68"/>
        <v>&gt;50</v>
      </c>
      <c r="Q2220" s="4">
        <f>M2220+N2220</f>
        <v>132</v>
      </c>
      <c r="U2220" s="28" t="str" cm="1">
        <f t="array" ref="U2220">_xlfn.IFS(F2220&lt;30000,"30k",F2220&lt;=50000,"30k-50k",F2220&lt;=75000,"50k-75k",F2220&lt;=100000,"75k-100k",F2220&gt;100000,"100k")</f>
        <v>75k-100k</v>
      </c>
      <c r="W2220" s="1">
        <f t="shared" si="69"/>
        <v>12</v>
      </c>
    </row>
    <row r="2221" spans="1:23" x14ac:dyDescent="0.35">
      <c r="A2221">
        <v>2218</v>
      </c>
      <c r="B2221">
        <v>4838</v>
      </c>
      <c r="C2221">
        <v>1978</v>
      </c>
      <c r="D2221" s="1" t="s">
        <v>10</v>
      </c>
      <c r="E2221" s="1" t="s">
        <v>12</v>
      </c>
      <c r="F2221">
        <v>22775</v>
      </c>
      <c r="G2221">
        <v>1</v>
      </c>
      <c r="H2221" s="2">
        <v>0</v>
      </c>
      <c r="I2221" s="2">
        <v>41444</v>
      </c>
      <c r="J2221">
        <v>40</v>
      </c>
      <c r="K2221">
        <f>VLOOKUP(B2221,purchase_dataset!$B$2:$F$2241,2,FALSE)</f>
        <v>1</v>
      </c>
      <c r="L2221">
        <f>VLOOKUP(B2221,purchase_dataset!$B$2:$F$2241,3,FALSE)</f>
        <v>0</v>
      </c>
      <c r="M2221">
        <f>VLOOKUP(B2221,purchase_dataset!$B$2:$F$2241,3,FALSE)</f>
        <v>0</v>
      </c>
      <c r="N2221">
        <f>VLOOKUP(B2221,purchase_dataset!$B$2:$F$2241,5,FALSE)</f>
        <v>2</v>
      </c>
      <c r="O2221" s="5">
        <v>48</v>
      </c>
      <c r="P2221" s="4" t="str">
        <f t="shared" si="68"/>
        <v>30-50</v>
      </c>
      <c r="Q2221" s="4">
        <f>M2221+N2221</f>
        <v>2</v>
      </c>
      <c r="U2221" s="28" t="str" cm="1">
        <f t="array" ref="U2221">_xlfn.IFS(F2221&lt;30000,"30k",F2221&lt;=50000,"30k-50k",F2221&lt;=75000,"50k-75k",F2221&lt;=100000,"75k-100k",F2221&gt;100000,"100k")</f>
        <v>30k</v>
      </c>
      <c r="W2221" s="1">
        <f t="shared" si="69"/>
        <v>13</v>
      </c>
    </row>
    <row r="2222" spans="1:23" x14ac:dyDescent="0.35">
      <c r="A2222">
        <v>2219</v>
      </c>
      <c r="B2222">
        <v>9246</v>
      </c>
      <c r="C2222">
        <v>1985</v>
      </c>
      <c r="D2222" s="1" t="s">
        <v>15</v>
      </c>
      <c r="E2222" s="1" t="s">
        <v>12</v>
      </c>
      <c r="F2222">
        <v>40101</v>
      </c>
      <c r="G2222">
        <v>1</v>
      </c>
      <c r="H2222" s="2">
        <v>0</v>
      </c>
      <c r="I2222" s="2">
        <v>41196</v>
      </c>
      <c r="J2222">
        <v>73</v>
      </c>
      <c r="K2222">
        <f>VLOOKUP(B2222,purchase_dataset!$B$2:$F$2241,2,FALSE)</f>
        <v>3</v>
      </c>
      <c r="L2222">
        <f>VLOOKUP(B2222,purchase_dataset!$B$2:$F$2241,3,FALSE)</f>
        <v>24</v>
      </c>
      <c r="M2222">
        <f>VLOOKUP(B2222,purchase_dataset!$B$2:$F$2241,3,FALSE)</f>
        <v>24</v>
      </c>
      <c r="N2222">
        <f>VLOOKUP(B2222,purchase_dataset!$B$2:$F$2241,5,FALSE)</f>
        <v>6</v>
      </c>
      <c r="O2222" s="5">
        <v>41</v>
      </c>
      <c r="P2222" s="4" t="str">
        <f t="shared" si="68"/>
        <v>30-50</v>
      </c>
      <c r="Q2222" s="4">
        <f>M2222+N2222</f>
        <v>30</v>
      </c>
      <c r="U2222" s="28" t="str" cm="1">
        <f t="array" ref="U2222">_xlfn.IFS(F2222&lt;30000,"30k",F2222&lt;=50000,"30k-50k",F2222&lt;=75000,"50k-75k",F2222&lt;=100000,"75k-100k",F2222&gt;100000,"100k")</f>
        <v>30k-50k</v>
      </c>
      <c r="W2222" s="1">
        <f t="shared" si="69"/>
        <v>14</v>
      </c>
    </row>
    <row r="2223" spans="1:23" x14ac:dyDescent="0.35">
      <c r="A2223">
        <v>2220</v>
      </c>
      <c r="B2223">
        <v>6261</v>
      </c>
      <c r="C2223">
        <v>1979</v>
      </c>
      <c r="D2223" s="1" t="s">
        <v>10</v>
      </c>
      <c r="E2223" s="1" t="s">
        <v>14</v>
      </c>
      <c r="F2223">
        <v>58025</v>
      </c>
      <c r="G2223">
        <v>0</v>
      </c>
      <c r="H2223" s="2">
        <v>1</v>
      </c>
      <c r="I2223" s="2">
        <v>41604</v>
      </c>
      <c r="J2223">
        <v>81</v>
      </c>
      <c r="K2223">
        <f>VLOOKUP(B2223,purchase_dataset!$B$2:$F$2241,2,FALSE)</f>
        <v>31</v>
      </c>
      <c r="L2223">
        <f>VLOOKUP(B2223,purchase_dataset!$B$2:$F$2241,3,FALSE)</f>
        <v>48</v>
      </c>
      <c r="M2223">
        <f>VLOOKUP(B2223,purchase_dataset!$B$2:$F$2241,3,FALSE)</f>
        <v>48</v>
      </c>
      <c r="N2223">
        <f>VLOOKUP(B2223,purchase_dataset!$B$2:$F$2241,5,FALSE)</f>
        <v>10</v>
      </c>
      <c r="O2223" s="5">
        <v>47</v>
      </c>
      <c r="P2223" s="4" t="str">
        <f t="shared" si="68"/>
        <v>30-50</v>
      </c>
      <c r="Q2223" s="4">
        <f>M2223+N2223</f>
        <v>58</v>
      </c>
      <c r="U2223" s="28" t="str" cm="1">
        <f t="array" ref="U2223">_xlfn.IFS(F2223&lt;30000,"30k",F2223&lt;=50000,"30k-50k",F2223&lt;=75000,"50k-75k",F2223&lt;=100000,"75k-100k",F2223&gt;100000,"100k")</f>
        <v>50k-75k</v>
      </c>
      <c r="W2223" s="1">
        <f t="shared" si="69"/>
        <v>13</v>
      </c>
    </row>
    <row r="2224" spans="1:23" x14ac:dyDescent="0.35">
      <c r="A2224">
        <v>2221</v>
      </c>
      <c r="B2224">
        <v>7366</v>
      </c>
      <c r="C2224">
        <v>1982</v>
      </c>
      <c r="D2224" s="1" t="s">
        <v>15</v>
      </c>
      <c r="E2224" s="1" t="s">
        <v>11</v>
      </c>
      <c r="F2224">
        <v>75777</v>
      </c>
      <c r="G2224">
        <v>0</v>
      </c>
      <c r="H2224" s="2">
        <v>0</v>
      </c>
      <c r="I2224" s="2">
        <v>41459</v>
      </c>
      <c r="J2224">
        <v>12</v>
      </c>
      <c r="K2224">
        <f>VLOOKUP(B2224,purchase_dataset!$B$2:$F$2241,2,FALSE)</f>
        <v>26</v>
      </c>
      <c r="L2224">
        <f>VLOOKUP(B2224,purchase_dataset!$B$2:$F$2241,3,FALSE)</f>
        <v>13</v>
      </c>
      <c r="M2224">
        <f>VLOOKUP(B2224,purchase_dataset!$B$2:$F$2241,3,FALSE)</f>
        <v>13</v>
      </c>
      <c r="N2224">
        <f>VLOOKUP(B2224,purchase_dataset!$B$2:$F$2241,5,FALSE)</f>
        <v>11</v>
      </c>
      <c r="O2224" s="5">
        <v>44</v>
      </c>
      <c r="P2224" s="4" t="str">
        <f t="shared" si="68"/>
        <v>30-50</v>
      </c>
      <c r="Q2224" s="4">
        <f>M2224+N2224</f>
        <v>24</v>
      </c>
      <c r="U2224" s="28" t="str" cm="1">
        <f t="array" ref="U2224">_xlfn.IFS(F2224&lt;30000,"30k",F2224&lt;=50000,"30k-50k",F2224&lt;=75000,"50k-75k",F2224&lt;=100000,"75k-100k",F2224&gt;100000,"100k")</f>
        <v>75k-100k</v>
      </c>
      <c r="W2224" s="1">
        <f t="shared" si="69"/>
        <v>13</v>
      </c>
    </row>
    <row r="2225" spans="1:23" x14ac:dyDescent="0.35">
      <c r="A2225">
        <v>2222</v>
      </c>
      <c r="B2225">
        <v>10659</v>
      </c>
      <c r="C2225">
        <v>1979</v>
      </c>
      <c r="D2225" s="1" t="s">
        <v>18</v>
      </c>
      <c r="E2225" s="1" t="s">
        <v>12</v>
      </c>
      <c r="F2225">
        <v>7500</v>
      </c>
      <c r="G2225">
        <v>1</v>
      </c>
      <c r="H2225" s="2">
        <v>0</v>
      </c>
      <c r="I2225" s="2">
        <v>41401</v>
      </c>
      <c r="J2225">
        <v>7</v>
      </c>
      <c r="K2225">
        <f>VLOOKUP(B2225,purchase_dataset!$B$2:$F$2241,2,FALSE)</f>
        <v>8</v>
      </c>
      <c r="L2225">
        <f>VLOOKUP(B2225,purchase_dataset!$B$2:$F$2241,3,FALSE)</f>
        <v>8</v>
      </c>
      <c r="M2225">
        <f>VLOOKUP(B2225,purchase_dataset!$B$2:$F$2241,3,FALSE)</f>
        <v>8</v>
      </c>
      <c r="N2225">
        <f>VLOOKUP(B2225,purchase_dataset!$B$2:$F$2241,5,FALSE)</f>
        <v>2</v>
      </c>
      <c r="O2225" s="5">
        <v>47</v>
      </c>
      <c r="P2225" s="4" t="str">
        <f t="shared" si="68"/>
        <v>30-50</v>
      </c>
      <c r="Q2225" s="4">
        <f>M2225+N2225</f>
        <v>10</v>
      </c>
      <c r="U2225" s="28" t="str" cm="1">
        <f t="array" ref="U2225">_xlfn.IFS(F2225&lt;30000,"30k",F2225&lt;=50000,"30k-50k",F2225&lt;=75000,"50k-75k",F2225&lt;=100000,"75k-100k",F2225&gt;100000,"100k")</f>
        <v>30k</v>
      </c>
      <c r="W2225" s="1">
        <f t="shared" si="69"/>
        <v>13</v>
      </c>
    </row>
    <row r="2226" spans="1:23" x14ac:dyDescent="0.35">
      <c r="A2226">
        <v>2223</v>
      </c>
      <c r="B2226">
        <v>1448</v>
      </c>
      <c r="C2226">
        <v>1963</v>
      </c>
      <c r="D2226" s="1" t="s">
        <v>15</v>
      </c>
      <c r="E2226" s="1" t="s">
        <v>14</v>
      </c>
      <c r="F2226">
        <v>33562</v>
      </c>
      <c r="G2226">
        <v>1</v>
      </c>
      <c r="H2226" s="2">
        <v>2</v>
      </c>
      <c r="I2226" s="2">
        <v>41815</v>
      </c>
      <c r="J2226">
        <v>33</v>
      </c>
      <c r="K2226">
        <f>VLOOKUP(B2226,purchase_dataset!$B$2:$F$2241,2,FALSE)</f>
        <v>12</v>
      </c>
      <c r="L2226">
        <f>VLOOKUP(B2226,purchase_dataset!$B$2:$F$2241,3,FALSE)</f>
        <v>3</v>
      </c>
      <c r="M2226">
        <f>VLOOKUP(B2226,purchase_dataset!$B$2:$F$2241,3,FALSE)</f>
        <v>3</v>
      </c>
      <c r="N2226">
        <f>VLOOKUP(B2226,purchase_dataset!$B$2:$F$2241,5,FALSE)</f>
        <v>4</v>
      </c>
      <c r="O2226" s="5">
        <v>63</v>
      </c>
      <c r="P2226" s="4" t="str">
        <f t="shared" si="68"/>
        <v>&gt;50</v>
      </c>
      <c r="Q2226" s="4">
        <f>M2226+N2226</f>
        <v>7</v>
      </c>
      <c r="U2226" s="28" t="str" cm="1">
        <f t="array" ref="U2226">_xlfn.IFS(F2226&lt;30000,"30k",F2226&lt;=50000,"30k-50k",F2226&lt;=75000,"50k-75k",F2226&lt;=100000,"75k-100k",F2226&gt;100000,"100k")</f>
        <v>30k-50k</v>
      </c>
      <c r="W2226" s="1">
        <f t="shared" si="69"/>
        <v>12</v>
      </c>
    </row>
    <row r="2227" spans="1:23" x14ac:dyDescent="0.35">
      <c r="A2227">
        <v>2224</v>
      </c>
      <c r="B2227">
        <v>4286</v>
      </c>
      <c r="C2227">
        <v>1970</v>
      </c>
      <c r="D2227" s="1" t="s">
        <v>13</v>
      </c>
      <c r="E2227" s="1" t="s">
        <v>11</v>
      </c>
      <c r="F2227">
        <v>57642</v>
      </c>
      <c r="G2227">
        <v>0</v>
      </c>
      <c r="H2227" s="2">
        <v>1</v>
      </c>
      <c r="I2227" s="2">
        <v>41648</v>
      </c>
      <c r="J2227">
        <v>24</v>
      </c>
      <c r="K2227">
        <f>VLOOKUP(B2227,purchase_dataset!$B$2:$F$2241,2,FALSE)</f>
        <v>6</v>
      </c>
      <c r="L2227">
        <f>VLOOKUP(B2227,purchase_dataset!$B$2:$F$2241,3,FALSE)</f>
        <v>0</v>
      </c>
      <c r="M2227">
        <f>VLOOKUP(B2227,purchase_dataset!$B$2:$F$2241,3,FALSE)</f>
        <v>0</v>
      </c>
      <c r="N2227">
        <f>VLOOKUP(B2227,purchase_dataset!$B$2:$F$2241,5,FALSE)</f>
        <v>6</v>
      </c>
      <c r="O2227" s="5">
        <v>56</v>
      </c>
      <c r="P2227" s="4" t="str">
        <f t="shared" si="68"/>
        <v>&gt;50</v>
      </c>
      <c r="Q2227" s="4">
        <f>M2227+N2227</f>
        <v>6</v>
      </c>
      <c r="U2227" s="28" t="str" cm="1">
        <f t="array" ref="U2227">_xlfn.IFS(F2227&lt;30000,"30k",F2227&lt;=50000,"30k-50k",F2227&lt;=75000,"50k-75k",F2227&lt;=100000,"75k-100k",F2227&gt;100000,"100k")</f>
        <v>50k-75k</v>
      </c>
      <c r="W2227" s="1">
        <f t="shared" si="69"/>
        <v>12</v>
      </c>
    </row>
    <row r="2228" spans="1:23" x14ac:dyDescent="0.35">
      <c r="A2228">
        <v>2225</v>
      </c>
      <c r="B2228">
        <v>4749</v>
      </c>
      <c r="C2228">
        <v>1968</v>
      </c>
      <c r="D2228" s="1" t="s">
        <v>10</v>
      </c>
      <c r="E2228" s="1" t="s">
        <v>12</v>
      </c>
      <c r="F2228">
        <v>58554</v>
      </c>
      <c r="G2228">
        <v>1</v>
      </c>
      <c r="H2228" s="2">
        <v>1</v>
      </c>
      <c r="I2228" s="2">
        <v>41178</v>
      </c>
      <c r="J2228">
        <v>55</v>
      </c>
      <c r="K2228">
        <f>VLOOKUP(B2228,purchase_dataset!$B$2:$F$2241,2,FALSE)</f>
        <v>24</v>
      </c>
      <c r="L2228">
        <f>VLOOKUP(B2228,purchase_dataset!$B$2:$F$2241,3,FALSE)</f>
        <v>0</v>
      </c>
      <c r="M2228">
        <f>VLOOKUP(B2228,purchase_dataset!$B$2:$F$2241,3,FALSE)</f>
        <v>0</v>
      </c>
      <c r="N2228">
        <f>VLOOKUP(B2228,purchase_dataset!$B$2:$F$2241,5,FALSE)</f>
        <v>6</v>
      </c>
      <c r="O2228" s="5">
        <v>58</v>
      </c>
      <c r="P2228" s="4" t="str">
        <f t="shared" si="68"/>
        <v>&gt;50</v>
      </c>
      <c r="Q2228" s="4">
        <f>M2228+N2228</f>
        <v>6</v>
      </c>
      <c r="U2228" s="28" t="str" cm="1">
        <f t="array" ref="U2228">_xlfn.IFS(F2228&lt;30000,"30k",F2228&lt;=50000,"30k-50k",F2228&lt;=75000,"50k-75k",F2228&lt;=100000,"75k-100k",F2228&gt;100000,"100k")</f>
        <v>50k-75k</v>
      </c>
      <c r="W2228" s="1">
        <f t="shared" si="69"/>
        <v>14</v>
      </c>
    </row>
    <row r="2229" spans="1:23" x14ac:dyDescent="0.35">
      <c r="A2229">
        <v>2226</v>
      </c>
      <c r="B2229">
        <v>4478</v>
      </c>
      <c r="C2229">
        <v>1979</v>
      </c>
      <c r="D2229" s="1" t="s">
        <v>10</v>
      </c>
      <c r="E2229" s="1" t="s">
        <v>14</v>
      </c>
      <c r="F2229">
        <v>63777</v>
      </c>
      <c r="G2229">
        <v>1</v>
      </c>
      <c r="H2229" s="2">
        <v>1</v>
      </c>
      <c r="I2229" s="2">
        <v>41357</v>
      </c>
      <c r="J2229">
        <v>87</v>
      </c>
      <c r="K2229">
        <f>VLOOKUP(B2229,purchase_dataset!$B$2:$F$2241,2,FALSE)</f>
        <v>5</v>
      </c>
      <c r="L2229">
        <f>VLOOKUP(B2229,purchase_dataset!$B$2:$F$2241,3,FALSE)</f>
        <v>17</v>
      </c>
      <c r="M2229">
        <f>VLOOKUP(B2229,purchase_dataset!$B$2:$F$2241,3,FALSE)</f>
        <v>17</v>
      </c>
      <c r="N2229">
        <f>VLOOKUP(B2229,purchase_dataset!$B$2:$F$2241,5,FALSE)</f>
        <v>6</v>
      </c>
      <c r="O2229" s="5">
        <v>47</v>
      </c>
      <c r="P2229" s="4" t="str">
        <f t="shared" si="68"/>
        <v>30-50</v>
      </c>
      <c r="Q2229" s="4">
        <f>M2229+N2229</f>
        <v>23</v>
      </c>
      <c r="U2229" s="28" t="str" cm="1">
        <f t="array" ref="U2229">_xlfn.IFS(F2229&lt;30000,"30k",F2229&lt;=50000,"30k-50k",F2229&lt;=75000,"50k-75k",F2229&lt;=100000,"75k-100k",F2229&gt;100000,"100k")</f>
        <v>50k-75k</v>
      </c>
      <c r="W2229" s="1">
        <f t="shared" si="69"/>
        <v>13</v>
      </c>
    </row>
    <row r="2230" spans="1:23" x14ac:dyDescent="0.35">
      <c r="A2230">
        <v>2227</v>
      </c>
      <c r="B2230">
        <v>4201</v>
      </c>
      <c r="C2230">
        <v>1962</v>
      </c>
      <c r="D2230" s="1" t="s">
        <v>10</v>
      </c>
      <c r="E2230" s="1" t="s">
        <v>11</v>
      </c>
      <c r="F2230">
        <v>57967</v>
      </c>
      <c r="G2230">
        <v>0</v>
      </c>
      <c r="H2230" s="2">
        <v>1</v>
      </c>
      <c r="I2230" s="2">
        <v>41336</v>
      </c>
      <c r="J2230">
        <v>39</v>
      </c>
      <c r="K2230">
        <f>VLOOKUP(B2230,purchase_dataset!$B$2:$F$2241,2,FALSE)</f>
        <v>7</v>
      </c>
      <c r="L2230">
        <f>VLOOKUP(B2230,purchase_dataset!$B$2:$F$2241,3,FALSE)</f>
        <v>0</v>
      </c>
      <c r="M2230">
        <f>VLOOKUP(B2230,purchase_dataset!$B$2:$F$2241,3,FALSE)</f>
        <v>0</v>
      </c>
      <c r="N2230">
        <f>VLOOKUP(B2230,purchase_dataset!$B$2:$F$2241,5,FALSE)</f>
        <v>8</v>
      </c>
      <c r="O2230" s="5">
        <v>64</v>
      </c>
      <c r="P2230" s="4" t="str">
        <f t="shared" si="68"/>
        <v>&gt;50</v>
      </c>
      <c r="Q2230" s="4">
        <f>M2230+N2230</f>
        <v>8</v>
      </c>
      <c r="U2230" s="28" t="str" cm="1">
        <f t="array" ref="U2230">_xlfn.IFS(F2230&lt;30000,"30k",F2230&lt;=50000,"30k-50k",F2230&lt;=75000,"50k-75k",F2230&lt;=100000,"75k-100k",F2230&gt;100000,"100k")</f>
        <v>50k-75k</v>
      </c>
      <c r="W2230" s="1">
        <f t="shared" si="69"/>
        <v>13</v>
      </c>
    </row>
    <row r="2231" spans="1:23" x14ac:dyDescent="0.35">
      <c r="A2231">
        <v>2228</v>
      </c>
      <c r="B2231">
        <v>8720</v>
      </c>
      <c r="C2231">
        <v>1978</v>
      </c>
      <c r="D2231" s="1" t="s">
        <v>18</v>
      </c>
      <c r="E2231" s="1" t="s">
        <v>12</v>
      </c>
      <c r="G2231">
        <v>0</v>
      </c>
      <c r="H2231" s="2">
        <v>0</v>
      </c>
      <c r="I2231" s="2">
        <v>41133</v>
      </c>
      <c r="J2231">
        <v>53</v>
      </c>
      <c r="K2231">
        <f>VLOOKUP(B2231,purchase_dataset!$B$2:$F$2241,2,FALSE)</f>
        <v>2</v>
      </c>
      <c r="L2231">
        <f>VLOOKUP(B2231,purchase_dataset!$B$2:$F$2241,3,FALSE)</f>
        <v>4</v>
      </c>
      <c r="M2231">
        <f>VLOOKUP(B2231,purchase_dataset!$B$2:$F$2241,3,FALSE)</f>
        <v>4</v>
      </c>
      <c r="N2231">
        <f>VLOOKUP(B2231,purchase_dataset!$B$2:$F$2241,5,FALSE)</f>
        <v>1</v>
      </c>
      <c r="O2231" s="5">
        <v>48</v>
      </c>
      <c r="P2231" s="4" t="str">
        <f t="shared" si="68"/>
        <v>30-50</v>
      </c>
      <c r="Q2231" s="4">
        <f>M2231+N2231</f>
        <v>5</v>
      </c>
      <c r="U2231" s="28" t="str" cm="1">
        <f t="array" ref="U2231">_xlfn.IFS(F2231&lt;30000,"30k",F2231&lt;=50000,"30k-50k",F2231&lt;=75000,"50k-75k",F2231&lt;=100000,"75k-100k",F2231&gt;100000,"100k")</f>
        <v>30k</v>
      </c>
      <c r="W2231" s="1">
        <f t="shared" si="69"/>
        <v>14</v>
      </c>
    </row>
    <row r="2232" spans="1:23" x14ac:dyDescent="0.35">
      <c r="A2232">
        <v>2229</v>
      </c>
      <c r="B2232">
        <v>10084</v>
      </c>
      <c r="C2232">
        <v>1972</v>
      </c>
      <c r="D2232" s="1" t="s">
        <v>10</v>
      </c>
      <c r="E2232" s="1" t="s">
        <v>14</v>
      </c>
      <c r="F2232">
        <v>24434</v>
      </c>
      <c r="G2232">
        <v>2</v>
      </c>
      <c r="H2232" s="2">
        <v>0</v>
      </c>
      <c r="I2232" s="2">
        <v>41777</v>
      </c>
      <c r="J2232">
        <v>9</v>
      </c>
      <c r="K2232">
        <f>VLOOKUP(B2232,purchase_dataset!$B$2:$F$2241,2,FALSE)</f>
        <v>2</v>
      </c>
      <c r="L2232">
        <f>VLOOKUP(B2232,purchase_dataset!$B$2:$F$2241,3,FALSE)</f>
        <v>0</v>
      </c>
      <c r="M2232">
        <f>VLOOKUP(B2232,purchase_dataset!$B$2:$F$2241,3,FALSE)</f>
        <v>0</v>
      </c>
      <c r="N2232">
        <f>VLOOKUP(B2232,purchase_dataset!$B$2:$F$2241,5,FALSE)</f>
        <v>2</v>
      </c>
      <c r="O2232" s="5">
        <v>54</v>
      </c>
      <c r="P2232" s="4" t="str">
        <f t="shared" si="68"/>
        <v>&gt;50</v>
      </c>
      <c r="Q2232" s="4">
        <f>M2232+N2232</f>
        <v>2</v>
      </c>
      <c r="U2232" s="28" t="str" cm="1">
        <f t="array" ref="U2232">_xlfn.IFS(F2232&lt;30000,"30k",F2232&lt;=50000,"30k-50k",F2232&lt;=75000,"50k-75k",F2232&lt;=100000,"75k-100k",F2232&gt;100000,"100k")</f>
        <v>30k</v>
      </c>
      <c r="W2232" s="1">
        <f t="shared" si="69"/>
        <v>12</v>
      </c>
    </row>
    <row r="2233" spans="1:23" x14ac:dyDescent="0.35">
      <c r="A2233">
        <v>2230</v>
      </c>
      <c r="B2233">
        <v>7004</v>
      </c>
      <c r="C2233">
        <v>1984</v>
      </c>
      <c r="D2233" s="1" t="s">
        <v>10</v>
      </c>
      <c r="E2233" s="1" t="s">
        <v>11</v>
      </c>
      <c r="F2233">
        <v>11012</v>
      </c>
      <c r="G2233">
        <v>1</v>
      </c>
      <c r="H2233" s="2">
        <v>0</v>
      </c>
      <c r="I2233" s="2">
        <v>41349</v>
      </c>
      <c r="J2233">
        <v>82</v>
      </c>
      <c r="K2233">
        <f>VLOOKUP(B2233,purchase_dataset!$B$2:$F$2241,2,FALSE)</f>
        <v>3</v>
      </c>
      <c r="L2233">
        <f>VLOOKUP(B2233,purchase_dataset!$B$2:$F$2241,3,FALSE)</f>
        <v>1</v>
      </c>
      <c r="M2233">
        <f>VLOOKUP(B2233,purchase_dataset!$B$2:$F$2241,3,FALSE)</f>
        <v>1</v>
      </c>
      <c r="N2233">
        <f>VLOOKUP(B2233,purchase_dataset!$B$2:$F$2241,5,FALSE)</f>
        <v>2</v>
      </c>
      <c r="O2233" s="5">
        <v>42</v>
      </c>
      <c r="P2233" s="4" t="str">
        <f t="shared" si="68"/>
        <v>30-50</v>
      </c>
      <c r="Q2233" s="4">
        <f>M2233+N2233</f>
        <v>3</v>
      </c>
      <c r="U2233" s="28" t="str" cm="1">
        <f t="array" ref="U2233">_xlfn.IFS(F2233&lt;30000,"30k",F2233&lt;=50000,"30k-50k",F2233&lt;=75000,"50k-75k",F2233&lt;=100000,"75k-100k",F2233&gt;100000,"100k")</f>
        <v>30k</v>
      </c>
      <c r="W2233" s="1">
        <f t="shared" si="69"/>
        <v>13</v>
      </c>
    </row>
    <row r="2234" spans="1:23" x14ac:dyDescent="0.35">
      <c r="A2234">
        <v>2231</v>
      </c>
      <c r="B2234">
        <v>9817</v>
      </c>
      <c r="C2234">
        <v>1970</v>
      </c>
      <c r="D2234" s="1" t="s">
        <v>15</v>
      </c>
      <c r="E2234" s="1" t="s">
        <v>11</v>
      </c>
      <c r="F2234">
        <v>44802</v>
      </c>
      <c r="G2234">
        <v>0</v>
      </c>
      <c r="H2234" s="2">
        <v>0</v>
      </c>
      <c r="I2234" s="2">
        <v>41142</v>
      </c>
      <c r="J2234">
        <v>71</v>
      </c>
      <c r="K2234">
        <f>VLOOKUP(B2234,purchase_dataset!$B$2:$F$2241,2,FALSE)</f>
        <v>10</v>
      </c>
      <c r="L2234">
        <f>VLOOKUP(B2234,purchase_dataset!$B$2:$F$2241,3,FALSE)</f>
        <v>10</v>
      </c>
      <c r="M2234">
        <f>VLOOKUP(B2234,purchase_dataset!$B$2:$F$2241,3,FALSE)</f>
        <v>10</v>
      </c>
      <c r="N2234">
        <f>VLOOKUP(B2234,purchase_dataset!$B$2:$F$2241,5,FALSE)</f>
        <v>12</v>
      </c>
      <c r="O2234" s="5">
        <v>56</v>
      </c>
      <c r="P2234" s="4" t="str">
        <f t="shared" si="68"/>
        <v>&gt;50</v>
      </c>
      <c r="Q2234" s="4">
        <f>M2234+N2234</f>
        <v>22</v>
      </c>
      <c r="U2234" s="28" t="str" cm="1">
        <f t="array" ref="U2234">_xlfn.IFS(F2234&lt;30000,"30k",F2234&lt;=50000,"30k-50k",F2234&lt;=75000,"50k-75k",F2234&lt;=100000,"75k-100k",F2234&gt;100000,"100k")</f>
        <v>30k-50k</v>
      </c>
      <c r="W2234" s="1">
        <f t="shared" si="69"/>
        <v>14</v>
      </c>
    </row>
    <row r="2235" spans="1:23" x14ac:dyDescent="0.35">
      <c r="A2235">
        <v>2232</v>
      </c>
      <c r="B2235">
        <v>8080</v>
      </c>
      <c r="C2235">
        <v>1986</v>
      </c>
      <c r="D2235" s="1" t="s">
        <v>10</v>
      </c>
      <c r="E2235" s="1" t="s">
        <v>11</v>
      </c>
      <c r="F2235">
        <v>26816</v>
      </c>
      <c r="G2235">
        <v>0</v>
      </c>
      <c r="H2235" s="2">
        <v>0</v>
      </c>
      <c r="I2235" s="2">
        <v>41138</v>
      </c>
      <c r="J2235">
        <v>50</v>
      </c>
      <c r="K2235">
        <f>VLOOKUP(B2235,purchase_dataset!$B$2:$F$2241,2,FALSE)</f>
        <v>1</v>
      </c>
      <c r="L2235">
        <f>VLOOKUP(B2235,purchase_dataset!$B$2:$F$2241,3,FALSE)</f>
        <v>4</v>
      </c>
      <c r="M2235">
        <f>VLOOKUP(B2235,purchase_dataset!$B$2:$F$2241,3,FALSE)</f>
        <v>4</v>
      </c>
      <c r="N2235">
        <f>VLOOKUP(B2235,purchase_dataset!$B$2:$F$2241,5,FALSE)</f>
        <v>3</v>
      </c>
      <c r="O2235" s="5">
        <v>40</v>
      </c>
      <c r="P2235" s="4" t="str">
        <f t="shared" si="68"/>
        <v>30-50</v>
      </c>
      <c r="Q2235" s="4">
        <f>M2235+N2235</f>
        <v>7</v>
      </c>
      <c r="U2235" s="28" t="str" cm="1">
        <f t="array" ref="U2235">_xlfn.IFS(F2235&lt;30000,"30k",F2235&lt;=50000,"30k-50k",F2235&lt;=75000,"50k-75k",F2235&lt;=100000,"75k-100k",F2235&gt;100000,"100k")</f>
        <v>30k</v>
      </c>
      <c r="W2235" s="1">
        <f t="shared" si="69"/>
        <v>14</v>
      </c>
    </row>
    <row r="2236" spans="1:23" x14ac:dyDescent="0.35">
      <c r="A2236">
        <v>2233</v>
      </c>
      <c r="B2236">
        <v>9432</v>
      </c>
      <c r="C2236">
        <v>1977</v>
      </c>
      <c r="D2236" s="1" t="s">
        <v>10</v>
      </c>
      <c r="E2236" s="1" t="s">
        <v>12</v>
      </c>
      <c r="F2236">
        <v>666666</v>
      </c>
      <c r="G2236">
        <v>1</v>
      </c>
      <c r="H2236" s="2">
        <v>0</v>
      </c>
      <c r="I2236" s="2">
        <v>41427</v>
      </c>
      <c r="J2236">
        <v>23</v>
      </c>
      <c r="K2236">
        <f>VLOOKUP(B2236,purchase_dataset!$B$2:$F$2241,2,FALSE)</f>
        <v>14</v>
      </c>
      <c r="L2236">
        <f>VLOOKUP(B2236,purchase_dataset!$B$2:$F$2241,3,FALSE)</f>
        <v>1</v>
      </c>
      <c r="M2236">
        <f>VLOOKUP(B2236,purchase_dataset!$B$2:$F$2241,3,FALSE)</f>
        <v>1</v>
      </c>
      <c r="N2236">
        <f>VLOOKUP(B2236,purchase_dataset!$B$2:$F$2241,5,FALSE)</f>
        <v>3</v>
      </c>
      <c r="O2236" s="5">
        <v>49</v>
      </c>
      <c r="P2236" s="4" t="str">
        <f t="shared" si="68"/>
        <v>30-50</v>
      </c>
      <c r="Q2236" s="4">
        <f>M2236+N2236</f>
        <v>4</v>
      </c>
      <c r="U2236" s="28" t="str" cm="1">
        <f t="array" ref="U2236">_xlfn.IFS(F2236&lt;30000,"30k",F2236&lt;=50000,"30k-50k",F2236&lt;=75000,"50k-75k",F2236&lt;=100000,"75k-100k",F2236&gt;100000,"100k")</f>
        <v>100k</v>
      </c>
      <c r="W2236" s="1">
        <f t="shared" si="69"/>
        <v>13</v>
      </c>
    </row>
    <row r="2237" spans="1:23" x14ac:dyDescent="0.35">
      <c r="A2237">
        <v>2234</v>
      </c>
      <c r="B2237">
        <v>8372</v>
      </c>
      <c r="C2237">
        <v>1974</v>
      </c>
      <c r="D2237" s="1" t="s">
        <v>10</v>
      </c>
      <c r="E2237" s="1" t="s">
        <v>14</v>
      </c>
      <c r="F2237">
        <v>34421</v>
      </c>
      <c r="G2237">
        <v>1</v>
      </c>
      <c r="H2237" s="2">
        <v>0</v>
      </c>
      <c r="I2237" s="2">
        <v>41456</v>
      </c>
      <c r="J2237">
        <v>81</v>
      </c>
      <c r="K2237">
        <f>VLOOKUP(B2237,purchase_dataset!$B$2:$F$2241,2,FALSE)</f>
        <v>3</v>
      </c>
      <c r="L2237">
        <f>VLOOKUP(B2237,purchase_dataset!$B$2:$F$2241,3,FALSE)</f>
        <v>2</v>
      </c>
      <c r="M2237">
        <f>VLOOKUP(B2237,purchase_dataset!$B$2:$F$2241,3,FALSE)</f>
        <v>2</v>
      </c>
      <c r="N2237">
        <f>VLOOKUP(B2237,purchase_dataset!$B$2:$F$2241,5,FALSE)</f>
        <v>2</v>
      </c>
      <c r="O2237" s="5">
        <v>52</v>
      </c>
      <c r="P2237" s="4" t="str">
        <f t="shared" si="68"/>
        <v>&gt;50</v>
      </c>
      <c r="Q2237" s="4">
        <f>M2237+N2237</f>
        <v>4</v>
      </c>
      <c r="U2237" s="28" t="str" cm="1">
        <f t="array" ref="U2237">_xlfn.IFS(F2237&lt;30000,"30k",F2237&lt;=50000,"30k-50k",F2237&lt;=75000,"50k-75k",F2237&lt;=100000,"75k-100k",F2237&gt;100000,"100k")</f>
        <v>30k-50k</v>
      </c>
      <c r="W2237" s="1">
        <f t="shared" si="69"/>
        <v>13</v>
      </c>
    </row>
    <row r="2238" spans="1:23" x14ac:dyDescent="0.35">
      <c r="A2238">
        <v>2235</v>
      </c>
      <c r="B2238">
        <v>10870</v>
      </c>
      <c r="C2238">
        <v>1967</v>
      </c>
      <c r="D2238" s="1" t="s">
        <v>10</v>
      </c>
      <c r="E2238" s="1" t="s">
        <v>14</v>
      </c>
      <c r="F2238">
        <v>61223</v>
      </c>
      <c r="G2238">
        <v>0</v>
      </c>
      <c r="H2238" s="2">
        <v>1</v>
      </c>
      <c r="I2238" s="2">
        <v>41438</v>
      </c>
      <c r="J2238">
        <v>46</v>
      </c>
      <c r="K2238">
        <f>VLOOKUP(B2238,purchase_dataset!$B$2:$F$2241,2,FALSE)</f>
        <v>43</v>
      </c>
      <c r="L2238">
        <f>VLOOKUP(B2238,purchase_dataset!$B$2:$F$2241,3,FALSE)</f>
        <v>118</v>
      </c>
      <c r="M2238">
        <f>VLOOKUP(B2238,purchase_dataset!$B$2:$F$2241,3,FALSE)</f>
        <v>118</v>
      </c>
      <c r="N2238">
        <f>VLOOKUP(B2238,purchase_dataset!$B$2:$F$2241,5,FALSE)</f>
        <v>4</v>
      </c>
      <c r="O2238" s="5">
        <v>59</v>
      </c>
      <c r="P2238" s="4" t="str">
        <f t="shared" si="68"/>
        <v>&gt;50</v>
      </c>
      <c r="Q2238" s="4">
        <f>M2238+N2238</f>
        <v>122</v>
      </c>
      <c r="U2238" s="28" t="str" cm="1">
        <f t="array" ref="U2238">_xlfn.IFS(F2238&lt;30000,"30k",F2238&lt;=50000,"30k-50k",F2238&lt;=75000,"50k-75k",F2238&lt;=100000,"75k-100k",F2238&gt;100000,"100k")</f>
        <v>50k-75k</v>
      </c>
      <c r="W2238" s="1">
        <f t="shared" si="69"/>
        <v>13</v>
      </c>
    </row>
    <row r="2239" spans="1:23" x14ac:dyDescent="0.35">
      <c r="A2239">
        <v>2236</v>
      </c>
      <c r="B2239">
        <v>4001</v>
      </c>
      <c r="C2239">
        <v>1946</v>
      </c>
      <c r="D2239" s="1" t="s">
        <v>13</v>
      </c>
      <c r="E2239" s="1" t="s">
        <v>12</v>
      </c>
      <c r="F2239">
        <v>64014</v>
      </c>
      <c r="G2239">
        <v>2</v>
      </c>
      <c r="H2239" s="2">
        <v>1</v>
      </c>
      <c r="I2239" s="2">
        <v>41800</v>
      </c>
      <c r="J2239">
        <v>56</v>
      </c>
      <c r="K2239">
        <f>VLOOKUP(B2239,purchase_dataset!$B$2:$F$2241,2,FALSE)</f>
        <v>0</v>
      </c>
      <c r="L2239">
        <f>VLOOKUP(B2239,purchase_dataset!$B$2:$F$2241,3,FALSE)</f>
        <v>0</v>
      </c>
      <c r="M2239">
        <f>VLOOKUP(B2239,purchase_dataset!$B$2:$F$2241,3,FALSE)</f>
        <v>0</v>
      </c>
      <c r="N2239">
        <f>VLOOKUP(B2239,purchase_dataset!$B$2:$F$2241,5,FALSE)</f>
        <v>5</v>
      </c>
      <c r="O2239" s="5">
        <v>80</v>
      </c>
      <c r="P2239" s="4" t="str">
        <f t="shared" si="68"/>
        <v>&gt;50</v>
      </c>
      <c r="Q2239" s="4">
        <f>M2239+N2239</f>
        <v>5</v>
      </c>
      <c r="U2239" s="28" t="str" cm="1">
        <f t="array" ref="U2239">_xlfn.IFS(F2239&lt;30000,"30k",F2239&lt;=50000,"30k-50k",F2239&lt;=75000,"50k-75k",F2239&lt;=100000,"75k-100k",F2239&gt;100000,"100k")</f>
        <v>50k-75k</v>
      </c>
      <c r="W2239" s="1">
        <f t="shared" si="69"/>
        <v>12</v>
      </c>
    </row>
    <row r="2240" spans="1:23" x14ac:dyDescent="0.35">
      <c r="A2240">
        <v>2237</v>
      </c>
      <c r="B2240">
        <v>7270</v>
      </c>
      <c r="C2240">
        <v>1981</v>
      </c>
      <c r="D2240" s="1" t="s">
        <v>10</v>
      </c>
      <c r="E2240" s="1" t="s">
        <v>16</v>
      </c>
      <c r="F2240">
        <v>56981</v>
      </c>
      <c r="G2240">
        <v>0</v>
      </c>
      <c r="H2240" s="2">
        <v>0</v>
      </c>
      <c r="I2240" s="2">
        <v>41664</v>
      </c>
      <c r="J2240">
        <v>91</v>
      </c>
      <c r="K2240">
        <f>VLOOKUP(B2240,purchase_dataset!$B$2:$F$2241,2,FALSE)</f>
        <v>48</v>
      </c>
      <c r="L2240">
        <f>VLOOKUP(B2240,purchase_dataset!$B$2:$F$2241,3,FALSE)</f>
        <v>12</v>
      </c>
      <c r="M2240">
        <f>VLOOKUP(B2240,purchase_dataset!$B$2:$F$2241,3,FALSE)</f>
        <v>12</v>
      </c>
      <c r="N2240">
        <f>VLOOKUP(B2240,purchase_dataset!$B$2:$F$2241,5,FALSE)</f>
        <v>13</v>
      </c>
      <c r="O2240" s="5">
        <v>45</v>
      </c>
      <c r="P2240" s="4" t="str">
        <f t="shared" si="68"/>
        <v>30-50</v>
      </c>
      <c r="Q2240" s="4">
        <f>M2240+N2240</f>
        <v>25</v>
      </c>
      <c r="U2240" s="28" t="str" cm="1">
        <f t="array" ref="U2240">_xlfn.IFS(F2240&lt;30000,"30k",F2240&lt;=50000,"30k-50k",F2240&lt;=75000,"50k-75k",F2240&lt;=100000,"75k-100k",F2240&gt;100000,"100k")</f>
        <v>50k-75k</v>
      </c>
      <c r="W2240" s="1">
        <f t="shared" si="69"/>
        <v>12</v>
      </c>
    </row>
    <row r="2241" spans="1:23" x14ac:dyDescent="0.35">
      <c r="A2241">
        <v>2238</v>
      </c>
      <c r="B2241">
        <v>8235</v>
      </c>
      <c r="C2241">
        <v>1956</v>
      </c>
      <c r="D2241" s="1" t="s">
        <v>15</v>
      </c>
      <c r="E2241" s="1" t="s">
        <v>12</v>
      </c>
      <c r="F2241">
        <v>69245</v>
      </c>
      <c r="G2241">
        <v>0</v>
      </c>
      <c r="H2241" s="2">
        <v>1</v>
      </c>
      <c r="I2241" s="2">
        <v>41663</v>
      </c>
      <c r="J2241">
        <v>8</v>
      </c>
      <c r="K2241">
        <f>VLOOKUP(B2241,purchase_dataset!$B$2:$F$2241,2,FALSE)</f>
        <v>30</v>
      </c>
      <c r="L2241">
        <f>VLOOKUP(B2241,purchase_dataset!$B$2:$F$2241,3,FALSE)</f>
        <v>30</v>
      </c>
      <c r="M2241">
        <f>VLOOKUP(B2241,purchase_dataset!$B$2:$F$2241,3,FALSE)</f>
        <v>30</v>
      </c>
      <c r="N2241">
        <f>VLOOKUP(B2241,purchase_dataset!$B$2:$F$2241,5,FALSE)</f>
        <v>10</v>
      </c>
      <c r="O2241" s="5">
        <v>70</v>
      </c>
      <c r="P2241" s="4" t="str">
        <f t="shared" si="68"/>
        <v>&gt;50</v>
      </c>
      <c r="Q2241" s="4">
        <f>M2241+N2241</f>
        <v>40</v>
      </c>
      <c r="U2241" s="28" t="str" cm="1">
        <f t="array" ref="U2241">_xlfn.IFS(F2241&lt;30000,"30k",F2241&lt;=50000,"30k-50k",F2241&lt;=75000,"50k-75k",F2241&lt;=100000,"75k-100k",F2241&gt;100000,"100k")</f>
        <v>50k-75k</v>
      </c>
      <c r="W2241" s="1">
        <f t="shared" si="69"/>
        <v>12</v>
      </c>
    </row>
    <row r="2242" spans="1:23" x14ac:dyDescent="0.35">
      <c r="A2242">
        <v>2239</v>
      </c>
      <c r="B2242">
        <v>9405</v>
      </c>
      <c r="C2242">
        <v>1954</v>
      </c>
      <c r="D2242" s="1" t="s">
        <v>13</v>
      </c>
      <c r="E2242" s="1" t="s">
        <v>14</v>
      </c>
      <c r="F2242">
        <v>52869</v>
      </c>
      <c r="G2242">
        <v>1</v>
      </c>
      <c r="H2242" s="2">
        <v>1</v>
      </c>
      <c r="I2242" s="2">
        <v>41197</v>
      </c>
      <c r="J2242">
        <v>40</v>
      </c>
      <c r="K2242">
        <f>VLOOKUP(B2242,purchase_dataset!$B$2:$F$2241,2,FALSE)</f>
        <v>3</v>
      </c>
      <c r="L2242">
        <f>VLOOKUP(B2242,purchase_dataset!$B$2:$F$2241,3,FALSE)</f>
        <v>1</v>
      </c>
      <c r="M2242">
        <f>VLOOKUP(B2242,purchase_dataset!$B$2:$F$2241,3,FALSE)</f>
        <v>1</v>
      </c>
      <c r="N2242">
        <f>VLOOKUP(B2242,purchase_dataset!$B$2:$F$2241,5,FALSE)</f>
        <v>4</v>
      </c>
      <c r="O2242" s="5">
        <v>72</v>
      </c>
      <c r="P2242" s="4" t="str">
        <f t="shared" si="68"/>
        <v>&gt;50</v>
      </c>
      <c r="Q2242" s="4">
        <f>M2242+N2242</f>
        <v>5</v>
      </c>
      <c r="U2242" s="28" t="str" cm="1">
        <f t="array" ref="U2242">_xlfn.IFS(F2242&lt;30000,"30k",F2242&lt;=50000,"30k-50k",F2242&lt;=75000,"50k-75k",F2242&lt;=100000,"75k-100k",F2242&gt;100000,"100k")</f>
        <v>50k-75k</v>
      </c>
      <c r="W2242" s="1">
        <f t="shared" si="69"/>
        <v>14</v>
      </c>
    </row>
    <row r="2243" spans="1:23" x14ac:dyDescent="0.35">
      <c r="D2243" s="1"/>
      <c r="E2243" s="1"/>
      <c r="H2243" s="2"/>
      <c r="I2243" s="2"/>
    </row>
    <row r="2244" spans="1:23" x14ac:dyDescent="0.35">
      <c r="D2244" s="1"/>
      <c r="E2244" s="1"/>
      <c r="H2244" s="2"/>
      <c r="I2244" s="2"/>
    </row>
  </sheetData>
  <autoFilter ref="O2:Q2242" xr:uid="{B33E763E-71AC-4579-8E27-E8890A46AC09}"/>
  <mergeCells count="4">
    <mergeCell ref="A1:J1"/>
    <mergeCell ref="K1:N1"/>
    <mergeCell ref="O1:Q1"/>
    <mergeCell ref="R1:T1"/>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81C41-3EC6-4A9F-8CA3-F61D85085E5B}">
  <dimension ref="A1:F2241"/>
  <sheetViews>
    <sheetView workbookViewId="0">
      <selection activeCell="H12" sqref="H12"/>
    </sheetView>
  </sheetViews>
  <sheetFormatPr defaultRowHeight="14.5" x14ac:dyDescent="0.35"/>
  <cols>
    <col min="1" max="1" width="10.54296875" bestFit="1" customWidth="1"/>
    <col min="2" max="2" width="5.81640625" bestFit="1" customWidth="1"/>
    <col min="3" max="3" width="11.1796875" bestFit="1" customWidth="1"/>
    <col min="4" max="4" width="18.90625" bestFit="1" customWidth="1"/>
    <col min="5" max="5" width="19.54296875" bestFit="1" customWidth="1"/>
    <col min="6" max="6" width="20" bestFit="1" customWidth="1"/>
  </cols>
  <sheetData>
    <row r="1" spans="1:6" x14ac:dyDescent="0.35">
      <c r="A1" t="s">
        <v>0</v>
      </c>
      <c r="B1" t="s">
        <v>1</v>
      </c>
      <c r="C1" t="s">
        <v>23</v>
      </c>
      <c r="D1" t="s">
        <v>24</v>
      </c>
      <c r="E1" t="s">
        <v>25</v>
      </c>
      <c r="F1" t="s">
        <v>26</v>
      </c>
    </row>
    <row r="2" spans="1:6" x14ac:dyDescent="0.35">
      <c r="A2">
        <v>1898</v>
      </c>
      <c r="B2">
        <v>4619</v>
      </c>
      <c r="C2">
        <v>2</v>
      </c>
      <c r="D2">
        <v>262</v>
      </c>
      <c r="E2">
        <v>27</v>
      </c>
      <c r="F2">
        <v>0</v>
      </c>
    </row>
    <row r="3" spans="1:6" x14ac:dyDescent="0.35">
      <c r="A3">
        <v>27</v>
      </c>
      <c r="B3">
        <v>5255</v>
      </c>
      <c r="C3">
        <v>1</v>
      </c>
      <c r="D3">
        <v>263</v>
      </c>
      <c r="E3">
        <v>27</v>
      </c>
      <c r="F3">
        <v>0</v>
      </c>
    </row>
    <row r="4" spans="1:6" x14ac:dyDescent="0.35">
      <c r="A4">
        <v>1975</v>
      </c>
      <c r="B4">
        <v>10311</v>
      </c>
      <c r="C4">
        <v>4</v>
      </c>
      <c r="D4">
        <v>4</v>
      </c>
      <c r="E4">
        <v>25</v>
      </c>
      <c r="F4">
        <v>0</v>
      </c>
    </row>
    <row r="5" spans="1:6" x14ac:dyDescent="0.35">
      <c r="A5">
        <v>1806</v>
      </c>
      <c r="B5">
        <v>6237</v>
      </c>
      <c r="C5">
        <v>4</v>
      </c>
      <c r="D5">
        <v>2</v>
      </c>
      <c r="E5">
        <v>23</v>
      </c>
      <c r="F5">
        <v>1</v>
      </c>
    </row>
    <row r="6" spans="1:6" x14ac:dyDescent="0.35">
      <c r="A6">
        <v>336</v>
      </c>
      <c r="B6">
        <v>7381</v>
      </c>
      <c r="C6">
        <v>153</v>
      </c>
      <c r="D6">
        <v>97</v>
      </c>
      <c r="E6">
        <v>11</v>
      </c>
      <c r="F6">
        <v>6</v>
      </c>
    </row>
    <row r="7" spans="1:6" x14ac:dyDescent="0.35">
      <c r="A7">
        <v>1924</v>
      </c>
      <c r="B7">
        <v>7966</v>
      </c>
      <c r="C7">
        <v>137</v>
      </c>
      <c r="D7">
        <v>22</v>
      </c>
      <c r="E7">
        <v>11</v>
      </c>
      <c r="F7">
        <v>11</v>
      </c>
    </row>
    <row r="8" spans="1:6" x14ac:dyDescent="0.35">
      <c r="A8">
        <v>681</v>
      </c>
      <c r="B8">
        <v>4910</v>
      </c>
      <c r="C8">
        <v>134</v>
      </c>
      <c r="D8">
        <v>134</v>
      </c>
      <c r="E8">
        <v>11</v>
      </c>
      <c r="F8">
        <v>13</v>
      </c>
    </row>
    <row r="9" spans="1:6" x14ac:dyDescent="0.35">
      <c r="A9">
        <v>2013</v>
      </c>
      <c r="B9">
        <v>1951</v>
      </c>
      <c r="C9">
        <v>122</v>
      </c>
      <c r="D9">
        <v>129</v>
      </c>
      <c r="E9">
        <v>11</v>
      </c>
      <c r="F9">
        <v>8</v>
      </c>
    </row>
    <row r="10" spans="1:6" x14ac:dyDescent="0.35">
      <c r="A10">
        <v>1507</v>
      </c>
      <c r="B10">
        <v>7706</v>
      </c>
      <c r="C10">
        <v>104</v>
      </c>
      <c r="D10">
        <v>151</v>
      </c>
      <c r="E10">
        <v>11</v>
      </c>
      <c r="F10">
        <v>5</v>
      </c>
    </row>
    <row r="11" spans="1:6" x14ac:dyDescent="0.35">
      <c r="A11">
        <v>924</v>
      </c>
      <c r="B11">
        <v>8931</v>
      </c>
      <c r="C11">
        <v>99</v>
      </c>
      <c r="D11">
        <v>149</v>
      </c>
      <c r="E11">
        <v>11</v>
      </c>
      <c r="F11">
        <v>10</v>
      </c>
    </row>
    <row r="12" spans="1:6" x14ac:dyDescent="0.35">
      <c r="A12">
        <v>767</v>
      </c>
      <c r="B12">
        <v>1911</v>
      </c>
      <c r="C12">
        <v>97</v>
      </c>
      <c r="D12">
        <v>133</v>
      </c>
      <c r="E12">
        <v>11</v>
      </c>
      <c r="F12">
        <v>12</v>
      </c>
    </row>
    <row r="13" spans="1:6" x14ac:dyDescent="0.35">
      <c r="A13">
        <v>1488</v>
      </c>
      <c r="B13">
        <v>9743</v>
      </c>
      <c r="C13">
        <v>89</v>
      </c>
      <c r="D13">
        <v>35</v>
      </c>
      <c r="E13">
        <v>11</v>
      </c>
      <c r="F13">
        <v>8</v>
      </c>
    </row>
    <row r="14" spans="1:6" x14ac:dyDescent="0.35">
      <c r="A14">
        <v>718</v>
      </c>
      <c r="B14">
        <v>10159</v>
      </c>
      <c r="C14">
        <v>81</v>
      </c>
      <c r="D14">
        <v>122</v>
      </c>
      <c r="E14">
        <v>11</v>
      </c>
      <c r="F14">
        <v>9</v>
      </c>
    </row>
    <row r="15" spans="1:6" x14ac:dyDescent="0.35">
      <c r="A15">
        <v>18</v>
      </c>
      <c r="B15">
        <v>6565</v>
      </c>
      <c r="C15">
        <v>80</v>
      </c>
      <c r="D15">
        <v>16</v>
      </c>
      <c r="E15">
        <v>11</v>
      </c>
      <c r="F15">
        <v>9</v>
      </c>
    </row>
    <row r="16" spans="1:6" x14ac:dyDescent="0.35">
      <c r="A16">
        <v>2145</v>
      </c>
      <c r="B16">
        <v>9790</v>
      </c>
      <c r="C16">
        <v>72</v>
      </c>
      <c r="D16">
        <v>36</v>
      </c>
      <c r="E16">
        <v>11</v>
      </c>
      <c r="F16">
        <v>4</v>
      </c>
    </row>
    <row r="17" spans="1:6" x14ac:dyDescent="0.35">
      <c r="A17">
        <v>175</v>
      </c>
      <c r="B17">
        <v>8717</v>
      </c>
      <c r="C17">
        <v>71</v>
      </c>
      <c r="D17">
        <v>71</v>
      </c>
      <c r="E17">
        <v>11</v>
      </c>
      <c r="F17">
        <v>8</v>
      </c>
    </row>
    <row r="18" spans="1:6" x14ac:dyDescent="0.35">
      <c r="A18">
        <v>2033</v>
      </c>
      <c r="B18">
        <v>3491</v>
      </c>
      <c r="C18">
        <v>60</v>
      </c>
      <c r="D18">
        <v>101</v>
      </c>
      <c r="E18">
        <v>11</v>
      </c>
      <c r="F18">
        <v>8</v>
      </c>
    </row>
    <row r="19" spans="1:6" x14ac:dyDescent="0.35">
      <c r="A19">
        <v>1252</v>
      </c>
      <c r="B19">
        <v>5153</v>
      </c>
      <c r="C19">
        <v>59</v>
      </c>
      <c r="D19">
        <v>59</v>
      </c>
      <c r="E19">
        <v>11</v>
      </c>
      <c r="F19">
        <v>11</v>
      </c>
    </row>
    <row r="20" spans="1:6" x14ac:dyDescent="0.35">
      <c r="A20">
        <v>1669</v>
      </c>
      <c r="B20">
        <v>4127</v>
      </c>
      <c r="C20">
        <v>59</v>
      </c>
      <c r="D20">
        <v>59</v>
      </c>
      <c r="E20">
        <v>11</v>
      </c>
      <c r="F20">
        <v>11</v>
      </c>
    </row>
    <row r="21" spans="1:6" x14ac:dyDescent="0.35">
      <c r="A21">
        <v>1309</v>
      </c>
      <c r="B21">
        <v>6658</v>
      </c>
      <c r="C21">
        <v>51</v>
      </c>
      <c r="D21">
        <v>10</v>
      </c>
      <c r="E21">
        <v>11</v>
      </c>
      <c r="F21">
        <v>12</v>
      </c>
    </row>
    <row r="22" spans="1:6" x14ac:dyDescent="0.35">
      <c r="A22">
        <v>209</v>
      </c>
      <c r="B22">
        <v>380</v>
      </c>
      <c r="C22">
        <v>48</v>
      </c>
      <c r="D22">
        <v>32</v>
      </c>
      <c r="E22">
        <v>11</v>
      </c>
      <c r="F22">
        <v>9</v>
      </c>
    </row>
    <row r="23" spans="1:6" x14ac:dyDescent="0.35">
      <c r="A23">
        <v>797</v>
      </c>
      <c r="B23">
        <v>796</v>
      </c>
      <c r="C23">
        <v>44</v>
      </c>
      <c r="D23">
        <v>8</v>
      </c>
      <c r="E23">
        <v>11</v>
      </c>
      <c r="F23">
        <v>8</v>
      </c>
    </row>
    <row r="24" spans="1:6" x14ac:dyDescent="0.35">
      <c r="A24">
        <v>2030</v>
      </c>
      <c r="B24">
        <v>3945</v>
      </c>
      <c r="C24">
        <v>44</v>
      </c>
      <c r="D24">
        <v>17</v>
      </c>
      <c r="E24">
        <v>11</v>
      </c>
      <c r="F24">
        <v>4</v>
      </c>
    </row>
    <row r="25" spans="1:6" x14ac:dyDescent="0.35">
      <c r="A25">
        <v>202</v>
      </c>
      <c r="B25">
        <v>8727</v>
      </c>
      <c r="C25">
        <v>43</v>
      </c>
      <c r="D25">
        <v>87</v>
      </c>
      <c r="E25">
        <v>11</v>
      </c>
      <c r="F25">
        <v>9</v>
      </c>
    </row>
    <row r="26" spans="1:6" x14ac:dyDescent="0.35">
      <c r="A26">
        <v>983</v>
      </c>
      <c r="B26">
        <v>3056</v>
      </c>
      <c r="C26">
        <v>43</v>
      </c>
      <c r="D26">
        <v>87</v>
      </c>
      <c r="E26">
        <v>11</v>
      </c>
      <c r="F26">
        <v>9</v>
      </c>
    </row>
    <row r="27" spans="1:6" x14ac:dyDescent="0.35">
      <c r="A27">
        <v>1539</v>
      </c>
      <c r="B27">
        <v>8920</v>
      </c>
      <c r="C27">
        <v>40</v>
      </c>
      <c r="D27">
        <v>0</v>
      </c>
      <c r="E27">
        <v>11</v>
      </c>
      <c r="F27">
        <v>12</v>
      </c>
    </row>
    <row r="28" spans="1:6" x14ac:dyDescent="0.35">
      <c r="A28">
        <v>1022</v>
      </c>
      <c r="B28">
        <v>6059</v>
      </c>
      <c r="C28">
        <v>36</v>
      </c>
      <c r="D28">
        <v>0</v>
      </c>
      <c r="E28">
        <v>11</v>
      </c>
      <c r="F28">
        <v>4</v>
      </c>
    </row>
    <row r="29" spans="1:6" x14ac:dyDescent="0.35">
      <c r="A29">
        <v>219</v>
      </c>
      <c r="B29">
        <v>454</v>
      </c>
      <c r="C29">
        <v>32</v>
      </c>
      <c r="D29">
        <v>32</v>
      </c>
      <c r="E29">
        <v>11</v>
      </c>
      <c r="F29">
        <v>11</v>
      </c>
    </row>
    <row r="30" spans="1:6" x14ac:dyDescent="0.35">
      <c r="A30">
        <v>729</v>
      </c>
      <c r="B30">
        <v>11101</v>
      </c>
      <c r="C30">
        <v>22</v>
      </c>
      <c r="D30">
        <v>28</v>
      </c>
      <c r="E30">
        <v>11</v>
      </c>
      <c r="F30">
        <v>8</v>
      </c>
    </row>
    <row r="31" spans="1:6" x14ac:dyDescent="0.35">
      <c r="A31">
        <v>627</v>
      </c>
      <c r="B31">
        <v>4299</v>
      </c>
      <c r="C31">
        <v>17</v>
      </c>
      <c r="D31">
        <v>125</v>
      </c>
      <c r="E31">
        <v>11</v>
      </c>
      <c r="F31">
        <v>5</v>
      </c>
    </row>
    <row r="32" spans="1:6" x14ac:dyDescent="0.35">
      <c r="A32">
        <v>1783</v>
      </c>
      <c r="B32">
        <v>10678</v>
      </c>
      <c r="C32">
        <v>17</v>
      </c>
      <c r="D32">
        <v>26</v>
      </c>
      <c r="E32">
        <v>11</v>
      </c>
      <c r="F32">
        <v>10</v>
      </c>
    </row>
    <row r="33" spans="1:6" x14ac:dyDescent="0.35">
      <c r="A33">
        <v>1226</v>
      </c>
      <c r="B33">
        <v>4058</v>
      </c>
      <c r="C33">
        <v>15</v>
      </c>
      <c r="D33">
        <v>7</v>
      </c>
      <c r="E33">
        <v>11</v>
      </c>
      <c r="F33">
        <v>8</v>
      </c>
    </row>
    <row r="34" spans="1:6" x14ac:dyDescent="0.35">
      <c r="A34">
        <v>1937</v>
      </c>
      <c r="B34">
        <v>6250</v>
      </c>
      <c r="C34">
        <v>15</v>
      </c>
      <c r="D34">
        <v>0</v>
      </c>
      <c r="E34">
        <v>11</v>
      </c>
      <c r="F34">
        <v>8</v>
      </c>
    </row>
    <row r="35" spans="1:6" x14ac:dyDescent="0.35">
      <c r="A35">
        <v>67</v>
      </c>
      <c r="B35">
        <v>9369</v>
      </c>
      <c r="C35">
        <v>14</v>
      </c>
      <c r="D35">
        <v>24</v>
      </c>
      <c r="E35">
        <v>11</v>
      </c>
      <c r="F35">
        <v>10</v>
      </c>
    </row>
    <row r="36" spans="1:6" x14ac:dyDescent="0.35">
      <c r="A36">
        <v>1119</v>
      </c>
      <c r="B36">
        <v>2320</v>
      </c>
      <c r="C36">
        <v>11</v>
      </c>
      <c r="D36">
        <v>5</v>
      </c>
      <c r="E36">
        <v>11</v>
      </c>
      <c r="F36">
        <v>6</v>
      </c>
    </row>
    <row r="37" spans="1:6" x14ac:dyDescent="0.35">
      <c r="A37">
        <v>2171</v>
      </c>
      <c r="B37">
        <v>3968</v>
      </c>
      <c r="C37">
        <v>10</v>
      </c>
      <c r="D37">
        <v>0</v>
      </c>
      <c r="E37">
        <v>11</v>
      </c>
      <c r="F37">
        <v>12</v>
      </c>
    </row>
    <row r="38" spans="1:6" x14ac:dyDescent="0.35">
      <c r="A38">
        <v>1085</v>
      </c>
      <c r="B38">
        <v>6295</v>
      </c>
      <c r="C38">
        <v>8</v>
      </c>
      <c r="D38">
        <v>0</v>
      </c>
      <c r="E38">
        <v>11</v>
      </c>
      <c r="F38">
        <v>5</v>
      </c>
    </row>
    <row r="39" spans="1:6" x14ac:dyDescent="0.35">
      <c r="A39">
        <v>1744</v>
      </c>
      <c r="B39">
        <v>9710</v>
      </c>
      <c r="C39">
        <v>7</v>
      </c>
      <c r="D39">
        <v>0</v>
      </c>
      <c r="E39">
        <v>11</v>
      </c>
      <c r="F39">
        <v>7</v>
      </c>
    </row>
    <row r="40" spans="1:6" x14ac:dyDescent="0.35">
      <c r="A40">
        <v>131</v>
      </c>
      <c r="B40">
        <v>433</v>
      </c>
      <c r="C40">
        <v>5</v>
      </c>
      <c r="D40">
        <v>5</v>
      </c>
      <c r="E40">
        <v>11</v>
      </c>
      <c r="F40">
        <v>6</v>
      </c>
    </row>
    <row r="41" spans="1:6" x14ac:dyDescent="0.35">
      <c r="A41">
        <v>2226</v>
      </c>
      <c r="B41">
        <v>4478</v>
      </c>
      <c r="C41">
        <v>5</v>
      </c>
      <c r="D41">
        <v>17</v>
      </c>
      <c r="E41">
        <v>11</v>
      </c>
      <c r="F41">
        <v>6</v>
      </c>
    </row>
    <row r="42" spans="1:6" x14ac:dyDescent="0.35">
      <c r="A42">
        <v>244</v>
      </c>
      <c r="B42">
        <v>6439</v>
      </c>
      <c r="C42">
        <v>0</v>
      </c>
      <c r="D42">
        <v>28</v>
      </c>
      <c r="E42">
        <v>11</v>
      </c>
      <c r="F42">
        <v>8</v>
      </c>
    </row>
    <row r="43" spans="1:6" x14ac:dyDescent="0.35">
      <c r="A43">
        <v>354</v>
      </c>
      <c r="B43">
        <v>9365</v>
      </c>
      <c r="C43">
        <v>0</v>
      </c>
      <c r="D43">
        <v>0</v>
      </c>
      <c r="E43">
        <v>11</v>
      </c>
      <c r="F43">
        <v>5</v>
      </c>
    </row>
    <row r="44" spans="1:6" x14ac:dyDescent="0.35">
      <c r="A44">
        <v>412</v>
      </c>
      <c r="B44">
        <v>7030</v>
      </c>
      <c r="C44">
        <v>0</v>
      </c>
      <c r="D44">
        <v>29</v>
      </c>
      <c r="E44">
        <v>11</v>
      </c>
      <c r="F44">
        <v>12</v>
      </c>
    </row>
    <row r="45" spans="1:6" x14ac:dyDescent="0.35">
      <c r="A45">
        <v>721</v>
      </c>
      <c r="B45">
        <v>4990</v>
      </c>
      <c r="C45">
        <v>0</v>
      </c>
      <c r="D45">
        <v>28</v>
      </c>
      <c r="E45">
        <v>11</v>
      </c>
      <c r="F45">
        <v>8</v>
      </c>
    </row>
    <row r="46" spans="1:6" x14ac:dyDescent="0.35">
      <c r="A46">
        <v>932</v>
      </c>
      <c r="B46">
        <v>7922</v>
      </c>
      <c r="C46">
        <v>0</v>
      </c>
      <c r="D46">
        <v>0</v>
      </c>
      <c r="E46">
        <v>11</v>
      </c>
      <c r="F46">
        <v>10</v>
      </c>
    </row>
    <row r="47" spans="1:6" x14ac:dyDescent="0.35">
      <c r="A47">
        <v>937</v>
      </c>
      <c r="B47">
        <v>1204</v>
      </c>
      <c r="C47">
        <v>0</v>
      </c>
      <c r="D47">
        <v>71</v>
      </c>
      <c r="E47">
        <v>11</v>
      </c>
      <c r="F47">
        <v>11</v>
      </c>
    </row>
    <row r="48" spans="1:6" x14ac:dyDescent="0.35">
      <c r="A48">
        <v>1568</v>
      </c>
      <c r="B48">
        <v>10478</v>
      </c>
      <c r="C48">
        <v>0</v>
      </c>
      <c r="D48">
        <v>6</v>
      </c>
      <c r="E48">
        <v>11</v>
      </c>
      <c r="F48">
        <v>6</v>
      </c>
    </row>
    <row r="49" spans="1:6" x14ac:dyDescent="0.35">
      <c r="A49">
        <v>1635</v>
      </c>
      <c r="B49">
        <v>3427</v>
      </c>
      <c r="C49">
        <v>0</v>
      </c>
      <c r="D49">
        <v>0</v>
      </c>
      <c r="E49">
        <v>11</v>
      </c>
      <c r="F49">
        <v>7</v>
      </c>
    </row>
    <row r="50" spans="1:6" x14ac:dyDescent="0.35">
      <c r="A50">
        <v>855</v>
      </c>
      <c r="B50">
        <v>1456</v>
      </c>
      <c r="C50">
        <v>199</v>
      </c>
      <c r="D50">
        <v>9</v>
      </c>
      <c r="E50">
        <v>10</v>
      </c>
      <c r="F50">
        <v>12</v>
      </c>
    </row>
    <row r="51" spans="1:6" x14ac:dyDescent="0.35">
      <c r="A51">
        <v>1480</v>
      </c>
      <c r="B51">
        <v>2849</v>
      </c>
      <c r="C51">
        <v>199</v>
      </c>
      <c r="D51">
        <v>9</v>
      </c>
      <c r="E51">
        <v>10</v>
      </c>
      <c r="F51">
        <v>12</v>
      </c>
    </row>
    <row r="52" spans="1:6" x14ac:dyDescent="0.35">
      <c r="A52">
        <v>2039</v>
      </c>
      <c r="B52">
        <v>5628</v>
      </c>
      <c r="C52">
        <v>154</v>
      </c>
      <c r="D52">
        <v>61</v>
      </c>
      <c r="E52">
        <v>10</v>
      </c>
      <c r="F52">
        <v>10</v>
      </c>
    </row>
    <row r="53" spans="1:6" x14ac:dyDescent="0.35">
      <c r="A53">
        <v>897</v>
      </c>
      <c r="B53">
        <v>5046</v>
      </c>
      <c r="C53">
        <v>138</v>
      </c>
      <c r="D53">
        <v>169</v>
      </c>
      <c r="E53">
        <v>10</v>
      </c>
      <c r="F53">
        <v>7</v>
      </c>
    </row>
    <row r="54" spans="1:6" x14ac:dyDescent="0.35">
      <c r="A54">
        <v>1151</v>
      </c>
      <c r="B54">
        <v>8310</v>
      </c>
      <c r="C54">
        <v>126</v>
      </c>
      <c r="D54">
        <v>112</v>
      </c>
      <c r="E54">
        <v>10</v>
      </c>
      <c r="F54">
        <v>7</v>
      </c>
    </row>
    <row r="55" spans="1:6" x14ac:dyDescent="0.35">
      <c r="A55">
        <v>825</v>
      </c>
      <c r="B55">
        <v>5989</v>
      </c>
      <c r="C55">
        <v>122</v>
      </c>
      <c r="D55">
        <v>153</v>
      </c>
      <c r="E55">
        <v>10</v>
      </c>
      <c r="F55">
        <v>11</v>
      </c>
    </row>
    <row r="56" spans="1:6" x14ac:dyDescent="0.35">
      <c r="A56">
        <v>1520</v>
      </c>
      <c r="B56">
        <v>4278</v>
      </c>
      <c r="C56">
        <v>111</v>
      </c>
      <c r="D56">
        <v>74</v>
      </c>
      <c r="E56">
        <v>10</v>
      </c>
      <c r="F56">
        <v>6</v>
      </c>
    </row>
    <row r="57" spans="1:6" x14ac:dyDescent="0.35">
      <c r="A57">
        <v>72</v>
      </c>
      <c r="B57">
        <v>6312</v>
      </c>
      <c r="C57">
        <v>107</v>
      </c>
      <c r="D57">
        <v>37</v>
      </c>
      <c r="E57">
        <v>10</v>
      </c>
      <c r="F57">
        <v>13</v>
      </c>
    </row>
    <row r="58" spans="1:6" x14ac:dyDescent="0.35">
      <c r="A58">
        <v>1953</v>
      </c>
      <c r="B58">
        <v>7919</v>
      </c>
      <c r="C58">
        <v>105</v>
      </c>
      <c r="D58">
        <v>21</v>
      </c>
      <c r="E58">
        <v>10</v>
      </c>
      <c r="F58">
        <v>8</v>
      </c>
    </row>
    <row r="59" spans="1:6" x14ac:dyDescent="0.35">
      <c r="A59">
        <v>2036</v>
      </c>
      <c r="B59">
        <v>4786</v>
      </c>
      <c r="C59">
        <v>82</v>
      </c>
      <c r="D59">
        <v>61</v>
      </c>
      <c r="E59">
        <v>10</v>
      </c>
      <c r="F59">
        <v>12</v>
      </c>
    </row>
    <row r="60" spans="1:6" x14ac:dyDescent="0.35">
      <c r="A60">
        <v>749</v>
      </c>
      <c r="B60">
        <v>4073</v>
      </c>
      <c r="C60">
        <v>80</v>
      </c>
      <c r="D60">
        <v>34</v>
      </c>
      <c r="E60">
        <v>10</v>
      </c>
      <c r="F60">
        <v>7</v>
      </c>
    </row>
    <row r="61" spans="1:6" x14ac:dyDescent="0.35">
      <c r="A61">
        <v>1029</v>
      </c>
      <c r="B61">
        <v>8985</v>
      </c>
      <c r="C61">
        <v>80</v>
      </c>
      <c r="D61">
        <v>11</v>
      </c>
      <c r="E61">
        <v>10</v>
      </c>
      <c r="F61">
        <v>10</v>
      </c>
    </row>
    <row r="62" spans="1:6" x14ac:dyDescent="0.35">
      <c r="A62">
        <v>1512</v>
      </c>
      <c r="B62">
        <v>9451</v>
      </c>
      <c r="C62">
        <v>76</v>
      </c>
      <c r="D62">
        <v>137</v>
      </c>
      <c r="E62">
        <v>10</v>
      </c>
      <c r="F62">
        <v>9</v>
      </c>
    </row>
    <row r="63" spans="1:6" x14ac:dyDescent="0.35">
      <c r="A63">
        <v>323</v>
      </c>
      <c r="B63">
        <v>9750</v>
      </c>
      <c r="C63">
        <v>60</v>
      </c>
      <c r="D63">
        <v>12</v>
      </c>
      <c r="E63">
        <v>10</v>
      </c>
      <c r="F63">
        <v>5</v>
      </c>
    </row>
    <row r="64" spans="1:6" x14ac:dyDescent="0.35">
      <c r="A64">
        <v>261</v>
      </c>
      <c r="B64">
        <v>1184</v>
      </c>
      <c r="C64">
        <v>41</v>
      </c>
      <c r="D64">
        <v>0</v>
      </c>
      <c r="E64">
        <v>10</v>
      </c>
      <c r="F64">
        <v>10</v>
      </c>
    </row>
    <row r="65" spans="1:6" x14ac:dyDescent="0.35">
      <c r="A65">
        <v>969</v>
      </c>
      <c r="B65">
        <v>3933</v>
      </c>
      <c r="C65">
        <v>36</v>
      </c>
      <c r="D65">
        <v>72</v>
      </c>
      <c r="E65">
        <v>10</v>
      </c>
      <c r="F65">
        <v>6</v>
      </c>
    </row>
    <row r="66" spans="1:6" x14ac:dyDescent="0.35">
      <c r="A66">
        <v>1607</v>
      </c>
      <c r="B66">
        <v>4656</v>
      </c>
      <c r="C66">
        <v>32</v>
      </c>
      <c r="D66">
        <v>32</v>
      </c>
      <c r="E66">
        <v>10</v>
      </c>
      <c r="F66">
        <v>4</v>
      </c>
    </row>
    <row r="67" spans="1:6" x14ac:dyDescent="0.35">
      <c r="A67">
        <v>796</v>
      </c>
      <c r="B67">
        <v>6722</v>
      </c>
      <c r="C67">
        <v>28</v>
      </c>
      <c r="D67">
        <v>14</v>
      </c>
      <c r="E67">
        <v>10</v>
      </c>
      <c r="F67">
        <v>7</v>
      </c>
    </row>
    <row r="68" spans="1:6" x14ac:dyDescent="0.35">
      <c r="A68">
        <v>155</v>
      </c>
      <c r="B68">
        <v>10240</v>
      </c>
      <c r="C68">
        <v>26</v>
      </c>
      <c r="D68">
        <v>13</v>
      </c>
      <c r="E68">
        <v>10</v>
      </c>
      <c r="F68">
        <v>6</v>
      </c>
    </row>
    <row r="69" spans="1:6" x14ac:dyDescent="0.35">
      <c r="A69">
        <v>699</v>
      </c>
      <c r="B69">
        <v>1277</v>
      </c>
      <c r="C69">
        <v>22</v>
      </c>
      <c r="D69">
        <v>22</v>
      </c>
      <c r="E69">
        <v>10</v>
      </c>
      <c r="F69">
        <v>10</v>
      </c>
    </row>
    <row r="70" spans="1:6" x14ac:dyDescent="0.35">
      <c r="A70">
        <v>979</v>
      </c>
      <c r="B70">
        <v>5407</v>
      </c>
      <c r="C70">
        <v>17</v>
      </c>
      <c r="D70">
        <v>0</v>
      </c>
      <c r="E70">
        <v>10</v>
      </c>
      <c r="F70">
        <v>7</v>
      </c>
    </row>
    <row r="71" spans="1:6" x14ac:dyDescent="0.35">
      <c r="A71">
        <v>161</v>
      </c>
      <c r="B71">
        <v>9260</v>
      </c>
      <c r="C71">
        <v>16</v>
      </c>
      <c r="D71">
        <v>16</v>
      </c>
      <c r="E71">
        <v>10</v>
      </c>
      <c r="F71">
        <v>9</v>
      </c>
    </row>
    <row r="72" spans="1:6" x14ac:dyDescent="0.35">
      <c r="A72">
        <v>1205</v>
      </c>
      <c r="B72">
        <v>1118</v>
      </c>
      <c r="C72">
        <v>13</v>
      </c>
      <c r="D72">
        <v>6</v>
      </c>
      <c r="E72">
        <v>10</v>
      </c>
      <c r="F72">
        <v>5</v>
      </c>
    </row>
    <row r="73" spans="1:6" x14ac:dyDescent="0.35">
      <c r="A73">
        <v>676</v>
      </c>
      <c r="B73">
        <v>4673</v>
      </c>
      <c r="C73">
        <v>12</v>
      </c>
      <c r="D73">
        <v>12</v>
      </c>
      <c r="E73">
        <v>10</v>
      </c>
      <c r="F73">
        <v>5</v>
      </c>
    </row>
    <row r="74" spans="1:6" x14ac:dyDescent="0.35">
      <c r="A74">
        <v>505</v>
      </c>
      <c r="B74">
        <v>4945</v>
      </c>
      <c r="C74">
        <v>10</v>
      </c>
      <c r="D74">
        <v>10</v>
      </c>
      <c r="E74">
        <v>10</v>
      </c>
      <c r="F74">
        <v>12</v>
      </c>
    </row>
    <row r="75" spans="1:6" x14ac:dyDescent="0.35">
      <c r="A75">
        <v>1447</v>
      </c>
      <c r="B75">
        <v>5221</v>
      </c>
      <c r="C75">
        <v>8</v>
      </c>
      <c r="D75">
        <v>0</v>
      </c>
      <c r="E75">
        <v>10</v>
      </c>
      <c r="F75">
        <v>5</v>
      </c>
    </row>
    <row r="76" spans="1:6" x14ac:dyDescent="0.35">
      <c r="A76">
        <v>2028</v>
      </c>
      <c r="B76">
        <v>9323</v>
      </c>
      <c r="C76">
        <v>8</v>
      </c>
      <c r="D76">
        <v>49</v>
      </c>
      <c r="E76">
        <v>10</v>
      </c>
      <c r="F76">
        <v>7</v>
      </c>
    </row>
    <row r="77" spans="1:6" x14ac:dyDescent="0.35">
      <c r="A77">
        <v>2094</v>
      </c>
      <c r="B77">
        <v>1146</v>
      </c>
      <c r="C77">
        <v>8</v>
      </c>
      <c r="D77">
        <v>49</v>
      </c>
      <c r="E77">
        <v>10</v>
      </c>
      <c r="F77">
        <v>7</v>
      </c>
    </row>
    <row r="78" spans="1:6" x14ac:dyDescent="0.35">
      <c r="A78">
        <v>1305</v>
      </c>
      <c r="B78">
        <v>5841</v>
      </c>
      <c r="C78">
        <v>7</v>
      </c>
      <c r="D78">
        <v>0</v>
      </c>
      <c r="E78">
        <v>10</v>
      </c>
      <c r="F78">
        <v>8</v>
      </c>
    </row>
    <row r="79" spans="1:6" x14ac:dyDescent="0.35">
      <c r="A79">
        <v>1348</v>
      </c>
      <c r="B79">
        <v>7793</v>
      </c>
      <c r="C79">
        <v>7</v>
      </c>
      <c r="D79">
        <v>30</v>
      </c>
      <c r="E79">
        <v>10</v>
      </c>
      <c r="F79">
        <v>7</v>
      </c>
    </row>
    <row r="80" spans="1:6" x14ac:dyDescent="0.35">
      <c r="A80">
        <v>1687</v>
      </c>
      <c r="B80">
        <v>2570</v>
      </c>
      <c r="C80">
        <v>7</v>
      </c>
      <c r="D80">
        <v>0</v>
      </c>
      <c r="E80">
        <v>10</v>
      </c>
      <c r="F80">
        <v>7</v>
      </c>
    </row>
    <row r="81" spans="1:6" x14ac:dyDescent="0.35">
      <c r="A81">
        <v>1893</v>
      </c>
      <c r="B81">
        <v>6892</v>
      </c>
      <c r="C81">
        <v>7</v>
      </c>
      <c r="D81">
        <v>0</v>
      </c>
      <c r="E81">
        <v>10</v>
      </c>
      <c r="F81">
        <v>6</v>
      </c>
    </row>
    <row r="82" spans="1:6" x14ac:dyDescent="0.35">
      <c r="A82">
        <v>992</v>
      </c>
      <c r="B82">
        <v>7378</v>
      </c>
      <c r="C82">
        <v>5</v>
      </c>
      <c r="D82">
        <v>5</v>
      </c>
      <c r="E82">
        <v>10</v>
      </c>
      <c r="F82">
        <v>6</v>
      </c>
    </row>
    <row r="83" spans="1:6" x14ac:dyDescent="0.35">
      <c r="A83">
        <v>79</v>
      </c>
      <c r="B83">
        <v>1618</v>
      </c>
      <c r="C83">
        <v>0</v>
      </c>
      <c r="D83">
        <v>0</v>
      </c>
      <c r="E83">
        <v>10</v>
      </c>
      <c r="F83">
        <v>8</v>
      </c>
    </row>
    <row r="84" spans="1:6" x14ac:dyDescent="0.35">
      <c r="A84">
        <v>419</v>
      </c>
      <c r="B84">
        <v>8581</v>
      </c>
      <c r="C84">
        <v>0</v>
      </c>
      <c r="D84">
        <v>0</v>
      </c>
      <c r="E84">
        <v>10</v>
      </c>
      <c r="F84">
        <v>8</v>
      </c>
    </row>
    <row r="85" spans="1:6" x14ac:dyDescent="0.35">
      <c r="A85">
        <v>817</v>
      </c>
      <c r="B85">
        <v>7462</v>
      </c>
      <c r="C85">
        <v>0</v>
      </c>
      <c r="D85">
        <v>157</v>
      </c>
      <c r="E85">
        <v>10</v>
      </c>
      <c r="F85">
        <v>4</v>
      </c>
    </row>
    <row r="86" spans="1:6" x14ac:dyDescent="0.35">
      <c r="A86">
        <v>912</v>
      </c>
      <c r="B86">
        <v>9760</v>
      </c>
      <c r="C86">
        <v>0</v>
      </c>
      <c r="D86">
        <v>0</v>
      </c>
      <c r="E86">
        <v>10</v>
      </c>
      <c r="F86">
        <v>10</v>
      </c>
    </row>
    <row r="87" spans="1:6" x14ac:dyDescent="0.35">
      <c r="A87">
        <v>1010</v>
      </c>
      <c r="B87">
        <v>5236</v>
      </c>
      <c r="C87">
        <v>0</v>
      </c>
      <c r="D87">
        <v>178</v>
      </c>
      <c r="E87">
        <v>10</v>
      </c>
      <c r="F87">
        <v>8</v>
      </c>
    </row>
    <row r="88" spans="1:6" x14ac:dyDescent="0.35">
      <c r="A88">
        <v>1308</v>
      </c>
      <c r="B88">
        <v>5758</v>
      </c>
      <c r="C88">
        <v>0</v>
      </c>
      <c r="D88">
        <v>0</v>
      </c>
      <c r="E88">
        <v>10</v>
      </c>
      <c r="F88">
        <v>13</v>
      </c>
    </row>
    <row r="89" spans="1:6" x14ac:dyDescent="0.35">
      <c r="A89">
        <v>1516</v>
      </c>
      <c r="B89">
        <v>1490</v>
      </c>
      <c r="C89">
        <v>0</v>
      </c>
      <c r="D89">
        <v>7</v>
      </c>
      <c r="E89">
        <v>10</v>
      </c>
      <c r="F89">
        <v>8</v>
      </c>
    </row>
    <row r="90" spans="1:6" x14ac:dyDescent="0.35">
      <c r="A90">
        <v>1801</v>
      </c>
      <c r="B90">
        <v>6977</v>
      </c>
      <c r="C90">
        <v>0</v>
      </c>
      <c r="D90">
        <v>37</v>
      </c>
      <c r="E90">
        <v>10</v>
      </c>
      <c r="F90">
        <v>13</v>
      </c>
    </row>
    <row r="91" spans="1:6" x14ac:dyDescent="0.35">
      <c r="A91">
        <v>1855</v>
      </c>
      <c r="B91">
        <v>2886</v>
      </c>
      <c r="C91">
        <v>0</v>
      </c>
      <c r="D91">
        <v>12</v>
      </c>
      <c r="E91">
        <v>10</v>
      </c>
      <c r="F91">
        <v>10</v>
      </c>
    </row>
    <row r="92" spans="1:6" x14ac:dyDescent="0.35">
      <c r="A92">
        <v>1914</v>
      </c>
      <c r="B92">
        <v>7101</v>
      </c>
      <c r="C92">
        <v>0</v>
      </c>
      <c r="D92">
        <v>0</v>
      </c>
      <c r="E92">
        <v>10</v>
      </c>
      <c r="F92">
        <v>10</v>
      </c>
    </row>
    <row r="93" spans="1:6" x14ac:dyDescent="0.35">
      <c r="A93">
        <v>646</v>
      </c>
      <c r="B93">
        <v>4611</v>
      </c>
      <c r="C93">
        <v>181</v>
      </c>
      <c r="D93">
        <v>21</v>
      </c>
      <c r="E93">
        <v>9</v>
      </c>
      <c r="F93">
        <v>13</v>
      </c>
    </row>
    <row r="94" spans="1:6" x14ac:dyDescent="0.35">
      <c r="A94">
        <v>102</v>
      </c>
      <c r="B94">
        <v>4518</v>
      </c>
      <c r="C94">
        <v>172</v>
      </c>
      <c r="D94">
        <v>132</v>
      </c>
      <c r="E94">
        <v>9</v>
      </c>
      <c r="F94">
        <v>11</v>
      </c>
    </row>
    <row r="95" spans="1:6" x14ac:dyDescent="0.35">
      <c r="A95">
        <v>1782</v>
      </c>
      <c r="B95">
        <v>9645</v>
      </c>
      <c r="C95">
        <v>138</v>
      </c>
      <c r="D95">
        <v>46</v>
      </c>
      <c r="E95">
        <v>9</v>
      </c>
      <c r="F95">
        <v>10</v>
      </c>
    </row>
    <row r="96" spans="1:6" x14ac:dyDescent="0.35">
      <c r="A96">
        <v>2206</v>
      </c>
      <c r="B96">
        <v>1092</v>
      </c>
      <c r="C96">
        <v>129</v>
      </c>
      <c r="D96">
        <v>43</v>
      </c>
      <c r="E96">
        <v>9</v>
      </c>
      <c r="F96">
        <v>4</v>
      </c>
    </row>
    <row r="97" spans="1:6" x14ac:dyDescent="0.35">
      <c r="A97">
        <v>2074</v>
      </c>
      <c r="B97">
        <v>2254</v>
      </c>
      <c r="C97">
        <v>120</v>
      </c>
      <c r="D97">
        <v>80</v>
      </c>
      <c r="E97">
        <v>9</v>
      </c>
      <c r="F97">
        <v>5</v>
      </c>
    </row>
    <row r="98" spans="1:6" x14ac:dyDescent="0.35">
      <c r="A98">
        <v>658</v>
      </c>
      <c r="B98">
        <v>3867</v>
      </c>
      <c r="C98">
        <v>112</v>
      </c>
      <c r="D98">
        <v>82</v>
      </c>
      <c r="E98">
        <v>9</v>
      </c>
      <c r="F98">
        <v>13</v>
      </c>
    </row>
    <row r="99" spans="1:6" x14ac:dyDescent="0.35">
      <c r="A99">
        <v>1630</v>
      </c>
      <c r="B99">
        <v>3859</v>
      </c>
      <c r="C99">
        <v>112</v>
      </c>
      <c r="D99">
        <v>82</v>
      </c>
      <c r="E99">
        <v>9</v>
      </c>
      <c r="F99">
        <v>13</v>
      </c>
    </row>
    <row r="100" spans="1:6" x14ac:dyDescent="0.35">
      <c r="A100">
        <v>401</v>
      </c>
      <c r="B100">
        <v>9999</v>
      </c>
      <c r="C100">
        <v>105</v>
      </c>
      <c r="D100">
        <v>42</v>
      </c>
      <c r="E100">
        <v>9</v>
      </c>
      <c r="F100">
        <v>9</v>
      </c>
    </row>
    <row r="101" spans="1:6" x14ac:dyDescent="0.35">
      <c r="A101">
        <v>1201</v>
      </c>
      <c r="B101">
        <v>9500</v>
      </c>
      <c r="C101">
        <v>104</v>
      </c>
      <c r="D101">
        <v>78</v>
      </c>
      <c r="E101">
        <v>9</v>
      </c>
      <c r="F101">
        <v>8</v>
      </c>
    </row>
    <row r="102" spans="1:6" x14ac:dyDescent="0.35">
      <c r="A102">
        <v>1699</v>
      </c>
      <c r="B102">
        <v>4676</v>
      </c>
      <c r="C102">
        <v>91</v>
      </c>
      <c r="D102">
        <v>107</v>
      </c>
      <c r="E102">
        <v>9</v>
      </c>
      <c r="F102">
        <v>8</v>
      </c>
    </row>
    <row r="103" spans="1:6" x14ac:dyDescent="0.35">
      <c r="A103">
        <v>117</v>
      </c>
      <c r="B103">
        <v>367</v>
      </c>
      <c r="C103">
        <v>90</v>
      </c>
      <c r="D103">
        <v>103</v>
      </c>
      <c r="E103">
        <v>9</v>
      </c>
      <c r="F103">
        <v>5</v>
      </c>
    </row>
    <row r="104" spans="1:6" x14ac:dyDescent="0.35">
      <c r="A104">
        <v>642</v>
      </c>
      <c r="B104">
        <v>2131</v>
      </c>
      <c r="C104">
        <v>89</v>
      </c>
      <c r="D104">
        <v>12</v>
      </c>
      <c r="E104">
        <v>9</v>
      </c>
      <c r="F104">
        <v>6</v>
      </c>
    </row>
    <row r="105" spans="1:6" x14ac:dyDescent="0.35">
      <c r="A105">
        <v>1469</v>
      </c>
      <c r="B105">
        <v>4406</v>
      </c>
      <c r="C105">
        <v>84</v>
      </c>
      <c r="D105">
        <v>56</v>
      </c>
      <c r="E105">
        <v>9</v>
      </c>
      <c r="F105">
        <v>8</v>
      </c>
    </row>
    <row r="106" spans="1:6" x14ac:dyDescent="0.35">
      <c r="A106">
        <v>652</v>
      </c>
      <c r="B106">
        <v>6661</v>
      </c>
      <c r="C106">
        <v>80</v>
      </c>
      <c r="D106">
        <v>80</v>
      </c>
      <c r="E106">
        <v>9</v>
      </c>
      <c r="F106">
        <v>12</v>
      </c>
    </row>
    <row r="107" spans="1:6" x14ac:dyDescent="0.35">
      <c r="A107">
        <v>1554</v>
      </c>
      <c r="B107">
        <v>5462</v>
      </c>
      <c r="C107">
        <v>80</v>
      </c>
      <c r="D107">
        <v>80</v>
      </c>
      <c r="E107">
        <v>9</v>
      </c>
      <c r="F107">
        <v>12</v>
      </c>
    </row>
    <row r="108" spans="1:6" x14ac:dyDescent="0.35">
      <c r="A108">
        <v>2064</v>
      </c>
      <c r="B108">
        <v>10897</v>
      </c>
      <c r="C108">
        <v>80</v>
      </c>
      <c r="D108">
        <v>80</v>
      </c>
      <c r="E108">
        <v>9</v>
      </c>
      <c r="F108">
        <v>12</v>
      </c>
    </row>
    <row r="109" spans="1:6" x14ac:dyDescent="0.35">
      <c r="A109">
        <v>2194</v>
      </c>
      <c r="B109">
        <v>7118</v>
      </c>
      <c r="C109">
        <v>80</v>
      </c>
      <c r="D109">
        <v>26</v>
      </c>
      <c r="E109">
        <v>9</v>
      </c>
      <c r="F109">
        <v>6</v>
      </c>
    </row>
    <row r="110" spans="1:6" x14ac:dyDescent="0.35">
      <c r="A110">
        <v>1541</v>
      </c>
      <c r="B110">
        <v>3852</v>
      </c>
      <c r="C110">
        <v>72</v>
      </c>
      <c r="D110">
        <v>27</v>
      </c>
      <c r="E110">
        <v>9</v>
      </c>
      <c r="F110">
        <v>12</v>
      </c>
    </row>
    <row r="111" spans="1:6" x14ac:dyDescent="0.35">
      <c r="A111">
        <v>1728</v>
      </c>
      <c r="B111">
        <v>1000</v>
      </c>
      <c r="C111">
        <v>72</v>
      </c>
      <c r="D111">
        <v>27</v>
      </c>
      <c r="E111">
        <v>9</v>
      </c>
      <c r="F111">
        <v>12</v>
      </c>
    </row>
    <row r="112" spans="1:6" x14ac:dyDescent="0.35">
      <c r="A112">
        <v>1765</v>
      </c>
      <c r="B112">
        <v>9167</v>
      </c>
      <c r="C112">
        <v>71</v>
      </c>
      <c r="D112">
        <v>35</v>
      </c>
      <c r="E112">
        <v>9</v>
      </c>
      <c r="F112">
        <v>12</v>
      </c>
    </row>
    <row r="113" spans="1:6" x14ac:dyDescent="0.35">
      <c r="A113">
        <v>1876</v>
      </c>
      <c r="B113">
        <v>3766</v>
      </c>
      <c r="C113">
        <v>71</v>
      </c>
      <c r="D113">
        <v>94</v>
      </c>
      <c r="E113">
        <v>9</v>
      </c>
      <c r="F113">
        <v>8</v>
      </c>
    </row>
    <row r="114" spans="1:6" x14ac:dyDescent="0.35">
      <c r="A114">
        <v>176</v>
      </c>
      <c r="B114">
        <v>10314</v>
      </c>
      <c r="C114">
        <v>66</v>
      </c>
      <c r="D114">
        <v>89</v>
      </c>
      <c r="E114">
        <v>9</v>
      </c>
      <c r="F114">
        <v>5</v>
      </c>
    </row>
    <row r="115" spans="1:6" x14ac:dyDescent="0.35">
      <c r="A115">
        <v>247</v>
      </c>
      <c r="B115">
        <v>9265</v>
      </c>
      <c r="C115">
        <v>64</v>
      </c>
      <c r="D115">
        <v>12</v>
      </c>
      <c r="E115">
        <v>9</v>
      </c>
      <c r="F115">
        <v>6</v>
      </c>
    </row>
    <row r="116" spans="1:6" x14ac:dyDescent="0.35">
      <c r="A116">
        <v>1498</v>
      </c>
      <c r="B116">
        <v>9463</v>
      </c>
      <c r="C116">
        <v>56</v>
      </c>
      <c r="D116">
        <v>98</v>
      </c>
      <c r="E116">
        <v>9</v>
      </c>
      <c r="F116">
        <v>7</v>
      </c>
    </row>
    <row r="117" spans="1:6" x14ac:dyDescent="0.35">
      <c r="A117">
        <v>1281</v>
      </c>
      <c r="B117">
        <v>9516</v>
      </c>
      <c r="C117">
        <v>54</v>
      </c>
      <c r="D117">
        <v>98</v>
      </c>
      <c r="E117">
        <v>9</v>
      </c>
      <c r="F117">
        <v>10</v>
      </c>
    </row>
    <row r="118" spans="1:6" x14ac:dyDescent="0.35">
      <c r="A118">
        <v>1642</v>
      </c>
      <c r="B118">
        <v>6575</v>
      </c>
      <c r="C118">
        <v>48</v>
      </c>
      <c r="D118">
        <v>32</v>
      </c>
      <c r="E118">
        <v>9</v>
      </c>
      <c r="F118">
        <v>7</v>
      </c>
    </row>
    <row r="119" spans="1:6" x14ac:dyDescent="0.35">
      <c r="A119">
        <v>1928</v>
      </c>
      <c r="B119">
        <v>1867</v>
      </c>
      <c r="C119">
        <v>48</v>
      </c>
      <c r="D119">
        <v>84</v>
      </c>
      <c r="E119">
        <v>9</v>
      </c>
      <c r="F119">
        <v>6</v>
      </c>
    </row>
    <row r="120" spans="1:6" x14ac:dyDescent="0.35">
      <c r="A120">
        <v>432</v>
      </c>
      <c r="B120">
        <v>238</v>
      </c>
      <c r="C120">
        <v>47</v>
      </c>
      <c r="D120">
        <v>95</v>
      </c>
      <c r="E120">
        <v>9</v>
      </c>
      <c r="F120">
        <v>9</v>
      </c>
    </row>
    <row r="121" spans="1:6" x14ac:dyDescent="0.35">
      <c r="A121">
        <v>2235</v>
      </c>
      <c r="B121">
        <v>10870</v>
      </c>
      <c r="C121">
        <v>43</v>
      </c>
      <c r="D121">
        <v>118</v>
      </c>
      <c r="E121">
        <v>9</v>
      </c>
      <c r="F121">
        <v>4</v>
      </c>
    </row>
    <row r="122" spans="1:6" x14ac:dyDescent="0.35">
      <c r="A122">
        <v>1150</v>
      </c>
      <c r="B122">
        <v>1453</v>
      </c>
      <c r="C122">
        <v>40</v>
      </c>
      <c r="D122">
        <v>20</v>
      </c>
      <c r="E122">
        <v>9</v>
      </c>
      <c r="F122">
        <v>13</v>
      </c>
    </row>
    <row r="123" spans="1:6" x14ac:dyDescent="0.35">
      <c r="A123">
        <v>1816</v>
      </c>
      <c r="B123">
        <v>5782</v>
      </c>
      <c r="C123">
        <v>35</v>
      </c>
      <c r="D123">
        <v>77</v>
      </c>
      <c r="E123">
        <v>9</v>
      </c>
      <c r="F123">
        <v>9</v>
      </c>
    </row>
    <row r="124" spans="1:6" x14ac:dyDescent="0.35">
      <c r="A124">
        <v>1888</v>
      </c>
      <c r="B124">
        <v>10858</v>
      </c>
      <c r="C124">
        <v>30</v>
      </c>
      <c r="D124">
        <v>138</v>
      </c>
      <c r="E124">
        <v>9</v>
      </c>
      <c r="F124">
        <v>7</v>
      </c>
    </row>
    <row r="125" spans="1:6" x14ac:dyDescent="0.35">
      <c r="A125">
        <v>2160</v>
      </c>
      <c r="B125">
        <v>5667</v>
      </c>
      <c r="C125">
        <v>30</v>
      </c>
      <c r="D125">
        <v>46</v>
      </c>
      <c r="E125">
        <v>9</v>
      </c>
      <c r="F125">
        <v>4</v>
      </c>
    </row>
    <row r="126" spans="1:6" x14ac:dyDescent="0.35">
      <c r="A126">
        <v>249</v>
      </c>
      <c r="B126">
        <v>8932</v>
      </c>
      <c r="C126">
        <v>28</v>
      </c>
      <c r="D126">
        <v>70</v>
      </c>
      <c r="E126">
        <v>9</v>
      </c>
      <c r="F126">
        <v>6</v>
      </c>
    </row>
    <row r="127" spans="1:6" x14ac:dyDescent="0.35">
      <c r="A127">
        <v>1087</v>
      </c>
      <c r="B127">
        <v>1509</v>
      </c>
      <c r="C127">
        <v>27</v>
      </c>
      <c r="D127">
        <v>54</v>
      </c>
      <c r="E127">
        <v>9</v>
      </c>
      <c r="F127">
        <v>4</v>
      </c>
    </row>
    <row r="128" spans="1:6" x14ac:dyDescent="0.35">
      <c r="A128">
        <v>1992</v>
      </c>
      <c r="B128">
        <v>6248</v>
      </c>
      <c r="C128">
        <v>24</v>
      </c>
      <c r="D128">
        <v>29</v>
      </c>
      <c r="E128">
        <v>9</v>
      </c>
      <c r="F128">
        <v>11</v>
      </c>
    </row>
    <row r="129" spans="1:6" x14ac:dyDescent="0.35">
      <c r="A129">
        <v>224</v>
      </c>
      <c r="B129">
        <v>7079</v>
      </c>
      <c r="C129">
        <v>23</v>
      </c>
      <c r="D129">
        <v>11</v>
      </c>
      <c r="E129">
        <v>9</v>
      </c>
      <c r="F129">
        <v>12</v>
      </c>
    </row>
    <row r="130" spans="1:6" x14ac:dyDescent="0.35">
      <c r="A130">
        <v>987</v>
      </c>
      <c r="B130">
        <v>4580</v>
      </c>
      <c r="C130">
        <v>22</v>
      </c>
      <c r="D130">
        <v>91</v>
      </c>
      <c r="E130">
        <v>9</v>
      </c>
      <c r="F130">
        <v>9</v>
      </c>
    </row>
    <row r="131" spans="1:6" x14ac:dyDescent="0.35">
      <c r="A131">
        <v>936</v>
      </c>
      <c r="B131">
        <v>1628</v>
      </c>
      <c r="C131">
        <v>21</v>
      </c>
      <c r="D131">
        <v>75</v>
      </c>
      <c r="E131">
        <v>9</v>
      </c>
      <c r="F131">
        <v>4</v>
      </c>
    </row>
    <row r="132" spans="1:6" x14ac:dyDescent="0.35">
      <c r="A132">
        <v>1072</v>
      </c>
      <c r="B132">
        <v>3807</v>
      </c>
      <c r="C132">
        <v>21</v>
      </c>
      <c r="D132">
        <v>21</v>
      </c>
      <c r="E132">
        <v>9</v>
      </c>
      <c r="F132">
        <v>9</v>
      </c>
    </row>
    <row r="133" spans="1:6" x14ac:dyDescent="0.35">
      <c r="A133">
        <v>636</v>
      </c>
      <c r="B133">
        <v>6945</v>
      </c>
      <c r="C133">
        <v>20</v>
      </c>
      <c r="D133">
        <v>54</v>
      </c>
      <c r="E133">
        <v>9</v>
      </c>
      <c r="F133">
        <v>11</v>
      </c>
    </row>
    <row r="134" spans="1:6" x14ac:dyDescent="0.35">
      <c r="A134">
        <v>1763</v>
      </c>
      <c r="B134">
        <v>2797</v>
      </c>
      <c r="C134">
        <v>20</v>
      </c>
      <c r="D134">
        <v>60</v>
      </c>
      <c r="E134">
        <v>9</v>
      </c>
      <c r="F134">
        <v>9</v>
      </c>
    </row>
    <row r="135" spans="1:6" x14ac:dyDescent="0.35">
      <c r="A135">
        <v>454</v>
      </c>
      <c r="B135">
        <v>6233</v>
      </c>
      <c r="C135">
        <v>19</v>
      </c>
      <c r="D135">
        <v>47</v>
      </c>
      <c r="E135">
        <v>9</v>
      </c>
      <c r="F135">
        <v>10</v>
      </c>
    </row>
    <row r="136" spans="1:6" x14ac:dyDescent="0.35">
      <c r="A136">
        <v>1824</v>
      </c>
      <c r="B136">
        <v>1440</v>
      </c>
      <c r="C136">
        <v>17</v>
      </c>
      <c r="D136">
        <v>188</v>
      </c>
      <c r="E136">
        <v>9</v>
      </c>
      <c r="F136">
        <v>9</v>
      </c>
    </row>
    <row r="137" spans="1:6" x14ac:dyDescent="0.35">
      <c r="A137">
        <v>2058</v>
      </c>
      <c r="B137">
        <v>10061</v>
      </c>
      <c r="C137">
        <v>17</v>
      </c>
      <c r="D137">
        <v>8</v>
      </c>
      <c r="E137">
        <v>9</v>
      </c>
      <c r="F137">
        <v>12</v>
      </c>
    </row>
    <row r="138" spans="1:6" x14ac:dyDescent="0.35">
      <c r="A138">
        <v>279</v>
      </c>
      <c r="B138">
        <v>4391</v>
      </c>
      <c r="C138">
        <v>15</v>
      </c>
      <c r="D138">
        <v>7</v>
      </c>
      <c r="E138">
        <v>9</v>
      </c>
      <c r="F138">
        <v>9</v>
      </c>
    </row>
    <row r="139" spans="1:6" x14ac:dyDescent="0.35">
      <c r="A139">
        <v>1195</v>
      </c>
      <c r="B139">
        <v>6283</v>
      </c>
      <c r="C139">
        <v>15</v>
      </c>
      <c r="D139">
        <v>7</v>
      </c>
      <c r="E139">
        <v>9</v>
      </c>
      <c r="F139">
        <v>9</v>
      </c>
    </row>
    <row r="140" spans="1:6" x14ac:dyDescent="0.35">
      <c r="A140">
        <v>1398</v>
      </c>
      <c r="B140">
        <v>3421</v>
      </c>
      <c r="C140">
        <v>15</v>
      </c>
      <c r="D140">
        <v>7</v>
      </c>
      <c r="E140">
        <v>9</v>
      </c>
      <c r="F140">
        <v>9</v>
      </c>
    </row>
    <row r="141" spans="1:6" x14ac:dyDescent="0.35">
      <c r="A141">
        <v>301</v>
      </c>
      <c r="B141">
        <v>5596</v>
      </c>
      <c r="C141">
        <v>14</v>
      </c>
      <c r="D141">
        <v>0</v>
      </c>
      <c r="E141">
        <v>9</v>
      </c>
      <c r="F141">
        <v>9</v>
      </c>
    </row>
    <row r="142" spans="1:6" x14ac:dyDescent="0.35">
      <c r="A142">
        <v>818</v>
      </c>
      <c r="B142">
        <v>3900</v>
      </c>
      <c r="C142">
        <v>14</v>
      </c>
      <c r="D142">
        <v>7</v>
      </c>
      <c r="E142">
        <v>9</v>
      </c>
      <c r="F142">
        <v>9</v>
      </c>
    </row>
    <row r="143" spans="1:6" x14ac:dyDescent="0.35">
      <c r="A143">
        <v>888</v>
      </c>
      <c r="B143">
        <v>8825</v>
      </c>
      <c r="C143">
        <v>14</v>
      </c>
      <c r="D143">
        <v>24</v>
      </c>
      <c r="E143">
        <v>9</v>
      </c>
      <c r="F143">
        <v>5</v>
      </c>
    </row>
    <row r="144" spans="1:6" x14ac:dyDescent="0.35">
      <c r="A144">
        <v>1401</v>
      </c>
      <c r="B144">
        <v>9958</v>
      </c>
      <c r="C144">
        <v>14</v>
      </c>
      <c r="D144">
        <v>7</v>
      </c>
      <c r="E144">
        <v>9</v>
      </c>
      <c r="F144">
        <v>9</v>
      </c>
    </row>
    <row r="145" spans="1:6" x14ac:dyDescent="0.35">
      <c r="A145">
        <v>494</v>
      </c>
      <c r="B145">
        <v>6605</v>
      </c>
      <c r="C145">
        <v>13</v>
      </c>
      <c r="D145">
        <v>0</v>
      </c>
      <c r="E145">
        <v>9</v>
      </c>
      <c r="F145">
        <v>6</v>
      </c>
    </row>
    <row r="146" spans="1:6" x14ac:dyDescent="0.35">
      <c r="A146">
        <v>1499</v>
      </c>
      <c r="B146">
        <v>6318</v>
      </c>
      <c r="C146">
        <v>12</v>
      </c>
      <c r="D146">
        <v>89</v>
      </c>
      <c r="E146">
        <v>9</v>
      </c>
      <c r="F146">
        <v>13</v>
      </c>
    </row>
    <row r="147" spans="1:6" x14ac:dyDescent="0.35">
      <c r="A147">
        <v>2083</v>
      </c>
      <c r="B147">
        <v>5396</v>
      </c>
      <c r="C147">
        <v>12</v>
      </c>
      <c r="D147">
        <v>89</v>
      </c>
      <c r="E147">
        <v>9</v>
      </c>
      <c r="F147">
        <v>13</v>
      </c>
    </row>
    <row r="148" spans="1:6" x14ac:dyDescent="0.35">
      <c r="A148">
        <v>332</v>
      </c>
      <c r="B148">
        <v>10675</v>
      </c>
      <c r="C148">
        <v>11</v>
      </c>
      <c r="D148">
        <v>0</v>
      </c>
      <c r="E148">
        <v>9</v>
      </c>
      <c r="F148">
        <v>5</v>
      </c>
    </row>
    <row r="149" spans="1:6" x14ac:dyDescent="0.35">
      <c r="A149">
        <v>700</v>
      </c>
      <c r="B149">
        <v>9977</v>
      </c>
      <c r="C149">
        <v>11</v>
      </c>
      <c r="D149">
        <v>26</v>
      </c>
      <c r="E149">
        <v>9</v>
      </c>
      <c r="F149">
        <v>5</v>
      </c>
    </row>
    <row r="150" spans="1:6" x14ac:dyDescent="0.35">
      <c r="A150">
        <v>2231</v>
      </c>
      <c r="B150">
        <v>9817</v>
      </c>
      <c r="C150">
        <v>10</v>
      </c>
      <c r="D150">
        <v>10</v>
      </c>
      <c r="E150">
        <v>9</v>
      </c>
      <c r="F150">
        <v>12</v>
      </c>
    </row>
    <row r="151" spans="1:6" x14ac:dyDescent="0.35">
      <c r="A151">
        <v>2144</v>
      </c>
      <c r="B151">
        <v>5136</v>
      </c>
      <c r="C151">
        <v>7</v>
      </c>
      <c r="D151">
        <v>15</v>
      </c>
      <c r="E151">
        <v>9</v>
      </c>
      <c r="F151">
        <v>8</v>
      </c>
    </row>
    <row r="152" spans="1:6" x14ac:dyDescent="0.35">
      <c r="A152">
        <v>73</v>
      </c>
      <c r="B152">
        <v>8132</v>
      </c>
      <c r="C152">
        <v>6</v>
      </c>
      <c r="D152">
        <v>6</v>
      </c>
      <c r="E152">
        <v>9</v>
      </c>
      <c r="F152">
        <v>8</v>
      </c>
    </row>
    <row r="153" spans="1:6" x14ac:dyDescent="0.35">
      <c r="A153">
        <v>707</v>
      </c>
      <c r="B153">
        <v>6991</v>
      </c>
      <c r="C153">
        <v>6</v>
      </c>
      <c r="D153">
        <v>6</v>
      </c>
      <c r="E153">
        <v>9</v>
      </c>
      <c r="F153">
        <v>6</v>
      </c>
    </row>
    <row r="154" spans="1:6" x14ac:dyDescent="0.35">
      <c r="A154">
        <v>1266</v>
      </c>
      <c r="B154">
        <v>5207</v>
      </c>
      <c r="C154">
        <v>6</v>
      </c>
      <c r="D154">
        <v>6</v>
      </c>
      <c r="E154">
        <v>9</v>
      </c>
      <c r="F154">
        <v>6</v>
      </c>
    </row>
    <row r="155" spans="1:6" x14ac:dyDescent="0.35">
      <c r="A155">
        <v>1929</v>
      </c>
      <c r="B155">
        <v>1518</v>
      </c>
      <c r="C155">
        <v>6</v>
      </c>
      <c r="D155">
        <v>91</v>
      </c>
      <c r="E155">
        <v>9</v>
      </c>
      <c r="F155">
        <v>7</v>
      </c>
    </row>
    <row r="156" spans="1:6" x14ac:dyDescent="0.35">
      <c r="A156">
        <v>1273</v>
      </c>
      <c r="B156">
        <v>635</v>
      </c>
      <c r="C156">
        <v>5</v>
      </c>
      <c r="D156">
        <v>0</v>
      </c>
      <c r="E156">
        <v>9</v>
      </c>
      <c r="F156">
        <v>7</v>
      </c>
    </row>
    <row r="157" spans="1:6" x14ac:dyDescent="0.35">
      <c r="A157">
        <v>2170</v>
      </c>
      <c r="B157">
        <v>9362</v>
      </c>
      <c r="C157">
        <v>5</v>
      </c>
      <c r="D157">
        <v>5</v>
      </c>
      <c r="E157">
        <v>9</v>
      </c>
      <c r="F157">
        <v>7</v>
      </c>
    </row>
    <row r="158" spans="1:6" x14ac:dyDescent="0.35">
      <c r="A158">
        <v>437</v>
      </c>
      <c r="B158">
        <v>10664</v>
      </c>
      <c r="C158">
        <v>4</v>
      </c>
      <c r="D158">
        <v>0</v>
      </c>
      <c r="E158">
        <v>9</v>
      </c>
      <c r="F158">
        <v>5</v>
      </c>
    </row>
    <row r="159" spans="1:6" x14ac:dyDescent="0.35">
      <c r="A159">
        <v>1148</v>
      </c>
      <c r="B159">
        <v>7755</v>
      </c>
      <c r="C159">
        <v>3</v>
      </c>
      <c r="D159">
        <v>0</v>
      </c>
      <c r="E159">
        <v>9</v>
      </c>
      <c r="F159">
        <v>4</v>
      </c>
    </row>
    <row r="160" spans="1:6" x14ac:dyDescent="0.35">
      <c r="A160">
        <v>1147</v>
      </c>
      <c r="B160">
        <v>5430</v>
      </c>
      <c r="C160">
        <v>0</v>
      </c>
      <c r="D160">
        <v>19</v>
      </c>
      <c r="E160">
        <v>9</v>
      </c>
      <c r="F160">
        <v>8</v>
      </c>
    </row>
    <row r="161" spans="1:6" x14ac:dyDescent="0.35">
      <c r="A161">
        <v>1161</v>
      </c>
      <c r="B161">
        <v>8432</v>
      </c>
      <c r="C161">
        <v>0</v>
      </c>
      <c r="D161">
        <v>19</v>
      </c>
      <c r="E161">
        <v>9</v>
      </c>
      <c r="F161">
        <v>8</v>
      </c>
    </row>
    <row r="162" spans="1:6" x14ac:dyDescent="0.35">
      <c r="A162">
        <v>1182</v>
      </c>
      <c r="B162">
        <v>1829</v>
      </c>
      <c r="C162">
        <v>0</v>
      </c>
      <c r="D162">
        <v>0</v>
      </c>
      <c r="E162">
        <v>9</v>
      </c>
      <c r="F162">
        <v>4</v>
      </c>
    </row>
    <row r="163" spans="1:6" x14ac:dyDescent="0.35">
      <c r="A163">
        <v>1286</v>
      </c>
      <c r="B163">
        <v>339</v>
      </c>
      <c r="C163">
        <v>0</v>
      </c>
      <c r="D163">
        <v>0</v>
      </c>
      <c r="E163">
        <v>9</v>
      </c>
      <c r="F163">
        <v>5</v>
      </c>
    </row>
    <row r="164" spans="1:6" x14ac:dyDescent="0.35">
      <c r="A164">
        <v>1544</v>
      </c>
      <c r="B164">
        <v>5589</v>
      </c>
      <c r="C164">
        <v>0</v>
      </c>
      <c r="D164">
        <v>7</v>
      </c>
      <c r="E164">
        <v>9</v>
      </c>
      <c r="F164">
        <v>10</v>
      </c>
    </row>
    <row r="165" spans="1:6" x14ac:dyDescent="0.35">
      <c r="A165">
        <v>1619</v>
      </c>
      <c r="B165">
        <v>3298</v>
      </c>
      <c r="C165">
        <v>0</v>
      </c>
      <c r="D165">
        <v>9</v>
      </c>
      <c r="E165">
        <v>9</v>
      </c>
      <c r="F165">
        <v>9</v>
      </c>
    </row>
    <row r="166" spans="1:6" x14ac:dyDescent="0.35">
      <c r="A166">
        <v>1868</v>
      </c>
      <c r="B166">
        <v>8486</v>
      </c>
      <c r="C166">
        <v>0</v>
      </c>
      <c r="D166">
        <v>3</v>
      </c>
      <c r="E166">
        <v>9</v>
      </c>
      <c r="F166">
        <v>4</v>
      </c>
    </row>
    <row r="167" spans="1:6" x14ac:dyDescent="0.35">
      <c r="A167">
        <v>2174</v>
      </c>
      <c r="B167">
        <v>2829</v>
      </c>
      <c r="C167">
        <v>0</v>
      </c>
      <c r="D167">
        <v>7</v>
      </c>
      <c r="E167">
        <v>9</v>
      </c>
      <c r="F167">
        <v>8</v>
      </c>
    </row>
    <row r="168" spans="1:6" x14ac:dyDescent="0.35">
      <c r="A168">
        <v>753</v>
      </c>
      <c r="B168">
        <v>3667</v>
      </c>
      <c r="C168">
        <v>178</v>
      </c>
      <c r="D168">
        <v>27</v>
      </c>
      <c r="E168">
        <v>8</v>
      </c>
      <c r="F168">
        <v>11</v>
      </c>
    </row>
    <row r="169" spans="1:6" x14ac:dyDescent="0.35">
      <c r="A169">
        <v>1031</v>
      </c>
      <c r="B169">
        <v>9220</v>
      </c>
      <c r="C169">
        <v>172</v>
      </c>
      <c r="D169">
        <v>115</v>
      </c>
      <c r="E169">
        <v>8</v>
      </c>
      <c r="F169">
        <v>5</v>
      </c>
    </row>
    <row r="170" spans="1:6" x14ac:dyDescent="0.35">
      <c r="A170">
        <v>1355</v>
      </c>
      <c r="B170">
        <v>3834</v>
      </c>
      <c r="C170">
        <v>161</v>
      </c>
      <c r="D170">
        <v>30</v>
      </c>
      <c r="E170">
        <v>8</v>
      </c>
      <c r="F170">
        <v>11</v>
      </c>
    </row>
    <row r="171" spans="1:6" x14ac:dyDescent="0.35">
      <c r="A171">
        <v>537</v>
      </c>
      <c r="B171">
        <v>6931</v>
      </c>
      <c r="C171">
        <v>151</v>
      </c>
      <c r="D171">
        <v>60</v>
      </c>
      <c r="E171">
        <v>8</v>
      </c>
      <c r="F171">
        <v>4</v>
      </c>
    </row>
    <row r="172" spans="1:6" x14ac:dyDescent="0.35">
      <c r="A172">
        <v>1700</v>
      </c>
      <c r="B172">
        <v>8852</v>
      </c>
      <c r="C172">
        <v>126</v>
      </c>
      <c r="D172">
        <v>45</v>
      </c>
      <c r="E172">
        <v>8</v>
      </c>
      <c r="F172">
        <v>11</v>
      </c>
    </row>
    <row r="173" spans="1:6" x14ac:dyDescent="0.35">
      <c r="A173">
        <v>701</v>
      </c>
      <c r="B173">
        <v>10196</v>
      </c>
      <c r="C173">
        <v>123</v>
      </c>
      <c r="D173">
        <v>64</v>
      </c>
      <c r="E173">
        <v>8</v>
      </c>
      <c r="F173">
        <v>8</v>
      </c>
    </row>
    <row r="174" spans="1:6" x14ac:dyDescent="0.35">
      <c r="A174">
        <v>771</v>
      </c>
      <c r="B174">
        <v>1915</v>
      </c>
      <c r="C174">
        <v>115</v>
      </c>
      <c r="D174">
        <v>0</v>
      </c>
      <c r="E174">
        <v>8</v>
      </c>
      <c r="F174">
        <v>6</v>
      </c>
    </row>
    <row r="175" spans="1:6" x14ac:dyDescent="0.35">
      <c r="A175">
        <v>1030</v>
      </c>
      <c r="B175">
        <v>5204</v>
      </c>
      <c r="C175">
        <v>98</v>
      </c>
      <c r="D175">
        <v>112</v>
      </c>
      <c r="E175">
        <v>8</v>
      </c>
      <c r="F175">
        <v>5</v>
      </c>
    </row>
    <row r="176" spans="1:6" x14ac:dyDescent="0.35">
      <c r="A176">
        <v>754</v>
      </c>
      <c r="B176">
        <v>7723</v>
      </c>
      <c r="C176">
        <v>93</v>
      </c>
      <c r="D176">
        <v>80</v>
      </c>
      <c r="E176">
        <v>8</v>
      </c>
      <c r="F176">
        <v>6</v>
      </c>
    </row>
    <row r="177" spans="1:6" x14ac:dyDescent="0.35">
      <c r="A177">
        <v>1389</v>
      </c>
      <c r="B177">
        <v>2963</v>
      </c>
      <c r="C177">
        <v>93</v>
      </c>
      <c r="D177">
        <v>80</v>
      </c>
      <c r="E177">
        <v>8</v>
      </c>
      <c r="F177">
        <v>6</v>
      </c>
    </row>
    <row r="178" spans="1:6" x14ac:dyDescent="0.35">
      <c r="A178">
        <v>0</v>
      </c>
      <c r="B178">
        <v>5524</v>
      </c>
      <c r="C178">
        <v>88</v>
      </c>
      <c r="D178">
        <v>88</v>
      </c>
      <c r="E178">
        <v>8</v>
      </c>
      <c r="F178">
        <v>4</v>
      </c>
    </row>
    <row r="179" spans="1:6" x14ac:dyDescent="0.35">
      <c r="A179">
        <v>1172</v>
      </c>
      <c r="B179">
        <v>8278</v>
      </c>
      <c r="C179">
        <v>83</v>
      </c>
      <c r="D179">
        <v>99</v>
      </c>
      <c r="E179">
        <v>8</v>
      </c>
      <c r="F179">
        <v>5</v>
      </c>
    </row>
    <row r="180" spans="1:6" x14ac:dyDescent="0.35">
      <c r="A180">
        <v>351</v>
      </c>
      <c r="B180">
        <v>175</v>
      </c>
      <c r="C180">
        <v>80</v>
      </c>
      <c r="D180">
        <v>107</v>
      </c>
      <c r="E180">
        <v>8</v>
      </c>
      <c r="F180">
        <v>8</v>
      </c>
    </row>
    <row r="181" spans="1:6" x14ac:dyDescent="0.35">
      <c r="A181">
        <v>705</v>
      </c>
      <c r="B181">
        <v>6988</v>
      </c>
      <c r="C181">
        <v>80</v>
      </c>
      <c r="D181">
        <v>107</v>
      </c>
      <c r="E181">
        <v>8</v>
      </c>
      <c r="F181">
        <v>8</v>
      </c>
    </row>
    <row r="182" spans="1:6" x14ac:dyDescent="0.35">
      <c r="A182">
        <v>2006</v>
      </c>
      <c r="B182">
        <v>3599</v>
      </c>
      <c r="C182">
        <v>80</v>
      </c>
      <c r="D182">
        <v>93</v>
      </c>
      <c r="E182">
        <v>8</v>
      </c>
      <c r="F182">
        <v>8</v>
      </c>
    </row>
    <row r="183" spans="1:6" x14ac:dyDescent="0.35">
      <c r="A183">
        <v>736</v>
      </c>
      <c r="B183">
        <v>7072</v>
      </c>
      <c r="C183">
        <v>79</v>
      </c>
      <c r="D183">
        <v>136</v>
      </c>
      <c r="E183">
        <v>8</v>
      </c>
      <c r="F183">
        <v>4</v>
      </c>
    </row>
    <row r="184" spans="1:6" x14ac:dyDescent="0.35">
      <c r="A184">
        <v>1859</v>
      </c>
      <c r="B184">
        <v>521</v>
      </c>
      <c r="C184">
        <v>77</v>
      </c>
      <c r="D184">
        <v>24</v>
      </c>
      <c r="E184">
        <v>8</v>
      </c>
      <c r="F184">
        <v>7</v>
      </c>
    </row>
    <row r="185" spans="1:6" x14ac:dyDescent="0.35">
      <c r="A185">
        <v>40</v>
      </c>
      <c r="B185">
        <v>8601</v>
      </c>
      <c r="C185">
        <v>76</v>
      </c>
      <c r="D185">
        <v>178</v>
      </c>
      <c r="E185">
        <v>8</v>
      </c>
      <c r="F185">
        <v>5</v>
      </c>
    </row>
    <row r="186" spans="1:6" x14ac:dyDescent="0.35">
      <c r="A186">
        <v>1691</v>
      </c>
      <c r="B186">
        <v>6349</v>
      </c>
      <c r="C186">
        <v>73</v>
      </c>
      <c r="D186">
        <v>48</v>
      </c>
      <c r="E186">
        <v>8</v>
      </c>
      <c r="F186">
        <v>6</v>
      </c>
    </row>
    <row r="187" spans="1:6" x14ac:dyDescent="0.35">
      <c r="A187">
        <v>638</v>
      </c>
      <c r="B187">
        <v>1907</v>
      </c>
      <c r="C187">
        <v>69</v>
      </c>
      <c r="D187">
        <v>41</v>
      </c>
      <c r="E187">
        <v>8</v>
      </c>
      <c r="F187">
        <v>9</v>
      </c>
    </row>
    <row r="188" spans="1:6" x14ac:dyDescent="0.35">
      <c r="A188">
        <v>433</v>
      </c>
      <c r="B188">
        <v>6694</v>
      </c>
      <c r="C188">
        <v>66</v>
      </c>
      <c r="D188">
        <v>38</v>
      </c>
      <c r="E188">
        <v>8</v>
      </c>
      <c r="F188">
        <v>13</v>
      </c>
    </row>
    <row r="189" spans="1:6" x14ac:dyDescent="0.35">
      <c r="A189">
        <v>626</v>
      </c>
      <c r="B189">
        <v>10156</v>
      </c>
      <c r="C189">
        <v>63</v>
      </c>
      <c r="D189">
        <v>31</v>
      </c>
      <c r="E189">
        <v>8</v>
      </c>
      <c r="F189">
        <v>7</v>
      </c>
    </row>
    <row r="190" spans="1:6" x14ac:dyDescent="0.35">
      <c r="A190">
        <v>2128</v>
      </c>
      <c r="B190">
        <v>1631</v>
      </c>
      <c r="C190">
        <v>63</v>
      </c>
      <c r="D190">
        <v>25</v>
      </c>
      <c r="E190">
        <v>8</v>
      </c>
      <c r="F190">
        <v>7</v>
      </c>
    </row>
    <row r="191" spans="1:6" x14ac:dyDescent="0.35">
      <c r="A191">
        <v>2023</v>
      </c>
      <c r="B191">
        <v>7861</v>
      </c>
      <c r="C191">
        <v>57</v>
      </c>
      <c r="D191">
        <v>0</v>
      </c>
      <c r="E191">
        <v>8</v>
      </c>
      <c r="F191">
        <v>6</v>
      </c>
    </row>
    <row r="192" spans="1:6" x14ac:dyDescent="0.35">
      <c r="A192">
        <v>1329</v>
      </c>
      <c r="B192">
        <v>158</v>
      </c>
      <c r="C192">
        <v>53</v>
      </c>
      <c r="D192">
        <v>75</v>
      </c>
      <c r="E192">
        <v>8</v>
      </c>
      <c r="F192">
        <v>5</v>
      </c>
    </row>
    <row r="193" spans="1:6" x14ac:dyDescent="0.35">
      <c r="A193">
        <v>1674</v>
      </c>
      <c r="B193">
        <v>3389</v>
      </c>
      <c r="C193">
        <v>53</v>
      </c>
      <c r="D193">
        <v>107</v>
      </c>
      <c r="E193">
        <v>8</v>
      </c>
      <c r="F193">
        <v>13</v>
      </c>
    </row>
    <row r="194" spans="1:6" x14ac:dyDescent="0.35">
      <c r="A194">
        <v>1960</v>
      </c>
      <c r="B194">
        <v>8925</v>
      </c>
      <c r="C194">
        <v>53</v>
      </c>
      <c r="D194">
        <v>179</v>
      </c>
      <c r="E194">
        <v>8</v>
      </c>
      <c r="F194">
        <v>10</v>
      </c>
    </row>
    <row r="195" spans="1:6" x14ac:dyDescent="0.35">
      <c r="A195">
        <v>1854</v>
      </c>
      <c r="B195">
        <v>10163</v>
      </c>
      <c r="C195">
        <v>50</v>
      </c>
      <c r="D195">
        <v>38</v>
      </c>
      <c r="E195">
        <v>8</v>
      </c>
      <c r="F195">
        <v>7</v>
      </c>
    </row>
    <row r="196" spans="1:6" x14ac:dyDescent="0.35">
      <c r="A196">
        <v>2186</v>
      </c>
      <c r="B196">
        <v>2666</v>
      </c>
      <c r="C196">
        <v>50</v>
      </c>
      <c r="D196">
        <v>0</v>
      </c>
      <c r="E196">
        <v>8</v>
      </c>
      <c r="F196">
        <v>11</v>
      </c>
    </row>
    <row r="197" spans="1:6" x14ac:dyDescent="0.35">
      <c r="A197">
        <v>2</v>
      </c>
      <c r="B197">
        <v>4141</v>
      </c>
      <c r="C197">
        <v>49</v>
      </c>
      <c r="D197">
        <v>21</v>
      </c>
      <c r="E197">
        <v>8</v>
      </c>
      <c r="F197">
        <v>10</v>
      </c>
    </row>
    <row r="198" spans="1:6" x14ac:dyDescent="0.35">
      <c r="A198">
        <v>1111</v>
      </c>
      <c r="B198">
        <v>1524</v>
      </c>
      <c r="C198">
        <v>45</v>
      </c>
      <c r="D198">
        <v>160</v>
      </c>
      <c r="E198">
        <v>8</v>
      </c>
      <c r="F198">
        <v>5</v>
      </c>
    </row>
    <row r="199" spans="1:6" x14ac:dyDescent="0.35">
      <c r="A199">
        <v>1711</v>
      </c>
      <c r="B199">
        <v>7832</v>
      </c>
      <c r="C199">
        <v>44</v>
      </c>
      <c r="D199">
        <v>88</v>
      </c>
      <c r="E199">
        <v>8</v>
      </c>
      <c r="F199">
        <v>7</v>
      </c>
    </row>
    <row r="200" spans="1:6" x14ac:dyDescent="0.35">
      <c r="A200">
        <v>2024</v>
      </c>
      <c r="B200">
        <v>4837</v>
      </c>
      <c r="C200">
        <v>43</v>
      </c>
      <c r="D200">
        <v>10</v>
      </c>
      <c r="E200">
        <v>8</v>
      </c>
      <c r="F200">
        <v>13</v>
      </c>
    </row>
    <row r="201" spans="1:6" x14ac:dyDescent="0.35">
      <c r="A201">
        <v>451</v>
      </c>
      <c r="B201">
        <v>2807</v>
      </c>
      <c r="C201">
        <v>38</v>
      </c>
      <c r="D201">
        <v>47</v>
      </c>
      <c r="E201">
        <v>8</v>
      </c>
      <c r="F201">
        <v>7</v>
      </c>
    </row>
    <row r="202" spans="1:6" x14ac:dyDescent="0.35">
      <c r="A202">
        <v>2085</v>
      </c>
      <c r="B202">
        <v>1052</v>
      </c>
      <c r="C202">
        <v>38</v>
      </c>
      <c r="D202">
        <v>47</v>
      </c>
      <c r="E202">
        <v>8</v>
      </c>
      <c r="F202">
        <v>7</v>
      </c>
    </row>
    <row r="203" spans="1:6" x14ac:dyDescent="0.35">
      <c r="A203">
        <v>1548</v>
      </c>
      <c r="B203">
        <v>591</v>
      </c>
      <c r="C203">
        <v>35</v>
      </c>
      <c r="D203">
        <v>59</v>
      </c>
      <c r="E203">
        <v>8</v>
      </c>
      <c r="F203">
        <v>7</v>
      </c>
    </row>
    <row r="204" spans="1:6" x14ac:dyDescent="0.35">
      <c r="A204">
        <v>1966</v>
      </c>
      <c r="B204">
        <v>7165</v>
      </c>
      <c r="C204">
        <v>35</v>
      </c>
      <c r="D204">
        <v>86</v>
      </c>
      <c r="E204">
        <v>8</v>
      </c>
      <c r="F204">
        <v>10</v>
      </c>
    </row>
    <row r="205" spans="1:6" x14ac:dyDescent="0.35">
      <c r="A205">
        <v>1067</v>
      </c>
      <c r="B205">
        <v>2223</v>
      </c>
      <c r="C205">
        <v>33</v>
      </c>
      <c r="D205">
        <v>116</v>
      </c>
      <c r="E205">
        <v>8</v>
      </c>
      <c r="F205">
        <v>8</v>
      </c>
    </row>
    <row r="206" spans="1:6" x14ac:dyDescent="0.35">
      <c r="A206">
        <v>2210</v>
      </c>
      <c r="B206">
        <v>607</v>
      </c>
      <c r="C206">
        <v>29</v>
      </c>
      <c r="D206">
        <v>0</v>
      </c>
      <c r="E206">
        <v>8</v>
      </c>
      <c r="F206">
        <v>7</v>
      </c>
    </row>
    <row r="207" spans="1:6" x14ac:dyDescent="0.35">
      <c r="A207">
        <v>828</v>
      </c>
      <c r="B207">
        <v>2150</v>
      </c>
      <c r="C207">
        <v>28</v>
      </c>
      <c r="D207">
        <v>56</v>
      </c>
      <c r="E207">
        <v>8</v>
      </c>
      <c r="F207">
        <v>4</v>
      </c>
    </row>
    <row r="208" spans="1:6" x14ac:dyDescent="0.35">
      <c r="A208">
        <v>1688</v>
      </c>
      <c r="B208">
        <v>9256</v>
      </c>
      <c r="C208">
        <v>26</v>
      </c>
      <c r="D208">
        <v>80</v>
      </c>
      <c r="E208">
        <v>8</v>
      </c>
      <c r="F208">
        <v>12</v>
      </c>
    </row>
    <row r="209" spans="1:6" x14ac:dyDescent="0.35">
      <c r="A209">
        <v>562</v>
      </c>
      <c r="B209">
        <v>9780</v>
      </c>
      <c r="C209">
        <v>25</v>
      </c>
      <c r="D209">
        <v>0</v>
      </c>
      <c r="E209">
        <v>8</v>
      </c>
      <c r="F209">
        <v>13</v>
      </c>
    </row>
    <row r="210" spans="1:6" x14ac:dyDescent="0.35">
      <c r="A210">
        <v>998</v>
      </c>
      <c r="B210">
        <v>1212</v>
      </c>
      <c r="C210">
        <v>25</v>
      </c>
      <c r="D210">
        <v>41</v>
      </c>
      <c r="E210">
        <v>8</v>
      </c>
      <c r="F210">
        <v>6</v>
      </c>
    </row>
    <row r="211" spans="1:6" x14ac:dyDescent="0.35">
      <c r="A211">
        <v>1360</v>
      </c>
      <c r="B211">
        <v>1343</v>
      </c>
      <c r="C211">
        <v>24</v>
      </c>
      <c r="D211">
        <v>0</v>
      </c>
      <c r="E211">
        <v>8</v>
      </c>
      <c r="F211">
        <v>6</v>
      </c>
    </row>
    <row r="212" spans="1:6" x14ac:dyDescent="0.35">
      <c r="A212">
        <v>1473</v>
      </c>
      <c r="B212">
        <v>4070</v>
      </c>
      <c r="C212">
        <v>24</v>
      </c>
      <c r="D212">
        <v>0</v>
      </c>
      <c r="E212">
        <v>8</v>
      </c>
      <c r="F212">
        <v>4</v>
      </c>
    </row>
    <row r="213" spans="1:6" x14ac:dyDescent="0.35">
      <c r="A213">
        <v>2103</v>
      </c>
      <c r="B213">
        <v>2909</v>
      </c>
      <c r="C213">
        <v>24</v>
      </c>
      <c r="D213">
        <v>24</v>
      </c>
      <c r="E213">
        <v>8</v>
      </c>
      <c r="F213">
        <v>6</v>
      </c>
    </row>
    <row r="214" spans="1:6" x14ac:dyDescent="0.35">
      <c r="A214">
        <v>2225</v>
      </c>
      <c r="B214">
        <v>4749</v>
      </c>
      <c r="C214">
        <v>24</v>
      </c>
      <c r="D214">
        <v>0</v>
      </c>
      <c r="E214">
        <v>8</v>
      </c>
      <c r="F214">
        <v>6</v>
      </c>
    </row>
    <row r="215" spans="1:6" x14ac:dyDescent="0.35">
      <c r="A215">
        <v>680</v>
      </c>
      <c r="B215">
        <v>2891</v>
      </c>
      <c r="C215">
        <v>23</v>
      </c>
      <c r="D215">
        <v>23</v>
      </c>
      <c r="E215">
        <v>8</v>
      </c>
      <c r="F215">
        <v>4</v>
      </c>
    </row>
    <row r="216" spans="1:6" x14ac:dyDescent="0.35">
      <c r="A216">
        <v>1254</v>
      </c>
      <c r="B216">
        <v>5011</v>
      </c>
      <c r="C216">
        <v>23</v>
      </c>
      <c r="D216">
        <v>23</v>
      </c>
      <c r="E216">
        <v>8</v>
      </c>
      <c r="F216">
        <v>4</v>
      </c>
    </row>
    <row r="217" spans="1:6" x14ac:dyDescent="0.35">
      <c r="A217">
        <v>1865</v>
      </c>
      <c r="B217">
        <v>3678</v>
      </c>
      <c r="C217">
        <v>23</v>
      </c>
      <c r="D217">
        <v>0</v>
      </c>
      <c r="E217">
        <v>8</v>
      </c>
      <c r="F217">
        <v>7</v>
      </c>
    </row>
    <row r="218" spans="1:6" x14ac:dyDescent="0.35">
      <c r="A218">
        <v>191</v>
      </c>
      <c r="B218">
        <v>5602</v>
      </c>
      <c r="C218">
        <v>22</v>
      </c>
      <c r="D218">
        <v>113</v>
      </c>
      <c r="E218">
        <v>8</v>
      </c>
      <c r="F218">
        <v>12</v>
      </c>
    </row>
    <row r="219" spans="1:6" x14ac:dyDescent="0.35">
      <c r="A219">
        <v>256</v>
      </c>
      <c r="B219">
        <v>309</v>
      </c>
      <c r="C219">
        <v>21</v>
      </c>
      <c r="D219">
        <v>10</v>
      </c>
      <c r="E219">
        <v>8</v>
      </c>
      <c r="F219">
        <v>5</v>
      </c>
    </row>
    <row r="220" spans="1:6" x14ac:dyDescent="0.35">
      <c r="A220">
        <v>1363</v>
      </c>
      <c r="B220">
        <v>6181</v>
      </c>
      <c r="C220">
        <v>21</v>
      </c>
      <c r="D220">
        <v>108</v>
      </c>
      <c r="E220">
        <v>8</v>
      </c>
      <c r="F220">
        <v>11</v>
      </c>
    </row>
    <row r="221" spans="1:6" x14ac:dyDescent="0.35">
      <c r="A221">
        <v>1750</v>
      </c>
      <c r="B221">
        <v>3571</v>
      </c>
      <c r="C221">
        <v>21</v>
      </c>
      <c r="D221">
        <v>10</v>
      </c>
      <c r="E221">
        <v>8</v>
      </c>
      <c r="F221">
        <v>5</v>
      </c>
    </row>
    <row r="222" spans="1:6" x14ac:dyDescent="0.35">
      <c r="A222">
        <v>2201</v>
      </c>
      <c r="B222">
        <v>10968</v>
      </c>
      <c r="C222">
        <v>21</v>
      </c>
      <c r="D222">
        <v>8</v>
      </c>
      <c r="E222">
        <v>8</v>
      </c>
      <c r="F222">
        <v>6</v>
      </c>
    </row>
    <row r="223" spans="1:6" x14ac:dyDescent="0.35">
      <c r="A223">
        <v>1249</v>
      </c>
      <c r="B223">
        <v>10833</v>
      </c>
      <c r="C223">
        <v>19</v>
      </c>
      <c r="D223">
        <v>0</v>
      </c>
      <c r="E223">
        <v>8</v>
      </c>
      <c r="F223">
        <v>13</v>
      </c>
    </row>
    <row r="224" spans="1:6" x14ac:dyDescent="0.35">
      <c r="A224">
        <v>151</v>
      </c>
      <c r="B224">
        <v>7987</v>
      </c>
      <c r="C224">
        <v>17</v>
      </c>
      <c r="D224">
        <v>13</v>
      </c>
      <c r="E224">
        <v>8</v>
      </c>
      <c r="F224">
        <v>6</v>
      </c>
    </row>
    <row r="225" spans="1:6" x14ac:dyDescent="0.35">
      <c r="A225">
        <v>324</v>
      </c>
      <c r="B225">
        <v>2607</v>
      </c>
      <c r="C225">
        <v>17</v>
      </c>
      <c r="D225">
        <v>23</v>
      </c>
      <c r="E225">
        <v>8</v>
      </c>
      <c r="F225">
        <v>8</v>
      </c>
    </row>
    <row r="226" spans="1:6" x14ac:dyDescent="0.35">
      <c r="A226">
        <v>143</v>
      </c>
      <c r="B226">
        <v>2937</v>
      </c>
      <c r="C226">
        <v>16</v>
      </c>
      <c r="D226">
        <v>33</v>
      </c>
      <c r="E226">
        <v>8</v>
      </c>
      <c r="F226">
        <v>9</v>
      </c>
    </row>
    <row r="227" spans="1:6" x14ac:dyDescent="0.35">
      <c r="A227">
        <v>217</v>
      </c>
      <c r="B227">
        <v>6274</v>
      </c>
      <c r="C227">
        <v>16</v>
      </c>
      <c r="D227">
        <v>48</v>
      </c>
      <c r="E227">
        <v>8</v>
      </c>
      <c r="F227">
        <v>6</v>
      </c>
    </row>
    <row r="228" spans="1:6" x14ac:dyDescent="0.35">
      <c r="A228">
        <v>761</v>
      </c>
      <c r="B228">
        <v>6887</v>
      </c>
      <c r="C228">
        <v>16</v>
      </c>
      <c r="D228">
        <v>43</v>
      </c>
      <c r="E228">
        <v>8</v>
      </c>
      <c r="F228">
        <v>8</v>
      </c>
    </row>
    <row r="229" spans="1:6" x14ac:dyDescent="0.35">
      <c r="A229">
        <v>1002</v>
      </c>
      <c r="B229">
        <v>9984</v>
      </c>
      <c r="C229">
        <v>16</v>
      </c>
      <c r="D229">
        <v>5</v>
      </c>
      <c r="E229">
        <v>8</v>
      </c>
      <c r="F229">
        <v>4</v>
      </c>
    </row>
    <row r="230" spans="1:6" x14ac:dyDescent="0.35">
      <c r="A230">
        <v>1736</v>
      </c>
      <c r="B230">
        <v>7500</v>
      </c>
      <c r="C230">
        <v>16</v>
      </c>
      <c r="D230">
        <v>43</v>
      </c>
      <c r="E230">
        <v>8</v>
      </c>
      <c r="F230">
        <v>8</v>
      </c>
    </row>
    <row r="231" spans="1:6" x14ac:dyDescent="0.35">
      <c r="A231">
        <v>1180</v>
      </c>
      <c r="B231">
        <v>359</v>
      </c>
      <c r="C231">
        <v>14</v>
      </c>
      <c r="D231">
        <v>9</v>
      </c>
      <c r="E231">
        <v>8</v>
      </c>
      <c r="F231">
        <v>6</v>
      </c>
    </row>
    <row r="232" spans="1:6" x14ac:dyDescent="0.35">
      <c r="A232">
        <v>1839</v>
      </c>
      <c r="B232">
        <v>531</v>
      </c>
      <c r="C232">
        <v>14</v>
      </c>
      <c r="D232">
        <v>58</v>
      </c>
      <c r="E232">
        <v>8</v>
      </c>
      <c r="F232">
        <v>9</v>
      </c>
    </row>
    <row r="233" spans="1:6" x14ac:dyDescent="0.35">
      <c r="A233">
        <v>2009</v>
      </c>
      <c r="B233">
        <v>832</v>
      </c>
      <c r="C233">
        <v>14</v>
      </c>
      <c r="D233">
        <v>14</v>
      </c>
      <c r="E233">
        <v>8</v>
      </c>
      <c r="F233">
        <v>10</v>
      </c>
    </row>
    <row r="234" spans="1:6" x14ac:dyDescent="0.35">
      <c r="A234">
        <v>682</v>
      </c>
      <c r="B234">
        <v>75</v>
      </c>
      <c r="C234">
        <v>11</v>
      </c>
      <c r="D234">
        <v>61</v>
      </c>
      <c r="E234">
        <v>8</v>
      </c>
      <c r="F234">
        <v>5</v>
      </c>
    </row>
    <row r="235" spans="1:6" x14ac:dyDescent="0.35">
      <c r="A235">
        <v>698</v>
      </c>
      <c r="B235">
        <v>10888</v>
      </c>
      <c r="C235">
        <v>11</v>
      </c>
      <c r="D235">
        <v>83</v>
      </c>
      <c r="E235">
        <v>8</v>
      </c>
      <c r="F235">
        <v>6</v>
      </c>
    </row>
    <row r="236" spans="1:6" x14ac:dyDescent="0.35">
      <c r="A236">
        <v>2135</v>
      </c>
      <c r="B236">
        <v>10127</v>
      </c>
      <c r="C236">
        <v>11</v>
      </c>
      <c r="D236">
        <v>7</v>
      </c>
      <c r="E236">
        <v>8</v>
      </c>
      <c r="F236">
        <v>4</v>
      </c>
    </row>
    <row r="237" spans="1:6" x14ac:dyDescent="0.35">
      <c r="A237">
        <v>1466</v>
      </c>
      <c r="B237">
        <v>4690</v>
      </c>
      <c r="C237">
        <v>10</v>
      </c>
      <c r="D237">
        <v>10</v>
      </c>
      <c r="E237">
        <v>8</v>
      </c>
      <c r="F237">
        <v>8</v>
      </c>
    </row>
    <row r="238" spans="1:6" x14ac:dyDescent="0.35">
      <c r="A238">
        <v>2110</v>
      </c>
      <c r="B238">
        <v>9729</v>
      </c>
      <c r="C238">
        <v>10</v>
      </c>
      <c r="D238">
        <v>43</v>
      </c>
      <c r="E238">
        <v>8</v>
      </c>
      <c r="F238">
        <v>7</v>
      </c>
    </row>
    <row r="239" spans="1:6" x14ac:dyDescent="0.35">
      <c r="A239">
        <v>472</v>
      </c>
      <c r="B239">
        <v>564</v>
      </c>
      <c r="C239">
        <v>8</v>
      </c>
      <c r="D239">
        <v>8</v>
      </c>
      <c r="E239">
        <v>8</v>
      </c>
      <c r="F239">
        <v>9</v>
      </c>
    </row>
    <row r="240" spans="1:6" x14ac:dyDescent="0.35">
      <c r="A240">
        <v>895</v>
      </c>
      <c r="B240">
        <v>9224</v>
      </c>
      <c r="C240">
        <v>8</v>
      </c>
      <c r="D240">
        <v>0</v>
      </c>
      <c r="E240">
        <v>8</v>
      </c>
      <c r="F240">
        <v>5</v>
      </c>
    </row>
    <row r="241" spans="1:6" x14ac:dyDescent="0.35">
      <c r="A241">
        <v>1374</v>
      </c>
      <c r="B241">
        <v>4743</v>
      </c>
      <c r="C241">
        <v>8</v>
      </c>
      <c r="D241">
        <v>8</v>
      </c>
      <c r="E241">
        <v>8</v>
      </c>
      <c r="F241">
        <v>11</v>
      </c>
    </row>
    <row r="242" spans="1:6" x14ac:dyDescent="0.35">
      <c r="A242">
        <v>1623</v>
      </c>
      <c r="B242">
        <v>6097</v>
      </c>
      <c r="C242">
        <v>8</v>
      </c>
      <c r="D242">
        <v>4</v>
      </c>
      <c r="E242">
        <v>8</v>
      </c>
      <c r="F242">
        <v>6</v>
      </c>
    </row>
    <row r="243" spans="1:6" x14ac:dyDescent="0.35">
      <c r="A243">
        <v>62</v>
      </c>
      <c r="B243">
        <v>1012</v>
      </c>
      <c r="C243">
        <v>7</v>
      </c>
      <c r="D243">
        <v>14</v>
      </c>
      <c r="E243">
        <v>8</v>
      </c>
      <c r="F243">
        <v>10</v>
      </c>
    </row>
    <row r="244" spans="1:6" x14ac:dyDescent="0.35">
      <c r="A244">
        <v>215</v>
      </c>
      <c r="B244">
        <v>1584</v>
      </c>
      <c r="C244">
        <v>7</v>
      </c>
      <c r="D244">
        <v>19</v>
      </c>
      <c r="E244">
        <v>8</v>
      </c>
      <c r="F244">
        <v>5</v>
      </c>
    </row>
    <row r="245" spans="1:6" x14ac:dyDescent="0.35">
      <c r="A245">
        <v>226</v>
      </c>
      <c r="B245">
        <v>7375</v>
      </c>
      <c r="C245">
        <v>7</v>
      </c>
      <c r="D245">
        <v>11</v>
      </c>
      <c r="E245">
        <v>8</v>
      </c>
      <c r="F245">
        <v>4</v>
      </c>
    </row>
    <row r="246" spans="1:6" x14ac:dyDescent="0.35">
      <c r="A246">
        <v>281</v>
      </c>
      <c r="B246">
        <v>10144</v>
      </c>
      <c r="C246">
        <v>7</v>
      </c>
      <c r="D246">
        <v>11</v>
      </c>
      <c r="E246">
        <v>8</v>
      </c>
      <c r="F246">
        <v>4</v>
      </c>
    </row>
    <row r="247" spans="1:6" x14ac:dyDescent="0.35">
      <c r="A247">
        <v>939</v>
      </c>
      <c r="B247">
        <v>760</v>
      </c>
      <c r="C247">
        <v>7</v>
      </c>
      <c r="D247">
        <v>15</v>
      </c>
      <c r="E247">
        <v>8</v>
      </c>
      <c r="F247">
        <v>9</v>
      </c>
    </row>
    <row r="248" spans="1:6" x14ac:dyDescent="0.35">
      <c r="A248">
        <v>1173</v>
      </c>
      <c r="B248">
        <v>10660</v>
      </c>
      <c r="C248">
        <v>7</v>
      </c>
      <c r="D248">
        <v>0</v>
      </c>
      <c r="E248">
        <v>8</v>
      </c>
      <c r="F248">
        <v>4</v>
      </c>
    </row>
    <row r="249" spans="1:6" x14ac:dyDescent="0.35">
      <c r="A249">
        <v>1404</v>
      </c>
      <c r="B249">
        <v>6613</v>
      </c>
      <c r="C249">
        <v>7</v>
      </c>
      <c r="D249">
        <v>14</v>
      </c>
      <c r="E249">
        <v>8</v>
      </c>
      <c r="F249">
        <v>8</v>
      </c>
    </row>
    <row r="250" spans="1:6" x14ac:dyDescent="0.35">
      <c r="A250">
        <v>1503</v>
      </c>
      <c r="B250">
        <v>3594</v>
      </c>
      <c r="C250">
        <v>6</v>
      </c>
      <c r="D250">
        <v>6</v>
      </c>
      <c r="E250">
        <v>8</v>
      </c>
      <c r="F250">
        <v>9</v>
      </c>
    </row>
    <row r="251" spans="1:6" x14ac:dyDescent="0.35">
      <c r="A251">
        <v>1636</v>
      </c>
      <c r="B251">
        <v>5209</v>
      </c>
      <c r="C251">
        <v>5</v>
      </c>
      <c r="D251">
        <v>16</v>
      </c>
      <c r="E251">
        <v>8</v>
      </c>
      <c r="F251">
        <v>7</v>
      </c>
    </row>
    <row r="252" spans="1:6" x14ac:dyDescent="0.35">
      <c r="A252">
        <v>200</v>
      </c>
      <c r="B252">
        <v>7300</v>
      </c>
      <c r="C252">
        <v>4</v>
      </c>
      <c r="D252">
        <v>4</v>
      </c>
      <c r="E252">
        <v>8</v>
      </c>
      <c r="F252">
        <v>7</v>
      </c>
    </row>
    <row r="253" spans="1:6" x14ac:dyDescent="0.35">
      <c r="A253">
        <v>532</v>
      </c>
      <c r="B253">
        <v>4769</v>
      </c>
      <c r="C253">
        <v>4</v>
      </c>
      <c r="D253">
        <v>0</v>
      </c>
      <c r="E253">
        <v>8</v>
      </c>
      <c r="F253">
        <v>6</v>
      </c>
    </row>
    <row r="254" spans="1:6" x14ac:dyDescent="0.35">
      <c r="A254">
        <v>1162</v>
      </c>
      <c r="B254">
        <v>6218</v>
      </c>
      <c r="C254">
        <v>4</v>
      </c>
      <c r="D254">
        <v>0</v>
      </c>
      <c r="E254">
        <v>8</v>
      </c>
      <c r="F254">
        <v>7</v>
      </c>
    </row>
    <row r="255" spans="1:6" x14ac:dyDescent="0.35">
      <c r="A255">
        <v>59</v>
      </c>
      <c r="B255">
        <v>8375</v>
      </c>
      <c r="C255">
        <v>0</v>
      </c>
      <c r="D255">
        <v>0</v>
      </c>
      <c r="E255">
        <v>8</v>
      </c>
      <c r="F255">
        <v>6</v>
      </c>
    </row>
    <row r="256" spans="1:6" x14ac:dyDescent="0.35">
      <c r="A256">
        <v>112</v>
      </c>
      <c r="B256">
        <v>3267</v>
      </c>
      <c r="C256">
        <v>0</v>
      </c>
      <c r="D256">
        <v>0</v>
      </c>
      <c r="E256">
        <v>8</v>
      </c>
      <c r="F256">
        <v>8</v>
      </c>
    </row>
    <row r="257" spans="1:6" x14ac:dyDescent="0.35">
      <c r="A257">
        <v>154</v>
      </c>
      <c r="B257">
        <v>7055</v>
      </c>
      <c r="C257">
        <v>0</v>
      </c>
      <c r="D257">
        <v>0</v>
      </c>
      <c r="E257">
        <v>8</v>
      </c>
      <c r="F257">
        <v>11</v>
      </c>
    </row>
    <row r="258" spans="1:6" x14ac:dyDescent="0.35">
      <c r="A258">
        <v>299</v>
      </c>
      <c r="B258">
        <v>3924</v>
      </c>
      <c r="C258">
        <v>0</v>
      </c>
      <c r="D258">
        <v>0</v>
      </c>
      <c r="E258">
        <v>8</v>
      </c>
      <c r="F258">
        <v>12</v>
      </c>
    </row>
    <row r="259" spans="1:6" x14ac:dyDescent="0.35">
      <c r="A259">
        <v>308</v>
      </c>
      <c r="B259">
        <v>4440</v>
      </c>
      <c r="C259">
        <v>0</v>
      </c>
      <c r="D259">
        <v>0</v>
      </c>
      <c r="E259">
        <v>8</v>
      </c>
      <c r="F259">
        <v>6</v>
      </c>
    </row>
    <row r="260" spans="1:6" x14ac:dyDescent="0.35">
      <c r="A260">
        <v>431</v>
      </c>
      <c r="B260">
        <v>4324</v>
      </c>
      <c r="C260">
        <v>0</v>
      </c>
      <c r="D260">
        <v>4</v>
      </c>
      <c r="E260">
        <v>8</v>
      </c>
      <c r="F260">
        <v>7</v>
      </c>
    </row>
    <row r="261" spans="1:6" x14ac:dyDescent="0.35">
      <c r="A261">
        <v>475</v>
      </c>
      <c r="B261">
        <v>178</v>
      </c>
      <c r="C261">
        <v>0</v>
      </c>
      <c r="D261">
        <v>75</v>
      </c>
      <c r="E261">
        <v>8</v>
      </c>
      <c r="F261">
        <v>11</v>
      </c>
    </row>
    <row r="262" spans="1:6" x14ac:dyDescent="0.35">
      <c r="A262">
        <v>996</v>
      </c>
      <c r="B262">
        <v>8492</v>
      </c>
      <c r="C262">
        <v>0</v>
      </c>
      <c r="D262">
        <v>58</v>
      </c>
      <c r="E262">
        <v>8</v>
      </c>
      <c r="F262">
        <v>10</v>
      </c>
    </row>
    <row r="263" spans="1:6" x14ac:dyDescent="0.35">
      <c r="A263">
        <v>1235</v>
      </c>
      <c r="B263">
        <v>843</v>
      </c>
      <c r="C263">
        <v>0</v>
      </c>
      <c r="D263">
        <v>147</v>
      </c>
      <c r="E263">
        <v>8</v>
      </c>
      <c r="F263">
        <v>11</v>
      </c>
    </row>
    <row r="264" spans="1:6" x14ac:dyDescent="0.35">
      <c r="A264">
        <v>1487</v>
      </c>
      <c r="B264">
        <v>5529</v>
      </c>
      <c r="C264">
        <v>0</v>
      </c>
      <c r="D264">
        <v>0</v>
      </c>
      <c r="E264">
        <v>8</v>
      </c>
      <c r="F264">
        <v>5</v>
      </c>
    </row>
    <row r="265" spans="1:6" x14ac:dyDescent="0.35">
      <c r="A265">
        <v>1600</v>
      </c>
      <c r="B265">
        <v>5272</v>
      </c>
      <c r="C265">
        <v>0</v>
      </c>
      <c r="D265">
        <v>4</v>
      </c>
      <c r="E265">
        <v>8</v>
      </c>
      <c r="F265">
        <v>3</v>
      </c>
    </row>
    <row r="266" spans="1:6" x14ac:dyDescent="0.35">
      <c r="A266">
        <v>1703</v>
      </c>
      <c r="B266">
        <v>1958</v>
      </c>
      <c r="C266">
        <v>0</v>
      </c>
      <c r="D266">
        <v>0</v>
      </c>
      <c r="E266">
        <v>8</v>
      </c>
      <c r="F266">
        <v>9</v>
      </c>
    </row>
    <row r="267" spans="1:6" x14ac:dyDescent="0.35">
      <c r="A267">
        <v>1848</v>
      </c>
      <c r="B267">
        <v>4609</v>
      </c>
      <c r="C267">
        <v>0</v>
      </c>
      <c r="D267">
        <v>4</v>
      </c>
      <c r="E267">
        <v>8</v>
      </c>
      <c r="F267">
        <v>6</v>
      </c>
    </row>
    <row r="268" spans="1:6" x14ac:dyDescent="0.35">
      <c r="A268">
        <v>2181</v>
      </c>
      <c r="B268">
        <v>8858</v>
      </c>
      <c r="C268">
        <v>0</v>
      </c>
      <c r="D268">
        <v>0</v>
      </c>
      <c r="E268">
        <v>8</v>
      </c>
      <c r="F268">
        <v>7</v>
      </c>
    </row>
    <row r="269" spans="1:6" x14ac:dyDescent="0.35">
      <c r="A269">
        <v>2236</v>
      </c>
      <c r="B269">
        <v>4001</v>
      </c>
      <c r="C269">
        <v>0</v>
      </c>
      <c r="D269">
        <v>0</v>
      </c>
      <c r="E269">
        <v>8</v>
      </c>
      <c r="F269">
        <v>5</v>
      </c>
    </row>
    <row r="270" spans="1:6" x14ac:dyDescent="0.35">
      <c r="A270">
        <v>1492</v>
      </c>
      <c r="B270">
        <v>1763</v>
      </c>
      <c r="C270">
        <v>172</v>
      </c>
      <c r="D270">
        <v>148</v>
      </c>
      <c r="E270">
        <v>7</v>
      </c>
      <c r="F270">
        <v>10</v>
      </c>
    </row>
    <row r="271" spans="1:6" x14ac:dyDescent="0.35">
      <c r="A271">
        <v>1871</v>
      </c>
      <c r="B271">
        <v>8602</v>
      </c>
      <c r="C271">
        <v>172</v>
      </c>
      <c r="D271">
        <v>105</v>
      </c>
      <c r="E271">
        <v>7</v>
      </c>
      <c r="F271">
        <v>11</v>
      </c>
    </row>
    <row r="272" spans="1:6" x14ac:dyDescent="0.35">
      <c r="A272">
        <v>1444</v>
      </c>
      <c r="B272">
        <v>1553</v>
      </c>
      <c r="C272">
        <v>168</v>
      </c>
      <c r="D272">
        <v>105</v>
      </c>
      <c r="E272">
        <v>7</v>
      </c>
      <c r="F272">
        <v>10</v>
      </c>
    </row>
    <row r="273" spans="1:6" x14ac:dyDescent="0.35">
      <c r="A273">
        <v>276</v>
      </c>
      <c r="B273">
        <v>3445</v>
      </c>
      <c r="C273">
        <v>162</v>
      </c>
      <c r="D273">
        <v>92</v>
      </c>
      <c r="E273">
        <v>7</v>
      </c>
      <c r="F273">
        <v>10</v>
      </c>
    </row>
    <row r="274" spans="1:6" x14ac:dyDescent="0.35">
      <c r="A274">
        <v>1589</v>
      </c>
      <c r="B274">
        <v>2612</v>
      </c>
      <c r="C274">
        <v>160</v>
      </c>
      <c r="D274">
        <v>32</v>
      </c>
      <c r="E274">
        <v>7</v>
      </c>
      <c r="F274">
        <v>12</v>
      </c>
    </row>
    <row r="275" spans="1:6" x14ac:dyDescent="0.35">
      <c r="A275">
        <v>2185</v>
      </c>
      <c r="B275">
        <v>9723</v>
      </c>
      <c r="C275">
        <v>142</v>
      </c>
      <c r="D275">
        <v>9</v>
      </c>
      <c r="E275">
        <v>7</v>
      </c>
      <c r="F275">
        <v>13</v>
      </c>
    </row>
    <row r="276" spans="1:6" x14ac:dyDescent="0.35">
      <c r="A276">
        <v>1648</v>
      </c>
      <c r="B276">
        <v>6409</v>
      </c>
      <c r="C276">
        <v>140</v>
      </c>
      <c r="D276">
        <v>12</v>
      </c>
      <c r="E276">
        <v>7</v>
      </c>
      <c r="F276">
        <v>7</v>
      </c>
    </row>
    <row r="277" spans="1:6" x14ac:dyDescent="0.35">
      <c r="A277">
        <v>1134</v>
      </c>
      <c r="B277">
        <v>2894</v>
      </c>
      <c r="C277">
        <v>138</v>
      </c>
      <c r="D277">
        <v>19</v>
      </c>
      <c r="E277">
        <v>7</v>
      </c>
      <c r="F277">
        <v>8</v>
      </c>
    </row>
    <row r="278" spans="1:6" x14ac:dyDescent="0.35">
      <c r="A278">
        <v>739</v>
      </c>
      <c r="B278">
        <v>5564</v>
      </c>
      <c r="C278">
        <v>133</v>
      </c>
      <c r="D278">
        <v>24</v>
      </c>
      <c r="E278">
        <v>7</v>
      </c>
      <c r="F278">
        <v>6</v>
      </c>
    </row>
    <row r="279" spans="1:6" x14ac:dyDescent="0.35">
      <c r="A279">
        <v>1759</v>
      </c>
      <c r="B279">
        <v>5883</v>
      </c>
      <c r="C279">
        <v>120</v>
      </c>
      <c r="D279">
        <v>126</v>
      </c>
      <c r="E279">
        <v>7</v>
      </c>
      <c r="F279">
        <v>7</v>
      </c>
    </row>
    <row r="280" spans="1:6" x14ac:dyDescent="0.35">
      <c r="A280">
        <v>418</v>
      </c>
      <c r="B280">
        <v>4216</v>
      </c>
      <c r="C280">
        <v>114</v>
      </c>
      <c r="D280">
        <v>137</v>
      </c>
      <c r="E280">
        <v>7</v>
      </c>
      <c r="F280">
        <v>9</v>
      </c>
    </row>
    <row r="281" spans="1:6" x14ac:dyDescent="0.35">
      <c r="A281">
        <v>1289</v>
      </c>
      <c r="B281">
        <v>378</v>
      </c>
      <c r="C281">
        <v>112</v>
      </c>
      <c r="D281">
        <v>72</v>
      </c>
      <c r="E281">
        <v>7</v>
      </c>
      <c r="F281">
        <v>10</v>
      </c>
    </row>
    <row r="282" spans="1:6" x14ac:dyDescent="0.35">
      <c r="A282">
        <v>76</v>
      </c>
      <c r="B282">
        <v>1859</v>
      </c>
      <c r="C282">
        <v>111</v>
      </c>
      <c r="D282">
        <v>18</v>
      </c>
      <c r="E282">
        <v>7</v>
      </c>
      <c r="F282">
        <v>5</v>
      </c>
    </row>
    <row r="283" spans="1:6" x14ac:dyDescent="0.35">
      <c r="A283">
        <v>630</v>
      </c>
      <c r="B283">
        <v>10727</v>
      </c>
      <c r="C283">
        <v>107</v>
      </c>
      <c r="D283">
        <v>30</v>
      </c>
      <c r="E283">
        <v>7</v>
      </c>
      <c r="F283">
        <v>13</v>
      </c>
    </row>
    <row r="284" spans="1:6" x14ac:dyDescent="0.35">
      <c r="A284">
        <v>1668</v>
      </c>
      <c r="B284">
        <v>5299</v>
      </c>
      <c r="C284">
        <v>107</v>
      </c>
      <c r="D284">
        <v>30</v>
      </c>
      <c r="E284">
        <v>7</v>
      </c>
      <c r="F284">
        <v>13</v>
      </c>
    </row>
    <row r="285" spans="1:6" x14ac:dyDescent="0.35">
      <c r="A285">
        <v>132</v>
      </c>
      <c r="B285">
        <v>9597</v>
      </c>
      <c r="C285">
        <v>106</v>
      </c>
      <c r="D285">
        <v>41</v>
      </c>
      <c r="E285">
        <v>7</v>
      </c>
      <c r="F285">
        <v>9</v>
      </c>
    </row>
    <row r="286" spans="1:6" x14ac:dyDescent="0.35">
      <c r="A286">
        <v>1157</v>
      </c>
      <c r="B286">
        <v>1077</v>
      </c>
      <c r="C286">
        <v>105</v>
      </c>
      <c r="D286">
        <v>172</v>
      </c>
      <c r="E286">
        <v>7</v>
      </c>
      <c r="F286">
        <v>4</v>
      </c>
    </row>
    <row r="287" spans="1:6" x14ac:dyDescent="0.35">
      <c r="A287">
        <v>1672</v>
      </c>
      <c r="B287">
        <v>3690</v>
      </c>
      <c r="C287">
        <v>102</v>
      </c>
      <c r="D287">
        <v>40</v>
      </c>
      <c r="E287">
        <v>7</v>
      </c>
      <c r="F287">
        <v>10</v>
      </c>
    </row>
    <row r="288" spans="1:6" x14ac:dyDescent="0.35">
      <c r="A288">
        <v>1484</v>
      </c>
      <c r="B288">
        <v>8370</v>
      </c>
      <c r="C288">
        <v>97</v>
      </c>
      <c r="D288">
        <v>194</v>
      </c>
      <c r="E288">
        <v>7</v>
      </c>
      <c r="F288">
        <v>6</v>
      </c>
    </row>
    <row r="289" spans="1:6" x14ac:dyDescent="0.35">
      <c r="A289">
        <v>1047</v>
      </c>
      <c r="B289">
        <v>4002</v>
      </c>
      <c r="C289">
        <v>96</v>
      </c>
      <c r="D289">
        <v>53</v>
      </c>
      <c r="E289">
        <v>7</v>
      </c>
      <c r="F289">
        <v>12</v>
      </c>
    </row>
    <row r="290" spans="1:6" x14ac:dyDescent="0.35">
      <c r="A290">
        <v>1559</v>
      </c>
      <c r="B290">
        <v>2793</v>
      </c>
      <c r="C290">
        <v>88</v>
      </c>
      <c r="D290">
        <v>44</v>
      </c>
      <c r="E290">
        <v>7</v>
      </c>
      <c r="F290">
        <v>13</v>
      </c>
    </row>
    <row r="291" spans="1:6" x14ac:dyDescent="0.35">
      <c r="A291">
        <v>2057</v>
      </c>
      <c r="B291">
        <v>1071</v>
      </c>
      <c r="C291">
        <v>88</v>
      </c>
      <c r="D291">
        <v>44</v>
      </c>
      <c r="E291">
        <v>7</v>
      </c>
      <c r="F291">
        <v>13</v>
      </c>
    </row>
    <row r="292" spans="1:6" x14ac:dyDescent="0.35">
      <c r="A292">
        <v>1159</v>
      </c>
      <c r="B292">
        <v>640</v>
      </c>
      <c r="C292">
        <v>80</v>
      </c>
      <c r="D292">
        <v>17</v>
      </c>
      <c r="E292">
        <v>7</v>
      </c>
      <c r="F292">
        <v>10</v>
      </c>
    </row>
    <row r="293" spans="1:6" x14ac:dyDescent="0.35">
      <c r="A293">
        <v>2187</v>
      </c>
      <c r="B293">
        <v>5721</v>
      </c>
      <c r="C293">
        <v>76</v>
      </c>
      <c r="D293">
        <v>45</v>
      </c>
      <c r="E293">
        <v>7</v>
      </c>
      <c r="F293">
        <v>6</v>
      </c>
    </row>
    <row r="294" spans="1:6" x14ac:dyDescent="0.35">
      <c r="A294">
        <v>1760</v>
      </c>
      <c r="B294">
        <v>2118</v>
      </c>
      <c r="C294">
        <v>75</v>
      </c>
      <c r="D294">
        <v>107</v>
      </c>
      <c r="E294">
        <v>7</v>
      </c>
      <c r="F294">
        <v>8</v>
      </c>
    </row>
    <row r="295" spans="1:6" x14ac:dyDescent="0.35">
      <c r="A295">
        <v>6</v>
      </c>
      <c r="B295">
        <v>965</v>
      </c>
      <c r="C295">
        <v>65</v>
      </c>
      <c r="D295">
        <v>49</v>
      </c>
      <c r="E295">
        <v>7</v>
      </c>
      <c r="F295">
        <v>7</v>
      </c>
    </row>
    <row r="296" spans="1:6" x14ac:dyDescent="0.35">
      <c r="A296">
        <v>1532</v>
      </c>
      <c r="B296">
        <v>3463</v>
      </c>
      <c r="C296">
        <v>62</v>
      </c>
      <c r="D296">
        <v>26</v>
      </c>
      <c r="E296">
        <v>7</v>
      </c>
      <c r="F296">
        <v>13</v>
      </c>
    </row>
    <row r="297" spans="1:6" x14ac:dyDescent="0.35">
      <c r="A297">
        <v>338</v>
      </c>
      <c r="B297">
        <v>9560</v>
      </c>
      <c r="C297">
        <v>61</v>
      </c>
      <c r="D297">
        <v>25</v>
      </c>
      <c r="E297">
        <v>7</v>
      </c>
      <c r="F297">
        <v>8</v>
      </c>
    </row>
    <row r="298" spans="1:6" x14ac:dyDescent="0.35">
      <c r="A298">
        <v>670</v>
      </c>
      <c r="B298">
        <v>9153</v>
      </c>
      <c r="C298">
        <v>61</v>
      </c>
      <c r="D298">
        <v>51</v>
      </c>
      <c r="E298">
        <v>7</v>
      </c>
      <c r="F298">
        <v>10</v>
      </c>
    </row>
    <row r="299" spans="1:6" x14ac:dyDescent="0.35">
      <c r="A299">
        <v>1283</v>
      </c>
      <c r="B299">
        <v>7384</v>
      </c>
      <c r="C299">
        <v>61</v>
      </c>
      <c r="D299">
        <v>26</v>
      </c>
      <c r="E299">
        <v>7</v>
      </c>
      <c r="F299">
        <v>7</v>
      </c>
    </row>
    <row r="300" spans="1:6" x14ac:dyDescent="0.35">
      <c r="A300">
        <v>1719</v>
      </c>
      <c r="B300">
        <v>3498</v>
      </c>
      <c r="C300">
        <v>61</v>
      </c>
      <c r="D300">
        <v>53</v>
      </c>
      <c r="E300">
        <v>7</v>
      </c>
      <c r="F300">
        <v>9</v>
      </c>
    </row>
    <row r="301" spans="1:6" x14ac:dyDescent="0.35">
      <c r="A301">
        <v>711</v>
      </c>
      <c r="B301">
        <v>1272</v>
      </c>
      <c r="C301">
        <v>58</v>
      </c>
      <c r="D301">
        <v>0</v>
      </c>
      <c r="E301">
        <v>7</v>
      </c>
      <c r="F301">
        <v>10</v>
      </c>
    </row>
    <row r="302" spans="1:6" x14ac:dyDescent="0.35">
      <c r="A302">
        <v>852</v>
      </c>
      <c r="B302">
        <v>4856</v>
      </c>
      <c r="C302">
        <v>54</v>
      </c>
      <c r="D302">
        <v>133</v>
      </c>
      <c r="E302">
        <v>7</v>
      </c>
      <c r="F302">
        <v>10</v>
      </c>
    </row>
    <row r="303" spans="1:6" x14ac:dyDescent="0.35">
      <c r="A303">
        <v>2193</v>
      </c>
      <c r="B303">
        <v>8722</v>
      </c>
      <c r="C303">
        <v>54</v>
      </c>
      <c r="D303">
        <v>133</v>
      </c>
      <c r="E303">
        <v>7</v>
      </c>
      <c r="F303">
        <v>10</v>
      </c>
    </row>
    <row r="304" spans="1:6" x14ac:dyDescent="0.35">
      <c r="A304">
        <v>1262</v>
      </c>
      <c r="B304">
        <v>6049</v>
      </c>
      <c r="C304">
        <v>51</v>
      </c>
      <c r="D304">
        <v>69</v>
      </c>
      <c r="E304">
        <v>7</v>
      </c>
      <c r="F304">
        <v>11</v>
      </c>
    </row>
    <row r="305" spans="1:6" x14ac:dyDescent="0.35">
      <c r="A305">
        <v>837</v>
      </c>
      <c r="B305">
        <v>5687</v>
      </c>
      <c r="C305">
        <v>50</v>
      </c>
      <c r="D305">
        <v>31</v>
      </c>
      <c r="E305">
        <v>7</v>
      </c>
      <c r="F305">
        <v>12</v>
      </c>
    </row>
    <row r="306" spans="1:6" x14ac:dyDescent="0.35">
      <c r="A306">
        <v>2190</v>
      </c>
      <c r="B306">
        <v>4418</v>
      </c>
      <c r="C306">
        <v>47</v>
      </c>
      <c r="D306">
        <v>111</v>
      </c>
      <c r="E306">
        <v>7</v>
      </c>
      <c r="F306">
        <v>12</v>
      </c>
    </row>
    <row r="307" spans="1:6" x14ac:dyDescent="0.35">
      <c r="A307">
        <v>1721</v>
      </c>
      <c r="B307">
        <v>1172</v>
      </c>
      <c r="C307">
        <v>44</v>
      </c>
      <c r="D307">
        <v>25</v>
      </c>
      <c r="E307">
        <v>7</v>
      </c>
      <c r="F307">
        <v>12</v>
      </c>
    </row>
    <row r="308" spans="1:6" x14ac:dyDescent="0.35">
      <c r="A308">
        <v>1579</v>
      </c>
      <c r="B308">
        <v>6257</v>
      </c>
      <c r="C308">
        <v>43</v>
      </c>
      <c r="D308">
        <v>14</v>
      </c>
      <c r="E308">
        <v>7</v>
      </c>
      <c r="F308">
        <v>7</v>
      </c>
    </row>
    <row r="309" spans="1:6" x14ac:dyDescent="0.35">
      <c r="A309">
        <v>2012</v>
      </c>
      <c r="B309">
        <v>500</v>
      </c>
      <c r="C309">
        <v>43</v>
      </c>
      <c r="D309">
        <v>194</v>
      </c>
      <c r="E309">
        <v>7</v>
      </c>
      <c r="F309">
        <v>9</v>
      </c>
    </row>
    <row r="310" spans="1:6" x14ac:dyDescent="0.35">
      <c r="A310">
        <v>90</v>
      </c>
      <c r="B310">
        <v>8996</v>
      </c>
      <c r="C310">
        <v>42</v>
      </c>
      <c r="D310">
        <v>37</v>
      </c>
      <c r="E310">
        <v>7</v>
      </c>
      <c r="F310">
        <v>8</v>
      </c>
    </row>
    <row r="311" spans="1:6" x14ac:dyDescent="0.35">
      <c r="A311">
        <v>424</v>
      </c>
      <c r="B311">
        <v>6932</v>
      </c>
      <c r="C311">
        <v>42</v>
      </c>
      <c r="D311">
        <v>0</v>
      </c>
      <c r="E311">
        <v>7</v>
      </c>
      <c r="F311">
        <v>5</v>
      </c>
    </row>
    <row r="312" spans="1:6" x14ac:dyDescent="0.35">
      <c r="A312">
        <v>468</v>
      </c>
      <c r="B312">
        <v>9697</v>
      </c>
      <c r="C312">
        <v>42</v>
      </c>
      <c r="D312">
        <v>5</v>
      </c>
      <c r="E312">
        <v>7</v>
      </c>
      <c r="F312">
        <v>8</v>
      </c>
    </row>
    <row r="313" spans="1:6" x14ac:dyDescent="0.35">
      <c r="A313">
        <v>1490</v>
      </c>
      <c r="B313">
        <v>3478</v>
      </c>
      <c r="C313">
        <v>42</v>
      </c>
      <c r="D313">
        <v>42</v>
      </c>
      <c r="E313">
        <v>7</v>
      </c>
      <c r="F313">
        <v>9</v>
      </c>
    </row>
    <row r="314" spans="1:6" x14ac:dyDescent="0.35">
      <c r="A314">
        <v>64</v>
      </c>
      <c r="B314">
        <v>4137</v>
      </c>
      <c r="C314">
        <v>40</v>
      </c>
      <c r="D314">
        <v>122</v>
      </c>
      <c r="E314">
        <v>7</v>
      </c>
      <c r="F314">
        <v>4</v>
      </c>
    </row>
    <row r="315" spans="1:6" x14ac:dyDescent="0.35">
      <c r="A315">
        <v>1911</v>
      </c>
      <c r="B315">
        <v>5544</v>
      </c>
      <c r="C315">
        <v>40</v>
      </c>
      <c r="D315">
        <v>53</v>
      </c>
      <c r="E315">
        <v>7</v>
      </c>
      <c r="F315">
        <v>5</v>
      </c>
    </row>
    <row r="316" spans="1:6" x14ac:dyDescent="0.35">
      <c r="A316">
        <v>1212</v>
      </c>
      <c r="B316">
        <v>2324</v>
      </c>
      <c r="C316">
        <v>38</v>
      </c>
      <c r="D316">
        <v>34</v>
      </c>
      <c r="E316">
        <v>7</v>
      </c>
      <c r="F316">
        <v>11</v>
      </c>
    </row>
    <row r="317" spans="1:6" x14ac:dyDescent="0.35">
      <c r="A317">
        <v>1270</v>
      </c>
      <c r="B317">
        <v>1740</v>
      </c>
      <c r="C317">
        <v>38</v>
      </c>
      <c r="D317">
        <v>9</v>
      </c>
      <c r="E317">
        <v>7</v>
      </c>
      <c r="F317">
        <v>4</v>
      </c>
    </row>
    <row r="318" spans="1:6" x14ac:dyDescent="0.35">
      <c r="A318">
        <v>1800</v>
      </c>
      <c r="B318">
        <v>2831</v>
      </c>
      <c r="C318">
        <v>38</v>
      </c>
      <c r="D318">
        <v>38</v>
      </c>
      <c r="E318">
        <v>7</v>
      </c>
      <c r="F318">
        <v>10</v>
      </c>
    </row>
    <row r="319" spans="1:6" x14ac:dyDescent="0.35">
      <c r="A319">
        <v>1332</v>
      </c>
      <c r="B319">
        <v>1945</v>
      </c>
      <c r="C319">
        <v>36</v>
      </c>
      <c r="D319">
        <v>96</v>
      </c>
      <c r="E319">
        <v>7</v>
      </c>
      <c r="F319">
        <v>7</v>
      </c>
    </row>
    <row r="320" spans="1:6" x14ac:dyDescent="0.35">
      <c r="A320">
        <v>755</v>
      </c>
      <c r="B320">
        <v>3870</v>
      </c>
      <c r="C320">
        <v>35</v>
      </c>
      <c r="D320">
        <v>116</v>
      </c>
      <c r="E320">
        <v>7</v>
      </c>
      <c r="F320">
        <v>13</v>
      </c>
    </row>
    <row r="321" spans="1:6" x14ac:dyDescent="0.35">
      <c r="A321">
        <v>973</v>
      </c>
      <c r="B321">
        <v>6357</v>
      </c>
      <c r="C321">
        <v>35</v>
      </c>
      <c r="D321">
        <v>57</v>
      </c>
      <c r="E321">
        <v>7</v>
      </c>
      <c r="F321">
        <v>7</v>
      </c>
    </row>
    <row r="322" spans="1:6" x14ac:dyDescent="0.35">
      <c r="A322">
        <v>1407</v>
      </c>
      <c r="B322">
        <v>8402</v>
      </c>
      <c r="C322">
        <v>35</v>
      </c>
      <c r="D322">
        <v>35</v>
      </c>
      <c r="E322">
        <v>7</v>
      </c>
      <c r="F322">
        <v>8</v>
      </c>
    </row>
    <row r="323" spans="1:6" x14ac:dyDescent="0.35">
      <c r="A323">
        <v>1493</v>
      </c>
      <c r="B323">
        <v>7250</v>
      </c>
      <c r="C323">
        <v>35</v>
      </c>
      <c r="D323">
        <v>23</v>
      </c>
      <c r="E323">
        <v>7</v>
      </c>
      <c r="F323">
        <v>9</v>
      </c>
    </row>
    <row r="324" spans="1:6" x14ac:dyDescent="0.35">
      <c r="A324">
        <v>2031</v>
      </c>
      <c r="B324">
        <v>3799</v>
      </c>
      <c r="C324">
        <v>35</v>
      </c>
      <c r="D324">
        <v>7</v>
      </c>
      <c r="E324">
        <v>7</v>
      </c>
      <c r="F324">
        <v>11</v>
      </c>
    </row>
    <row r="325" spans="1:6" x14ac:dyDescent="0.35">
      <c r="A325">
        <v>2107</v>
      </c>
      <c r="B325">
        <v>340</v>
      </c>
      <c r="C325">
        <v>35</v>
      </c>
      <c r="D325">
        <v>0</v>
      </c>
      <c r="E325">
        <v>7</v>
      </c>
      <c r="F325">
        <v>8</v>
      </c>
    </row>
    <row r="326" spans="1:6" x14ac:dyDescent="0.35">
      <c r="A326">
        <v>1923</v>
      </c>
      <c r="B326">
        <v>4994</v>
      </c>
      <c r="C326">
        <v>33</v>
      </c>
      <c r="D326">
        <v>66</v>
      </c>
      <c r="E326">
        <v>7</v>
      </c>
      <c r="F326">
        <v>13</v>
      </c>
    </row>
    <row r="327" spans="1:6" x14ac:dyDescent="0.35">
      <c r="A327">
        <v>203</v>
      </c>
      <c r="B327">
        <v>2798</v>
      </c>
      <c r="C327">
        <v>29</v>
      </c>
      <c r="D327">
        <v>176</v>
      </c>
      <c r="E327">
        <v>7</v>
      </c>
      <c r="F327">
        <v>10</v>
      </c>
    </row>
    <row r="328" spans="1:6" x14ac:dyDescent="0.35">
      <c r="A328">
        <v>914</v>
      </c>
      <c r="B328">
        <v>10619</v>
      </c>
      <c r="C328">
        <v>29</v>
      </c>
      <c r="D328">
        <v>27</v>
      </c>
      <c r="E328">
        <v>7</v>
      </c>
      <c r="F328">
        <v>7</v>
      </c>
    </row>
    <row r="329" spans="1:6" x14ac:dyDescent="0.35">
      <c r="A329">
        <v>1129</v>
      </c>
      <c r="B329">
        <v>4756</v>
      </c>
      <c r="C329">
        <v>29</v>
      </c>
      <c r="D329">
        <v>33</v>
      </c>
      <c r="E329">
        <v>7</v>
      </c>
      <c r="F329">
        <v>11</v>
      </c>
    </row>
    <row r="330" spans="1:6" x14ac:dyDescent="0.35">
      <c r="A330">
        <v>906</v>
      </c>
      <c r="B330">
        <v>10150</v>
      </c>
      <c r="C330">
        <v>28</v>
      </c>
      <c r="D330">
        <v>18</v>
      </c>
      <c r="E330">
        <v>7</v>
      </c>
      <c r="F330">
        <v>7</v>
      </c>
    </row>
    <row r="331" spans="1:6" x14ac:dyDescent="0.35">
      <c r="A331">
        <v>789</v>
      </c>
      <c r="B331">
        <v>347</v>
      </c>
      <c r="C331">
        <v>27</v>
      </c>
      <c r="D331">
        <v>3</v>
      </c>
      <c r="E331">
        <v>7</v>
      </c>
      <c r="F331">
        <v>5</v>
      </c>
    </row>
    <row r="332" spans="1:6" x14ac:dyDescent="0.35">
      <c r="A332">
        <v>1253</v>
      </c>
      <c r="B332">
        <v>961</v>
      </c>
      <c r="C332">
        <v>27</v>
      </c>
      <c r="D332">
        <v>195</v>
      </c>
      <c r="E332">
        <v>7</v>
      </c>
      <c r="F332">
        <v>5</v>
      </c>
    </row>
    <row r="333" spans="1:6" x14ac:dyDescent="0.35">
      <c r="A333">
        <v>1922</v>
      </c>
      <c r="B333">
        <v>3138</v>
      </c>
      <c r="C333">
        <v>27</v>
      </c>
      <c r="D333">
        <v>108</v>
      </c>
      <c r="E333">
        <v>7</v>
      </c>
      <c r="F333">
        <v>6</v>
      </c>
    </row>
    <row r="334" spans="1:6" x14ac:dyDescent="0.35">
      <c r="A334">
        <v>456</v>
      </c>
      <c r="B334">
        <v>4947</v>
      </c>
      <c r="C334">
        <v>24</v>
      </c>
      <c r="D334">
        <v>194</v>
      </c>
      <c r="E334">
        <v>7</v>
      </c>
      <c r="F334">
        <v>9</v>
      </c>
    </row>
    <row r="335" spans="1:6" x14ac:dyDescent="0.35">
      <c r="A335">
        <v>15</v>
      </c>
      <c r="B335">
        <v>2114</v>
      </c>
      <c r="C335">
        <v>22</v>
      </c>
      <c r="D335">
        <v>68</v>
      </c>
      <c r="E335">
        <v>7</v>
      </c>
      <c r="F335">
        <v>12</v>
      </c>
    </row>
    <row r="336" spans="1:6" x14ac:dyDescent="0.35">
      <c r="A336">
        <v>1052</v>
      </c>
      <c r="B336">
        <v>4475</v>
      </c>
      <c r="C336">
        <v>22</v>
      </c>
      <c r="D336">
        <v>0</v>
      </c>
      <c r="E336">
        <v>7</v>
      </c>
      <c r="F336">
        <v>9</v>
      </c>
    </row>
    <row r="337" spans="1:6" x14ac:dyDescent="0.35">
      <c r="A337">
        <v>1570</v>
      </c>
      <c r="B337">
        <v>4261</v>
      </c>
      <c r="C337">
        <v>22</v>
      </c>
      <c r="D337">
        <v>68</v>
      </c>
      <c r="E337">
        <v>7</v>
      </c>
      <c r="F337">
        <v>12</v>
      </c>
    </row>
    <row r="338" spans="1:6" x14ac:dyDescent="0.35">
      <c r="A338">
        <v>234</v>
      </c>
      <c r="B338">
        <v>3233</v>
      </c>
      <c r="C338">
        <v>21</v>
      </c>
      <c r="D338">
        <v>10</v>
      </c>
      <c r="E338">
        <v>7</v>
      </c>
      <c r="F338">
        <v>11</v>
      </c>
    </row>
    <row r="339" spans="1:6" x14ac:dyDescent="0.35">
      <c r="A339">
        <v>1644</v>
      </c>
      <c r="B339">
        <v>3091</v>
      </c>
      <c r="C339">
        <v>21</v>
      </c>
      <c r="D339">
        <v>14</v>
      </c>
      <c r="E339">
        <v>7</v>
      </c>
      <c r="F339">
        <v>8</v>
      </c>
    </row>
    <row r="340" spans="1:6" x14ac:dyDescent="0.35">
      <c r="A340">
        <v>1748</v>
      </c>
      <c r="B340">
        <v>5847</v>
      </c>
      <c r="C340">
        <v>21</v>
      </c>
      <c r="D340">
        <v>92</v>
      </c>
      <c r="E340">
        <v>7</v>
      </c>
      <c r="F340">
        <v>10</v>
      </c>
    </row>
    <row r="341" spans="1:6" x14ac:dyDescent="0.35">
      <c r="A341">
        <v>1799</v>
      </c>
      <c r="B341">
        <v>762</v>
      </c>
      <c r="C341">
        <v>21</v>
      </c>
      <c r="D341">
        <v>14</v>
      </c>
      <c r="E341">
        <v>7</v>
      </c>
      <c r="F341">
        <v>8</v>
      </c>
    </row>
    <row r="342" spans="1:6" x14ac:dyDescent="0.35">
      <c r="A342">
        <v>1995</v>
      </c>
      <c r="B342">
        <v>6815</v>
      </c>
      <c r="C342">
        <v>21</v>
      </c>
      <c r="D342">
        <v>101</v>
      </c>
      <c r="E342">
        <v>7</v>
      </c>
      <c r="F342">
        <v>8</v>
      </c>
    </row>
    <row r="343" spans="1:6" x14ac:dyDescent="0.35">
      <c r="A343">
        <v>152</v>
      </c>
      <c r="B343">
        <v>7798</v>
      </c>
      <c r="C343">
        <v>20</v>
      </c>
      <c r="D343">
        <v>20</v>
      </c>
      <c r="E343">
        <v>7</v>
      </c>
      <c r="F343">
        <v>5</v>
      </c>
    </row>
    <row r="344" spans="1:6" x14ac:dyDescent="0.35">
      <c r="A344">
        <v>543</v>
      </c>
      <c r="B344">
        <v>5547</v>
      </c>
      <c r="C344">
        <v>19</v>
      </c>
      <c r="D344">
        <v>19</v>
      </c>
      <c r="E344">
        <v>7</v>
      </c>
      <c r="F344">
        <v>6</v>
      </c>
    </row>
    <row r="345" spans="1:6" x14ac:dyDescent="0.35">
      <c r="A345">
        <v>917</v>
      </c>
      <c r="B345">
        <v>8362</v>
      </c>
      <c r="C345">
        <v>19</v>
      </c>
      <c r="D345">
        <v>19</v>
      </c>
      <c r="E345">
        <v>7</v>
      </c>
      <c r="F345">
        <v>6</v>
      </c>
    </row>
    <row r="346" spans="1:6" x14ac:dyDescent="0.35">
      <c r="A346">
        <v>1061</v>
      </c>
      <c r="B346">
        <v>3759</v>
      </c>
      <c r="C346">
        <v>19</v>
      </c>
      <c r="D346">
        <v>0</v>
      </c>
      <c r="E346">
        <v>7</v>
      </c>
      <c r="F346">
        <v>11</v>
      </c>
    </row>
    <row r="347" spans="1:6" x14ac:dyDescent="0.35">
      <c r="A347">
        <v>1102</v>
      </c>
      <c r="B347">
        <v>1545</v>
      </c>
      <c r="C347">
        <v>19</v>
      </c>
      <c r="D347">
        <v>19</v>
      </c>
      <c r="E347">
        <v>7</v>
      </c>
      <c r="F347">
        <v>5</v>
      </c>
    </row>
    <row r="348" spans="1:6" x14ac:dyDescent="0.35">
      <c r="A348">
        <v>111</v>
      </c>
      <c r="B348">
        <v>7431</v>
      </c>
      <c r="C348">
        <v>17</v>
      </c>
      <c r="D348">
        <v>51</v>
      </c>
      <c r="E348">
        <v>7</v>
      </c>
      <c r="F348">
        <v>5</v>
      </c>
    </row>
    <row r="349" spans="1:6" x14ac:dyDescent="0.35">
      <c r="A349">
        <v>938</v>
      </c>
      <c r="B349">
        <v>3673</v>
      </c>
      <c r="C349">
        <v>17</v>
      </c>
      <c r="D349">
        <v>24</v>
      </c>
      <c r="E349">
        <v>7</v>
      </c>
      <c r="F349">
        <v>11</v>
      </c>
    </row>
    <row r="350" spans="1:6" x14ac:dyDescent="0.35">
      <c r="A350">
        <v>2111</v>
      </c>
      <c r="B350">
        <v>1008</v>
      </c>
      <c r="C350">
        <v>17</v>
      </c>
      <c r="D350">
        <v>8</v>
      </c>
      <c r="E350">
        <v>7</v>
      </c>
      <c r="F350">
        <v>13</v>
      </c>
    </row>
    <row r="351" spans="1:6" x14ac:dyDescent="0.35">
      <c r="A351">
        <v>196</v>
      </c>
      <c r="B351">
        <v>6999</v>
      </c>
      <c r="C351">
        <v>16</v>
      </c>
      <c r="D351">
        <v>16</v>
      </c>
      <c r="E351">
        <v>7</v>
      </c>
      <c r="F351">
        <v>12</v>
      </c>
    </row>
    <row r="352" spans="1:6" x14ac:dyDescent="0.35">
      <c r="A352">
        <v>1658</v>
      </c>
      <c r="B352">
        <v>1378</v>
      </c>
      <c r="C352">
        <v>16</v>
      </c>
      <c r="D352">
        <v>16</v>
      </c>
      <c r="E352">
        <v>7</v>
      </c>
      <c r="F352">
        <v>6</v>
      </c>
    </row>
    <row r="353" spans="1:6" x14ac:dyDescent="0.35">
      <c r="A353">
        <v>1256</v>
      </c>
      <c r="B353">
        <v>9094</v>
      </c>
      <c r="C353">
        <v>15</v>
      </c>
      <c r="D353">
        <v>0</v>
      </c>
      <c r="E353">
        <v>7</v>
      </c>
      <c r="F353">
        <v>3</v>
      </c>
    </row>
    <row r="354" spans="1:6" x14ac:dyDescent="0.35">
      <c r="A354">
        <v>1502</v>
      </c>
      <c r="B354">
        <v>3340</v>
      </c>
      <c r="C354">
        <v>15</v>
      </c>
      <c r="D354">
        <v>15</v>
      </c>
      <c r="E354">
        <v>7</v>
      </c>
      <c r="F354">
        <v>6</v>
      </c>
    </row>
    <row r="355" spans="1:6" x14ac:dyDescent="0.35">
      <c r="A355">
        <v>1574</v>
      </c>
      <c r="B355">
        <v>8685</v>
      </c>
      <c r="C355">
        <v>15</v>
      </c>
      <c r="D355">
        <v>15</v>
      </c>
      <c r="E355">
        <v>7</v>
      </c>
      <c r="F355">
        <v>6</v>
      </c>
    </row>
    <row r="356" spans="1:6" x14ac:dyDescent="0.35">
      <c r="A356">
        <v>1838</v>
      </c>
      <c r="B356">
        <v>9847</v>
      </c>
      <c r="C356">
        <v>15</v>
      </c>
      <c r="D356">
        <v>0</v>
      </c>
      <c r="E356">
        <v>7</v>
      </c>
      <c r="F356">
        <v>3</v>
      </c>
    </row>
    <row r="357" spans="1:6" x14ac:dyDescent="0.35">
      <c r="A357">
        <v>1311</v>
      </c>
      <c r="B357">
        <v>8427</v>
      </c>
      <c r="C357">
        <v>14</v>
      </c>
      <c r="D357">
        <v>0</v>
      </c>
      <c r="E357">
        <v>7</v>
      </c>
      <c r="F357">
        <v>10</v>
      </c>
    </row>
    <row r="358" spans="1:6" x14ac:dyDescent="0.35">
      <c r="A358">
        <v>1476</v>
      </c>
      <c r="B358">
        <v>217</v>
      </c>
      <c r="C358">
        <v>14</v>
      </c>
      <c r="D358">
        <v>0</v>
      </c>
      <c r="E358">
        <v>7</v>
      </c>
      <c r="F358">
        <v>10</v>
      </c>
    </row>
    <row r="359" spans="1:6" x14ac:dyDescent="0.35">
      <c r="A359">
        <v>1339</v>
      </c>
      <c r="B359">
        <v>942</v>
      </c>
      <c r="C359">
        <v>13</v>
      </c>
      <c r="D359">
        <v>13</v>
      </c>
      <c r="E359">
        <v>7</v>
      </c>
      <c r="F359">
        <v>3</v>
      </c>
    </row>
    <row r="360" spans="1:6" x14ac:dyDescent="0.35">
      <c r="A360">
        <v>1454</v>
      </c>
      <c r="B360">
        <v>6875</v>
      </c>
      <c r="C360">
        <v>13</v>
      </c>
      <c r="D360">
        <v>13</v>
      </c>
      <c r="E360">
        <v>7</v>
      </c>
      <c r="F360">
        <v>5</v>
      </c>
    </row>
    <row r="361" spans="1:6" x14ac:dyDescent="0.35">
      <c r="A361">
        <v>487</v>
      </c>
      <c r="B361">
        <v>5562</v>
      </c>
      <c r="C361">
        <v>12</v>
      </c>
      <c r="D361">
        <v>6</v>
      </c>
      <c r="E361">
        <v>7</v>
      </c>
      <c r="F361">
        <v>10</v>
      </c>
    </row>
    <row r="362" spans="1:6" x14ac:dyDescent="0.35">
      <c r="A362">
        <v>756</v>
      </c>
      <c r="B362">
        <v>4012</v>
      </c>
      <c r="C362">
        <v>12</v>
      </c>
      <c r="D362">
        <v>12</v>
      </c>
      <c r="E362">
        <v>7</v>
      </c>
      <c r="F362">
        <v>5</v>
      </c>
    </row>
    <row r="363" spans="1:6" x14ac:dyDescent="0.35">
      <c r="A363">
        <v>941</v>
      </c>
      <c r="B363">
        <v>4128</v>
      </c>
      <c r="C363">
        <v>12</v>
      </c>
      <c r="D363">
        <v>6</v>
      </c>
      <c r="E363">
        <v>7</v>
      </c>
      <c r="F363">
        <v>7</v>
      </c>
    </row>
    <row r="364" spans="1:6" x14ac:dyDescent="0.35">
      <c r="A364">
        <v>1706</v>
      </c>
      <c r="B364">
        <v>1351</v>
      </c>
      <c r="C364">
        <v>12</v>
      </c>
      <c r="D364">
        <v>24</v>
      </c>
      <c r="E364">
        <v>7</v>
      </c>
      <c r="F364">
        <v>13</v>
      </c>
    </row>
    <row r="365" spans="1:6" x14ac:dyDescent="0.35">
      <c r="A365">
        <v>386</v>
      </c>
      <c r="B365">
        <v>6720</v>
      </c>
      <c r="C365">
        <v>11</v>
      </c>
      <c r="D365">
        <v>3</v>
      </c>
      <c r="E365">
        <v>7</v>
      </c>
      <c r="F365">
        <v>4</v>
      </c>
    </row>
    <row r="366" spans="1:6" x14ac:dyDescent="0.35">
      <c r="A366">
        <v>1081</v>
      </c>
      <c r="B366">
        <v>247</v>
      </c>
      <c r="C366">
        <v>10</v>
      </c>
      <c r="D366">
        <v>13</v>
      </c>
      <c r="E366">
        <v>7</v>
      </c>
      <c r="F366">
        <v>4</v>
      </c>
    </row>
    <row r="367" spans="1:6" x14ac:dyDescent="0.35">
      <c r="A367">
        <v>1375</v>
      </c>
      <c r="B367">
        <v>8805</v>
      </c>
      <c r="C367">
        <v>10</v>
      </c>
      <c r="D367">
        <v>13</v>
      </c>
      <c r="E367">
        <v>7</v>
      </c>
      <c r="F367">
        <v>4</v>
      </c>
    </row>
    <row r="368" spans="1:6" x14ac:dyDescent="0.35">
      <c r="A368">
        <v>1729</v>
      </c>
      <c r="B368">
        <v>3828</v>
      </c>
      <c r="C368">
        <v>10</v>
      </c>
      <c r="D368">
        <v>174</v>
      </c>
      <c r="E368">
        <v>7</v>
      </c>
      <c r="F368">
        <v>13</v>
      </c>
    </row>
    <row r="369" spans="1:6" x14ac:dyDescent="0.35">
      <c r="A369">
        <v>2178</v>
      </c>
      <c r="B369">
        <v>4377</v>
      </c>
      <c r="C369">
        <v>10</v>
      </c>
      <c r="D369">
        <v>10</v>
      </c>
      <c r="E369">
        <v>7</v>
      </c>
      <c r="F369">
        <v>3</v>
      </c>
    </row>
    <row r="370" spans="1:6" x14ac:dyDescent="0.35">
      <c r="A370">
        <v>409</v>
      </c>
      <c r="B370">
        <v>9973</v>
      </c>
      <c r="C370">
        <v>9</v>
      </c>
      <c r="D370">
        <v>9</v>
      </c>
      <c r="E370">
        <v>7</v>
      </c>
      <c r="F370">
        <v>8</v>
      </c>
    </row>
    <row r="371" spans="1:6" x14ac:dyDescent="0.35">
      <c r="A371">
        <v>788</v>
      </c>
      <c r="B371">
        <v>10846</v>
      </c>
      <c r="C371">
        <v>9</v>
      </c>
      <c r="D371">
        <v>4</v>
      </c>
      <c r="E371">
        <v>7</v>
      </c>
      <c r="F371">
        <v>8</v>
      </c>
    </row>
    <row r="372" spans="1:6" x14ac:dyDescent="0.35">
      <c r="A372">
        <v>1878</v>
      </c>
      <c r="B372">
        <v>1570</v>
      </c>
      <c r="C372">
        <v>9</v>
      </c>
      <c r="D372">
        <v>19</v>
      </c>
      <c r="E372">
        <v>7</v>
      </c>
      <c r="F372">
        <v>10</v>
      </c>
    </row>
    <row r="373" spans="1:6" x14ac:dyDescent="0.35">
      <c r="A373">
        <v>39</v>
      </c>
      <c r="B373">
        <v>2968</v>
      </c>
      <c r="C373">
        <v>8</v>
      </c>
      <c r="D373">
        <v>49</v>
      </c>
      <c r="E373">
        <v>7</v>
      </c>
      <c r="F373">
        <v>5</v>
      </c>
    </row>
    <row r="374" spans="1:6" x14ac:dyDescent="0.35">
      <c r="A374">
        <v>469</v>
      </c>
      <c r="B374">
        <v>3916</v>
      </c>
      <c r="C374">
        <v>8</v>
      </c>
      <c r="D374">
        <v>8</v>
      </c>
      <c r="E374">
        <v>7</v>
      </c>
      <c r="F374">
        <v>12</v>
      </c>
    </row>
    <row r="375" spans="1:6" x14ac:dyDescent="0.35">
      <c r="A375">
        <v>894</v>
      </c>
      <c r="B375">
        <v>8800</v>
      </c>
      <c r="C375">
        <v>8</v>
      </c>
      <c r="D375">
        <v>49</v>
      </c>
      <c r="E375">
        <v>7</v>
      </c>
      <c r="F375">
        <v>5</v>
      </c>
    </row>
    <row r="376" spans="1:6" x14ac:dyDescent="0.35">
      <c r="A376">
        <v>1323</v>
      </c>
      <c r="B376">
        <v>10971</v>
      </c>
      <c r="C376">
        <v>8</v>
      </c>
      <c r="D376">
        <v>2</v>
      </c>
      <c r="E376">
        <v>7</v>
      </c>
      <c r="F376">
        <v>3</v>
      </c>
    </row>
    <row r="377" spans="1:6" x14ac:dyDescent="0.35">
      <c r="A377">
        <v>1597</v>
      </c>
      <c r="B377">
        <v>3409</v>
      </c>
      <c r="C377">
        <v>8</v>
      </c>
      <c r="D377">
        <v>11</v>
      </c>
      <c r="E377">
        <v>7</v>
      </c>
      <c r="F377">
        <v>4</v>
      </c>
    </row>
    <row r="378" spans="1:6" x14ac:dyDescent="0.35">
      <c r="A378">
        <v>1885</v>
      </c>
      <c r="B378">
        <v>10702</v>
      </c>
      <c r="C378">
        <v>8</v>
      </c>
      <c r="D378">
        <v>56</v>
      </c>
      <c r="E378">
        <v>7</v>
      </c>
      <c r="F378">
        <v>7</v>
      </c>
    </row>
    <row r="379" spans="1:6" x14ac:dyDescent="0.35">
      <c r="A379">
        <v>479</v>
      </c>
      <c r="B379">
        <v>10581</v>
      </c>
      <c r="C379">
        <v>7</v>
      </c>
      <c r="D379">
        <v>0</v>
      </c>
      <c r="E379">
        <v>7</v>
      </c>
      <c r="F379">
        <v>4</v>
      </c>
    </row>
    <row r="380" spans="1:6" x14ac:dyDescent="0.35">
      <c r="A380">
        <v>847</v>
      </c>
      <c r="B380">
        <v>5935</v>
      </c>
      <c r="C380">
        <v>7</v>
      </c>
      <c r="D380">
        <v>7</v>
      </c>
      <c r="E380">
        <v>7</v>
      </c>
      <c r="F380">
        <v>8</v>
      </c>
    </row>
    <row r="381" spans="1:6" x14ac:dyDescent="0.35">
      <c r="A381">
        <v>1297</v>
      </c>
      <c r="B381">
        <v>5543</v>
      </c>
      <c r="C381">
        <v>7</v>
      </c>
      <c r="D381">
        <v>21</v>
      </c>
      <c r="E381">
        <v>7</v>
      </c>
      <c r="F381">
        <v>11</v>
      </c>
    </row>
    <row r="382" spans="1:6" x14ac:dyDescent="0.35">
      <c r="A382">
        <v>1410</v>
      </c>
      <c r="B382">
        <v>618</v>
      </c>
      <c r="C382">
        <v>7</v>
      </c>
      <c r="D382">
        <v>46</v>
      </c>
      <c r="E382">
        <v>7</v>
      </c>
      <c r="F382">
        <v>12</v>
      </c>
    </row>
    <row r="383" spans="1:6" x14ac:dyDescent="0.35">
      <c r="A383">
        <v>2158</v>
      </c>
      <c r="B383">
        <v>5186</v>
      </c>
      <c r="C383">
        <v>7</v>
      </c>
      <c r="D383">
        <v>7</v>
      </c>
      <c r="E383">
        <v>7</v>
      </c>
      <c r="F383">
        <v>9</v>
      </c>
    </row>
    <row r="384" spans="1:6" x14ac:dyDescent="0.35">
      <c r="A384">
        <v>1306</v>
      </c>
      <c r="B384">
        <v>3972</v>
      </c>
      <c r="C384">
        <v>6</v>
      </c>
      <c r="D384">
        <v>6</v>
      </c>
      <c r="E384">
        <v>7</v>
      </c>
      <c r="F384">
        <v>5</v>
      </c>
    </row>
    <row r="385" spans="1:6" x14ac:dyDescent="0.35">
      <c r="A385">
        <v>2224</v>
      </c>
      <c r="B385">
        <v>4286</v>
      </c>
      <c r="C385">
        <v>6</v>
      </c>
      <c r="D385">
        <v>0</v>
      </c>
      <c r="E385">
        <v>7</v>
      </c>
      <c r="F385">
        <v>6</v>
      </c>
    </row>
    <row r="386" spans="1:6" x14ac:dyDescent="0.35">
      <c r="A386">
        <v>772</v>
      </c>
      <c r="B386">
        <v>8897</v>
      </c>
      <c r="C386">
        <v>5</v>
      </c>
      <c r="D386">
        <v>26</v>
      </c>
      <c r="E386">
        <v>7</v>
      </c>
      <c r="F386">
        <v>7</v>
      </c>
    </row>
    <row r="387" spans="1:6" x14ac:dyDescent="0.35">
      <c r="A387">
        <v>822</v>
      </c>
      <c r="B387">
        <v>1</v>
      </c>
      <c r="C387">
        <v>5</v>
      </c>
      <c r="D387">
        <v>0</v>
      </c>
      <c r="E387">
        <v>7</v>
      </c>
      <c r="F387">
        <v>7</v>
      </c>
    </row>
    <row r="388" spans="1:6" x14ac:dyDescent="0.35">
      <c r="A388">
        <v>832</v>
      </c>
      <c r="B388">
        <v>3321</v>
      </c>
      <c r="C388">
        <v>5</v>
      </c>
      <c r="D388">
        <v>16</v>
      </c>
      <c r="E388">
        <v>7</v>
      </c>
      <c r="F388">
        <v>7</v>
      </c>
    </row>
    <row r="389" spans="1:6" x14ac:dyDescent="0.35">
      <c r="A389">
        <v>839</v>
      </c>
      <c r="B389">
        <v>5121</v>
      </c>
      <c r="C389">
        <v>5</v>
      </c>
      <c r="D389">
        <v>17</v>
      </c>
      <c r="E389">
        <v>7</v>
      </c>
      <c r="F389">
        <v>5</v>
      </c>
    </row>
    <row r="390" spans="1:6" x14ac:dyDescent="0.35">
      <c r="A390">
        <v>1460</v>
      </c>
      <c r="B390">
        <v>8233</v>
      </c>
      <c r="C390">
        <v>5</v>
      </c>
      <c r="D390">
        <v>5</v>
      </c>
      <c r="E390">
        <v>7</v>
      </c>
      <c r="F390">
        <v>7</v>
      </c>
    </row>
    <row r="391" spans="1:6" x14ac:dyDescent="0.35">
      <c r="A391">
        <v>1690</v>
      </c>
      <c r="B391">
        <v>7397</v>
      </c>
      <c r="C391">
        <v>5</v>
      </c>
      <c r="D391">
        <v>0</v>
      </c>
      <c r="E391">
        <v>7</v>
      </c>
      <c r="F391">
        <v>9</v>
      </c>
    </row>
    <row r="392" spans="1:6" x14ac:dyDescent="0.35">
      <c r="A392">
        <v>588</v>
      </c>
      <c r="B392">
        <v>254</v>
      </c>
      <c r="C392">
        <v>4</v>
      </c>
      <c r="D392">
        <v>4</v>
      </c>
      <c r="E392">
        <v>7</v>
      </c>
      <c r="F392">
        <v>7</v>
      </c>
    </row>
    <row r="393" spans="1:6" x14ac:dyDescent="0.35">
      <c r="A393">
        <v>649</v>
      </c>
      <c r="B393">
        <v>10928</v>
      </c>
      <c r="C393">
        <v>4</v>
      </c>
      <c r="D393">
        <v>31</v>
      </c>
      <c r="E393">
        <v>7</v>
      </c>
      <c r="F393">
        <v>7</v>
      </c>
    </row>
    <row r="394" spans="1:6" x14ac:dyDescent="0.35">
      <c r="A394">
        <v>731</v>
      </c>
      <c r="B394">
        <v>610</v>
      </c>
      <c r="C394">
        <v>4</v>
      </c>
      <c r="D394">
        <v>0</v>
      </c>
      <c r="E394">
        <v>7</v>
      </c>
      <c r="F394">
        <v>6</v>
      </c>
    </row>
    <row r="395" spans="1:6" x14ac:dyDescent="0.35">
      <c r="A395">
        <v>2051</v>
      </c>
      <c r="B395">
        <v>4426</v>
      </c>
      <c r="C395">
        <v>4</v>
      </c>
      <c r="D395">
        <v>4</v>
      </c>
      <c r="E395">
        <v>7</v>
      </c>
      <c r="F395">
        <v>6</v>
      </c>
    </row>
    <row r="396" spans="1:6" x14ac:dyDescent="0.35">
      <c r="A396">
        <v>24</v>
      </c>
      <c r="B396">
        <v>1409</v>
      </c>
      <c r="C396">
        <v>3</v>
      </c>
      <c r="D396">
        <v>6</v>
      </c>
      <c r="E396">
        <v>7</v>
      </c>
      <c r="F396">
        <v>5</v>
      </c>
    </row>
    <row r="397" spans="1:6" x14ac:dyDescent="0.35">
      <c r="A397">
        <v>289</v>
      </c>
      <c r="B397">
        <v>4697</v>
      </c>
      <c r="C397">
        <v>3</v>
      </c>
      <c r="D397">
        <v>3</v>
      </c>
      <c r="E397">
        <v>7</v>
      </c>
      <c r="F397">
        <v>5</v>
      </c>
    </row>
    <row r="398" spans="1:6" x14ac:dyDescent="0.35">
      <c r="A398">
        <v>581</v>
      </c>
      <c r="B398">
        <v>5314</v>
      </c>
      <c r="C398">
        <v>3</v>
      </c>
      <c r="D398">
        <v>6</v>
      </c>
      <c r="E398">
        <v>7</v>
      </c>
      <c r="F398">
        <v>5</v>
      </c>
    </row>
    <row r="399" spans="1:6" x14ac:dyDescent="0.35">
      <c r="A399">
        <v>654</v>
      </c>
      <c r="B399">
        <v>3277</v>
      </c>
      <c r="C399">
        <v>3</v>
      </c>
      <c r="D399">
        <v>0</v>
      </c>
      <c r="E399">
        <v>7</v>
      </c>
      <c r="F399">
        <v>5</v>
      </c>
    </row>
    <row r="400" spans="1:6" x14ac:dyDescent="0.35">
      <c r="A400">
        <v>1595</v>
      </c>
      <c r="B400">
        <v>1041</v>
      </c>
      <c r="C400">
        <v>3</v>
      </c>
      <c r="D400">
        <v>3</v>
      </c>
      <c r="E400">
        <v>7</v>
      </c>
      <c r="F400">
        <v>6</v>
      </c>
    </row>
    <row r="401" spans="1:6" x14ac:dyDescent="0.35">
      <c r="A401">
        <v>1608</v>
      </c>
      <c r="B401">
        <v>4480</v>
      </c>
      <c r="C401">
        <v>3</v>
      </c>
      <c r="D401">
        <v>3</v>
      </c>
      <c r="E401">
        <v>7</v>
      </c>
      <c r="F401">
        <v>5</v>
      </c>
    </row>
    <row r="402" spans="1:6" x14ac:dyDescent="0.35">
      <c r="A402">
        <v>1998</v>
      </c>
      <c r="B402">
        <v>5370</v>
      </c>
      <c r="C402">
        <v>3</v>
      </c>
      <c r="D402">
        <v>7</v>
      </c>
      <c r="E402">
        <v>7</v>
      </c>
      <c r="F402">
        <v>6</v>
      </c>
    </row>
    <row r="403" spans="1:6" x14ac:dyDescent="0.35">
      <c r="A403">
        <v>2114</v>
      </c>
      <c r="B403">
        <v>1916</v>
      </c>
      <c r="C403">
        <v>3</v>
      </c>
      <c r="D403">
        <v>3</v>
      </c>
      <c r="E403">
        <v>7</v>
      </c>
      <c r="F403">
        <v>6</v>
      </c>
    </row>
    <row r="404" spans="1:6" x14ac:dyDescent="0.35">
      <c r="A404">
        <v>2177</v>
      </c>
      <c r="B404">
        <v>492</v>
      </c>
      <c r="C404">
        <v>3</v>
      </c>
      <c r="D404">
        <v>3</v>
      </c>
      <c r="E404">
        <v>7</v>
      </c>
      <c r="F404">
        <v>6</v>
      </c>
    </row>
    <row r="405" spans="1:6" x14ac:dyDescent="0.35">
      <c r="A405">
        <v>2202</v>
      </c>
      <c r="B405">
        <v>11133</v>
      </c>
      <c r="C405">
        <v>3</v>
      </c>
      <c r="D405">
        <v>3</v>
      </c>
      <c r="E405">
        <v>7</v>
      </c>
      <c r="F405">
        <v>6</v>
      </c>
    </row>
    <row r="406" spans="1:6" x14ac:dyDescent="0.35">
      <c r="A406">
        <v>63</v>
      </c>
      <c r="B406">
        <v>6518</v>
      </c>
      <c r="C406">
        <v>0</v>
      </c>
      <c r="D406">
        <v>6</v>
      </c>
      <c r="E406">
        <v>7</v>
      </c>
      <c r="F406">
        <v>8</v>
      </c>
    </row>
    <row r="407" spans="1:6" x14ac:dyDescent="0.35">
      <c r="A407">
        <v>96</v>
      </c>
      <c r="B407">
        <v>7247</v>
      </c>
      <c r="C407">
        <v>0</v>
      </c>
      <c r="D407">
        <v>0</v>
      </c>
      <c r="E407">
        <v>7</v>
      </c>
      <c r="F407">
        <v>6</v>
      </c>
    </row>
    <row r="408" spans="1:6" x14ac:dyDescent="0.35">
      <c r="A408">
        <v>187</v>
      </c>
      <c r="B408">
        <v>3934</v>
      </c>
      <c r="C408">
        <v>0</v>
      </c>
      <c r="D408">
        <v>9</v>
      </c>
      <c r="E408">
        <v>7</v>
      </c>
      <c r="F408">
        <v>8</v>
      </c>
    </row>
    <row r="409" spans="1:6" x14ac:dyDescent="0.35">
      <c r="A409">
        <v>213</v>
      </c>
      <c r="B409">
        <v>2877</v>
      </c>
      <c r="C409">
        <v>0</v>
      </c>
      <c r="D409">
        <v>9</v>
      </c>
      <c r="E409">
        <v>7</v>
      </c>
      <c r="F409">
        <v>8</v>
      </c>
    </row>
    <row r="410" spans="1:6" x14ac:dyDescent="0.35">
      <c r="A410">
        <v>477</v>
      </c>
      <c r="B410">
        <v>5512</v>
      </c>
      <c r="C410">
        <v>0</v>
      </c>
      <c r="D410">
        <v>4</v>
      </c>
      <c r="E410">
        <v>7</v>
      </c>
      <c r="F410">
        <v>8</v>
      </c>
    </row>
    <row r="411" spans="1:6" x14ac:dyDescent="0.35">
      <c r="A411">
        <v>648</v>
      </c>
      <c r="B411">
        <v>4679</v>
      </c>
      <c r="C411">
        <v>0</v>
      </c>
      <c r="D411">
        <v>50</v>
      </c>
      <c r="E411">
        <v>7</v>
      </c>
      <c r="F411">
        <v>12</v>
      </c>
    </row>
    <row r="412" spans="1:6" x14ac:dyDescent="0.35">
      <c r="A412">
        <v>660</v>
      </c>
      <c r="B412">
        <v>55</v>
      </c>
      <c r="C412">
        <v>0</v>
      </c>
      <c r="D412">
        <v>11</v>
      </c>
      <c r="E412">
        <v>7</v>
      </c>
      <c r="F412">
        <v>9</v>
      </c>
    </row>
    <row r="413" spans="1:6" x14ac:dyDescent="0.35">
      <c r="A413">
        <v>805</v>
      </c>
      <c r="B413">
        <v>4599</v>
      </c>
      <c r="C413">
        <v>0</v>
      </c>
      <c r="D413">
        <v>0</v>
      </c>
      <c r="E413">
        <v>7</v>
      </c>
      <c r="F413">
        <v>7</v>
      </c>
    </row>
    <row r="414" spans="1:6" x14ac:dyDescent="0.35">
      <c r="A414">
        <v>854</v>
      </c>
      <c r="B414">
        <v>5794</v>
      </c>
      <c r="C414">
        <v>0</v>
      </c>
      <c r="D414">
        <v>0</v>
      </c>
      <c r="E414">
        <v>7</v>
      </c>
      <c r="F414">
        <v>7</v>
      </c>
    </row>
    <row r="415" spans="1:6" x14ac:dyDescent="0.35">
      <c r="A415">
        <v>1191</v>
      </c>
      <c r="B415">
        <v>8732</v>
      </c>
      <c r="C415">
        <v>0</v>
      </c>
      <c r="D415">
        <v>14</v>
      </c>
      <c r="E415">
        <v>7</v>
      </c>
      <c r="F415">
        <v>10</v>
      </c>
    </row>
    <row r="416" spans="1:6" x14ac:dyDescent="0.35">
      <c r="A416">
        <v>1255</v>
      </c>
      <c r="B416">
        <v>6653</v>
      </c>
      <c r="C416">
        <v>0</v>
      </c>
      <c r="D416">
        <v>11</v>
      </c>
      <c r="E416">
        <v>7</v>
      </c>
      <c r="F416">
        <v>5</v>
      </c>
    </row>
    <row r="417" spans="1:6" x14ac:dyDescent="0.35">
      <c r="A417">
        <v>1479</v>
      </c>
      <c r="B417">
        <v>9559</v>
      </c>
      <c r="C417">
        <v>0</v>
      </c>
      <c r="D417">
        <v>0</v>
      </c>
      <c r="E417">
        <v>7</v>
      </c>
      <c r="F417">
        <v>13</v>
      </c>
    </row>
    <row r="418" spans="1:6" x14ac:dyDescent="0.35">
      <c r="A418">
        <v>1525</v>
      </c>
      <c r="B418">
        <v>2408</v>
      </c>
      <c r="C418">
        <v>0</v>
      </c>
      <c r="D418">
        <v>28</v>
      </c>
      <c r="E418">
        <v>7</v>
      </c>
      <c r="F418">
        <v>9</v>
      </c>
    </row>
    <row r="419" spans="1:6" x14ac:dyDescent="0.35">
      <c r="A419">
        <v>1561</v>
      </c>
      <c r="B419">
        <v>879</v>
      </c>
      <c r="C419">
        <v>0</v>
      </c>
      <c r="D419">
        <v>0</v>
      </c>
      <c r="E419">
        <v>7</v>
      </c>
      <c r="F419">
        <v>7</v>
      </c>
    </row>
    <row r="420" spans="1:6" x14ac:dyDescent="0.35">
      <c r="A420">
        <v>1708</v>
      </c>
      <c r="B420">
        <v>7732</v>
      </c>
      <c r="C420">
        <v>0</v>
      </c>
      <c r="D420">
        <v>97</v>
      </c>
      <c r="E420">
        <v>7</v>
      </c>
      <c r="F420">
        <v>10</v>
      </c>
    </row>
    <row r="421" spans="1:6" x14ac:dyDescent="0.35">
      <c r="A421">
        <v>1735</v>
      </c>
      <c r="B421">
        <v>10092</v>
      </c>
      <c r="C421">
        <v>0</v>
      </c>
      <c r="D421">
        <v>14</v>
      </c>
      <c r="E421">
        <v>7</v>
      </c>
      <c r="F421">
        <v>5</v>
      </c>
    </row>
    <row r="422" spans="1:6" x14ac:dyDescent="0.35">
      <c r="A422">
        <v>1753</v>
      </c>
      <c r="B422">
        <v>5092</v>
      </c>
      <c r="C422">
        <v>0</v>
      </c>
      <c r="D422">
        <v>0</v>
      </c>
      <c r="E422">
        <v>7</v>
      </c>
      <c r="F422">
        <v>7</v>
      </c>
    </row>
    <row r="423" spans="1:6" x14ac:dyDescent="0.35">
      <c r="A423">
        <v>2047</v>
      </c>
      <c r="B423">
        <v>10701</v>
      </c>
      <c r="C423">
        <v>0</v>
      </c>
      <c r="D423">
        <v>80</v>
      </c>
      <c r="E423">
        <v>7</v>
      </c>
      <c r="F423">
        <v>12</v>
      </c>
    </row>
    <row r="424" spans="1:6" x14ac:dyDescent="0.35">
      <c r="A424">
        <v>2126</v>
      </c>
      <c r="B424">
        <v>2493</v>
      </c>
      <c r="C424">
        <v>0</v>
      </c>
      <c r="D424">
        <v>9</v>
      </c>
      <c r="E424">
        <v>7</v>
      </c>
      <c r="F424">
        <v>8</v>
      </c>
    </row>
    <row r="425" spans="1:6" x14ac:dyDescent="0.35">
      <c r="A425">
        <v>1921</v>
      </c>
      <c r="B425">
        <v>3283</v>
      </c>
      <c r="C425">
        <v>193</v>
      </c>
      <c r="D425">
        <v>185</v>
      </c>
      <c r="E425">
        <v>6</v>
      </c>
      <c r="F425">
        <v>12</v>
      </c>
    </row>
    <row r="426" spans="1:6" x14ac:dyDescent="0.35">
      <c r="A426">
        <v>1612</v>
      </c>
      <c r="B426">
        <v>9242</v>
      </c>
      <c r="C426">
        <v>185</v>
      </c>
      <c r="D426">
        <v>25</v>
      </c>
      <c r="E426">
        <v>6</v>
      </c>
      <c r="F426">
        <v>9</v>
      </c>
    </row>
    <row r="427" spans="1:6" x14ac:dyDescent="0.35">
      <c r="A427">
        <v>1552</v>
      </c>
      <c r="B427">
        <v>8091</v>
      </c>
      <c r="C427">
        <v>184</v>
      </c>
      <c r="D427">
        <v>97</v>
      </c>
      <c r="E427">
        <v>6</v>
      </c>
      <c r="F427">
        <v>6</v>
      </c>
    </row>
    <row r="428" spans="1:6" x14ac:dyDescent="0.35">
      <c r="A428">
        <v>2071</v>
      </c>
      <c r="B428">
        <v>2712</v>
      </c>
      <c r="C428">
        <v>178</v>
      </c>
      <c r="D428">
        <v>39</v>
      </c>
      <c r="E428">
        <v>6</v>
      </c>
      <c r="F428">
        <v>10</v>
      </c>
    </row>
    <row r="429" spans="1:6" x14ac:dyDescent="0.35">
      <c r="A429">
        <v>2172</v>
      </c>
      <c r="B429">
        <v>4084</v>
      </c>
      <c r="C429">
        <v>155</v>
      </c>
      <c r="D429">
        <v>93</v>
      </c>
      <c r="E429">
        <v>6</v>
      </c>
      <c r="F429">
        <v>11</v>
      </c>
    </row>
    <row r="430" spans="1:6" x14ac:dyDescent="0.35">
      <c r="A430">
        <v>561</v>
      </c>
      <c r="B430">
        <v>3179</v>
      </c>
      <c r="C430">
        <v>153</v>
      </c>
      <c r="D430">
        <v>134</v>
      </c>
      <c r="E430">
        <v>6</v>
      </c>
      <c r="F430">
        <v>7</v>
      </c>
    </row>
    <row r="431" spans="1:6" x14ac:dyDescent="0.35">
      <c r="A431">
        <v>1965</v>
      </c>
      <c r="B431">
        <v>6203</v>
      </c>
      <c r="C431">
        <v>149</v>
      </c>
      <c r="D431">
        <v>49</v>
      </c>
      <c r="E431">
        <v>6</v>
      </c>
      <c r="F431">
        <v>12</v>
      </c>
    </row>
    <row r="432" spans="1:6" x14ac:dyDescent="0.35">
      <c r="A432">
        <v>252</v>
      </c>
      <c r="B432">
        <v>10089</v>
      </c>
      <c r="C432">
        <v>148</v>
      </c>
      <c r="D432">
        <v>172</v>
      </c>
      <c r="E432">
        <v>6</v>
      </c>
      <c r="F432">
        <v>13</v>
      </c>
    </row>
    <row r="433" spans="1:6" x14ac:dyDescent="0.35">
      <c r="A433">
        <v>803</v>
      </c>
      <c r="B433">
        <v>9930</v>
      </c>
      <c r="C433">
        <v>148</v>
      </c>
      <c r="D433">
        <v>148</v>
      </c>
      <c r="E433">
        <v>6</v>
      </c>
      <c r="F433">
        <v>13</v>
      </c>
    </row>
    <row r="434" spans="1:6" x14ac:dyDescent="0.35">
      <c r="A434">
        <v>305</v>
      </c>
      <c r="B434">
        <v>9274</v>
      </c>
      <c r="C434">
        <v>147</v>
      </c>
      <c r="D434">
        <v>147</v>
      </c>
      <c r="E434">
        <v>6</v>
      </c>
      <c r="F434">
        <v>9</v>
      </c>
    </row>
    <row r="435" spans="1:6" x14ac:dyDescent="0.35">
      <c r="A435">
        <v>1199</v>
      </c>
      <c r="B435">
        <v>7342</v>
      </c>
      <c r="C435">
        <v>142</v>
      </c>
      <c r="D435">
        <v>151</v>
      </c>
      <c r="E435">
        <v>6</v>
      </c>
      <c r="F435">
        <v>12</v>
      </c>
    </row>
    <row r="436" spans="1:6" x14ac:dyDescent="0.35">
      <c r="A436">
        <v>312</v>
      </c>
      <c r="B436">
        <v>2437</v>
      </c>
      <c r="C436">
        <v>138</v>
      </c>
      <c r="D436">
        <v>30</v>
      </c>
      <c r="E436">
        <v>6</v>
      </c>
      <c r="F436">
        <v>12</v>
      </c>
    </row>
    <row r="437" spans="1:6" x14ac:dyDescent="0.35">
      <c r="A437">
        <v>426</v>
      </c>
      <c r="B437">
        <v>1340</v>
      </c>
      <c r="C437">
        <v>137</v>
      </c>
      <c r="D437">
        <v>103</v>
      </c>
      <c r="E437">
        <v>6</v>
      </c>
      <c r="F437">
        <v>13</v>
      </c>
    </row>
    <row r="438" spans="1:6" x14ac:dyDescent="0.35">
      <c r="A438">
        <v>519</v>
      </c>
      <c r="B438">
        <v>3711</v>
      </c>
      <c r="C438">
        <v>134</v>
      </c>
      <c r="D438">
        <v>38</v>
      </c>
      <c r="E438">
        <v>6</v>
      </c>
      <c r="F438">
        <v>10</v>
      </c>
    </row>
    <row r="439" spans="1:6" x14ac:dyDescent="0.35">
      <c r="A439">
        <v>1627</v>
      </c>
      <c r="B439">
        <v>252</v>
      </c>
      <c r="C439">
        <v>133</v>
      </c>
      <c r="D439">
        <v>44</v>
      </c>
      <c r="E439">
        <v>6</v>
      </c>
      <c r="F439">
        <v>8</v>
      </c>
    </row>
    <row r="440" spans="1:6" x14ac:dyDescent="0.35">
      <c r="A440">
        <v>563</v>
      </c>
      <c r="B440">
        <v>10681</v>
      </c>
      <c r="C440">
        <v>129</v>
      </c>
      <c r="D440">
        <v>121</v>
      </c>
      <c r="E440">
        <v>6</v>
      </c>
      <c r="F440">
        <v>12</v>
      </c>
    </row>
    <row r="441" spans="1:6" x14ac:dyDescent="0.35">
      <c r="A441">
        <v>632</v>
      </c>
      <c r="B441">
        <v>5156</v>
      </c>
      <c r="C441">
        <v>129</v>
      </c>
      <c r="D441">
        <v>121</v>
      </c>
      <c r="E441">
        <v>6</v>
      </c>
      <c r="F441">
        <v>12</v>
      </c>
    </row>
    <row r="442" spans="1:6" x14ac:dyDescent="0.35">
      <c r="A442">
        <v>1144</v>
      </c>
      <c r="B442">
        <v>819</v>
      </c>
      <c r="C442">
        <v>124</v>
      </c>
      <c r="D442">
        <v>38</v>
      </c>
      <c r="E442">
        <v>6</v>
      </c>
      <c r="F442">
        <v>13</v>
      </c>
    </row>
    <row r="443" spans="1:6" x14ac:dyDescent="0.35">
      <c r="A443">
        <v>835</v>
      </c>
      <c r="B443">
        <v>9904</v>
      </c>
      <c r="C443">
        <v>123</v>
      </c>
      <c r="D443">
        <v>123</v>
      </c>
      <c r="E443">
        <v>6</v>
      </c>
      <c r="F443">
        <v>12</v>
      </c>
    </row>
    <row r="444" spans="1:6" x14ac:dyDescent="0.35">
      <c r="A444">
        <v>110</v>
      </c>
      <c r="B444">
        <v>5077</v>
      </c>
      <c r="C444">
        <v>115</v>
      </c>
      <c r="D444">
        <v>35</v>
      </c>
      <c r="E444">
        <v>6</v>
      </c>
      <c r="F444">
        <v>11</v>
      </c>
    </row>
    <row r="445" spans="1:6" x14ac:dyDescent="0.35">
      <c r="A445">
        <v>1789</v>
      </c>
      <c r="B445">
        <v>6173</v>
      </c>
      <c r="C445">
        <v>115</v>
      </c>
      <c r="D445">
        <v>35</v>
      </c>
      <c r="E445">
        <v>6</v>
      </c>
      <c r="F445">
        <v>11</v>
      </c>
    </row>
    <row r="446" spans="1:6" x14ac:dyDescent="0.35">
      <c r="A446">
        <v>241</v>
      </c>
      <c r="B446">
        <v>9940</v>
      </c>
      <c r="C446">
        <v>114</v>
      </c>
      <c r="D446">
        <v>124</v>
      </c>
      <c r="E446">
        <v>6</v>
      </c>
      <c r="F446">
        <v>4</v>
      </c>
    </row>
    <row r="447" spans="1:6" x14ac:dyDescent="0.35">
      <c r="A447">
        <v>1016</v>
      </c>
      <c r="B447">
        <v>7010</v>
      </c>
      <c r="C447">
        <v>114</v>
      </c>
      <c r="D447">
        <v>152</v>
      </c>
      <c r="E447">
        <v>6</v>
      </c>
      <c r="F447">
        <v>7</v>
      </c>
    </row>
    <row r="448" spans="1:6" x14ac:dyDescent="0.35">
      <c r="A448">
        <v>1050</v>
      </c>
      <c r="B448">
        <v>4767</v>
      </c>
      <c r="C448">
        <v>114</v>
      </c>
      <c r="D448">
        <v>152</v>
      </c>
      <c r="E448">
        <v>6</v>
      </c>
      <c r="F448">
        <v>7</v>
      </c>
    </row>
    <row r="449" spans="1:6" x14ac:dyDescent="0.35">
      <c r="A449">
        <v>1934</v>
      </c>
      <c r="B449">
        <v>6200</v>
      </c>
      <c r="C449">
        <v>108</v>
      </c>
      <c r="D449">
        <v>38</v>
      </c>
      <c r="E449">
        <v>6</v>
      </c>
      <c r="F449">
        <v>9</v>
      </c>
    </row>
    <row r="450" spans="1:6" x14ac:dyDescent="0.35">
      <c r="A450">
        <v>762</v>
      </c>
      <c r="B450">
        <v>6406</v>
      </c>
      <c r="C450">
        <v>107</v>
      </c>
      <c r="D450">
        <v>67</v>
      </c>
      <c r="E450">
        <v>6</v>
      </c>
      <c r="F450">
        <v>10</v>
      </c>
    </row>
    <row r="451" spans="1:6" x14ac:dyDescent="0.35">
      <c r="A451">
        <v>107</v>
      </c>
      <c r="B451">
        <v>2683</v>
      </c>
      <c r="C451">
        <v>106</v>
      </c>
      <c r="D451">
        <v>98</v>
      </c>
      <c r="E451">
        <v>6</v>
      </c>
      <c r="F451">
        <v>12</v>
      </c>
    </row>
    <row r="452" spans="1:6" x14ac:dyDescent="0.35">
      <c r="A452">
        <v>29</v>
      </c>
      <c r="B452">
        <v>1966</v>
      </c>
      <c r="C452">
        <v>100</v>
      </c>
      <c r="D452">
        <v>66</v>
      </c>
      <c r="E452">
        <v>6</v>
      </c>
      <c r="F452">
        <v>10</v>
      </c>
    </row>
    <row r="453" spans="1:6" x14ac:dyDescent="0.35">
      <c r="A453">
        <v>1206</v>
      </c>
      <c r="B453">
        <v>7789</v>
      </c>
      <c r="C453">
        <v>100</v>
      </c>
      <c r="D453">
        <v>66</v>
      </c>
      <c r="E453">
        <v>6</v>
      </c>
      <c r="F453">
        <v>10</v>
      </c>
    </row>
    <row r="454" spans="1:6" x14ac:dyDescent="0.35">
      <c r="A454">
        <v>286</v>
      </c>
      <c r="B454">
        <v>10983</v>
      </c>
      <c r="C454">
        <v>98</v>
      </c>
      <c r="D454">
        <v>74</v>
      </c>
      <c r="E454">
        <v>6</v>
      </c>
      <c r="F454">
        <v>13</v>
      </c>
    </row>
    <row r="455" spans="1:6" x14ac:dyDescent="0.35">
      <c r="A455">
        <v>614</v>
      </c>
      <c r="B455">
        <v>10299</v>
      </c>
      <c r="C455">
        <v>91</v>
      </c>
      <c r="D455">
        <v>49</v>
      </c>
      <c r="E455">
        <v>6</v>
      </c>
      <c r="F455">
        <v>13</v>
      </c>
    </row>
    <row r="456" spans="1:6" x14ac:dyDescent="0.35">
      <c r="A456">
        <v>798</v>
      </c>
      <c r="B456">
        <v>3749</v>
      </c>
      <c r="C456">
        <v>91</v>
      </c>
      <c r="D456">
        <v>91</v>
      </c>
      <c r="E456">
        <v>6</v>
      </c>
      <c r="F456">
        <v>12</v>
      </c>
    </row>
    <row r="457" spans="1:6" x14ac:dyDescent="0.35">
      <c r="A457">
        <v>1429</v>
      </c>
      <c r="B457">
        <v>1362</v>
      </c>
      <c r="C457">
        <v>87</v>
      </c>
      <c r="D457">
        <v>16</v>
      </c>
      <c r="E457">
        <v>6</v>
      </c>
      <c r="F457">
        <v>6</v>
      </c>
    </row>
    <row r="458" spans="1:6" x14ac:dyDescent="0.35">
      <c r="A458">
        <v>940</v>
      </c>
      <c r="B458">
        <v>8957</v>
      </c>
      <c r="C458">
        <v>86</v>
      </c>
      <c r="D458">
        <v>86</v>
      </c>
      <c r="E458">
        <v>6</v>
      </c>
      <c r="F458">
        <v>5</v>
      </c>
    </row>
    <row r="459" spans="1:6" x14ac:dyDescent="0.35">
      <c r="A459">
        <v>556</v>
      </c>
      <c r="B459">
        <v>448</v>
      </c>
      <c r="C459">
        <v>85</v>
      </c>
      <c r="D459">
        <v>45</v>
      </c>
      <c r="E459">
        <v>6</v>
      </c>
      <c r="F459">
        <v>11</v>
      </c>
    </row>
    <row r="460" spans="1:6" x14ac:dyDescent="0.35">
      <c r="A460">
        <v>511</v>
      </c>
      <c r="B460">
        <v>4320</v>
      </c>
      <c r="C460">
        <v>83</v>
      </c>
      <c r="D460">
        <v>58</v>
      </c>
      <c r="E460">
        <v>6</v>
      </c>
      <c r="F460">
        <v>12</v>
      </c>
    </row>
    <row r="461" spans="1:6" x14ac:dyDescent="0.35">
      <c r="A461">
        <v>103</v>
      </c>
      <c r="B461">
        <v>9370</v>
      </c>
      <c r="C461">
        <v>81</v>
      </c>
      <c r="D461">
        <v>40</v>
      </c>
      <c r="E461">
        <v>6</v>
      </c>
      <c r="F461">
        <v>6</v>
      </c>
    </row>
    <row r="462" spans="1:6" x14ac:dyDescent="0.35">
      <c r="A462">
        <v>929</v>
      </c>
      <c r="B462">
        <v>10673</v>
      </c>
      <c r="C462">
        <v>80</v>
      </c>
      <c r="D462">
        <v>13</v>
      </c>
      <c r="E462">
        <v>6</v>
      </c>
      <c r="F462">
        <v>5</v>
      </c>
    </row>
    <row r="463" spans="1:6" x14ac:dyDescent="0.35">
      <c r="A463">
        <v>231</v>
      </c>
      <c r="B463">
        <v>5341</v>
      </c>
      <c r="C463">
        <v>76</v>
      </c>
      <c r="D463">
        <v>138</v>
      </c>
      <c r="E463">
        <v>6</v>
      </c>
      <c r="F463">
        <v>4</v>
      </c>
    </row>
    <row r="464" spans="1:6" x14ac:dyDescent="0.35">
      <c r="A464">
        <v>470</v>
      </c>
      <c r="B464">
        <v>2021</v>
      </c>
      <c r="C464">
        <v>76</v>
      </c>
      <c r="D464">
        <v>192</v>
      </c>
      <c r="E464">
        <v>6</v>
      </c>
      <c r="F464">
        <v>13</v>
      </c>
    </row>
    <row r="465" spans="1:6" x14ac:dyDescent="0.35">
      <c r="A465">
        <v>2087</v>
      </c>
      <c r="B465">
        <v>6343</v>
      </c>
      <c r="C465">
        <v>73</v>
      </c>
      <c r="D465">
        <v>73</v>
      </c>
      <c r="E465">
        <v>6</v>
      </c>
      <c r="F465">
        <v>7</v>
      </c>
    </row>
    <row r="466" spans="1:6" x14ac:dyDescent="0.35">
      <c r="A466">
        <v>2163</v>
      </c>
      <c r="B466">
        <v>7313</v>
      </c>
      <c r="C466">
        <v>73</v>
      </c>
      <c r="D466">
        <v>102</v>
      </c>
      <c r="E466">
        <v>6</v>
      </c>
      <c r="F466">
        <v>11</v>
      </c>
    </row>
    <row r="467" spans="1:6" x14ac:dyDescent="0.35">
      <c r="A467">
        <v>1958</v>
      </c>
      <c r="B467">
        <v>2109</v>
      </c>
      <c r="C467">
        <v>71</v>
      </c>
      <c r="D467">
        <v>17</v>
      </c>
      <c r="E467">
        <v>6</v>
      </c>
      <c r="F467">
        <v>10</v>
      </c>
    </row>
    <row r="468" spans="1:6" x14ac:dyDescent="0.35">
      <c r="A468">
        <v>2117</v>
      </c>
      <c r="B468">
        <v>8659</v>
      </c>
      <c r="C468">
        <v>71</v>
      </c>
      <c r="D468">
        <v>10</v>
      </c>
      <c r="E468">
        <v>6</v>
      </c>
      <c r="F468">
        <v>11</v>
      </c>
    </row>
    <row r="469" spans="1:6" x14ac:dyDescent="0.35">
      <c r="A469">
        <v>2211</v>
      </c>
      <c r="B469">
        <v>10469</v>
      </c>
      <c r="C469">
        <v>71</v>
      </c>
      <c r="D469">
        <v>27</v>
      </c>
      <c r="E469">
        <v>6</v>
      </c>
      <c r="F469">
        <v>9</v>
      </c>
    </row>
    <row r="470" spans="1:6" x14ac:dyDescent="0.35">
      <c r="A470">
        <v>878</v>
      </c>
      <c r="B470">
        <v>1446</v>
      </c>
      <c r="C470">
        <v>68</v>
      </c>
      <c r="D470">
        <v>45</v>
      </c>
      <c r="E470">
        <v>6</v>
      </c>
      <c r="F470">
        <v>12</v>
      </c>
    </row>
    <row r="471" spans="1:6" x14ac:dyDescent="0.35">
      <c r="A471">
        <v>1458</v>
      </c>
      <c r="B471">
        <v>10133</v>
      </c>
      <c r="C471">
        <v>68</v>
      </c>
      <c r="D471">
        <v>114</v>
      </c>
      <c r="E471">
        <v>6</v>
      </c>
      <c r="F471">
        <v>12</v>
      </c>
    </row>
    <row r="472" spans="1:6" x14ac:dyDescent="0.35">
      <c r="A472">
        <v>133</v>
      </c>
      <c r="B472">
        <v>1295</v>
      </c>
      <c r="C472">
        <v>65</v>
      </c>
      <c r="D472">
        <v>71</v>
      </c>
      <c r="E472">
        <v>6</v>
      </c>
      <c r="F472">
        <v>7</v>
      </c>
    </row>
    <row r="473" spans="1:6" x14ac:dyDescent="0.35">
      <c r="A473">
        <v>857</v>
      </c>
      <c r="B473">
        <v>425</v>
      </c>
      <c r="C473">
        <v>64</v>
      </c>
      <c r="D473">
        <v>25</v>
      </c>
      <c r="E473">
        <v>6</v>
      </c>
      <c r="F473">
        <v>11</v>
      </c>
    </row>
    <row r="474" spans="1:6" x14ac:dyDescent="0.35">
      <c r="A474">
        <v>919</v>
      </c>
      <c r="B474">
        <v>4637</v>
      </c>
      <c r="C474">
        <v>64</v>
      </c>
      <c r="D474">
        <v>0</v>
      </c>
      <c r="E474">
        <v>6</v>
      </c>
      <c r="F474">
        <v>9</v>
      </c>
    </row>
    <row r="475" spans="1:6" x14ac:dyDescent="0.35">
      <c r="A475">
        <v>1399</v>
      </c>
      <c r="B475">
        <v>10490</v>
      </c>
      <c r="C475">
        <v>64</v>
      </c>
      <c r="D475">
        <v>0</v>
      </c>
      <c r="E475">
        <v>6</v>
      </c>
      <c r="F475">
        <v>4</v>
      </c>
    </row>
    <row r="476" spans="1:6" x14ac:dyDescent="0.35">
      <c r="A476">
        <v>240</v>
      </c>
      <c r="B476">
        <v>313</v>
      </c>
      <c r="C476">
        <v>61</v>
      </c>
      <c r="D476">
        <v>163</v>
      </c>
      <c r="E476">
        <v>6</v>
      </c>
      <c r="F476">
        <v>10</v>
      </c>
    </row>
    <row r="477" spans="1:6" x14ac:dyDescent="0.35">
      <c r="A477">
        <v>673</v>
      </c>
      <c r="B477">
        <v>3197</v>
      </c>
      <c r="C477">
        <v>59</v>
      </c>
      <c r="D477">
        <v>101</v>
      </c>
      <c r="E477">
        <v>6</v>
      </c>
      <c r="F477">
        <v>8</v>
      </c>
    </row>
    <row r="478" spans="1:6" x14ac:dyDescent="0.35">
      <c r="A478">
        <v>896</v>
      </c>
      <c r="B478">
        <v>5519</v>
      </c>
      <c r="C478">
        <v>58</v>
      </c>
      <c r="D478">
        <v>51</v>
      </c>
      <c r="E478">
        <v>6</v>
      </c>
      <c r="F478">
        <v>4</v>
      </c>
    </row>
    <row r="479" spans="1:6" x14ac:dyDescent="0.35">
      <c r="A479">
        <v>1331</v>
      </c>
      <c r="B479">
        <v>5621</v>
      </c>
      <c r="C479">
        <v>57</v>
      </c>
      <c r="D479">
        <v>15</v>
      </c>
      <c r="E479">
        <v>6</v>
      </c>
      <c r="F479">
        <v>5</v>
      </c>
    </row>
    <row r="480" spans="1:6" x14ac:dyDescent="0.35">
      <c r="A480">
        <v>662</v>
      </c>
      <c r="B480">
        <v>5084</v>
      </c>
      <c r="C480">
        <v>53</v>
      </c>
      <c r="D480">
        <v>98</v>
      </c>
      <c r="E480">
        <v>6</v>
      </c>
      <c r="F480">
        <v>13</v>
      </c>
    </row>
    <row r="481" spans="1:6" x14ac:dyDescent="0.35">
      <c r="A481">
        <v>752</v>
      </c>
      <c r="B481">
        <v>7094</v>
      </c>
      <c r="C481">
        <v>53</v>
      </c>
      <c r="D481">
        <v>98</v>
      </c>
      <c r="E481">
        <v>6</v>
      </c>
      <c r="F481">
        <v>13</v>
      </c>
    </row>
    <row r="482" spans="1:6" x14ac:dyDescent="0.35">
      <c r="A482">
        <v>120</v>
      </c>
      <c r="B482">
        <v>9805</v>
      </c>
      <c r="C482">
        <v>48</v>
      </c>
      <c r="D482">
        <v>72</v>
      </c>
      <c r="E482">
        <v>6</v>
      </c>
      <c r="F482">
        <v>10</v>
      </c>
    </row>
    <row r="483" spans="1:6" x14ac:dyDescent="0.35">
      <c r="A483">
        <v>787</v>
      </c>
      <c r="B483">
        <v>6299</v>
      </c>
      <c r="C483">
        <v>48</v>
      </c>
      <c r="D483">
        <v>18</v>
      </c>
      <c r="E483">
        <v>6</v>
      </c>
      <c r="F483">
        <v>4</v>
      </c>
    </row>
    <row r="484" spans="1:6" x14ac:dyDescent="0.35">
      <c r="A484">
        <v>1140</v>
      </c>
      <c r="B484">
        <v>849</v>
      </c>
      <c r="C484">
        <v>48</v>
      </c>
      <c r="D484">
        <v>72</v>
      </c>
      <c r="E484">
        <v>6</v>
      </c>
      <c r="F484">
        <v>10</v>
      </c>
    </row>
    <row r="485" spans="1:6" x14ac:dyDescent="0.35">
      <c r="A485">
        <v>1906</v>
      </c>
      <c r="B485">
        <v>17</v>
      </c>
      <c r="C485">
        <v>47</v>
      </c>
      <c r="D485">
        <v>19</v>
      </c>
      <c r="E485">
        <v>6</v>
      </c>
      <c r="F485">
        <v>7</v>
      </c>
    </row>
    <row r="486" spans="1:6" x14ac:dyDescent="0.35">
      <c r="A486">
        <v>1006</v>
      </c>
      <c r="B486">
        <v>8952</v>
      </c>
      <c r="C486">
        <v>46</v>
      </c>
      <c r="D486">
        <v>38</v>
      </c>
      <c r="E486">
        <v>6</v>
      </c>
      <c r="F486">
        <v>10</v>
      </c>
    </row>
    <row r="487" spans="1:6" x14ac:dyDescent="0.35">
      <c r="A487">
        <v>1163</v>
      </c>
      <c r="B487">
        <v>6905</v>
      </c>
      <c r="C487">
        <v>45</v>
      </c>
      <c r="D487">
        <v>26</v>
      </c>
      <c r="E487">
        <v>6</v>
      </c>
      <c r="F487">
        <v>10</v>
      </c>
    </row>
    <row r="488" spans="1:6" x14ac:dyDescent="0.35">
      <c r="A488">
        <v>113</v>
      </c>
      <c r="B488">
        <v>999</v>
      </c>
      <c r="C488">
        <v>44</v>
      </c>
      <c r="D488">
        <v>20</v>
      </c>
      <c r="E488">
        <v>6</v>
      </c>
      <c r="F488">
        <v>11</v>
      </c>
    </row>
    <row r="489" spans="1:6" x14ac:dyDescent="0.35">
      <c r="A489">
        <v>313</v>
      </c>
      <c r="B489">
        <v>6320</v>
      </c>
      <c r="C489">
        <v>44</v>
      </c>
      <c r="D489">
        <v>44</v>
      </c>
      <c r="E489">
        <v>6</v>
      </c>
      <c r="F489">
        <v>10</v>
      </c>
    </row>
    <row r="490" spans="1:6" x14ac:dyDescent="0.35">
      <c r="A490">
        <v>1076</v>
      </c>
      <c r="B490">
        <v>4207</v>
      </c>
      <c r="C490">
        <v>44</v>
      </c>
      <c r="D490">
        <v>44</v>
      </c>
      <c r="E490">
        <v>6</v>
      </c>
      <c r="F490">
        <v>11</v>
      </c>
    </row>
    <row r="491" spans="1:6" x14ac:dyDescent="0.35">
      <c r="A491">
        <v>1530</v>
      </c>
      <c r="B491">
        <v>6050</v>
      </c>
      <c r="C491">
        <v>43</v>
      </c>
      <c r="D491">
        <v>14</v>
      </c>
      <c r="E491">
        <v>6</v>
      </c>
      <c r="F491">
        <v>13</v>
      </c>
    </row>
    <row r="492" spans="1:6" x14ac:dyDescent="0.35">
      <c r="A492">
        <v>1967</v>
      </c>
      <c r="B492">
        <v>3595</v>
      </c>
      <c r="C492">
        <v>43</v>
      </c>
      <c r="D492">
        <v>76</v>
      </c>
      <c r="E492">
        <v>6</v>
      </c>
      <c r="F492">
        <v>12</v>
      </c>
    </row>
    <row r="493" spans="1:6" x14ac:dyDescent="0.35">
      <c r="A493">
        <v>5</v>
      </c>
      <c r="B493">
        <v>7446</v>
      </c>
      <c r="C493">
        <v>42</v>
      </c>
      <c r="D493">
        <v>42</v>
      </c>
      <c r="E493">
        <v>6</v>
      </c>
      <c r="F493">
        <v>10</v>
      </c>
    </row>
    <row r="494" spans="1:6" x14ac:dyDescent="0.35">
      <c r="A494">
        <v>750</v>
      </c>
      <c r="B494">
        <v>6974</v>
      </c>
      <c r="C494">
        <v>42</v>
      </c>
      <c r="D494">
        <v>56</v>
      </c>
      <c r="E494">
        <v>6</v>
      </c>
      <c r="F494">
        <v>5</v>
      </c>
    </row>
    <row r="495" spans="1:6" x14ac:dyDescent="0.35">
      <c r="A495">
        <v>1133</v>
      </c>
      <c r="B495">
        <v>2975</v>
      </c>
      <c r="C495">
        <v>42</v>
      </c>
      <c r="D495">
        <v>30</v>
      </c>
      <c r="E495">
        <v>6</v>
      </c>
      <c r="F495">
        <v>9</v>
      </c>
    </row>
    <row r="496" spans="1:6" x14ac:dyDescent="0.35">
      <c r="A496">
        <v>864</v>
      </c>
      <c r="B496">
        <v>4120</v>
      </c>
      <c r="C496">
        <v>39</v>
      </c>
      <c r="D496">
        <v>13</v>
      </c>
      <c r="E496">
        <v>6</v>
      </c>
      <c r="F496">
        <v>4</v>
      </c>
    </row>
    <row r="497" spans="1:6" x14ac:dyDescent="0.35">
      <c r="A497">
        <v>51</v>
      </c>
      <c r="B497">
        <v>4114</v>
      </c>
      <c r="C497">
        <v>37</v>
      </c>
      <c r="D497">
        <v>167</v>
      </c>
      <c r="E497">
        <v>6</v>
      </c>
      <c r="F497">
        <v>13</v>
      </c>
    </row>
    <row r="498" spans="1:6" x14ac:dyDescent="0.35">
      <c r="A498">
        <v>436</v>
      </c>
      <c r="B498">
        <v>9699</v>
      </c>
      <c r="C498">
        <v>35</v>
      </c>
      <c r="D498">
        <v>28</v>
      </c>
      <c r="E498">
        <v>6</v>
      </c>
      <c r="F498">
        <v>12</v>
      </c>
    </row>
    <row r="499" spans="1:6" x14ac:dyDescent="0.35">
      <c r="A499">
        <v>1474</v>
      </c>
      <c r="B499">
        <v>25</v>
      </c>
      <c r="C499">
        <v>35</v>
      </c>
      <c r="D499">
        <v>12</v>
      </c>
      <c r="E499">
        <v>6</v>
      </c>
      <c r="F499">
        <v>7</v>
      </c>
    </row>
    <row r="500" spans="1:6" x14ac:dyDescent="0.35">
      <c r="A500">
        <v>2052</v>
      </c>
      <c r="B500">
        <v>2591</v>
      </c>
      <c r="C500">
        <v>35</v>
      </c>
      <c r="D500">
        <v>53</v>
      </c>
      <c r="E500">
        <v>6</v>
      </c>
      <c r="F500">
        <v>4</v>
      </c>
    </row>
    <row r="501" spans="1:6" x14ac:dyDescent="0.35">
      <c r="A501">
        <v>350</v>
      </c>
      <c r="B501">
        <v>2579</v>
      </c>
      <c r="C501">
        <v>33</v>
      </c>
      <c r="D501">
        <v>33</v>
      </c>
      <c r="E501">
        <v>6</v>
      </c>
      <c r="F501">
        <v>9</v>
      </c>
    </row>
    <row r="502" spans="1:6" x14ac:dyDescent="0.35">
      <c r="A502">
        <v>1108</v>
      </c>
      <c r="B502">
        <v>4741</v>
      </c>
      <c r="C502">
        <v>32</v>
      </c>
      <c r="D502">
        <v>32</v>
      </c>
      <c r="E502">
        <v>6</v>
      </c>
      <c r="F502">
        <v>9</v>
      </c>
    </row>
    <row r="503" spans="1:6" x14ac:dyDescent="0.35">
      <c r="A503">
        <v>1723</v>
      </c>
      <c r="B503">
        <v>4686</v>
      </c>
      <c r="C503">
        <v>31</v>
      </c>
      <c r="D503">
        <v>95</v>
      </c>
      <c r="E503">
        <v>6</v>
      </c>
      <c r="F503">
        <v>13</v>
      </c>
    </row>
    <row r="504" spans="1:6" x14ac:dyDescent="0.35">
      <c r="A504">
        <v>1666</v>
      </c>
      <c r="B504">
        <v>6912</v>
      </c>
      <c r="C504">
        <v>30</v>
      </c>
      <c r="D504">
        <v>22</v>
      </c>
      <c r="E504">
        <v>6</v>
      </c>
      <c r="F504">
        <v>12</v>
      </c>
    </row>
    <row r="505" spans="1:6" x14ac:dyDescent="0.35">
      <c r="A505">
        <v>2238</v>
      </c>
      <c r="B505">
        <v>8235</v>
      </c>
      <c r="C505">
        <v>30</v>
      </c>
      <c r="D505">
        <v>30</v>
      </c>
      <c r="E505">
        <v>6</v>
      </c>
      <c r="F505">
        <v>10</v>
      </c>
    </row>
    <row r="506" spans="1:6" x14ac:dyDescent="0.35">
      <c r="A506">
        <v>2034</v>
      </c>
      <c r="B506">
        <v>983</v>
      </c>
      <c r="C506">
        <v>29</v>
      </c>
      <c r="D506">
        <v>10</v>
      </c>
      <c r="E506">
        <v>6</v>
      </c>
      <c r="F506">
        <v>3</v>
      </c>
    </row>
    <row r="507" spans="1:6" x14ac:dyDescent="0.35">
      <c r="A507">
        <v>287</v>
      </c>
      <c r="B507">
        <v>8148</v>
      </c>
      <c r="C507">
        <v>28</v>
      </c>
      <c r="D507">
        <v>114</v>
      </c>
      <c r="E507">
        <v>6</v>
      </c>
      <c r="F507">
        <v>12</v>
      </c>
    </row>
    <row r="508" spans="1:6" x14ac:dyDescent="0.35">
      <c r="A508">
        <v>925</v>
      </c>
      <c r="B508">
        <v>5871</v>
      </c>
      <c r="C508">
        <v>28</v>
      </c>
      <c r="D508">
        <v>24</v>
      </c>
      <c r="E508">
        <v>6</v>
      </c>
      <c r="F508">
        <v>6</v>
      </c>
    </row>
    <row r="509" spans="1:6" x14ac:dyDescent="0.35">
      <c r="A509">
        <v>1058</v>
      </c>
      <c r="B509">
        <v>4507</v>
      </c>
      <c r="C509">
        <v>28</v>
      </c>
      <c r="D509">
        <v>14</v>
      </c>
      <c r="E509">
        <v>6</v>
      </c>
      <c r="F509">
        <v>8</v>
      </c>
    </row>
    <row r="510" spans="1:6" x14ac:dyDescent="0.35">
      <c r="A510">
        <v>1120</v>
      </c>
      <c r="B510">
        <v>850</v>
      </c>
      <c r="C510">
        <v>28</v>
      </c>
      <c r="D510">
        <v>28</v>
      </c>
      <c r="E510">
        <v>6</v>
      </c>
      <c r="F510">
        <v>9</v>
      </c>
    </row>
    <row r="511" spans="1:6" x14ac:dyDescent="0.35">
      <c r="A511">
        <v>1251</v>
      </c>
      <c r="B511">
        <v>8534</v>
      </c>
      <c r="C511">
        <v>28</v>
      </c>
      <c r="D511">
        <v>48</v>
      </c>
      <c r="E511">
        <v>6</v>
      </c>
      <c r="F511">
        <v>13</v>
      </c>
    </row>
    <row r="512" spans="1:6" x14ac:dyDescent="0.35">
      <c r="A512">
        <v>2115</v>
      </c>
      <c r="B512">
        <v>9907</v>
      </c>
      <c r="C512">
        <v>28</v>
      </c>
      <c r="D512">
        <v>9</v>
      </c>
      <c r="E512">
        <v>6</v>
      </c>
      <c r="F512">
        <v>10</v>
      </c>
    </row>
    <row r="513" spans="1:6" x14ac:dyDescent="0.35">
      <c r="A513">
        <v>124</v>
      </c>
      <c r="B513">
        <v>7215</v>
      </c>
      <c r="C513">
        <v>27</v>
      </c>
      <c r="D513">
        <v>72</v>
      </c>
      <c r="E513">
        <v>6</v>
      </c>
      <c r="F513">
        <v>13</v>
      </c>
    </row>
    <row r="514" spans="1:6" x14ac:dyDescent="0.35">
      <c r="A514">
        <v>182</v>
      </c>
      <c r="B514">
        <v>10562</v>
      </c>
      <c r="C514">
        <v>26</v>
      </c>
      <c r="D514">
        <v>17</v>
      </c>
      <c r="E514">
        <v>6</v>
      </c>
      <c r="F514">
        <v>13</v>
      </c>
    </row>
    <row r="515" spans="1:6" x14ac:dyDescent="0.35">
      <c r="A515">
        <v>744</v>
      </c>
      <c r="B515">
        <v>5278</v>
      </c>
      <c r="C515">
        <v>26</v>
      </c>
      <c r="D515">
        <v>31</v>
      </c>
      <c r="E515">
        <v>6</v>
      </c>
      <c r="F515">
        <v>5</v>
      </c>
    </row>
    <row r="516" spans="1:6" x14ac:dyDescent="0.35">
      <c r="A516">
        <v>1269</v>
      </c>
      <c r="B516">
        <v>9400</v>
      </c>
      <c r="C516">
        <v>26</v>
      </c>
      <c r="D516">
        <v>18</v>
      </c>
      <c r="E516">
        <v>6</v>
      </c>
      <c r="F516">
        <v>6</v>
      </c>
    </row>
    <row r="517" spans="1:6" x14ac:dyDescent="0.35">
      <c r="A517">
        <v>1434</v>
      </c>
      <c r="B517">
        <v>3388</v>
      </c>
      <c r="C517">
        <v>26</v>
      </c>
      <c r="D517">
        <v>67</v>
      </c>
      <c r="E517">
        <v>6</v>
      </c>
      <c r="F517">
        <v>5</v>
      </c>
    </row>
    <row r="518" spans="1:6" x14ac:dyDescent="0.35">
      <c r="A518">
        <v>1747</v>
      </c>
      <c r="B518">
        <v>7881</v>
      </c>
      <c r="C518">
        <v>26</v>
      </c>
      <c r="D518">
        <v>17</v>
      </c>
      <c r="E518">
        <v>6</v>
      </c>
      <c r="F518">
        <v>13</v>
      </c>
    </row>
    <row r="519" spans="1:6" x14ac:dyDescent="0.35">
      <c r="A519">
        <v>1798</v>
      </c>
      <c r="B519">
        <v>8439</v>
      </c>
      <c r="C519">
        <v>26</v>
      </c>
      <c r="D519">
        <v>44</v>
      </c>
      <c r="E519">
        <v>6</v>
      </c>
      <c r="F519">
        <v>4</v>
      </c>
    </row>
    <row r="520" spans="1:6" x14ac:dyDescent="0.35">
      <c r="A520">
        <v>726</v>
      </c>
      <c r="B520">
        <v>6086</v>
      </c>
      <c r="C520">
        <v>25</v>
      </c>
      <c r="D520">
        <v>76</v>
      </c>
      <c r="E520">
        <v>6</v>
      </c>
      <c r="F520">
        <v>12</v>
      </c>
    </row>
    <row r="521" spans="1:6" x14ac:dyDescent="0.35">
      <c r="A521">
        <v>1354</v>
      </c>
      <c r="B521">
        <v>2407</v>
      </c>
      <c r="C521">
        <v>25</v>
      </c>
      <c r="D521">
        <v>29</v>
      </c>
      <c r="E521">
        <v>6</v>
      </c>
      <c r="F521">
        <v>7</v>
      </c>
    </row>
    <row r="522" spans="1:6" x14ac:dyDescent="0.35">
      <c r="A522">
        <v>1485</v>
      </c>
      <c r="B522">
        <v>9988</v>
      </c>
      <c r="C522">
        <v>25</v>
      </c>
      <c r="D522">
        <v>67</v>
      </c>
      <c r="E522">
        <v>6</v>
      </c>
      <c r="F522">
        <v>13</v>
      </c>
    </row>
    <row r="523" spans="1:6" x14ac:dyDescent="0.35">
      <c r="A523">
        <v>1864</v>
      </c>
      <c r="B523">
        <v>9064</v>
      </c>
      <c r="C523">
        <v>25</v>
      </c>
      <c r="D523">
        <v>29</v>
      </c>
      <c r="E523">
        <v>6</v>
      </c>
      <c r="F523">
        <v>7</v>
      </c>
    </row>
    <row r="524" spans="1:6" x14ac:dyDescent="0.35">
      <c r="A524">
        <v>1662</v>
      </c>
      <c r="B524">
        <v>6457</v>
      </c>
      <c r="C524">
        <v>24</v>
      </c>
      <c r="D524">
        <v>24</v>
      </c>
      <c r="E524">
        <v>6</v>
      </c>
      <c r="F524">
        <v>12</v>
      </c>
    </row>
    <row r="525" spans="1:6" x14ac:dyDescent="0.35">
      <c r="A525">
        <v>1743</v>
      </c>
      <c r="B525">
        <v>10814</v>
      </c>
      <c r="C525">
        <v>23</v>
      </c>
      <c r="D525">
        <v>26</v>
      </c>
      <c r="E525">
        <v>6</v>
      </c>
      <c r="F525">
        <v>13</v>
      </c>
    </row>
    <row r="526" spans="1:6" x14ac:dyDescent="0.35">
      <c r="A526">
        <v>1973</v>
      </c>
      <c r="B526">
        <v>9507</v>
      </c>
      <c r="C526">
        <v>23</v>
      </c>
      <c r="D526">
        <v>23</v>
      </c>
      <c r="E526">
        <v>6</v>
      </c>
      <c r="F526">
        <v>5</v>
      </c>
    </row>
    <row r="527" spans="1:6" x14ac:dyDescent="0.35">
      <c r="A527">
        <v>1996</v>
      </c>
      <c r="B527">
        <v>4122</v>
      </c>
      <c r="C527">
        <v>23</v>
      </c>
      <c r="D527">
        <v>28</v>
      </c>
      <c r="E527">
        <v>6</v>
      </c>
      <c r="F527">
        <v>4</v>
      </c>
    </row>
    <row r="528" spans="1:6" x14ac:dyDescent="0.35">
      <c r="A528">
        <v>478</v>
      </c>
      <c r="B528">
        <v>8970</v>
      </c>
      <c r="C528">
        <v>22</v>
      </c>
      <c r="D528">
        <v>0</v>
      </c>
      <c r="E528">
        <v>6</v>
      </c>
      <c r="F528">
        <v>7</v>
      </c>
    </row>
    <row r="529" spans="1:6" x14ac:dyDescent="0.35">
      <c r="A529">
        <v>624</v>
      </c>
      <c r="B529">
        <v>6583</v>
      </c>
      <c r="C529">
        <v>22</v>
      </c>
      <c r="D529">
        <v>35</v>
      </c>
      <c r="E529">
        <v>6</v>
      </c>
      <c r="F529">
        <v>6</v>
      </c>
    </row>
    <row r="530" spans="1:6" x14ac:dyDescent="0.35">
      <c r="A530">
        <v>634</v>
      </c>
      <c r="B530">
        <v>8923</v>
      </c>
      <c r="C530">
        <v>22</v>
      </c>
      <c r="D530">
        <v>198</v>
      </c>
      <c r="E530">
        <v>6</v>
      </c>
      <c r="F530">
        <v>7</v>
      </c>
    </row>
    <row r="531" spans="1:6" x14ac:dyDescent="0.35">
      <c r="A531">
        <v>1673</v>
      </c>
      <c r="B531">
        <v>3433</v>
      </c>
      <c r="C531">
        <v>22</v>
      </c>
      <c r="D531">
        <v>35</v>
      </c>
      <c r="E531">
        <v>6</v>
      </c>
      <c r="F531">
        <v>6</v>
      </c>
    </row>
    <row r="532" spans="1:6" x14ac:dyDescent="0.35">
      <c r="A532">
        <v>639</v>
      </c>
      <c r="B532">
        <v>701</v>
      </c>
      <c r="C532">
        <v>21</v>
      </c>
      <c r="D532">
        <v>43</v>
      </c>
      <c r="E532">
        <v>6</v>
      </c>
      <c r="F532">
        <v>8</v>
      </c>
    </row>
    <row r="533" spans="1:6" x14ac:dyDescent="0.35">
      <c r="A533">
        <v>966</v>
      </c>
      <c r="B533">
        <v>10489</v>
      </c>
      <c r="C533">
        <v>21</v>
      </c>
      <c r="D533">
        <v>24</v>
      </c>
      <c r="E533">
        <v>6</v>
      </c>
      <c r="F533">
        <v>9</v>
      </c>
    </row>
    <row r="534" spans="1:6" x14ac:dyDescent="0.35">
      <c r="A534">
        <v>1278</v>
      </c>
      <c r="B534">
        <v>2931</v>
      </c>
      <c r="C534">
        <v>21</v>
      </c>
      <c r="D534">
        <v>63</v>
      </c>
      <c r="E534">
        <v>6</v>
      </c>
      <c r="F534">
        <v>9</v>
      </c>
    </row>
    <row r="535" spans="1:6" x14ac:dyDescent="0.35">
      <c r="A535">
        <v>1432</v>
      </c>
      <c r="B535">
        <v>9349</v>
      </c>
      <c r="C535">
        <v>21</v>
      </c>
      <c r="D535">
        <v>147</v>
      </c>
      <c r="E535">
        <v>6</v>
      </c>
      <c r="F535">
        <v>11</v>
      </c>
    </row>
    <row r="536" spans="1:6" x14ac:dyDescent="0.35">
      <c r="A536">
        <v>1845</v>
      </c>
      <c r="B536">
        <v>7872</v>
      </c>
      <c r="C536">
        <v>21</v>
      </c>
      <c r="D536">
        <v>21</v>
      </c>
      <c r="E536">
        <v>6</v>
      </c>
      <c r="F536">
        <v>6</v>
      </c>
    </row>
    <row r="537" spans="1:6" x14ac:dyDescent="0.35">
      <c r="A537">
        <v>859</v>
      </c>
      <c r="B537">
        <v>1031</v>
      </c>
      <c r="C537">
        <v>20</v>
      </c>
      <c r="D537">
        <v>30</v>
      </c>
      <c r="E537">
        <v>6</v>
      </c>
      <c r="F537">
        <v>10</v>
      </c>
    </row>
    <row r="538" spans="1:6" x14ac:dyDescent="0.35">
      <c r="A538">
        <v>1012</v>
      </c>
      <c r="B538">
        <v>1710</v>
      </c>
      <c r="C538">
        <v>20</v>
      </c>
      <c r="D538">
        <v>12</v>
      </c>
      <c r="E538">
        <v>6</v>
      </c>
      <c r="F538">
        <v>4</v>
      </c>
    </row>
    <row r="539" spans="1:6" x14ac:dyDescent="0.35">
      <c r="A539">
        <v>1716</v>
      </c>
      <c r="B539">
        <v>10091</v>
      </c>
      <c r="C539">
        <v>20</v>
      </c>
      <c r="D539">
        <v>81</v>
      </c>
      <c r="E539">
        <v>6</v>
      </c>
      <c r="F539">
        <v>6</v>
      </c>
    </row>
    <row r="540" spans="1:6" x14ac:dyDescent="0.35">
      <c r="A540">
        <v>129</v>
      </c>
      <c r="B540">
        <v>11051</v>
      </c>
      <c r="C540">
        <v>19</v>
      </c>
      <c r="D540">
        <v>12</v>
      </c>
      <c r="E540">
        <v>6</v>
      </c>
      <c r="F540">
        <v>10</v>
      </c>
    </row>
    <row r="541" spans="1:6" x14ac:dyDescent="0.35">
      <c r="A541">
        <v>1000</v>
      </c>
      <c r="B541">
        <v>10473</v>
      </c>
      <c r="C541">
        <v>19</v>
      </c>
      <c r="D541">
        <v>0</v>
      </c>
      <c r="E541">
        <v>6</v>
      </c>
      <c r="F541">
        <v>9</v>
      </c>
    </row>
    <row r="542" spans="1:6" x14ac:dyDescent="0.35">
      <c r="A542">
        <v>1090</v>
      </c>
      <c r="B542">
        <v>1127</v>
      </c>
      <c r="C542">
        <v>19</v>
      </c>
      <c r="D542">
        <v>95</v>
      </c>
      <c r="E542">
        <v>6</v>
      </c>
      <c r="F542">
        <v>7</v>
      </c>
    </row>
    <row r="543" spans="1:6" x14ac:dyDescent="0.35">
      <c r="A543">
        <v>1873</v>
      </c>
      <c r="B543">
        <v>6715</v>
      </c>
      <c r="C543">
        <v>19</v>
      </c>
      <c r="D543">
        <v>6</v>
      </c>
      <c r="E543">
        <v>6</v>
      </c>
      <c r="F543">
        <v>11</v>
      </c>
    </row>
    <row r="544" spans="1:6" x14ac:dyDescent="0.35">
      <c r="A544">
        <v>2173</v>
      </c>
      <c r="B544">
        <v>6721</v>
      </c>
      <c r="C544">
        <v>19</v>
      </c>
      <c r="D544">
        <v>38</v>
      </c>
      <c r="E544">
        <v>6</v>
      </c>
      <c r="F544">
        <v>5</v>
      </c>
    </row>
    <row r="545" spans="1:6" x14ac:dyDescent="0.35">
      <c r="A545">
        <v>512</v>
      </c>
      <c r="B545">
        <v>5389</v>
      </c>
      <c r="C545">
        <v>17</v>
      </c>
      <c r="D545">
        <v>10</v>
      </c>
      <c r="E545">
        <v>6</v>
      </c>
      <c r="F545">
        <v>5</v>
      </c>
    </row>
    <row r="546" spans="1:6" x14ac:dyDescent="0.35">
      <c r="A546">
        <v>1261</v>
      </c>
      <c r="B546">
        <v>3979</v>
      </c>
      <c r="C546">
        <v>17</v>
      </c>
      <c r="D546">
        <v>34</v>
      </c>
      <c r="E546">
        <v>6</v>
      </c>
      <c r="F546">
        <v>8</v>
      </c>
    </row>
    <row r="547" spans="1:6" x14ac:dyDescent="0.35">
      <c r="A547">
        <v>1357</v>
      </c>
      <c r="B547">
        <v>7712</v>
      </c>
      <c r="C547">
        <v>17</v>
      </c>
      <c r="D547">
        <v>70</v>
      </c>
      <c r="E547">
        <v>6</v>
      </c>
      <c r="F547">
        <v>10</v>
      </c>
    </row>
    <row r="548" spans="1:6" x14ac:dyDescent="0.35">
      <c r="A548">
        <v>1489</v>
      </c>
      <c r="B548">
        <v>5763</v>
      </c>
      <c r="C548">
        <v>17</v>
      </c>
      <c r="D548">
        <v>0</v>
      </c>
      <c r="E548">
        <v>6</v>
      </c>
      <c r="F548">
        <v>5</v>
      </c>
    </row>
    <row r="549" spans="1:6" x14ac:dyDescent="0.35">
      <c r="A549">
        <v>1832</v>
      </c>
      <c r="B549">
        <v>7129</v>
      </c>
      <c r="C549">
        <v>17</v>
      </c>
      <c r="D549">
        <v>26</v>
      </c>
      <c r="E549">
        <v>6</v>
      </c>
      <c r="F549">
        <v>13</v>
      </c>
    </row>
    <row r="550" spans="1:6" x14ac:dyDescent="0.35">
      <c r="A550">
        <v>166</v>
      </c>
      <c r="B550">
        <v>10573</v>
      </c>
      <c r="C550">
        <v>16</v>
      </c>
      <c r="D550">
        <v>21</v>
      </c>
      <c r="E550">
        <v>6</v>
      </c>
      <c r="F550">
        <v>4</v>
      </c>
    </row>
    <row r="551" spans="1:6" x14ac:dyDescent="0.35">
      <c r="A551">
        <v>831</v>
      </c>
      <c r="B551">
        <v>8560</v>
      </c>
      <c r="C551">
        <v>16</v>
      </c>
      <c r="D551">
        <v>5</v>
      </c>
      <c r="E551">
        <v>6</v>
      </c>
      <c r="F551">
        <v>7</v>
      </c>
    </row>
    <row r="552" spans="1:6" x14ac:dyDescent="0.35">
      <c r="A552">
        <v>482</v>
      </c>
      <c r="B552">
        <v>8346</v>
      </c>
      <c r="C552">
        <v>15</v>
      </c>
      <c r="D552">
        <v>11</v>
      </c>
      <c r="E552">
        <v>6</v>
      </c>
      <c r="F552">
        <v>2</v>
      </c>
    </row>
    <row r="553" spans="1:6" x14ac:dyDescent="0.35">
      <c r="A553">
        <v>1362</v>
      </c>
      <c r="B553">
        <v>9967</v>
      </c>
      <c r="C553">
        <v>15</v>
      </c>
      <c r="D553">
        <v>11</v>
      </c>
      <c r="E553">
        <v>6</v>
      </c>
      <c r="F553">
        <v>7</v>
      </c>
    </row>
    <row r="554" spans="1:6" x14ac:dyDescent="0.35">
      <c r="A554">
        <v>615</v>
      </c>
      <c r="B554">
        <v>3083</v>
      </c>
      <c r="C554">
        <v>13</v>
      </c>
      <c r="D554">
        <v>17</v>
      </c>
      <c r="E554">
        <v>6</v>
      </c>
      <c r="F554">
        <v>5</v>
      </c>
    </row>
    <row r="555" spans="1:6" x14ac:dyDescent="0.35">
      <c r="A555">
        <v>1049</v>
      </c>
      <c r="B555">
        <v>966</v>
      </c>
      <c r="C555">
        <v>13</v>
      </c>
      <c r="D555">
        <v>6</v>
      </c>
      <c r="E555">
        <v>6</v>
      </c>
      <c r="F555">
        <v>11</v>
      </c>
    </row>
    <row r="556" spans="1:6" x14ac:dyDescent="0.35">
      <c r="A556">
        <v>1660</v>
      </c>
      <c r="B556">
        <v>1165</v>
      </c>
      <c r="C556">
        <v>13</v>
      </c>
      <c r="D556">
        <v>4</v>
      </c>
      <c r="E556">
        <v>6</v>
      </c>
      <c r="F556">
        <v>7</v>
      </c>
    </row>
    <row r="557" spans="1:6" x14ac:dyDescent="0.35">
      <c r="A557">
        <v>1738</v>
      </c>
      <c r="B557">
        <v>10556</v>
      </c>
      <c r="C557">
        <v>13</v>
      </c>
      <c r="D557">
        <v>3</v>
      </c>
      <c r="E557">
        <v>6</v>
      </c>
      <c r="F557">
        <v>6</v>
      </c>
    </row>
    <row r="558" spans="1:6" x14ac:dyDescent="0.35">
      <c r="A558">
        <v>535</v>
      </c>
      <c r="B558">
        <v>10741</v>
      </c>
      <c r="C558">
        <v>12</v>
      </c>
      <c r="D558">
        <v>0</v>
      </c>
      <c r="E558">
        <v>6</v>
      </c>
      <c r="F558">
        <v>5</v>
      </c>
    </row>
    <row r="559" spans="1:6" x14ac:dyDescent="0.35">
      <c r="A559">
        <v>575</v>
      </c>
      <c r="B559">
        <v>2574</v>
      </c>
      <c r="C559">
        <v>12</v>
      </c>
      <c r="D559">
        <v>0</v>
      </c>
      <c r="E559">
        <v>6</v>
      </c>
      <c r="F559">
        <v>8</v>
      </c>
    </row>
    <row r="560" spans="1:6" x14ac:dyDescent="0.35">
      <c r="A560">
        <v>1048</v>
      </c>
      <c r="B560">
        <v>8870</v>
      </c>
      <c r="C560">
        <v>12</v>
      </c>
      <c r="D560">
        <v>39</v>
      </c>
      <c r="E560">
        <v>6</v>
      </c>
      <c r="F560">
        <v>5</v>
      </c>
    </row>
    <row r="561" spans="1:6" x14ac:dyDescent="0.35">
      <c r="A561">
        <v>1406</v>
      </c>
      <c r="B561">
        <v>5491</v>
      </c>
      <c r="C561">
        <v>12</v>
      </c>
      <c r="D561">
        <v>0</v>
      </c>
      <c r="E561">
        <v>6</v>
      </c>
      <c r="F561">
        <v>5</v>
      </c>
    </row>
    <row r="562" spans="1:6" x14ac:dyDescent="0.35">
      <c r="A562">
        <v>1715</v>
      </c>
      <c r="B562">
        <v>10340</v>
      </c>
      <c r="C562">
        <v>12</v>
      </c>
      <c r="D562">
        <v>39</v>
      </c>
      <c r="E562">
        <v>6</v>
      </c>
      <c r="F562">
        <v>5</v>
      </c>
    </row>
    <row r="563" spans="1:6" x14ac:dyDescent="0.35">
      <c r="A563">
        <v>2161</v>
      </c>
      <c r="B563">
        <v>902</v>
      </c>
      <c r="C563">
        <v>12</v>
      </c>
      <c r="D563">
        <v>12</v>
      </c>
      <c r="E563">
        <v>6</v>
      </c>
      <c r="F563">
        <v>4</v>
      </c>
    </row>
    <row r="564" spans="1:6" x14ac:dyDescent="0.35">
      <c r="A564">
        <v>1565</v>
      </c>
      <c r="B564">
        <v>1497</v>
      </c>
      <c r="C564">
        <v>11</v>
      </c>
      <c r="D564">
        <v>3</v>
      </c>
      <c r="E564">
        <v>6</v>
      </c>
      <c r="F564">
        <v>5</v>
      </c>
    </row>
    <row r="565" spans="1:6" x14ac:dyDescent="0.35">
      <c r="A565">
        <v>740</v>
      </c>
      <c r="B565">
        <v>5682</v>
      </c>
      <c r="C565">
        <v>10</v>
      </c>
      <c r="D565">
        <v>21</v>
      </c>
      <c r="E565">
        <v>6</v>
      </c>
      <c r="F565">
        <v>11</v>
      </c>
    </row>
    <row r="566" spans="1:6" x14ac:dyDescent="0.35">
      <c r="A566">
        <v>1074</v>
      </c>
      <c r="B566">
        <v>10832</v>
      </c>
      <c r="C566">
        <v>10</v>
      </c>
      <c r="D566">
        <v>10</v>
      </c>
      <c r="E566">
        <v>6</v>
      </c>
      <c r="F566">
        <v>6</v>
      </c>
    </row>
    <row r="567" spans="1:6" x14ac:dyDescent="0.35">
      <c r="A567">
        <v>1365</v>
      </c>
      <c r="B567">
        <v>2674</v>
      </c>
      <c r="C567">
        <v>10</v>
      </c>
      <c r="D567">
        <v>143</v>
      </c>
      <c r="E567">
        <v>6</v>
      </c>
      <c r="F567">
        <v>6</v>
      </c>
    </row>
    <row r="568" spans="1:6" x14ac:dyDescent="0.35">
      <c r="A568">
        <v>1889</v>
      </c>
      <c r="B568">
        <v>2961</v>
      </c>
      <c r="C568">
        <v>10</v>
      </c>
      <c r="D568">
        <v>6</v>
      </c>
      <c r="E568">
        <v>6</v>
      </c>
      <c r="F568">
        <v>4</v>
      </c>
    </row>
    <row r="569" spans="1:6" x14ac:dyDescent="0.35">
      <c r="A569">
        <v>836</v>
      </c>
      <c r="B569">
        <v>6141</v>
      </c>
      <c r="C569">
        <v>9</v>
      </c>
      <c r="D569">
        <v>6</v>
      </c>
      <c r="E569">
        <v>6</v>
      </c>
      <c r="F569">
        <v>5</v>
      </c>
    </row>
    <row r="570" spans="1:6" x14ac:dyDescent="0.35">
      <c r="A570">
        <v>1244</v>
      </c>
      <c r="B570">
        <v>1291</v>
      </c>
      <c r="C570">
        <v>9</v>
      </c>
      <c r="D570">
        <v>12</v>
      </c>
      <c r="E570">
        <v>6</v>
      </c>
      <c r="F570">
        <v>4</v>
      </c>
    </row>
    <row r="571" spans="1:6" x14ac:dyDescent="0.35">
      <c r="A571">
        <v>1569</v>
      </c>
      <c r="B571">
        <v>1081</v>
      </c>
      <c r="C571">
        <v>9</v>
      </c>
      <c r="D571">
        <v>19</v>
      </c>
      <c r="E571">
        <v>6</v>
      </c>
      <c r="F571">
        <v>5</v>
      </c>
    </row>
    <row r="572" spans="1:6" x14ac:dyDescent="0.35">
      <c r="A572">
        <v>1818</v>
      </c>
      <c r="B572">
        <v>10307</v>
      </c>
      <c r="C572">
        <v>9</v>
      </c>
      <c r="D572">
        <v>14</v>
      </c>
      <c r="E572">
        <v>6</v>
      </c>
      <c r="F572">
        <v>8</v>
      </c>
    </row>
    <row r="573" spans="1:6" x14ac:dyDescent="0.35">
      <c r="A573">
        <v>364</v>
      </c>
      <c r="B573">
        <v>5837</v>
      </c>
      <c r="C573">
        <v>8</v>
      </c>
      <c r="D573">
        <v>8</v>
      </c>
      <c r="E573">
        <v>6</v>
      </c>
      <c r="F573">
        <v>6</v>
      </c>
    </row>
    <row r="574" spans="1:6" x14ac:dyDescent="0.35">
      <c r="A574">
        <v>2197</v>
      </c>
      <c r="B574">
        <v>10722</v>
      </c>
      <c r="C574">
        <v>8</v>
      </c>
      <c r="D574">
        <v>4</v>
      </c>
      <c r="E574">
        <v>6</v>
      </c>
      <c r="F574">
        <v>3</v>
      </c>
    </row>
    <row r="575" spans="1:6" x14ac:dyDescent="0.35">
      <c r="A575">
        <v>222</v>
      </c>
      <c r="B575">
        <v>4785</v>
      </c>
      <c r="C575">
        <v>7</v>
      </c>
      <c r="D575">
        <v>0</v>
      </c>
      <c r="E575">
        <v>6</v>
      </c>
      <c r="F575">
        <v>11</v>
      </c>
    </row>
    <row r="576" spans="1:6" x14ac:dyDescent="0.35">
      <c r="A576">
        <v>275</v>
      </c>
      <c r="B576">
        <v>2304</v>
      </c>
      <c r="C576">
        <v>7</v>
      </c>
      <c r="D576">
        <v>22</v>
      </c>
      <c r="E576">
        <v>6</v>
      </c>
      <c r="F576">
        <v>12</v>
      </c>
    </row>
    <row r="577" spans="1:6" x14ac:dyDescent="0.35">
      <c r="A577">
        <v>769</v>
      </c>
      <c r="B577">
        <v>8786</v>
      </c>
      <c r="C577">
        <v>7</v>
      </c>
      <c r="D577">
        <v>0</v>
      </c>
      <c r="E577">
        <v>6</v>
      </c>
      <c r="F577">
        <v>7</v>
      </c>
    </row>
    <row r="578" spans="1:6" x14ac:dyDescent="0.35">
      <c r="A578">
        <v>1366</v>
      </c>
      <c r="B578">
        <v>2698</v>
      </c>
      <c r="C578">
        <v>7</v>
      </c>
      <c r="D578">
        <v>0</v>
      </c>
      <c r="E578">
        <v>6</v>
      </c>
      <c r="F578">
        <v>5</v>
      </c>
    </row>
    <row r="579" spans="1:6" x14ac:dyDescent="0.35">
      <c r="A579">
        <v>1395</v>
      </c>
      <c r="B579">
        <v>4405</v>
      </c>
      <c r="C579">
        <v>7</v>
      </c>
      <c r="D579">
        <v>0</v>
      </c>
      <c r="E579">
        <v>6</v>
      </c>
      <c r="F579">
        <v>12</v>
      </c>
    </row>
    <row r="580" spans="1:6" x14ac:dyDescent="0.35">
      <c r="A580">
        <v>1646</v>
      </c>
      <c r="B580">
        <v>5177</v>
      </c>
      <c r="C580">
        <v>7</v>
      </c>
      <c r="D580">
        <v>0</v>
      </c>
      <c r="E580">
        <v>6</v>
      </c>
      <c r="F580">
        <v>6</v>
      </c>
    </row>
    <row r="581" spans="1:6" x14ac:dyDescent="0.35">
      <c r="A581">
        <v>1844</v>
      </c>
      <c r="B581">
        <v>8527</v>
      </c>
      <c r="C581">
        <v>7</v>
      </c>
      <c r="D581">
        <v>15</v>
      </c>
      <c r="E581">
        <v>6</v>
      </c>
      <c r="F581">
        <v>6</v>
      </c>
    </row>
    <row r="582" spans="1:6" x14ac:dyDescent="0.35">
      <c r="A582">
        <v>1984</v>
      </c>
      <c r="B582">
        <v>1406</v>
      </c>
      <c r="C582">
        <v>7</v>
      </c>
      <c r="D582">
        <v>0</v>
      </c>
      <c r="E582">
        <v>6</v>
      </c>
      <c r="F582">
        <v>5</v>
      </c>
    </row>
    <row r="583" spans="1:6" x14ac:dyDescent="0.35">
      <c r="A583">
        <v>87</v>
      </c>
      <c r="B583">
        <v>4452</v>
      </c>
      <c r="C583">
        <v>6</v>
      </c>
      <c r="D583">
        <v>3</v>
      </c>
      <c r="E583">
        <v>6</v>
      </c>
      <c r="F583">
        <v>6</v>
      </c>
    </row>
    <row r="584" spans="1:6" x14ac:dyDescent="0.35">
      <c r="A584">
        <v>156</v>
      </c>
      <c r="B584">
        <v>3025</v>
      </c>
      <c r="C584">
        <v>6</v>
      </c>
      <c r="D584">
        <v>12</v>
      </c>
      <c r="E584">
        <v>6</v>
      </c>
      <c r="F584">
        <v>5</v>
      </c>
    </row>
    <row r="585" spans="1:6" x14ac:dyDescent="0.35">
      <c r="A585">
        <v>1321</v>
      </c>
      <c r="B585">
        <v>10377</v>
      </c>
      <c r="C585">
        <v>6</v>
      </c>
      <c r="D585">
        <v>12</v>
      </c>
      <c r="E585">
        <v>6</v>
      </c>
      <c r="F585">
        <v>5</v>
      </c>
    </row>
    <row r="586" spans="1:6" x14ac:dyDescent="0.35">
      <c r="A586">
        <v>2082</v>
      </c>
      <c r="B586">
        <v>6497</v>
      </c>
      <c r="C586">
        <v>6</v>
      </c>
      <c r="D586">
        <v>6</v>
      </c>
      <c r="E586">
        <v>6</v>
      </c>
      <c r="F586">
        <v>5</v>
      </c>
    </row>
    <row r="587" spans="1:6" x14ac:dyDescent="0.35">
      <c r="A587">
        <v>1056</v>
      </c>
      <c r="B587">
        <v>3846</v>
      </c>
      <c r="C587">
        <v>5</v>
      </c>
      <c r="D587">
        <v>5</v>
      </c>
      <c r="E587">
        <v>6</v>
      </c>
      <c r="F587">
        <v>4</v>
      </c>
    </row>
    <row r="588" spans="1:6" x14ac:dyDescent="0.35">
      <c r="A588">
        <v>1124</v>
      </c>
      <c r="B588">
        <v>2308</v>
      </c>
      <c r="C588">
        <v>5</v>
      </c>
      <c r="D588">
        <v>23</v>
      </c>
      <c r="E588">
        <v>6</v>
      </c>
      <c r="F588">
        <v>5</v>
      </c>
    </row>
    <row r="589" spans="1:6" x14ac:dyDescent="0.35">
      <c r="A589">
        <v>1139</v>
      </c>
      <c r="B589">
        <v>11166</v>
      </c>
      <c r="C589">
        <v>5</v>
      </c>
      <c r="D589">
        <v>2</v>
      </c>
      <c r="E589">
        <v>6</v>
      </c>
      <c r="F589">
        <v>4</v>
      </c>
    </row>
    <row r="590" spans="1:6" x14ac:dyDescent="0.35">
      <c r="A590">
        <v>1312</v>
      </c>
      <c r="B590">
        <v>10260</v>
      </c>
      <c r="C590">
        <v>5</v>
      </c>
      <c r="D590">
        <v>5</v>
      </c>
      <c r="E590">
        <v>6</v>
      </c>
      <c r="F590">
        <v>5</v>
      </c>
    </row>
    <row r="591" spans="1:6" x14ac:dyDescent="0.35">
      <c r="A591">
        <v>1593</v>
      </c>
      <c r="B591">
        <v>2262</v>
      </c>
      <c r="C591">
        <v>5</v>
      </c>
      <c r="D591">
        <v>5</v>
      </c>
      <c r="E591">
        <v>6</v>
      </c>
      <c r="F591">
        <v>5</v>
      </c>
    </row>
    <row r="592" spans="1:6" x14ac:dyDescent="0.35">
      <c r="A592">
        <v>876</v>
      </c>
      <c r="B592">
        <v>773</v>
      </c>
      <c r="C592">
        <v>4</v>
      </c>
      <c r="D592">
        <v>9</v>
      </c>
      <c r="E592">
        <v>6</v>
      </c>
      <c r="F592">
        <v>4</v>
      </c>
    </row>
    <row r="593" spans="1:6" x14ac:dyDescent="0.35">
      <c r="A593">
        <v>2070</v>
      </c>
      <c r="B593">
        <v>2406</v>
      </c>
      <c r="C593">
        <v>4</v>
      </c>
      <c r="D593">
        <v>9</v>
      </c>
      <c r="E593">
        <v>6</v>
      </c>
      <c r="F593">
        <v>8</v>
      </c>
    </row>
    <row r="594" spans="1:6" x14ac:dyDescent="0.35">
      <c r="A594">
        <v>728</v>
      </c>
      <c r="B594">
        <v>11171</v>
      </c>
      <c r="C594">
        <v>3</v>
      </c>
      <c r="D594">
        <v>3</v>
      </c>
      <c r="E594">
        <v>6</v>
      </c>
      <c r="F594">
        <v>5</v>
      </c>
    </row>
    <row r="595" spans="1:6" x14ac:dyDescent="0.35">
      <c r="A595">
        <v>977</v>
      </c>
      <c r="B595">
        <v>1600</v>
      </c>
      <c r="C595">
        <v>3</v>
      </c>
      <c r="D595">
        <v>3</v>
      </c>
      <c r="E595">
        <v>6</v>
      </c>
      <c r="F595">
        <v>5</v>
      </c>
    </row>
    <row r="596" spans="1:6" x14ac:dyDescent="0.35">
      <c r="A596">
        <v>1125</v>
      </c>
      <c r="B596">
        <v>5995</v>
      </c>
      <c r="C596">
        <v>3</v>
      </c>
      <c r="D596">
        <v>24</v>
      </c>
      <c r="E596">
        <v>6</v>
      </c>
      <c r="F596">
        <v>5</v>
      </c>
    </row>
    <row r="597" spans="1:6" x14ac:dyDescent="0.35">
      <c r="A597">
        <v>1724</v>
      </c>
      <c r="B597">
        <v>1381</v>
      </c>
      <c r="C597">
        <v>3</v>
      </c>
      <c r="D597">
        <v>0</v>
      </c>
      <c r="E597">
        <v>6</v>
      </c>
      <c r="F597">
        <v>5</v>
      </c>
    </row>
    <row r="598" spans="1:6" x14ac:dyDescent="0.35">
      <c r="A598">
        <v>2219</v>
      </c>
      <c r="B598">
        <v>9246</v>
      </c>
      <c r="C598">
        <v>3</v>
      </c>
      <c r="D598">
        <v>24</v>
      </c>
      <c r="E598">
        <v>6</v>
      </c>
      <c r="F598">
        <v>6</v>
      </c>
    </row>
    <row r="599" spans="1:6" x14ac:dyDescent="0.35">
      <c r="A599">
        <v>13</v>
      </c>
      <c r="B599">
        <v>8180</v>
      </c>
      <c r="C599">
        <v>2</v>
      </c>
      <c r="D599">
        <v>5</v>
      </c>
      <c r="E599">
        <v>6</v>
      </c>
      <c r="F599">
        <v>5</v>
      </c>
    </row>
    <row r="600" spans="1:6" x14ac:dyDescent="0.35">
      <c r="A600">
        <v>491</v>
      </c>
      <c r="B600">
        <v>22</v>
      </c>
      <c r="C600">
        <v>2</v>
      </c>
      <c r="D600">
        <v>5</v>
      </c>
      <c r="E600">
        <v>6</v>
      </c>
      <c r="F600">
        <v>5</v>
      </c>
    </row>
    <row r="601" spans="1:6" x14ac:dyDescent="0.35">
      <c r="A601">
        <v>733</v>
      </c>
      <c r="B601">
        <v>5956</v>
      </c>
      <c r="C601">
        <v>2</v>
      </c>
      <c r="D601">
        <v>2</v>
      </c>
      <c r="E601">
        <v>6</v>
      </c>
      <c r="F601">
        <v>4</v>
      </c>
    </row>
    <row r="602" spans="1:6" x14ac:dyDescent="0.35">
      <c r="A602">
        <v>861</v>
      </c>
      <c r="B602">
        <v>807</v>
      </c>
      <c r="C602">
        <v>2</v>
      </c>
      <c r="D602">
        <v>0</v>
      </c>
      <c r="E602">
        <v>6</v>
      </c>
      <c r="F602">
        <v>4</v>
      </c>
    </row>
    <row r="603" spans="1:6" x14ac:dyDescent="0.35">
      <c r="A603">
        <v>886</v>
      </c>
      <c r="B603">
        <v>7023</v>
      </c>
      <c r="C603">
        <v>2</v>
      </c>
      <c r="D603">
        <v>5</v>
      </c>
      <c r="E603">
        <v>6</v>
      </c>
      <c r="F603">
        <v>4</v>
      </c>
    </row>
    <row r="604" spans="1:6" x14ac:dyDescent="0.35">
      <c r="A604">
        <v>23</v>
      </c>
      <c r="B604">
        <v>4047</v>
      </c>
      <c r="C604">
        <v>0</v>
      </c>
      <c r="D604">
        <v>32</v>
      </c>
      <c r="E604">
        <v>6</v>
      </c>
      <c r="F604">
        <v>9</v>
      </c>
    </row>
    <row r="605" spans="1:6" x14ac:dyDescent="0.35">
      <c r="A605">
        <v>114</v>
      </c>
      <c r="B605">
        <v>9215</v>
      </c>
      <c r="C605">
        <v>0</v>
      </c>
      <c r="D605">
        <v>0</v>
      </c>
      <c r="E605">
        <v>6</v>
      </c>
      <c r="F605">
        <v>6</v>
      </c>
    </row>
    <row r="606" spans="1:6" x14ac:dyDescent="0.35">
      <c r="A606">
        <v>128</v>
      </c>
      <c r="B606">
        <v>8268</v>
      </c>
      <c r="C606">
        <v>0</v>
      </c>
      <c r="D606">
        <v>0</v>
      </c>
      <c r="E606">
        <v>6</v>
      </c>
      <c r="F606">
        <v>7</v>
      </c>
    </row>
    <row r="607" spans="1:6" x14ac:dyDescent="0.35">
      <c r="A607">
        <v>361</v>
      </c>
      <c r="B607">
        <v>9336</v>
      </c>
      <c r="C607">
        <v>0</v>
      </c>
      <c r="D607">
        <v>0</v>
      </c>
      <c r="E607">
        <v>6</v>
      </c>
      <c r="F607">
        <v>10</v>
      </c>
    </row>
    <row r="608" spans="1:6" x14ac:dyDescent="0.35">
      <c r="A608">
        <v>365</v>
      </c>
      <c r="B608">
        <v>10704</v>
      </c>
      <c r="C608">
        <v>0</v>
      </c>
      <c r="D608">
        <v>27</v>
      </c>
      <c r="E608">
        <v>6</v>
      </c>
      <c r="F608">
        <v>9</v>
      </c>
    </row>
    <row r="609" spans="1:6" x14ac:dyDescent="0.35">
      <c r="A609">
        <v>404</v>
      </c>
      <c r="B609">
        <v>2552</v>
      </c>
      <c r="C609">
        <v>0</v>
      </c>
      <c r="D609">
        <v>0</v>
      </c>
      <c r="E609">
        <v>6</v>
      </c>
      <c r="F609">
        <v>6</v>
      </c>
    </row>
    <row r="610" spans="1:6" x14ac:dyDescent="0.35">
      <c r="A610">
        <v>498</v>
      </c>
      <c r="B610">
        <v>716</v>
      </c>
      <c r="C610">
        <v>0</v>
      </c>
      <c r="D610">
        <v>28</v>
      </c>
      <c r="E610">
        <v>6</v>
      </c>
      <c r="F610">
        <v>11</v>
      </c>
    </row>
    <row r="611" spans="1:6" x14ac:dyDescent="0.35">
      <c r="A611">
        <v>514</v>
      </c>
      <c r="B611">
        <v>182</v>
      </c>
      <c r="C611">
        <v>0</v>
      </c>
      <c r="D611">
        <v>6</v>
      </c>
      <c r="E611">
        <v>6</v>
      </c>
      <c r="F611">
        <v>5</v>
      </c>
    </row>
    <row r="612" spans="1:6" x14ac:dyDescent="0.35">
      <c r="A612">
        <v>552</v>
      </c>
      <c r="B612">
        <v>9240</v>
      </c>
      <c r="C612">
        <v>0</v>
      </c>
      <c r="D612">
        <v>4</v>
      </c>
      <c r="E612">
        <v>6</v>
      </c>
      <c r="F612">
        <v>8</v>
      </c>
    </row>
    <row r="613" spans="1:6" x14ac:dyDescent="0.35">
      <c r="A613">
        <v>609</v>
      </c>
      <c r="B613">
        <v>988</v>
      </c>
      <c r="C613">
        <v>0</v>
      </c>
      <c r="D613">
        <v>22</v>
      </c>
      <c r="E613">
        <v>6</v>
      </c>
      <c r="F613">
        <v>7</v>
      </c>
    </row>
    <row r="614" spans="1:6" x14ac:dyDescent="0.35">
      <c r="A614">
        <v>620</v>
      </c>
      <c r="B614">
        <v>2782</v>
      </c>
      <c r="C614">
        <v>0</v>
      </c>
      <c r="D614">
        <v>0</v>
      </c>
      <c r="E614">
        <v>6</v>
      </c>
      <c r="F614">
        <v>7</v>
      </c>
    </row>
    <row r="615" spans="1:6" x14ac:dyDescent="0.35">
      <c r="A615">
        <v>779</v>
      </c>
      <c r="B615">
        <v>10736</v>
      </c>
      <c r="C615">
        <v>0</v>
      </c>
      <c r="D615">
        <v>120</v>
      </c>
      <c r="E615">
        <v>6</v>
      </c>
      <c r="F615">
        <v>5</v>
      </c>
    </row>
    <row r="616" spans="1:6" x14ac:dyDescent="0.35">
      <c r="A616">
        <v>851</v>
      </c>
      <c r="B616">
        <v>9477</v>
      </c>
      <c r="C616">
        <v>0</v>
      </c>
      <c r="D616">
        <v>32</v>
      </c>
      <c r="E616">
        <v>6</v>
      </c>
      <c r="F616">
        <v>9</v>
      </c>
    </row>
    <row r="617" spans="1:6" x14ac:dyDescent="0.35">
      <c r="A617">
        <v>930</v>
      </c>
      <c r="B617">
        <v>5303</v>
      </c>
      <c r="C617">
        <v>0</v>
      </c>
      <c r="D617">
        <v>21</v>
      </c>
      <c r="E617">
        <v>6</v>
      </c>
      <c r="F617">
        <v>9</v>
      </c>
    </row>
    <row r="618" spans="1:6" x14ac:dyDescent="0.35">
      <c r="A618">
        <v>961</v>
      </c>
      <c r="B618">
        <v>3635</v>
      </c>
      <c r="C618">
        <v>0</v>
      </c>
      <c r="D618">
        <v>0</v>
      </c>
      <c r="E618">
        <v>6</v>
      </c>
      <c r="F618">
        <v>8</v>
      </c>
    </row>
    <row r="619" spans="1:6" x14ac:dyDescent="0.35">
      <c r="A619">
        <v>1039</v>
      </c>
      <c r="B619">
        <v>5863</v>
      </c>
      <c r="C619">
        <v>0</v>
      </c>
      <c r="D619">
        <v>26</v>
      </c>
      <c r="E619">
        <v>6</v>
      </c>
      <c r="F619">
        <v>8</v>
      </c>
    </row>
    <row r="620" spans="1:6" x14ac:dyDescent="0.35">
      <c r="A620">
        <v>1187</v>
      </c>
      <c r="B620">
        <v>9855</v>
      </c>
      <c r="C620">
        <v>0</v>
      </c>
      <c r="D620">
        <v>0</v>
      </c>
      <c r="E620">
        <v>6</v>
      </c>
      <c r="F620">
        <v>13</v>
      </c>
    </row>
    <row r="621" spans="1:6" x14ac:dyDescent="0.35">
      <c r="A621">
        <v>1325</v>
      </c>
      <c r="B621">
        <v>9212</v>
      </c>
      <c r="C621">
        <v>0</v>
      </c>
      <c r="D621">
        <v>14</v>
      </c>
      <c r="E621">
        <v>6</v>
      </c>
      <c r="F621">
        <v>13</v>
      </c>
    </row>
    <row r="622" spans="1:6" x14ac:dyDescent="0.35">
      <c r="A622">
        <v>1334</v>
      </c>
      <c r="B622">
        <v>2535</v>
      </c>
      <c r="C622">
        <v>0</v>
      </c>
      <c r="D622">
        <v>126</v>
      </c>
      <c r="E622">
        <v>6</v>
      </c>
      <c r="F622">
        <v>8</v>
      </c>
    </row>
    <row r="623" spans="1:6" x14ac:dyDescent="0.35">
      <c r="A623">
        <v>1351</v>
      </c>
      <c r="B623">
        <v>5080</v>
      </c>
      <c r="C623">
        <v>0</v>
      </c>
      <c r="D623">
        <v>64</v>
      </c>
      <c r="E623">
        <v>6</v>
      </c>
      <c r="F623">
        <v>4</v>
      </c>
    </row>
    <row r="624" spans="1:6" x14ac:dyDescent="0.35">
      <c r="A624">
        <v>1491</v>
      </c>
      <c r="B624">
        <v>7494</v>
      </c>
      <c r="C624">
        <v>0</v>
      </c>
      <c r="D624">
        <v>2</v>
      </c>
      <c r="E624">
        <v>6</v>
      </c>
      <c r="F624">
        <v>4</v>
      </c>
    </row>
    <row r="625" spans="1:6" x14ac:dyDescent="0.35">
      <c r="A625">
        <v>1741</v>
      </c>
      <c r="B625">
        <v>7610</v>
      </c>
      <c r="C625">
        <v>0</v>
      </c>
      <c r="D625">
        <v>23</v>
      </c>
      <c r="E625">
        <v>6</v>
      </c>
      <c r="F625">
        <v>5</v>
      </c>
    </row>
    <row r="626" spans="1:6" x14ac:dyDescent="0.35">
      <c r="A626">
        <v>1786</v>
      </c>
      <c r="B626">
        <v>2870</v>
      </c>
      <c r="C626">
        <v>0</v>
      </c>
      <c r="D626">
        <v>8</v>
      </c>
      <c r="E626">
        <v>6</v>
      </c>
      <c r="F626">
        <v>6</v>
      </c>
    </row>
    <row r="627" spans="1:6" x14ac:dyDescent="0.35">
      <c r="A627">
        <v>1970</v>
      </c>
      <c r="B627">
        <v>6281</v>
      </c>
      <c r="C627">
        <v>0</v>
      </c>
      <c r="D627">
        <v>47</v>
      </c>
      <c r="E627">
        <v>6</v>
      </c>
      <c r="F627">
        <v>5</v>
      </c>
    </row>
    <row r="628" spans="1:6" x14ac:dyDescent="0.35">
      <c r="A628">
        <v>2081</v>
      </c>
      <c r="B628">
        <v>3117</v>
      </c>
      <c r="C628">
        <v>0</v>
      </c>
      <c r="D628">
        <v>6</v>
      </c>
      <c r="E628">
        <v>6</v>
      </c>
      <c r="F628">
        <v>5</v>
      </c>
    </row>
    <row r="629" spans="1:6" x14ac:dyDescent="0.35">
      <c r="A629">
        <v>2101</v>
      </c>
      <c r="B629">
        <v>6544</v>
      </c>
      <c r="C629">
        <v>0</v>
      </c>
      <c r="D629">
        <v>28</v>
      </c>
      <c r="E629">
        <v>6</v>
      </c>
      <c r="F629">
        <v>11</v>
      </c>
    </row>
    <row r="630" spans="1:6" x14ac:dyDescent="0.35">
      <c r="A630">
        <v>109</v>
      </c>
      <c r="B630">
        <v>10991</v>
      </c>
      <c r="C630">
        <v>194</v>
      </c>
      <c r="D630">
        <v>22</v>
      </c>
      <c r="E630">
        <v>5</v>
      </c>
      <c r="F630">
        <v>4</v>
      </c>
    </row>
    <row r="631" spans="1:6" x14ac:dyDescent="0.35">
      <c r="A631">
        <v>198</v>
      </c>
      <c r="B631">
        <v>6422</v>
      </c>
      <c r="C631">
        <v>189</v>
      </c>
      <c r="D631">
        <v>33</v>
      </c>
      <c r="E631">
        <v>5</v>
      </c>
      <c r="F631">
        <v>5</v>
      </c>
    </row>
    <row r="632" spans="1:6" x14ac:dyDescent="0.35">
      <c r="A632">
        <v>288</v>
      </c>
      <c r="B632">
        <v>10102</v>
      </c>
      <c r="C632">
        <v>183</v>
      </c>
      <c r="D632">
        <v>141</v>
      </c>
      <c r="E632">
        <v>5</v>
      </c>
      <c r="F632">
        <v>5</v>
      </c>
    </row>
    <row r="633" spans="1:6" x14ac:dyDescent="0.35">
      <c r="A633">
        <v>591</v>
      </c>
      <c r="B633">
        <v>7627</v>
      </c>
      <c r="C633">
        <v>183</v>
      </c>
      <c r="D633">
        <v>163</v>
      </c>
      <c r="E633">
        <v>5</v>
      </c>
      <c r="F633">
        <v>5</v>
      </c>
    </row>
    <row r="634" spans="1:6" x14ac:dyDescent="0.35">
      <c r="A634">
        <v>812</v>
      </c>
      <c r="B634">
        <v>9687</v>
      </c>
      <c r="C634">
        <v>174</v>
      </c>
      <c r="D634">
        <v>30</v>
      </c>
      <c r="E634">
        <v>5</v>
      </c>
      <c r="F634">
        <v>6</v>
      </c>
    </row>
    <row r="635" spans="1:6" x14ac:dyDescent="0.35">
      <c r="A635">
        <v>984</v>
      </c>
      <c r="B635">
        <v>5718</v>
      </c>
      <c r="C635">
        <v>168</v>
      </c>
      <c r="D635">
        <v>42</v>
      </c>
      <c r="E635">
        <v>5</v>
      </c>
      <c r="F635">
        <v>6</v>
      </c>
    </row>
    <row r="636" spans="1:6" x14ac:dyDescent="0.35">
      <c r="A636">
        <v>723</v>
      </c>
      <c r="B636">
        <v>10936</v>
      </c>
      <c r="C636">
        <v>166</v>
      </c>
      <c r="D636">
        <v>166</v>
      </c>
      <c r="E636">
        <v>5</v>
      </c>
      <c r="F636">
        <v>4</v>
      </c>
    </row>
    <row r="637" spans="1:6" x14ac:dyDescent="0.35">
      <c r="A637">
        <v>506</v>
      </c>
      <c r="B637">
        <v>10584</v>
      </c>
      <c r="C637">
        <v>162</v>
      </c>
      <c r="D637">
        <v>36</v>
      </c>
      <c r="E637">
        <v>5</v>
      </c>
      <c r="F637">
        <v>8</v>
      </c>
    </row>
    <row r="638" spans="1:6" x14ac:dyDescent="0.35">
      <c r="A638">
        <v>392</v>
      </c>
      <c r="B638">
        <v>2669</v>
      </c>
      <c r="C638">
        <v>152</v>
      </c>
      <c r="D638">
        <v>91</v>
      </c>
      <c r="E638">
        <v>5</v>
      </c>
      <c r="F638">
        <v>6</v>
      </c>
    </row>
    <row r="639" spans="1:6" x14ac:dyDescent="0.35">
      <c r="A639">
        <v>928</v>
      </c>
      <c r="B639">
        <v>10037</v>
      </c>
      <c r="C639">
        <v>152</v>
      </c>
      <c r="D639">
        <v>91</v>
      </c>
      <c r="E639">
        <v>5</v>
      </c>
      <c r="F639">
        <v>6</v>
      </c>
    </row>
    <row r="640" spans="1:6" x14ac:dyDescent="0.35">
      <c r="A640">
        <v>1288</v>
      </c>
      <c r="B640">
        <v>9010</v>
      </c>
      <c r="C640">
        <v>147</v>
      </c>
      <c r="D640">
        <v>42</v>
      </c>
      <c r="E640">
        <v>5</v>
      </c>
      <c r="F640">
        <v>10</v>
      </c>
    </row>
    <row r="641" spans="1:6" x14ac:dyDescent="0.35">
      <c r="A641">
        <v>1982</v>
      </c>
      <c r="B641">
        <v>3334</v>
      </c>
      <c r="C641">
        <v>143</v>
      </c>
      <c r="D641">
        <v>143</v>
      </c>
      <c r="E641">
        <v>5</v>
      </c>
      <c r="F641">
        <v>9</v>
      </c>
    </row>
    <row r="642" spans="1:6" x14ac:dyDescent="0.35">
      <c r="A642">
        <v>1869</v>
      </c>
      <c r="B642">
        <v>2186</v>
      </c>
      <c r="C642">
        <v>142</v>
      </c>
      <c r="D642">
        <v>81</v>
      </c>
      <c r="E642">
        <v>5</v>
      </c>
      <c r="F642">
        <v>6</v>
      </c>
    </row>
    <row r="643" spans="1:6" x14ac:dyDescent="0.35">
      <c r="A643">
        <v>509</v>
      </c>
      <c r="B643">
        <v>8939</v>
      </c>
      <c r="C643">
        <v>138</v>
      </c>
      <c r="D643">
        <v>26</v>
      </c>
      <c r="E643">
        <v>5</v>
      </c>
      <c r="F643">
        <v>12</v>
      </c>
    </row>
    <row r="644" spans="1:6" x14ac:dyDescent="0.35">
      <c r="A644">
        <v>390</v>
      </c>
      <c r="B644">
        <v>8318</v>
      </c>
      <c r="C644">
        <v>134</v>
      </c>
      <c r="D644">
        <v>134</v>
      </c>
      <c r="E644">
        <v>5</v>
      </c>
      <c r="F644">
        <v>8</v>
      </c>
    </row>
    <row r="645" spans="1:6" x14ac:dyDescent="0.35">
      <c r="A645">
        <v>557</v>
      </c>
      <c r="B645">
        <v>8314</v>
      </c>
      <c r="C645">
        <v>129</v>
      </c>
      <c r="D645">
        <v>185</v>
      </c>
      <c r="E645">
        <v>5</v>
      </c>
      <c r="F645">
        <v>7</v>
      </c>
    </row>
    <row r="646" spans="1:6" x14ac:dyDescent="0.35">
      <c r="A646">
        <v>1358</v>
      </c>
      <c r="B646">
        <v>1065</v>
      </c>
      <c r="C646">
        <v>129</v>
      </c>
      <c r="D646">
        <v>37</v>
      </c>
      <c r="E646">
        <v>5</v>
      </c>
      <c r="F646">
        <v>5</v>
      </c>
    </row>
    <row r="647" spans="1:6" x14ac:dyDescent="0.35">
      <c r="A647">
        <v>1722</v>
      </c>
      <c r="B647">
        <v>569</v>
      </c>
      <c r="C647">
        <v>129</v>
      </c>
      <c r="D647">
        <v>74</v>
      </c>
      <c r="E647">
        <v>5</v>
      </c>
      <c r="F647">
        <v>7</v>
      </c>
    </row>
    <row r="648" spans="1:6" x14ac:dyDescent="0.35">
      <c r="A648">
        <v>2084</v>
      </c>
      <c r="B648">
        <v>5250</v>
      </c>
      <c r="C648">
        <v>126</v>
      </c>
      <c r="D648">
        <v>126</v>
      </c>
      <c r="E648">
        <v>5</v>
      </c>
      <c r="F648">
        <v>11</v>
      </c>
    </row>
    <row r="649" spans="1:6" x14ac:dyDescent="0.35">
      <c r="A649">
        <v>2203</v>
      </c>
      <c r="B649">
        <v>2736</v>
      </c>
      <c r="C649">
        <v>124</v>
      </c>
      <c r="D649">
        <v>78</v>
      </c>
      <c r="E649">
        <v>5</v>
      </c>
      <c r="F649">
        <v>11</v>
      </c>
    </row>
    <row r="650" spans="1:6" x14ac:dyDescent="0.35">
      <c r="A650">
        <v>1680</v>
      </c>
      <c r="B650">
        <v>1215</v>
      </c>
      <c r="C650">
        <v>117</v>
      </c>
      <c r="D650">
        <v>102</v>
      </c>
      <c r="E650">
        <v>5</v>
      </c>
      <c r="F650">
        <v>7</v>
      </c>
    </row>
    <row r="651" spans="1:6" x14ac:dyDescent="0.35">
      <c r="A651">
        <v>1615</v>
      </c>
      <c r="B651">
        <v>10099</v>
      </c>
      <c r="C651">
        <v>115</v>
      </c>
      <c r="D651">
        <v>69</v>
      </c>
      <c r="E651">
        <v>5</v>
      </c>
      <c r="F651">
        <v>13</v>
      </c>
    </row>
    <row r="652" spans="1:6" x14ac:dyDescent="0.35">
      <c r="A652">
        <v>1071</v>
      </c>
      <c r="B652">
        <v>11112</v>
      </c>
      <c r="C652">
        <v>114</v>
      </c>
      <c r="D652">
        <v>76</v>
      </c>
      <c r="E652">
        <v>5</v>
      </c>
      <c r="F652">
        <v>8</v>
      </c>
    </row>
    <row r="653" spans="1:6" x14ac:dyDescent="0.35">
      <c r="A653">
        <v>965</v>
      </c>
      <c r="B653">
        <v>7801</v>
      </c>
      <c r="C653">
        <v>107</v>
      </c>
      <c r="D653">
        <v>59</v>
      </c>
      <c r="E653">
        <v>5</v>
      </c>
      <c r="F653">
        <v>11</v>
      </c>
    </row>
    <row r="654" spans="1:6" x14ac:dyDescent="0.35">
      <c r="A654">
        <v>1671</v>
      </c>
      <c r="B654">
        <v>1964</v>
      </c>
      <c r="C654">
        <v>107</v>
      </c>
      <c r="D654">
        <v>196</v>
      </c>
      <c r="E654">
        <v>5</v>
      </c>
      <c r="F654">
        <v>6</v>
      </c>
    </row>
    <row r="655" spans="1:6" x14ac:dyDescent="0.35">
      <c r="A655">
        <v>1880</v>
      </c>
      <c r="B655">
        <v>3074</v>
      </c>
      <c r="C655">
        <v>107</v>
      </c>
      <c r="D655">
        <v>143</v>
      </c>
      <c r="E655">
        <v>5</v>
      </c>
      <c r="F655">
        <v>4</v>
      </c>
    </row>
    <row r="656" spans="1:6" x14ac:dyDescent="0.35">
      <c r="A656">
        <v>1242</v>
      </c>
      <c r="B656">
        <v>4138</v>
      </c>
      <c r="C656">
        <v>106</v>
      </c>
      <c r="D656">
        <v>115</v>
      </c>
      <c r="E656">
        <v>5</v>
      </c>
      <c r="F656">
        <v>7</v>
      </c>
    </row>
    <row r="657" spans="1:6" x14ac:dyDescent="0.35">
      <c r="A657">
        <v>77</v>
      </c>
      <c r="B657">
        <v>7503</v>
      </c>
      <c r="C657">
        <v>105</v>
      </c>
      <c r="D657">
        <v>105</v>
      </c>
      <c r="E657">
        <v>5</v>
      </c>
      <c r="F657">
        <v>9</v>
      </c>
    </row>
    <row r="658" spans="1:6" x14ac:dyDescent="0.35">
      <c r="A658">
        <v>686</v>
      </c>
      <c r="B658">
        <v>9826</v>
      </c>
      <c r="C658">
        <v>102</v>
      </c>
      <c r="D658">
        <v>102</v>
      </c>
      <c r="E658">
        <v>5</v>
      </c>
      <c r="F658">
        <v>10</v>
      </c>
    </row>
    <row r="659" spans="1:6" x14ac:dyDescent="0.35">
      <c r="A659">
        <v>884</v>
      </c>
      <c r="B659">
        <v>5830</v>
      </c>
      <c r="C659">
        <v>102</v>
      </c>
      <c r="D659">
        <v>102</v>
      </c>
      <c r="E659">
        <v>5</v>
      </c>
      <c r="F659">
        <v>10</v>
      </c>
    </row>
    <row r="660" spans="1:6" x14ac:dyDescent="0.35">
      <c r="A660">
        <v>1887</v>
      </c>
      <c r="B660">
        <v>5113</v>
      </c>
      <c r="C660">
        <v>100</v>
      </c>
      <c r="D660">
        <v>83</v>
      </c>
      <c r="E660">
        <v>5</v>
      </c>
      <c r="F660">
        <v>5</v>
      </c>
    </row>
    <row r="661" spans="1:6" x14ac:dyDescent="0.35">
      <c r="A661">
        <v>1563</v>
      </c>
      <c r="B661">
        <v>4828</v>
      </c>
      <c r="C661">
        <v>99</v>
      </c>
      <c r="D661">
        <v>121</v>
      </c>
      <c r="E661">
        <v>5</v>
      </c>
      <c r="F661">
        <v>5</v>
      </c>
    </row>
    <row r="662" spans="1:6" x14ac:dyDescent="0.35">
      <c r="A662">
        <v>1734</v>
      </c>
      <c r="B662">
        <v>2499</v>
      </c>
      <c r="C662">
        <v>97</v>
      </c>
      <c r="D662">
        <v>118</v>
      </c>
      <c r="E662">
        <v>5</v>
      </c>
      <c r="F662">
        <v>10</v>
      </c>
    </row>
    <row r="663" spans="1:6" x14ac:dyDescent="0.35">
      <c r="A663">
        <v>459</v>
      </c>
      <c r="B663">
        <v>10648</v>
      </c>
      <c r="C663">
        <v>96</v>
      </c>
      <c r="D663">
        <v>96</v>
      </c>
      <c r="E663">
        <v>5</v>
      </c>
      <c r="F663">
        <v>6</v>
      </c>
    </row>
    <row r="664" spans="1:6" x14ac:dyDescent="0.35">
      <c r="A664">
        <v>1622</v>
      </c>
      <c r="B664">
        <v>5120</v>
      </c>
      <c r="C664">
        <v>96</v>
      </c>
      <c r="D664">
        <v>96</v>
      </c>
      <c r="E664">
        <v>5</v>
      </c>
      <c r="F664">
        <v>6</v>
      </c>
    </row>
    <row r="665" spans="1:6" x14ac:dyDescent="0.35">
      <c r="A665">
        <v>986</v>
      </c>
      <c r="B665">
        <v>8164</v>
      </c>
      <c r="C665">
        <v>93</v>
      </c>
      <c r="D665">
        <v>55</v>
      </c>
      <c r="E665">
        <v>5</v>
      </c>
      <c r="F665">
        <v>7</v>
      </c>
    </row>
    <row r="666" spans="1:6" x14ac:dyDescent="0.35">
      <c r="A666">
        <v>1413</v>
      </c>
      <c r="B666">
        <v>4310</v>
      </c>
      <c r="C666">
        <v>93</v>
      </c>
      <c r="D666">
        <v>40</v>
      </c>
      <c r="E666">
        <v>5</v>
      </c>
      <c r="F666">
        <v>5</v>
      </c>
    </row>
    <row r="667" spans="1:6" x14ac:dyDescent="0.35">
      <c r="A667">
        <v>513</v>
      </c>
      <c r="B667">
        <v>6036</v>
      </c>
      <c r="C667">
        <v>92</v>
      </c>
      <c r="D667">
        <v>129</v>
      </c>
      <c r="E667">
        <v>5</v>
      </c>
      <c r="F667">
        <v>7</v>
      </c>
    </row>
    <row r="668" spans="1:6" x14ac:dyDescent="0.35">
      <c r="A668">
        <v>1320</v>
      </c>
      <c r="B668">
        <v>1650</v>
      </c>
      <c r="C668">
        <v>86</v>
      </c>
      <c r="D668">
        <v>69</v>
      </c>
      <c r="E668">
        <v>5</v>
      </c>
      <c r="F668">
        <v>12</v>
      </c>
    </row>
    <row r="669" spans="1:6" x14ac:dyDescent="0.35">
      <c r="A669">
        <v>1062</v>
      </c>
      <c r="B669">
        <v>1162</v>
      </c>
      <c r="C669">
        <v>83</v>
      </c>
      <c r="D669">
        <v>59</v>
      </c>
      <c r="E669">
        <v>5</v>
      </c>
      <c r="F669">
        <v>11</v>
      </c>
    </row>
    <row r="670" spans="1:6" x14ac:dyDescent="0.35">
      <c r="A670">
        <v>2073</v>
      </c>
      <c r="B670">
        <v>10643</v>
      </c>
      <c r="C670">
        <v>83</v>
      </c>
      <c r="D670">
        <v>59</v>
      </c>
      <c r="E670">
        <v>5</v>
      </c>
      <c r="F670">
        <v>11</v>
      </c>
    </row>
    <row r="671" spans="1:6" x14ac:dyDescent="0.35">
      <c r="A671">
        <v>485</v>
      </c>
      <c r="B671">
        <v>2426</v>
      </c>
      <c r="C671">
        <v>74</v>
      </c>
      <c r="D671">
        <v>37</v>
      </c>
      <c r="E671">
        <v>5</v>
      </c>
      <c r="F671">
        <v>13</v>
      </c>
    </row>
    <row r="672" spans="1:6" x14ac:dyDescent="0.35">
      <c r="A672">
        <v>845</v>
      </c>
      <c r="B672">
        <v>5848</v>
      </c>
      <c r="C672">
        <v>74</v>
      </c>
      <c r="D672">
        <v>55</v>
      </c>
      <c r="E672">
        <v>5</v>
      </c>
      <c r="F672">
        <v>7</v>
      </c>
    </row>
    <row r="673" spans="1:6" x14ac:dyDescent="0.35">
      <c r="A673">
        <v>814</v>
      </c>
      <c r="B673">
        <v>6303</v>
      </c>
      <c r="C673">
        <v>73</v>
      </c>
      <c r="D673">
        <v>161</v>
      </c>
      <c r="E673">
        <v>5</v>
      </c>
      <c r="F673">
        <v>12</v>
      </c>
    </row>
    <row r="674" spans="1:6" x14ac:dyDescent="0.35">
      <c r="A674">
        <v>1304</v>
      </c>
      <c r="B674">
        <v>6055</v>
      </c>
      <c r="C674">
        <v>72</v>
      </c>
      <c r="D674">
        <v>145</v>
      </c>
      <c r="E674">
        <v>5</v>
      </c>
      <c r="F674">
        <v>8</v>
      </c>
    </row>
    <row r="675" spans="1:6" x14ac:dyDescent="0.35">
      <c r="A675">
        <v>2123</v>
      </c>
      <c r="B675">
        <v>4915</v>
      </c>
      <c r="C675">
        <v>72</v>
      </c>
      <c r="D675">
        <v>21</v>
      </c>
      <c r="E675">
        <v>5</v>
      </c>
      <c r="F675">
        <v>12</v>
      </c>
    </row>
    <row r="676" spans="1:6" x14ac:dyDescent="0.35">
      <c r="A676">
        <v>1863</v>
      </c>
      <c r="B676">
        <v>3254</v>
      </c>
      <c r="C676">
        <v>70</v>
      </c>
      <c r="D676">
        <v>88</v>
      </c>
      <c r="E676">
        <v>5</v>
      </c>
      <c r="F676">
        <v>4</v>
      </c>
    </row>
    <row r="677" spans="1:6" x14ac:dyDescent="0.35">
      <c r="A677">
        <v>1814</v>
      </c>
      <c r="B677">
        <v>10177</v>
      </c>
      <c r="C677">
        <v>69</v>
      </c>
      <c r="D677">
        <v>138</v>
      </c>
      <c r="E677">
        <v>5</v>
      </c>
      <c r="F677">
        <v>8</v>
      </c>
    </row>
    <row r="678" spans="1:6" x14ac:dyDescent="0.35">
      <c r="A678">
        <v>2166</v>
      </c>
      <c r="B678">
        <v>2429</v>
      </c>
      <c r="C678">
        <v>69</v>
      </c>
      <c r="D678">
        <v>138</v>
      </c>
      <c r="E678">
        <v>5</v>
      </c>
      <c r="F678">
        <v>8</v>
      </c>
    </row>
    <row r="679" spans="1:6" x14ac:dyDescent="0.35">
      <c r="A679">
        <v>641</v>
      </c>
      <c r="B679">
        <v>4149</v>
      </c>
      <c r="C679">
        <v>66</v>
      </c>
      <c r="D679">
        <v>0</v>
      </c>
      <c r="E679">
        <v>5</v>
      </c>
      <c r="F679">
        <v>6</v>
      </c>
    </row>
    <row r="680" spans="1:6" x14ac:dyDescent="0.35">
      <c r="A680">
        <v>1190</v>
      </c>
      <c r="B680">
        <v>590</v>
      </c>
      <c r="C680">
        <v>66</v>
      </c>
      <c r="D680">
        <v>66</v>
      </c>
      <c r="E680">
        <v>5</v>
      </c>
      <c r="F680">
        <v>4</v>
      </c>
    </row>
    <row r="681" spans="1:6" x14ac:dyDescent="0.35">
      <c r="A681">
        <v>1459</v>
      </c>
      <c r="B681">
        <v>2525</v>
      </c>
      <c r="C681">
        <v>64</v>
      </c>
      <c r="D681">
        <v>64</v>
      </c>
      <c r="E681">
        <v>5</v>
      </c>
      <c r="F681">
        <v>9</v>
      </c>
    </row>
    <row r="682" spans="1:6" x14ac:dyDescent="0.35">
      <c r="A682">
        <v>993</v>
      </c>
      <c r="B682">
        <v>7646</v>
      </c>
      <c r="C682">
        <v>63</v>
      </c>
      <c r="D682">
        <v>35</v>
      </c>
      <c r="E682">
        <v>5</v>
      </c>
      <c r="F682">
        <v>12</v>
      </c>
    </row>
    <row r="683" spans="1:6" x14ac:dyDescent="0.35">
      <c r="A683">
        <v>1566</v>
      </c>
      <c r="B683">
        <v>7476</v>
      </c>
      <c r="C683">
        <v>63</v>
      </c>
      <c r="D683">
        <v>12</v>
      </c>
      <c r="E683">
        <v>5</v>
      </c>
      <c r="F683">
        <v>10</v>
      </c>
    </row>
    <row r="684" spans="1:6" x14ac:dyDescent="0.35">
      <c r="A684">
        <v>140</v>
      </c>
      <c r="B684">
        <v>821</v>
      </c>
      <c r="C684">
        <v>61</v>
      </c>
      <c r="D684">
        <v>61</v>
      </c>
      <c r="E684">
        <v>5</v>
      </c>
      <c r="F684">
        <v>12</v>
      </c>
    </row>
    <row r="685" spans="1:6" x14ac:dyDescent="0.35">
      <c r="A685">
        <v>1222</v>
      </c>
      <c r="B685">
        <v>1627</v>
      </c>
      <c r="C685">
        <v>61</v>
      </c>
      <c r="D685">
        <v>122</v>
      </c>
      <c r="E685">
        <v>5</v>
      </c>
      <c r="F685">
        <v>9</v>
      </c>
    </row>
    <row r="686" spans="1:6" x14ac:dyDescent="0.35">
      <c r="A686">
        <v>1879</v>
      </c>
      <c r="B686">
        <v>3426</v>
      </c>
      <c r="C686">
        <v>61</v>
      </c>
      <c r="D686">
        <v>46</v>
      </c>
      <c r="E686">
        <v>5</v>
      </c>
      <c r="F686">
        <v>13</v>
      </c>
    </row>
    <row r="687" spans="1:6" x14ac:dyDescent="0.35">
      <c r="A687">
        <v>88</v>
      </c>
      <c r="B687">
        <v>8504</v>
      </c>
      <c r="C687">
        <v>60</v>
      </c>
      <c r="D687">
        <v>133</v>
      </c>
      <c r="E687">
        <v>5</v>
      </c>
      <c r="F687">
        <v>7</v>
      </c>
    </row>
    <row r="688" spans="1:6" x14ac:dyDescent="0.35">
      <c r="A688">
        <v>1034</v>
      </c>
      <c r="B688">
        <v>1020</v>
      </c>
      <c r="C688">
        <v>60</v>
      </c>
      <c r="D688">
        <v>133</v>
      </c>
      <c r="E688">
        <v>5</v>
      </c>
      <c r="F688">
        <v>7</v>
      </c>
    </row>
    <row r="689" spans="1:6" x14ac:dyDescent="0.35">
      <c r="A689">
        <v>2075</v>
      </c>
      <c r="B689">
        <v>10281</v>
      </c>
      <c r="C689">
        <v>60</v>
      </c>
      <c r="D689">
        <v>54</v>
      </c>
      <c r="E689">
        <v>5</v>
      </c>
      <c r="F689">
        <v>7</v>
      </c>
    </row>
    <row r="690" spans="1:6" x14ac:dyDescent="0.35">
      <c r="A690">
        <v>1213</v>
      </c>
      <c r="B690">
        <v>697</v>
      </c>
      <c r="C690">
        <v>59</v>
      </c>
      <c r="D690">
        <v>19</v>
      </c>
      <c r="E690">
        <v>5</v>
      </c>
      <c r="F690">
        <v>6</v>
      </c>
    </row>
    <row r="691" spans="1:6" x14ac:dyDescent="0.35">
      <c r="A691">
        <v>2109</v>
      </c>
      <c r="B691">
        <v>3104</v>
      </c>
      <c r="C691">
        <v>59</v>
      </c>
      <c r="D691">
        <v>79</v>
      </c>
      <c r="E691">
        <v>5</v>
      </c>
      <c r="F691">
        <v>12</v>
      </c>
    </row>
    <row r="692" spans="1:6" x14ac:dyDescent="0.35">
      <c r="A692">
        <v>130</v>
      </c>
      <c r="B692">
        <v>8026</v>
      </c>
      <c r="C692">
        <v>58</v>
      </c>
      <c r="D692">
        <v>89</v>
      </c>
      <c r="E692">
        <v>5</v>
      </c>
      <c r="F692">
        <v>5</v>
      </c>
    </row>
    <row r="693" spans="1:6" x14ac:dyDescent="0.35">
      <c r="A693">
        <v>874</v>
      </c>
      <c r="B693">
        <v>7631</v>
      </c>
      <c r="C693">
        <v>58</v>
      </c>
      <c r="D693">
        <v>16</v>
      </c>
      <c r="E693">
        <v>5</v>
      </c>
      <c r="F693">
        <v>10</v>
      </c>
    </row>
    <row r="694" spans="1:6" x14ac:dyDescent="0.35">
      <c r="A694">
        <v>1084</v>
      </c>
      <c r="B694">
        <v>6072</v>
      </c>
      <c r="C694">
        <v>57</v>
      </c>
      <c r="D694">
        <v>38</v>
      </c>
      <c r="E694">
        <v>5</v>
      </c>
      <c r="F694">
        <v>6</v>
      </c>
    </row>
    <row r="695" spans="1:6" x14ac:dyDescent="0.35">
      <c r="A695">
        <v>820</v>
      </c>
      <c r="B695">
        <v>9493</v>
      </c>
      <c r="C695">
        <v>53</v>
      </c>
      <c r="D695">
        <v>71</v>
      </c>
      <c r="E695">
        <v>5</v>
      </c>
      <c r="F695">
        <v>8</v>
      </c>
    </row>
    <row r="696" spans="1:6" x14ac:dyDescent="0.35">
      <c r="A696">
        <v>1025</v>
      </c>
      <c r="B696">
        <v>8911</v>
      </c>
      <c r="C696">
        <v>53</v>
      </c>
      <c r="D696">
        <v>77</v>
      </c>
      <c r="E696">
        <v>5</v>
      </c>
      <c r="F696">
        <v>9</v>
      </c>
    </row>
    <row r="697" spans="1:6" x14ac:dyDescent="0.35">
      <c r="A697">
        <v>1713</v>
      </c>
      <c r="B697">
        <v>7396</v>
      </c>
      <c r="C697">
        <v>51</v>
      </c>
      <c r="D697">
        <v>35</v>
      </c>
      <c r="E697">
        <v>5</v>
      </c>
      <c r="F697">
        <v>12</v>
      </c>
    </row>
    <row r="698" spans="1:6" x14ac:dyDescent="0.35">
      <c r="A698">
        <v>2010</v>
      </c>
      <c r="B698">
        <v>2002</v>
      </c>
      <c r="C698">
        <v>51</v>
      </c>
      <c r="D698">
        <v>34</v>
      </c>
      <c r="E698">
        <v>5</v>
      </c>
      <c r="F698">
        <v>5</v>
      </c>
    </row>
    <row r="699" spans="1:6" x14ac:dyDescent="0.35">
      <c r="A699">
        <v>49</v>
      </c>
      <c r="B699">
        <v>6566</v>
      </c>
      <c r="C699">
        <v>50</v>
      </c>
      <c r="D699">
        <v>38</v>
      </c>
      <c r="E699">
        <v>5</v>
      </c>
      <c r="F699">
        <v>12</v>
      </c>
    </row>
    <row r="700" spans="1:6" x14ac:dyDescent="0.35">
      <c r="A700">
        <v>1913</v>
      </c>
      <c r="B700">
        <v>5831</v>
      </c>
      <c r="C700">
        <v>50</v>
      </c>
      <c r="D700">
        <v>50</v>
      </c>
      <c r="E700">
        <v>5</v>
      </c>
      <c r="F700">
        <v>5</v>
      </c>
    </row>
    <row r="701" spans="1:6" x14ac:dyDescent="0.35">
      <c r="A701">
        <v>68</v>
      </c>
      <c r="B701">
        <v>4477</v>
      </c>
      <c r="C701">
        <v>49</v>
      </c>
      <c r="D701">
        <v>82</v>
      </c>
      <c r="E701">
        <v>5</v>
      </c>
      <c r="F701">
        <v>10</v>
      </c>
    </row>
    <row r="702" spans="1:6" x14ac:dyDescent="0.35">
      <c r="A702">
        <v>1883</v>
      </c>
      <c r="B702">
        <v>6461</v>
      </c>
      <c r="C702">
        <v>49</v>
      </c>
      <c r="D702">
        <v>8</v>
      </c>
      <c r="E702">
        <v>5</v>
      </c>
      <c r="F702">
        <v>11</v>
      </c>
    </row>
    <row r="703" spans="1:6" x14ac:dyDescent="0.35">
      <c r="A703">
        <v>1322</v>
      </c>
      <c r="B703">
        <v>9206</v>
      </c>
      <c r="C703">
        <v>48</v>
      </c>
      <c r="D703">
        <v>105</v>
      </c>
      <c r="E703">
        <v>5</v>
      </c>
      <c r="F703">
        <v>12</v>
      </c>
    </row>
    <row r="704" spans="1:6" x14ac:dyDescent="0.35">
      <c r="A704">
        <v>871</v>
      </c>
      <c r="B704">
        <v>9353</v>
      </c>
      <c r="C704">
        <v>47</v>
      </c>
      <c r="D704">
        <v>66</v>
      </c>
      <c r="E704">
        <v>5</v>
      </c>
      <c r="F704">
        <v>4</v>
      </c>
    </row>
    <row r="705" spans="1:6" x14ac:dyDescent="0.35">
      <c r="A705">
        <v>1126</v>
      </c>
      <c r="B705">
        <v>6749</v>
      </c>
      <c r="C705">
        <v>47</v>
      </c>
      <c r="D705">
        <v>47</v>
      </c>
      <c r="E705">
        <v>5</v>
      </c>
      <c r="F705">
        <v>6</v>
      </c>
    </row>
    <row r="706" spans="1:6" x14ac:dyDescent="0.35">
      <c r="A706">
        <v>1582</v>
      </c>
      <c r="B706">
        <v>3503</v>
      </c>
      <c r="C706">
        <v>47</v>
      </c>
      <c r="D706">
        <v>32</v>
      </c>
      <c r="E706">
        <v>5</v>
      </c>
      <c r="F706">
        <v>6</v>
      </c>
    </row>
    <row r="707" spans="1:6" x14ac:dyDescent="0.35">
      <c r="A707">
        <v>2040</v>
      </c>
      <c r="B707">
        <v>5631</v>
      </c>
      <c r="C707">
        <v>47</v>
      </c>
      <c r="D707">
        <v>42</v>
      </c>
      <c r="E707">
        <v>5</v>
      </c>
      <c r="F707">
        <v>8</v>
      </c>
    </row>
    <row r="708" spans="1:6" x14ac:dyDescent="0.35">
      <c r="A708">
        <v>99</v>
      </c>
      <c r="B708">
        <v>3037</v>
      </c>
      <c r="C708">
        <v>46</v>
      </c>
      <c r="D708">
        <v>61</v>
      </c>
      <c r="E708">
        <v>5</v>
      </c>
      <c r="F708">
        <v>7</v>
      </c>
    </row>
    <row r="709" spans="1:6" x14ac:dyDescent="0.35">
      <c r="A709">
        <v>1347</v>
      </c>
      <c r="B709">
        <v>4698</v>
      </c>
      <c r="C709">
        <v>46</v>
      </c>
      <c r="D709">
        <v>61</v>
      </c>
      <c r="E709">
        <v>5</v>
      </c>
      <c r="F709">
        <v>7</v>
      </c>
    </row>
    <row r="710" spans="1:6" x14ac:dyDescent="0.35">
      <c r="A710">
        <v>413</v>
      </c>
      <c r="B710">
        <v>7422</v>
      </c>
      <c r="C710">
        <v>44</v>
      </c>
      <c r="D710">
        <v>78</v>
      </c>
      <c r="E710">
        <v>5</v>
      </c>
      <c r="F710">
        <v>7</v>
      </c>
    </row>
    <row r="711" spans="1:6" x14ac:dyDescent="0.35">
      <c r="A711">
        <v>4</v>
      </c>
      <c r="B711">
        <v>5324</v>
      </c>
      <c r="C711">
        <v>43</v>
      </c>
      <c r="D711">
        <v>27</v>
      </c>
      <c r="E711">
        <v>5</v>
      </c>
      <c r="F711">
        <v>6</v>
      </c>
    </row>
    <row r="712" spans="1:6" x14ac:dyDescent="0.35">
      <c r="A712">
        <v>1082</v>
      </c>
      <c r="B712">
        <v>8707</v>
      </c>
      <c r="C712">
        <v>42</v>
      </c>
      <c r="D712">
        <v>83</v>
      </c>
      <c r="E712">
        <v>5</v>
      </c>
      <c r="F712">
        <v>4</v>
      </c>
    </row>
    <row r="713" spans="1:6" x14ac:dyDescent="0.35">
      <c r="A713">
        <v>1957</v>
      </c>
      <c r="B713">
        <v>10448</v>
      </c>
      <c r="C713">
        <v>41</v>
      </c>
      <c r="D713">
        <v>6</v>
      </c>
      <c r="E713">
        <v>5</v>
      </c>
      <c r="F713">
        <v>5</v>
      </c>
    </row>
    <row r="714" spans="1:6" x14ac:dyDescent="0.35">
      <c r="A714">
        <v>559</v>
      </c>
      <c r="B714">
        <v>3174</v>
      </c>
      <c r="C714">
        <v>38</v>
      </c>
      <c r="D714">
        <v>57</v>
      </c>
      <c r="E714">
        <v>5</v>
      </c>
      <c r="F714">
        <v>4</v>
      </c>
    </row>
    <row r="715" spans="1:6" x14ac:dyDescent="0.35">
      <c r="A715">
        <v>824</v>
      </c>
      <c r="B715">
        <v>5536</v>
      </c>
      <c r="C715">
        <v>38</v>
      </c>
      <c r="D715">
        <v>57</v>
      </c>
      <c r="E715">
        <v>5</v>
      </c>
      <c r="F715">
        <v>4</v>
      </c>
    </row>
    <row r="716" spans="1:6" x14ac:dyDescent="0.35">
      <c r="A716">
        <v>1542</v>
      </c>
      <c r="B716">
        <v>528</v>
      </c>
      <c r="C716">
        <v>38</v>
      </c>
      <c r="D716">
        <v>165</v>
      </c>
      <c r="E716">
        <v>5</v>
      </c>
      <c r="F716">
        <v>10</v>
      </c>
    </row>
    <row r="717" spans="1:6" x14ac:dyDescent="0.35">
      <c r="A717">
        <v>1990</v>
      </c>
      <c r="B717">
        <v>10949</v>
      </c>
      <c r="C717">
        <v>37</v>
      </c>
      <c r="D717">
        <v>37</v>
      </c>
      <c r="E717">
        <v>5</v>
      </c>
      <c r="F717">
        <v>8</v>
      </c>
    </row>
    <row r="718" spans="1:6" x14ac:dyDescent="0.35">
      <c r="A718">
        <v>2175</v>
      </c>
      <c r="B718">
        <v>1772</v>
      </c>
      <c r="C718">
        <v>37</v>
      </c>
      <c r="D718">
        <v>92</v>
      </c>
      <c r="E718">
        <v>5</v>
      </c>
      <c r="F718">
        <v>7</v>
      </c>
    </row>
    <row r="719" spans="1:6" x14ac:dyDescent="0.35">
      <c r="A719">
        <v>403</v>
      </c>
      <c r="B719">
        <v>615</v>
      </c>
      <c r="C719">
        <v>36</v>
      </c>
      <c r="D719">
        <v>20</v>
      </c>
      <c r="E719">
        <v>5</v>
      </c>
      <c r="F719">
        <v>4</v>
      </c>
    </row>
    <row r="720" spans="1:6" x14ac:dyDescent="0.35">
      <c r="A720">
        <v>56</v>
      </c>
      <c r="B720">
        <v>10383</v>
      </c>
      <c r="C720">
        <v>35</v>
      </c>
      <c r="D720">
        <v>120</v>
      </c>
      <c r="E720">
        <v>5</v>
      </c>
      <c r="F720">
        <v>10</v>
      </c>
    </row>
    <row r="721" spans="1:6" x14ac:dyDescent="0.35">
      <c r="A721">
        <v>394</v>
      </c>
      <c r="B721">
        <v>7683</v>
      </c>
      <c r="C721">
        <v>35</v>
      </c>
      <c r="D721">
        <v>7</v>
      </c>
      <c r="E721">
        <v>5</v>
      </c>
      <c r="F721">
        <v>12</v>
      </c>
    </row>
    <row r="722" spans="1:6" x14ac:dyDescent="0.35">
      <c r="A722">
        <v>1099</v>
      </c>
      <c r="B722">
        <v>6001</v>
      </c>
      <c r="C722">
        <v>35</v>
      </c>
      <c r="D722">
        <v>35</v>
      </c>
      <c r="E722">
        <v>5</v>
      </c>
      <c r="F722">
        <v>10</v>
      </c>
    </row>
    <row r="723" spans="1:6" x14ac:dyDescent="0.35">
      <c r="A723">
        <v>1153</v>
      </c>
      <c r="B723">
        <v>5031</v>
      </c>
      <c r="C723">
        <v>35</v>
      </c>
      <c r="D723">
        <v>137</v>
      </c>
      <c r="E723">
        <v>5</v>
      </c>
      <c r="F723">
        <v>11</v>
      </c>
    </row>
    <row r="724" spans="1:6" x14ac:dyDescent="0.35">
      <c r="A724">
        <v>1647</v>
      </c>
      <c r="B724">
        <v>7005</v>
      </c>
      <c r="C724">
        <v>35</v>
      </c>
      <c r="D724">
        <v>7</v>
      </c>
      <c r="E724">
        <v>5</v>
      </c>
      <c r="F724">
        <v>12</v>
      </c>
    </row>
    <row r="725" spans="1:6" x14ac:dyDescent="0.35">
      <c r="A725">
        <v>1860</v>
      </c>
      <c r="B725">
        <v>1459</v>
      </c>
      <c r="C725">
        <v>35</v>
      </c>
      <c r="D725">
        <v>8</v>
      </c>
      <c r="E725">
        <v>5</v>
      </c>
      <c r="F725">
        <v>5</v>
      </c>
    </row>
    <row r="726" spans="1:6" x14ac:dyDescent="0.35">
      <c r="A726">
        <v>414</v>
      </c>
      <c r="B726">
        <v>3523</v>
      </c>
      <c r="C726">
        <v>34</v>
      </c>
      <c r="D726">
        <v>22</v>
      </c>
      <c r="E726">
        <v>5</v>
      </c>
      <c r="F726">
        <v>8</v>
      </c>
    </row>
    <row r="727" spans="1:6" x14ac:dyDescent="0.35">
      <c r="A727">
        <v>1197</v>
      </c>
      <c r="B727">
        <v>6606</v>
      </c>
      <c r="C727">
        <v>34</v>
      </c>
      <c r="D727">
        <v>0</v>
      </c>
      <c r="E727">
        <v>5</v>
      </c>
      <c r="F727">
        <v>10</v>
      </c>
    </row>
    <row r="728" spans="1:6" x14ac:dyDescent="0.35">
      <c r="A728">
        <v>1035</v>
      </c>
      <c r="B728">
        <v>9503</v>
      </c>
      <c r="C728">
        <v>33</v>
      </c>
      <c r="D728">
        <v>26</v>
      </c>
      <c r="E728">
        <v>5</v>
      </c>
      <c r="F728">
        <v>5</v>
      </c>
    </row>
    <row r="729" spans="1:6" x14ac:dyDescent="0.35">
      <c r="A729">
        <v>1335</v>
      </c>
      <c r="B729">
        <v>11039</v>
      </c>
      <c r="C729">
        <v>33</v>
      </c>
      <c r="D729">
        <v>30</v>
      </c>
      <c r="E729">
        <v>5</v>
      </c>
      <c r="F729">
        <v>4</v>
      </c>
    </row>
    <row r="730" spans="1:6" x14ac:dyDescent="0.35">
      <c r="A730">
        <v>1784</v>
      </c>
      <c r="B730">
        <v>7261</v>
      </c>
      <c r="C730">
        <v>33</v>
      </c>
      <c r="D730">
        <v>3</v>
      </c>
      <c r="E730">
        <v>5</v>
      </c>
      <c r="F730">
        <v>5</v>
      </c>
    </row>
    <row r="731" spans="1:6" x14ac:dyDescent="0.35">
      <c r="A731">
        <v>1972</v>
      </c>
      <c r="B731">
        <v>2452</v>
      </c>
      <c r="C731">
        <v>33</v>
      </c>
      <c r="D731">
        <v>3</v>
      </c>
      <c r="E731">
        <v>5</v>
      </c>
      <c r="F731">
        <v>5</v>
      </c>
    </row>
    <row r="732" spans="1:6" x14ac:dyDescent="0.35">
      <c r="A732">
        <v>1993</v>
      </c>
      <c r="B732">
        <v>10164</v>
      </c>
      <c r="C732">
        <v>33</v>
      </c>
      <c r="D732">
        <v>100</v>
      </c>
      <c r="E732">
        <v>5</v>
      </c>
      <c r="F732">
        <v>5</v>
      </c>
    </row>
    <row r="733" spans="1:6" x14ac:dyDescent="0.35">
      <c r="A733">
        <v>770</v>
      </c>
      <c r="B733">
        <v>10582</v>
      </c>
      <c r="C733">
        <v>32</v>
      </c>
      <c r="D733">
        <v>32</v>
      </c>
      <c r="E733">
        <v>5</v>
      </c>
      <c r="F733">
        <v>12</v>
      </c>
    </row>
    <row r="734" spans="1:6" x14ac:dyDescent="0.35">
      <c r="A734">
        <v>1310</v>
      </c>
      <c r="B734">
        <v>4603</v>
      </c>
      <c r="C734">
        <v>32</v>
      </c>
      <c r="D734">
        <v>58</v>
      </c>
      <c r="E734">
        <v>5</v>
      </c>
      <c r="F734">
        <v>10</v>
      </c>
    </row>
    <row r="735" spans="1:6" x14ac:dyDescent="0.35">
      <c r="A735">
        <v>2151</v>
      </c>
      <c r="B735">
        <v>7233</v>
      </c>
      <c r="C735">
        <v>32</v>
      </c>
      <c r="D735">
        <v>48</v>
      </c>
      <c r="E735">
        <v>5</v>
      </c>
      <c r="F735">
        <v>6</v>
      </c>
    </row>
    <row r="736" spans="1:6" x14ac:dyDescent="0.35">
      <c r="A736">
        <v>1606</v>
      </c>
      <c r="B736">
        <v>8969</v>
      </c>
      <c r="C736">
        <v>31</v>
      </c>
      <c r="D736">
        <v>112</v>
      </c>
      <c r="E736">
        <v>5</v>
      </c>
      <c r="F736">
        <v>11</v>
      </c>
    </row>
    <row r="737" spans="1:6" x14ac:dyDescent="0.35">
      <c r="A737">
        <v>1657</v>
      </c>
      <c r="B737">
        <v>2295</v>
      </c>
      <c r="C737">
        <v>30</v>
      </c>
      <c r="D737">
        <v>46</v>
      </c>
      <c r="E737">
        <v>5</v>
      </c>
      <c r="F737">
        <v>13</v>
      </c>
    </row>
    <row r="738" spans="1:6" x14ac:dyDescent="0.35">
      <c r="A738">
        <v>1307</v>
      </c>
      <c r="B738">
        <v>4394</v>
      </c>
      <c r="C738">
        <v>29</v>
      </c>
      <c r="D738">
        <v>29</v>
      </c>
      <c r="E738">
        <v>5</v>
      </c>
      <c r="F738">
        <v>12</v>
      </c>
    </row>
    <row r="739" spans="1:6" x14ac:dyDescent="0.35">
      <c r="A739">
        <v>142</v>
      </c>
      <c r="B739">
        <v>8690</v>
      </c>
      <c r="C739">
        <v>28</v>
      </c>
      <c r="D739">
        <v>40</v>
      </c>
      <c r="E739">
        <v>5</v>
      </c>
      <c r="F739">
        <v>10</v>
      </c>
    </row>
    <row r="740" spans="1:6" x14ac:dyDescent="0.35">
      <c r="A740">
        <v>484</v>
      </c>
      <c r="B740">
        <v>9286</v>
      </c>
      <c r="C740">
        <v>28</v>
      </c>
      <c r="D740">
        <v>74</v>
      </c>
      <c r="E740">
        <v>5</v>
      </c>
      <c r="F740">
        <v>4</v>
      </c>
    </row>
    <row r="741" spans="1:6" x14ac:dyDescent="0.35">
      <c r="A741">
        <v>601</v>
      </c>
      <c r="B741">
        <v>2453</v>
      </c>
      <c r="C741">
        <v>28</v>
      </c>
      <c r="D741">
        <v>21</v>
      </c>
      <c r="E741">
        <v>5</v>
      </c>
      <c r="F741">
        <v>12</v>
      </c>
    </row>
    <row r="742" spans="1:6" x14ac:dyDescent="0.35">
      <c r="A742">
        <v>1481</v>
      </c>
      <c r="B742">
        <v>7787</v>
      </c>
      <c r="C742">
        <v>28</v>
      </c>
      <c r="D742">
        <v>21</v>
      </c>
      <c r="E742">
        <v>5</v>
      </c>
      <c r="F742">
        <v>12</v>
      </c>
    </row>
    <row r="743" spans="1:6" x14ac:dyDescent="0.35">
      <c r="A743">
        <v>956</v>
      </c>
      <c r="B743">
        <v>5748</v>
      </c>
      <c r="C743">
        <v>27</v>
      </c>
      <c r="D743">
        <v>146</v>
      </c>
      <c r="E743">
        <v>5</v>
      </c>
      <c r="F743">
        <v>6</v>
      </c>
    </row>
    <row r="744" spans="1:6" x14ac:dyDescent="0.35">
      <c r="A744">
        <v>1817</v>
      </c>
      <c r="B744">
        <v>10057</v>
      </c>
      <c r="C744">
        <v>27</v>
      </c>
      <c r="D744">
        <v>139</v>
      </c>
      <c r="E744">
        <v>5</v>
      </c>
      <c r="F744">
        <v>9</v>
      </c>
    </row>
    <row r="745" spans="1:6" x14ac:dyDescent="0.35">
      <c r="A745">
        <v>1850</v>
      </c>
      <c r="B745">
        <v>4427</v>
      </c>
      <c r="C745">
        <v>27</v>
      </c>
      <c r="D745">
        <v>107</v>
      </c>
      <c r="E745">
        <v>5</v>
      </c>
      <c r="F745">
        <v>12</v>
      </c>
    </row>
    <row r="746" spans="1:6" x14ac:dyDescent="0.35">
      <c r="A746">
        <v>98</v>
      </c>
      <c r="B746">
        <v>4646</v>
      </c>
      <c r="C746">
        <v>26</v>
      </c>
      <c r="D746">
        <v>0</v>
      </c>
      <c r="E746">
        <v>5</v>
      </c>
      <c r="F746">
        <v>12</v>
      </c>
    </row>
    <row r="747" spans="1:6" x14ac:dyDescent="0.35">
      <c r="A747">
        <v>179</v>
      </c>
      <c r="B747">
        <v>6935</v>
      </c>
      <c r="C747">
        <v>26</v>
      </c>
      <c r="D747">
        <v>0</v>
      </c>
      <c r="E747">
        <v>5</v>
      </c>
      <c r="F747">
        <v>12</v>
      </c>
    </row>
    <row r="748" spans="1:6" x14ac:dyDescent="0.35">
      <c r="A748">
        <v>809</v>
      </c>
      <c r="B748">
        <v>9145</v>
      </c>
      <c r="C748">
        <v>26</v>
      </c>
      <c r="D748">
        <v>161</v>
      </c>
      <c r="E748">
        <v>5</v>
      </c>
      <c r="F748">
        <v>6</v>
      </c>
    </row>
    <row r="749" spans="1:6" x14ac:dyDescent="0.35">
      <c r="A749">
        <v>1504</v>
      </c>
      <c r="B749">
        <v>3584</v>
      </c>
      <c r="C749">
        <v>26</v>
      </c>
      <c r="D749">
        <v>13</v>
      </c>
      <c r="E749">
        <v>5</v>
      </c>
      <c r="F749">
        <v>5</v>
      </c>
    </row>
    <row r="750" spans="1:6" x14ac:dyDescent="0.35">
      <c r="A750">
        <v>2049</v>
      </c>
      <c r="B750">
        <v>2079</v>
      </c>
      <c r="C750">
        <v>26</v>
      </c>
      <c r="D750">
        <v>98</v>
      </c>
      <c r="E750">
        <v>5</v>
      </c>
      <c r="F750">
        <v>10</v>
      </c>
    </row>
    <row r="751" spans="1:6" x14ac:dyDescent="0.35">
      <c r="A751">
        <v>495</v>
      </c>
      <c r="B751">
        <v>3136</v>
      </c>
      <c r="C751">
        <v>25</v>
      </c>
      <c r="D751">
        <v>19</v>
      </c>
      <c r="E751">
        <v>5</v>
      </c>
      <c r="F751">
        <v>11</v>
      </c>
    </row>
    <row r="752" spans="1:6" x14ac:dyDescent="0.35">
      <c r="A752">
        <v>716</v>
      </c>
      <c r="B752">
        <v>3619</v>
      </c>
      <c r="C752">
        <v>25</v>
      </c>
      <c r="D752">
        <v>138</v>
      </c>
      <c r="E752">
        <v>5</v>
      </c>
      <c r="F752">
        <v>8</v>
      </c>
    </row>
    <row r="753" spans="1:6" x14ac:dyDescent="0.35">
      <c r="A753">
        <v>455</v>
      </c>
      <c r="B753">
        <v>4148</v>
      </c>
      <c r="C753">
        <v>24</v>
      </c>
      <c r="D753">
        <v>3</v>
      </c>
      <c r="E753">
        <v>5</v>
      </c>
      <c r="F753">
        <v>6</v>
      </c>
    </row>
    <row r="754" spans="1:6" x14ac:dyDescent="0.35">
      <c r="A754">
        <v>943</v>
      </c>
      <c r="B754">
        <v>5386</v>
      </c>
      <c r="C754">
        <v>24</v>
      </c>
      <c r="D754">
        <v>45</v>
      </c>
      <c r="E754">
        <v>5</v>
      </c>
      <c r="F754">
        <v>5</v>
      </c>
    </row>
    <row r="755" spans="1:6" x14ac:dyDescent="0.35">
      <c r="A755">
        <v>1040</v>
      </c>
      <c r="B755">
        <v>3717</v>
      </c>
      <c r="C755">
        <v>24</v>
      </c>
      <c r="D755">
        <v>24</v>
      </c>
      <c r="E755">
        <v>5</v>
      </c>
      <c r="F755">
        <v>6</v>
      </c>
    </row>
    <row r="756" spans="1:6" x14ac:dyDescent="0.35">
      <c r="A756">
        <v>1301</v>
      </c>
      <c r="B756">
        <v>6024</v>
      </c>
      <c r="C756">
        <v>24</v>
      </c>
      <c r="D756">
        <v>45</v>
      </c>
      <c r="E756">
        <v>5</v>
      </c>
      <c r="F756">
        <v>5</v>
      </c>
    </row>
    <row r="757" spans="1:6" x14ac:dyDescent="0.35">
      <c r="A757">
        <v>1385</v>
      </c>
      <c r="B757">
        <v>10909</v>
      </c>
      <c r="C757">
        <v>24</v>
      </c>
      <c r="D757">
        <v>19</v>
      </c>
      <c r="E757">
        <v>5</v>
      </c>
      <c r="F757">
        <v>5</v>
      </c>
    </row>
    <row r="758" spans="1:6" x14ac:dyDescent="0.35">
      <c r="A758">
        <v>791</v>
      </c>
      <c r="B758">
        <v>10446</v>
      </c>
      <c r="C758">
        <v>23</v>
      </c>
      <c r="D758">
        <v>23</v>
      </c>
      <c r="E758">
        <v>5</v>
      </c>
      <c r="F758">
        <v>7</v>
      </c>
    </row>
    <row r="759" spans="1:6" x14ac:dyDescent="0.35">
      <c r="A759">
        <v>1661</v>
      </c>
      <c r="B759">
        <v>1404</v>
      </c>
      <c r="C759">
        <v>23</v>
      </c>
      <c r="D759">
        <v>0</v>
      </c>
      <c r="E759">
        <v>5</v>
      </c>
      <c r="F759">
        <v>3</v>
      </c>
    </row>
    <row r="760" spans="1:6" x14ac:dyDescent="0.35">
      <c r="A760">
        <v>586</v>
      </c>
      <c r="B760">
        <v>9058</v>
      </c>
      <c r="C760">
        <v>21</v>
      </c>
      <c r="D760">
        <v>0</v>
      </c>
      <c r="E760">
        <v>5</v>
      </c>
      <c r="F760">
        <v>5</v>
      </c>
    </row>
    <row r="761" spans="1:6" x14ac:dyDescent="0.35">
      <c r="A761">
        <v>515</v>
      </c>
      <c r="B761">
        <v>203</v>
      </c>
      <c r="C761">
        <v>20</v>
      </c>
      <c r="D761">
        <v>61</v>
      </c>
      <c r="E761">
        <v>5</v>
      </c>
      <c r="F761">
        <v>9</v>
      </c>
    </row>
    <row r="762" spans="1:6" x14ac:dyDescent="0.35">
      <c r="A762">
        <v>891</v>
      </c>
      <c r="B762">
        <v>7108</v>
      </c>
      <c r="C762">
        <v>20</v>
      </c>
      <c r="D762">
        <v>2</v>
      </c>
      <c r="E762">
        <v>5</v>
      </c>
      <c r="F762">
        <v>5</v>
      </c>
    </row>
    <row r="763" spans="1:6" x14ac:dyDescent="0.35">
      <c r="A763">
        <v>1535</v>
      </c>
      <c r="B763">
        <v>9771</v>
      </c>
      <c r="C763">
        <v>20</v>
      </c>
      <c r="D763">
        <v>15</v>
      </c>
      <c r="E763">
        <v>5</v>
      </c>
      <c r="F763">
        <v>5</v>
      </c>
    </row>
    <row r="764" spans="1:6" x14ac:dyDescent="0.35">
      <c r="A764">
        <v>2162</v>
      </c>
      <c r="B764">
        <v>977</v>
      </c>
      <c r="C764">
        <v>19</v>
      </c>
      <c r="D764">
        <v>15</v>
      </c>
      <c r="E764">
        <v>5</v>
      </c>
      <c r="F764">
        <v>8</v>
      </c>
    </row>
    <row r="765" spans="1:6" x14ac:dyDescent="0.35">
      <c r="A765">
        <v>685</v>
      </c>
      <c r="B765">
        <v>10142</v>
      </c>
      <c r="C765">
        <v>18</v>
      </c>
      <c r="D765">
        <v>48</v>
      </c>
      <c r="E765">
        <v>5</v>
      </c>
      <c r="F765">
        <v>11</v>
      </c>
    </row>
    <row r="766" spans="1:6" x14ac:dyDescent="0.35">
      <c r="A766">
        <v>36</v>
      </c>
      <c r="B766">
        <v>4339</v>
      </c>
      <c r="C766">
        <v>17</v>
      </c>
      <c r="D766">
        <v>8</v>
      </c>
      <c r="E766">
        <v>5</v>
      </c>
      <c r="F766">
        <v>12</v>
      </c>
    </row>
    <row r="767" spans="1:6" x14ac:dyDescent="0.35">
      <c r="A767">
        <v>358</v>
      </c>
      <c r="B767">
        <v>6142</v>
      </c>
      <c r="C767">
        <v>17</v>
      </c>
      <c r="D767">
        <v>0</v>
      </c>
      <c r="E767">
        <v>5</v>
      </c>
      <c r="F767">
        <v>5</v>
      </c>
    </row>
    <row r="768" spans="1:6" x14ac:dyDescent="0.35">
      <c r="A768">
        <v>466</v>
      </c>
      <c r="B768">
        <v>7999</v>
      </c>
      <c r="C768">
        <v>17</v>
      </c>
      <c r="D768">
        <v>34</v>
      </c>
      <c r="E768">
        <v>5</v>
      </c>
      <c r="F768">
        <v>5</v>
      </c>
    </row>
    <row r="769" spans="1:6" x14ac:dyDescent="0.35">
      <c r="A769">
        <v>1272</v>
      </c>
      <c r="B769">
        <v>195</v>
      </c>
      <c r="C769">
        <v>17</v>
      </c>
      <c r="D769">
        <v>19</v>
      </c>
      <c r="E769">
        <v>5</v>
      </c>
      <c r="F769">
        <v>4</v>
      </c>
    </row>
    <row r="770" spans="1:6" x14ac:dyDescent="0.35">
      <c r="A770">
        <v>1820</v>
      </c>
      <c r="B770">
        <v>2415</v>
      </c>
      <c r="C770">
        <v>17</v>
      </c>
      <c r="D770">
        <v>35</v>
      </c>
      <c r="E770">
        <v>5</v>
      </c>
      <c r="F770">
        <v>5</v>
      </c>
    </row>
    <row r="771" spans="1:6" x14ac:dyDescent="0.35">
      <c r="A771">
        <v>246</v>
      </c>
      <c r="B771">
        <v>2176</v>
      </c>
      <c r="C771">
        <v>16</v>
      </c>
      <c r="D771">
        <v>0</v>
      </c>
      <c r="E771">
        <v>5</v>
      </c>
      <c r="F771">
        <v>6</v>
      </c>
    </row>
    <row r="772" spans="1:6" x14ac:dyDescent="0.35">
      <c r="A772">
        <v>603</v>
      </c>
      <c r="B772">
        <v>895</v>
      </c>
      <c r="C772">
        <v>16</v>
      </c>
      <c r="D772">
        <v>5</v>
      </c>
      <c r="E772">
        <v>5</v>
      </c>
      <c r="F772">
        <v>10</v>
      </c>
    </row>
    <row r="773" spans="1:6" x14ac:dyDescent="0.35">
      <c r="A773">
        <v>1411</v>
      </c>
      <c r="B773">
        <v>9121</v>
      </c>
      <c r="C773">
        <v>16</v>
      </c>
      <c r="D773">
        <v>0</v>
      </c>
      <c r="E773">
        <v>5</v>
      </c>
      <c r="F773">
        <v>6</v>
      </c>
    </row>
    <row r="774" spans="1:6" x14ac:dyDescent="0.35">
      <c r="A774">
        <v>1509</v>
      </c>
      <c r="B774">
        <v>10128</v>
      </c>
      <c r="C774">
        <v>16</v>
      </c>
      <c r="D774">
        <v>24</v>
      </c>
      <c r="E774">
        <v>5</v>
      </c>
      <c r="F774">
        <v>12</v>
      </c>
    </row>
    <row r="775" spans="1:6" x14ac:dyDescent="0.35">
      <c r="A775">
        <v>1805</v>
      </c>
      <c r="B775">
        <v>9284</v>
      </c>
      <c r="C775">
        <v>16</v>
      </c>
      <c r="D775">
        <v>24</v>
      </c>
      <c r="E775">
        <v>5</v>
      </c>
      <c r="F775">
        <v>12</v>
      </c>
    </row>
    <row r="776" spans="1:6" x14ac:dyDescent="0.35">
      <c r="A776">
        <v>1961</v>
      </c>
      <c r="B776">
        <v>3009</v>
      </c>
      <c r="C776">
        <v>16</v>
      </c>
      <c r="D776">
        <v>0</v>
      </c>
      <c r="E776">
        <v>5</v>
      </c>
      <c r="F776">
        <v>6</v>
      </c>
    </row>
    <row r="777" spans="1:6" x14ac:dyDescent="0.35">
      <c r="A777">
        <v>303</v>
      </c>
      <c r="B777">
        <v>1717</v>
      </c>
      <c r="C777">
        <v>15</v>
      </c>
      <c r="D777">
        <v>13</v>
      </c>
      <c r="E777">
        <v>5</v>
      </c>
      <c r="F777">
        <v>4</v>
      </c>
    </row>
    <row r="778" spans="1:6" x14ac:dyDescent="0.35">
      <c r="A778">
        <v>1237</v>
      </c>
      <c r="B778">
        <v>9757</v>
      </c>
      <c r="C778">
        <v>15</v>
      </c>
      <c r="D778">
        <v>30</v>
      </c>
      <c r="E778">
        <v>5</v>
      </c>
      <c r="F778">
        <v>12</v>
      </c>
    </row>
    <row r="779" spans="1:6" x14ac:dyDescent="0.35">
      <c r="A779">
        <v>1271</v>
      </c>
      <c r="B779">
        <v>7488</v>
      </c>
      <c r="C779">
        <v>15</v>
      </c>
      <c r="D779">
        <v>38</v>
      </c>
      <c r="E779">
        <v>5</v>
      </c>
      <c r="F779">
        <v>13</v>
      </c>
    </row>
    <row r="780" spans="1:6" x14ac:dyDescent="0.35">
      <c r="A780">
        <v>1567</v>
      </c>
      <c r="B780">
        <v>4390</v>
      </c>
      <c r="C780">
        <v>15</v>
      </c>
      <c r="D780">
        <v>23</v>
      </c>
      <c r="E780">
        <v>5</v>
      </c>
      <c r="F780">
        <v>12</v>
      </c>
    </row>
    <row r="781" spans="1:6" x14ac:dyDescent="0.35">
      <c r="A781">
        <v>1676</v>
      </c>
      <c r="B781">
        <v>1170</v>
      </c>
      <c r="C781">
        <v>15</v>
      </c>
      <c r="D781">
        <v>15</v>
      </c>
      <c r="E781">
        <v>5</v>
      </c>
      <c r="F781">
        <v>4</v>
      </c>
    </row>
    <row r="782" spans="1:6" x14ac:dyDescent="0.35">
      <c r="A782">
        <v>2125</v>
      </c>
      <c r="B782">
        <v>2088</v>
      </c>
      <c r="C782">
        <v>15</v>
      </c>
      <c r="D782">
        <v>30</v>
      </c>
      <c r="E782">
        <v>5</v>
      </c>
      <c r="F782">
        <v>12</v>
      </c>
    </row>
    <row r="783" spans="1:6" x14ac:dyDescent="0.35">
      <c r="A783">
        <v>446</v>
      </c>
      <c r="B783">
        <v>5954</v>
      </c>
      <c r="C783">
        <v>14</v>
      </c>
      <c r="D783">
        <v>5</v>
      </c>
      <c r="E783">
        <v>5</v>
      </c>
      <c r="F783">
        <v>4</v>
      </c>
    </row>
    <row r="784" spans="1:6" x14ac:dyDescent="0.35">
      <c r="A784">
        <v>1940</v>
      </c>
      <c r="B784">
        <v>1139</v>
      </c>
      <c r="C784">
        <v>14</v>
      </c>
      <c r="D784">
        <v>14</v>
      </c>
      <c r="E784">
        <v>5</v>
      </c>
      <c r="F784">
        <v>5</v>
      </c>
    </row>
    <row r="785" spans="1:6" x14ac:dyDescent="0.35">
      <c r="A785">
        <v>163</v>
      </c>
      <c r="B785">
        <v>10095</v>
      </c>
      <c r="C785">
        <v>12</v>
      </c>
      <c r="D785">
        <v>12</v>
      </c>
      <c r="E785">
        <v>5</v>
      </c>
      <c r="F785">
        <v>10</v>
      </c>
    </row>
    <row r="786" spans="1:6" x14ac:dyDescent="0.35">
      <c r="A786">
        <v>702</v>
      </c>
      <c r="B786">
        <v>6384</v>
      </c>
      <c r="C786">
        <v>12</v>
      </c>
      <c r="D786">
        <v>12</v>
      </c>
      <c r="E786">
        <v>5</v>
      </c>
      <c r="F786">
        <v>11</v>
      </c>
    </row>
    <row r="787" spans="1:6" x14ac:dyDescent="0.35">
      <c r="A787">
        <v>1225</v>
      </c>
      <c r="B787">
        <v>257</v>
      </c>
      <c r="C787">
        <v>12</v>
      </c>
      <c r="D787">
        <v>12</v>
      </c>
      <c r="E787">
        <v>5</v>
      </c>
      <c r="F787">
        <v>9</v>
      </c>
    </row>
    <row r="788" spans="1:6" x14ac:dyDescent="0.35">
      <c r="A788">
        <v>1414</v>
      </c>
      <c r="B788">
        <v>2678</v>
      </c>
      <c r="C788">
        <v>12</v>
      </c>
      <c r="D788">
        <v>36</v>
      </c>
      <c r="E788">
        <v>5</v>
      </c>
      <c r="F788">
        <v>3</v>
      </c>
    </row>
    <row r="789" spans="1:6" x14ac:dyDescent="0.35">
      <c r="A789">
        <v>866</v>
      </c>
      <c r="B789">
        <v>115</v>
      </c>
      <c r="C789">
        <v>11</v>
      </c>
      <c r="D789">
        <v>7</v>
      </c>
      <c r="E789">
        <v>5</v>
      </c>
      <c r="F789">
        <v>8</v>
      </c>
    </row>
    <row r="790" spans="1:6" x14ac:dyDescent="0.35">
      <c r="A790">
        <v>605</v>
      </c>
      <c r="B790">
        <v>7141</v>
      </c>
      <c r="C790">
        <v>10</v>
      </c>
      <c r="D790">
        <v>3</v>
      </c>
      <c r="E790">
        <v>5</v>
      </c>
      <c r="F790">
        <v>2</v>
      </c>
    </row>
    <row r="791" spans="1:6" x14ac:dyDescent="0.35">
      <c r="A791">
        <v>1707</v>
      </c>
      <c r="B791">
        <v>1045</v>
      </c>
      <c r="C791">
        <v>10</v>
      </c>
      <c r="D791">
        <v>0</v>
      </c>
      <c r="E791">
        <v>5</v>
      </c>
      <c r="F791">
        <v>4</v>
      </c>
    </row>
    <row r="792" spans="1:6" x14ac:dyDescent="0.35">
      <c r="A792">
        <v>671</v>
      </c>
      <c r="B792">
        <v>10379</v>
      </c>
      <c r="C792">
        <v>9</v>
      </c>
      <c r="D792">
        <v>14</v>
      </c>
      <c r="E792">
        <v>5</v>
      </c>
      <c r="F792">
        <v>9</v>
      </c>
    </row>
    <row r="793" spans="1:6" x14ac:dyDescent="0.35">
      <c r="A793">
        <v>720</v>
      </c>
      <c r="B793">
        <v>5114</v>
      </c>
      <c r="C793">
        <v>9</v>
      </c>
      <c r="D793">
        <v>28</v>
      </c>
      <c r="E793">
        <v>5</v>
      </c>
      <c r="F793">
        <v>5</v>
      </c>
    </row>
    <row r="794" spans="1:6" x14ac:dyDescent="0.35">
      <c r="A794">
        <v>815</v>
      </c>
      <c r="B794">
        <v>11176</v>
      </c>
      <c r="C794">
        <v>9</v>
      </c>
      <c r="D794">
        <v>4</v>
      </c>
      <c r="E794">
        <v>5</v>
      </c>
      <c r="F794">
        <v>7</v>
      </c>
    </row>
    <row r="795" spans="1:6" x14ac:dyDescent="0.35">
      <c r="A795">
        <v>1156</v>
      </c>
      <c r="B795">
        <v>967</v>
      </c>
      <c r="C795">
        <v>9</v>
      </c>
      <c r="D795">
        <v>14</v>
      </c>
      <c r="E795">
        <v>5</v>
      </c>
      <c r="F795">
        <v>9</v>
      </c>
    </row>
    <row r="796" spans="1:6" x14ac:dyDescent="0.35">
      <c r="A796">
        <v>1656</v>
      </c>
      <c r="B796">
        <v>2285</v>
      </c>
      <c r="C796">
        <v>9</v>
      </c>
      <c r="D796">
        <v>3</v>
      </c>
      <c r="E796">
        <v>5</v>
      </c>
      <c r="F796">
        <v>5</v>
      </c>
    </row>
    <row r="797" spans="1:6" x14ac:dyDescent="0.35">
      <c r="A797">
        <v>230</v>
      </c>
      <c r="B797">
        <v>6798</v>
      </c>
      <c r="C797">
        <v>7</v>
      </c>
      <c r="D797">
        <v>15</v>
      </c>
      <c r="E797">
        <v>5</v>
      </c>
      <c r="F797">
        <v>8</v>
      </c>
    </row>
    <row r="798" spans="1:6" x14ac:dyDescent="0.35">
      <c r="A798">
        <v>283</v>
      </c>
      <c r="B798">
        <v>1672</v>
      </c>
      <c r="C798">
        <v>7</v>
      </c>
      <c r="D798">
        <v>15</v>
      </c>
      <c r="E798">
        <v>5</v>
      </c>
      <c r="F798">
        <v>8</v>
      </c>
    </row>
    <row r="799" spans="1:6" x14ac:dyDescent="0.35">
      <c r="A799">
        <v>407</v>
      </c>
      <c r="B799">
        <v>8890</v>
      </c>
      <c r="C799">
        <v>7</v>
      </c>
      <c r="D799">
        <v>7</v>
      </c>
      <c r="E799">
        <v>5</v>
      </c>
      <c r="F799">
        <v>5</v>
      </c>
    </row>
    <row r="800" spans="1:6" x14ac:dyDescent="0.35">
      <c r="A800">
        <v>1531</v>
      </c>
      <c r="B800">
        <v>125</v>
      </c>
      <c r="C800">
        <v>7</v>
      </c>
      <c r="D800">
        <v>0</v>
      </c>
      <c r="E800">
        <v>5</v>
      </c>
      <c r="F800">
        <v>5</v>
      </c>
    </row>
    <row r="801" spans="1:6" x14ac:dyDescent="0.35">
      <c r="A801">
        <v>1803</v>
      </c>
      <c r="B801">
        <v>4168</v>
      </c>
      <c r="C801">
        <v>7</v>
      </c>
      <c r="D801">
        <v>15</v>
      </c>
      <c r="E801">
        <v>5</v>
      </c>
      <c r="F801">
        <v>8</v>
      </c>
    </row>
    <row r="802" spans="1:6" x14ac:dyDescent="0.35">
      <c r="A802">
        <v>2090</v>
      </c>
      <c r="B802">
        <v>4865</v>
      </c>
      <c r="C802">
        <v>7</v>
      </c>
      <c r="D802">
        <v>3</v>
      </c>
      <c r="E802">
        <v>5</v>
      </c>
      <c r="F802">
        <v>8</v>
      </c>
    </row>
    <row r="803" spans="1:6" x14ac:dyDescent="0.35">
      <c r="A803">
        <v>194</v>
      </c>
      <c r="B803">
        <v>326</v>
      </c>
      <c r="C803">
        <v>6</v>
      </c>
      <c r="D803">
        <v>9</v>
      </c>
      <c r="E803">
        <v>5</v>
      </c>
      <c r="F803">
        <v>6</v>
      </c>
    </row>
    <row r="804" spans="1:6" x14ac:dyDescent="0.35">
      <c r="A804">
        <v>1279</v>
      </c>
      <c r="B804">
        <v>907</v>
      </c>
      <c r="C804">
        <v>6</v>
      </c>
      <c r="D804">
        <v>0</v>
      </c>
      <c r="E804">
        <v>5</v>
      </c>
      <c r="F804">
        <v>7</v>
      </c>
    </row>
    <row r="805" spans="1:6" x14ac:dyDescent="0.35">
      <c r="A805">
        <v>1341</v>
      </c>
      <c r="B805">
        <v>5510</v>
      </c>
      <c r="C805">
        <v>6</v>
      </c>
      <c r="D805">
        <v>10</v>
      </c>
      <c r="E805">
        <v>5</v>
      </c>
      <c r="F805">
        <v>6</v>
      </c>
    </row>
    <row r="806" spans="1:6" x14ac:dyDescent="0.35">
      <c r="A806">
        <v>1826</v>
      </c>
      <c r="B806">
        <v>5441</v>
      </c>
      <c r="C806">
        <v>6</v>
      </c>
      <c r="D806">
        <v>3</v>
      </c>
      <c r="E806">
        <v>5</v>
      </c>
      <c r="F806">
        <v>6</v>
      </c>
    </row>
    <row r="807" spans="1:6" x14ac:dyDescent="0.35">
      <c r="A807">
        <v>237</v>
      </c>
      <c r="B807">
        <v>9449</v>
      </c>
      <c r="C807">
        <v>5</v>
      </c>
      <c r="D807">
        <v>35</v>
      </c>
      <c r="E807">
        <v>5</v>
      </c>
      <c r="F807">
        <v>11</v>
      </c>
    </row>
    <row r="808" spans="1:6" x14ac:dyDescent="0.35">
      <c r="A808">
        <v>573</v>
      </c>
      <c r="B808">
        <v>1029</v>
      </c>
      <c r="C808">
        <v>5</v>
      </c>
      <c r="D808">
        <v>10</v>
      </c>
      <c r="E808">
        <v>5</v>
      </c>
      <c r="F808">
        <v>5</v>
      </c>
    </row>
    <row r="809" spans="1:6" x14ac:dyDescent="0.35">
      <c r="A809">
        <v>713</v>
      </c>
      <c r="B809">
        <v>1044</v>
      </c>
      <c r="C809">
        <v>5</v>
      </c>
      <c r="D809">
        <v>21</v>
      </c>
      <c r="E809">
        <v>5</v>
      </c>
      <c r="F809">
        <v>8</v>
      </c>
    </row>
    <row r="810" spans="1:6" x14ac:dyDescent="0.35">
      <c r="A810">
        <v>957</v>
      </c>
      <c r="B810">
        <v>2134</v>
      </c>
      <c r="C810">
        <v>5</v>
      </c>
      <c r="D810">
        <v>41</v>
      </c>
      <c r="E810">
        <v>5</v>
      </c>
      <c r="F810">
        <v>8</v>
      </c>
    </row>
    <row r="811" spans="1:6" x14ac:dyDescent="0.35">
      <c r="A811">
        <v>1135</v>
      </c>
      <c r="B811">
        <v>7613</v>
      </c>
      <c r="C811">
        <v>5</v>
      </c>
      <c r="D811">
        <v>8</v>
      </c>
      <c r="E811">
        <v>5</v>
      </c>
      <c r="F811">
        <v>6</v>
      </c>
    </row>
    <row r="812" spans="1:6" x14ac:dyDescent="0.35">
      <c r="A812">
        <v>1230</v>
      </c>
      <c r="B812">
        <v>6230</v>
      </c>
      <c r="C812">
        <v>5</v>
      </c>
      <c r="D812">
        <v>1</v>
      </c>
      <c r="E812">
        <v>5</v>
      </c>
      <c r="F812">
        <v>4</v>
      </c>
    </row>
    <row r="813" spans="1:6" x14ac:dyDescent="0.35">
      <c r="A813">
        <v>1303</v>
      </c>
      <c r="B813">
        <v>3099</v>
      </c>
      <c r="C813">
        <v>5</v>
      </c>
      <c r="D813">
        <v>5</v>
      </c>
      <c r="E813">
        <v>5</v>
      </c>
      <c r="F813">
        <v>4</v>
      </c>
    </row>
    <row r="814" spans="1:6" x14ac:dyDescent="0.35">
      <c r="A814">
        <v>1403</v>
      </c>
      <c r="B814">
        <v>4188</v>
      </c>
      <c r="C814">
        <v>5</v>
      </c>
      <c r="D814">
        <v>0</v>
      </c>
      <c r="E814">
        <v>5</v>
      </c>
      <c r="F814">
        <v>4</v>
      </c>
    </row>
    <row r="815" spans="1:6" x14ac:dyDescent="0.35">
      <c r="A815">
        <v>1506</v>
      </c>
      <c r="B815">
        <v>851</v>
      </c>
      <c r="C815">
        <v>5</v>
      </c>
      <c r="D815">
        <v>109</v>
      </c>
      <c r="E815">
        <v>5</v>
      </c>
      <c r="F815">
        <v>10</v>
      </c>
    </row>
    <row r="816" spans="1:6" x14ac:dyDescent="0.35">
      <c r="A816">
        <v>26</v>
      </c>
      <c r="B816">
        <v>2404</v>
      </c>
      <c r="C816">
        <v>4</v>
      </c>
      <c r="D816">
        <v>6</v>
      </c>
      <c r="E816">
        <v>5</v>
      </c>
      <c r="F816">
        <v>4</v>
      </c>
    </row>
    <row r="817" spans="1:6" x14ac:dyDescent="0.35">
      <c r="A817">
        <v>371</v>
      </c>
      <c r="B817">
        <v>10313</v>
      </c>
      <c r="C817">
        <v>4</v>
      </c>
      <c r="D817">
        <v>2</v>
      </c>
      <c r="E817">
        <v>5</v>
      </c>
      <c r="F817">
        <v>4</v>
      </c>
    </row>
    <row r="818" spans="1:6" x14ac:dyDescent="0.35">
      <c r="A818">
        <v>1785</v>
      </c>
      <c r="B818">
        <v>9648</v>
      </c>
      <c r="C818">
        <v>4</v>
      </c>
      <c r="D818">
        <v>9</v>
      </c>
      <c r="E818">
        <v>5</v>
      </c>
      <c r="F818">
        <v>4</v>
      </c>
    </row>
    <row r="819" spans="1:6" x14ac:dyDescent="0.35">
      <c r="A819">
        <v>643</v>
      </c>
      <c r="B819">
        <v>2942</v>
      </c>
      <c r="C819">
        <v>3</v>
      </c>
      <c r="D819">
        <v>3</v>
      </c>
      <c r="E819">
        <v>5</v>
      </c>
      <c r="F819">
        <v>4</v>
      </c>
    </row>
    <row r="820" spans="1:6" x14ac:dyDescent="0.35">
      <c r="A820">
        <v>959</v>
      </c>
      <c r="B820">
        <v>9665</v>
      </c>
      <c r="C820">
        <v>3</v>
      </c>
      <c r="D820">
        <v>0</v>
      </c>
      <c r="E820">
        <v>5</v>
      </c>
      <c r="F820">
        <v>5</v>
      </c>
    </row>
    <row r="821" spans="1:6" x14ac:dyDescent="0.35">
      <c r="A821">
        <v>1210</v>
      </c>
      <c r="B821">
        <v>5644</v>
      </c>
      <c r="C821">
        <v>3</v>
      </c>
      <c r="D821">
        <v>3</v>
      </c>
      <c r="E821">
        <v>5</v>
      </c>
      <c r="F821">
        <v>7</v>
      </c>
    </row>
    <row r="822" spans="1:6" x14ac:dyDescent="0.35">
      <c r="A822">
        <v>264</v>
      </c>
      <c r="B822">
        <v>2387</v>
      </c>
      <c r="C822">
        <v>2</v>
      </c>
      <c r="D822">
        <v>2</v>
      </c>
      <c r="E822">
        <v>5</v>
      </c>
      <c r="F822">
        <v>4</v>
      </c>
    </row>
    <row r="823" spans="1:6" x14ac:dyDescent="0.35">
      <c r="A823">
        <v>522</v>
      </c>
      <c r="B823">
        <v>9214</v>
      </c>
      <c r="C823">
        <v>2</v>
      </c>
      <c r="D823">
        <v>17</v>
      </c>
      <c r="E823">
        <v>5</v>
      </c>
      <c r="F823">
        <v>6</v>
      </c>
    </row>
    <row r="824" spans="1:6" x14ac:dyDescent="0.35">
      <c r="A824">
        <v>850</v>
      </c>
      <c r="B824">
        <v>7848</v>
      </c>
      <c r="C824">
        <v>2</v>
      </c>
      <c r="D824">
        <v>0</v>
      </c>
      <c r="E824">
        <v>5</v>
      </c>
      <c r="F824">
        <v>3</v>
      </c>
    </row>
    <row r="825" spans="1:6" x14ac:dyDescent="0.35">
      <c r="A825">
        <v>1004</v>
      </c>
      <c r="B825">
        <v>6374</v>
      </c>
      <c r="C825">
        <v>2</v>
      </c>
      <c r="D825">
        <v>2</v>
      </c>
      <c r="E825">
        <v>5</v>
      </c>
      <c r="F825">
        <v>4</v>
      </c>
    </row>
    <row r="826" spans="1:6" x14ac:dyDescent="0.35">
      <c r="A826">
        <v>1400</v>
      </c>
      <c r="B826">
        <v>4094</v>
      </c>
      <c r="C826">
        <v>2</v>
      </c>
      <c r="D826">
        <v>5</v>
      </c>
      <c r="E826">
        <v>5</v>
      </c>
      <c r="F826">
        <v>5</v>
      </c>
    </row>
    <row r="827" spans="1:6" x14ac:dyDescent="0.35">
      <c r="A827">
        <v>1436</v>
      </c>
      <c r="B827">
        <v>8588</v>
      </c>
      <c r="C827">
        <v>2</v>
      </c>
      <c r="D827">
        <v>5</v>
      </c>
      <c r="E827">
        <v>5</v>
      </c>
      <c r="F827">
        <v>5</v>
      </c>
    </row>
    <row r="828" spans="1:6" x14ac:dyDescent="0.35">
      <c r="A828">
        <v>1613</v>
      </c>
      <c r="B828">
        <v>1764</v>
      </c>
      <c r="C828">
        <v>2</v>
      </c>
      <c r="D828">
        <v>7</v>
      </c>
      <c r="E828">
        <v>5</v>
      </c>
      <c r="F828">
        <v>5</v>
      </c>
    </row>
    <row r="829" spans="1:6" x14ac:dyDescent="0.35">
      <c r="A829">
        <v>1625</v>
      </c>
      <c r="B829">
        <v>7408</v>
      </c>
      <c r="C829">
        <v>2</v>
      </c>
      <c r="D829">
        <v>0</v>
      </c>
      <c r="E829">
        <v>5</v>
      </c>
      <c r="F829">
        <v>4</v>
      </c>
    </row>
    <row r="830" spans="1:6" x14ac:dyDescent="0.35">
      <c r="A830">
        <v>2108</v>
      </c>
      <c r="B830">
        <v>5991</v>
      </c>
      <c r="C830">
        <v>2</v>
      </c>
      <c r="D830">
        <v>2</v>
      </c>
      <c r="E830">
        <v>5</v>
      </c>
      <c r="F830">
        <v>4</v>
      </c>
    </row>
    <row r="831" spans="1:6" x14ac:dyDescent="0.35">
      <c r="A831">
        <v>199</v>
      </c>
      <c r="B831">
        <v>3182</v>
      </c>
      <c r="C831">
        <v>1</v>
      </c>
      <c r="D831">
        <v>1</v>
      </c>
      <c r="E831">
        <v>5</v>
      </c>
      <c r="F831">
        <v>3</v>
      </c>
    </row>
    <row r="832" spans="1:6" x14ac:dyDescent="0.35">
      <c r="A832">
        <v>1757</v>
      </c>
      <c r="B832">
        <v>3524</v>
      </c>
      <c r="C832">
        <v>1</v>
      </c>
      <c r="D832">
        <v>6</v>
      </c>
      <c r="E832">
        <v>5</v>
      </c>
      <c r="F832">
        <v>2</v>
      </c>
    </row>
    <row r="833" spans="1:6" x14ac:dyDescent="0.35">
      <c r="A833">
        <v>134</v>
      </c>
      <c r="B833">
        <v>5290</v>
      </c>
      <c r="C833">
        <v>0</v>
      </c>
      <c r="D833">
        <v>0</v>
      </c>
      <c r="E833">
        <v>5</v>
      </c>
      <c r="F833">
        <v>5</v>
      </c>
    </row>
    <row r="834" spans="1:6" x14ac:dyDescent="0.35">
      <c r="A834">
        <v>212</v>
      </c>
      <c r="B834">
        <v>6927</v>
      </c>
      <c r="C834">
        <v>0</v>
      </c>
      <c r="D834">
        <v>0</v>
      </c>
      <c r="E834">
        <v>5</v>
      </c>
      <c r="F834">
        <v>5</v>
      </c>
    </row>
    <row r="835" spans="1:6" x14ac:dyDescent="0.35">
      <c r="A835">
        <v>429</v>
      </c>
      <c r="B835">
        <v>3767</v>
      </c>
      <c r="C835">
        <v>0</v>
      </c>
      <c r="D835">
        <v>172</v>
      </c>
      <c r="E835">
        <v>5</v>
      </c>
      <c r="F835">
        <v>12</v>
      </c>
    </row>
    <row r="836" spans="1:6" x14ac:dyDescent="0.35">
      <c r="A836">
        <v>570</v>
      </c>
      <c r="B836">
        <v>6818</v>
      </c>
      <c r="C836">
        <v>0</v>
      </c>
      <c r="D836">
        <v>10</v>
      </c>
      <c r="E836">
        <v>5</v>
      </c>
      <c r="F836">
        <v>5</v>
      </c>
    </row>
    <row r="837" spans="1:6" x14ac:dyDescent="0.35">
      <c r="A837">
        <v>691</v>
      </c>
      <c r="B837">
        <v>143</v>
      </c>
      <c r="C837">
        <v>0</v>
      </c>
      <c r="D837">
        <v>49</v>
      </c>
      <c r="E837">
        <v>5</v>
      </c>
      <c r="F837">
        <v>4</v>
      </c>
    </row>
    <row r="838" spans="1:6" x14ac:dyDescent="0.35">
      <c r="A838">
        <v>813</v>
      </c>
      <c r="B838">
        <v>3732</v>
      </c>
      <c r="C838">
        <v>0</v>
      </c>
      <c r="D838">
        <v>69</v>
      </c>
      <c r="E838">
        <v>5</v>
      </c>
      <c r="F838">
        <v>9</v>
      </c>
    </row>
    <row r="839" spans="1:6" x14ac:dyDescent="0.35">
      <c r="A839">
        <v>870</v>
      </c>
      <c r="B839">
        <v>10140</v>
      </c>
      <c r="C839">
        <v>0</v>
      </c>
      <c r="D839">
        <v>0</v>
      </c>
      <c r="E839">
        <v>5</v>
      </c>
      <c r="F839">
        <v>4</v>
      </c>
    </row>
    <row r="840" spans="1:6" x14ac:dyDescent="0.35">
      <c r="A840">
        <v>1057</v>
      </c>
      <c r="B840">
        <v>8104</v>
      </c>
      <c r="C840">
        <v>0</v>
      </c>
      <c r="D840">
        <v>0</v>
      </c>
      <c r="E840">
        <v>5</v>
      </c>
      <c r="F840">
        <v>5</v>
      </c>
    </row>
    <row r="841" spans="1:6" x14ac:dyDescent="0.35">
      <c r="A841">
        <v>1340</v>
      </c>
      <c r="B841">
        <v>9386</v>
      </c>
      <c r="C841">
        <v>0</v>
      </c>
      <c r="D841">
        <v>6</v>
      </c>
      <c r="E841">
        <v>5</v>
      </c>
      <c r="F841">
        <v>6</v>
      </c>
    </row>
    <row r="842" spans="1:6" x14ac:dyDescent="0.35">
      <c r="A842">
        <v>1378</v>
      </c>
      <c r="B842">
        <v>8773</v>
      </c>
      <c r="C842">
        <v>0</v>
      </c>
      <c r="D842">
        <v>0</v>
      </c>
      <c r="E842">
        <v>5</v>
      </c>
      <c r="F842">
        <v>6</v>
      </c>
    </row>
    <row r="843" spans="1:6" x14ac:dyDescent="0.35">
      <c r="A843">
        <v>1575</v>
      </c>
      <c r="B843">
        <v>4967</v>
      </c>
      <c r="C843">
        <v>0</v>
      </c>
      <c r="D843">
        <v>0</v>
      </c>
      <c r="E843">
        <v>5</v>
      </c>
      <c r="F843">
        <v>5</v>
      </c>
    </row>
    <row r="844" spans="1:6" x14ac:dyDescent="0.35">
      <c r="A844">
        <v>1678</v>
      </c>
      <c r="B844">
        <v>4065</v>
      </c>
      <c r="C844">
        <v>0</v>
      </c>
      <c r="D844">
        <v>0</v>
      </c>
      <c r="E844">
        <v>5</v>
      </c>
      <c r="F844">
        <v>8</v>
      </c>
    </row>
    <row r="845" spans="1:6" x14ac:dyDescent="0.35">
      <c r="A845">
        <v>1751</v>
      </c>
      <c r="B845">
        <v>7807</v>
      </c>
      <c r="C845">
        <v>0</v>
      </c>
      <c r="D845">
        <v>10</v>
      </c>
      <c r="E845">
        <v>5</v>
      </c>
      <c r="F845">
        <v>5</v>
      </c>
    </row>
    <row r="846" spans="1:6" x14ac:dyDescent="0.35">
      <c r="A846">
        <v>1777</v>
      </c>
      <c r="B846">
        <v>164</v>
      </c>
      <c r="C846">
        <v>0</v>
      </c>
      <c r="D846">
        <v>2</v>
      </c>
      <c r="E846">
        <v>5</v>
      </c>
      <c r="F846">
        <v>5</v>
      </c>
    </row>
    <row r="847" spans="1:6" x14ac:dyDescent="0.35">
      <c r="A847">
        <v>2007</v>
      </c>
      <c r="B847">
        <v>405</v>
      </c>
      <c r="C847">
        <v>0</v>
      </c>
      <c r="D847">
        <v>0</v>
      </c>
      <c r="E847">
        <v>5</v>
      </c>
      <c r="F847">
        <v>3</v>
      </c>
    </row>
    <row r="848" spans="1:6" x14ac:dyDescent="0.35">
      <c r="A848">
        <v>2131</v>
      </c>
      <c r="B848">
        <v>3919</v>
      </c>
      <c r="C848">
        <v>0</v>
      </c>
      <c r="D848">
        <v>38</v>
      </c>
      <c r="E848">
        <v>5</v>
      </c>
      <c r="F848">
        <v>8</v>
      </c>
    </row>
    <row r="849" spans="1:6" x14ac:dyDescent="0.35">
      <c r="A849">
        <v>2198</v>
      </c>
      <c r="B849">
        <v>2632</v>
      </c>
      <c r="C849">
        <v>0</v>
      </c>
      <c r="D849">
        <v>0</v>
      </c>
      <c r="E849">
        <v>5</v>
      </c>
      <c r="F849">
        <v>4</v>
      </c>
    </row>
    <row r="850" spans="1:6" x14ac:dyDescent="0.35">
      <c r="A850">
        <v>1526</v>
      </c>
      <c r="B850">
        <v>202</v>
      </c>
      <c r="C850">
        <v>194</v>
      </c>
      <c r="D850">
        <v>125</v>
      </c>
      <c r="E850">
        <v>4</v>
      </c>
      <c r="F850">
        <v>7</v>
      </c>
    </row>
    <row r="851" spans="1:6" x14ac:dyDescent="0.35">
      <c r="A851">
        <v>2217</v>
      </c>
      <c r="B851">
        <v>9589</v>
      </c>
      <c r="C851">
        <v>194</v>
      </c>
      <c r="D851">
        <v>125</v>
      </c>
      <c r="E851">
        <v>4</v>
      </c>
      <c r="F851">
        <v>7</v>
      </c>
    </row>
    <row r="852" spans="1:6" x14ac:dyDescent="0.35">
      <c r="A852">
        <v>447</v>
      </c>
      <c r="B852">
        <v>1137</v>
      </c>
      <c r="C852">
        <v>190</v>
      </c>
      <c r="D852">
        <v>156</v>
      </c>
      <c r="E852">
        <v>4</v>
      </c>
      <c r="F852">
        <v>7</v>
      </c>
    </row>
    <row r="853" spans="1:6" x14ac:dyDescent="0.35">
      <c r="A853">
        <v>1280</v>
      </c>
      <c r="B853">
        <v>3698</v>
      </c>
      <c r="C853">
        <v>185</v>
      </c>
      <c r="D853">
        <v>55</v>
      </c>
      <c r="E853">
        <v>4</v>
      </c>
      <c r="F853">
        <v>8</v>
      </c>
    </row>
    <row r="854" spans="1:6" x14ac:dyDescent="0.35">
      <c r="A854">
        <v>1075</v>
      </c>
      <c r="B854">
        <v>6421</v>
      </c>
      <c r="C854">
        <v>178</v>
      </c>
      <c r="D854">
        <v>138</v>
      </c>
      <c r="E854">
        <v>4</v>
      </c>
      <c r="F854">
        <v>9</v>
      </c>
    </row>
    <row r="855" spans="1:6" x14ac:dyDescent="0.35">
      <c r="A855">
        <v>1853</v>
      </c>
      <c r="B855">
        <v>9595</v>
      </c>
      <c r="C855">
        <v>169</v>
      </c>
      <c r="D855">
        <v>0</v>
      </c>
      <c r="E855">
        <v>4</v>
      </c>
      <c r="F855">
        <v>4</v>
      </c>
    </row>
    <row r="856" spans="1:6" x14ac:dyDescent="0.35">
      <c r="A856">
        <v>360</v>
      </c>
      <c r="B856">
        <v>7274</v>
      </c>
      <c r="C856">
        <v>163</v>
      </c>
      <c r="D856">
        <v>163</v>
      </c>
      <c r="E856">
        <v>4</v>
      </c>
      <c r="F856">
        <v>10</v>
      </c>
    </row>
    <row r="857" spans="1:6" x14ac:dyDescent="0.35">
      <c r="A857">
        <v>1313</v>
      </c>
      <c r="B857">
        <v>7143</v>
      </c>
      <c r="C857">
        <v>162</v>
      </c>
      <c r="D857">
        <v>162</v>
      </c>
      <c r="E857">
        <v>4</v>
      </c>
      <c r="F857">
        <v>10</v>
      </c>
    </row>
    <row r="858" spans="1:6" x14ac:dyDescent="0.35">
      <c r="A858">
        <v>1100</v>
      </c>
      <c r="B858">
        <v>5538</v>
      </c>
      <c r="C858">
        <v>161</v>
      </c>
      <c r="D858">
        <v>161</v>
      </c>
      <c r="E858">
        <v>4</v>
      </c>
      <c r="F858">
        <v>6</v>
      </c>
    </row>
    <row r="859" spans="1:6" x14ac:dyDescent="0.35">
      <c r="A859">
        <v>1265</v>
      </c>
      <c r="B859">
        <v>3910</v>
      </c>
      <c r="C859">
        <v>161</v>
      </c>
      <c r="D859">
        <v>161</v>
      </c>
      <c r="E859">
        <v>4</v>
      </c>
      <c r="F859">
        <v>6</v>
      </c>
    </row>
    <row r="860" spans="1:6" x14ac:dyDescent="0.35">
      <c r="A860">
        <v>1495</v>
      </c>
      <c r="B860">
        <v>10770</v>
      </c>
      <c r="C860">
        <v>161</v>
      </c>
      <c r="D860">
        <v>85</v>
      </c>
      <c r="E860">
        <v>4</v>
      </c>
      <c r="F860">
        <v>13</v>
      </c>
    </row>
    <row r="861" spans="1:6" x14ac:dyDescent="0.35">
      <c r="A861">
        <v>672</v>
      </c>
      <c r="B861">
        <v>9204</v>
      </c>
      <c r="C861">
        <v>159</v>
      </c>
      <c r="D861">
        <v>106</v>
      </c>
      <c r="E861">
        <v>4</v>
      </c>
      <c r="F861">
        <v>6</v>
      </c>
    </row>
    <row r="862" spans="1:6" x14ac:dyDescent="0.35">
      <c r="A862">
        <v>528</v>
      </c>
      <c r="B862">
        <v>4702</v>
      </c>
      <c r="C862">
        <v>155</v>
      </c>
      <c r="D862">
        <v>17</v>
      </c>
      <c r="E862">
        <v>4</v>
      </c>
      <c r="F862">
        <v>4</v>
      </c>
    </row>
    <row r="863" spans="1:6" x14ac:dyDescent="0.35">
      <c r="A863">
        <v>1891</v>
      </c>
      <c r="B863">
        <v>3010</v>
      </c>
      <c r="C863">
        <v>153</v>
      </c>
      <c r="D863">
        <v>95</v>
      </c>
      <c r="E863">
        <v>4</v>
      </c>
      <c r="F863">
        <v>8</v>
      </c>
    </row>
    <row r="864" spans="1:6" x14ac:dyDescent="0.35">
      <c r="A864">
        <v>1976</v>
      </c>
      <c r="B864">
        <v>5117</v>
      </c>
      <c r="C864">
        <v>151</v>
      </c>
      <c r="D864">
        <v>19</v>
      </c>
      <c r="E864">
        <v>4</v>
      </c>
      <c r="F864">
        <v>8</v>
      </c>
    </row>
    <row r="865" spans="1:6" x14ac:dyDescent="0.35">
      <c r="A865">
        <v>339</v>
      </c>
      <c r="B865">
        <v>1150</v>
      </c>
      <c r="C865">
        <v>144</v>
      </c>
      <c r="D865">
        <v>64</v>
      </c>
      <c r="E865">
        <v>4</v>
      </c>
      <c r="F865">
        <v>4</v>
      </c>
    </row>
    <row r="866" spans="1:6" x14ac:dyDescent="0.35">
      <c r="A866">
        <v>2168</v>
      </c>
      <c r="B866">
        <v>10394</v>
      </c>
      <c r="C866">
        <v>144</v>
      </c>
      <c r="D866">
        <v>192</v>
      </c>
      <c r="E866">
        <v>4</v>
      </c>
      <c r="F866">
        <v>5</v>
      </c>
    </row>
    <row r="867" spans="1:6" x14ac:dyDescent="0.35">
      <c r="A867">
        <v>201</v>
      </c>
      <c r="B867">
        <v>10424</v>
      </c>
      <c r="C867">
        <v>138</v>
      </c>
      <c r="D867">
        <v>23</v>
      </c>
      <c r="E867">
        <v>4</v>
      </c>
      <c r="F867">
        <v>9</v>
      </c>
    </row>
    <row r="868" spans="1:6" x14ac:dyDescent="0.35">
      <c r="A868">
        <v>974</v>
      </c>
      <c r="B868">
        <v>9209</v>
      </c>
      <c r="C868">
        <v>138</v>
      </c>
      <c r="D868">
        <v>92</v>
      </c>
      <c r="E868">
        <v>4</v>
      </c>
      <c r="F868">
        <v>13</v>
      </c>
    </row>
    <row r="869" spans="1:6" x14ac:dyDescent="0.35">
      <c r="A869">
        <v>1912</v>
      </c>
      <c r="B869">
        <v>6417</v>
      </c>
      <c r="C869">
        <v>138</v>
      </c>
      <c r="D869">
        <v>92</v>
      </c>
      <c r="E869">
        <v>4</v>
      </c>
      <c r="F869">
        <v>13</v>
      </c>
    </row>
    <row r="870" spans="1:6" x14ac:dyDescent="0.35">
      <c r="A870">
        <v>248</v>
      </c>
      <c r="B870">
        <v>8867</v>
      </c>
      <c r="C870">
        <v>134</v>
      </c>
      <c r="D870">
        <v>38</v>
      </c>
      <c r="E870">
        <v>4</v>
      </c>
      <c r="F870">
        <v>5</v>
      </c>
    </row>
    <row r="871" spans="1:6" x14ac:dyDescent="0.35">
      <c r="A871">
        <v>1890</v>
      </c>
      <c r="B871">
        <v>2747</v>
      </c>
      <c r="C871">
        <v>134</v>
      </c>
      <c r="D871">
        <v>38</v>
      </c>
      <c r="E871">
        <v>4</v>
      </c>
      <c r="F871">
        <v>5</v>
      </c>
    </row>
    <row r="872" spans="1:6" x14ac:dyDescent="0.35">
      <c r="A872">
        <v>1745</v>
      </c>
      <c r="B872">
        <v>9292</v>
      </c>
      <c r="C872">
        <v>132</v>
      </c>
      <c r="D872">
        <v>118</v>
      </c>
      <c r="E872">
        <v>4</v>
      </c>
      <c r="F872">
        <v>7</v>
      </c>
    </row>
    <row r="873" spans="1:6" x14ac:dyDescent="0.35">
      <c r="A873">
        <v>1089</v>
      </c>
      <c r="B873">
        <v>7348</v>
      </c>
      <c r="C873">
        <v>130</v>
      </c>
      <c r="D873">
        <v>32</v>
      </c>
      <c r="E873">
        <v>4</v>
      </c>
      <c r="F873">
        <v>5</v>
      </c>
    </row>
    <row r="874" spans="1:6" x14ac:dyDescent="0.35">
      <c r="A874">
        <v>1486</v>
      </c>
      <c r="B874">
        <v>2939</v>
      </c>
      <c r="C874">
        <v>127</v>
      </c>
      <c r="D874">
        <v>15</v>
      </c>
      <c r="E874">
        <v>4</v>
      </c>
      <c r="F874">
        <v>4</v>
      </c>
    </row>
    <row r="875" spans="1:6" x14ac:dyDescent="0.35">
      <c r="A875">
        <v>53</v>
      </c>
      <c r="B875">
        <v>2225</v>
      </c>
      <c r="C875">
        <v>120</v>
      </c>
      <c r="D875">
        <v>40</v>
      </c>
      <c r="E875">
        <v>4</v>
      </c>
      <c r="F875">
        <v>7</v>
      </c>
    </row>
    <row r="876" spans="1:6" x14ac:dyDescent="0.35">
      <c r="A876">
        <v>1066</v>
      </c>
      <c r="B876">
        <v>3005</v>
      </c>
      <c r="C876">
        <v>117</v>
      </c>
      <c r="D876">
        <v>44</v>
      </c>
      <c r="E876">
        <v>4</v>
      </c>
      <c r="F876">
        <v>8</v>
      </c>
    </row>
    <row r="877" spans="1:6" x14ac:dyDescent="0.35">
      <c r="A877">
        <v>927</v>
      </c>
      <c r="B877">
        <v>3139</v>
      </c>
      <c r="C877">
        <v>111</v>
      </c>
      <c r="D877">
        <v>55</v>
      </c>
      <c r="E877">
        <v>4</v>
      </c>
      <c r="F877">
        <v>10</v>
      </c>
    </row>
    <row r="878" spans="1:6" x14ac:dyDescent="0.35">
      <c r="A878">
        <v>1080</v>
      </c>
      <c r="B878">
        <v>3535</v>
      </c>
      <c r="C878">
        <v>108</v>
      </c>
      <c r="D878">
        <v>92</v>
      </c>
      <c r="E878">
        <v>4</v>
      </c>
      <c r="F878">
        <v>5</v>
      </c>
    </row>
    <row r="879" spans="1:6" x14ac:dyDescent="0.35">
      <c r="A879">
        <v>1601</v>
      </c>
      <c r="B879">
        <v>5453</v>
      </c>
      <c r="C879">
        <v>108</v>
      </c>
      <c r="D879">
        <v>151</v>
      </c>
      <c r="E879">
        <v>4</v>
      </c>
      <c r="F879">
        <v>12</v>
      </c>
    </row>
    <row r="880" spans="1:6" x14ac:dyDescent="0.35">
      <c r="A880">
        <v>644</v>
      </c>
      <c r="B880">
        <v>1173</v>
      </c>
      <c r="C880">
        <v>105</v>
      </c>
      <c r="D880">
        <v>42</v>
      </c>
      <c r="E880">
        <v>4</v>
      </c>
      <c r="F880">
        <v>6</v>
      </c>
    </row>
    <row r="881" spans="1:6" x14ac:dyDescent="0.35">
      <c r="A881">
        <v>347</v>
      </c>
      <c r="B881">
        <v>1826</v>
      </c>
      <c r="C881">
        <v>104</v>
      </c>
      <c r="D881">
        <v>189</v>
      </c>
      <c r="E881">
        <v>4</v>
      </c>
      <c r="F881">
        <v>6</v>
      </c>
    </row>
    <row r="882" spans="1:6" x14ac:dyDescent="0.35">
      <c r="A882">
        <v>637</v>
      </c>
      <c r="B882">
        <v>944</v>
      </c>
      <c r="C882">
        <v>103</v>
      </c>
      <c r="D882">
        <v>44</v>
      </c>
      <c r="E882">
        <v>4</v>
      </c>
      <c r="F882">
        <v>7</v>
      </c>
    </row>
    <row r="883" spans="1:6" x14ac:dyDescent="0.35">
      <c r="A883">
        <v>2093</v>
      </c>
      <c r="B883">
        <v>7734</v>
      </c>
      <c r="C883">
        <v>102</v>
      </c>
      <c r="D883">
        <v>61</v>
      </c>
      <c r="E883">
        <v>4</v>
      </c>
      <c r="F883">
        <v>7</v>
      </c>
    </row>
    <row r="884" spans="1:6" x14ac:dyDescent="0.35">
      <c r="A884">
        <v>902</v>
      </c>
      <c r="B884">
        <v>6445</v>
      </c>
      <c r="C884">
        <v>101</v>
      </c>
      <c r="D884">
        <v>40</v>
      </c>
      <c r="E884">
        <v>4</v>
      </c>
      <c r="F884">
        <v>6</v>
      </c>
    </row>
    <row r="885" spans="1:6" x14ac:dyDescent="0.35">
      <c r="A885">
        <v>116</v>
      </c>
      <c r="B885">
        <v>1592</v>
      </c>
      <c r="C885">
        <v>99</v>
      </c>
      <c r="D885">
        <v>82</v>
      </c>
      <c r="E885">
        <v>4</v>
      </c>
      <c r="F885">
        <v>5</v>
      </c>
    </row>
    <row r="886" spans="1:6" x14ac:dyDescent="0.35">
      <c r="A886">
        <v>1521</v>
      </c>
      <c r="B886">
        <v>8643</v>
      </c>
      <c r="C886">
        <v>98</v>
      </c>
      <c r="D886">
        <v>70</v>
      </c>
      <c r="E886">
        <v>4</v>
      </c>
      <c r="F886">
        <v>12</v>
      </c>
    </row>
    <row r="887" spans="1:6" x14ac:dyDescent="0.35">
      <c r="A887">
        <v>2037</v>
      </c>
      <c r="B887">
        <v>5872</v>
      </c>
      <c r="C887">
        <v>90</v>
      </c>
      <c r="D887">
        <v>6</v>
      </c>
      <c r="E887">
        <v>4</v>
      </c>
      <c r="F887">
        <v>10</v>
      </c>
    </row>
    <row r="888" spans="1:6" x14ac:dyDescent="0.35">
      <c r="A888">
        <v>2041</v>
      </c>
      <c r="B888">
        <v>4974</v>
      </c>
      <c r="C888">
        <v>89</v>
      </c>
      <c r="D888">
        <v>102</v>
      </c>
      <c r="E888">
        <v>4</v>
      </c>
      <c r="F888">
        <v>9</v>
      </c>
    </row>
    <row r="889" spans="1:6" x14ac:dyDescent="0.35">
      <c r="A889">
        <v>689</v>
      </c>
      <c r="B889">
        <v>7279</v>
      </c>
      <c r="C889">
        <v>86</v>
      </c>
      <c r="D889">
        <v>9</v>
      </c>
      <c r="E889">
        <v>4</v>
      </c>
      <c r="F889">
        <v>4</v>
      </c>
    </row>
    <row r="890" spans="1:6" x14ac:dyDescent="0.35">
      <c r="A890">
        <v>1749</v>
      </c>
      <c r="B890">
        <v>737</v>
      </c>
      <c r="C890">
        <v>86</v>
      </c>
      <c r="D890">
        <v>43</v>
      </c>
      <c r="E890">
        <v>4</v>
      </c>
      <c r="F890">
        <v>5</v>
      </c>
    </row>
    <row r="891" spans="1:6" x14ac:dyDescent="0.35">
      <c r="A891">
        <v>960</v>
      </c>
      <c r="B891">
        <v>4640</v>
      </c>
      <c r="C891">
        <v>85</v>
      </c>
      <c r="D891">
        <v>123</v>
      </c>
      <c r="E891">
        <v>4</v>
      </c>
      <c r="F891">
        <v>13</v>
      </c>
    </row>
    <row r="892" spans="1:6" x14ac:dyDescent="0.35">
      <c r="A892">
        <v>1823</v>
      </c>
      <c r="B892">
        <v>9166</v>
      </c>
      <c r="C892">
        <v>84</v>
      </c>
      <c r="D892">
        <v>35</v>
      </c>
      <c r="E892">
        <v>4</v>
      </c>
      <c r="F892">
        <v>12</v>
      </c>
    </row>
    <row r="893" spans="1:6" x14ac:dyDescent="0.35">
      <c r="A893">
        <v>1216</v>
      </c>
      <c r="B893">
        <v>232</v>
      </c>
      <c r="C893">
        <v>83</v>
      </c>
      <c r="D893">
        <v>14</v>
      </c>
      <c r="E893">
        <v>4</v>
      </c>
      <c r="F893">
        <v>10</v>
      </c>
    </row>
    <row r="894" spans="1:6" x14ac:dyDescent="0.35">
      <c r="A894">
        <v>1943</v>
      </c>
      <c r="B894">
        <v>10413</v>
      </c>
      <c r="C894">
        <v>83</v>
      </c>
      <c r="D894">
        <v>141</v>
      </c>
      <c r="E894">
        <v>4</v>
      </c>
      <c r="F894">
        <v>12</v>
      </c>
    </row>
    <row r="895" spans="1:6" x14ac:dyDescent="0.35">
      <c r="A895">
        <v>1032</v>
      </c>
      <c r="B895">
        <v>9888</v>
      </c>
      <c r="C895">
        <v>81</v>
      </c>
      <c r="D895">
        <v>50</v>
      </c>
      <c r="E895">
        <v>4</v>
      </c>
      <c r="F895">
        <v>7</v>
      </c>
    </row>
    <row r="896" spans="1:6" x14ac:dyDescent="0.35">
      <c r="A896">
        <v>1257</v>
      </c>
      <c r="B896">
        <v>810</v>
      </c>
      <c r="C896">
        <v>81</v>
      </c>
      <c r="D896">
        <v>91</v>
      </c>
      <c r="E896">
        <v>4</v>
      </c>
      <c r="F896">
        <v>11</v>
      </c>
    </row>
    <row r="897" spans="1:6" x14ac:dyDescent="0.35">
      <c r="A897">
        <v>1455</v>
      </c>
      <c r="B897">
        <v>4399</v>
      </c>
      <c r="C897">
        <v>81</v>
      </c>
      <c r="D897">
        <v>50</v>
      </c>
      <c r="E897">
        <v>4</v>
      </c>
      <c r="F897">
        <v>7</v>
      </c>
    </row>
    <row r="898" spans="1:6" x14ac:dyDescent="0.35">
      <c r="A898">
        <v>1298</v>
      </c>
      <c r="B898">
        <v>1577</v>
      </c>
      <c r="C898">
        <v>79</v>
      </c>
      <c r="D898">
        <v>175</v>
      </c>
      <c r="E898">
        <v>4</v>
      </c>
      <c r="F898">
        <v>4</v>
      </c>
    </row>
    <row r="899" spans="1:6" x14ac:dyDescent="0.35">
      <c r="A899">
        <v>1137</v>
      </c>
      <c r="B899">
        <v>8015</v>
      </c>
      <c r="C899">
        <v>76</v>
      </c>
      <c r="D899">
        <v>0</v>
      </c>
      <c r="E899">
        <v>4</v>
      </c>
      <c r="F899">
        <v>9</v>
      </c>
    </row>
    <row r="900" spans="1:6" x14ac:dyDescent="0.35">
      <c r="A900">
        <v>1349</v>
      </c>
      <c r="B900">
        <v>1745</v>
      </c>
      <c r="C900">
        <v>76</v>
      </c>
      <c r="D900">
        <v>0</v>
      </c>
      <c r="E900">
        <v>4</v>
      </c>
      <c r="F900">
        <v>9</v>
      </c>
    </row>
    <row r="901" spans="1:6" x14ac:dyDescent="0.35">
      <c r="A901">
        <v>1168</v>
      </c>
      <c r="B901">
        <v>10486</v>
      </c>
      <c r="C901">
        <v>75</v>
      </c>
      <c r="D901">
        <v>151</v>
      </c>
      <c r="E901">
        <v>4</v>
      </c>
      <c r="F901">
        <v>8</v>
      </c>
    </row>
    <row r="902" spans="1:6" x14ac:dyDescent="0.35">
      <c r="A902">
        <v>1350</v>
      </c>
      <c r="B902">
        <v>10590</v>
      </c>
      <c r="C902">
        <v>73</v>
      </c>
      <c r="D902">
        <v>29</v>
      </c>
      <c r="E902">
        <v>4</v>
      </c>
      <c r="F902">
        <v>10</v>
      </c>
    </row>
    <row r="903" spans="1:6" x14ac:dyDescent="0.35">
      <c r="A903">
        <v>1952</v>
      </c>
      <c r="B903">
        <v>3434</v>
      </c>
      <c r="C903">
        <v>72</v>
      </c>
      <c r="D903">
        <v>12</v>
      </c>
      <c r="E903">
        <v>4</v>
      </c>
      <c r="F903">
        <v>10</v>
      </c>
    </row>
    <row r="904" spans="1:6" x14ac:dyDescent="0.35">
      <c r="A904">
        <v>453</v>
      </c>
      <c r="B904">
        <v>6131</v>
      </c>
      <c r="C904">
        <v>70</v>
      </c>
      <c r="D904">
        <v>19</v>
      </c>
      <c r="E904">
        <v>4</v>
      </c>
      <c r="F904">
        <v>8</v>
      </c>
    </row>
    <row r="905" spans="1:6" x14ac:dyDescent="0.35">
      <c r="A905">
        <v>1333</v>
      </c>
      <c r="B905">
        <v>5147</v>
      </c>
      <c r="C905">
        <v>70</v>
      </c>
      <c r="D905">
        <v>187</v>
      </c>
      <c r="E905">
        <v>4</v>
      </c>
      <c r="F905">
        <v>13</v>
      </c>
    </row>
    <row r="906" spans="1:6" x14ac:dyDescent="0.35">
      <c r="A906">
        <v>2176</v>
      </c>
      <c r="B906">
        <v>1544</v>
      </c>
      <c r="C906">
        <v>68</v>
      </c>
      <c r="D906">
        <v>68</v>
      </c>
      <c r="E906">
        <v>4</v>
      </c>
      <c r="F906">
        <v>10</v>
      </c>
    </row>
    <row r="907" spans="1:6" x14ac:dyDescent="0.35">
      <c r="A907">
        <v>1015</v>
      </c>
      <c r="B907">
        <v>10634</v>
      </c>
      <c r="C907">
        <v>67</v>
      </c>
      <c r="D907">
        <v>43</v>
      </c>
      <c r="E907">
        <v>4</v>
      </c>
      <c r="F907">
        <v>8</v>
      </c>
    </row>
    <row r="908" spans="1:6" x14ac:dyDescent="0.35">
      <c r="A908">
        <v>1591</v>
      </c>
      <c r="B908">
        <v>5185</v>
      </c>
      <c r="C908">
        <v>66</v>
      </c>
      <c r="D908">
        <v>174</v>
      </c>
      <c r="E908">
        <v>4</v>
      </c>
      <c r="F908">
        <v>5</v>
      </c>
    </row>
    <row r="909" spans="1:6" x14ac:dyDescent="0.35">
      <c r="A909">
        <v>1843</v>
      </c>
      <c r="B909">
        <v>3170</v>
      </c>
      <c r="C909">
        <v>66</v>
      </c>
      <c r="D909">
        <v>57</v>
      </c>
      <c r="E909">
        <v>4</v>
      </c>
      <c r="F909">
        <v>6</v>
      </c>
    </row>
    <row r="910" spans="1:6" x14ac:dyDescent="0.35">
      <c r="A910">
        <v>317</v>
      </c>
      <c r="B910">
        <v>9478</v>
      </c>
      <c r="C910">
        <v>64</v>
      </c>
      <c r="D910">
        <v>3</v>
      </c>
      <c r="E910">
        <v>4</v>
      </c>
      <c r="F910">
        <v>6</v>
      </c>
    </row>
    <row r="911" spans="1:6" x14ac:dyDescent="0.35">
      <c r="A911">
        <v>1259</v>
      </c>
      <c r="B911">
        <v>2147</v>
      </c>
      <c r="C911">
        <v>63</v>
      </c>
      <c r="D911">
        <v>189</v>
      </c>
      <c r="E911">
        <v>4</v>
      </c>
      <c r="F911">
        <v>11</v>
      </c>
    </row>
    <row r="912" spans="1:6" x14ac:dyDescent="0.35">
      <c r="A912">
        <v>530</v>
      </c>
      <c r="B912">
        <v>702</v>
      </c>
      <c r="C912">
        <v>61</v>
      </c>
      <c r="D912">
        <v>57</v>
      </c>
      <c r="E912">
        <v>4</v>
      </c>
      <c r="F912">
        <v>8</v>
      </c>
    </row>
    <row r="913" spans="1:6" x14ac:dyDescent="0.35">
      <c r="A913">
        <v>1710</v>
      </c>
      <c r="B913">
        <v>477</v>
      </c>
      <c r="C913">
        <v>61</v>
      </c>
      <c r="D913">
        <v>20</v>
      </c>
      <c r="E913">
        <v>4</v>
      </c>
      <c r="F913">
        <v>10</v>
      </c>
    </row>
    <row r="914" spans="1:6" x14ac:dyDescent="0.35">
      <c r="A914">
        <v>1461</v>
      </c>
      <c r="B914">
        <v>9483</v>
      </c>
      <c r="C914">
        <v>59</v>
      </c>
      <c r="D914">
        <v>5</v>
      </c>
      <c r="E914">
        <v>4</v>
      </c>
      <c r="F914">
        <v>8</v>
      </c>
    </row>
    <row r="915" spans="1:6" x14ac:dyDescent="0.35">
      <c r="A915">
        <v>1415</v>
      </c>
      <c r="B915">
        <v>6376</v>
      </c>
      <c r="C915">
        <v>56</v>
      </c>
      <c r="D915">
        <v>8</v>
      </c>
      <c r="E915">
        <v>4</v>
      </c>
      <c r="F915">
        <v>8</v>
      </c>
    </row>
    <row r="916" spans="1:6" x14ac:dyDescent="0.35">
      <c r="A916">
        <v>898</v>
      </c>
      <c r="B916">
        <v>7037</v>
      </c>
      <c r="C916">
        <v>55</v>
      </c>
      <c r="D916">
        <v>0</v>
      </c>
      <c r="E916">
        <v>4</v>
      </c>
      <c r="F916">
        <v>8</v>
      </c>
    </row>
    <row r="917" spans="1:6" x14ac:dyDescent="0.35">
      <c r="A917">
        <v>2098</v>
      </c>
      <c r="B917">
        <v>1103</v>
      </c>
      <c r="C917">
        <v>55</v>
      </c>
      <c r="D917">
        <v>0</v>
      </c>
      <c r="E917">
        <v>4</v>
      </c>
      <c r="F917">
        <v>10</v>
      </c>
    </row>
    <row r="918" spans="1:6" x14ac:dyDescent="0.35">
      <c r="A918">
        <v>531</v>
      </c>
      <c r="B918">
        <v>2004</v>
      </c>
      <c r="C918">
        <v>54</v>
      </c>
      <c r="D918">
        <v>54</v>
      </c>
      <c r="E918">
        <v>4</v>
      </c>
      <c r="F918">
        <v>5</v>
      </c>
    </row>
    <row r="919" spans="1:6" x14ac:dyDescent="0.35">
      <c r="A919">
        <v>1101</v>
      </c>
      <c r="B919">
        <v>10552</v>
      </c>
      <c r="C919">
        <v>54</v>
      </c>
      <c r="D919">
        <v>9</v>
      </c>
      <c r="E919">
        <v>4</v>
      </c>
      <c r="F919">
        <v>7</v>
      </c>
    </row>
    <row r="920" spans="1:6" x14ac:dyDescent="0.35">
      <c r="A920">
        <v>1448</v>
      </c>
      <c r="B920">
        <v>1232</v>
      </c>
      <c r="C920">
        <v>54</v>
      </c>
      <c r="D920">
        <v>54</v>
      </c>
      <c r="E920">
        <v>4</v>
      </c>
      <c r="F920">
        <v>8</v>
      </c>
    </row>
    <row r="921" spans="1:6" x14ac:dyDescent="0.35">
      <c r="A921">
        <v>2062</v>
      </c>
      <c r="B921">
        <v>2345</v>
      </c>
      <c r="C921">
        <v>54</v>
      </c>
      <c r="D921">
        <v>54</v>
      </c>
      <c r="E921">
        <v>4</v>
      </c>
      <c r="F921">
        <v>8</v>
      </c>
    </row>
    <row r="922" spans="1:6" x14ac:dyDescent="0.35">
      <c r="A922">
        <v>411</v>
      </c>
      <c r="B922">
        <v>10882</v>
      </c>
      <c r="C922">
        <v>53</v>
      </c>
      <c r="D922">
        <v>150</v>
      </c>
      <c r="E922">
        <v>4</v>
      </c>
      <c r="F922">
        <v>6</v>
      </c>
    </row>
    <row r="923" spans="1:6" x14ac:dyDescent="0.35">
      <c r="A923">
        <v>1105</v>
      </c>
      <c r="B923">
        <v>146</v>
      </c>
      <c r="C923">
        <v>53</v>
      </c>
      <c r="D923">
        <v>93</v>
      </c>
      <c r="E923">
        <v>4</v>
      </c>
      <c r="F923">
        <v>11</v>
      </c>
    </row>
    <row r="924" spans="1:6" x14ac:dyDescent="0.35">
      <c r="A924">
        <v>1852</v>
      </c>
      <c r="B924">
        <v>1168</v>
      </c>
      <c r="C924">
        <v>53</v>
      </c>
      <c r="D924">
        <v>40</v>
      </c>
      <c r="E924">
        <v>4</v>
      </c>
      <c r="F924">
        <v>10</v>
      </c>
    </row>
    <row r="925" spans="1:6" x14ac:dyDescent="0.35">
      <c r="A925">
        <v>1515</v>
      </c>
      <c r="B925">
        <v>2853</v>
      </c>
      <c r="C925">
        <v>51</v>
      </c>
      <c r="D925">
        <v>20</v>
      </c>
      <c r="E925">
        <v>4</v>
      </c>
      <c r="F925">
        <v>4</v>
      </c>
    </row>
    <row r="926" spans="1:6" x14ac:dyDescent="0.35">
      <c r="A926">
        <v>1808</v>
      </c>
      <c r="B926">
        <v>1619</v>
      </c>
      <c r="C926">
        <v>51</v>
      </c>
      <c r="D926">
        <v>23</v>
      </c>
      <c r="E926">
        <v>4</v>
      </c>
      <c r="F926">
        <v>6</v>
      </c>
    </row>
    <row r="927" spans="1:6" x14ac:dyDescent="0.35">
      <c r="A927">
        <v>2213</v>
      </c>
      <c r="B927">
        <v>3661</v>
      </c>
      <c r="C927">
        <v>51</v>
      </c>
      <c r="D927">
        <v>55</v>
      </c>
      <c r="E927">
        <v>4</v>
      </c>
      <c r="F927">
        <v>8</v>
      </c>
    </row>
    <row r="928" spans="1:6" x14ac:dyDescent="0.35">
      <c r="A928">
        <v>387</v>
      </c>
      <c r="B928">
        <v>6202</v>
      </c>
      <c r="C928">
        <v>50</v>
      </c>
      <c r="D928">
        <v>50</v>
      </c>
      <c r="E928">
        <v>4</v>
      </c>
      <c r="F928">
        <v>13</v>
      </c>
    </row>
    <row r="929" spans="1:6" x14ac:dyDescent="0.35">
      <c r="A929">
        <v>640</v>
      </c>
      <c r="B929">
        <v>3856</v>
      </c>
      <c r="C929">
        <v>50</v>
      </c>
      <c r="D929">
        <v>50</v>
      </c>
      <c r="E929">
        <v>4</v>
      </c>
      <c r="F929">
        <v>13</v>
      </c>
    </row>
    <row r="930" spans="1:6" x14ac:dyDescent="0.35">
      <c r="A930">
        <v>1095</v>
      </c>
      <c r="B930">
        <v>9964</v>
      </c>
      <c r="C930">
        <v>50</v>
      </c>
      <c r="D930">
        <v>30</v>
      </c>
      <c r="E930">
        <v>4</v>
      </c>
      <c r="F930">
        <v>8</v>
      </c>
    </row>
    <row r="931" spans="1:6" x14ac:dyDescent="0.35">
      <c r="A931">
        <v>1686</v>
      </c>
      <c r="B931">
        <v>1891</v>
      </c>
      <c r="C931">
        <v>50</v>
      </c>
      <c r="D931">
        <v>83</v>
      </c>
      <c r="E931">
        <v>4</v>
      </c>
      <c r="F931">
        <v>5</v>
      </c>
    </row>
    <row r="932" spans="1:6" x14ac:dyDescent="0.35">
      <c r="A932">
        <v>1862</v>
      </c>
      <c r="B932">
        <v>1630</v>
      </c>
      <c r="C932">
        <v>50</v>
      </c>
      <c r="D932">
        <v>30</v>
      </c>
      <c r="E932">
        <v>4</v>
      </c>
      <c r="F932">
        <v>8</v>
      </c>
    </row>
    <row r="933" spans="1:6" x14ac:dyDescent="0.35">
      <c r="A933">
        <v>1528</v>
      </c>
      <c r="B933">
        <v>830</v>
      </c>
      <c r="C933">
        <v>48</v>
      </c>
      <c r="D933">
        <v>176</v>
      </c>
      <c r="E933">
        <v>4</v>
      </c>
      <c r="F933">
        <v>4</v>
      </c>
    </row>
    <row r="934" spans="1:6" x14ac:dyDescent="0.35">
      <c r="A934">
        <v>587</v>
      </c>
      <c r="B934">
        <v>5057</v>
      </c>
      <c r="C934">
        <v>47</v>
      </c>
      <c r="D934">
        <v>47</v>
      </c>
      <c r="E934">
        <v>4</v>
      </c>
      <c r="F934">
        <v>10</v>
      </c>
    </row>
    <row r="935" spans="1:6" x14ac:dyDescent="0.35">
      <c r="A935">
        <v>335</v>
      </c>
      <c r="B935">
        <v>10151</v>
      </c>
      <c r="C935">
        <v>46</v>
      </c>
      <c r="D935">
        <v>46</v>
      </c>
      <c r="E935">
        <v>4</v>
      </c>
      <c r="F935">
        <v>12</v>
      </c>
    </row>
    <row r="936" spans="1:6" x14ac:dyDescent="0.35">
      <c r="A936">
        <v>946</v>
      </c>
      <c r="B936">
        <v>1328</v>
      </c>
      <c r="C936">
        <v>42</v>
      </c>
      <c r="D936">
        <v>48</v>
      </c>
      <c r="E936">
        <v>4</v>
      </c>
      <c r="F936">
        <v>9</v>
      </c>
    </row>
    <row r="937" spans="1:6" x14ac:dyDescent="0.35">
      <c r="A937">
        <v>1513</v>
      </c>
      <c r="B937">
        <v>9264</v>
      </c>
      <c r="C937">
        <v>42</v>
      </c>
      <c r="D937">
        <v>197</v>
      </c>
      <c r="E937">
        <v>4</v>
      </c>
      <c r="F937">
        <v>9</v>
      </c>
    </row>
    <row r="938" spans="1:6" x14ac:dyDescent="0.35">
      <c r="A938">
        <v>2059</v>
      </c>
      <c r="B938">
        <v>7187</v>
      </c>
      <c r="C938">
        <v>42</v>
      </c>
      <c r="D938">
        <v>66</v>
      </c>
      <c r="E938">
        <v>4</v>
      </c>
      <c r="F938">
        <v>4</v>
      </c>
    </row>
    <row r="939" spans="1:6" x14ac:dyDescent="0.35">
      <c r="A939">
        <v>737</v>
      </c>
      <c r="B939">
        <v>6255</v>
      </c>
      <c r="C939">
        <v>39</v>
      </c>
      <c r="D939">
        <v>18</v>
      </c>
      <c r="E939">
        <v>4</v>
      </c>
      <c r="F939">
        <v>7</v>
      </c>
    </row>
    <row r="940" spans="1:6" x14ac:dyDescent="0.35">
      <c r="A940">
        <v>526</v>
      </c>
      <c r="B940">
        <v>4322</v>
      </c>
      <c r="C940">
        <v>38</v>
      </c>
      <c r="D940">
        <v>25</v>
      </c>
      <c r="E940">
        <v>4</v>
      </c>
      <c r="F940">
        <v>10</v>
      </c>
    </row>
    <row r="941" spans="1:6" x14ac:dyDescent="0.35">
      <c r="A941">
        <v>1947</v>
      </c>
      <c r="B941">
        <v>2495</v>
      </c>
      <c r="C941">
        <v>38</v>
      </c>
      <c r="D941">
        <v>85</v>
      </c>
      <c r="E941">
        <v>4</v>
      </c>
      <c r="F941">
        <v>10</v>
      </c>
    </row>
    <row r="942" spans="1:6" x14ac:dyDescent="0.35">
      <c r="A942">
        <v>1999</v>
      </c>
      <c r="B942">
        <v>176</v>
      </c>
      <c r="C942">
        <v>38</v>
      </c>
      <c r="D942">
        <v>36</v>
      </c>
      <c r="E942">
        <v>4</v>
      </c>
      <c r="F942">
        <v>6</v>
      </c>
    </row>
    <row r="943" spans="1:6" x14ac:dyDescent="0.35">
      <c r="A943">
        <v>2044</v>
      </c>
      <c r="B943">
        <v>4095</v>
      </c>
      <c r="C943">
        <v>37</v>
      </c>
      <c r="D943">
        <v>34</v>
      </c>
      <c r="E943">
        <v>4</v>
      </c>
      <c r="F943">
        <v>6</v>
      </c>
    </row>
    <row r="944" spans="1:6" x14ac:dyDescent="0.35">
      <c r="A944">
        <v>70</v>
      </c>
      <c r="B944">
        <v>1402</v>
      </c>
      <c r="C944">
        <v>36</v>
      </c>
      <c r="D944">
        <v>60</v>
      </c>
      <c r="E944">
        <v>4</v>
      </c>
      <c r="F944">
        <v>6</v>
      </c>
    </row>
    <row r="945" spans="1:6" x14ac:dyDescent="0.35">
      <c r="A945">
        <v>502</v>
      </c>
      <c r="B945">
        <v>8151</v>
      </c>
      <c r="C945">
        <v>36</v>
      </c>
      <c r="D945">
        <v>62</v>
      </c>
      <c r="E945">
        <v>4</v>
      </c>
      <c r="F945">
        <v>3</v>
      </c>
    </row>
    <row r="946" spans="1:6" x14ac:dyDescent="0.35">
      <c r="A946">
        <v>622</v>
      </c>
      <c r="B946">
        <v>10972</v>
      </c>
      <c r="C946">
        <v>35</v>
      </c>
      <c r="D946">
        <v>17</v>
      </c>
      <c r="E946">
        <v>4</v>
      </c>
      <c r="F946">
        <v>6</v>
      </c>
    </row>
    <row r="947" spans="1:6" x14ac:dyDescent="0.35">
      <c r="A947">
        <v>863</v>
      </c>
      <c r="B947">
        <v>4271</v>
      </c>
      <c r="C947">
        <v>35</v>
      </c>
      <c r="D947">
        <v>41</v>
      </c>
      <c r="E947">
        <v>4</v>
      </c>
      <c r="F947">
        <v>6</v>
      </c>
    </row>
    <row r="948" spans="1:6" x14ac:dyDescent="0.35">
      <c r="A948">
        <v>1165</v>
      </c>
      <c r="B948">
        <v>3598</v>
      </c>
      <c r="C948">
        <v>35</v>
      </c>
      <c r="D948">
        <v>29</v>
      </c>
      <c r="E948">
        <v>4</v>
      </c>
      <c r="F948">
        <v>12</v>
      </c>
    </row>
    <row r="949" spans="1:6" x14ac:dyDescent="0.35">
      <c r="A949">
        <v>1446</v>
      </c>
      <c r="B949">
        <v>8204</v>
      </c>
      <c r="C949">
        <v>35</v>
      </c>
      <c r="D949">
        <v>160</v>
      </c>
      <c r="E949">
        <v>4</v>
      </c>
      <c r="F949">
        <v>9</v>
      </c>
    </row>
    <row r="950" spans="1:6" x14ac:dyDescent="0.35">
      <c r="A950">
        <v>2065</v>
      </c>
      <c r="B950">
        <v>123</v>
      </c>
      <c r="C950">
        <v>35</v>
      </c>
      <c r="D950">
        <v>151</v>
      </c>
      <c r="E950">
        <v>4</v>
      </c>
      <c r="F950">
        <v>4</v>
      </c>
    </row>
    <row r="951" spans="1:6" x14ac:dyDescent="0.35">
      <c r="A951">
        <v>144</v>
      </c>
      <c r="B951">
        <v>9701</v>
      </c>
      <c r="C951">
        <v>34</v>
      </c>
      <c r="D951">
        <v>16</v>
      </c>
      <c r="E951">
        <v>4</v>
      </c>
      <c r="F951">
        <v>3</v>
      </c>
    </row>
    <row r="952" spans="1:6" x14ac:dyDescent="0.35">
      <c r="A952">
        <v>1659</v>
      </c>
      <c r="B952">
        <v>2781</v>
      </c>
      <c r="C952">
        <v>34</v>
      </c>
      <c r="D952">
        <v>51</v>
      </c>
      <c r="E952">
        <v>4</v>
      </c>
      <c r="F952">
        <v>6</v>
      </c>
    </row>
    <row r="953" spans="1:6" x14ac:dyDescent="0.35">
      <c r="A953">
        <v>1980</v>
      </c>
      <c r="B953">
        <v>3032</v>
      </c>
      <c r="C953">
        <v>34</v>
      </c>
      <c r="D953">
        <v>14</v>
      </c>
      <c r="E953">
        <v>4</v>
      </c>
      <c r="F953">
        <v>4</v>
      </c>
    </row>
    <row r="954" spans="1:6" x14ac:dyDescent="0.35">
      <c r="A954">
        <v>368</v>
      </c>
      <c r="B954">
        <v>5955</v>
      </c>
      <c r="C954">
        <v>33</v>
      </c>
      <c r="D954">
        <v>133</v>
      </c>
      <c r="E954">
        <v>4</v>
      </c>
      <c r="F954">
        <v>8</v>
      </c>
    </row>
    <row r="955" spans="1:6" x14ac:dyDescent="0.35">
      <c r="A955">
        <v>900</v>
      </c>
      <c r="B955">
        <v>8624</v>
      </c>
      <c r="C955">
        <v>33</v>
      </c>
      <c r="D955">
        <v>103</v>
      </c>
      <c r="E955">
        <v>4</v>
      </c>
      <c r="F955">
        <v>10</v>
      </c>
    </row>
    <row r="956" spans="1:6" x14ac:dyDescent="0.35">
      <c r="A956">
        <v>2067</v>
      </c>
      <c r="B956">
        <v>7899</v>
      </c>
      <c r="C956">
        <v>33</v>
      </c>
      <c r="D956">
        <v>33</v>
      </c>
      <c r="E956">
        <v>4</v>
      </c>
      <c r="F956">
        <v>4</v>
      </c>
    </row>
    <row r="957" spans="1:6" x14ac:dyDescent="0.35">
      <c r="A957">
        <v>1581</v>
      </c>
      <c r="B957">
        <v>9952</v>
      </c>
      <c r="C957">
        <v>32</v>
      </c>
      <c r="D957">
        <v>43</v>
      </c>
      <c r="E957">
        <v>4</v>
      </c>
      <c r="F957">
        <v>5</v>
      </c>
    </row>
    <row r="958" spans="1:6" x14ac:dyDescent="0.35">
      <c r="A958">
        <v>745</v>
      </c>
      <c r="B958">
        <v>3560</v>
      </c>
      <c r="C958">
        <v>31</v>
      </c>
      <c r="D958">
        <v>31</v>
      </c>
      <c r="E958">
        <v>4</v>
      </c>
      <c r="F958">
        <v>11</v>
      </c>
    </row>
    <row r="959" spans="1:6" x14ac:dyDescent="0.35">
      <c r="A959">
        <v>1007</v>
      </c>
      <c r="B959">
        <v>241</v>
      </c>
      <c r="C959">
        <v>31</v>
      </c>
      <c r="D959">
        <v>31</v>
      </c>
      <c r="E959">
        <v>4</v>
      </c>
      <c r="F959">
        <v>11</v>
      </c>
    </row>
    <row r="960" spans="1:6" x14ac:dyDescent="0.35">
      <c r="A960">
        <v>1467</v>
      </c>
      <c r="B960">
        <v>7521</v>
      </c>
      <c r="C960">
        <v>31</v>
      </c>
      <c r="D960">
        <v>31</v>
      </c>
      <c r="E960">
        <v>4</v>
      </c>
      <c r="F960">
        <v>11</v>
      </c>
    </row>
    <row r="961" spans="1:6" x14ac:dyDescent="0.35">
      <c r="A961">
        <v>1897</v>
      </c>
      <c r="B961">
        <v>5558</v>
      </c>
      <c r="C961">
        <v>31</v>
      </c>
      <c r="D961">
        <v>63</v>
      </c>
      <c r="E961">
        <v>4</v>
      </c>
      <c r="F961">
        <v>4</v>
      </c>
    </row>
    <row r="962" spans="1:6" x14ac:dyDescent="0.35">
      <c r="A962">
        <v>1931</v>
      </c>
      <c r="B962">
        <v>2878</v>
      </c>
      <c r="C962">
        <v>31</v>
      </c>
      <c r="D962">
        <v>17</v>
      </c>
      <c r="E962">
        <v>4</v>
      </c>
      <c r="F962">
        <v>7</v>
      </c>
    </row>
    <row r="963" spans="1:6" x14ac:dyDescent="0.35">
      <c r="A963">
        <v>188</v>
      </c>
      <c r="B963">
        <v>6982</v>
      </c>
      <c r="C963">
        <v>30</v>
      </c>
      <c r="D963">
        <v>76</v>
      </c>
      <c r="E963">
        <v>4</v>
      </c>
      <c r="F963">
        <v>9</v>
      </c>
    </row>
    <row r="964" spans="1:6" x14ac:dyDescent="0.35">
      <c r="A964">
        <v>1043</v>
      </c>
      <c r="B964">
        <v>4998</v>
      </c>
      <c r="C964">
        <v>30</v>
      </c>
      <c r="D964">
        <v>33</v>
      </c>
      <c r="E964">
        <v>4</v>
      </c>
      <c r="F964">
        <v>4</v>
      </c>
    </row>
    <row r="965" spans="1:6" x14ac:dyDescent="0.35">
      <c r="A965">
        <v>1553</v>
      </c>
      <c r="B965">
        <v>7321</v>
      </c>
      <c r="C965">
        <v>30</v>
      </c>
      <c r="D965">
        <v>33</v>
      </c>
      <c r="E965">
        <v>4</v>
      </c>
      <c r="F965">
        <v>4</v>
      </c>
    </row>
    <row r="966" spans="1:6" x14ac:dyDescent="0.35">
      <c r="A966">
        <v>1811</v>
      </c>
      <c r="B966">
        <v>269</v>
      </c>
      <c r="C966">
        <v>30</v>
      </c>
      <c r="D966">
        <v>51</v>
      </c>
      <c r="E966">
        <v>4</v>
      </c>
      <c r="F966">
        <v>7</v>
      </c>
    </row>
    <row r="967" spans="1:6" x14ac:dyDescent="0.35">
      <c r="A967">
        <v>1250</v>
      </c>
      <c r="B967">
        <v>9606</v>
      </c>
      <c r="C967">
        <v>29</v>
      </c>
      <c r="D967">
        <v>29</v>
      </c>
      <c r="E967">
        <v>4</v>
      </c>
      <c r="F967">
        <v>6</v>
      </c>
    </row>
    <row r="968" spans="1:6" x14ac:dyDescent="0.35">
      <c r="A968">
        <v>254</v>
      </c>
      <c r="B968">
        <v>10992</v>
      </c>
      <c r="C968">
        <v>28</v>
      </c>
      <c r="D968">
        <v>42</v>
      </c>
      <c r="E968">
        <v>4</v>
      </c>
      <c r="F968">
        <v>11</v>
      </c>
    </row>
    <row r="969" spans="1:6" x14ac:dyDescent="0.35">
      <c r="A969">
        <v>734</v>
      </c>
      <c r="B969">
        <v>10430</v>
      </c>
      <c r="C969">
        <v>28</v>
      </c>
      <c r="D969">
        <v>28</v>
      </c>
      <c r="E969">
        <v>4</v>
      </c>
      <c r="F969">
        <v>4</v>
      </c>
    </row>
    <row r="970" spans="1:6" x14ac:dyDescent="0.35">
      <c r="A970">
        <v>2167</v>
      </c>
      <c r="B970">
        <v>3520</v>
      </c>
      <c r="C970">
        <v>28</v>
      </c>
      <c r="D970">
        <v>28</v>
      </c>
      <c r="E970">
        <v>4</v>
      </c>
      <c r="F970">
        <v>7</v>
      </c>
    </row>
    <row r="971" spans="1:6" x14ac:dyDescent="0.35">
      <c r="A971">
        <v>1449</v>
      </c>
      <c r="B971">
        <v>1927</v>
      </c>
      <c r="C971">
        <v>27</v>
      </c>
      <c r="D971">
        <v>8</v>
      </c>
      <c r="E971">
        <v>4</v>
      </c>
      <c r="F971">
        <v>5</v>
      </c>
    </row>
    <row r="972" spans="1:6" x14ac:dyDescent="0.35">
      <c r="A972">
        <v>1827</v>
      </c>
      <c r="B972">
        <v>5302</v>
      </c>
      <c r="C972">
        <v>27</v>
      </c>
      <c r="D972">
        <v>24</v>
      </c>
      <c r="E972">
        <v>4</v>
      </c>
      <c r="F972">
        <v>5</v>
      </c>
    </row>
    <row r="973" spans="1:6" x14ac:dyDescent="0.35">
      <c r="A973">
        <v>2022</v>
      </c>
      <c r="B973">
        <v>4954</v>
      </c>
      <c r="C973">
        <v>27</v>
      </c>
      <c r="D973">
        <v>7</v>
      </c>
      <c r="E973">
        <v>4</v>
      </c>
      <c r="F973">
        <v>5</v>
      </c>
    </row>
    <row r="974" spans="1:6" x14ac:dyDescent="0.35">
      <c r="A974">
        <v>988</v>
      </c>
      <c r="B974">
        <v>9305</v>
      </c>
      <c r="C974">
        <v>26</v>
      </c>
      <c r="D974">
        <v>37</v>
      </c>
      <c r="E974">
        <v>4</v>
      </c>
      <c r="F974">
        <v>13</v>
      </c>
    </row>
    <row r="975" spans="1:6" x14ac:dyDescent="0.35">
      <c r="A975">
        <v>1551</v>
      </c>
      <c r="B975">
        <v>7725</v>
      </c>
      <c r="C975">
        <v>26</v>
      </c>
      <c r="D975">
        <v>71</v>
      </c>
      <c r="E975">
        <v>4</v>
      </c>
      <c r="F975">
        <v>7</v>
      </c>
    </row>
    <row r="976" spans="1:6" x14ac:dyDescent="0.35">
      <c r="A976">
        <v>947</v>
      </c>
      <c r="B976">
        <v>8405</v>
      </c>
      <c r="C976">
        <v>25</v>
      </c>
      <c r="D976">
        <v>25</v>
      </c>
      <c r="E976">
        <v>4</v>
      </c>
      <c r="F976">
        <v>5</v>
      </c>
    </row>
    <row r="977" spans="1:6" x14ac:dyDescent="0.35">
      <c r="A977">
        <v>2086</v>
      </c>
      <c r="B977">
        <v>2802</v>
      </c>
      <c r="C977">
        <v>25</v>
      </c>
      <c r="D977">
        <v>17</v>
      </c>
      <c r="E977">
        <v>4</v>
      </c>
      <c r="F977">
        <v>7</v>
      </c>
    </row>
    <row r="978" spans="1:6" x14ac:dyDescent="0.35">
      <c r="A978">
        <v>2092</v>
      </c>
      <c r="B978">
        <v>3107</v>
      </c>
      <c r="C978">
        <v>24</v>
      </c>
      <c r="D978">
        <v>15</v>
      </c>
      <c r="E978">
        <v>4</v>
      </c>
      <c r="F978">
        <v>7</v>
      </c>
    </row>
    <row r="979" spans="1:6" x14ac:dyDescent="0.35">
      <c r="A979">
        <v>518</v>
      </c>
      <c r="B979">
        <v>4607</v>
      </c>
      <c r="C979">
        <v>23</v>
      </c>
      <c r="D979">
        <v>21</v>
      </c>
      <c r="E979">
        <v>4</v>
      </c>
      <c r="F979">
        <v>7</v>
      </c>
    </row>
    <row r="980" spans="1:6" x14ac:dyDescent="0.35">
      <c r="A980">
        <v>926</v>
      </c>
      <c r="B980">
        <v>2008</v>
      </c>
      <c r="C980">
        <v>23</v>
      </c>
      <c r="D980">
        <v>12</v>
      </c>
      <c r="E980">
        <v>4</v>
      </c>
      <c r="F980">
        <v>9</v>
      </c>
    </row>
    <row r="981" spans="1:6" x14ac:dyDescent="0.35">
      <c r="A981">
        <v>1092</v>
      </c>
      <c r="B981">
        <v>4944</v>
      </c>
      <c r="C981">
        <v>23</v>
      </c>
      <c r="D981">
        <v>21</v>
      </c>
      <c r="E981">
        <v>4</v>
      </c>
      <c r="F981">
        <v>7</v>
      </c>
    </row>
    <row r="982" spans="1:6" x14ac:dyDescent="0.35">
      <c r="A982">
        <v>1284</v>
      </c>
      <c r="B982">
        <v>5043</v>
      </c>
      <c r="C982">
        <v>23</v>
      </c>
      <c r="D982">
        <v>49</v>
      </c>
      <c r="E982">
        <v>4</v>
      </c>
      <c r="F982">
        <v>5</v>
      </c>
    </row>
    <row r="983" spans="1:6" x14ac:dyDescent="0.35">
      <c r="A983">
        <v>211</v>
      </c>
      <c r="B983">
        <v>6521</v>
      </c>
      <c r="C983">
        <v>22</v>
      </c>
      <c r="D983">
        <v>102</v>
      </c>
      <c r="E983">
        <v>4</v>
      </c>
      <c r="F983">
        <v>9</v>
      </c>
    </row>
    <row r="984" spans="1:6" x14ac:dyDescent="0.35">
      <c r="A984">
        <v>875</v>
      </c>
      <c r="B984">
        <v>4789</v>
      </c>
      <c r="C984">
        <v>22</v>
      </c>
      <c r="D984">
        <v>143</v>
      </c>
      <c r="E984">
        <v>4</v>
      </c>
      <c r="F984">
        <v>5</v>
      </c>
    </row>
    <row r="985" spans="1:6" x14ac:dyDescent="0.35">
      <c r="A985">
        <v>1936</v>
      </c>
      <c r="B985">
        <v>4827</v>
      </c>
      <c r="C985">
        <v>22</v>
      </c>
      <c r="D985">
        <v>30</v>
      </c>
      <c r="E985">
        <v>4</v>
      </c>
      <c r="F985">
        <v>9</v>
      </c>
    </row>
    <row r="986" spans="1:6" x14ac:dyDescent="0.35">
      <c r="A986">
        <v>1997</v>
      </c>
      <c r="B986">
        <v>10841</v>
      </c>
      <c r="C986">
        <v>22</v>
      </c>
      <c r="D986">
        <v>31</v>
      </c>
      <c r="E986">
        <v>4</v>
      </c>
      <c r="F986">
        <v>8</v>
      </c>
    </row>
    <row r="987" spans="1:6" x14ac:dyDescent="0.35">
      <c r="A987">
        <v>150</v>
      </c>
      <c r="B987">
        <v>3830</v>
      </c>
      <c r="C987">
        <v>21</v>
      </c>
      <c r="D987">
        <v>13</v>
      </c>
      <c r="E987">
        <v>4</v>
      </c>
      <c r="F987">
        <v>7</v>
      </c>
    </row>
    <row r="988" spans="1:6" x14ac:dyDescent="0.35">
      <c r="A988">
        <v>1001</v>
      </c>
      <c r="B988">
        <v>7962</v>
      </c>
      <c r="C988">
        <v>21</v>
      </c>
      <c r="D988">
        <v>20</v>
      </c>
      <c r="E988">
        <v>4</v>
      </c>
      <c r="F988">
        <v>4</v>
      </c>
    </row>
    <row r="989" spans="1:6" x14ac:dyDescent="0.35">
      <c r="A989">
        <v>1697</v>
      </c>
      <c r="B989">
        <v>10742</v>
      </c>
      <c r="C989">
        <v>21</v>
      </c>
      <c r="D989">
        <v>20</v>
      </c>
      <c r="E989">
        <v>4</v>
      </c>
      <c r="F989">
        <v>5</v>
      </c>
    </row>
    <row r="990" spans="1:6" x14ac:dyDescent="0.35">
      <c r="A990">
        <v>1737</v>
      </c>
      <c r="B990">
        <v>5796</v>
      </c>
      <c r="C990">
        <v>21</v>
      </c>
      <c r="D990">
        <v>44</v>
      </c>
      <c r="E990">
        <v>4</v>
      </c>
      <c r="F990">
        <v>13</v>
      </c>
    </row>
    <row r="991" spans="1:6" x14ac:dyDescent="0.35">
      <c r="A991">
        <v>352</v>
      </c>
      <c r="B991">
        <v>9185</v>
      </c>
      <c r="C991">
        <v>20</v>
      </c>
      <c r="D991">
        <v>30</v>
      </c>
      <c r="E991">
        <v>4</v>
      </c>
      <c r="F991">
        <v>5</v>
      </c>
    </row>
    <row r="992" spans="1:6" x14ac:dyDescent="0.35">
      <c r="A992">
        <v>50</v>
      </c>
      <c r="B992">
        <v>8614</v>
      </c>
      <c r="C992">
        <v>19</v>
      </c>
      <c r="D992">
        <v>67</v>
      </c>
      <c r="E992">
        <v>4</v>
      </c>
      <c r="F992">
        <v>10</v>
      </c>
    </row>
    <row r="993" spans="1:6" x14ac:dyDescent="0.35">
      <c r="A993">
        <v>340</v>
      </c>
      <c r="B993">
        <v>10172</v>
      </c>
      <c r="C993">
        <v>19</v>
      </c>
      <c r="D993">
        <v>118</v>
      </c>
      <c r="E993">
        <v>4</v>
      </c>
      <c r="F993">
        <v>11</v>
      </c>
    </row>
    <row r="994" spans="1:6" x14ac:dyDescent="0.35">
      <c r="A994">
        <v>650</v>
      </c>
      <c r="B994">
        <v>4248</v>
      </c>
      <c r="C994">
        <v>19</v>
      </c>
      <c r="D994">
        <v>115</v>
      </c>
      <c r="E994">
        <v>4</v>
      </c>
      <c r="F994">
        <v>9</v>
      </c>
    </row>
    <row r="995" spans="1:6" x14ac:dyDescent="0.35">
      <c r="A995">
        <v>704</v>
      </c>
      <c r="B995">
        <v>968</v>
      </c>
      <c r="C995">
        <v>19</v>
      </c>
      <c r="D995">
        <v>14</v>
      </c>
      <c r="E995">
        <v>4</v>
      </c>
      <c r="F995">
        <v>4</v>
      </c>
    </row>
    <row r="996" spans="1:6" x14ac:dyDescent="0.35">
      <c r="A996">
        <v>1064</v>
      </c>
      <c r="B996">
        <v>10766</v>
      </c>
      <c r="C996">
        <v>19</v>
      </c>
      <c r="D996">
        <v>0</v>
      </c>
      <c r="E996">
        <v>4</v>
      </c>
      <c r="F996">
        <v>8</v>
      </c>
    </row>
    <row r="997" spans="1:6" x14ac:dyDescent="0.35">
      <c r="A997">
        <v>1113</v>
      </c>
      <c r="B997">
        <v>7451</v>
      </c>
      <c r="C997">
        <v>19</v>
      </c>
      <c r="D997">
        <v>115</v>
      </c>
      <c r="E997">
        <v>4</v>
      </c>
      <c r="F997">
        <v>9</v>
      </c>
    </row>
    <row r="998" spans="1:6" x14ac:dyDescent="0.35">
      <c r="A998">
        <v>1368</v>
      </c>
      <c r="B998">
        <v>4096</v>
      </c>
      <c r="C998">
        <v>19</v>
      </c>
      <c r="D998">
        <v>14</v>
      </c>
      <c r="E998">
        <v>4</v>
      </c>
      <c r="F998">
        <v>4</v>
      </c>
    </row>
    <row r="999" spans="1:6" x14ac:dyDescent="0.35">
      <c r="A999">
        <v>1609</v>
      </c>
      <c r="B999">
        <v>9971</v>
      </c>
      <c r="C999">
        <v>19</v>
      </c>
      <c r="D999">
        <v>0</v>
      </c>
      <c r="E999">
        <v>4</v>
      </c>
      <c r="F999">
        <v>8</v>
      </c>
    </row>
    <row r="1000" spans="1:6" x14ac:dyDescent="0.35">
      <c r="A1000">
        <v>1610</v>
      </c>
      <c r="B1000">
        <v>6729</v>
      </c>
      <c r="C1000">
        <v>19</v>
      </c>
      <c r="D1000">
        <v>118</v>
      </c>
      <c r="E1000">
        <v>4</v>
      </c>
      <c r="F1000">
        <v>11</v>
      </c>
    </row>
    <row r="1001" spans="1:6" x14ac:dyDescent="0.35">
      <c r="A1001">
        <v>61</v>
      </c>
      <c r="B1001">
        <v>3076</v>
      </c>
      <c r="C1001">
        <v>18</v>
      </c>
      <c r="D1001">
        <v>18</v>
      </c>
      <c r="E1001">
        <v>4</v>
      </c>
      <c r="F1001">
        <v>12</v>
      </c>
    </row>
    <row r="1002" spans="1:6" x14ac:dyDescent="0.35">
      <c r="A1002">
        <v>207</v>
      </c>
      <c r="B1002">
        <v>5552</v>
      </c>
      <c r="C1002">
        <v>18</v>
      </c>
      <c r="D1002">
        <v>13</v>
      </c>
      <c r="E1002">
        <v>4</v>
      </c>
      <c r="F1002">
        <v>5</v>
      </c>
    </row>
    <row r="1003" spans="1:6" x14ac:dyDescent="0.35">
      <c r="A1003">
        <v>544</v>
      </c>
      <c r="B1003">
        <v>7822</v>
      </c>
      <c r="C1003">
        <v>18</v>
      </c>
      <c r="D1003">
        <v>108</v>
      </c>
      <c r="E1003">
        <v>4</v>
      </c>
      <c r="F1003">
        <v>8</v>
      </c>
    </row>
    <row r="1004" spans="1:6" x14ac:dyDescent="0.35">
      <c r="A1004">
        <v>197</v>
      </c>
      <c r="B1004">
        <v>9938</v>
      </c>
      <c r="C1004">
        <v>17</v>
      </c>
      <c r="D1004">
        <v>173</v>
      </c>
      <c r="E1004">
        <v>4</v>
      </c>
      <c r="F1004">
        <v>6</v>
      </c>
    </row>
    <row r="1005" spans="1:6" x14ac:dyDescent="0.35">
      <c r="A1005">
        <v>555</v>
      </c>
      <c r="B1005">
        <v>8692</v>
      </c>
      <c r="C1005">
        <v>17</v>
      </c>
      <c r="D1005">
        <v>6</v>
      </c>
      <c r="E1005">
        <v>4</v>
      </c>
      <c r="F1005">
        <v>5</v>
      </c>
    </row>
    <row r="1006" spans="1:6" x14ac:dyDescent="0.35">
      <c r="A1006">
        <v>899</v>
      </c>
      <c r="B1006">
        <v>905</v>
      </c>
      <c r="C1006">
        <v>17</v>
      </c>
      <c r="D1006">
        <v>10</v>
      </c>
      <c r="E1006">
        <v>4</v>
      </c>
      <c r="F1006">
        <v>3</v>
      </c>
    </row>
    <row r="1007" spans="1:6" x14ac:dyDescent="0.35">
      <c r="A1007">
        <v>450</v>
      </c>
      <c r="B1007">
        <v>2276</v>
      </c>
      <c r="C1007">
        <v>16</v>
      </c>
      <c r="D1007">
        <v>24</v>
      </c>
      <c r="E1007">
        <v>4</v>
      </c>
      <c r="F1007">
        <v>11</v>
      </c>
    </row>
    <row r="1008" spans="1:6" x14ac:dyDescent="0.35">
      <c r="A1008">
        <v>359</v>
      </c>
      <c r="B1008">
        <v>4107</v>
      </c>
      <c r="C1008">
        <v>15</v>
      </c>
      <c r="D1008">
        <v>19</v>
      </c>
      <c r="E1008">
        <v>4</v>
      </c>
      <c r="F1008">
        <v>4</v>
      </c>
    </row>
    <row r="1009" spans="1:6" x14ac:dyDescent="0.35">
      <c r="A1009">
        <v>527</v>
      </c>
      <c r="B1009">
        <v>713</v>
      </c>
      <c r="C1009">
        <v>15</v>
      </c>
      <c r="D1009">
        <v>31</v>
      </c>
      <c r="E1009">
        <v>4</v>
      </c>
      <c r="F1009">
        <v>6</v>
      </c>
    </row>
    <row r="1010" spans="1:6" x14ac:dyDescent="0.35">
      <c r="A1010">
        <v>1634</v>
      </c>
      <c r="B1010">
        <v>10906</v>
      </c>
      <c r="C1010">
        <v>15</v>
      </c>
      <c r="D1010">
        <v>19</v>
      </c>
      <c r="E1010">
        <v>4</v>
      </c>
      <c r="F1010">
        <v>4</v>
      </c>
    </row>
    <row r="1011" spans="1:6" x14ac:dyDescent="0.35">
      <c r="A1011">
        <v>2159</v>
      </c>
      <c r="B1011">
        <v>10157</v>
      </c>
      <c r="C1011">
        <v>15</v>
      </c>
      <c r="D1011">
        <v>42</v>
      </c>
      <c r="E1011">
        <v>4</v>
      </c>
      <c r="F1011">
        <v>6</v>
      </c>
    </row>
    <row r="1012" spans="1:6" x14ac:dyDescent="0.35">
      <c r="A1012">
        <v>135</v>
      </c>
      <c r="B1012">
        <v>1685</v>
      </c>
      <c r="C1012">
        <v>14</v>
      </c>
      <c r="D1012">
        <v>44</v>
      </c>
      <c r="E1012">
        <v>4</v>
      </c>
      <c r="F1012">
        <v>13</v>
      </c>
    </row>
    <row r="1013" spans="1:6" x14ac:dyDescent="0.35">
      <c r="A1013">
        <v>499</v>
      </c>
      <c r="B1013">
        <v>466</v>
      </c>
      <c r="C1013">
        <v>14</v>
      </c>
      <c r="D1013">
        <v>14</v>
      </c>
      <c r="E1013">
        <v>4</v>
      </c>
      <c r="F1013">
        <v>13</v>
      </c>
    </row>
    <row r="1014" spans="1:6" x14ac:dyDescent="0.35">
      <c r="A1014">
        <v>843</v>
      </c>
      <c r="B1014">
        <v>11121</v>
      </c>
      <c r="C1014">
        <v>14</v>
      </c>
      <c r="D1014">
        <v>3</v>
      </c>
      <c r="E1014">
        <v>4</v>
      </c>
      <c r="F1014">
        <v>3</v>
      </c>
    </row>
    <row r="1015" spans="1:6" x14ac:dyDescent="0.35">
      <c r="A1015">
        <v>1078</v>
      </c>
      <c r="B1015">
        <v>10855</v>
      </c>
      <c r="C1015">
        <v>14</v>
      </c>
      <c r="D1015">
        <v>10</v>
      </c>
      <c r="E1015">
        <v>4</v>
      </c>
      <c r="F1015">
        <v>8</v>
      </c>
    </row>
    <row r="1016" spans="1:6" x14ac:dyDescent="0.35">
      <c r="A1016">
        <v>1380</v>
      </c>
      <c r="B1016">
        <v>10420</v>
      </c>
      <c r="C1016">
        <v>14</v>
      </c>
      <c r="D1016">
        <v>9</v>
      </c>
      <c r="E1016">
        <v>4</v>
      </c>
      <c r="F1016">
        <v>3</v>
      </c>
    </row>
    <row r="1017" spans="1:6" x14ac:dyDescent="0.35">
      <c r="A1017">
        <v>1829</v>
      </c>
      <c r="B1017">
        <v>1087</v>
      </c>
      <c r="C1017">
        <v>14</v>
      </c>
      <c r="D1017">
        <v>22</v>
      </c>
      <c r="E1017">
        <v>4</v>
      </c>
      <c r="F1017">
        <v>2</v>
      </c>
    </row>
    <row r="1018" spans="1:6" x14ac:dyDescent="0.35">
      <c r="A1018">
        <v>579</v>
      </c>
      <c r="B1018">
        <v>5253</v>
      </c>
      <c r="C1018">
        <v>13</v>
      </c>
      <c r="D1018">
        <v>2</v>
      </c>
      <c r="E1018">
        <v>4</v>
      </c>
      <c r="F1018">
        <v>4</v>
      </c>
    </row>
    <row r="1019" spans="1:6" x14ac:dyDescent="0.35">
      <c r="A1019">
        <v>714</v>
      </c>
      <c r="B1019">
        <v>6969</v>
      </c>
      <c r="C1019">
        <v>13</v>
      </c>
      <c r="D1019">
        <v>8</v>
      </c>
      <c r="E1019">
        <v>4</v>
      </c>
      <c r="F1019">
        <v>5</v>
      </c>
    </row>
    <row r="1020" spans="1:6" x14ac:dyDescent="0.35">
      <c r="A1020">
        <v>1193</v>
      </c>
      <c r="B1020">
        <v>3515</v>
      </c>
      <c r="C1020">
        <v>13</v>
      </c>
      <c r="D1020">
        <v>6</v>
      </c>
      <c r="E1020">
        <v>4</v>
      </c>
      <c r="F1020">
        <v>4</v>
      </c>
    </row>
    <row r="1021" spans="1:6" x14ac:dyDescent="0.35">
      <c r="A1021">
        <v>1408</v>
      </c>
      <c r="B1021">
        <v>8783</v>
      </c>
      <c r="C1021">
        <v>13</v>
      </c>
      <c r="D1021">
        <v>13</v>
      </c>
      <c r="E1021">
        <v>4</v>
      </c>
      <c r="F1021">
        <v>9</v>
      </c>
    </row>
    <row r="1022" spans="1:6" x14ac:dyDescent="0.35">
      <c r="A1022">
        <v>33</v>
      </c>
      <c r="B1022">
        <v>7373</v>
      </c>
      <c r="C1022">
        <v>12</v>
      </c>
      <c r="D1022">
        <v>22</v>
      </c>
      <c r="E1022">
        <v>4</v>
      </c>
      <c r="F1022">
        <v>6</v>
      </c>
    </row>
    <row r="1023" spans="1:6" x14ac:dyDescent="0.35">
      <c r="A1023">
        <v>373</v>
      </c>
      <c r="B1023">
        <v>1245</v>
      </c>
      <c r="C1023">
        <v>12</v>
      </c>
      <c r="D1023">
        <v>12</v>
      </c>
      <c r="E1023">
        <v>4</v>
      </c>
      <c r="F1023">
        <v>12</v>
      </c>
    </row>
    <row r="1024" spans="1:6" x14ac:dyDescent="0.35">
      <c r="A1024">
        <v>382</v>
      </c>
      <c r="B1024">
        <v>6878</v>
      </c>
      <c r="C1024">
        <v>12</v>
      </c>
      <c r="D1024">
        <v>40</v>
      </c>
      <c r="E1024">
        <v>4</v>
      </c>
      <c r="F1024">
        <v>6</v>
      </c>
    </row>
    <row r="1025" spans="1:6" x14ac:dyDescent="0.35">
      <c r="A1025">
        <v>572</v>
      </c>
      <c r="B1025">
        <v>8181</v>
      </c>
      <c r="C1025">
        <v>12</v>
      </c>
      <c r="D1025">
        <v>24</v>
      </c>
      <c r="E1025">
        <v>4</v>
      </c>
      <c r="F1025">
        <v>3</v>
      </c>
    </row>
    <row r="1026" spans="1:6" x14ac:dyDescent="0.35">
      <c r="A1026">
        <v>780</v>
      </c>
      <c r="B1026">
        <v>3194</v>
      </c>
      <c r="C1026">
        <v>12</v>
      </c>
      <c r="D1026">
        <v>182</v>
      </c>
      <c r="E1026">
        <v>4</v>
      </c>
      <c r="F1026">
        <v>10</v>
      </c>
    </row>
    <row r="1027" spans="1:6" x14ac:dyDescent="0.35">
      <c r="A1027">
        <v>1353</v>
      </c>
      <c r="B1027">
        <v>5232</v>
      </c>
      <c r="C1027">
        <v>12</v>
      </c>
      <c r="D1027">
        <v>15</v>
      </c>
      <c r="E1027">
        <v>4</v>
      </c>
      <c r="F1027">
        <v>5</v>
      </c>
    </row>
    <row r="1028" spans="1:6" x14ac:dyDescent="0.35">
      <c r="A1028">
        <v>1422</v>
      </c>
      <c r="B1028">
        <v>2561</v>
      </c>
      <c r="C1028">
        <v>12</v>
      </c>
      <c r="D1028">
        <v>12</v>
      </c>
      <c r="E1028">
        <v>4</v>
      </c>
      <c r="F1028">
        <v>12</v>
      </c>
    </row>
    <row r="1029" spans="1:6" x14ac:dyDescent="0.35">
      <c r="A1029">
        <v>1602</v>
      </c>
      <c r="B1029">
        <v>2565</v>
      </c>
      <c r="C1029">
        <v>12</v>
      </c>
      <c r="D1029">
        <v>12</v>
      </c>
      <c r="E1029">
        <v>4</v>
      </c>
      <c r="F1029">
        <v>10</v>
      </c>
    </row>
    <row r="1030" spans="1:6" x14ac:dyDescent="0.35">
      <c r="A1030">
        <v>1618</v>
      </c>
      <c r="B1030">
        <v>3011</v>
      </c>
      <c r="C1030">
        <v>12</v>
      </c>
      <c r="D1030">
        <v>15</v>
      </c>
      <c r="E1030">
        <v>4</v>
      </c>
      <c r="F1030">
        <v>5</v>
      </c>
    </row>
    <row r="1031" spans="1:6" x14ac:dyDescent="0.35">
      <c r="A1031">
        <v>457</v>
      </c>
      <c r="B1031">
        <v>3225</v>
      </c>
      <c r="C1031">
        <v>11</v>
      </c>
      <c r="D1031">
        <v>17</v>
      </c>
      <c r="E1031">
        <v>4</v>
      </c>
      <c r="F1031">
        <v>5</v>
      </c>
    </row>
    <row r="1032" spans="1:6" x14ac:dyDescent="0.35">
      <c r="A1032">
        <v>865</v>
      </c>
      <c r="B1032">
        <v>2036</v>
      </c>
      <c r="C1032">
        <v>11</v>
      </c>
      <c r="D1032">
        <v>3</v>
      </c>
      <c r="E1032">
        <v>4</v>
      </c>
      <c r="F1032">
        <v>8</v>
      </c>
    </row>
    <row r="1033" spans="1:6" x14ac:dyDescent="0.35">
      <c r="A1033">
        <v>2148</v>
      </c>
      <c r="B1033">
        <v>7873</v>
      </c>
      <c r="C1033">
        <v>11</v>
      </c>
      <c r="D1033">
        <v>14</v>
      </c>
      <c r="E1033">
        <v>4</v>
      </c>
      <c r="F1033">
        <v>7</v>
      </c>
    </row>
    <row r="1034" spans="1:6" x14ac:dyDescent="0.35">
      <c r="A1034">
        <v>7</v>
      </c>
      <c r="B1034">
        <v>6177</v>
      </c>
      <c r="C1034">
        <v>10</v>
      </c>
      <c r="D1034">
        <v>1</v>
      </c>
      <c r="E1034">
        <v>4</v>
      </c>
      <c r="F1034">
        <v>4</v>
      </c>
    </row>
    <row r="1035" spans="1:6" x14ac:dyDescent="0.35">
      <c r="A1035">
        <v>529</v>
      </c>
      <c r="B1035">
        <v>3281</v>
      </c>
      <c r="C1035">
        <v>10</v>
      </c>
      <c r="D1035">
        <v>27</v>
      </c>
      <c r="E1035">
        <v>4</v>
      </c>
      <c r="F1035">
        <v>8</v>
      </c>
    </row>
    <row r="1036" spans="1:6" x14ac:dyDescent="0.35">
      <c r="A1036">
        <v>541</v>
      </c>
      <c r="B1036">
        <v>10591</v>
      </c>
      <c r="C1036">
        <v>10</v>
      </c>
      <c r="D1036">
        <v>19</v>
      </c>
      <c r="E1036">
        <v>4</v>
      </c>
      <c r="F1036">
        <v>4</v>
      </c>
    </row>
    <row r="1037" spans="1:6" x14ac:dyDescent="0.35">
      <c r="A1037">
        <v>566</v>
      </c>
      <c r="B1037">
        <v>9120</v>
      </c>
      <c r="C1037">
        <v>10</v>
      </c>
      <c r="D1037">
        <v>40</v>
      </c>
      <c r="E1037">
        <v>4</v>
      </c>
      <c r="F1037">
        <v>9</v>
      </c>
    </row>
    <row r="1038" spans="1:6" x14ac:dyDescent="0.35">
      <c r="A1038">
        <v>1497</v>
      </c>
      <c r="B1038">
        <v>2072</v>
      </c>
      <c r="C1038">
        <v>10</v>
      </c>
      <c r="D1038">
        <v>10</v>
      </c>
      <c r="E1038">
        <v>4</v>
      </c>
      <c r="F1038">
        <v>9</v>
      </c>
    </row>
    <row r="1039" spans="1:6" x14ac:dyDescent="0.35">
      <c r="A1039">
        <v>54</v>
      </c>
      <c r="B1039">
        <v>9381</v>
      </c>
      <c r="C1039">
        <v>9</v>
      </c>
      <c r="D1039">
        <v>24</v>
      </c>
      <c r="E1039">
        <v>4</v>
      </c>
      <c r="F1039">
        <v>10</v>
      </c>
    </row>
    <row r="1040" spans="1:6" x14ac:dyDescent="0.35">
      <c r="A1040">
        <v>393</v>
      </c>
      <c r="B1040">
        <v>455</v>
      </c>
      <c r="C1040">
        <v>9</v>
      </c>
      <c r="D1040">
        <v>9</v>
      </c>
      <c r="E1040">
        <v>4</v>
      </c>
      <c r="F1040">
        <v>4</v>
      </c>
    </row>
    <row r="1041" spans="1:6" x14ac:dyDescent="0.35">
      <c r="A1041">
        <v>732</v>
      </c>
      <c r="B1041">
        <v>9384</v>
      </c>
      <c r="C1041">
        <v>9</v>
      </c>
      <c r="D1041">
        <v>24</v>
      </c>
      <c r="E1041">
        <v>4</v>
      </c>
      <c r="F1041">
        <v>10</v>
      </c>
    </row>
    <row r="1042" spans="1:6" x14ac:dyDescent="0.35">
      <c r="A1042">
        <v>1109</v>
      </c>
      <c r="B1042">
        <v>246</v>
      </c>
      <c r="C1042">
        <v>9</v>
      </c>
      <c r="D1042">
        <v>21</v>
      </c>
      <c r="E1042">
        <v>4</v>
      </c>
      <c r="F1042">
        <v>7</v>
      </c>
    </row>
    <row r="1043" spans="1:6" x14ac:dyDescent="0.35">
      <c r="A1043">
        <v>1500</v>
      </c>
      <c r="B1043">
        <v>4093</v>
      </c>
      <c r="C1043">
        <v>9</v>
      </c>
      <c r="D1043">
        <v>9</v>
      </c>
      <c r="E1043">
        <v>4</v>
      </c>
      <c r="F1043">
        <v>5</v>
      </c>
    </row>
    <row r="1044" spans="1:6" x14ac:dyDescent="0.35">
      <c r="A1044">
        <v>1771</v>
      </c>
      <c r="B1044">
        <v>7592</v>
      </c>
      <c r="C1044">
        <v>9</v>
      </c>
      <c r="D1044">
        <v>9</v>
      </c>
      <c r="E1044">
        <v>4</v>
      </c>
      <c r="F1044">
        <v>4</v>
      </c>
    </row>
    <row r="1045" spans="1:6" x14ac:dyDescent="0.35">
      <c r="A1045">
        <v>1096</v>
      </c>
      <c r="B1045">
        <v>4790</v>
      </c>
      <c r="C1045">
        <v>8</v>
      </c>
      <c r="D1045">
        <v>16</v>
      </c>
      <c r="E1045">
        <v>4</v>
      </c>
      <c r="F1045">
        <v>5</v>
      </c>
    </row>
    <row r="1046" spans="1:6" x14ac:dyDescent="0.35">
      <c r="A1046">
        <v>1181</v>
      </c>
      <c r="B1046">
        <v>8387</v>
      </c>
      <c r="C1046">
        <v>8</v>
      </c>
      <c r="D1046">
        <v>0</v>
      </c>
      <c r="E1046">
        <v>4</v>
      </c>
      <c r="F1046">
        <v>5</v>
      </c>
    </row>
    <row r="1047" spans="1:6" x14ac:dyDescent="0.35">
      <c r="A1047">
        <v>1505</v>
      </c>
      <c r="B1047">
        <v>3643</v>
      </c>
      <c r="C1047">
        <v>8</v>
      </c>
      <c r="D1047">
        <v>8</v>
      </c>
      <c r="E1047">
        <v>4</v>
      </c>
      <c r="F1047">
        <v>6</v>
      </c>
    </row>
    <row r="1048" spans="1:6" x14ac:dyDescent="0.35">
      <c r="A1048">
        <v>1812</v>
      </c>
      <c r="B1048">
        <v>8093</v>
      </c>
      <c r="C1048">
        <v>8</v>
      </c>
      <c r="D1048">
        <v>62</v>
      </c>
      <c r="E1048">
        <v>4</v>
      </c>
      <c r="F1048">
        <v>6</v>
      </c>
    </row>
    <row r="1049" spans="1:6" x14ac:dyDescent="0.35">
      <c r="A1049">
        <v>904</v>
      </c>
      <c r="B1049">
        <v>6404</v>
      </c>
      <c r="C1049">
        <v>7</v>
      </c>
      <c r="D1049">
        <v>7</v>
      </c>
      <c r="E1049">
        <v>4</v>
      </c>
      <c r="F1049">
        <v>6</v>
      </c>
    </row>
    <row r="1050" spans="1:6" x14ac:dyDescent="0.35">
      <c r="A1050">
        <v>1471</v>
      </c>
      <c r="B1050">
        <v>4864</v>
      </c>
      <c r="C1050">
        <v>7</v>
      </c>
      <c r="D1050">
        <v>1</v>
      </c>
      <c r="E1050">
        <v>4</v>
      </c>
      <c r="F1050">
        <v>3</v>
      </c>
    </row>
    <row r="1051" spans="1:6" x14ac:dyDescent="0.35">
      <c r="A1051">
        <v>1684</v>
      </c>
      <c r="B1051">
        <v>10323</v>
      </c>
      <c r="C1051">
        <v>7</v>
      </c>
      <c r="D1051">
        <v>2</v>
      </c>
      <c r="E1051">
        <v>4</v>
      </c>
      <c r="F1051">
        <v>5</v>
      </c>
    </row>
    <row r="1052" spans="1:6" x14ac:dyDescent="0.35">
      <c r="A1052">
        <v>1902</v>
      </c>
      <c r="B1052">
        <v>5896</v>
      </c>
      <c r="C1052">
        <v>7</v>
      </c>
      <c r="D1052">
        <v>7</v>
      </c>
      <c r="E1052">
        <v>4</v>
      </c>
      <c r="F1052">
        <v>6</v>
      </c>
    </row>
    <row r="1053" spans="1:6" x14ac:dyDescent="0.35">
      <c r="A1053">
        <v>2045</v>
      </c>
      <c r="B1053">
        <v>5474</v>
      </c>
      <c r="C1053">
        <v>7</v>
      </c>
      <c r="D1053">
        <v>25</v>
      </c>
      <c r="E1053">
        <v>4</v>
      </c>
      <c r="F1053">
        <v>4</v>
      </c>
    </row>
    <row r="1054" spans="1:6" x14ac:dyDescent="0.35">
      <c r="A1054">
        <v>2227</v>
      </c>
      <c r="B1054">
        <v>4201</v>
      </c>
      <c r="C1054">
        <v>7</v>
      </c>
      <c r="D1054">
        <v>0</v>
      </c>
      <c r="E1054">
        <v>4</v>
      </c>
      <c r="F1054">
        <v>8</v>
      </c>
    </row>
    <row r="1055" spans="1:6" x14ac:dyDescent="0.35">
      <c r="A1055">
        <v>1214</v>
      </c>
      <c r="B1055">
        <v>3439</v>
      </c>
      <c r="C1055">
        <v>6</v>
      </c>
      <c r="D1055">
        <v>13</v>
      </c>
      <c r="E1055">
        <v>4</v>
      </c>
      <c r="F1055">
        <v>5</v>
      </c>
    </row>
    <row r="1056" spans="1:6" x14ac:dyDescent="0.35">
      <c r="A1056">
        <v>1370</v>
      </c>
      <c r="B1056">
        <v>5948</v>
      </c>
      <c r="C1056">
        <v>6</v>
      </c>
      <c r="D1056">
        <v>8</v>
      </c>
      <c r="E1056">
        <v>4</v>
      </c>
      <c r="F1056">
        <v>5</v>
      </c>
    </row>
    <row r="1057" spans="1:6" x14ac:dyDescent="0.35">
      <c r="A1057">
        <v>17</v>
      </c>
      <c r="B1057">
        <v>4939</v>
      </c>
      <c r="C1057">
        <v>5</v>
      </c>
      <c r="D1057">
        <v>12</v>
      </c>
      <c r="E1057">
        <v>4</v>
      </c>
      <c r="F1057">
        <v>6</v>
      </c>
    </row>
    <row r="1058" spans="1:6" x14ac:dyDescent="0.35">
      <c r="A1058">
        <v>282</v>
      </c>
      <c r="B1058">
        <v>8652</v>
      </c>
      <c r="C1058">
        <v>5</v>
      </c>
      <c r="D1058">
        <v>12</v>
      </c>
      <c r="E1058">
        <v>4</v>
      </c>
      <c r="F1058">
        <v>6</v>
      </c>
    </row>
    <row r="1059" spans="1:6" x14ac:dyDescent="0.35">
      <c r="A1059">
        <v>464</v>
      </c>
      <c r="B1059">
        <v>2815</v>
      </c>
      <c r="C1059">
        <v>5</v>
      </c>
      <c r="D1059">
        <v>15</v>
      </c>
      <c r="E1059">
        <v>4</v>
      </c>
      <c r="F1059">
        <v>3</v>
      </c>
    </row>
    <row r="1060" spans="1:6" x14ac:dyDescent="0.35">
      <c r="A1060">
        <v>629</v>
      </c>
      <c r="B1060">
        <v>5063</v>
      </c>
      <c r="C1060">
        <v>5</v>
      </c>
      <c r="D1060">
        <v>3</v>
      </c>
      <c r="E1060">
        <v>4</v>
      </c>
      <c r="F1060">
        <v>4</v>
      </c>
    </row>
    <row r="1061" spans="1:6" x14ac:dyDescent="0.35">
      <c r="A1061">
        <v>800</v>
      </c>
      <c r="B1061">
        <v>310</v>
      </c>
      <c r="C1061">
        <v>5</v>
      </c>
      <c r="D1061">
        <v>27</v>
      </c>
      <c r="E1061">
        <v>4</v>
      </c>
      <c r="F1061">
        <v>9</v>
      </c>
    </row>
    <row r="1062" spans="1:6" x14ac:dyDescent="0.35">
      <c r="A1062">
        <v>1160</v>
      </c>
      <c r="B1062">
        <v>4252</v>
      </c>
      <c r="C1062">
        <v>5</v>
      </c>
      <c r="D1062">
        <v>7</v>
      </c>
      <c r="E1062">
        <v>4</v>
      </c>
      <c r="F1062">
        <v>6</v>
      </c>
    </row>
    <row r="1063" spans="1:6" x14ac:dyDescent="0.35">
      <c r="A1063">
        <v>1379</v>
      </c>
      <c r="B1063">
        <v>10475</v>
      </c>
      <c r="C1063">
        <v>5</v>
      </c>
      <c r="D1063">
        <v>20</v>
      </c>
      <c r="E1063">
        <v>4</v>
      </c>
      <c r="F1063">
        <v>6</v>
      </c>
    </row>
    <row r="1064" spans="1:6" x14ac:dyDescent="0.35">
      <c r="A1064">
        <v>1718</v>
      </c>
      <c r="B1064">
        <v>10640</v>
      </c>
      <c r="C1064">
        <v>5</v>
      </c>
      <c r="D1064">
        <v>12</v>
      </c>
      <c r="E1064">
        <v>4</v>
      </c>
      <c r="F1064">
        <v>4</v>
      </c>
    </row>
    <row r="1065" spans="1:6" x14ac:dyDescent="0.35">
      <c r="A1065">
        <v>218</v>
      </c>
      <c r="B1065">
        <v>1377</v>
      </c>
      <c r="C1065">
        <v>4</v>
      </c>
      <c r="D1065">
        <v>0</v>
      </c>
      <c r="E1065">
        <v>4</v>
      </c>
      <c r="F1065">
        <v>5</v>
      </c>
    </row>
    <row r="1066" spans="1:6" x14ac:dyDescent="0.35">
      <c r="A1066">
        <v>678</v>
      </c>
      <c r="B1066">
        <v>8779</v>
      </c>
      <c r="C1066">
        <v>4</v>
      </c>
      <c r="D1066">
        <v>1</v>
      </c>
      <c r="E1066">
        <v>4</v>
      </c>
      <c r="F1066">
        <v>3</v>
      </c>
    </row>
    <row r="1067" spans="1:6" x14ac:dyDescent="0.35">
      <c r="A1067">
        <v>1547</v>
      </c>
      <c r="B1067">
        <v>5636</v>
      </c>
      <c r="C1067">
        <v>4</v>
      </c>
      <c r="D1067">
        <v>1</v>
      </c>
      <c r="E1067">
        <v>4</v>
      </c>
      <c r="F1067">
        <v>3</v>
      </c>
    </row>
    <row r="1068" spans="1:6" x14ac:dyDescent="0.35">
      <c r="A1068">
        <v>1830</v>
      </c>
      <c r="B1068">
        <v>6859</v>
      </c>
      <c r="C1068">
        <v>4</v>
      </c>
      <c r="D1068">
        <v>9</v>
      </c>
      <c r="E1068">
        <v>4</v>
      </c>
      <c r="F1068">
        <v>3</v>
      </c>
    </row>
    <row r="1069" spans="1:6" x14ac:dyDescent="0.35">
      <c r="A1069">
        <v>1840</v>
      </c>
      <c r="B1069">
        <v>9576</v>
      </c>
      <c r="C1069">
        <v>4</v>
      </c>
      <c r="D1069">
        <v>4</v>
      </c>
      <c r="E1069">
        <v>4</v>
      </c>
      <c r="F1069">
        <v>4</v>
      </c>
    </row>
    <row r="1070" spans="1:6" x14ac:dyDescent="0.35">
      <c r="A1070">
        <v>1954</v>
      </c>
      <c r="B1070">
        <v>5626</v>
      </c>
      <c r="C1070">
        <v>4</v>
      </c>
      <c r="D1070">
        <v>8</v>
      </c>
      <c r="E1070">
        <v>4</v>
      </c>
      <c r="F1070">
        <v>9</v>
      </c>
    </row>
    <row r="1071" spans="1:6" x14ac:dyDescent="0.35">
      <c r="A1071">
        <v>1986</v>
      </c>
      <c r="B1071">
        <v>10821</v>
      </c>
      <c r="C1071">
        <v>4</v>
      </c>
      <c r="D1071">
        <v>2</v>
      </c>
      <c r="E1071">
        <v>4</v>
      </c>
      <c r="F1071">
        <v>5</v>
      </c>
    </row>
    <row r="1072" spans="1:6" x14ac:dyDescent="0.35">
      <c r="A1072">
        <v>2097</v>
      </c>
      <c r="B1072">
        <v>975</v>
      </c>
      <c r="C1072">
        <v>4</v>
      </c>
      <c r="D1072">
        <v>4</v>
      </c>
      <c r="E1072">
        <v>4</v>
      </c>
      <c r="F1072">
        <v>5</v>
      </c>
    </row>
    <row r="1073" spans="1:6" x14ac:dyDescent="0.35">
      <c r="A1073">
        <v>148</v>
      </c>
      <c r="B1073">
        <v>5885</v>
      </c>
      <c r="C1073">
        <v>3</v>
      </c>
      <c r="D1073">
        <v>1</v>
      </c>
      <c r="E1073">
        <v>4</v>
      </c>
      <c r="F1073">
        <v>4</v>
      </c>
    </row>
    <row r="1074" spans="1:6" x14ac:dyDescent="0.35">
      <c r="A1074">
        <v>180</v>
      </c>
      <c r="B1074">
        <v>7698</v>
      </c>
      <c r="C1074">
        <v>3</v>
      </c>
      <c r="D1074">
        <v>5</v>
      </c>
      <c r="E1074">
        <v>4</v>
      </c>
      <c r="F1074">
        <v>4</v>
      </c>
    </row>
    <row r="1075" spans="1:6" x14ac:dyDescent="0.35">
      <c r="A1075">
        <v>383</v>
      </c>
      <c r="B1075">
        <v>3310</v>
      </c>
      <c r="C1075">
        <v>3</v>
      </c>
      <c r="D1075">
        <v>1</v>
      </c>
      <c r="E1075">
        <v>4</v>
      </c>
      <c r="F1075">
        <v>4</v>
      </c>
    </row>
    <row r="1076" spans="1:6" x14ac:dyDescent="0.35">
      <c r="A1076">
        <v>542</v>
      </c>
      <c r="B1076">
        <v>5036</v>
      </c>
      <c r="C1076">
        <v>3</v>
      </c>
      <c r="D1076">
        <v>3</v>
      </c>
      <c r="E1076">
        <v>4</v>
      </c>
      <c r="F1076">
        <v>3</v>
      </c>
    </row>
    <row r="1077" spans="1:6" x14ac:dyDescent="0.35">
      <c r="A1077">
        <v>795</v>
      </c>
      <c r="B1077">
        <v>199</v>
      </c>
      <c r="C1077">
        <v>3</v>
      </c>
      <c r="D1077">
        <v>9</v>
      </c>
      <c r="E1077">
        <v>4</v>
      </c>
      <c r="F1077">
        <v>7</v>
      </c>
    </row>
    <row r="1078" spans="1:6" x14ac:dyDescent="0.35">
      <c r="A1078">
        <v>985</v>
      </c>
      <c r="B1078">
        <v>6872</v>
      </c>
      <c r="C1078">
        <v>3</v>
      </c>
      <c r="D1078">
        <v>7</v>
      </c>
      <c r="E1078">
        <v>4</v>
      </c>
      <c r="F1078">
        <v>8</v>
      </c>
    </row>
    <row r="1079" spans="1:6" x14ac:dyDescent="0.35">
      <c r="A1079">
        <v>1228</v>
      </c>
      <c r="B1079">
        <v>8210</v>
      </c>
      <c r="C1079">
        <v>3</v>
      </c>
      <c r="D1079">
        <v>7</v>
      </c>
      <c r="E1079">
        <v>4</v>
      </c>
      <c r="F1079">
        <v>8</v>
      </c>
    </row>
    <row r="1080" spans="1:6" x14ac:dyDescent="0.35">
      <c r="A1080">
        <v>1456</v>
      </c>
      <c r="B1080">
        <v>4042</v>
      </c>
      <c r="C1080">
        <v>3</v>
      </c>
      <c r="D1080">
        <v>1</v>
      </c>
      <c r="E1080">
        <v>4</v>
      </c>
      <c r="F1080">
        <v>4</v>
      </c>
    </row>
    <row r="1081" spans="1:6" x14ac:dyDescent="0.35">
      <c r="A1081">
        <v>1833</v>
      </c>
      <c r="B1081">
        <v>5866</v>
      </c>
      <c r="C1081">
        <v>3</v>
      </c>
      <c r="D1081">
        <v>7</v>
      </c>
      <c r="E1081">
        <v>4</v>
      </c>
      <c r="F1081">
        <v>4</v>
      </c>
    </row>
    <row r="1082" spans="1:6" x14ac:dyDescent="0.35">
      <c r="A1082">
        <v>20</v>
      </c>
      <c r="B1082">
        <v>9360</v>
      </c>
      <c r="C1082">
        <v>2</v>
      </c>
      <c r="D1082">
        <v>38</v>
      </c>
      <c r="E1082">
        <v>4</v>
      </c>
      <c r="F1082">
        <v>5</v>
      </c>
    </row>
    <row r="1083" spans="1:6" x14ac:dyDescent="0.35">
      <c r="A1083">
        <v>262</v>
      </c>
      <c r="B1083">
        <v>4200</v>
      </c>
      <c r="C1083">
        <v>2</v>
      </c>
      <c r="D1083">
        <v>13</v>
      </c>
      <c r="E1083">
        <v>4</v>
      </c>
      <c r="F1083">
        <v>6</v>
      </c>
    </row>
    <row r="1084" spans="1:6" x14ac:dyDescent="0.35">
      <c r="A1084">
        <v>309</v>
      </c>
      <c r="B1084">
        <v>1379</v>
      </c>
      <c r="C1084">
        <v>2</v>
      </c>
      <c r="D1084">
        <v>4</v>
      </c>
      <c r="E1084">
        <v>4</v>
      </c>
      <c r="F1084">
        <v>4</v>
      </c>
    </row>
    <row r="1085" spans="1:6" x14ac:dyDescent="0.35">
      <c r="A1085">
        <v>483</v>
      </c>
      <c r="B1085">
        <v>1676</v>
      </c>
      <c r="C1085">
        <v>2</v>
      </c>
      <c r="D1085">
        <v>2</v>
      </c>
      <c r="E1085">
        <v>4</v>
      </c>
      <c r="F1085">
        <v>5</v>
      </c>
    </row>
    <row r="1086" spans="1:6" x14ac:dyDescent="0.35">
      <c r="A1086">
        <v>1103</v>
      </c>
      <c r="B1086">
        <v>7409</v>
      </c>
      <c r="C1086">
        <v>2</v>
      </c>
      <c r="D1086">
        <v>7</v>
      </c>
      <c r="E1086">
        <v>4</v>
      </c>
      <c r="F1086">
        <v>6</v>
      </c>
    </row>
    <row r="1087" spans="1:6" x14ac:dyDescent="0.35">
      <c r="A1087">
        <v>1556</v>
      </c>
      <c r="B1087">
        <v>955</v>
      </c>
      <c r="C1087">
        <v>2</v>
      </c>
      <c r="D1087">
        <v>2</v>
      </c>
      <c r="E1087">
        <v>4</v>
      </c>
      <c r="F1087">
        <v>4</v>
      </c>
    </row>
    <row r="1088" spans="1:6" x14ac:dyDescent="0.35">
      <c r="A1088">
        <v>1631</v>
      </c>
      <c r="B1088">
        <v>3570</v>
      </c>
      <c r="C1088">
        <v>2</v>
      </c>
      <c r="D1088">
        <v>2</v>
      </c>
      <c r="E1088">
        <v>4</v>
      </c>
      <c r="F1088">
        <v>5</v>
      </c>
    </row>
    <row r="1089" spans="1:6" x14ac:dyDescent="0.35">
      <c r="A1089">
        <v>1670</v>
      </c>
      <c r="B1089">
        <v>8143</v>
      </c>
      <c r="C1089">
        <v>2</v>
      </c>
      <c r="D1089">
        <v>2</v>
      </c>
      <c r="E1089">
        <v>4</v>
      </c>
      <c r="F1089">
        <v>5</v>
      </c>
    </row>
    <row r="1090" spans="1:6" x14ac:dyDescent="0.35">
      <c r="A1090">
        <v>1726</v>
      </c>
      <c r="B1090">
        <v>10905</v>
      </c>
      <c r="C1090">
        <v>2</v>
      </c>
      <c r="D1090">
        <v>0</v>
      </c>
      <c r="E1090">
        <v>4</v>
      </c>
      <c r="F1090">
        <v>6</v>
      </c>
    </row>
    <row r="1091" spans="1:6" x14ac:dyDescent="0.35">
      <c r="A1091">
        <v>1775</v>
      </c>
      <c r="B1091">
        <v>8910</v>
      </c>
      <c r="C1091">
        <v>2</v>
      </c>
      <c r="D1091">
        <v>0</v>
      </c>
      <c r="E1091">
        <v>4</v>
      </c>
      <c r="F1091">
        <v>6</v>
      </c>
    </row>
    <row r="1092" spans="1:6" x14ac:dyDescent="0.35">
      <c r="A1092">
        <v>1837</v>
      </c>
      <c r="B1092">
        <v>332</v>
      </c>
      <c r="C1092">
        <v>2</v>
      </c>
      <c r="D1092">
        <v>12</v>
      </c>
      <c r="E1092">
        <v>4</v>
      </c>
      <c r="F1092">
        <v>6</v>
      </c>
    </row>
    <row r="1093" spans="1:6" x14ac:dyDescent="0.35">
      <c r="A1093">
        <v>106</v>
      </c>
      <c r="B1093">
        <v>7533</v>
      </c>
      <c r="C1093">
        <v>1</v>
      </c>
      <c r="D1093">
        <v>1</v>
      </c>
      <c r="E1093">
        <v>4</v>
      </c>
      <c r="F1093">
        <v>4</v>
      </c>
    </row>
    <row r="1094" spans="1:6" x14ac:dyDescent="0.35">
      <c r="A1094">
        <v>223</v>
      </c>
      <c r="B1094">
        <v>9076</v>
      </c>
      <c r="C1094">
        <v>1</v>
      </c>
      <c r="D1094">
        <v>1</v>
      </c>
      <c r="E1094">
        <v>4</v>
      </c>
      <c r="F1094">
        <v>4</v>
      </c>
    </row>
    <row r="1095" spans="1:6" x14ac:dyDescent="0.35">
      <c r="A1095">
        <v>489</v>
      </c>
      <c r="B1095">
        <v>3921</v>
      </c>
      <c r="C1095">
        <v>1</v>
      </c>
      <c r="D1095">
        <v>29</v>
      </c>
      <c r="E1095">
        <v>4</v>
      </c>
      <c r="F1095">
        <v>4</v>
      </c>
    </row>
    <row r="1096" spans="1:6" x14ac:dyDescent="0.35">
      <c r="A1096">
        <v>510</v>
      </c>
      <c r="B1096">
        <v>9925</v>
      </c>
      <c r="C1096">
        <v>1</v>
      </c>
      <c r="D1096">
        <v>1</v>
      </c>
      <c r="E1096">
        <v>4</v>
      </c>
      <c r="F1096">
        <v>3</v>
      </c>
    </row>
    <row r="1097" spans="1:6" x14ac:dyDescent="0.35">
      <c r="A1097">
        <v>799</v>
      </c>
      <c r="B1097">
        <v>8523</v>
      </c>
      <c r="C1097">
        <v>1</v>
      </c>
      <c r="D1097">
        <v>2</v>
      </c>
      <c r="E1097">
        <v>4</v>
      </c>
      <c r="F1097">
        <v>3</v>
      </c>
    </row>
    <row r="1098" spans="1:6" x14ac:dyDescent="0.35">
      <c r="A1098">
        <v>1268</v>
      </c>
      <c r="B1098">
        <v>5429</v>
      </c>
      <c r="C1098">
        <v>1</v>
      </c>
      <c r="D1098">
        <v>1</v>
      </c>
      <c r="E1098">
        <v>4</v>
      </c>
      <c r="F1098">
        <v>4</v>
      </c>
    </row>
    <row r="1099" spans="1:6" x14ac:dyDescent="0.35">
      <c r="A1099">
        <v>1402</v>
      </c>
      <c r="B1099">
        <v>2534</v>
      </c>
      <c r="C1099">
        <v>1</v>
      </c>
      <c r="D1099">
        <v>2</v>
      </c>
      <c r="E1099">
        <v>4</v>
      </c>
      <c r="F1099">
        <v>3</v>
      </c>
    </row>
    <row r="1100" spans="1:6" x14ac:dyDescent="0.35">
      <c r="A1100">
        <v>1740</v>
      </c>
      <c r="B1100">
        <v>48</v>
      </c>
      <c r="C1100">
        <v>1</v>
      </c>
      <c r="D1100">
        <v>3</v>
      </c>
      <c r="E1100">
        <v>4</v>
      </c>
      <c r="F1100">
        <v>3</v>
      </c>
    </row>
    <row r="1101" spans="1:6" x14ac:dyDescent="0.35">
      <c r="A1101">
        <v>2011</v>
      </c>
      <c r="B1101">
        <v>3657</v>
      </c>
      <c r="C1101">
        <v>1</v>
      </c>
      <c r="D1101">
        <v>12</v>
      </c>
      <c r="E1101">
        <v>4</v>
      </c>
      <c r="F1101">
        <v>4</v>
      </c>
    </row>
    <row r="1102" spans="1:6" x14ac:dyDescent="0.35">
      <c r="A1102">
        <v>272</v>
      </c>
      <c r="B1102">
        <v>3066</v>
      </c>
      <c r="C1102">
        <v>0</v>
      </c>
      <c r="D1102">
        <v>2</v>
      </c>
      <c r="E1102">
        <v>4</v>
      </c>
      <c r="F1102">
        <v>4</v>
      </c>
    </row>
    <row r="1103" spans="1:6" x14ac:dyDescent="0.35">
      <c r="A1103">
        <v>325</v>
      </c>
      <c r="B1103">
        <v>7214</v>
      </c>
      <c r="C1103">
        <v>0</v>
      </c>
      <c r="D1103">
        <v>45</v>
      </c>
      <c r="E1103">
        <v>4</v>
      </c>
      <c r="F1103">
        <v>5</v>
      </c>
    </row>
    <row r="1104" spans="1:6" x14ac:dyDescent="0.35">
      <c r="A1104">
        <v>342</v>
      </c>
      <c r="B1104">
        <v>9707</v>
      </c>
      <c r="C1104">
        <v>0</v>
      </c>
      <c r="D1104">
        <v>0</v>
      </c>
      <c r="E1104">
        <v>4</v>
      </c>
      <c r="F1104">
        <v>11</v>
      </c>
    </row>
    <row r="1105" spans="1:6" x14ac:dyDescent="0.35">
      <c r="A1105">
        <v>366</v>
      </c>
      <c r="B1105">
        <v>5125</v>
      </c>
      <c r="C1105">
        <v>0</v>
      </c>
      <c r="D1105">
        <v>42</v>
      </c>
      <c r="E1105">
        <v>4</v>
      </c>
      <c r="F1105">
        <v>11</v>
      </c>
    </row>
    <row r="1106" spans="1:6" x14ac:dyDescent="0.35">
      <c r="A1106">
        <v>395</v>
      </c>
      <c r="B1106">
        <v>3428</v>
      </c>
      <c r="C1106">
        <v>0</v>
      </c>
      <c r="D1106">
        <v>30</v>
      </c>
      <c r="E1106">
        <v>4</v>
      </c>
      <c r="F1106">
        <v>10</v>
      </c>
    </row>
    <row r="1107" spans="1:6" x14ac:dyDescent="0.35">
      <c r="A1107">
        <v>497</v>
      </c>
      <c r="B1107">
        <v>11088</v>
      </c>
      <c r="C1107">
        <v>0</v>
      </c>
      <c r="D1107">
        <v>35</v>
      </c>
      <c r="E1107">
        <v>4</v>
      </c>
      <c r="F1107">
        <v>4</v>
      </c>
    </row>
    <row r="1108" spans="1:6" x14ac:dyDescent="0.35">
      <c r="A1108">
        <v>503</v>
      </c>
      <c r="B1108">
        <v>5140</v>
      </c>
      <c r="C1108">
        <v>0</v>
      </c>
      <c r="D1108">
        <v>38</v>
      </c>
      <c r="E1108">
        <v>4</v>
      </c>
      <c r="F1108">
        <v>12</v>
      </c>
    </row>
    <row r="1109" spans="1:6" x14ac:dyDescent="0.35">
      <c r="A1109">
        <v>576</v>
      </c>
      <c r="B1109">
        <v>8159</v>
      </c>
      <c r="C1109">
        <v>0</v>
      </c>
      <c r="D1109">
        <v>0</v>
      </c>
      <c r="E1109">
        <v>4</v>
      </c>
      <c r="F1109">
        <v>3</v>
      </c>
    </row>
    <row r="1110" spans="1:6" x14ac:dyDescent="0.35">
      <c r="A1110">
        <v>690</v>
      </c>
      <c r="B1110">
        <v>7230</v>
      </c>
      <c r="C1110">
        <v>0</v>
      </c>
      <c r="D1110">
        <v>0</v>
      </c>
      <c r="E1110">
        <v>4</v>
      </c>
      <c r="F1110">
        <v>7</v>
      </c>
    </row>
    <row r="1111" spans="1:6" x14ac:dyDescent="0.35">
      <c r="A1111">
        <v>724</v>
      </c>
      <c r="B1111">
        <v>4692</v>
      </c>
      <c r="C1111">
        <v>0</v>
      </c>
      <c r="D1111">
        <v>7</v>
      </c>
      <c r="E1111">
        <v>4</v>
      </c>
      <c r="F1111">
        <v>2</v>
      </c>
    </row>
    <row r="1112" spans="1:6" x14ac:dyDescent="0.35">
      <c r="A1112">
        <v>735</v>
      </c>
      <c r="B1112">
        <v>7875</v>
      </c>
      <c r="C1112">
        <v>0</v>
      </c>
      <c r="D1112">
        <v>50</v>
      </c>
      <c r="E1112">
        <v>4</v>
      </c>
      <c r="F1112">
        <v>13</v>
      </c>
    </row>
    <row r="1113" spans="1:6" x14ac:dyDescent="0.35">
      <c r="A1113">
        <v>872</v>
      </c>
      <c r="B1113">
        <v>3623</v>
      </c>
      <c r="C1113">
        <v>0</v>
      </c>
      <c r="D1113">
        <v>4</v>
      </c>
      <c r="E1113">
        <v>4</v>
      </c>
      <c r="F1113">
        <v>3</v>
      </c>
    </row>
    <row r="1114" spans="1:6" x14ac:dyDescent="0.35">
      <c r="A1114">
        <v>901</v>
      </c>
      <c r="B1114">
        <v>8945</v>
      </c>
      <c r="C1114">
        <v>0</v>
      </c>
      <c r="D1114">
        <v>1</v>
      </c>
      <c r="E1114">
        <v>4</v>
      </c>
      <c r="F1114">
        <v>4</v>
      </c>
    </row>
    <row r="1115" spans="1:6" x14ac:dyDescent="0.35">
      <c r="A1115">
        <v>945</v>
      </c>
      <c r="B1115">
        <v>3202</v>
      </c>
      <c r="C1115">
        <v>0</v>
      </c>
      <c r="D1115">
        <v>0</v>
      </c>
      <c r="E1115">
        <v>4</v>
      </c>
      <c r="F1115">
        <v>10</v>
      </c>
    </row>
    <row r="1116" spans="1:6" x14ac:dyDescent="0.35">
      <c r="A1116">
        <v>1122</v>
      </c>
      <c r="B1116">
        <v>675</v>
      </c>
      <c r="C1116">
        <v>0</v>
      </c>
      <c r="D1116">
        <v>13</v>
      </c>
      <c r="E1116">
        <v>4</v>
      </c>
      <c r="F1116">
        <v>5</v>
      </c>
    </row>
    <row r="1117" spans="1:6" x14ac:dyDescent="0.35">
      <c r="A1117">
        <v>1164</v>
      </c>
      <c r="B1117">
        <v>5922</v>
      </c>
      <c r="C1117">
        <v>0</v>
      </c>
      <c r="D1117">
        <v>0</v>
      </c>
      <c r="E1117">
        <v>4</v>
      </c>
      <c r="F1117">
        <v>5</v>
      </c>
    </row>
    <row r="1118" spans="1:6" x14ac:dyDescent="0.35">
      <c r="A1118">
        <v>1218</v>
      </c>
      <c r="B1118">
        <v>4500</v>
      </c>
      <c r="C1118">
        <v>0</v>
      </c>
      <c r="D1118">
        <v>30</v>
      </c>
      <c r="E1118">
        <v>4</v>
      </c>
      <c r="F1118">
        <v>10</v>
      </c>
    </row>
    <row r="1119" spans="1:6" x14ac:dyDescent="0.35">
      <c r="A1119">
        <v>1373</v>
      </c>
      <c r="B1119">
        <v>5675</v>
      </c>
      <c r="C1119">
        <v>0</v>
      </c>
      <c r="D1119">
        <v>0</v>
      </c>
      <c r="E1119">
        <v>4</v>
      </c>
      <c r="F1119">
        <v>7</v>
      </c>
    </row>
    <row r="1120" spans="1:6" x14ac:dyDescent="0.35">
      <c r="A1120">
        <v>1376</v>
      </c>
      <c r="B1120">
        <v>1542</v>
      </c>
      <c r="C1120">
        <v>0</v>
      </c>
      <c r="D1120">
        <v>3</v>
      </c>
      <c r="E1120">
        <v>4</v>
      </c>
      <c r="F1120">
        <v>8</v>
      </c>
    </row>
    <row r="1121" spans="1:6" x14ac:dyDescent="0.35">
      <c r="A1121">
        <v>1390</v>
      </c>
      <c r="B1121">
        <v>8216</v>
      </c>
      <c r="C1121">
        <v>0</v>
      </c>
      <c r="D1121">
        <v>7</v>
      </c>
      <c r="E1121">
        <v>4</v>
      </c>
      <c r="F1121">
        <v>3</v>
      </c>
    </row>
    <row r="1122" spans="1:6" x14ac:dyDescent="0.35">
      <c r="A1122">
        <v>1577</v>
      </c>
      <c r="B1122">
        <v>9298</v>
      </c>
      <c r="C1122">
        <v>0</v>
      </c>
      <c r="D1122">
        <v>35</v>
      </c>
      <c r="E1122">
        <v>4</v>
      </c>
      <c r="F1122">
        <v>8</v>
      </c>
    </row>
    <row r="1123" spans="1:6" x14ac:dyDescent="0.35">
      <c r="A1123">
        <v>1628</v>
      </c>
      <c r="B1123">
        <v>9986</v>
      </c>
      <c r="C1123">
        <v>0</v>
      </c>
      <c r="D1123">
        <v>2</v>
      </c>
      <c r="E1123">
        <v>4</v>
      </c>
      <c r="F1123">
        <v>2</v>
      </c>
    </row>
    <row r="1124" spans="1:6" x14ac:dyDescent="0.35">
      <c r="A1124">
        <v>1831</v>
      </c>
      <c r="B1124">
        <v>9860</v>
      </c>
      <c r="C1124">
        <v>0</v>
      </c>
      <c r="D1124">
        <v>1</v>
      </c>
      <c r="E1124">
        <v>4</v>
      </c>
      <c r="F1124">
        <v>4</v>
      </c>
    </row>
    <row r="1125" spans="1:6" x14ac:dyDescent="0.35">
      <c r="A1125">
        <v>1882</v>
      </c>
      <c r="B1125">
        <v>5180</v>
      </c>
      <c r="C1125">
        <v>0</v>
      </c>
      <c r="D1125">
        <v>1</v>
      </c>
      <c r="E1125">
        <v>4</v>
      </c>
      <c r="F1125">
        <v>4</v>
      </c>
    </row>
    <row r="1126" spans="1:6" x14ac:dyDescent="0.35">
      <c r="A1126">
        <v>1915</v>
      </c>
      <c r="B1126">
        <v>10176</v>
      </c>
      <c r="C1126">
        <v>0</v>
      </c>
      <c r="D1126">
        <v>0</v>
      </c>
      <c r="E1126">
        <v>4</v>
      </c>
      <c r="F1126">
        <v>8</v>
      </c>
    </row>
    <row r="1127" spans="1:6" x14ac:dyDescent="0.35">
      <c r="A1127">
        <v>1926</v>
      </c>
      <c r="B1127">
        <v>10872</v>
      </c>
      <c r="C1127">
        <v>0</v>
      </c>
      <c r="D1127">
        <v>0</v>
      </c>
      <c r="E1127">
        <v>4</v>
      </c>
      <c r="F1127">
        <v>11</v>
      </c>
    </row>
    <row r="1128" spans="1:6" x14ac:dyDescent="0.35">
      <c r="A1128">
        <v>2079</v>
      </c>
      <c r="B1128">
        <v>10339</v>
      </c>
      <c r="C1128">
        <v>0</v>
      </c>
      <c r="D1128">
        <v>0</v>
      </c>
      <c r="E1128">
        <v>4</v>
      </c>
      <c r="F1128">
        <v>4</v>
      </c>
    </row>
    <row r="1129" spans="1:6" x14ac:dyDescent="0.35">
      <c r="A1129">
        <v>2127</v>
      </c>
      <c r="B1129">
        <v>6292</v>
      </c>
      <c r="C1129">
        <v>0</v>
      </c>
      <c r="D1129">
        <v>89</v>
      </c>
      <c r="E1129">
        <v>4</v>
      </c>
      <c r="F1129">
        <v>10</v>
      </c>
    </row>
    <row r="1130" spans="1:6" x14ac:dyDescent="0.35">
      <c r="A1130">
        <v>1946</v>
      </c>
      <c r="B1130">
        <v>10676</v>
      </c>
      <c r="C1130">
        <v>193</v>
      </c>
      <c r="D1130">
        <v>26</v>
      </c>
      <c r="E1130">
        <v>3</v>
      </c>
      <c r="F1130">
        <v>7</v>
      </c>
    </row>
    <row r="1131" spans="1:6" x14ac:dyDescent="0.35">
      <c r="A1131">
        <v>1910</v>
      </c>
      <c r="B1131">
        <v>5832</v>
      </c>
      <c r="C1131">
        <v>183</v>
      </c>
      <c r="D1131">
        <v>23</v>
      </c>
      <c r="E1131">
        <v>3</v>
      </c>
      <c r="F1131">
        <v>13</v>
      </c>
    </row>
    <row r="1132" spans="1:6" x14ac:dyDescent="0.35">
      <c r="A1132">
        <v>790</v>
      </c>
      <c r="B1132">
        <v>6543</v>
      </c>
      <c r="C1132">
        <v>168</v>
      </c>
      <c r="D1132">
        <v>76</v>
      </c>
      <c r="E1132">
        <v>3</v>
      </c>
      <c r="F1132">
        <v>4</v>
      </c>
    </row>
    <row r="1133" spans="1:6" x14ac:dyDescent="0.35">
      <c r="A1133">
        <v>168</v>
      </c>
      <c r="B1133">
        <v>6637</v>
      </c>
      <c r="C1133">
        <v>162</v>
      </c>
      <c r="D1133">
        <v>76</v>
      </c>
      <c r="E1133">
        <v>3</v>
      </c>
      <c r="F1133">
        <v>7</v>
      </c>
    </row>
    <row r="1134" spans="1:6" x14ac:dyDescent="0.35">
      <c r="A1134">
        <v>243</v>
      </c>
      <c r="B1134">
        <v>9529</v>
      </c>
      <c r="C1134">
        <v>153</v>
      </c>
      <c r="D1134">
        <v>13</v>
      </c>
      <c r="E1134">
        <v>3</v>
      </c>
      <c r="F1134">
        <v>9</v>
      </c>
    </row>
    <row r="1135" spans="1:6" x14ac:dyDescent="0.35">
      <c r="A1135">
        <v>1451</v>
      </c>
      <c r="B1135">
        <v>6652</v>
      </c>
      <c r="C1135">
        <v>151</v>
      </c>
      <c r="D1135">
        <v>54</v>
      </c>
      <c r="E1135">
        <v>3</v>
      </c>
      <c r="F1135">
        <v>9</v>
      </c>
    </row>
    <row r="1136" spans="1:6" x14ac:dyDescent="0.35">
      <c r="A1136">
        <v>1733</v>
      </c>
      <c r="B1136">
        <v>10129</v>
      </c>
      <c r="C1136">
        <v>147</v>
      </c>
      <c r="D1136">
        <v>107</v>
      </c>
      <c r="E1136">
        <v>3</v>
      </c>
      <c r="F1136">
        <v>12</v>
      </c>
    </row>
    <row r="1137" spans="1:6" x14ac:dyDescent="0.35">
      <c r="A1137">
        <v>727</v>
      </c>
      <c r="B1137">
        <v>437</v>
      </c>
      <c r="C1137">
        <v>142</v>
      </c>
      <c r="D1137">
        <v>58</v>
      </c>
      <c r="E1137">
        <v>3</v>
      </c>
      <c r="F1137">
        <v>11</v>
      </c>
    </row>
    <row r="1138" spans="1:6" x14ac:dyDescent="0.35">
      <c r="A1138">
        <v>970</v>
      </c>
      <c r="B1138">
        <v>10981</v>
      </c>
      <c r="C1138">
        <v>137</v>
      </c>
      <c r="D1138">
        <v>137</v>
      </c>
      <c r="E1138">
        <v>3</v>
      </c>
      <c r="F1138">
        <v>10</v>
      </c>
    </row>
    <row r="1139" spans="1:6" x14ac:dyDescent="0.35">
      <c r="A1139">
        <v>1510</v>
      </c>
      <c r="B1139">
        <v>486</v>
      </c>
      <c r="C1139">
        <v>137</v>
      </c>
      <c r="D1139">
        <v>137</v>
      </c>
      <c r="E1139">
        <v>3</v>
      </c>
      <c r="F1139">
        <v>10</v>
      </c>
    </row>
    <row r="1140" spans="1:6" x14ac:dyDescent="0.35">
      <c r="A1140">
        <v>126</v>
      </c>
      <c r="B1140">
        <v>11071</v>
      </c>
      <c r="C1140">
        <v>133</v>
      </c>
      <c r="D1140">
        <v>0</v>
      </c>
      <c r="E1140">
        <v>3</v>
      </c>
      <c r="F1140">
        <v>6</v>
      </c>
    </row>
    <row r="1141" spans="1:6" x14ac:dyDescent="0.35">
      <c r="A1141">
        <v>2096</v>
      </c>
      <c r="B1141">
        <v>7428</v>
      </c>
      <c r="C1141">
        <v>132</v>
      </c>
      <c r="D1141">
        <v>192</v>
      </c>
      <c r="E1141">
        <v>3</v>
      </c>
      <c r="F1141">
        <v>8</v>
      </c>
    </row>
    <row r="1142" spans="1:6" x14ac:dyDescent="0.35">
      <c r="A1142">
        <v>1695</v>
      </c>
      <c r="B1142">
        <v>550</v>
      </c>
      <c r="C1142">
        <v>131</v>
      </c>
      <c r="D1142">
        <v>6</v>
      </c>
      <c r="E1142">
        <v>3</v>
      </c>
      <c r="F1142">
        <v>13</v>
      </c>
    </row>
    <row r="1143" spans="1:6" x14ac:dyDescent="0.35">
      <c r="A1143">
        <v>277</v>
      </c>
      <c r="B1143">
        <v>7828</v>
      </c>
      <c r="C1143">
        <v>129</v>
      </c>
      <c r="D1143">
        <v>22</v>
      </c>
      <c r="E1143">
        <v>3</v>
      </c>
      <c r="F1143">
        <v>5</v>
      </c>
    </row>
    <row r="1144" spans="1:6" x14ac:dyDescent="0.35">
      <c r="A1144">
        <v>592</v>
      </c>
      <c r="B1144">
        <v>4501</v>
      </c>
      <c r="C1144">
        <v>127</v>
      </c>
      <c r="D1144">
        <v>127</v>
      </c>
      <c r="E1144">
        <v>3</v>
      </c>
      <c r="F1144">
        <v>9</v>
      </c>
    </row>
    <row r="1145" spans="1:6" x14ac:dyDescent="0.35">
      <c r="A1145">
        <v>1179</v>
      </c>
      <c r="B1145">
        <v>5735</v>
      </c>
      <c r="C1145">
        <v>120</v>
      </c>
      <c r="D1145">
        <v>144</v>
      </c>
      <c r="E1145">
        <v>3</v>
      </c>
      <c r="F1145">
        <v>10</v>
      </c>
    </row>
    <row r="1146" spans="1:6" x14ac:dyDescent="0.35">
      <c r="A1146">
        <v>1572</v>
      </c>
      <c r="B1146">
        <v>5350</v>
      </c>
      <c r="C1146">
        <v>120</v>
      </c>
      <c r="D1146">
        <v>144</v>
      </c>
      <c r="E1146">
        <v>3</v>
      </c>
      <c r="F1146">
        <v>10</v>
      </c>
    </row>
    <row r="1147" spans="1:6" x14ac:dyDescent="0.35">
      <c r="A1147">
        <v>1877</v>
      </c>
      <c r="B1147">
        <v>1399</v>
      </c>
      <c r="C1147">
        <v>114</v>
      </c>
      <c r="D1147">
        <v>165</v>
      </c>
      <c r="E1147">
        <v>3</v>
      </c>
      <c r="F1147">
        <v>9</v>
      </c>
    </row>
    <row r="1148" spans="1:6" x14ac:dyDescent="0.35">
      <c r="A1148">
        <v>1452</v>
      </c>
      <c r="B1148">
        <v>6246</v>
      </c>
      <c r="C1148">
        <v>102</v>
      </c>
      <c r="D1148">
        <v>58</v>
      </c>
      <c r="E1148">
        <v>3</v>
      </c>
      <c r="F1148">
        <v>8</v>
      </c>
    </row>
    <row r="1149" spans="1:6" x14ac:dyDescent="0.35">
      <c r="A1149">
        <v>942</v>
      </c>
      <c r="B1149">
        <v>6810</v>
      </c>
      <c r="C1149">
        <v>98</v>
      </c>
      <c r="D1149">
        <v>70</v>
      </c>
      <c r="E1149">
        <v>3</v>
      </c>
      <c r="F1149">
        <v>6</v>
      </c>
    </row>
    <row r="1150" spans="1:6" x14ac:dyDescent="0.35">
      <c r="A1150">
        <v>905</v>
      </c>
      <c r="B1150">
        <v>11074</v>
      </c>
      <c r="C1150">
        <v>92</v>
      </c>
      <c r="D1150">
        <v>11</v>
      </c>
      <c r="E1150">
        <v>3</v>
      </c>
      <c r="F1150">
        <v>10</v>
      </c>
    </row>
    <row r="1151" spans="1:6" x14ac:dyDescent="0.35">
      <c r="A1151">
        <v>1828</v>
      </c>
      <c r="B1151">
        <v>4687</v>
      </c>
      <c r="C1151">
        <v>92</v>
      </c>
      <c r="D1151">
        <v>0</v>
      </c>
      <c r="E1151">
        <v>3</v>
      </c>
      <c r="F1151">
        <v>9</v>
      </c>
    </row>
    <row r="1152" spans="1:6" x14ac:dyDescent="0.35">
      <c r="A1152">
        <v>353</v>
      </c>
      <c r="B1152">
        <v>11056</v>
      </c>
      <c r="C1152">
        <v>91</v>
      </c>
      <c r="D1152">
        <v>0</v>
      </c>
      <c r="E1152">
        <v>3</v>
      </c>
      <c r="F1152">
        <v>10</v>
      </c>
    </row>
    <row r="1153" spans="1:6" x14ac:dyDescent="0.35">
      <c r="A1153">
        <v>846</v>
      </c>
      <c r="B1153">
        <v>10343</v>
      </c>
      <c r="C1153">
        <v>91</v>
      </c>
      <c r="D1153">
        <v>45</v>
      </c>
      <c r="E1153">
        <v>3</v>
      </c>
      <c r="F1153">
        <v>8</v>
      </c>
    </row>
    <row r="1154" spans="1:6" x14ac:dyDescent="0.35">
      <c r="A1154">
        <v>228</v>
      </c>
      <c r="B1154">
        <v>460</v>
      </c>
      <c r="C1154">
        <v>86</v>
      </c>
      <c r="D1154">
        <v>51</v>
      </c>
      <c r="E1154">
        <v>3</v>
      </c>
      <c r="F1154">
        <v>8</v>
      </c>
    </row>
    <row r="1155" spans="1:6" x14ac:dyDescent="0.35">
      <c r="A1155">
        <v>266</v>
      </c>
      <c r="B1155">
        <v>1225</v>
      </c>
      <c r="C1155">
        <v>84</v>
      </c>
      <c r="D1155">
        <v>84</v>
      </c>
      <c r="E1155">
        <v>3</v>
      </c>
      <c r="F1155">
        <v>8</v>
      </c>
    </row>
    <row r="1156" spans="1:6" x14ac:dyDescent="0.35">
      <c r="A1156">
        <v>463</v>
      </c>
      <c r="B1156">
        <v>7059</v>
      </c>
      <c r="C1156">
        <v>84</v>
      </c>
      <c r="D1156">
        <v>84</v>
      </c>
      <c r="E1156">
        <v>3</v>
      </c>
      <c r="F1156">
        <v>8</v>
      </c>
    </row>
    <row r="1157" spans="1:6" x14ac:dyDescent="0.35">
      <c r="A1157">
        <v>1537</v>
      </c>
      <c r="B1157">
        <v>10530</v>
      </c>
      <c r="C1157">
        <v>82</v>
      </c>
      <c r="D1157">
        <v>20</v>
      </c>
      <c r="E1157">
        <v>3</v>
      </c>
      <c r="F1157">
        <v>6</v>
      </c>
    </row>
    <row r="1158" spans="1:6" x14ac:dyDescent="0.35">
      <c r="A1158">
        <v>1097</v>
      </c>
      <c r="B1158">
        <v>10245</v>
      </c>
      <c r="C1158">
        <v>80</v>
      </c>
      <c r="D1158">
        <v>39</v>
      </c>
      <c r="E1158">
        <v>3</v>
      </c>
      <c r="F1158">
        <v>8</v>
      </c>
    </row>
    <row r="1159" spans="1:6" x14ac:dyDescent="0.35">
      <c r="A1159">
        <v>1158</v>
      </c>
      <c r="B1159">
        <v>7959</v>
      </c>
      <c r="C1159">
        <v>80</v>
      </c>
      <c r="D1159">
        <v>13</v>
      </c>
      <c r="E1159">
        <v>3</v>
      </c>
      <c r="F1159">
        <v>5</v>
      </c>
    </row>
    <row r="1160" spans="1:6" x14ac:dyDescent="0.35">
      <c r="A1160">
        <v>1968</v>
      </c>
      <c r="B1160">
        <v>8537</v>
      </c>
      <c r="C1160">
        <v>80</v>
      </c>
      <c r="D1160">
        <v>94</v>
      </c>
      <c r="E1160">
        <v>3</v>
      </c>
      <c r="F1160">
        <v>7</v>
      </c>
    </row>
    <row r="1161" spans="1:6" x14ac:dyDescent="0.35">
      <c r="A1161">
        <v>1637</v>
      </c>
      <c r="B1161">
        <v>10711</v>
      </c>
      <c r="C1161">
        <v>77</v>
      </c>
      <c r="D1161">
        <v>23</v>
      </c>
      <c r="E1161">
        <v>3</v>
      </c>
      <c r="F1161">
        <v>12</v>
      </c>
    </row>
    <row r="1162" spans="1:6" x14ac:dyDescent="0.35">
      <c r="A1162">
        <v>104</v>
      </c>
      <c r="B1162">
        <v>8908</v>
      </c>
      <c r="C1162">
        <v>76</v>
      </c>
      <c r="D1162">
        <v>26</v>
      </c>
      <c r="E1162">
        <v>3</v>
      </c>
      <c r="F1162">
        <v>5</v>
      </c>
    </row>
    <row r="1163" spans="1:6" x14ac:dyDescent="0.35">
      <c r="A1163">
        <v>268</v>
      </c>
      <c r="B1163">
        <v>291</v>
      </c>
      <c r="C1163">
        <v>74</v>
      </c>
      <c r="D1163">
        <v>149</v>
      </c>
      <c r="E1163">
        <v>3</v>
      </c>
      <c r="F1163">
        <v>6</v>
      </c>
    </row>
    <row r="1164" spans="1:6" x14ac:dyDescent="0.35">
      <c r="A1164">
        <v>1626</v>
      </c>
      <c r="B1164">
        <v>8041</v>
      </c>
      <c r="C1164">
        <v>71</v>
      </c>
      <c r="D1164">
        <v>112</v>
      </c>
      <c r="E1164">
        <v>3</v>
      </c>
      <c r="F1164">
        <v>10</v>
      </c>
    </row>
    <row r="1165" spans="1:6" x14ac:dyDescent="0.35">
      <c r="A1165">
        <v>507</v>
      </c>
      <c r="B1165">
        <v>6071</v>
      </c>
      <c r="C1165">
        <v>70</v>
      </c>
      <c r="D1165">
        <v>40</v>
      </c>
      <c r="E1165">
        <v>3</v>
      </c>
      <c r="F1165">
        <v>11</v>
      </c>
    </row>
    <row r="1166" spans="1:6" x14ac:dyDescent="0.35">
      <c r="A1166">
        <v>1689</v>
      </c>
      <c r="B1166">
        <v>295</v>
      </c>
      <c r="C1166">
        <v>70</v>
      </c>
      <c r="D1166">
        <v>40</v>
      </c>
      <c r="E1166">
        <v>3</v>
      </c>
      <c r="F1166">
        <v>11</v>
      </c>
    </row>
    <row r="1167" spans="1:6" x14ac:dyDescent="0.35">
      <c r="A1167">
        <v>423</v>
      </c>
      <c r="B1167">
        <v>1361</v>
      </c>
      <c r="C1167">
        <v>68</v>
      </c>
      <c r="D1167">
        <v>91</v>
      </c>
      <c r="E1167">
        <v>3</v>
      </c>
      <c r="F1167">
        <v>8</v>
      </c>
    </row>
    <row r="1168" spans="1:6" x14ac:dyDescent="0.35">
      <c r="A1168">
        <v>2134</v>
      </c>
      <c r="B1168">
        <v>4369</v>
      </c>
      <c r="C1168">
        <v>67</v>
      </c>
      <c r="D1168">
        <v>0</v>
      </c>
      <c r="E1168">
        <v>3</v>
      </c>
      <c r="F1168">
        <v>6</v>
      </c>
    </row>
    <row r="1169" spans="1:6" x14ac:dyDescent="0.35">
      <c r="A1169">
        <v>2188</v>
      </c>
      <c r="B1169">
        <v>10652</v>
      </c>
      <c r="C1169">
        <v>67</v>
      </c>
      <c r="D1169">
        <v>0</v>
      </c>
      <c r="E1169">
        <v>3</v>
      </c>
      <c r="F1169">
        <v>6</v>
      </c>
    </row>
    <row r="1170" spans="1:6" x14ac:dyDescent="0.35">
      <c r="A1170">
        <v>841</v>
      </c>
      <c r="B1170">
        <v>368</v>
      </c>
      <c r="C1170">
        <v>65</v>
      </c>
      <c r="D1170">
        <v>44</v>
      </c>
      <c r="E1170">
        <v>3</v>
      </c>
      <c r="F1170">
        <v>6</v>
      </c>
    </row>
    <row r="1171" spans="1:6" x14ac:dyDescent="0.35">
      <c r="A1171">
        <v>357</v>
      </c>
      <c r="B1171">
        <v>6184</v>
      </c>
      <c r="C1171">
        <v>64</v>
      </c>
      <c r="D1171">
        <v>128</v>
      </c>
      <c r="E1171">
        <v>3</v>
      </c>
      <c r="F1171">
        <v>8</v>
      </c>
    </row>
    <row r="1172" spans="1:6" x14ac:dyDescent="0.35">
      <c r="A1172">
        <v>12</v>
      </c>
      <c r="B1172">
        <v>2125</v>
      </c>
      <c r="C1172">
        <v>61</v>
      </c>
      <c r="D1172">
        <v>112</v>
      </c>
      <c r="E1172">
        <v>3</v>
      </c>
      <c r="F1172">
        <v>8</v>
      </c>
    </row>
    <row r="1173" spans="1:6" x14ac:dyDescent="0.35">
      <c r="A1173">
        <v>915</v>
      </c>
      <c r="B1173">
        <v>9308</v>
      </c>
      <c r="C1173">
        <v>61</v>
      </c>
      <c r="D1173">
        <v>61</v>
      </c>
      <c r="E1173">
        <v>3</v>
      </c>
      <c r="F1173">
        <v>6</v>
      </c>
    </row>
    <row r="1174" spans="1:6" x14ac:dyDescent="0.35">
      <c r="A1174">
        <v>1905</v>
      </c>
      <c r="B1174">
        <v>544</v>
      </c>
      <c r="C1174">
        <v>61</v>
      </c>
      <c r="D1174">
        <v>61</v>
      </c>
      <c r="E1174">
        <v>3</v>
      </c>
      <c r="F1174">
        <v>6</v>
      </c>
    </row>
    <row r="1175" spans="1:6" x14ac:dyDescent="0.35">
      <c r="A1175">
        <v>1927</v>
      </c>
      <c r="B1175">
        <v>2181</v>
      </c>
      <c r="C1175">
        <v>61</v>
      </c>
      <c r="D1175">
        <v>46</v>
      </c>
      <c r="E1175">
        <v>3</v>
      </c>
      <c r="F1175">
        <v>7</v>
      </c>
    </row>
    <row r="1176" spans="1:6" x14ac:dyDescent="0.35">
      <c r="A1176">
        <v>1587</v>
      </c>
      <c r="B1176">
        <v>2471</v>
      </c>
      <c r="C1176">
        <v>58</v>
      </c>
      <c r="D1176">
        <v>66</v>
      </c>
      <c r="E1176">
        <v>3</v>
      </c>
      <c r="F1176">
        <v>6</v>
      </c>
    </row>
    <row r="1177" spans="1:6" x14ac:dyDescent="0.35">
      <c r="A1177">
        <v>885</v>
      </c>
      <c r="B1177">
        <v>4597</v>
      </c>
      <c r="C1177">
        <v>55</v>
      </c>
      <c r="D1177">
        <v>92</v>
      </c>
      <c r="E1177">
        <v>3</v>
      </c>
      <c r="F1177">
        <v>13</v>
      </c>
    </row>
    <row r="1178" spans="1:6" x14ac:dyDescent="0.35">
      <c r="A1178">
        <v>808</v>
      </c>
      <c r="B1178">
        <v>2350</v>
      </c>
      <c r="C1178">
        <v>53</v>
      </c>
      <c r="D1178">
        <v>17</v>
      </c>
      <c r="E1178">
        <v>3</v>
      </c>
      <c r="F1178">
        <v>8</v>
      </c>
    </row>
    <row r="1179" spans="1:6" x14ac:dyDescent="0.35">
      <c r="A1179">
        <v>55</v>
      </c>
      <c r="B1179">
        <v>6260</v>
      </c>
      <c r="C1179">
        <v>51</v>
      </c>
      <c r="D1179">
        <v>120</v>
      </c>
      <c r="E1179">
        <v>3</v>
      </c>
      <c r="F1179">
        <v>13</v>
      </c>
    </row>
    <row r="1180" spans="1:6" x14ac:dyDescent="0.35">
      <c r="A1180">
        <v>766</v>
      </c>
      <c r="B1180">
        <v>5331</v>
      </c>
      <c r="C1180">
        <v>51</v>
      </c>
      <c r="D1180">
        <v>0</v>
      </c>
      <c r="E1180">
        <v>3</v>
      </c>
      <c r="F1180">
        <v>7</v>
      </c>
    </row>
    <row r="1181" spans="1:6" x14ac:dyDescent="0.35">
      <c r="A1181">
        <v>844</v>
      </c>
      <c r="B1181">
        <v>5332</v>
      </c>
      <c r="C1181">
        <v>50</v>
      </c>
      <c r="D1181">
        <v>35</v>
      </c>
      <c r="E1181">
        <v>3</v>
      </c>
      <c r="F1181">
        <v>7</v>
      </c>
    </row>
    <row r="1182" spans="1:6" x14ac:dyDescent="0.35">
      <c r="A1182">
        <v>1796</v>
      </c>
      <c r="B1182">
        <v>7002</v>
      </c>
      <c r="C1182">
        <v>48</v>
      </c>
      <c r="D1182">
        <v>45</v>
      </c>
      <c r="E1182">
        <v>3</v>
      </c>
      <c r="F1182">
        <v>8</v>
      </c>
    </row>
    <row r="1183" spans="1:6" x14ac:dyDescent="0.35">
      <c r="A1183">
        <v>1841</v>
      </c>
      <c r="B1183">
        <v>6906</v>
      </c>
      <c r="C1183">
        <v>48</v>
      </c>
      <c r="D1183">
        <v>72</v>
      </c>
      <c r="E1183">
        <v>3</v>
      </c>
      <c r="F1183">
        <v>4</v>
      </c>
    </row>
    <row r="1184" spans="1:6" x14ac:dyDescent="0.35">
      <c r="A1184">
        <v>253</v>
      </c>
      <c r="B1184">
        <v>2227</v>
      </c>
      <c r="C1184">
        <v>47</v>
      </c>
      <c r="D1184">
        <v>20</v>
      </c>
      <c r="E1184">
        <v>3</v>
      </c>
      <c r="F1184">
        <v>5</v>
      </c>
    </row>
    <row r="1185" spans="1:6" x14ac:dyDescent="0.35">
      <c r="A1185">
        <v>657</v>
      </c>
      <c r="B1185">
        <v>946</v>
      </c>
      <c r="C1185">
        <v>47</v>
      </c>
      <c r="D1185">
        <v>20</v>
      </c>
      <c r="E1185">
        <v>3</v>
      </c>
      <c r="F1185">
        <v>5</v>
      </c>
    </row>
    <row r="1186" spans="1:6" x14ac:dyDescent="0.35">
      <c r="A1186">
        <v>546</v>
      </c>
      <c r="B1186">
        <v>10955</v>
      </c>
      <c r="C1186">
        <v>46</v>
      </c>
      <c r="D1186">
        <v>107</v>
      </c>
      <c r="E1186">
        <v>3</v>
      </c>
      <c r="F1186">
        <v>4</v>
      </c>
    </row>
    <row r="1187" spans="1:6" x14ac:dyDescent="0.35">
      <c r="A1187">
        <v>631</v>
      </c>
      <c r="B1187">
        <v>9624</v>
      </c>
      <c r="C1187">
        <v>45</v>
      </c>
      <c r="D1187">
        <v>18</v>
      </c>
      <c r="E1187">
        <v>3</v>
      </c>
      <c r="F1187">
        <v>6</v>
      </c>
    </row>
    <row r="1188" spans="1:6" x14ac:dyDescent="0.35">
      <c r="A1188">
        <v>1220</v>
      </c>
      <c r="B1188">
        <v>10395</v>
      </c>
      <c r="C1188">
        <v>45</v>
      </c>
      <c r="D1188">
        <v>6</v>
      </c>
      <c r="E1188">
        <v>3</v>
      </c>
      <c r="F1188">
        <v>3</v>
      </c>
    </row>
    <row r="1189" spans="1:6" x14ac:dyDescent="0.35">
      <c r="A1189">
        <v>1316</v>
      </c>
      <c r="B1189">
        <v>4554</v>
      </c>
      <c r="C1189">
        <v>45</v>
      </c>
      <c r="D1189">
        <v>10</v>
      </c>
      <c r="E1189">
        <v>3</v>
      </c>
      <c r="F1189">
        <v>8</v>
      </c>
    </row>
    <row r="1190" spans="1:6" x14ac:dyDescent="0.35">
      <c r="A1190">
        <v>1945</v>
      </c>
      <c r="B1190">
        <v>10868</v>
      </c>
      <c r="C1190">
        <v>45</v>
      </c>
      <c r="D1190">
        <v>11</v>
      </c>
      <c r="E1190">
        <v>3</v>
      </c>
      <c r="F1190">
        <v>10</v>
      </c>
    </row>
    <row r="1191" spans="1:6" x14ac:dyDescent="0.35">
      <c r="A1191">
        <v>270</v>
      </c>
      <c r="B1191">
        <v>2379</v>
      </c>
      <c r="C1191">
        <v>44</v>
      </c>
      <c r="D1191">
        <v>73</v>
      </c>
      <c r="E1191">
        <v>3</v>
      </c>
      <c r="F1191">
        <v>5</v>
      </c>
    </row>
    <row r="1192" spans="1:6" x14ac:dyDescent="0.35">
      <c r="A1192">
        <v>1055</v>
      </c>
      <c r="B1192">
        <v>7290</v>
      </c>
      <c r="C1192">
        <v>44</v>
      </c>
      <c r="D1192">
        <v>0</v>
      </c>
      <c r="E1192">
        <v>3</v>
      </c>
      <c r="F1192">
        <v>12</v>
      </c>
    </row>
    <row r="1193" spans="1:6" x14ac:dyDescent="0.35">
      <c r="A1193">
        <v>1069</v>
      </c>
      <c r="B1193">
        <v>2875</v>
      </c>
      <c r="C1193">
        <v>44</v>
      </c>
      <c r="D1193">
        <v>8</v>
      </c>
      <c r="E1193">
        <v>3</v>
      </c>
      <c r="F1193">
        <v>13</v>
      </c>
    </row>
    <row r="1194" spans="1:6" x14ac:dyDescent="0.35">
      <c r="A1194">
        <v>1772</v>
      </c>
      <c r="B1194">
        <v>8895</v>
      </c>
      <c r="C1194">
        <v>44</v>
      </c>
      <c r="D1194">
        <v>0</v>
      </c>
      <c r="E1194">
        <v>3</v>
      </c>
      <c r="F1194">
        <v>12</v>
      </c>
    </row>
    <row r="1195" spans="1:6" x14ac:dyDescent="0.35">
      <c r="A1195">
        <v>1005</v>
      </c>
      <c r="B1195">
        <v>7453</v>
      </c>
      <c r="C1195">
        <v>43</v>
      </c>
      <c r="D1195">
        <v>56</v>
      </c>
      <c r="E1195">
        <v>3</v>
      </c>
      <c r="F1195">
        <v>4</v>
      </c>
    </row>
    <row r="1196" spans="1:6" x14ac:dyDescent="0.35">
      <c r="A1196">
        <v>2118</v>
      </c>
      <c r="B1196">
        <v>6262</v>
      </c>
      <c r="C1196">
        <v>42</v>
      </c>
      <c r="D1196">
        <v>56</v>
      </c>
      <c r="E1196">
        <v>3</v>
      </c>
      <c r="F1196">
        <v>8</v>
      </c>
    </row>
    <row r="1197" spans="1:6" x14ac:dyDescent="0.35">
      <c r="A1197">
        <v>688</v>
      </c>
      <c r="B1197">
        <v>10767</v>
      </c>
      <c r="C1197">
        <v>40</v>
      </c>
      <c r="D1197">
        <v>40</v>
      </c>
      <c r="E1197">
        <v>3</v>
      </c>
      <c r="F1197">
        <v>12</v>
      </c>
    </row>
    <row r="1198" spans="1:6" x14ac:dyDescent="0.35">
      <c r="A1198">
        <v>715</v>
      </c>
      <c r="B1198">
        <v>10479</v>
      </c>
      <c r="C1198">
        <v>40</v>
      </c>
      <c r="D1198">
        <v>160</v>
      </c>
      <c r="E1198">
        <v>3</v>
      </c>
      <c r="F1198">
        <v>5</v>
      </c>
    </row>
    <row r="1199" spans="1:6" x14ac:dyDescent="0.35">
      <c r="A1199">
        <v>1169</v>
      </c>
      <c r="B1199">
        <v>2410</v>
      </c>
      <c r="C1199">
        <v>40</v>
      </c>
      <c r="D1199">
        <v>60</v>
      </c>
      <c r="E1199">
        <v>3</v>
      </c>
      <c r="F1199">
        <v>8</v>
      </c>
    </row>
    <row r="1200" spans="1:6" x14ac:dyDescent="0.35">
      <c r="A1200">
        <v>1314</v>
      </c>
      <c r="B1200">
        <v>8789</v>
      </c>
      <c r="C1200">
        <v>40</v>
      </c>
      <c r="D1200">
        <v>40</v>
      </c>
      <c r="E1200">
        <v>3</v>
      </c>
      <c r="F1200">
        <v>7</v>
      </c>
    </row>
    <row r="1201" spans="1:6" x14ac:dyDescent="0.35">
      <c r="A1201">
        <v>1117</v>
      </c>
      <c r="B1201">
        <v>1175</v>
      </c>
      <c r="C1201">
        <v>39</v>
      </c>
      <c r="D1201">
        <v>28</v>
      </c>
      <c r="E1201">
        <v>3</v>
      </c>
      <c r="F1201">
        <v>3</v>
      </c>
    </row>
    <row r="1202" spans="1:6" x14ac:dyDescent="0.35">
      <c r="A1202">
        <v>1651</v>
      </c>
      <c r="B1202">
        <v>8395</v>
      </c>
      <c r="C1202">
        <v>37</v>
      </c>
      <c r="D1202">
        <v>163</v>
      </c>
      <c r="E1202">
        <v>3</v>
      </c>
      <c r="F1202">
        <v>12</v>
      </c>
    </row>
    <row r="1203" spans="1:6" x14ac:dyDescent="0.35">
      <c r="A1203">
        <v>1534</v>
      </c>
      <c r="B1203">
        <v>3745</v>
      </c>
      <c r="C1203">
        <v>36</v>
      </c>
      <c r="D1203">
        <v>10</v>
      </c>
      <c r="E1203">
        <v>3</v>
      </c>
      <c r="F1203">
        <v>3</v>
      </c>
    </row>
    <row r="1204" spans="1:6" x14ac:dyDescent="0.35">
      <c r="A1204">
        <v>34</v>
      </c>
      <c r="B1204">
        <v>8755</v>
      </c>
      <c r="C1204">
        <v>34</v>
      </c>
      <c r="D1204">
        <v>68</v>
      </c>
      <c r="E1204">
        <v>3</v>
      </c>
      <c r="F1204">
        <v>9</v>
      </c>
    </row>
    <row r="1205" spans="1:6" x14ac:dyDescent="0.35">
      <c r="A1205">
        <v>1809</v>
      </c>
      <c r="B1205">
        <v>1990</v>
      </c>
      <c r="C1205">
        <v>34</v>
      </c>
      <c r="D1205">
        <v>86</v>
      </c>
      <c r="E1205">
        <v>3</v>
      </c>
      <c r="F1205">
        <v>8</v>
      </c>
    </row>
    <row r="1206" spans="1:6" x14ac:dyDescent="0.35">
      <c r="A1206">
        <v>1951</v>
      </c>
      <c r="B1206">
        <v>2162</v>
      </c>
      <c r="C1206">
        <v>34</v>
      </c>
      <c r="D1206">
        <v>29</v>
      </c>
      <c r="E1206">
        <v>3</v>
      </c>
      <c r="F1206">
        <v>10</v>
      </c>
    </row>
    <row r="1207" spans="1:6" x14ac:dyDescent="0.35">
      <c r="A1207">
        <v>125</v>
      </c>
      <c r="B1207">
        <v>1491</v>
      </c>
      <c r="C1207">
        <v>33</v>
      </c>
      <c r="D1207">
        <v>28</v>
      </c>
      <c r="E1207">
        <v>3</v>
      </c>
      <c r="F1207">
        <v>7</v>
      </c>
    </row>
    <row r="1208" spans="1:6" x14ac:dyDescent="0.35">
      <c r="A1208">
        <v>257</v>
      </c>
      <c r="B1208">
        <v>3406</v>
      </c>
      <c r="C1208">
        <v>33</v>
      </c>
      <c r="D1208">
        <v>24</v>
      </c>
      <c r="E1208">
        <v>3</v>
      </c>
      <c r="F1208">
        <v>7</v>
      </c>
    </row>
    <row r="1209" spans="1:6" x14ac:dyDescent="0.35">
      <c r="A1209">
        <v>602</v>
      </c>
      <c r="B1209">
        <v>7972</v>
      </c>
      <c r="C1209">
        <v>32</v>
      </c>
      <c r="D1209">
        <v>75</v>
      </c>
      <c r="E1209">
        <v>3</v>
      </c>
      <c r="F1209">
        <v>9</v>
      </c>
    </row>
    <row r="1210" spans="1:6" x14ac:dyDescent="0.35">
      <c r="A1210">
        <v>679</v>
      </c>
      <c r="B1210">
        <v>9596</v>
      </c>
      <c r="C1210">
        <v>32</v>
      </c>
      <c r="D1210">
        <v>110</v>
      </c>
      <c r="E1210">
        <v>3</v>
      </c>
      <c r="F1210">
        <v>13</v>
      </c>
    </row>
    <row r="1211" spans="1:6" x14ac:dyDescent="0.35">
      <c r="A1211">
        <v>703</v>
      </c>
      <c r="B1211">
        <v>8029</v>
      </c>
      <c r="C1211">
        <v>32</v>
      </c>
      <c r="D1211">
        <v>16</v>
      </c>
      <c r="E1211">
        <v>3</v>
      </c>
      <c r="F1211">
        <v>7</v>
      </c>
    </row>
    <row r="1212" spans="1:6" x14ac:dyDescent="0.35">
      <c r="A1212">
        <v>892</v>
      </c>
      <c r="B1212">
        <v>10925</v>
      </c>
      <c r="C1212">
        <v>31</v>
      </c>
      <c r="D1212">
        <v>56</v>
      </c>
      <c r="E1212">
        <v>3</v>
      </c>
      <c r="F1212">
        <v>11</v>
      </c>
    </row>
    <row r="1213" spans="1:6" x14ac:dyDescent="0.35">
      <c r="A1213">
        <v>2220</v>
      </c>
      <c r="B1213">
        <v>6261</v>
      </c>
      <c r="C1213">
        <v>31</v>
      </c>
      <c r="D1213">
        <v>48</v>
      </c>
      <c r="E1213">
        <v>3</v>
      </c>
      <c r="F1213">
        <v>10</v>
      </c>
    </row>
    <row r="1214" spans="1:6" x14ac:dyDescent="0.35">
      <c r="A1214">
        <v>594</v>
      </c>
      <c r="B1214">
        <v>3075</v>
      </c>
      <c r="C1214">
        <v>30</v>
      </c>
      <c r="D1214">
        <v>34</v>
      </c>
      <c r="E1214">
        <v>3</v>
      </c>
      <c r="F1214">
        <v>7</v>
      </c>
    </row>
    <row r="1215" spans="1:6" x14ac:dyDescent="0.35">
      <c r="A1215">
        <v>918</v>
      </c>
      <c r="B1215">
        <v>2625</v>
      </c>
      <c r="C1215">
        <v>29</v>
      </c>
      <c r="D1215">
        <v>32</v>
      </c>
      <c r="E1215">
        <v>3</v>
      </c>
      <c r="F1215">
        <v>7</v>
      </c>
    </row>
    <row r="1216" spans="1:6" x14ac:dyDescent="0.35">
      <c r="A1216">
        <v>554</v>
      </c>
      <c r="B1216">
        <v>9504</v>
      </c>
      <c r="C1216">
        <v>28</v>
      </c>
      <c r="D1216">
        <v>123</v>
      </c>
      <c r="E1216">
        <v>3</v>
      </c>
      <c r="F1216">
        <v>13</v>
      </c>
    </row>
    <row r="1217" spans="1:6" x14ac:dyDescent="0.35">
      <c r="A1217">
        <v>807</v>
      </c>
      <c r="B1217">
        <v>7352</v>
      </c>
      <c r="C1217">
        <v>28</v>
      </c>
      <c r="D1217">
        <v>3</v>
      </c>
      <c r="E1217">
        <v>3</v>
      </c>
      <c r="F1217">
        <v>6</v>
      </c>
    </row>
    <row r="1218" spans="1:6" x14ac:dyDescent="0.35">
      <c r="A1218">
        <v>910</v>
      </c>
      <c r="B1218">
        <v>7053</v>
      </c>
      <c r="C1218">
        <v>28</v>
      </c>
      <c r="D1218">
        <v>28</v>
      </c>
      <c r="E1218">
        <v>3</v>
      </c>
      <c r="F1218">
        <v>8</v>
      </c>
    </row>
    <row r="1219" spans="1:6" x14ac:dyDescent="0.35">
      <c r="A1219">
        <v>949</v>
      </c>
      <c r="B1219">
        <v>2882</v>
      </c>
      <c r="C1219">
        <v>28</v>
      </c>
      <c r="D1219">
        <v>18</v>
      </c>
      <c r="E1219">
        <v>3</v>
      </c>
      <c r="F1219">
        <v>9</v>
      </c>
    </row>
    <row r="1220" spans="1:6" x14ac:dyDescent="0.35">
      <c r="A1220">
        <v>1115</v>
      </c>
      <c r="B1220">
        <v>4356</v>
      </c>
      <c r="C1220">
        <v>28</v>
      </c>
      <c r="D1220">
        <v>14</v>
      </c>
      <c r="E1220">
        <v>3</v>
      </c>
      <c r="F1220">
        <v>5</v>
      </c>
    </row>
    <row r="1221" spans="1:6" x14ac:dyDescent="0.35">
      <c r="A1221">
        <v>60</v>
      </c>
      <c r="B1221">
        <v>6853</v>
      </c>
      <c r="C1221">
        <v>26</v>
      </c>
      <c r="D1221">
        <v>13</v>
      </c>
      <c r="E1221">
        <v>3</v>
      </c>
      <c r="F1221">
        <v>11</v>
      </c>
    </row>
    <row r="1222" spans="1:6" x14ac:dyDescent="0.35">
      <c r="A1222">
        <v>306</v>
      </c>
      <c r="B1222">
        <v>6609</v>
      </c>
      <c r="C1222">
        <v>26</v>
      </c>
      <c r="D1222">
        <v>23</v>
      </c>
      <c r="E1222">
        <v>3</v>
      </c>
      <c r="F1222">
        <v>3</v>
      </c>
    </row>
    <row r="1223" spans="1:6" x14ac:dyDescent="0.35">
      <c r="A1223">
        <v>1969</v>
      </c>
      <c r="B1223">
        <v>4331</v>
      </c>
      <c r="C1223">
        <v>26</v>
      </c>
      <c r="D1223">
        <v>26</v>
      </c>
      <c r="E1223">
        <v>3</v>
      </c>
      <c r="F1223">
        <v>11</v>
      </c>
    </row>
    <row r="1224" spans="1:6" x14ac:dyDescent="0.35">
      <c r="A1224">
        <v>2080</v>
      </c>
      <c r="B1224">
        <v>4643</v>
      </c>
      <c r="C1224">
        <v>26</v>
      </c>
      <c r="D1224">
        <v>9</v>
      </c>
      <c r="E1224">
        <v>3</v>
      </c>
      <c r="F1224">
        <v>4</v>
      </c>
    </row>
    <row r="1225" spans="1:6" x14ac:dyDescent="0.35">
      <c r="A1225">
        <v>2221</v>
      </c>
      <c r="B1225">
        <v>7366</v>
      </c>
      <c r="C1225">
        <v>26</v>
      </c>
      <c r="D1225">
        <v>13</v>
      </c>
      <c r="E1225">
        <v>3</v>
      </c>
      <c r="F1225">
        <v>11</v>
      </c>
    </row>
    <row r="1226" spans="1:6" x14ac:dyDescent="0.35">
      <c r="A1226">
        <v>611</v>
      </c>
      <c r="B1226">
        <v>4587</v>
      </c>
      <c r="C1226">
        <v>25</v>
      </c>
      <c r="D1226">
        <v>0</v>
      </c>
      <c r="E1226">
        <v>3</v>
      </c>
      <c r="F1226">
        <v>7</v>
      </c>
    </row>
    <row r="1227" spans="1:6" x14ac:dyDescent="0.35">
      <c r="A1227">
        <v>210</v>
      </c>
      <c r="B1227">
        <v>2677</v>
      </c>
      <c r="C1227">
        <v>24</v>
      </c>
      <c r="D1227">
        <v>4</v>
      </c>
      <c r="E1227">
        <v>3</v>
      </c>
      <c r="F1227">
        <v>6</v>
      </c>
    </row>
    <row r="1228" spans="1:6" x14ac:dyDescent="0.35">
      <c r="A1228">
        <v>378</v>
      </c>
      <c r="B1228">
        <v>1729</v>
      </c>
      <c r="C1228">
        <v>24</v>
      </c>
      <c r="D1228">
        <v>24</v>
      </c>
      <c r="E1228">
        <v>3</v>
      </c>
      <c r="F1228">
        <v>10</v>
      </c>
    </row>
    <row r="1229" spans="1:6" x14ac:dyDescent="0.35">
      <c r="A1229">
        <v>84</v>
      </c>
      <c r="B1229">
        <v>535</v>
      </c>
      <c r="C1229">
        <v>23</v>
      </c>
      <c r="D1229">
        <v>65</v>
      </c>
      <c r="E1229">
        <v>3</v>
      </c>
      <c r="F1229">
        <v>13</v>
      </c>
    </row>
    <row r="1230" spans="1:6" x14ac:dyDescent="0.35">
      <c r="A1230">
        <v>879</v>
      </c>
      <c r="B1230">
        <v>3270</v>
      </c>
      <c r="C1230">
        <v>23</v>
      </c>
      <c r="D1230">
        <v>18</v>
      </c>
      <c r="E1230">
        <v>3</v>
      </c>
      <c r="F1230">
        <v>3</v>
      </c>
    </row>
    <row r="1231" spans="1:6" x14ac:dyDescent="0.35">
      <c r="A1231">
        <v>1584</v>
      </c>
      <c r="B1231">
        <v>4608</v>
      </c>
      <c r="C1231">
        <v>23</v>
      </c>
      <c r="D1231">
        <v>65</v>
      </c>
      <c r="E1231">
        <v>3</v>
      </c>
      <c r="F1231">
        <v>13</v>
      </c>
    </row>
    <row r="1232" spans="1:6" x14ac:dyDescent="0.35">
      <c r="A1232">
        <v>410</v>
      </c>
      <c r="B1232">
        <v>7301</v>
      </c>
      <c r="C1232">
        <v>22</v>
      </c>
      <c r="D1232">
        <v>7</v>
      </c>
      <c r="E1232">
        <v>3</v>
      </c>
      <c r="F1232">
        <v>3</v>
      </c>
    </row>
    <row r="1233" spans="1:6" x14ac:dyDescent="0.35">
      <c r="A1233">
        <v>1792</v>
      </c>
      <c r="B1233">
        <v>7960</v>
      </c>
      <c r="C1233">
        <v>22</v>
      </c>
      <c r="D1233">
        <v>25</v>
      </c>
      <c r="E1233">
        <v>3</v>
      </c>
      <c r="F1233">
        <v>13</v>
      </c>
    </row>
    <row r="1234" spans="1:6" x14ac:dyDescent="0.35">
      <c r="A1234">
        <v>903</v>
      </c>
      <c r="B1234">
        <v>2727</v>
      </c>
      <c r="C1234">
        <v>21</v>
      </c>
      <c r="D1234">
        <v>3</v>
      </c>
      <c r="E1234">
        <v>3</v>
      </c>
      <c r="F1234">
        <v>6</v>
      </c>
    </row>
    <row r="1235" spans="1:6" x14ac:dyDescent="0.35">
      <c r="A1235">
        <v>1177</v>
      </c>
      <c r="B1235">
        <v>10669</v>
      </c>
      <c r="C1235">
        <v>21</v>
      </c>
      <c r="D1235">
        <v>21</v>
      </c>
      <c r="E1235">
        <v>3</v>
      </c>
      <c r="F1235">
        <v>10</v>
      </c>
    </row>
    <row r="1236" spans="1:6" x14ac:dyDescent="0.35">
      <c r="A1236">
        <v>1895</v>
      </c>
      <c r="B1236">
        <v>3578</v>
      </c>
      <c r="C1236">
        <v>21</v>
      </c>
      <c r="D1236">
        <v>10</v>
      </c>
      <c r="E1236">
        <v>3</v>
      </c>
      <c r="F1236">
        <v>6</v>
      </c>
    </row>
    <row r="1237" spans="1:6" x14ac:dyDescent="0.35">
      <c r="A1237">
        <v>492</v>
      </c>
      <c r="B1237">
        <v>10965</v>
      </c>
      <c r="C1237">
        <v>20</v>
      </c>
      <c r="D1237">
        <v>50</v>
      </c>
      <c r="E1237">
        <v>3</v>
      </c>
      <c r="F1237">
        <v>13</v>
      </c>
    </row>
    <row r="1238" spans="1:6" x14ac:dyDescent="0.35">
      <c r="A1238">
        <v>280</v>
      </c>
      <c r="B1238">
        <v>4669</v>
      </c>
      <c r="C1238">
        <v>19</v>
      </c>
      <c r="D1238">
        <v>25</v>
      </c>
      <c r="E1238">
        <v>3</v>
      </c>
      <c r="F1238">
        <v>4</v>
      </c>
    </row>
    <row r="1239" spans="1:6" x14ac:dyDescent="0.35">
      <c r="A1239">
        <v>916</v>
      </c>
      <c r="B1239">
        <v>10505</v>
      </c>
      <c r="C1239">
        <v>19</v>
      </c>
      <c r="D1239">
        <v>9</v>
      </c>
      <c r="E1239">
        <v>3</v>
      </c>
      <c r="F1239">
        <v>7</v>
      </c>
    </row>
    <row r="1240" spans="1:6" x14ac:dyDescent="0.35">
      <c r="A1240">
        <v>1443</v>
      </c>
      <c r="B1240">
        <v>4530</v>
      </c>
      <c r="C1240">
        <v>19</v>
      </c>
      <c r="D1240">
        <v>26</v>
      </c>
      <c r="E1240">
        <v>3</v>
      </c>
      <c r="F1240">
        <v>10</v>
      </c>
    </row>
    <row r="1241" spans="1:6" x14ac:dyDescent="0.35">
      <c r="A1241">
        <v>1742</v>
      </c>
      <c r="B1241">
        <v>263</v>
      </c>
      <c r="C1241">
        <v>19</v>
      </c>
      <c r="D1241">
        <v>14</v>
      </c>
      <c r="E1241">
        <v>3</v>
      </c>
      <c r="F1241">
        <v>3</v>
      </c>
    </row>
    <row r="1242" spans="1:6" x14ac:dyDescent="0.35">
      <c r="A1242">
        <v>1989</v>
      </c>
      <c r="B1242">
        <v>9797</v>
      </c>
      <c r="C1242">
        <v>19</v>
      </c>
      <c r="D1242">
        <v>11</v>
      </c>
      <c r="E1242">
        <v>3</v>
      </c>
      <c r="F1242">
        <v>8</v>
      </c>
    </row>
    <row r="1243" spans="1:6" x14ac:dyDescent="0.35">
      <c r="A1243">
        <v>46</v>
      </c>
      <c r="B1243">
        <v>9909</v>
      </c>
      <c r="C1243">
        <v>18</v>
      </c>
      <c r="D1243">
        <v>22</v>
      </c>
      <c r="E1243">
        <v>3</v>
      </c>
      <c r="F1243">
        <v>3</v>
      </c>
    </row>
    <row r="1244" spans="1:6" x14ac:dyDescent="0.35">
      <c r="A1244">
        <v>564</v>
      </c>
      <c r="B1244">
        <v>10232</v>
      </c>
      <c r="C1244">
        <v>18</v>
      </c>
      <c r="D1244">
        <v>6</v>
      </c>
      <c r="E1244">
        <v>3</v>
      </c>
      <c r="F1244">
        <v>7</v>
      </c>
    </row>
    <row r="1245" spans="1:6" x14ac:dyDescent="0.35">
      <c r="A1245">
        <v>628</v>
      </c>
      <c r="B1245">
        <v>3469</v>
      </c>
      <c r="C1245">
        <v>18</v>
      </c>
      <c r="D1245">
        <v>1</v>
      </c>
      <c r="E1245">
        <v>3</v>
      </c>
      <c r="F1245">
        <v>3</v>
      </c>
    </row>
    <row r="1246" spans="1:6" x14ac:dyDescent="0.35">
      <c r="A1246">
        <v>1624</v>
      </c>
      <c r="B1246">
        <v>7019</v>
      </c>
      <c r="C1246">
        <v>18</v>
      </c>
      <c r="D1246">
        <v>26</v>
      </c>
      <c r="E1246">
        <v>3</v>
      </c>
      <c r="F1246">
        <v>5</v>
      </c>
    </row>
    <row r="1247" spans="1:6" x14ac:dyDescent="0.35">
      <c r="A1247">
        <v>747</v>
      </c>
      <c r="B1247">
        <v>10548</v>
      </c>
      <c r="C1247">
        <v>17</v>
      </c>
      <c r="D1247">
        <v>106</v>
      </c>
      <c r="E1247">
        <v>3</v>
      </c>
      <c r="F1247">
        <v>12</v>
      </c>
    </row>
    <row r="1248" spans="1:6" x14ac:dyDescent="0.35">
      <c r="A1248">
        <v>1246</v>
      </c>
      <c r="B1248">
        <v>4136</v>
      </c>
      <c r="C1248">
        <v>17</v>
      </c>
      <c r="D1248">
        <v>26</v>
      </c>
      <c r="E1248">
        <v>3</v>
      </c>
      <c r="F1248">
        <v>2</v>
      </c>
    </row>
    <row r="1249" spans="1:6" x14ac:dyDescent="0.35">
      <c r="A1249">
        <v>1704</v>
      </c>
      <c r="B1249">
        <v>7349</v>
      </c>
      <c r="C1249">
        <v>17</v>
      </c>
      <c r="D1249">
        <v>16</v>
      </c>
      <c r="E1249">
        <v>3</v>
      </c>
      <c r="F1249">
        <v>3</v>
      </c>
    </row>
    <row r="1250" spans="1:6" x14ac:dyDescent="0.35">
      <c r="A1250">
        <v>2002</v>
      </c>
      <c r="B1250">
        <v>4023</v>
      </c>
      <c r="C1250">
        <v>17</v>
      </c>
      <c r="D1250">
        <v>21</v>
      </c>
      <c r="E1250">
        <v>3</v>
      </c>
      <c r="F1250">
        <v>2</v>
      </c>
    </row>
    <row r="1251" spans="1:6" x14ac:dyDescent="0.35">
      <c r="A1251">
        <v>2035</v>
      </c>
      <c r="B1251">
        <v>9119</v>
      </c>
      <c r="C1251">
        <v>17</v>
      </c>
      <c r="D1251">
        <v>17</v>
      </c>
      <c r="E1251">
        <v>3</v>
      </c>
      <c r="F1251">
        <v>7</v>
      </c>
    </row>
    <row r="1252" spans="1:6" x14ac:dyDescent="0.35">
      <c r="A1252">
        <v>145</v>
      </c>
      <c r="B1252">
        <v>9949</v>
      </c>
      <c r="C1252">
        <v>16</v>
      </c>
      <c r="D1252">
        <v>41</v>
      </c>
      <c r="E1252">
        <v>3</v>
      </c>
      <c r="F1252">
        <v>6</v>
      </c>
    </row>
    <row r="1253" spans="1:6" x14ac:dyDescent="0.35">
      <c r="A1253">
        <v>551</v>
      </c>
      <c r="B1253">
        <v>5371</v>
      </c>
      <c r="C1253">
        <v>16</v>
      </c>
      <c r="D1253">
        <v>0</v>
      </c>
      <c r="E1253">
        <v>3</v>
      </c>
      <c r="F1253">
        <v>2</v>
      </c>
    </row>
    <row r="1254" spans="1:6" x14ac:dyDescent="0.35">
      <c r="A1254">
        <v>669</v>
      </c>
      <c r="B1254">
        <v>7426</v>
      </c>
      <c r="C1254">
        <v>16</v>
      </c>
      <c r="D1254">
        <v>9</v>
      </c>
      <c r="E1254">
        <v>3</v>
      </c>
      <c r="F1254">
        <v>5</v>
      </c>
    </row>
    <row r="1255" spans="1:6" x14ac:dyDescent="0.35">
      <c r="A1255">
        <v>1974</v>
      </c>
      <c r="B1255">
        <v>8360</v>
      </c>
      <c r="C1255">
        <v>16</v>
      </c>
      <c r="D1255">
        <v>9</v>
      </c>
      <c r="E1255">
        <v>3</v>
      </c>
      <c r="F1255">
        <v>5</v>
      </c>
    </row>
    <row r="1256" spans="1:6" x14ac:dyDescent="0.35">
      <c r="A1256">
        <v>826</v>
      </c>
      <c r="B1256">
        <v>9499</v>
      </c>
      <c r="C1256">
        <v>15</v>
      </c>
      <c r="D1256">
        <v>0</v>
      </c>
      <c r="E1256">
        <v>3</v>
      </c>
      <c r="F1256">
        <v>7</v>
      </c>
    </row>
    <row r="1257" spans="1:6" x14ac:dyDescent="0.35">
      <c r="A1257">
        <v>1356</v>
      </c>
      <c r="B1257">
        <v>7912</v>
      </c>
      <c r="C1257">
        <v>15</v>
      </c>
      <c r="D1257">
        <v>20</v>
      </c>
      <c r="E1257">
        <v>3</v>
      </c>
      <c r="F1257">
        <v>2</v>
      </c>
    </row>
    <row r="1258" spans="1:6" x14ac:dyDescent="0.35">
      <c r="A1258">
        <v>1988</v>
      </c>
      <c r="B1258">
        <v>898</v>
      </c>
      <c r="C1258">
        <v>15</v>
      </c>
      <c r="D1258">
        <v>8</v>
      </c>
      <c r="E1258">
        <v>3</v>
      </c>
      <c r="F1258">
        <v>4</v>
      </c>
    </row>
    <row r="1259" spans="1:6" x14ac:dyDescent="0.35">
      <c r="A1259">
        <v>1991</v>
      </c>
      <c r="B1259">
        <v>8212</v>
      </c>
      <c r="C1259">
        <v>15</v>
      </c>
      <c r="D1259">
        <v>13</v>
      </c>
      <c r="E1259">
        <v>3</v>
      </c>
      <c r="F1259">
        <v>4</v>
      </c>
    </row>
    <row r="1260" spans="1:6" x14ac:dyDescent="0.35">
      <c r="A1260">
        <v>343</v>
      </c>
      <c r="B1260">
        <v>6245</v>
      </c>
      <c r="C1260">
        <v>14</v>
      </c>
      <c r="D1260">
        <v>14</v>
      </c>
      <c r="E1260">
        <v>3</v>
      </c>
      <c r="F1260">
        <v>8</v>
      </c>
    </row>
    <row r="1261" spans="1:6" x14ac:dyDescent="0.35">
      <c r="A1261">
        <v>1899</v>
      </c>
      <c r="B1261">
        <v>8780</v>
      </c>
      <c r="C1261">
        <v>14</v>
      </c>
      <c r="D1261">
        <v>14</v>
      </c>
      <c r="E1261">
        <v>3</v>
      </c>
      <c r="F1261">
        <v>8</v>
      </c>
    </row>
    <row r="1262" spans="1:6" x14ac:dyDescent="0.35">
      <c r="A1262">
        <v>2233</v>
      </c>
      <c r="B1262">
        <v>9432</v>
      </c>
      <c r="C1262">
        <v>14</v>
      </c>
      <c r="D1262">
        <v>1</v>
      </c>
      <c r="E1262">
        <v>3</v>
      </c>
      <c r="F1262">
        <v>3</v>
      </c>
    </row>
    <row r="1263" spans="1:6" x14ac:dyDescent="0.35">
      <c r="A1263">
        <v>610</v>
      </c>
      <c r="B1263">
        <v>7930</v>
      </c>
      <c r="C1263">
        <v>13</v>
      </c>
      <c r="D1263">
        <v>18</v>
      </c>
      <c r="E1263">
        <v>3</v>
      </c>
      <c r="F1263">
        <v>6</v>
      </c>
    </row>
    <row r="1264" spans="1:6" x14ac:dyDescent="0.35">
      <c r="A1264">
        <v>873</v>
      </c>
      <c r="B1264">
        <v>738</v>
      </c>
      <c r="C1264">
        <v>13</v>
      </c>
      <c r="D1264">
        <v>15</v>
      </c>
      <c r="E1264">
        <v>3</v>
      </c>
      <c r="F1264">
        <v>4</v>
      </c>
    </row>
    <row r="1265" spans="1:6" x14ac:dyDescent="0.35">
      <c r="A1265">
        <v>1463</v>
      </c>
      <c r="B1265">
        <v>10403</v>
      </c>
      <c r="C1265">
        <v>13</v>
      </c>
      <c r="D1265">
        <v>5</v>
      </c>
      <c r="E1265">
        <v>3</v>
      </c>
      <c r="F1265">
        <v>3</v>
      </c>
    </row>
    <row r="1266" spans="1:6" x14ac:dyDescent="0.35">
      <c r="A1266">
        <v>877</v>
      </c>
      <c r="B1266">
        <v>10602</v>
      </c>
      <c r="C1266">
        <v>12</v>
      </c>
      <c r="D1266">
        <v>1</v>
      </c>
      <c r="E1266">
        <v>3</v>
      </c>
      <c r="F1266">
        <v>4</v>
      </c>
    </row>
    <row r="1267" spans="1:6" x14ac:dyDescent="0.35">
      <c r="A1267">
        <v>911</v>
      </c>
      <c r="B1267">
        <v>4654</v>
      </c>
      <c r="C1267">
        <v>12</v>
      </c>
      <c r="D1267">
        <v>60</v>
      </c>
      <c r="E1267">
        <v>3</v>
      </c>
      <c r="F1267">
        <v>5</v>
      </c>
    </row>
    <row r="1268" spans="1:6" x14ac:dyDescent="0.35">
      <c r="A1268">
        <v>964</v>
      </c>
      <c r="B1268">
        <v>5633</v>
      </c>
      <c r="C1268">
        <v>12</v>
      </c>
      <c r="D1268">
        <v>10</v>
      </c>
      <c r="E1268">
        <v>3</v>
      </c>
      <c r="F1268">
        <v>6</v>
      </c>
    </row>
    <row r="1269" spans="1:6" x14ac:dyDescent="0.35">
      <c r="A1269">
        <v>1275</v>
      </c>
      <c r="B1269">
        <v>10319</v>
      </c>
      <c r="C1269">
        <v>12</v>
      </c>
      <c r="D1269">
        <v>12</v>
      </c>
      <c r="E1269">
        <v>3</v>
      </c>
      <c r="F1269">
        <v>11</v>
      </c>
    </row>
    <row r="1270" spans="1:6" x14ac:dyDescent="0.35">
      <c r="A1270">
        <v>1439</v>
      </c>
      <c r="B1270">
        <v>3220</v>
      </c>
      <c r="C1270">
        <v>12</v>
      </c>
      <c r="D1270">
        <v>1</v>
      </c>
      <c r="E1270">
        <v>3</v>
      </c>
      <c r="F1270">
        <v>4</v>
      </c>
    </row>
    <row r="1271" spans="1:6" x14ac:dyDescent="0.35">
      <c r="A1271">
        <v>1514</v>
      </c>
      <c r="B1271">
        <v>3865</v>
      </c>
      <c r="C1271">
        <v>12</v>
      </c>
      <c r="D1271">
        <v>13</v>
      </c>
      <c r="E1271">
        <v>3</v>
      </c>
      <c r="F1271">
        <v>2</v>
      </c>
    </row>
    <row r="1272" spans="1:6" x14ac:dyDescent="0.35">
      <c r="A1272">
        <v>1560</v>
      </c>
      <c r="B1272">
        <v>5424</v>
      </c>
      <c r="C1272">
        <v>12</v>
      </c>
      <c r="D1272">
        <v>1</v>
      </c>
      <c r="E1272">
        <v>3</v>
      </c>
      <c r="F1272">
        <v>4</v>
      </c>
    </row>
    <row r="1273" spans="1:6" x14ac:dyDescent="0.35">
      <c r="A1273">
        <v>1586</v>
      </c>
      <c r="B1273">
        <v>4764</v>
      </c>
      <c r="C1273">
        <v>12</v>
      </c>
      <c r="D1273">
        <v>22</v>
      </c>
      <c r="E1273">
        <v>3</v>
      </c>
      <c r="F1273">
        <v>4</v>
      </c>
    </row>
    <row r="1274" spans="1:6" x14ac:dyDescent="0.35">
      <c r="A1274">
        <v>1629</v>
      </c>
      <c r="B1274">
        <v>3276</v>
      </c>
      <c r="C1274">
        <v>12</v>
      </c>
      <c r="D1274">
        <v>5</v>
      </c>
      <c r="E1274">
        <v>3</v>
      </c>
      <c r="F1274">
        <v>3</v>
      </c>
    </row>
    <row r="1275" spans="1:6" x14ac:dyDescent="0.35">
      <c r="A1275">
        <v>1709</v>
      </c>
      <c r="B1275">
        <v>8070</v>
      </c>
      <c r="C1275">
        <v>12</v>
      </c>
      <c r="D1275">
        <v>12</v>
      </c>
      <c r="E1275">
        <v>3</v>
      </c>
      <c r="F1275">
        <v>5</v>
      </c>
    </row>
    <row r="1276" spans="1:6" x14ac:dyDescent="0.35">
      <c r="A1276">
        <v>159</v>
      </c>
      <c r="B1276">
        <v>2730</v>
      </c>
      <c r="C1276">
        <v>11</v>
      </c>
      <c r="D1276">
        <v>91</v>
      </c>
      <c r="E1276">
        <v>3</v>
      </c>
      <c r="F1276">
        <v>10</v>
      </c>
    </row>
    <row r="1277" spans="1:6" x14ac:dyDescent="0.35">
      <c r="A1277">
        <v>743</v>
      </c>
      <c r="B1277">
        <v>7761</v>
      </c>
      <c r="C1277">
        <v>11</v>
      </c>
      <c r="D1277">
        <v>8</v>
      </c>
      <c r="E1277">
        <v>3</v>
      </c>
      <c r="F1277">
        <v>4</v>
      </c>
    </row>
    <row r="1278" spans="1:6" x14ac:dyDescent="0.35">
      <c r="A1278">
        <v>1369</v>
      </c>
      <c r="B1278">
        <v>10476</v>
      </c>
      <c r="C1278">
        <v>11</v>
      </c>
      <c r="D1278">
        <v>2</v>
      </c>
      <c r="E1278">
        <v>3</v>
      </c>
      <c r="F1278">
        <v>5</v>
      </c>
    </row>
    <row r="1279" spans="1:6" x14ac:dyDescent="0.35">
      <c r="A1279">
        <v>1617</v>
      </c>
      <c r="B1279">
        <v>940</v>
      </c>
      <c r="C1279">
        <v>11</v>
      </c>
      <c r="D1279">
        <v>11</v>
      </c>
      <c r="E1279">
        <v>3</v>
      </c>
      <c r="F1279">
        <v>7</v>
      </c>
    </row>
    <row r="1280" spans="1:6" x14ac:dyDescent="0.35">
      <c r="A1280">
        <v>214</v>
      </c>
      <c r="B1280">
        <v>0</v>
      </c>
      <c r="C1280">
        <v>10</v>
      </c>
      <c r="D1280">
        <v>87</v>
      </c>
      <c r="E1280">
        <v>3</v>
      </c>
      <c r="F1280">
        <v>9</v>
      </c>
    </row>
    <row r="1281" spans="1:6" x14ac:dyDescent="0.35">
      <c r="A1281">
        <v>221</v>
      </c>
      <c r="B1281">
        <v>2075</v>
      </c>
      <c r="C1281">
        <v>10</v>
      </c>
      <c r="D1281">
        <v>30</v>
      </c>
      <c r="E1281">
        <v>3</v>
      </c>
      <c r="F1281">
        <v>7</v>
      </c>
    </row>
    <row r="1282" spans="1:6" x14ac:dyDescent="0.35">
      <c r="A1282">
        <v>757</v>
      </c>
      <c r="B1282">
        <v>5909</v>
      </c>
      <c r="C1282">
        <v>10</v>
      </c>
      <c r="D1282">
        <v>0</v>
      </c>
      <c r="E1282">
        <v>3</v>
      </c>
      <c r="F1282">
        <v>8</v>
      </c>
    </row>
    <row r="1283" spans="1:6" x14ac:dyDescent="0.35">
      <c r="A1283">
        <v>880</v>
      </c>
      <c r="B1283">
        <v>8443</v>
      </c>
      <c r="C1283">
        <v>10</v>
      </c>
      <c r="D1283">
        <v>15</v>
      </c>
      <c r="E1283">
        <v>3</v>
      </c>
      <c r="F1283">
        <v>2</v>
      </c>
    </row>
    <row r="1284" spans="1:6" x14ac:dyDescent="0.35">
      <c r="A1284">
        <v>1204</v>
      </c>
      <c r="B1284">
        <v>2995</v>
      </c>
      <c r="C1284">
        <v>10</v>
      </c>
      <c r="D1284">
        <v>10</v>
      </c>
      <c r="E1284">
        <v>3</v>
      </c>
      <c r="F1284">
        <v>9</v>
      </c>
    </row>
    <row r="1285" spans="1:6" x14ac:dyDescent="0.35">
      <c r="A1285">
        <v>1324</v>
      </c>
      <c r="B1285">
        <v>6398</v>
      </c>
      <c r="C1285">
        <v>10</v>
      </c>
      <c r="D1285">
        <v>0</v>
      </c>
      <c r="E1285">
        <v>3</v>
      </c>
      <c r="F1285">
        <v>3</v>
      </c>
    </row>
    <row r="1286" spans="1:6" x14ac:dyDescent="0.35">
      <c r="A1286">
        <v>1381</v>
      </c>
      <c r="B1286">
        <v>7514</v>
      </c>
      <c r="C1286">
        <v>10</v>
      </c>
      <c r="D1286">
        <v>10</v>
      </c>
      <c r="E1286">
        <v>3</v>
      </c>
      <c r="F1286">
        <v>4</v>
      </c>
    </row>
    <row r="1287" spans="1:6" x14ac:dyDescent="0.35">
      <c r="A1287">
        <v>1450</v>
      </c>
      <c r="B1287">
        <v>5788</v>
      </c>
      <c r="C1287">
        <v>10</v>
      </c>
      <c r="D1287">
        <v>7</v>
      </c>
      <c r="E1287">
        <v>3</v>
      </c>
      <c r="F1287">
        <v>4</v>
      </c>
    </row>
    <row r="1288" spans="1:6" x14ac:dyDescent="0.35">
      <c r="A1288">
        <v>1714</v>
      </c>
      <c r="B1288">
        <v>4055</v>
      </c>
      <c r="C1288">
        <v>10</v>
      </c>
      <c r="D1288">
        <v>9</v>
      </c>
      <c r="E1288">
        <v>3</v>
      </c>
      <c r="F1288">
        <v>3</v>
      </c>
    </row>
    <row r="1289" spans="1:6" x14ac:dyDescent="0.35">
      <c r="A1289">
        <v>540</v>
      </c>
      <c r="B1289">
        <v>3665</v>
      </c>
      <c r="C1289">
        <v>9</v>
      </c>
      <c r="D1289">
        <v>3</v>
      </c>
      <c r="E1289">
        <v>3</v>
      </c>
      <c r="F1289">
        <v>3</v>
      </c>
    </row>
    <row r="1290" spans="1:6" x14ac:dyDescent="0.35">
      <c r="A1290">
        <v>2152</v>
      </c>
      <c r="B1290">
        <v>9481</v>
      </c>
      <c r="C1290">
        <v>9</v>
      </c>
      <c r="D1290">
        <v>10</v>
      </c>
      <c r="E1290">
        <v>3</v>
      </c>
      <c r="F1290">
        <v>3</v>
      </c>
    </row>
    <row r="1291" spans="1:6" x14ac:dyDescent="0.35">
      <c r="A1291">
        <v>751</v>
      </c>
      <c r="B1291">
        <v>7938</v>
      </c>
      <c r="C1291">
        <v>8</v>
      </c>
      <c r="D1291">
        <v>4</v>
      </c>
      <c r="E1291">
        <v>3</v>
      </c>
      <c r="F1291">
        <v>10</v>
      </c>
    </row>
    <row r="1292" spans="1:6" x14ac:dyDescent="0.35">
      <c r="A1292">
        <v>999</v>
      </c>
      <c r="B1292">
        <v>9097</v>
      </c>
      <c r="C1292">
        <v>8</v>
      </c>
      <c r="D1292">
        <v>2</v>
      </c>
      <c r="E1292">
        <v>3</v>
      </c>
      <c r="F1292">
        <v>8</v>
      </c>
    </row>
    <row r="1293" spans="1:6" x14ac:dyDescent="0.35">
      <c r="A1293">
        <v>1198</v>
      </c>
      <c r="B1293">
        <v>5545</v>
      </c>
      <c r="C1293">
        <v>8</v>
      </c>
      <c r="D1293">
        <v>35</v>
      </c>
      <c r="E1293">
        <v>3</v>
      </c>
      <c r="F1293">
        <v>5</v>
      </c>
    </row>
    <row r="1294" spans="1:6" x14ac:dyDescent="0.35">
      <c r="A1294">
        <v>1475</v>
      </c>
      <c r="B1294">
        <v>3697</v>
      </c>
      <c r="C1294">
        <v>8</v>
      </c>
      <c r="D1294">
        <v>7</v>
      </c>
      <c r="E1294">
        <v>3</v>
      </c>
      <c r="F1294">
        <v>4</v>
      </c>
    </row>
    <row r="1295" spans="1:6" x14ac:dyDescent="0.35">
      <c r="A1295">
        <v>1702</v>
      </c>
      <c r="B1295">
        <v>5294</v>
      </c>
      <c r="C1295">
        <v>8</v>
      </c>
      <c r="D1295">
        <v>4</v>
      </c>
      <c r="E1295">
        <v>3</v>
      </c>
      <c r="F1295">
        <v>4</v>
      </c>
    </row>
    <row r="1296" spans="1:6" x14ac:dyDescent="0.35">
      <c r="A1296">
        <v>1949</v>
      </c>
      <c r="B1296">
        <v>9955</v>
      </c>
      <c r="C1296">
        <v>8</v>
      </c>
      <c r="D1296">
        <v>7</v>
      </c>
      <c r="E1296">
        <v>3</v>
      </c>
      <c r="F1296">
        <v>4</v>
      </c>
    </row>
    <row r="1297" spans="1:6" x14ac:dyDescent="0.35">
      <c r="A1297">
        <v>2156</v>
      </c>
      <c r="B1297">
        <v>8726</v>
      </c>
      <c r="C1297">
        <v>8</v>
      </c>
      <c r="D1297">
        <v>10</v>
      </c>
      <c r="E1297">
        <v>3</v>
      </c>
      <c r="F1297">
        <v>4</v>
      </c>
    </row>
    <row r="1298" spans="1:6" x14ac:dyDescent="0.35">
      <c r="A1298">
        <v>2222</v>
      </c>
      <c r="B1298">
        <v>10659</v>
      </c>
      <c r="C1298">
        <v>8</v>
      </c>
      <c r="D1298">
        <v>8</v>
      </c>
      <c r="E1298">
        <v>3</v>
      </c>
      <c r="F1298">
        <v>2</v>
      </c>
    </row>
    <row r="1299" spans="1:6" x14ac:dyDescent="0.35">
      <c r="A1299">
        <v>153</v>
      </c>
      <c r="B1299">
        <v>92</v>
      </c>
      <c r="C1299">
        <v>7</v>
      </c>
      <c r="D1299">
        <v>14</v>
      </c>
      <c r="E1299">
        <v>3</v>
      </c>
      <c r="F1299">
        <v>4</v>
      </c>
    </row>
    <row r="1300" spans="1:6" x14ac:dyDescent="0.35">
      <c r="A1300">
        <v>172</v>
      </c>
      <c r="B1300">
        <v>1349</v>
      </c>
      <c r="C1300">
        <v>7</v>
      </c>
      <c r="D1300">
        <v>3</v>
      </c>
      <c r="E1300">
        <v>3</v>
      </c>
      <c r="F1300">
        <v>3</v>
      </c>
    </row>
    <row r="1301" spans="1:6" x14ac:dyDescent="0.35">
      <c r="A1301">
        <v>271</v>
      </c>
      <c r="B1301">
        <v>5726</v>
      </c>
      <c r="C1301">
        <v>7</v>
      </c>
      <c r="D1301">
        <v>8</v>
      </c>
      <c r="E1301">
        <v>3</v>
      </c>
      <c r="F1301">
        <v>4</v>
      </c>
    </row>
    <row r="1302" spans="1:6" x14ac:dyDescent="0.35">
      <c r="A1302">
        <v>329</v>
      </c>
      <c r="B1302">
        <v>7786</v>
      </c>
      <c r="C1302">
        <v>7</v>
      </c>
      <c r="D1302">
        <v>5</v>
      </c>
      <c r="E1302">
        <v>3</v>
      </c>
      <c r="F1302">
        <v>4</v>
      </c>
    </row>
    <row r="1303" spans="1:6" x14ac:dyDescent="0.35">
      <c r="A1303">
        <v>449</v>
      </c>
      <c r="B1303">
        <v>1142</v>
      </c>
      <c r="C1303">
        <v>7</v>
      </c>
      <c r="D1303">
        <v>66</v>
      </c>
      <c r="E1303">
        <v>3</v>
      </c>
      <c r="F1303">
        <v>9</v>
      </c>
    </row>
    <row r="1304" spans="1:6" x14ac:dyDescent="0.35">
      <c r="A1304">
        <v>547</v>
      </c>
      <c r="B1304">
        <v>4368</v>
      </c>
      <c r="C1304">
        <v>7</v>
      </c>
      <c r="D1304">
        <v>12</v>
      </c>
      <c r="E1304">
        <v>3</v>
      </c>
      <c r="F1304">
        <v>4</v>
      </c>
    </row>
    <row r="1305" spans="1:6" x14ac:dyDescent="0.35">
      <c r="A1305">
        <v>842</v>
      </c>
      <c r="B1305">
        <v>3312</v>
      </c>
      <c r="C1305">
        <v>7</v>
      </c>
      <c r="D1305">
        <v>14</v>
      </c>
      <c r="E1305">
        <v>3</v>
      </c>
      <c r="F1305">
        <v>4</v>
      </c>
    </row>
    <row r="1306" spans="1:6" x14ac:dyDescent="0.35">
      <c r="A1306">
        <v>952</v>
      </c>
      <c r="B1306">
        <v>5320</v>
      </c>
      <c r="C1306">
        <v>7</v>
      </c>
      <c r="D1306">
        <v>3</v>
      </c>
      <c r="E1306">
        <v>3</v>
      </c>
      <c r="F1306">
        <v>4</v>
      </c>
    </row>
    <row r="1307" spans="1:6" x14ac:dyDescent="0.35">
      <c r="A1307">
        <v>1146</v>
      </c>
      <c r="B1307">
        <v>749</v>
      </c>
      <c r="C1307">
        <v>7</v>
      </c>
      <c r="D1307">
        <v>4</v>
      </c>
      <c r="E1307">
        <v>3</v>
      </c>
      <c r="F1307">
        <v>3</v>
      </c>
    </row>
    <row r="1308" spans="1:6" x14ac:dyDescent="0.35">
      <c r="A1308">
        <v>1326</v>
      </c>
      <c r="B1308">
        <v>7937</v>
      </c>
      <c r="C1308">
        <v>7</v>
      </c>
      <c r="D1308">
        <v>3</v>
      </c>
      <c r="E1308">
        <v>3</v>
      </c>
      <c r="F1308">
        <v>3</v>
      </c>
    </row>
    <row r="1309" spans="1:6" x14ac:dyDescent="0.35">
      <c r="A1309">
        <v>1948</v>
      </c>
      <c r="B1309">
        <v>7842</v>
      </c>
      <c r="C1309">
        <v>7</v>
      </c>
      <c r="D1309">
        <v>2</v>
      </c>
      <c r="E1309">
        <v>3</v>
      </c>
      <c r="F1309">
        <v>3</v>
      </c>
    </row>
    <row r="1310" spans="1:6" x14ac:dyDescent="0.35">
      <c r="A1310">
        <v>2196</v>
      </c>
      <c r="B1310">
        <v>1839</v>
      </c>
      <c r="C1310">
        <v>7</v>
      </c>
      <c r="D1310">
        <v>2</v>
      </c>
      <c r="E1310">
        <v>3</v>
      </c>
      <c r="F1310">
        <v>4</v>
      </c>
    </row>
    <row r="1311" spans="1:6" x14ac:dyDescent="0.35">
      <c r="A1311">
        <v>285</v>
      </c>
      <c r="B1311">
        <v>9974</v>
      </c>
      <c r="C1311">
        <v>6</v>
      </c>
      <c r="D1311">
        <v>5</v>
      </c>
      <c r="E1311">
        <v>3</v>
      </c>
      <c r="F1311">
        <v>2</v>
      </c>
    </row>
    <row r="1312" spans="1:6" x14ac:dyDescent="0.35">
      <c r="A1312">
        <v>533</v>
      </c>
      <c r="B1312">
        <v>4437</v>
      </c>
      <c r="C1312">
        <v>6</v>
      </c>
      <c r="D1312">
        <v>9</v>
      </c>
      <c r="E1312">
        <v>3</v>
      </c>
      <c r="F1312">
        <v>5</v>
      </c>
    </row>
    <row r="1313" spans="1:6" x14ac:dyDescent="0.35">
      <c r="A1313">
        <v>647</v>
      </c>
      <c r="B1313">
        <v>3376</v>
      </c>
      <c r="C1313">
        <v>6</v>
      </c>
      <c r="D1313">
        <v>4</v>
      </c>
      <c r="E1313">
        <v>3</v>
      </c>
      <c r="F1313">
        <v>6</v>
      </c>
    </row>
    <row r="1314" spans="1:6" x14ac:dyDescent="0.35">
      <c r="A1314">
        <v>683</v>
      </c>
      <c r="B1314">
        <v>10120</v>
      </c>
      <c r="C1314">
        <v>6</v>
      </c>
      <c r="D1314">
        <v>6</v>
      </c>
      <c r="E1314">
        <v>3</v>
      </c>
      <c r="F1314">
        <v>6</v>
      </c>
    </row>
    <row r="1315" spans="1:6" x14ac:dyDescent="0.35">
      <c r="A1315">
        <v>953</v>
      </c>
      <c r="B1315">
        <v>5048</v>
      </c>
      <c r="C1315">
        <v>6</v>
      </c>
      <c r="D1315">
        <v>5</v>
      </c>
      <c r="E1315">
        <v>3</v>
      </c>
      <c r="F1315">
        <v>2</v>
      </c>
    </row>
    <row r="1316" spans="1:6" x14ac:dyDescent="0.35">
      <c r="A1316">
        <v>1588</v>
      </c>
      <c r="B1316">
        <v>5892</v>
      </c>
      <c r="C1316">
        <v>6</v>
      </c>
      <c r="D1316">
        <v>2</v>
      </c>
      <c r="E1316">
        <v>3</v>
      </c>
      <c r="F1316">
        <v>5</v>
      </c>
    </row>
    <row r="1317" spans="1:6" x14ac:dyDescent="0.35">
      <c r="A1317">
        <v>1705</v>
      </c>
      <c r="B1317">
        <v>8799</v>
      </c>
      <c r="C1317">
        <v>6</v>
      </c>
      <c r="D1317">
        <v>3</v>
      </c>
      <c r="E1317">
        <v>3</v>
      </c>
      <c r="F1317">
        <v>4</v>
      </c>
    </row>
    <row r="1318" spans="1:6" x14ac:dyDescent="0.35">
      <c r="A1318">
        <v>2055</v>
      </c>
      <c r="B1318">
        <v>6673</v>
      </c>
      <c r="C1318">
        <v>6</v>
      </c>
      <c r="D1318">
        <v>17</v>
      </c>
      <c r="E1318">
        <v>3</v>
      </c>
      <c r="F1318">
        <v>3</v>
      </c>
    </row>
    <row r="1319" spans="1:6" x14ac:dyDescent="0.35">
      <c r="A1319">
        <v>2179</v>
      </c>
      <c r="B1319">
        <v>4541</v>
      </c>
      <c r="C1319">
        <v>6</v>
      </c>
      <c r="D1319">
        <v>6</v>
      </c>
      <c r="E1319">
        <v>3</v>
      </c>
      <c r="F1319">
        <v>6</v>
      </c>
    </row>
    <row r="1320" spans="1:6" x14ac:dyDescent="0.35">
      <c r="A1320">
        <v>16</v>
      </c>
      <c r="B1320">
        <v>9736</v>
      </c>
      <c r="C1320">
        <v>5</v>
      </c>
      <c r="D1320">
        <v>13</v>
      </c>
      <c r="E1320">
        <v>3</v>
      </c>
      <c r="F1320">
        <v>3</v>
      </c>
    </row>
    <row r="1321" spans="1:6" x14ac:dyDescent="0.35">
      <c r="A1321">
        <v>82</v>
      </c>
      <c r="B1321">
        <v>5346</v>
      </c>
      <c r="C1321">
        <v>5</v>
      </c>
      <c r="D1321">
        <v>0</v>
      </c>
      <c r="E1321">
        <v>3</v>
      </c>
      <c r="F1321">
        <v>3</v>
      </c>
    </row>
    <row r="1322" spans="1:6" x14ac:dyDescent="0.35">
      <c r="A1322">
        <v>167</v>
      </c>
      <c r="B1322">
        <v>3712</v>
      </c>
      <c r="C1322">
        <v>5</v>
      </c>
      <c r="D1322">
        <v>0</v>
      </c>
      <c r="E1322">
        <v>3</v>
      </c>
      <c r="F1322">
        <v>6</v>
      </c>
    </row>
    <row r="1323" spans="1:6" x14ac:dyDescent="0.35">
      <c r="A1323">
        <v>310</v>
      </c>
      <c r="B1323">
        <v>10032</v>
      </c>
      <c r="C1323">
        <v>5</v>
      </c>
      <c r="D1323">
        <v>12</v>
      </c>
      <c r="E1323">
        <v>3</v>
      </c>
      <c r="F1323">
        <v>3</v>
      </c>
    </row>
    <row r="1324" spans="1:6" x14ac:dyDescent="0.35">
      <c r="A1324">
        <v>320</v>
      </c>
      <c r="B1324">
        <v>1802</v>
      </c>
      <c r="C1324">
        <v>5</v>
      </c>
      <c r="D1324">
        <v>29</v>
      </c>
      <c r="E1324">
        <v>3</v>
      </c>
      <c r="F1324">
        <v>12</v>
      </c>
    </row>
    <row r="1325" spans="1:6" x14ac:dyDescent="0.35">
      <c r="A1325">
        <v>760</v>
      </c>
      <c r="B1325">
        <v>10270</v>
      </c>
      <c r="C1325">
        <v>5</v>
      </c>
      <c r="D1325">
        <v>5</v>
      </c>
      <c r="E1325">
        <v>3</v>
      </c>
      <c r="F1325">
        <v>3</v>
      </c>
    </row>
    <row r="1326" spans="1:6" x14ac:dyDescent="0.35">
      <c r="A1326">
        <v>972</v>
      </c>
      <c r="B1326">
        <v>10995</v>
      </c>
      <c r="C1326">
        <v>5</v>
      </c>
      <c r="D1326">
        <v>7</v>
      </c>
      <c r="E1326">
        <v>3</v>
      </c>
      <c r="F1326">
        <v>4</v>
      </c>
    </row>
    <row r="1327" spans="1:6" x14ac:dyDescent="0.35">
      <c r="A1327">
        <v>1232</v>
      </c>
      <c r="B1327">
        <v>1307</v>
      </c>
      <c r="C1327">
        <v>5</v>
      </c>
      <c r="D1327">
        <v>3</v>
      </c>
      <c r="E1327">
        <v>3</v>
      </c>
      <c r="F1327">
        <v>4</v>
      </c>
    </row>
    <row r="1328" spans="1:6" x14ac:dyDescent="0.35">
      <c r="A1328">
        <v>1663</v>
      </c>
      <c r="B1328">
        <v>2639</v>
      </c>
      <c r="C1328">
        <v>5</v>
      </c>
      <c r="D1328">
        <v>3</v>
      </c>
      <c r="E1328">
        <v>3</v>
      </c>
      <c r="F1328">
        <v>2</v>
      </c>
    </row>
    <row r="1329" spans="1:6" x14ac:dyDescent="0.35">
      <c r="A1329">
        <v>1681</v>
      </c>
      <c r="B1329">
        <v>5939</v>
      </c>
      <c r="C1329">
        <v>5</v>
      </c>
      <c r="D1329">
        <v>6</v>
      </c>
      <c r="E1329">
        <v>3</v>
      </c>
      <c r="F1329">
        <v>3</v>
      </c>
    </row>
    <row r="1330" spans="1:6" x14ac:dyDescent="0.35">
      <c r="A1330">
        <v>2120</v>
      </c>
      <c r="B1330">
        <v>8832</v>
      </c>
      <c r="C1330">
        <v>5</v>
      </c>
      <c r="D1330">
        <v>8</v>
      </c>
      <c r="E1330">
        <v>3</v>
      </c>
      <c r="F1330">
        <v>4</v>
      </c>
    </row>
    <row r="1331" spans="1:6" x14ac:dyDescent="0.35">
      <c r="A1331">
        <v>30</v>
      </c>
      <c r="B1331">
        <v>6864</v>
      </c>
      <c r="C1331">
        <v>4</v>
      </c>
      <c r="D1331">
        <v>2</v>
      </c>
      <c r="E1331">
        <v>3</v>
      </c>
      <c r="F1331">
        <v>3</v>
      </c>
    </row>
    <row r="1332" spans="1:6" x14ac:dyDescent="0.35">
      <c r="A1332">
        <v>80</v>
      </c>
      <c r="B1332">
        <v>3332</v>
      </c>
      <c r="C1332">
        <v>4</v>
      </c>
      <c r="D1332">
        <v>5</v>
      </c>
      <c r="E1332">
        <v>3</v>
      </c>
      <c r="F1332">
        <v>4</v>
      </c>
    </row>
    <row r="1333" spans="1:6" x14ac:dyDescent="0.35">
      <c r="A1333">
        <v>265</v>
      </c>
      <c r="B1333">
        <v>6690</v>
      </c>
      <c r="C1333">
        <v>4</v>
      </c>
      <c r="D1333">
        <v>2</v>
      </c>
      <c r="E1333">
        <v>3</v>
      </c>
      <c r="F1333">
        <v>3</v>
      </c>
    </row>
    <row r="1334" spans="1:6" x14ac:dyDescent="0.35">
      <c r="A1334">
        <v>297</v>
      </c>
      <c r="B1334">
        <v>9738</v>
      </c>
      <c r="C1334">
        <v>4</v>
      </c>
      <c r="D1334">
        <v>4</v>
      </c>
      <c r="E1334">
        <v>3</v>
      </c>
      <c r="F1334">
        <v>3</v>
      </c>
    </row>
    <row r="1335" spans="1:6" x14ac:dyDescent="0.35">
      <c r="A1335">
        <v>316</v>
      </c>
      <c r="B1335">
        <v>2392</v>
      </c>
      <c r="C1335">
        <v>4</v>
      </c>
      <c r="D1335">
        <v>0</v>
      </c>
      <c r="E1335">
        <v>3</v>
      </c>
      <c r="F1335">
        <v>3</v>
      </c>
    </row>
    <row r="1336" spans="1:6" x14ac:dyDescent="0.35">
      <c r="A1336">
        <v>374</v>
      </c>
      <c r="B1336">
        <v>1519</v>
      </c>
      <c r="C1336">
        <v>4</v>
      </c>
      <c r="D1336">
        <v>3</v>
      </c>
      <c r="E1336">
        <v>3</v>
      </c>
      <c r="F1336">
        <v>3</v>
      </c>
    </row>
    <row r="1337" spans="1:6" x14ac:dyDescent="0.35">
      <c r="A1337">
        <v>391</v>
      </c>
      <c r="B1337">
        <v>5642</v>
      </c>
      <c r="C1337">
        <v>4</v>
      </c>
      <c r="D1337">
        <v>13</v>
      </c>
      <c r="E1337">
        <v>3</v>
      </c>
      <c r="F1337">
        <v>6</v>
      </c>
    </row>
    <row r="1338" spans="1:6" x14ac:dyDescent="0.35">
      <c r="A1338">
        <v>577</v>
      </c>
      <c r="B1338">
        <v>1160</v>
      </c>
      <c r="C1338">
        <v>4</v>
      </c>
      <c r="D1338">
        <v>2</v>
      </c>
      <c r="E1338">
        <v>3</v>
      </c>
      <c r="F1338">
        <v>3</v>
      </c>
    </row>
    <row r="1339" spans="1:6" x14ac:dyDescent="0.35">
      <c r="A1339">
        <v>595</v>
      </c>
      <c r="B1339">
        <v>4992</v>
      </c>
      <c r="C1339">
        <v>4</v>
      </c>
      <c r="D1339">
        <v>10</v>
      </c>
      <c r="E1339">
        <v>3</v>
      </c>
      <c r="F1339">
        <v>2</v>
      </c>
    </row>
    <row r="1340" spans="1:6" x14ac:dyDescent="0.35">
      <c r="A1340">
        <v>1093</v>
      </c>
      <c r="B1340">
        <v>9080</v>
      </c>
      <c r="C1340">
        <v>4</v>
      </c>
      <c r="D1340">
        <v>3</v>
      </c>
      <c r="E1340">
        <v>3</v>
      </c>
      <c r="F1340">
        <v>3</v>
      </c>
    </row>
    <row r="1341" spans="1:6" x14ac:dyDescent="0.35">
      <c r="A1341">
        <v>1136</v>
      </c>
      <c r="B1341">
        <v>10542</v>
      </c>
      <c r="C1341">
        <v>4</v>
      </c>
      <c r="D1341">
        <v>4</v>
      </c>
      <c r="E1341">
        <v>3</v>
      </c>
      <c r="F1341">
        <v>3</v>
      </c>
    </row>
    <row r="1342" spans="1:6" x14ac:dyDescent="0.35">
      <c r="A1342">
        <v>1138</v>
      </c>
      <c r="B1342">
        <v>10617</v>
      </c>
      <c r="C1342">
        <v>4</v>
      </c>
      <c r="D1342">
        <v>2</v>
      </c>
      <c r="E1342">
        <v>3</v>
      </c>
      <c r="F1342">
        <v>3</v>
      </c>
    </row>
    <row r="1343" spans="1:6" x14ac:dyDescent="0.35">
      <c r="A1343">
        <v>1318</v>
      </c>
      <c r="B1343">
        <v>1920</v>
      </c>
      <c r="C1343">
        <v>4</v>
      </c>
      <c r="D1343">
        <v>0</v>
      </c>
      <c r="E1343">
        <v>3</v>
      </c>
      <c r="F1343">
        <v>3</v>
      </c>
    </row>
    <row r="1344" spans="1:6" x14ac:dyDescent="0.35">
      <c r="A1344">
        <v>1327</v>
      </c>
      <c r="B1344">
        <v>839</v>
      </c>
      <c r="C1344">
        <v>4</v>
      </c>
      <c r="D1344">
        <v>1</v>
      </c>
      <c r="E1344">
        <v>3</v>
      </c>
      <c r="F1344">
        <v>4</v>
      </c>
    </row>
    <row r="1345" spans="1:6" x14ac:dyDescent="0.35">
      <c r="A1345">
        <v>1540</v>
      </c>
      <c r="B1345">
        <v>6678</v>
      </c>
      <c r="C1345">
        <v>4</v>
      </c>
      <c r="D1345">
        <v>2</v>
      </c>
      <c r="E1345">
        <v>3</v>
      </c>
      <c r="F1345">
        <v>4</v>
      </c>
    </row>
    <row r="1346" spans="1:6" x14ac:dyDescent="0.35">
      <c r="A1346">
        <v>1545</v>
      </c>
      <c r="B1346">
        <v>10212</v>
      </c>
      <c r="C1346">
        <v>4</v>
      </c>
      <c r="D1346">
        <v>4</v>
      </c>
      <c r="E1346">
        <v>3</v>
      </c>
      <c r="F1346">
        <v>3</v>
      </c>
    </row>
    <row r="1347" spans="1:6" x14ac:dyDescent="0.35">
      <c r="A1347">
        <v>1652</v>
      </c>
      <c r="B1347">
        <v>10352</v>
      </c>
      <c r="C1347">
        <v>4</v>
      </c>
      <c r="D1347">
        <v>3</v>
      </c>
      <c r="E1347">
        <v>3</v>
      </c>
      <c r="F1347">
        <v>2</v>
      </c>
    </row>
    <row r="1348" spans="1:6" x14ac:dyDescent="0.35">
      <c r="A1348">
        <v>1776</v>
      </c>
      <c r="B1348">
        <v>7433</v>
      </c>
      <c r="C1348">
        <v>4</v>
      </c>
      <c r="D1348">
        <v>5</v>
      </c>
      <c r="E1348">
        <v>3</v>
      </c>
      <c r="F1348">
        <v>4</v>
      </c>
    </row>
    <row r="1349" spans="1:6" x14ac:dyDescent="0.35">
      <c r="A1349">
        <v>1963</v>
      </c>
      <c r="B1349">
        <v>3517</v>
      </c>
      <c r="C1349">
        <v>4</v>
      </c>
      <c r="D1349">
        <v>10</v>
      </c>
      <c r="E1349">
        <v>3</v>
      </c>
      <c r="F1349">
        <v>3</v>
      </c>
    </row>
    <row r="1350" spans="1:6" x14ac:dyDescent="0.35">
      <c r="A1350">
        <v>2147</v>
      </c>
      <c r="B1350">
        <v>1100</v>
      </c>
      <c r="C1350">
        <v>4</v>
      </c>
      <c r="D1350">
        <v>2</v>
      </c>
      <c r="E1350">
        <v>3</v>
      </c>
      <c r="F1350">
        <v>3</v>
      </c>
    </row>
    <row r="1351" spans="1:6" x14ac:dyDescent="0.35">
      <c r="A1351">
        <v>37</v>
      </c>
      <c r="B1351">
        <v>10755</v>
      </c>
      <c r="C1351">
        <v>3</v>
      </c>
      <c r="D1351">
        <v>7</v>
      </c>
      <c r="E1351">
        <v>3</v>
      </c>
      <c r="F1351">
        <v>2</v>
      </c>
    </row>
    <row r="1352" spans="1:6" x14ac:dyDescent="0.35">
      <c r="A1352">
        <v>71</v>
      </c>
      <c r="B1352">
        <v>10629</v>
      </c>
      <c r="C1352">
        <v>3</v>
      </c>
      <c r="D1352">
        <v>4</v>
      </c>
      <c r="E1352">
        <v>3</v>
      </c>
      <c r="F1352">
        <v>3</v>
      </c>
    </row>
    <row r="1353" spans="1:6" x14ac:dyDescent="0.35">
      <c r="A1353">
        <v>108</v>
      </c>
      <c r="B1353">
        <v>3629</v>
      </c>
      <c r="C1353">
        <v>3</v>
      </c>
      <c r="D1353">
        <v>4</v>
      </c>
      <c r="E1353">
        <v>3</v>
      </c>
      <c r="F1353">
        <v>3</v>
      </c>
    </row>
    <row r="1354" spans="1:6" x14ac:dyDescent="0.35">
      <c r="A1354">
        <v>162</v>
      </c>
      <c r="B1354">
        <v>8182</v>
      </c>
      <c r="C1354">
        <v>3</v>
      </c>
      <c r="D1354">
        <v>4</v>
      </c>
      <c r="E1354">
        <v>3</v>
      </c>
      <c r="F1354">
        <v>4</v>
      </c>
    </row>
    <row r="1355" spans="1:6" x14ac:dyDescent="0.35">
      <c r="A1355">
        <v>193</v>
      </c>
      <c r="B1355">
        <v>1324</v>
      </c>
      <c r="C1355">
        <v>3</v>
      </c>
      <c r="D1355">
        <v>19</v>
      </c>
      <c r="E1355">
        <v>3</v>
      </c>
      <c r="F1355">
        <v>3</v>
      </c>
    </row>
    <row r="1356" spans="1:6" x14ac:dyDescent="0.35">
      <c r="A1356">
        <v>238</v>
      </c>
      <c r="B1356">
        <v>7297</v>
      </c>
      <c r="C1356">
        <v>3</v>
      </c>
      <c r="D1356">
        <v>7</v>
      </c>
      <c r="E1356">
        <v>3</v>
      </c>
      <c r="F1356">
        <v>3</v>
      </c>
    </row>
    <row r="1357" spans="1:6" x14ac:dyDescent="0.35">
      <c r="A1357">
        <v>293</v>
      </c>
      <c r="B1357">
        <v>4927</v>
      </c>
      <c r="C1357">
        <v>3</v>
      </c>
      <c r="D1357">
        <v>1</v>
      </c>
      <c r="E1357">
        <v>3</v>
      </c>
      <c r="F1357">
        <v>3</v>
      </c>
    </row>
    <row r="1358" spans="1:6" x14ac:dyDescent="0.35">
      <c r="A1358">
        <v>539</v>
      </c>
      <c r="B1358">
        <v>304</v>
      </c>
      <c r="C1358">
        <v>3</v>
      </c>
      <c r="D1358">
        <v>5</v>
      </c>
      <c r="E1358">
        <v>3</v>
      </c>
      <c r="F1358">
        <v>3</v>
      </c>
    </row>
    <row r="1359" spans="1:6" x14ac:dyDescent="0.35">
      <c r="A1359">
        <v>548</v>
      </c>
      <c r="B1359">
        <v>9671</v>
      </c>
      <c r="C1359">
        <v>3</v>
      </c>
      <c r="D1359">
        <v>1</v>
      </c>
      <c r="E1359">
        <v>3</v>
      </c>
      <c r="F1359">
        <v>2</v>
      </c>
    </row>
    <row r="1360" spans="1:6" x14ac:dyDescent="0.35">
      <c r="A1360">
        <v>553</v>
      </c>
      <c r="B1360">
        <v>9460</v>
      </c>
      <c r="C1360">
        <v>3</v>
      </c>
      <c r="D1360">
        <v>21</v>
      </c>
      <c r="E1360">
        <v>3</v>
      </c>
      <c r="F1360">
        <v>2</v>
      </c>
    </row>
    <row r="1361" spans="1:6" x14ac:dyDescent="0.35">
      <c r="A1361">
        <v>599</v>
      </c>
      <c r="B1361">
        <v>3537</v>
      </c>
      <c r="C1361">
        <v>3</v>
      </c>
      <c r="D1361">
        <v>8</v>
      </c>
      <c r="E1361">
        <v>3</v>
      </c>
      <c r="F1361">
        <v>4</v>
      </c>
    </row>
    <row r="1362" spans="1:6" x14ac:dyDescent="0.35">
      <c r="A1362">
        <v>604</v>
      </c>
      <c r="B1362">
        <v>1177</v>
      </c>
      <c r="C1362">
        <v>3</v>
      </c>
      <c r="D1362">
        <v>2</v>
      </c>
      <c r="E1362">
        <v>3</v>
      </c>
      <c r="F1362">
        <v>3</v>
      </c>
    </row>
    <row r="1363" spans="1:6" x14ac:dyDescent="0.35">
      <c r="A1363">
        <v>656</v>
      </c>
      <c r="B1363">
        <v>2564</v>
      </c>
      <c r="C1363">
        <v>3</v>
      </c>
      <c r="D1363">
        <v>6</v>
      </c>
      <c r="E1363">
        <v>3</v>
      </c>
      <c r="F1363">
        <v>4</v>
      </c>
    </row>
    <row r="1364" spans="1:6" x14ac:dyDescent="0.35">
      <c r="A1364">
        <v>765</v>
      </c>
      <c r="B1364">
        <v>221</v>
      </c>
      <c r="C1364">
        <v>3</v>
      </c>
      <c r="D1364">
        <v>0</v>
      </c>
      <c r="E1364">
        <v>3</v>
      </c>
      <c r="F1364">
        <v>4</v>
      </c>
    </row>
    <row r="1365" spans="1:6" x14ac:dyDescent="0.35">
      <c r="A1365">
        <v>823</v>
      </c>
      <c r="B1365">
        <v>3855</v>
      </c>
      <c r="C1365">
        <v>3</v>
      </c>
      <c r="D1365">
        <v>21</v>
      </c>
      <c r="E1365">
        <v>3</v>
      </c>
      <c r="F1365">
        <v>2</v>
      </c>
    </row>
    <row r="1366" spans="1:6" x14ac:dyDescent="0.35">
      <c r="A1366">
        <v>913</v>
      </c>
      <c r="B1366">
        <v>1048</v>
      </c>
      <c r="C1366">
        <v>3</v>
      </c>
      <c r="D1366">
        <v>9</v>
      </c>
      <c r="E1366">
        <v>3</v>
      </c>
      <c r="F1366">
        <v>4</v>
      </c>
    </row>
    <row r="1367" spans="1:6" x14ac:dyDescent="0.35">
      <c r="A1367">
        <v>1008</v>
      </c>
      <c r="B1367">
        <v>8975</v>
      </c>
      <c r="C1367">
        <v>3</v>
      </c>
      <c r="D1367">
        <v>1</v>
      </c>
      <c r="E1367">
        <v>3</v>
      </c>
      <c r="F1367">
        <v>2</v>
      </c>
    </row>
    <row r="1368" spans="1:6" x14ac:dyDescent="0.35">
      <c r="A1368">
        <v>1114</v>
      </c>
      <c r="B1368">
        <v>11010</v>
      </c>
      <c r="C1368">
        <v>3</v>
      </c>
      <c r="D1368">
        <v>1</v>
      </c>
      <c r="E1368">
        <v>3</v>
      </c>
      <c r="F1368">
        <v>3</v>
      </c>
    </row>
    <row r="1369" spans="1:6" x14ac:dyDescent="0.35">
      <c r="A1369">
        <v>1202</v>
      </c>
      <c r="B1369">
        <v>3602</v>
      </c>
      <c r="C1369">
        <v>3</v>
      </c>
      <c r="D1369">
        <v>5</v>
      </c>
      <c r="E1369">
        <v>3</v>
      </c>
      <c r="F1369">
        <v>4</v>
      </c>
    </row>
    <row r="1370" spans="1:6" x14ac:dyDescent="0.35">
      <c r="A1370">
        <v>1209</v>
      </c>
      <c r="B1370">
        <v>945</v>
      </c>
      <c r="C1370">
        <v>3</v>
      </c>
      <c r="D1370">
        <v>2</v>
      </c>
      <c r="E1370">
        <v>3</v>
      </c>
      <c r="F1370">
        <v>4</v>
      </c>
    </row>
    <row r="1371" spans="1:6" x14ac:dyDescent="0.35">
      <c r="A1371">
        <v>1405</v>
      </c>
      <c r="B1371">
        <v>10827</v>
      </c>
      <c r="C1371">
        <v>3</v>
      </c>
      <c r="D1371">
        <v>1</v>
      </c>
      <c r="E1371">
        <v>3</v>
      </c>
      <c r="F1371">
        <v>4</v>
      </c>
    </row>
    <row r="1372" spans="1:6" x14ac:dyDescent="0.35">
      <c r="A1372">
        <v>1576</v>
      </c>
      <c r="B1372">
        <v>2130</v>
      </c>
      <c r="C1372">
        <v>3</v>
      </c>
      <c r="D1372">
        <v>8</v>
      </c>
      <c r="E1372">
        <v>3</v>
      </c>
      <c r="F1372">
        <v>3</v>
      </c>
    </row>
    <row r="1373" spans="1:6" x14ac:dyDescent="0.35">
      <c r="A1373">
        <v>1762</v>
      </c>
      <c r="B1373">
        <v>6616</v>
      </c>
      <c r="C1373">
        <v>3</v>
      </c>
      <c r="D1373">
        <v>66</v>
      </c>
      <c r="E1373">
        <v>3</v>
      </c>
      <c r="F1373">
        <v>8</v>
      </c>
    </row>
    <row r="1374" spans="1:6" x14ac:dyDescent="0.35">
      <c r="A1374">
        <v>1770</v>
      </c>
      <c r="B1374">
        <v>5093</v>
      </c>
      <c r="C1374">
        <v>3</v>
      </c>
      <c r="D1374">
        <v>7</v>
      </c>
      <c r="E1374">
        <v>3</v>
      </c>
      <c r="F1374">
        <v>3</v>
      </c>
    </row>
    <row r="1375" spans="1:6" x14ac:dyDescent="0.35">
      <c r="A1375">
        <v>1797</v>
      </c>
      <c r="B1375">
        <v>2952</v>
      </c>
      <c r="C1375">
        <v>3</v>
      </c>
      <c r="D1375">
        <v>2</v>
      </c>
      <c r="E1375">
        <v>3</v>
      </c>
      <c r="F1375">
        <v>3</v>
      </c>
    </row>
    <row r="1376" spans="1:6" x14ac:dyDescent="0.35">
      <c r="A1376">
        <v>1932</v>
      </c>
      <c r="B1376">
        <v>1458</v>
      </c>
      <c r="C1376">
        <v>3</v>
      </c>
      <c r="D1376">
        <v>3</v>
      </c>
      <c r="E1376">
        <v>3</v>
      </c>
      <c r="F1376">
        <v>3</v>
      </c>
    </row>
    <row r="1377" spans="1:6" x14ac:dyDescent="0.35">
      <c r="A1377">
        <v>1933</v>
      </c>
      <c r="B1377">
        <v>7007</v>
      </c>
      <c r="C1377">
        <v>3</v>
      </c>
      <c r="D1377">
        <v>4</v>
      </c>
      <c r="E1377">
        <v>3</v>
      </c>
      <c r="F1377">
        <v>2</v>
      </c>
    </row>
    <row r="1378" spans="1:6" x14ac:dyDescent="0.35">
      <c r="A1378">
        <v>1981</v>
      </c>
      <c r="B1378">
        <v>8524</v>
      </c>
      <c r="C1378">
        <v>3</v>
      </c>
      <c r="D1378">
        <v>7</v>
      </c>
      <c r="E1378">
        <v>3</v>
      </c>
      <c r="F1378">
        <v>3</v>
      </c>
    </row>
    <row r="1379" spans="1:6" x14ac:dyDescent="0.35">
      <c r="A1379">
        <v>2139</v>
      </c>
      <c r="B1379">
        <v>2715</v>
      </c>
      <c r="C1379">
        <v>3</v>
      </c>
      <c r="D1379">
        <v>2</v>
      </c>
      <c r="E1379">
        <v>3</v>
      </c>
      <c r="F1379">
        <v>2</v>
      </c>
    </row>
    <row r="1380" spans="1:6" x14ac:dyDescent="0.35">
      <c r="A1380">
        <v>2230</v>
      </c>
      <c r="B1380">
        <v>7004</v>
      </c>
      <c r="C1380">
        <v>3</v>
      </c>
      <c r="D1380">
        <v>1</v>
      </c>
      <c r="E1380">
        <v>3</v>
      </c>
      <c r="F1380">
        <v>2</v>
      </c>
    </row>
    <row r="1381" spans="1:6" x14ac:dyDescent="0.35">
      <c r="A1381">
        <v>2239</v>
      </c>
      <c r="B1381">
        <v>9405</v>
      </c>
      <c r="C1381">
        <v>3</v>
      </c>
      <c r="D1381">
        <v>1</v>
      </c>
      <c r="E1381">
        <v>3</v>
      </c>
      <c r="F1381">
        <v>4</v>
      </c>
    </row>
    <row r="1382" spans="1:6" x14ac:dyDescent="0.35">
      <c r="A1382">
        <v>94</v>
      </c>
      <c r="B1382">
        <v>2230</v>
      </c>
      <c r="C1382">
        <v>2</v>
      </c>
      <c r="D1382">
        <v>0</v>
      </c>
      <c r="E1382">
        <v>3</v>
      </c>
      <c r="F1382">
        <v>3</v>
      </c>
    </row>
    <row r="1383" spans="1:6" x14ac:dyDescent="0.35">
      <c r="A1383">
        <v>267</v>
      </c>
      <c r="B1383">
        <v>9703</v>
      </c>
      <c r="C1383">
        <v>2</v>
      </c>
      <c r="D1383">
        <v>1</v>
      </c>
      <c r="E1383">
        <v>3</v>
      </c>
      <c r="F1383">
        <v>2</v>
      </c>
    </row>
    <row r="1384" spans="1:6" x14ac:dyDescent="0.35">
      <c r="A1384">
        <v>565</v>
      </c>
      <c r="B1384">
        <v>4184</v>
      </c>
      <c r="C1384">
        <v>2</v>
      </c>
      <c r="D1384">
        <v>2</v>
      </c>
      <c r="E1384">
        <v>3</v>
      </c>
      <c r="F1384">
        <v>5</v>
      </c>
    </row>
    <row r="1385" spans="1:6" x14ac:dyDescent="0.35">
      <c r="A1385">
        <v>645</v>
      </c>
      <c r="B1385">
        <v>4381</v>
      </c>
      <c r="C1385">
        <v>2</v>
      </c>
      <c r="D1385">
        <v>11</v>
      </c>
      <c r="E1385">
        <v>3</v>
      </c>
      <c r="F1385">
        <v>6</v>
      </c>
    </row>
    <row r="1386" spans="1:6" x14ac:dyDescent="0.35">
      <c r="A1386">
        <v>741</v>
      </c>
      <c r="B1386">
        <v>7458</v>
      </c>
      <c r="C1386">
        <v>2</v>
      </c>
      <c r="D1386">
        <v>3</v>
      </c>
      <c r="E1386">
        <v>3</v>
      </c>
      <c r="F1386">
        <v>3</v>
      </c>
    </row>
    <row r="1387" spans="1:6" x14ac:dyDescent="0.35">
      <c r="A1387">
        <v>786</v>
      </c>
      <c r="B1387">
        <v>1135</v>
      </c>
      <c r="C1387">
        <v>2</v>
      </c>
      <c r="D1387">
        <v>2</v>
      </c>
      <c r="E1387">
        <v>3</v>
      </c>
      <c r="F1387">
        <v>4</v>
      </c>
    </row>
    <row r="1388" spans="1:6" x14ac:dyDescent="0.35">
      <c r="A1388">
        <v>793</v>
      </c>
      <c r="B1388">
        <v>11075</v>
      </c>
      <c r="C1388">
        <v>2</v>
      </c>
      <c r="D1388">
        <v>2</v>
      </c>
      <c r="E1388">
        <v>3</v>
      </c>
      <c r="F1388">
        <v>5</v>
      </c>
    </row>
    <row r="1389" spans="1:6" x14ac:dyDescent="0.35">
      <c r="A1389">
        <v>849</v>
      </c>
      <c r="B1389">
        <v>10262</v>
      </c>
      <c r="C1389">
        <v>2</v>
      </c>
      <c r="D1389">
        <v>10</v>
      </c>
      <c r="E1389">
        <v>3</v>
      </c>
      <c r="F1389">
        <v>3</v>
      </c>
    </row>
    <row r="1390" spans="1:6" x14ac:dyDescent="0.35">
      <c r="A1390">
        <v>955</v>
      </c>
      <c r="B1390">
        <v>10031</v>
      </c>
      <c r="C1390">
        <v>2</v>
      </c>
      <c r="D1390">
        <v>1</v>
      </c>
      <c r="E1390">
        <v>3</v>
      </c>
      <c r="F1390">
        <v>4</v>
      </c>
    </row>
    <row r="1391" spans="1:6" x14ac:dyDescent="0.35">
      <c r="A1391">
        <v>967</v>
      </c>
      <c r="B1391">
        <v>7011</v>
      </c>
      <c r="C1391">
        <v>2</v>
      </c>
      <c r="D1391">
        <v>9</v>
      </c>
      <c r="E1391">
        <v>3</v>
      </c>
      <c r="F1391">
        <v>4</v>
      </c>
    </row>
    <row r="1392" spans="1:6" x14ac:dyDescent="0.35">
      <c r="A1392">
        <v>1020</v>
      </c>
      <c r="B1392">
        <v>5287</v>
      </c>
      <c r="C1392">
        <v>2</v>
      </c>
      <c r="D1392">
        <v>1</v>
      </c>
      <c r="E1392">
        <v>3</v>
      </c>
      <c r="F1392">
        <v>3</v>
      </c>
    </row>
    <row r="1393" spans="1:6" x14ac:dyDescent="0.35">
      <c r="A1393">
        <v>1337</v>
      </c>
      <c r="B1393">
        <v>9635</v>
      </c>
      <c r="C1393">
        <v>2</v>
      </c>
      <c r="D1393">
        <v>3</v>
      </c>
      <c r="E1393">
        <v>3</v>
      </c>
      <c r="F1393">
        <v>3</v>
      </c>
    </row>
    <row r="1394" spans="1:6" x14ac:dyDescent="0.35">
      <c r="A1394">
        <v>1409</v>
      </c>
      <c r="B1394">
        <v>10010</v>
      </c>
      <c r="C1394">
        <v>2</v>
      </c>
      <c r="D1394">
        <v>1</v>
      </c>
      <c r="E1394">
        <v>3</v>
      </c>
      <c r="F1394">
        <v>2</v>
      </c>
    </row>
    <row r="1395" spans="1:6" x14ac:dyDescent="0.35">
      <c r="A1395">
        <v>1596</v>
      </c>
      <c r="B1395">
        <v>24</v>
      </c>
      <c r="C1395">
        <v>2</v>
      </c>
      <c r="D1395">
        <v>2</v>
      </c>
      <c r="E1395">
        <v>3</v>
      </c>
      <c r="F1395">
        <v>4</v>
      </c>
    </row>
    <row r="1396" spans="1:6" x14ac:dyDescent="0.35">
      <c r="A1396">
        <v>1987</v>
      </c>
      <c r="B1396">
        <v>4552</v>
      </c>
      <c r="C1396">
        <v>2</v>
      </c>
      <c r="D1396">
        <v>26</v>
      </c>
      <c r="E1396">
        <v>3</v>
      </c>
      <c r="F1396">
        <v>3</v>
      </c>
    </row>
    <row r="1397" spans="1:6" x14ac:dyDescent="0.35">
      <c r="A1397">
        <v>2008</v>
      </c>
      <c r="B1397">
        <v>6870</v>
      </c>
      <c r="C1397">
        <v>2</v>
      </c>
      <c r="D1397">
        <v>13</v>
      </c>
      <c r="E1397">
        <v>3</v>
      </c>
      <c r="F1397">
        <v>7</v>
      </c>
    </row>
    <row r="1398" spans="1:6" x14ac:dyDescent="0.35">
      <c r="A1398">
        <v>2122</v>
      </c>
      <c r="B1398">
        <v>7532</v>
      </c>
      <c r="C1398">
        <v>2</v>
      </c>
      <c r="D1398">
        <v>0</v>
      </c>
      <c r="E1398">
        <v>3</v>
      </c>
      <c r="F1398">
        <v>4</v>
      </c>
    </row>
    <row r="1399" spans="1:6" x14ac:dyDescent="0.35">
      <c r="A1399">
        <v>2180</v>
      </c>
      <c r="B1399">
        <v>1321</v>
      </c>
      <c r="C1399">
        <v>2</v>
      </c>
      <c r="D1399">
        <v>2</v>
      </c>
      <c r="E1399">
        <v>3</v>
      </c>
      <c r="F1399">
        <v>3</v>
      </c>
    </row>
    <row r="1400" spans="1:6" x14ac:dyDescent="0.35">
      <c r="A1400">
        <v>304</v>
      </c>
      <c r="B1400">
        <v>9491</v>
      </c>
      <c r="C1400">
        <v>1</v>
      </c>
      <c r="D1400">
        <v>3</v>
      </c>
      <c r="E1400">
        <v>3</v>
      </c>
      <c r="F1400">
        <v>3</v>
      </c>
    </row>
    <row r="1401" spans="1:6" x14ac:dyDescent="0.35">
      <c r="A1401">
        <v>396</v>
      </c>
      <c r="B1401">
        <v>7414</v>
      </c>
      <c r="C1401">
        <v>1</v>
      </c>
      <c r="D1401">
        <v>3</v>
      </c>
      <c r="E1401">
        <v>3</v>
      </c>
      <c r="F1401">
        <v>4</v>
      </c>
    </row>
    <row r="1402" spans="1:6" x14ac:dyDescent="0.35">
      <c r="A1402">
        <v>659</v>
      </c>
      <c r="B1402">
        <v>6940</v>
      </c>
      <c r="C1402">
        <v>1</v>
      </c>
      <c r="D1402">
        <v>1</v>
      </c>
      <c r="E1402">
        <v>3</v>
      </c>
      <c r="F1402">
        <v>3</v>
      </c>
    </row>
    <row r="1403" spans="1:6" x14ac:dyDescent="0.35">
      <c r="A1403">
        <v>848</v>
      </c>
      <c r="B1403">
        <v>2895</v>
      </c>
      <c r="C1403">
        <v>1</v>
      </c>
      <c r="D1403">
        <v>9</v>
      </c>
      <c r="E1403">
        <v>3</v>
      </c>
      <c r="F1403">
        <v>5</v>
      </c>
    </row>
    <row r="1404" spans="1:6" x14ac:dyDescent="0.35">
      <c r="A1404">
        <v>1036</v>
      </c>
      <c r="B1404">
        <v>10613</v>
      </c>
      <c r="C1404">
        <v>1</v>
      </c>
      <c r="D1404">
        <v>2</v>
      </c>
      <c r="E1404">
        <v>3</v>
      </c>
      <c r="F1404">
        <v>4</v>
      </c>
    </row>
    <row r="1405" spans="1:6" x14ac:dyDescent="0.35">
      <c r="A1405">
        <v>1188</v>
      </c>
      <c r="B1405">
        <v>4088</v>
      </c>
      <c r="C1405">
        <v>1</v>
      </c>
      <c r="D1405">
        <v>1</v>
      </c>
      <c r="E1405">
        <v>3</v>
      </c>
      <c r="F1405">
        <v>4</v>
      </c>
    </row>
    <row r="1406" spans="1:6" x14ac:dyDescent="0.35">
      <c r="A1406">
        <v>1478</v>
      </c>
      <c r="B1406">
        <v>5286</v>
      </c>
      <c r="C1406">
        <v>1</v>
      </c>
      <c r="D1406">
        <v>7</v>
      </c>
      <c r="E1406">
        <v>3</v>
      </c>
      <c r="F1406">
        <v>4</v>
      </c>
    </row>
    <row r="1407" spans="1:6" x14ac:dyDescent="0.35">
      <c r="A1407">
        <v>1518</v>
      </c>
      <c r="B1407">
        <v>10380</v>
      </c>
      <c r="C1407">
        <v>1</v>
      </c>
      <c r="D1407">
        <v>3</v>
      </c>
      <c r="E1407">
        <v>3</v>
      </c>
      <c r="F1407">
        <v>3</v>
      </c>
    </row>
    <row r="1408" spans="1:6" x14ac:dyDescent="0.35">
      <c r="A1408">
        <v>1590</v>
      </c>
      <c r="B1408">
        <v>4971</v>
      </c>
      <c r="C1408">
        <v>1</v>
      </c>
      <c r="D1408">
        <v>1</v>
      </c>
      <c r="E1408">
        <v>3</v>
      </c>
      <c r="F1408">
        <v>4</v>
      </c>
    </row>
    <row r="1409" spans="1:6" x14ac:dyDescent="0.35">
      <c r="A1409">
        <v>1620</v>
      </c>
      <c r="B1409">
        <v>8286</v>
      </c>
      <c r="C1409">
        <v>1</v>
      </c>
      <c r="D1409">
        <v>1</v>
      </c>
      <c r="E1409">
        <v>3</v>
      </c>
      <c r="F1409">
        <v>4</v>
      </c>
    </row>
    <row r="1410" spans="1:6" x14ac:dyDescent="0.35">
      <c r="A1410">
        <v>1769</v>
      </c>
      <c r="B1410">
        <v>5534</v>
      </c>
      <c r="C1410">
        <v>1</v>
      </c>
      <c r="D1410">
        <v>0</v>
      </c>
      <c r="E1410">
        <v>3</v>
      </c>
      <c r="F1410">
        <v>3</v>
      </c>
    </row>
    <row r="1411" spans="1:6" x14ac:dyDescent="0.35">
      <c r="A1411">
        <v>1794</v>
      </c>
      <c r="B1411">
        <v>9905</v>
      </c>
      <c r="C1411">
        <v>1</v>
      </c>
      <c r="D1411">
        <v>1</v>
      </c>
      <c r="E1411">
        <v>3</v>
      </c>
      <c r="F1411">
        <v>3</v>
      </c>
    </row>
    <row r="1412" spans="1:6" x14ac:dyDescent="0.35">
      <c r="A1412">
        <v>1903</v>
      </c>
      <c r="B1412">
        <v>2337</v>
      </c>
      <c r="C1412">
        <v>1</v>
      </c>
      <c r="D1412">
        <v>1</v>
      </c>
      <c r="E1412">
        <v>3</v>
      </c>
      <c r="F1412">
        <v>3</v>
      </c>
    </row>
    <row r="1413" spans="1:6" x14ac:dyDescent="0.35">
      <c r="A1413">
        <v>1964</v>
      </c>
      <c r="B1413">
        <v>1158</v>
      </c>
      <c r="C1413">
        <v>1</v>
      </c>
      <c r="D1413">
        <v>0</v>
      </c>
      <c r="E1413">
        <v>3</v>
      </c>
      <c r="F1413">
        <v>4</v>
      </c>
    </row>
    <row r="1414" spans="1:6" x14ac:dyDescent="0.35">
      <c r="A1414">
        <v>2032</v>
      </c>
      <c r="B1414">
        <v>8625</v>
      </c>
      <c r="C1414">
        <v>1</v>
      </c>
      <c r="D1414">
        <v>5</v>
      </c>
      <c r="E1414">
        <v>3</v>
      </c>
      <c r="F1414">
        <v>3</v>
      </c>
    </row>
    <row r="1415" spans="1:6" x14ac:dyDescent="0.35">
      <c r="A1415">
        <v>2068</v>
      </c>
      <c r="B1415">
        <v>10500</v>
      </c>
      <c r="C1415">
        <v>1</v>
      </c>
      <c r="D1415">
        <v>14</v>
      </c>
      <c r="E1415">
        <v>3</v>
      </c>
      <c r="F1415">
        <v>4</v>
      </c>
    </row>
    <row r="1416" spans="1:6" x14ac:dyDescent="0.35">
      <c r="A1416">
        <v>2199</v>
      </c>
      <c r="B1416">
        <v>9014</v>
      </c>
      <c r="C1416">
        <v>1</v>
      </c>
      <c r="D1416">
        <v>0</v>
      </c>
      <c r="E1416">
        <v>3</v>
      </c>
      <c r="F1416">
        <v>3</v>
      </c>
    </row>
    <row r="1417" spans="1:6" x14ac:dyDescent="0.35">
      <c r="A1417">
        <v>8</v>
      </c>
      <c r="B1417">
        <v>4855</v>
      </c>
      <c r="C1417">
        <v>0</v>
      </c>
      <c r="D1417">
        <v>3</v>
      </c>
      <c r="E1417">
        <v>3</v>
      </c>
      <c r="F1417">
        <v>2</v>
      </c>
    </row>
    <row r="1418" spans="1:6" x14ac:dyDescent="0.35">
      <c r="A1418">
        <v>86</v>
      </c>
      <c r="B1418">
        <v>273</v>
      </c>
      <c r="C1418">
        <v>0</v>
      </c>
      <c r="D1418">
        <v>0</v>
      </c>
      <c r="E1418">
        <v>3</v>
      </c>
      <c r="F1418">
        <v>4</v>
      </c>
    </row>
    <row r="1419" spans="1:6" x14ac:dyDescent="0.35">
      <c r="A1419">
        <v>141</v>
      </c>
      <c r="B1419">
        <v>11084</v>
      </c>
      <c r="C1419">
        <v>0</v>
      </c>
      <c r="D1419">
        <v>20</v>
      </c>
      <c r="E1419">
        <v>3</v>
      </c>
      <c r="F1419">
        <v>7</v>
      </c>
    </row>
    <row r="1420" spans="1:6" x14ac:dyDescent="0.35">
      <c r="A1420">
        <v>225</v>
      </c>
      <c r="B1420">
        <v>4653</v>
      </c>
      <c r="C1420">
        <v>0</v>
      </c>
      <c r="D1420">
        <v>1</v>
      </c>
      <c r="E1420">
        <v>3</v>
      </c>
      <c r="F1420">
        <v>4</v>
      </c>
    </row>
    <row r="1421" spans="1:6" x14ac:dyDescent="0.35">
      <c r="A1421">
        <v>278</v>
      </c>
      <c r="B1421">
        <v>3762</v>
      </c>
      <c r="C1421">
        <v>0</v>
      </c>
      <c r="D1421">
        <v>130</v>
      </c>
      <c r="E1421">
        <v>3</v>
      </c>
      <c r="F1421">
        <v>8</v>
      </c>
    </row>
    <row r="1422" spans="1:6" x14ac:dyDescent="0.35">
      <c r="A1422">
        <v>291</v>
      </c>
      <c r="B1422">
        <v>7254</v>
      </c>
      <c r="C1422">
        <v>0</v>
      </c>
      <c r="D1422">
        <v>8</v>
      </c>
      <c r="E1422">
        <v>3</v>
      </c>
      <c r="F1422">
        <v>3</v>
      </c>
    </row>
    <row r="1423" spans="1:6" x14ac:dyDescent="0.35">
      <c r="A1423">
        <v>295</v>
      </c>
      <c r="B1423">
        <v>2926</v>
      </c>
      <c r="C1423">
        <v>0</v>
      </c>
      <c r="D1423">
        <v>13</v>
      </c>
      <c r="E1423">
        <v>3</v>
      </c>
      <c r="F1423">
        <v>11</v>
      </c>
    </row>
    <row r="1424" spans="1:6" x14ac:dyDescent="0.35">
      <c r="A1424">
        <v>300</v>
      </c>
      <c r="B1424">
        <v>5827</v>
      </c>
      <c r="C1424">
        <v>0</v>
      </c>
      <c r="D1424">
        <v>2</v>
      </c>
      <c r="E1424">
        <v>3</v>
      </c>
      <c r="F1424">
        <v>3</v>
      </c>
    </row>
    <row r="1425" spans="1:6" x14ac:dyDescent="0.35">
      <c r="A1425">
        <v>314</v>
      </c>
      <c r="B1425">
        <v>3050</v>
      </c>
      <c r="C1425">
        <v>0</v>
      </c>
      <c r="D1425">
        <v>2</v>
      </c>
      <c r="E1425">
        <v>3</v>
      </c>
      <c r="F1425">
        <v>6</v>
      </c>
    </row>
    <row r="1426" spans="1:6" x14ac:dyDescent="0.35">
      <c r="A1426">
        <v>375</v>
      </c>
      <c r="B1426">
        <v>10703</v>
      </c>
      <c r="C1426">
        <v>0</v>
      </c>
      <c r="D1426">
        <v>0</v>
      </c>
      <c r="E1426">
        <v>3</v>
      </c>
      <c r="F1426">
        <v>2</v>
      </c>
    </row>
    <row r="1427" spans="1:6" x14ac:dyDescent="0.35">
      <c r="A1427">
        <v>408</v>
      </c>
      <c r="B1427">
        <v>5049</v>
      </c>
      <c r="C1427">
        <v>0</v>
      </c>
      <c r="D1427">
        <v>3</v>
      </c>
      <c r="E1427">
        <v>3</v>
      </c>
      <c r="F1427">
        <v>2</v>
      </c>
    </row>
    <row r="1428" spans="1:6" x14ac:dyDescent="0.35">
      <c r="A1428">
        <v>415</v>
      </c>
      <c r="B1428">
        <v>7106</v>
      </c>
      <c r="C1428">
        <v>0</v>
      </c>
      <c r="D1428">
        <v>0</v>
      </c>
      <c r="E1428">
        <v>3</v>
      </c>
      <c r="F1428">
        <v>10</v>
      </c>
    </row>
    <row r="1429" spans="1:6" x14ac:dyDescent="0.35">
      <c r="A1429">
        <v>461</v>
      </c>
      <c r="B1429">
        <v>7851</v>
      </c>
      <c r="C1429">
        <v>0</v>
      </c>
      <c r="D1429">
        <v>191</v>
      </c>
      <c r="E1429">
        <v>3</v>
      </c>
      <c r="F1429">
        <v>11</v>
      </c>
    </row>
    <row r="1430" spans="1:6" x14ac:dyDescent="0.35">
      <c r="A1430">
        <v>462</v>
      </c>
      <c r="B1430">
        <v>8594</v>
      </c>
      <c r="C1430">
        <v>0</v>
      </c>
      <c r="D1430">
        <v>1</v>
      </c>
      <c r="E1430">
        <v>3</v>
      </c>
      <c r="F1430">
        <v>3</v>
      </c>
    </row>
    <row r="1431" spans="1:6" x14ac:dyDescent="0.35">
      <c r="A1431">
        <v>486</v>
      </c>
      <c r="B1431">
        <v>5172</v>
      </c>
      <c r="C1431">
        <v>0</v>
      </c>
      <c r="D1431">
        <v>20</v>
      </c>
      <c r="E1431">
        <v>3</v>
      </c>
      <c r="F1431">
        <v>7</v>
      </c>
    </row>
    <row r="1432" spans="1:6" x14ac:dyDescent="0.35">
      <c r="A1432">
        <v>516</v>
      </c>
      <c r="B1432">
        <v>11025</v>
      </c>
      <c r="C1432">
        <v>0</v>
      </c>
      <c r="D1432">
        <v>3</v>
      </c>
      <c r="E1432">
        <v>3</v>
      </c>
      <c r="F1432">
        <v>3</v>
      </c>
    </row>
    <row r="1433" spans="1:6" x14ac:dyDescent="0.35">
      <c r="A1433">
        <v>580</v>
      </c>
      <c r="B1433">
        <v>5966</v>
      </c>
      <c r="C1433">
        <v>0</v>
      </c>
      <c r="D1433">
        <v>0</v>
      </c>
      <c r="E1433">
        <v>3</v>
      </c>
      <c r="F1433">
        <v>6</v>
      </c>
    </row>
    <row r="1434" spans="1:6" x14ac:dyDescent="0.35">
      <c r="A1434">
        <v>759</v>
      </c>
      <c r="B1434">
        <v>6488</v>
      </c>
      <c r="C1434">
        <v>0</v>
      </c>
      <c r="D1434">
        <v>0</v>
      </c>
      <c r="E1434">
        <v>3</v>
      </c>
      <c r="F1434">
        <v>2</v>
      </c>
    </row>
    <row r="1435" spans="1:6" x14ac:dyDescent="0.35">
      <c r="A1435">
        <v>935</v>
      </c>
      <c r="B1435">
        <v>6383</v>
      </c>
      <c r="C1435">
        <v>0</v>
      </c>
      <c r="D1435">
        <v>1</v>
      </c>
      <c r="E1435">
        <v>3</v>
      </c>
      <c r="F1435">
        <v>3</v>
      </c>
    </row>
    <row r="1436" spans="1:6" x14ac:dyDescent="0.35">
      <c r="A1436">
        <v>971</v>
      </c>
      <c r="B1436">
        <v>1734</v>
      </c>
      <c r="C1436">
        <v>0</v>
      </c>
      <c r="D1436">
        <v>2</v>
      </c>
      <c r="E1436">
        <v>3</v>
      </c>
      <c r="F1436">
        <v>4</v>
      </c>
    </row>
    <row r="1437" spans="1:6" x14ac:dyDescent="0.35">
      <c r="A1437">
        <v>1013</v>
      </c>
      <c r="B1437">
        <v>1970</v>
      </c>
      <c r="C1437">
        <v>0</v>
      </c>
      <c r="D1437">
        <v>0</v>
      </c>
      <c r="E1437">
        <v>3</v>
      </c>
      <c r="F1437">
        <v>3</v>
      </c>
    </row>
    <row r="1438" spans="1:6" x14ac:dyDescent="0.35">
      <c r="A1438">
        <v>1060</v>
      </c>
      <c r="B1438">
        <v>4491</v>
      </c>
      <c r="C1438">
        <v>0</v>
      </c>
      <c r="D1438">
        <v>0</v>
      </c>
      <c r="E1438">
        <v>3</v>
      </c>
      <c r="F1438">
        <v>10</v>
      </c>
    </row>
    <row r="1439" spans="1:6" x14ac:dyDescent="0.35">
      <c r="A1439">
        <v>1070</v>
      </c>
      <c r="B1439">
        <v>10536</v>
      </c>
      <c r="C1439">
        <v>0</v>
      </c>
      <c r="D1439">
        <v>1</v>
      </c>
      <c r="E1439">
        <v>3</v>
      </c>
      <c r="F1439">
        <v>3</v>
      </c>
    </row>
    <row r="1440" spans="1:6" x14ac:dyDescent="0.35">
      <c r="A1440">
        <v>1217</v>
      </c>
      <c r="B1440">
        <v>8876</v>
      </c>
      <c r="C1440">
        <v>0</v>
      </c>
      <c r="D1440">
        <v>0</v>
      </c>
      <c r="E1440">
        <v>3</v>
      </c>
      <c r="F1440">
        <v>4</v>
      </c>
    </row>
    <row r="1441" spans="1:6" x14ac:dyDescent="0.35">
      <c r="A1441">
        <v>1229</v>
      </c>
      <c r="B1441">
        <v>833</v>
      </c>
      <c r="C1441">
        <v>0</v>
      </c>
      <c r="D1441">
        <v>0</v>
      </c>
      <c r="E1441">
        <v>3</v>
      </c>
      <c r="F1441">
        <v>3</v>
      </c>
    </row>
    <row r="1442" spans="1:6" x14ac:dyDescent="0.35">
      <c r="A1442">
        <v>1277</v>
      </c>
      <c r="B1442">
        <v>10637</v>
      </c>
      <c r="C1442">
        <v>0</v>
      </c>
      <c r="D1442">
        <v>30</v>
      </c>
      <c r="E1442">
        <v>3</v>
      </c>
      <c r="F1442">
        <v>3</v>
      </c>
    </row>
    <row r="1443" spans="1:6" x14ac:dyDescent="0.35">
      <c r="A1443">
        <v>1315</v>
      </c>
      <c r="B1443">
        <v>6197</v>
      </c>
      <c r="C1443">
        <v>0</v>
      </c>
      <c r="D1443">
        <v>0</v>
      </c>
      <c r="E1443">
        <v>3</v>
      </c>
      <c r="F1443">
        <v>3</v>
      </c>
    </row>
    <row r="1444" spans="1:6" x14ac:dyDescent="0.35">
      <c r="A1444">
        <v>1342</v>
      </c>
      <c r="B1444">
        <v>873</v>
      </c>
      <c r="C1444">
        <v>0</v>
      </c>
      <c r="D1444">
        <v>0</v>
      </c>
      <c r="E1444">
        <v>3</v>
      </c>
      <c r="F1444">
        <v>10</v>
      </c>
    </row>
    <row r="1445" spans="1:6" x14ac:dyDescent="0.35">
      <c r="A1445">
        <v>1442</v>
      </c>
      <c r="B1445">
        <v>6856</v>
      </c>
      <c r="C1445">
        <v>0</v>
      </c>
      <c r="D1445">
        <v>5</v>
      </c>
      <c r="E1445">
        <v>3</v>
      </c>
      <c r="F1445">
        <v>3</v>
      </c>
    </row>
    <row r="1446" spans="1:6" x14ac:dyDescent="0.35">
      <c r="A1446">
        <v>1511</v>
      </c>
      <c r="B1446">
        <v>9</v>
      </c>
      <c r="C1446">
        <v>0</v>
      </c>
      <c r="D1446">
        <v>0</v>
      </c>
      <c r="E1446">
        <v>3</v>
      </c>
      <c r="F1446">
        <v>2</v>
      </c>
    </row>
    <row r="1447" spans="1:6" x14ac:dyDescent="0.35">
      <c r="A1447">
        <v>1533</v>
      </c>
      <c r="B1447">
        <v>2804</v>
      </c>
      <c r="C1447">
        <v>0</v>
      </c>
      <c r="D1447">
        <v>0</v>
      </c>
      <c r="E1447">
        <v>3</v>
      </c>
      <c r="F1447">
        <v>2</v>
      </c>
    </row>
    <row r="1448" spans="1:6" x14ac:dyDescent="0.35">
      <c r="A1448">
        <v>1538</v>
      </c>
      <c r="B1448">
        <v>1079</v>
      </c>
      <c r="C1448">
        <v>0</v>
      </c>
      <c r="D1448">
        <v>0</v>
      </c>
      <c r="E1448">
        <v>3</v>
      </c>
      <c r="F1448">
        <v>9</v>
      </c>
    </row>
    <row r="1449" spans="1:6" x14ac:dyDescent="0.35">
      <c r="A1449">
        <v>1564</v>
      </c>
      <c r="B1449">
        <v>10699</v>
      </c>
      <c r="C1449">
        <v>0</v>
      </c>
      <c r="D1449">
        <v>0</v>
      </c>
      <c r="E1449">
        <v>3</v>
      </c>
      <c r="F1449">
        <v>3</v>
      </c>
    </row>
    <row r="1450" spans="1:6" x14ac:dyDescent="0.35">
      <c r="A1450">
        <v>1701</v>
      </c>
      <c r="B1450">
        <v>3565</v>
      </c>
      <c r="C1450">
        <v>0</v>
      </c>
      <c r="D1450">
        <v>0</v>
      </c>
      <c r="E1450">
        <v>3</v>
      </c>
      <c r="F1450">
        <v>3</v>
      </c>
    </row>
    <row r="1451" spans="1:6" x14ac:dyDescent="0.35">
      <c r="A1451">
        <v>1778</v>
      </c>
      <c r="B1451">
        <v>10477</v>
      </c>
      <c r="C1451">
        <v>0</v>
      </c>
      <c r="D1451">
        <v>0</v>
      </c>
      <c r="E1451">
        <v>3</v>
      </c>
      <c r="F1451">
        <v>2</v>
      </c>
    </row>
    <row r="1452" spans="1:6" x14ac:dyDescent="0.35">
      <c r="A1452">
        <v>1802</v>
      </c>
      <c r="B1452">
        <v>6289</v>
      </c>
      <c r="C1452">
        <v>0</v>
      </c>
      <c r="D1452">
        <v>4</v>
      </c>
      <c r="E1452">
        <v>3</v>
      </c>
      <c r="F1452">
        <v>4</v>
      </c>
    </row>
    <row r="1453" spans="1:6" x14ac:dyDescent="0.35">
      <c r="A1453">
        <v>1904</v>
      </c>
      <c r="B1453">
        <v>10951</v>
      </c>
      <c r="C1453">
        <v>0</v>
      </c>
      <c r="D1453">
        <v>0</v>
      </c>
      <c r="E1453">
        <v>3</v>
      </c>
      <c r="F1453">
        <v>8</v>
      </c>
    </row>
    <row r="1454" spans="1:6" x14ac:dyDescent="0.35">
      <c r="A1454">
        <v>1907</v>
      </c>
      <c r="B1454">
        <v>10680</v>
      </c>
      <c r="C1454">
        <v>0</v>
      </c>
      <c r="D1454">
        <v>1</v>
      </c>
      <c r="E1454">
        <v>3</v>
      </c>
      <c r="F1454">
        <v>3</v>
      </c>
    </row>
    <row r="1455" spans="1:6" x14ac:dyDescent="0.35">
      <c r="A1455">
        <v>1917</v>
      </c>
      <c r="B1455">
        <v>4385</v>
      </c>
      <c r="C1455">
        <v>0</v>
      </c>
      <c r="D1455">
        <v>2</v>
      </c>
      <c r="E1455">
        <v>3</v>
      </c>
      <c r="F1455">
        <v>3</v>
      </c>
    </row>
    <row r="1456" spans="1:6" x14ac:dyDescent="0.35">
      <c r="A1456">
        <v>1950</v>
      </c>
      <c r="B1456">
        <v>6663</v>
      </c>
      <c r="C1456">
        <v>0</v>
      </c>
      <c r="D1456">
        <v>0</v>
      </c>
      <c r="E1456">
        <v>3</v>
      </c>
      <c r="F1456">
        <v>4</v>
      </c>
    </row>
    <row r="1457" spans="1:6" x14ac:dyDescent="0.35">
      <c r="A1457">
        <v>1977</v>
      </c>
      <c r="B1457">
        <v>4867</v>
      </c>
      <c r="C1457">
        <v>0</v>
      </c>
      <c r="D1457">
        <v>0</v>
      </c>
      <c r="E1457">
        <v>3</v>
      </c>
      <c r="F1457">
        <v>4</v>
      </c>
    </row>
    <row r="1458" spans="1:6" x14ac:dyDescent="0.35">
      <c r="A1458">
        <v>2046</v>
      </c>
      <c r="B1458">
        <v>4268</v>
      </c>
      <c r="C1458">
        <v>0</v>
      </c>
      <c r="D1458">
        <v>1</v>
      </c>
      <c r="E1458">
        <v>3</v>
      </c>
      <c r="F1458">
        <v>4</v>
      </c>
    </row>
    <row r="1459" spans="1:6" x14ac:dyDescent="0.35">
      <c r="A1459">
        <v>2053</v>
      </c>
      <c r="B1459">
        <v>10509</v>
      </c>
      <c r="C1459">
        <v>0</v>
      </c>
      <c r="D1459">
        <v>0</v>
      </c>
      <c r="E1459">
        <v>3</v>
      </c>
      <c r="F1459">
        <v>3</v>
      </c>
    </row>
    <row r="1460" spans="1:6" x14ac:dyDescent="0.35">
      <c r="A1460">
        <v>2060</v>
      </c>
      <c r="B1460">
        <v>8775</v>
      </c>
      <c r="C1460">
        <v>0</v>
      </c>
      <c r="D1460">
        <v>8</v>
      </c>
      <c r="E1460">
        <v>3</v>
      </c>
      <c r="F1460">
        <v>3</v>
      </c>
    </row>
    <row r="1461" spans="1:6" x14ac:dyDescent="0.35">
      <c r="A1461">
        <v>2061</v>
      </c>
      <c r="B1461">
        <v>1612</v>
      </c>
      <c r="C1461">
        <v>0</v>
      </c>
      <c r="D1461">
        <v>2</v>
      </c>
      <c r="E1461">
        <v>3</v>
      </c>
      <c r="F1461">
        <v>3</v>
      </c>
    </row>
    <row r="1462" spans="1:6" x14ac:dyDescent="0.35">
      <c r="A1462">
        <v>2136</v>
      </c>
      <c r="B1462">
        <v>271</v>
      </c>
      <c r="C1462">
        <v>0</v>
      </c>
      <c r="D1462">
        <v>11</v>
      </c>
      <c r="E1462">
        <v>3</v>
      </c>
      <c r="F1462">
        <v>3</v>
      </c>
    </row>
    <row r="1463" spans="1:6" x14ac:dyDescent="0.35">
      <c r="A1463">
        <v>2153</v>
      </c>
      <c r="B1463">
        <v>7699</v>
      </c>
      <c r="C1463">
        <v>0</v>
      </c>
      <c r="D1463">
        <v>11</v>
      </c>
      <c r="E1463">
        <v>3</v>
      </c>
      <c r="F1463">
        <v>3</v>
      </c>
    </row>
    <row r="1464" spans="1:6" x14ac:dyDescent="0.35">
      <c r="A1464">
        <v>2195</v>
      </c>
      <c r="B1464">
        <v>2980</v>
      </c>
      <c r="C1464">
        <v>0</v>
      </c>
      <c r="D1464">
        <v>2</v>
      </c>
      <c r="E1464">
        <v>3</v>
      </c>
      <c r="F1464">
        <v>3</v>
      </c>
    </row>
    <row r="1465" spans="1:6" x14ac:dyDescent="0.35">
      <c r="A1465">
        <v>2205</v>
      </c>
      <c r="B1465">
        <v>5959</v>
      </c>
      <c r="C1465">
        <v>0</v>
      </c>
      <c r="D1465">
        <v>0</v>
      </c>
      <c r="E1465">
        <v>3</v>
      </c>
      <c r="F1465">
        <v>5</v>
      </c>
    </row>
    <row r="1466" spans="1:6" x14ac:dyDescent="0.35">
      <c r="A1466">
        <v>1508</v>
      </c>
      <c r="B1466">
        <v>3967</v>
      </c>
      <c r="C1466">
        <v>197</v>
      </c>
      <c r="D1466">
        <v>152</v>
      </c>
      <c r="E1466">
        <v>2</v>
      </c>
      <c r="F1466">
        <v>13</v>
      </c>
    </row>
    <row r="1467" spans="1:6" x14ac:dyDescent="0.35">
      <c r="A1467">
        <v>1421</v>
      </c>
      <c r="B1467">
        <v>7000</v>
      </c>
      <c r="C1467">
        <v>172</v>
      </c>
      <c r="D1467">
        <v>8</v>
      </c>
      <c r="E1467">
        <v>2</v>
      </c>
      <c r="F1467">
        <v>10</v>
      </c>
    </row>
    <row r="1468" spans="1:6" x14ac:dyDescent="0.35">
      <c r="A1468">
        <v>1813</v>
      </c>
      <c r="B1468">
        <v>10513</v>
      </c>
      <c r="C1468">
        <v>169</v>
      </c>
      <c r="D1468">
        <v>169</v>
      </c>
      <c r="E1468">
        <v>2</v>
      </c>
      <c r="F1468">
        <v>6</v>
      </c>
    </row>
    <row r="1469" spans="1:6" x14ac:dyDescent="0.35">
      <c r="A1469">
        <v>45</v>
      </c>
      <c r="B1469">
        <v>1371</v>
      </c>
      <c r="C1469">
        <v>164</v>
      </c>
      <c r="D1469">
        <v>30</v>
      </c>
      <c r="E1469">
        <v>2</v>
      </c>
      <c r="F1469">
        <v>9</v>
      </c>
    </row>
    <row r="1470" spans="1:6" x14ac:dyDescent="0.35">
      <c r="A1470">
        <v>2048</v>
      </c>
      <c r="B1470">
        <v>3507</v>
      </c>
      <c r="C1470">
        <v>161</v>
      </c>
      <c r="D1470">
        <v>44</v>
      </c>
      <c r="E1470">
        <v>2</v>
      </c>
      <c r="F1470">
        <v>5</v>
      </c>
    </row>
    <row r="1471" spans="1:6" x14ac:dyDescent="0.35">
      <c r="A1471">
        <v>2056</v>
      </c>
      <c r="B1471">
        <v>7441</v>
      </c>
      <c r="C1471">
        <v>159</v>
      </c>
      <c r="D1471">
        <v>0</v>
      </c>
      <c r="E1471">
        <v>2</v>
      </c>
      <c r="F1471">
        <v>12</v>
      </c>
    </row>
    <row r="1472" spans="1:6" x14ac:dyDescent="0.35">
      <c r="A1472">
        <v>292</v>
      </c>
      <c r="B1472">
        <v>4543</v>
      </c>
      <c r="C1472">
        <v>129</v>
      </c>
      <c r="D1472">
        <v>21</v>
      </c>
      <c r="E1472">
        <v>2</v>
      </c>
      <c r="F1472">
        <v>9</v>
      </c>
    </row>
    <row r="1473" spans="1:6" x14ac:dyDescent="0.35">
      <c r="A1473">
        <v>2014</v>
      </c>
      <c r="B1473">
        <v>3262</v>
      </c>
      <c r="C1473">
        <v>112</v>
      </c>
      <c r="D1473">
        <v>48</v>
      </c>
      <c r="E1473">
        <v>2</v>
      </c>
      <c r="F1473">
        <v>13</v>
      </c>
    </row>
    <row r="1474" spans="1:6" x14ac:dyDescent="0.35">
      <c r="A1474">
        <v>1336</v>
      </c>
      <c r="B1474">
        <v>9495</v>
      </c>
      <c r="C1474">
        <v>108</v>
      </c>
      <c r="D1474">
        <v>97</v>
      </c>
      <c r="E1474">
        <v>2</v>
      </c>
      <c r="F1474">
        <v>6</v>
      </c>
    </row>
    <row r="1475" spans="1:6" x14ac:dyDescent="0.35">
      <c r="A1475">
        <v>1767</v>
      </c>
      <c r="B1475">
        <v>2631</v>
      </c>
      <c r="C1475">
        <v>108</v>
      </c>
      <c r="D1475">
        <v>97</v>
      </c>
      <c r="E1475">
        <v>2</v>
      </c>
      <c r="F1475">
        <v>6</v>
      </c>
    </row>
    <row r="1476" spans="1:6" x14ac:dyDescent="0.35">
      <c r="A1476">
        <v>1598</v>
      </c>
      <c r="B1476">
        <v>7022</v>
      </c>
      <c r="C1476">
        <v>107</v>
      </c>
      <c r="D1476">
        <v>80</v>
      </c>
      <c r="E1476">
        <v>2</v>
      </c>
      <c r="F1476">
        <v>13</v>
      </c>
    </row>
    <row r="1477" spans="1:6" x14ac:dyDescent="0.35">
      <c r="A1477">
        <v>1894</v>
      </c>
      <c r="B1477">
        <v>1743</v>
      </c>
      <c r="C1477">
        <v>86</v>
      </c>
      <c r="D1477">
        <v>14</v>
      </c>
      <c r="E1477">
        <v>2</v>
      </c>
      <c r="F1477">
        <v>5</v>
      </c>
    </row>
    <row r="1478" spans="1:6" x14ac:dyDescent="0.35">
      <c r="A1478">
        <v>677</v>
      </c>
      <c r="B1478">
        <v>9937</v>
      </c>
      <c r="C1478">
        <v>81</v>
      </c>
      <c r="D1478">
        <v>43</v>
      </c>
      <c r="E1478">
        <v>2</v>
      </c>
      <c r="F1478">
        <v>12</v>
      </c>
    </row>
    <row r="1479" spans="1:6" x14ac:dyDescent="0.35">
      <c r="A1479">
        <v>521</v>
      </c>
      <c r="B1479">
        <v>2532</v>
      </c>
      <c r="C1479">
        <v>73</v>
      </c>
      <c r="D1479">
        <v>14</v>
      </c>
      <c r="E1479">
        <v>2</v>
      </c>
      <c r="F1479">
        <v>6</v>
      </c>
    </row>
    <row r="1480" spans="1:6" x14ac:dyDescent="0.35">
      <c r="A1480">
        <v>1211</v>
      </c>
      <c r="B1480">
        <v>7192</v>
      </c>
      <c r="C1480">
        <v>73</v>
      </c>
      <c r="D1480">
        <v>78</v>
      </c>
      <c r="E1480">
        <v>2</v>
      </c>
      <c r="F1480">
        <v>10</v>
      </c>
    </row>
    <row r="1481" spans="1:6" x14ac:dyDescent="0.35">
      <c r="A1481">
        <v>868</v>
      </c>
      <c r="B1481">
        <v>8687</v>
      </c>
      <c r="C1481">
        <v>62</v>
      </c>
      <c r="D1481">
        <v>20</v>
      </c>
      <c r="E1481">
        <v>2</v>
      </c>
      <c r="F1481">
        <v>8</v>
      </c>
    </row>
    <row r="1482" spans="1:6" x14ac:dyDescent="0.35">
      <c r="A1482">
        <v>889</v>
      </c>
      <c r="B1482">
        <v>2930</v>
      </c>
      <c r="C1482">
        <v>60</v>
      </c>
      <c r="D1482">
        <v>36</v>
      </c>
      <c r="E1482">
        <v>2</v>
      </c>
      <c r="F1482">
        <v>10</v>
      </c>
    </row>
    <row r="1483" spans="1:6" x14ac:dyDescent="0.35">
      <c r="A1483">
        <v>69</v>
      </c>
      <c r="B1483">
        <v>1357</v>
      </c>
      <c r="C1483">
        <v>59</v>
      </c>
      <c r="D1483">
        <v>29</v>
      </c>
      <c r="E1483">
        <v>2</v>
      </c>
      <c r="F1483">
        <v>5</v>
      </c>
    </row>
    <row r="1484" spans="1:6" x14ac:dyDescent="0.35">
      <c r="A1484">
        <v>1110</v>
      </c>
      <c r="B1484">
        <v>375</v>
      </c>
      <c r="C1484">
        <v>56</v>
      </c>
      <c r="D1484">
        <v>33</v>
      </c>
      <c r="E1484">
        <v>2</v>
      </c>
      <c r="F1484">
        <v>11</v>
      </c>
    </row>
    <row r="1485" spans="1:6" x14ac:dyDescent="0.35">
      <c r="A1485">
        <v>976</v>
      </c>
      <c r="B1485">
        <v>2611</v>
      </c>
      <c r="C1485">
        <v>55</v>
      </c>
      <c r="D1485">
        <v>18</v>
      </c>
      <c r="E1485">
        <v>2</v>
      </c>
      <c r="F1485">
        <v>12</v>
      </c>
    </row>
    <row r="1486" spans="1:6" x14ac:dyDescent="0.35">
      <c r="A1486">
        <v>1773</v>
      </c>
      <c r="B1486">
        <v>8584</v>
      </c>
      <c r="C1486">
        <v>53</v>
      </c>
      <c r="D1486">
        <v>53</v>
      </c>
      <c r="E1486">
        <v>2</v>
      </c>
      <c r="F1486">
        <v>7</v>
      </c>
    </row>
    <row r="1487" spans="1:6" x14ac:dyDescent="0.35">
      <c r="A1487">
        <v>2237</v>
      </c>
      <c r="B1487">
        <v>7270</v>
      </c>
      <c r="C1487">
        <v>48</v>
      </c>
      <c r="D1487">
        <v>12</v>
      </c>
      <c r="E1487">
        <v>2</v>
      </c>
      <c r="F1487">
        <v>13</v>
      </c>
    </row>
    <row r="1488" spans="1:6" x14ac:dyDescent="0.35">
      <c r="A1488">
        <v>1858</v>
      </c>
      <c r="B1488">
        <v>9029</v>
      </c>
      <c r="C1488">
        <v>44</v>
      </c>
      <c r="D1488">
        <v>58</v>
      </c>
      <c r="E1488">
        <v>2</v>
      </c>
      <c r="F1488">
        <v>12</v>
      </c>
    </row>
    <row r="1489" spans="1:6" x14ac:dyDescent="0.35">
      <c r="A1489">
        <v>804</v>
      </c>
      <c r="B1489">
        <v>3483</v>
      </c>
      <c r="C1489">
        <v>43</v>
      </c>
      <c r="D1489">
        <v>58</v>
      </c>
      <c r="E1489">
        <v>2</v>
      </c>
      <c r="F1489">
        <v>12</v>
      </c>
    </row>
    <row r="1490" spans="1:6" x14ac:dyDescent="0.35">
      <c r="A1490">
        <v>1019</v>
      </c>
      <c r="B1490">
        <v>4436</v>
      </c>
      <c r="C1490">
        <v>42</v>
      </c>
      <c r="D1490">
        <v>20</v>
      </c>
      <c r="E1490">
        <v>2</v>
      </c>
      <c r="F1490">
        <v>4</v>
      </c>
    </row>
    <row r="1491" spans="1:6" x14ac:dyDescent="0.35">
      <c r="A1491">
        <v>1918</v>
      </c>
      <c r="B1491">
        <v>2929</v>
      </c>
      <c r="C1491">
        <v>42</v>
      </c>
      <c r="D1491">
        <v>20</v>
      </c>
      <c r="E1491">
        <v>2</v>
      </c>
      <c r="F1491">
        <v>4</v>
      </c>
    </row>
    <row r="1492" spans="1:6" x14ac:dyDescent="0.35">
      <c r="A1492">
        <v>92</v>
      </c>
      <c r="B1492">
        <v>5798</v>
      </c>
      <c r="C1492">
        <v>37</v>
      </c>
      <c r="D1492">
        <v>28</v>
      </c>
      <c r="E1492">
        <v>2</v>
      </c>
      <c r="F1492">
        <v>8</v>
      </c>
    </row>
    <row r="1493" spans="1:6" x14ac:dyDescent="0.35">
      <c r="A1493">
        <v>764</v>
      </c>
      <c r="B1493">
        <v>4508</v>
      </c>
      <c r="C1493">
        <v>35</v>
      </c>
      <c r="D1493">
        <v>17</v>
      </c>
      <c r="E1493">
        <v>2</v>
      </c>
      <c r="F1493">
        <v>5</v>
      </c>
    </row>
    <row r="1494" spans="1:6" x14ac:dyDescent="0.35">
      <c r="A1494">
        <v>934</v>
      </c>
      <c r="B1494">
        <v>4843</v>
      </c>
      <c r="C1494">
        <v>35</v>
      </c>
      <c r="D1494">
        <v>17</v>
      </c>
      <c r="E1494">
        <v>2</v>
      </c>
      <c r="F1494">
        <v>5</v>
      </c>
    </row>
    <row r="1495" spans="1:6" x14ac:dyDescent="0.35">
      <c r="A1495">
        <v>345</v>
      </c>
      <c r="B1495">
        <v>1411</v>
      </c>
      <c r="C1495">
        <v>34</v>
      </c>
      <c r="D1495">
        <v>153</v>
      </c>
      <c r="E1495">
        <v>2</v>
      </c>
      <c r="F1495">
        <v>4</v>
      </c>
    </row>
    <row r="1496" spans="1:6" x14ac:dyDescent="0.35">
      <c r="A1496">
        <v>523</v>
      </c>
      <c r="B1496">
        <v>4943</v>
      </c>
      <c r="C1496">
        <v>33</v>
      </c>
      <c r="D1496">
        <v>33</v>
      </c>
      <c r="E1496">
        <v>2</v>
      </c>
      <c r="F1496">
        <v>9</v>
      </c>
    </row>
    <row r="1497" spans="1:6" x14ac:dyDescent="0.35">
      <c r="A1497">
        <v>341</v>
      </c>
      <c r="B1497">
        <v>11191</v>
      </c>
      <c r="C1497">
        <v>32</v>
      </c>
      <c r="D1497">
        <v>3</v>
      </c>
      <c r="E1497">
        <v>2</v>
      </c>
      <c r="F1497">
        <v>4</v>
      </c>
    </row>
    <row r="1498" spans="1:6" x14ac:dyDescent="0.35">
      <c r="A1498">
        <v>684</v>
      </c>
      <c r="B1498">
        <v>6327</v>
      </c>
      <c r="C1498">
        <v>32</v>
      </c>
      <c r="D1498">
        <v>32</v>
      </c>
      <c r="E1498">
        <v>2</v>
      </c>
      <c r="F1498">
        <v>6</v>
      </c>
    </row>
    <row r="1499" spans="1:6" x14ac:dyDescent="0.35">
      <c r="A1499">
        <v>441</v>
      </c>
      <c r="B1499">
        <v>7495</v>
      </c>
      <c r="C1499">
        <v>28</v>
      </c>
      <c r="D1499">
        <v>0</v>
      </c>
      <c r="E1499">
        <v>2</v>
      </c>
      <c r="F1499">
        <v>5</v>
      </c>
    </row>
    <row r="1500" spans="1:6" x14ac:dyDescent="0.35">
      <c r="A1500">
        <v>1059</v>
      </c>
      <c r="B1500">
        <v>11013</v>
      </c>
      <c r="C1500">
        <v>28</v>
      </c>
      <c r="D1500">
        <v>54</v>
      </c>
      <c r="E1500">
        <v>2</v>
      </c>
      <c r="F1500">
        <v>6</v>
      </c>
    </row>
    <row r="1501" spans="1:6" x14ac:dyDescent="0.35">
      <c r="A1501">
        <v>1417</v>
      </c>
      <c r="B1501">
        <v>10341</v>
      </c>
      <c r="C1501">
        <v>28</v>
      </c>
      <c r="D1501">
        <v>30</v>
      </c>
      <c r="E1501">
        <v>2</v>
      </c>
      <c r="F1501">
        <v>5</v>
      </c>
    </row>
    <row r="1502" spans="1:6" x14ac:dyDescent="0.35">
      <c r="A1502">
        <v>1445</v>
      </c>
      <c r="B1502">
        <v>4682</v>
      </c>
      <c r="C1502">
        <v>27</v>
      </c>
      <c r="D1502">
        <v>48</v>
      </c>
      <c r="E1502">
        <v>2</v>
      </c>
      <c r="F1502">
        <v>8</v>
      </c>
    </row>
    <row r="1503" spans="1:6" x14ac:dyDescent="0.35">
      <c r="A1503">
        <v>417</v>
      </c>
      <c r="B1503">
        <v>5067</v>
      </c>
      <c r="C1503">
        <v>26</v>
      </c>
      <c r="D1503">
        <v>26</v>
      </c>
      <c r="E1503">
        <v>2</v>
      </c>
      <c r="F1503">
        <v>11</v>
      </c>
    </row>
    <row r="1504" spans="1:6" x14ac:dyDescent="0.35">
      <c r="A1504">
        <v>921</v>
      </c>
      <c r="B1504">
        <v>4483</v>
      </c>
      <c r="C1504">
        <v>26</v>
      </c>
      <c r="D1504">
        <v>12</v>
      </c>
      <c r="E1504">
        <v>2</v>
      </c>
      <c r="F1504">
        <v>6</v>
      </c>
    </row>
    <row r="1505" spans="1:6" x14ac:dyDescent="0.35">
      <c r="A1505">
        <v>465</v>
      </c>
      <c r="B1505">
        <v>2416</v>
      </c>
      <c r="C1505">
        <v>25</v>
      </c>
      <c r="D1505">
        <v>38</v>
      </c>
      <c r="E1505">
        <v>2</v>
      </c>
      <c r="F1505">
        <v>9</v>
      </c>
    </row>
    <row r="1506" spans="1:6" x14ac:dyDescent="0.35">
      <c r="A1506">
        <v>633</v>
      </c>
      <c r="B1506">
        <v>4376</v>
      </c>
      <c r="C1506">
        <v>24</v>
      </c>
      <c r="D1506">
        <v>1</v>
      </c>
      <c r="E1506">
        <v>2</v>
      </c>
      <c r="F1506">
        <v>3</v>
      </c>
    </row>
    <row r="1507" spans="1:6" x14ac:dyDescent="0.35">
      <c r="A1507">
        <v>2143</v>
      </c>
      <c r="B1507">
        <v>9727</v>
      </c>
      <c r="C1507">
        <v>24</v>
      </c>
      <c r="D1507">
        <v>1</v>
      </c>
      <c r="E1507">
        <v>2</v>
      </c>
      <c r="F1507">
        <v>4</v>
      </c>
    </row>
    <row r="1508" spans="1:6" x14ac:dyDescent="0.35">
      <c r="A1508">
        <v>802</v>
      </c>
      <c r="B1508">
        <v>236</v>
      </c>
      <c r="C1508">
        <v>23</v>
      </c>
      <c r="D1508">
        <v>14</v>
      </c>
      <c r="E1508">
        <v>2</v>
      </c>
      <c r="F1508">
        <v>4</v>
      </c>
    </row>
    <row r="1509" spans="1:6" x14ac:dyDescent="0.35">
      <c r="A1509">
        <v>1118</v>
      </c>
      <c r="B1509">
        <v>880</v>
      </c>
      <c r="C1509">
        <v>23</v>
      </c>
      <c r="D1509">
        <v>6</v>
      </c>
      <c r="E1509">
        <v>2</v>
      </c>
      <c r="F1509">
        <v>2</v>
      </c>
    </row>
    <row r="1510" spans="1:6" x14ac:dyDescent="0.35">
      <c r="A1510">
        <v>1174</v>
      </c>
      <c r="B1510">
        <v>8686</v>
      </c>
      <c r="C1510">
        <v>23</v>
      </c>
      <c r="D1510">
        <v>18</v>
      </c>
      <c r="E1510">
        <v>2</v>
      </c>
      <c r="F1510">
        <v>3</v>
      </c>
    </row>
    <row r="1511" spans="1:6" x14ac:dyDescent="0.35">
      <c r="A1511">
        <v>1416</v>
      </c>
      <c r="B1511">
        <v>524</v>
      </c>
      <c r="C1511">
        <v>23</v>
      </c>
      <c r="D1511">
        <v>6</v>
      </c>
      <c r="E1511">
        <v>2</v>
      </c>
      <c r="F1511">
        <v>2</v>
      </c>
    </row>
    <row r="1512" spans="1:6" x14ac:dyDescent="0.35">
      <c r="A1512">
        <v>1465</v>
      </c>
      <c r="B1512">
        <v>10524</v>
      </c>
      <c r="C1512">
        <v>23</v>
      </c>
      <c r="D1512">
        <v>41</v>
      </c>
      <c r="E1512">
        <v>2</v>
      </c>
      <c r="F1512">
        <v>5</v>
      </c>
    </row>
    <row r="1513" spans="1:6" x14ac:dyDescent="0.35">
      <c r="A1513">
        <v>1779</v>
      </c>
      <c r="B1513">
        <v>2681</v>
      </c>
      <c r="C1513">
        <v>22</v>
      </c>
      <c r="D1513">
        <v>89</v>
      </c>
      <c r="E1513">
        <v>2</v>
      </c>
      <c r="F1513">
        <v>13</v>
      </c>
    </row>
    <row r="1514" spans="1:6" x14ac:dyDescent="0.35">
      <c r="A1514">
        <v>389</v>
      </c>
      <c r="B1514">
        <v>9799</v>
      </c>
      <c r="C1514">
        <v>21</v>
      </c>
      <c r="D1514">
        <v>21</v>
      </c>
      <c r="E1514">
        <v>2</v>
      </c>
      <c r="F1514">
        <v>12</v>
      </c>
    </row>
    <row r="1515" spans="1:6" x14ac:dyDescent="0.35">
      <c r="A1515">
        <v>1788</v>
      </c>
      <c r="B1515">
        <v>1513</v>
      </c>
      <c r="C1515">
        <v>21</v>
      </c>
      <c r="D1515">
        <v>150</v>
      </c>
      <c r="E1515">
        <v>2</v>
      </c>
      <c r="F1515">
        <v>12</v>
      </c>
    </row>
    <row r="1516" spans="1:6" x14ac:dyDescent="0.35">
      <c r="A1516">
        <v>227</v>
      </c>
      <c r="B1516">
        <v>709</v>
      </c>
      <c r="C1516">
        <v>20</v>
      </c>
      <c r="D1516">
        <v>0</v>
      </c>
      <c r="E1516">
        <v>2</v>
      </c>
      <c r="F1516">
        <v>11</v>
      </c>
    </row>
    <row r="1517" spans="1:6" x14ac:dyDescent="0.35">
      <c r="A1517">
        <v>319</v>
      </c>
      <c r="B1517">
        <v>2863</v>
      </c>
      <c r="C1517">
        <v>20</v>
      </c>
      <c r="D1517">
        <v>50</v>
      </c>
      <c r="E1517">
        <v>2</v>
      </c>
      <c r="F1517">
        <v>10</v>
      </c>
    </row>
    <row r="1518" spans="1:6" x14ac:dyDescent="0.35">
      <c r="A1518">
        <v>922</v>
      </c>
      <c r="B1518">
        <v>4487</v>
      </c>
      <c r="C1518">
        <v>20</v>
      </c>
      <c r="D1518">
        <v>7</v>
      </c>
      <c r="E1518">
        <v>2</v>
      </c>
      <c r="F1518">
        <v>4</v>
      </c>
    </row>
    <row r="1519" spans="1:6" x14ac:dyDescent="0.35">
      <c r="A1519">
        <v>490</v>
      </c>
      <c r="B1519">
        <v>3403</v>
      </c>
      <c r="C1519">
        <v>19</v>
      </c>
      <c r="D1519">
        <v>76</v>
      </c>
      <c r="E1519">
        <v>2</v>
      </c>
      <c r="F1519">
        <v>12</v>
      </c>
    </row>
    <row r="1520" spans="1:6" x14ac:dyDescent="0.35">
      <c r="A1520">
        <v>1836</v>
      </c>
      <c r="B1520">
        <v>7849</v>
      </c>
      <c r="C1520">
        <v>19</v>
      </c>
      <c r="D1520">
        <v>142</v>
      </c>
      <c r="E1520">
        <v>2</v>
      </c>
      <c r="F1520">
        <v>13</v>
      </c>
    </row>
    <row r="1521" spans="1:6" x14ac:dyDescent="0.35">
      <c r="A1521">
        <v>1425</v>
      </c>
      <c r="B1521">
        <v>2428</v>
      </c>
      <c r="C1521">
        <v>18</v>
      </c>
      <c r="D1521">
        <v>8</v>
      </c>
      <c r="E1521">
        <v>2</v>
      </c>
      <c r="F1521">
        <v>4</v>
      </c>
    </row>
    <row r="1522" spans="1:6" x14ac:dyDescent="0.35">
      <c r="A1522">
        <v>19</v>
      </c>
      <c r="B1522">
        <v>2278</v>
      </c>
      <c r="C1522">
        <v>17</v>
      </c>
      <c r="D1522">
        <v>24</v>
      </c>
      <c r="E1522">
        <v>2</v>
      </c>
      <c r="F1522">
        <v>3</v>
      </c>
    </row>
    <row r="1523" spans="1:6" x14ac:dyDescent="0.35">
      <c r="A1523">
        <v>31</v>
      </c>
      <c r="B1523">
        <v>3033</v>
      </c>
      <c r="C1523">
        <v>17</v>
      </c>
      <c r="D1523">
        <v>22</v>
      </c>
      <c r="E1523">
        <v>2</v>
      </c>
      <c r="F1523">
        <v>3</v>
      </c>
    </row>
    <row r="1524" spans="1:6" x14ac:dyDescent="0.35">
      <c r="A1524">
        <v>83</v>
      </c>
      <c r="B1524">
        <v>4119</v>
      </c>
      <c r="C1524">
        <v>17</v>
      </c>
      <c r="D1524">
        <v>22</v>
      </c>
      <c r="E1524">
        <v>2</v>
      </c>
      <c r="F1524">
        <v>3</v>
      </c>
    </row>
    <row r="1525" spans="1:6" x14ac:dyDescent="0.35">
      <c r="A1525">
        <v>990</v>
      </c>
      <c r="B1525">
        <v>8545</v>
      </c>
      <c r="C1525">
        <v>17</v>
      </c>
      <c r="D1525">
        <v>69</v>
      </c>
      <c r="E1525">
        <v>2</v>
      </c>
      <c r="F1525">
        <v>10</v>
      </c>
    </row>
    <row r="1526" spans="1:6" x14ac:dyDescent="0.35">
      <c r="A1526">
        <v>1123</v>
      </c>
      <c r="B1526">
        <v>5025</v>
      </c>
      <c r="C1526">
        <v>17</v>
      </c>
      <c r="D1526">
        <v>20</v>
      </c>
      <c r="E1526">
        <v>2</v>
      </c>
      <c r="F1526">
        <v>4</v>
      </c>
    </row>
    <row r="1527" spans="1:6" x14ac:dyDescent="0.35">
      <c r="A1527">
        <v>1519</v>
      </c>
      <c r="B1527">
        <v>3887</v>
      </c>
      <c r="C1527">
        <v>17</v>
      </c>
      <c r="D1527">
        <v>1</v>
      </c>
      <c r="E1527">
        <v>2</v>
      </c>
      <c r="F1527">
        <v>3</v>
      </c>
    </row>
    <row r="1528" spans="1:6" x14ac:dyDescent="0.35">
      <c r="A1528">
        <v>2029</v>
      </c>
      <c r="B1528">
        <v>10001</v>
      </c>
      <c r="C1528">
        <v>17</v>
      </c>
      <c r="D1528">
        <v>14</v>
      </c>
      <c r="E1528">
        <v>2</v>
      </c>
      <c r="F1528">
        <v>3</v>
      </c>
    </row>
    <row r="1529" spans="1:6" x14ac:dyDescent="0.35">
      <c r="A1529">
        <v>11</v>
      </c>
      <c r="B1529">
        <v>387</v>
      </c>
      <c r="C1529">
        <v>16</v>
      </c>
      <c r="D1529">
        <v>1</v>
      </c>
      <c r="E1529">
        <v>2</v>
      </c>
      <c r="F1529">
        <v>3</v>
      </c>
    </row>
    <row r="1530" spans="1:6" x14ac:dyDescent="0.35">
      <c r="A1530">
        <v>149</v>
      </c>
      <c r="B1530">
        <v>4050</v>
      </c>
      <c r="C1530">
        <v>16</v>
      </c>
      <c r="D1530">
        <v>20</v>
      </c>
      <c r="E1530">
        <v>2</v>
      </c>
      <c r="F1530">
        <v>4</v>
      </c>
    </row>
    <row r="1531" spans="1:6" x14ac:dyDescent="0.35">
      <c r="A1531">
        <v>430</v>
      </c>
      <c r="B1531">
        <v>3725</v>
      </c>
      <c r="C1531">
        <v>16</v>
      </c>
      <c r="D1531">
        <v>16</v>
      </c>
      <c r="E1531">
        <v>2</v>
      </c>
      <c r="F1531">
        <v>9</v>
      </c>
    </row>
    <row r="1532" spans="1:6" x14ac:dyDescent="0.35">
      <c r="A1532">
        <v>1621</v>
      </c>
      <c r="B1532">
        <v>9668</v>
      </c>
      <c r="C1532">
        <v>16</v>
      </c>
      <c r="D1532">
        <v>17</v>
      </c>
      <c r="E1532">
        <v>2</v>
      </c>
      <c r="F1532">
        <v>4</v>
      </c>
    </row>
    <row r="1533" spans="1:6" x14ac:dyDescent="0.35">
      <c r="A1533">
        <v>298</v>
      </c>
      <c r="B1533">
        <v>7119</v>
      </c>
      <c r="C1533">
        <v>15</v>
      </c>
      <c r="D1533">
        <v>54</v>
      </c>
      <c r="E1533">
        <v>2</v>
      </c>
      <c r="F1533">
        <v>6</v>
      </c>
    </row>
    <row r="1534" spans="1:6" x14ac:dyDescent="0.35">
      <c r="A1534">
        <v>458</v>
      </c>
      <c r="B1534">
        <v>7540</v>
      </c>
      <c r="C1534">
        <v>15</v>
      </c>
      <c r="D1534">
        <v>23</v>
      </c>
      <c r="E1534">
        <v>2</v>
      </c>
      <c r="F1534">
        <v>8</v>
      </c>
    </row>
    <row r="1535" spans="1:6" x14ac:dyDescent="0.35">
      <c r="A1535">
        <v>2066</v>
      </c>
      <c r="B1535">
        <v>6103</v>
      </c>
      <c r="C1535">
        <v>15</v>
      </c>
      <c r="D1535">
        <v>6</v>
      </c>
      <c r="E1535">
        <v>2</v>
      </c>
      <c r="F1535">
        <v>3</v>
      </c>
    </row>
    <row r="1536" spans="1:6" x14ac:dyDescent="0.35">
      <c r="A1536">
        <v>1391</v>
      </c>
      <c r="B1536">
        <v>8140</v>
      </c>
      <c r="C1536">
        <v>14</v>
      </c>
      <c r="D1536">
        <v>2</v>
      </c>
      <c r="E1536">
        <v>2</v>
      </c>
      <c r="F1536">
        <v>4</v>
      </c>
    </row>
    <row r="1537" spans="1:6" x14ac:dyDescent="0.35">
      <c r="A1537">
        <v>1377</v>
      </c>
      <c r="B1537">
        <v>6770</v>
      </c>
      <c r="C1537">
        <v>13</v>
      </c>
      <c r="D1537">
        <v>5</v>
      </c>
      <c r="E1537">
        <v>2</v>
      </c>
      <c r="F1537">
        <v>2</v>
      </c>
    </row>
    <row r="1538" spans="1:6" x14ac:dyDescent="0.35">
      <c r="A1538">
        <v>583</v>
      </c>
      <c r="B1538">
        <v>5123</v>
      </c>
      <c r="C1538">
        <v>12</v>
      </c>
      <c r="D1538">
        <v>11</v>
      </c>
      <c r="E1538">
        <v>2</v>
      </c>
      <c r="F1538">
        <v>3</v>
      </c>
    </row>
    <row r="1539" spans="1:6" x14ac:dyDescent="0.35">
      <c r="A1539">
        <v>596</v>
      </c>
      <c r="B1539">
        <v>5252</v>
      </c>
      <c r="C1539">
        <v>12</v>
      </c>
      <c r="D1539">
        <v>1</v>
      </c>
      <c r="E1539">
        <v>2</v>
      </c>
      <c r="F1539">
        <v>3</v>
      </c>
    </row>
    <row r="1540" spans="1:6" x14ac:dyDescent="0.35">
      <c r="A1540">
        <v>768</v>
      </c>
      <c r="B1540">
        <v>20</v>
      </c>
      <c r="C1540">
        <v>12</v>
      </c>
      <c r="D1540">
        <v>15</v>
      </c>
      <c r="E1540">
        <v>2</v>
      </c>
      <c r="F1540">
        <v>4</v>
      </c>
    </row>
    <row r="1541" spans="1:6" x14ac:dyDescent="0.35">
      <c r="A1541">
        <v>785</v>
      </c>
      <c r="B1541">
        <v>4211</v>
      </c>
      <c r="C1541">
        <v>12</v>
      </c>
      <c r="D1541">
        <v>16</v>
      </c>
      <c r="E1541">
        <v>2</v>
      </c>
      <c r="F1541">
        <v>3</v>
      </c>
    </row>
    <row r="1542" spans="1:6" x14ac:dyDescent="0.35">
      <c r="A1542">
        <v>869</v>
      </c>
      <c r="B1542">
        <v>2447</v>
      </c>
      <c r="C1542">
        <v>12</v>
      </c>
      <c r="D1542">
        <v>7</v>
      </c>
      <c r="E1542">
        <v>2</v>
      </c>
      <c r="F1542">
        <v>3</v>
      </c>
    </row>
    <row r="1543" spans="1:6" x14ac:dyDescent="0.35">
      <c r="A1543">
        <v>1003</v>
      </c>
      <c r="B1543">
        <v>5527</v>
      </c>
      <c r="C1543">
        <v>12</v>
      </c>
      <c r="D1543">
        <v>13</v>
      </c>
      <c r="E1543">
        <v>2</v>
      </c>
      <c r="F1543">
        <v>3</v>
      </c>
    </row>
    <row r="1544" spans="1:6" x14ac:dyDescent="0.35">
      <c r="A1544">
        <v>1183</v>
      </c>
      <c r="B1544">
        <v>3839</v>
      </c>
      <c r="C1544">
        <v>12</v>
      </c>
      <c r="D1544">
        <v>6</v>
      </c>
      <c r="E1544">
        <v>2</v>
      </c>
      <c r="F1544">
        <v>3</v>
      </c>
    </row>
    <row r="1545" spans="1:6" x14ac:dyDescent="0.35">
      <c r="A1545">
        <v>1196</v>
      </c>
      <c r="B1545">
        <v>2246</v>
      </c>
      <c r="C1545">
        <v>12</v>
      </c>
      <c r="D1545">
        <v>15</v>
      </c>
      <c r="E1545">
        <v>2</v>
      </c>
      <c r="F1545">
        <v>4</v>
      </c>
    </row>
    <row r="1546" spans="1:6" x14ac:dyDescent="0.35">
      <c r="A1546">
        <v>1207</v>
      </c>
      <c r="B1546">
        <v>3068</v>
      </c>
      <c r="C1546">
        <v>12</v>
      </c>
      <c r="D1546">
        <v>14</v>
      </c>
      <c r="E1546">
        <v>2</v>
      </c>
      <c r="F1546">
        <v>3</v>
      </c>
    </row>
    <row r="1547" spans="1:6" x14ac:dyDescent="0.35">
      <c r="A1547">
        <v>1546</v>
      </c>
      <c r="B1547">
        <v>6365</v>
      </c>
      <c r="C1547">
        <v>12</v>
      </c>
      <c r="D1547">
        <v>1</v>
      </c>
      <c r="E1547">
        <v>2</v>
      </c>
      <c r="F1547">
        <v>3</v>
      </c>
    </row>
    <row r="1548" spans="1:6" x14ac:dyDescent="0.35">
      <c r="A1548">
        <v>2099</v>
      </c>
      <c r="B1548">
        <v>3422</v>
      </c>
      <c r="C1548">
        <v>12</v>
      </c>
      <c r="D1548">
        <v>12</v>
      </c>
      <c r="E1548">
        <v>2</v>
      </c>
      <c r="F1548">
        <v>4</v>
      </c>
    </row>
    <row r="1549" spans="1:6" x14ac:dyDescent="0.35">
      <c r="A1549">
        <v>2105</v>
      </c>
      <c r="B1549">
        <v>1407</v>
      </c>
      <c r="C1549">
        <v>12</v>
      </c>
      <c r="D1549">
        <v>16</v>
      </c>
      <c r="E1549">
        <v>2</v>
      </c>
      <c r="F1549">
        <v>3</v>
      </c>
    </row>
    <row r="1550" spans="1:6" x14ac:dyDescent="0.35">
      <c r="A1550">
        <v>2138</v>
      </c>
      <c r="B1550">
        <v>2948</v>
      </c>
      <c r="C1550">
        <v>12</v>
      </c>
      <c r="D1550">
        <v>12</v>
      </c>
      <c r="E1550">
        <v>2</v>
      </c>
      <c r="F1550">
        <v>5</v>
      </c>
    </row>
    <row r="1551" spans="1:6" x14ac:dyDescent="0.35">
      <c r="A1551">
        <v>2223</v>
      </c>
      <c r="B1551">
        <v>1448</v>
      </c>
      <c r="C1551">
        <v>12</v>
      </c>
      <c r="D1551">
        <v>3</v>
      </c>
      <c r="E1551">
        <v>2</v>
      </c>
      <c r="F1551">
        <v>4</v>
      </c>
    </row>
    <row r="1552" spans="1:6" x14ac:dyDescent="0.35">
      <c r="A1552">
        <v>181</v>
      </c>
      <c r="B1552">
        <v>3559</v>
      </c>
      <c r="C1552">
        <v>11</v>
      </c>
      <c r="D1552">
        <v>12</v>
      </c>
      <c r="E1552">
        <v>2</v>
      </c>
      <c r="F1552">
        <v>3</v>
      </c>
    </row>
    <row r="1553" spans="1:6" x14ac:dyDescent="0.35">
      <c r="A1553">
        <v>307</v>
      </c>
      <c r="B1553">
        <v>6963</v>
      </c>
      <c r="C1553">
        <v>11</v>
      </c>
      <c r="D1553">
        <v>45</v>
      </c>
      <c r="E1553">
        <v>2</v>
      </c>
      <c r="F1553">
        <v>10</v>
      </c>
    </row>
    <row r="1554" spans="1:6" x14ac:dyDescent="0.35">
      <c r="A1554">
        <v>439</v>
      </c>
      <c r="B1554">
        <v>456</v>
      </c>
      <c r="C1554">
        <v>11</v>
      </c>
      <c r="D1554">
        <v>6</v>
      </c>
      <c r="E1554">
        <v>2</v>
      </c>
      <c r="F1554">
        <v>3</v>
      </c>
    </row>
    <row r="1555" spans="1:6" x14ac:dyDescent="0.35">
      <c r="A1555">
        <v>777</v>
      </c>
      <c r="B1555">
        <v>4964</v>
      </c>
      <c r="C1555">
        <v>11</v>
      </c>
      <c r="D1555">
        <v>0</v>
      </c>
      <c r="E1555">
        <v>2</v>
      </c>
      <c r="F1555">
        <v>4</v>
      </c>
    </row>
    <row r="1556" spans="1:6" x14ac:dyDescent="0.35">
      <c r="A1556">
        <v>1046</v>
      </c>
      <c r="B1556">
        <v>4754</v>
      </c>
      <c r="C1556">
        <v>11</v>
      </c>
      <c r="D1556">
        <v>6</v>
      </c>
      <c r="E1556">
        <v>2</v>
      </c>
      <c r="F1556">
        <v>4</v>
      </c>
    </row>
    <row r="1557" spans="1:6" x14ac:dyDescent="0.35">
      <c r="A1557">
        <v>1239</v>
      </c>
      <c r="B1557">
        <v>286</v>
      </c>
      <c r="C1557">
        <v>11</v>
      </c>
      <c r="D1557">
        <v>4</v>
      </c>
      <c r="E1557">
        <v>2</v>
      </c>
      <c r="F1557">
        <v>5</v>
      </c>
    </row>
    <row r="1558" spans="1:6" x14ac:dyDescent="0.35">
      <c r="A1558">
        <v>2200</v>
      </c>
      <c r="B1558">
        <v>7620</v>
      </c>
      <c r="C1558">
        <v>11</v>
      </c>
      <c r="D1558">
        <v>8</v>
      </c>
      <c r="E1558">
        <v>2</v>
      </c>
      <c r="F1558">
        <v>2</v>
      </c>
    </row>
    <row r="1559" spans="1:6" x14ac:dyDescent="0.35">
      <c r="A1559">
        <v>74</v>
      </c>
      <c r="B1559">
        <v>1050</v>
      </c>
      <c r="C1559">
        <v>10</v>
      </c>
      <c r="D1559">
        <v>15</v>
      </c>
      <c r="E1559">
        <v>2</v>
      </c>
      <c r="F1559">
        <v>4</v>
      </c>
    </row>
    <row r="1560" spans="1:6" x14ac:dyDescent="0.35">
      <c r="A1560">
        <v>169</v>
      </c>
      <c r="B1560">
        <v>3152</v>
      </c>
      <c r="C1560">
        <v>10</v>
      </c>
      <c r="D1560">
        <v>17</v>
      </c>
      <c r="E1560">
        <v>2</v>
      </c>
      <c r="F1560">
        <v>3</v>
      </c>
    </row>
    <row r="1561" spans="1:6" x14ac:dyDescent="0.35">
      <c r="A1561">
        <v>667</v>
      </c>
      <c r="B1561">
        <v>1987</v>
      </c>
      <c r="C1561">
        <v>10</v>
      </c>
      <c r="D1561">
        <v>3</v>
      </c>
      <c r="E1561">
        <v>2</v>
      </c>
      <c r="F1561">
        <v>3</v>
      </c>
    </row>
    <row r="1562" spans="1:6" x14ac:dyDescent="0.35">
      <c r="A1562">
        <v>712</v>
      </c>
      <c r="B1562">
        <v>1388</v>
      </c>
      <c r="C1562">
        <v>10</v>
      </c>
      <c r="D1562">
        <v>14</v>
      </c>
      <c r="E1562">
        <v>2</v>
      </c>
      <c r="F1562">
        <v>3</v>
      </c>
    </row>
    <row r="1563" spans="1:6" x14ac:dyDescent="0.35">
      <c r="A1563">
        <v>821</v>
      </c>
      <c r="B1563">
        <v>1143</v>
      </c>
      <c r="C1563">
        <v>10</v>
      </c>
      <c r="D1563">
        <v>11</v>
      </c>
      <c r="E1563">
        <v>2</v>
      </c>
      <c r="F1563">
        <v>3</v>
      </c>
    </row>
    <row r="1564" spans="1:6" x14ac:dyDescent="0.35">
      <c r="A1564">
        <v>997</v>
      </c>
      <c r="B1564">
        <v>11188</v>
      </c>
      <c r="C1564">
        <v>10</v>
      </c>
      <c r="D1564">
        <v>17</v>
      </c>
      <c r="E1564">
        <v>2</v>
      </c>
      <c r="F1564">
        <v>3</v>
      </c>
    </row>
    <row r="1565" spans="1:6" x14ac:dyDescent="0.35">
      <c r="A1565">
        <v>1345</v>
      </c>
      <c r="B1565">
        <v>979</v>
      </c>
      <c r="C1565">
        <v>10</v>
      </c>
      <c r="D1565">
        <v>14</v>
      </c>
      <c r="E1565">
        <v>2</v>
      </c>
      <c r="F1565">
        <v>3</v>
      </c>
    </row>
    <row r="1566" spans="1:6" x14ac:dyDescent="0.35">
      <c r="A1566">
        <v>1428</v>
      </c>
      <c r="B1566">
        <v>8418</v>
      </c>
      <c r="C1566">
        <v>10</v>
      </c>
      <c r="D1566">
        <v>6</v>
      </c>
      <c r="E1566">
        <v>2</v>
      </c>
      <c r="F1566">
        <v>3</v>
      </c>
    </row>
    <row r="1567" spans="1:6" x14ac:dyDescent="0.35">
      <c r="A1567">
        <v>2021</v>
      </c>
      <c r="B1567">
        <v>6214</v>
      </c>
      <c r="C1567">
        <v>10</v>
      </c>
      <c r="D1567">
        <v>7</v>
      </c>
      <c r="E1567">
        <v>2</v>
      </c>
      <c r="F1567">
        <v>3</v>
      </c>
    </row>
    <row r="1568" spans="1:6" x14ac:dyDescent="0.35">
      <c r="A1568">
        <v>89</v>
      </c>
      <c r="B1568">
        <v>771</v>
      </c>
      <c r="C1568">
        <v>9</v>
      </c>
      <c r="D1568">
        <v>0</v>
      </c>
      <c r="E1568">
        <v>2</v>
      </c>
      <c r="F1568">
        <v>5</v>
      </c>
    </row>
    <row r="1569" spans="1:6" x14ac:dyDescent="0.35">
      <c r="A1569">
        <v>184</v>
      </c>
      <c r="B1569">
        <v>2563</v>
      </c>
      <c r="C1569">
        <v>9</v>
      </c>
      <c r="D1569">
        <v>14</v>
      </c>
      <c r="E1569">
        <v>2</v>
      </c>
      <c r="F1569">
        <v>3</v>
      </c>
    </row>
    <row r="1570" spans="1:6" x14ac:dyDescent="0.35">
      <c r="A1570">
        <v>235</v>
      </c>
      <c r="B1570">
        <v>89</v>
      </c>
      <c r="C1570">
        <v>9</v>
      </c>
      <c r="D1570">
        <v>8</v>
      </c>
      <c r="E1570">
        <v>2</v>
      </c>
      <c r="F1570">
        <v>4</v>
      </c>
    </row>
    <row r="1571" spans="1:6" x14ac:dyDescent="0.35">
      <c r="A1571">
        <v>909</v>
      </c>
      <c r="B1571">
        <v>9485</v>
      </c>
      <c r="C1571">
        <v>9</v>
      </c>
      <c r="D1571">
        <v>3</v>
      </c>
      <c r="E1571">
        <v>2</v>
      </c>
      <c r="F1571">
        <v>6</v>
      </c>
    </row>
    <row r="1572" spans="1:6" x14ac:dyDescent="0.35">
      <c r="A1572">
        <v>978</v>
      </c>
      <c r="B1572">
        <v>3308</v>
      </c>
      <c r="C1572">
        <v>9</v>
      </c>
      <c r="D1572">
        <v>11</v>
      </c>
      <c r="E1572">
        <v>2</v>
      </c>
      <c r="F1572">
        <v>4</v>
      </c>
    </row>
    <row r="1573" spans="1:6" x14ac:dyDescent="0.35">
      <c r="A1573">
        <v>1024</v>
      </c>
      <c r="B1573">
        <v>4240</v>
      </c>
      <c r="C1573">
        <v>9</v>
      </c>
      <c r="D1573">
        <v>0</v>
      </c>
      <c r="E1573">
        <v>2</v>
      </c>
      <c r="F1573">
        <v>2</v>
      </c>
    </row>
    <row r="1574" spans="1:6" x14ac:dyDescent="0.35">
      <c r="A1574">
        <v>1167</v>
      </c>
      <c r="B1574">
        <v>6263</v>
      </c>
      <c r="C1574">
        <v>9</v>
      </c>
      <c r="D1574">
        <v>7</v>
      </c>
      <c r="E1574">
        <v>2</v>
      </c>
      <c r="F1574">
        <v>4</v>
      </c>
    </row>
    <row r="1575" spans="1:6" x14ac:dyDescent="0.35">
      <c r="A1575">
        <v>1215</v>
      </c>
      <c r="B1575">
        <v>1506</v>
      </c>
      <c r="C1575">
        <v>9</v>
      </c>
      <c r="D1575">
        <v>15</v>
      </c>
      <c r="E1575">
        <v>2</v>
      </c>
      <c r="F1575">
        <v>4</v>
      </c>
    </row>
    <row r="1576" spans="1:6" x14ac:dyDescent="0.35">
      <c r="A1576">
        <v>1768</v>
      </c>
      <c r="B1576">
        <v>8312</v>
      </c>
      <c r="C1576">
        <v>9</v>
      </c>
      <c r="D1576">
        <v>14</v>
      </c>
      <c r="E1576">
        <v>2</v>
      </c>
      <c r="F1576">
        <v>3</v>
      </c>
    </row>
    <row r="1577" spans="1:6" x14ac:dyDescent="0.35">
      <c r="A1577">
        <v>560</v>
      </c>
      <c r="B1577">
        <v>7685</v>
      </c>
      <c r="C1577">
        <v>8</v>
      </c>
      <c r="D1577">
        <v>8</v>
      </c>
      <c r="E1577">
        <v>2</v>
      </c>
      <c r="F1577">
        <v>4</v>
      </c>
    </row>
    <row r="1578" spans="1:6" x14ac:dyDescent="0.35">
      <c r="A1578">
        <v>621</v>
      </c>
      <c r="B1578">
        <v>6941</v>
      </c>
      <c r="C1578">
        <v>8</v>
      </c>
      <c r="D1578">
        <v>15</v>
      </c>
      <c r="E1578">
        <v>2</v>
      </c>
      <c r="F1578">
        <v>2</v>
      </c>
    </row>
    <row r="1579" spans="1:6" x14ac:dyDescent="0.35">
      <c r="A1579">
        <v>792</v>
      </c>
      <c r="B1579">
        <v>3479</v>
      </c>
      <c r="C1579">
        <v>8</v>
      </c>
      <c r="D1579">
        <v>2</v>
      </c>
      <c r="E1579">
        <v>2</v>
      </c>
      <c r="F1579">
        <v>3</v>
      </c>
    </row>
    <row r="1580" spans="1:6" x14ac:dyDescent="0.35">
      <c r="A1580">
        <v>975</v>
      </c>
      <c r="B1580">
        <v>10286</v>
      </c>
      <c r="C1580">
        <v>8</v>
      </c>
      <c r="D1580">
        <v>35</v>
      </c>
      <c r="E1580">
        <v>2</v>
      </c>
      <c r="F1580">
        <v>13</v>
      </c>
    </row>
    <row r="1581" spans="1:6" x14ac:dyDescent="0.35">
      <c r="A1581">
        <v>1026</v>
      </c>
      <c r="B1581">
        <v>3706</v>
      </c>
      <c r="C1581">
        <v>8</v>
      </c>
      <c r="D1581">
        <v>12</v>
      </c>
      <c r="E1581">
        <v>2</v>
      </c>
      <c r="F1581">
        <v>2</v>
      </c>
    </row>
    <row r="1582" spans="1:6" x14ac:dyDescent="0.35">
      <c r="A1582">
        <v>1027</v>
      </c>
      <c r="B1582">
        <v>3628</v>
      </c>
      <c r="C1582">
        <v>8</v>
      </c>
      <c r="D1582">
        <v>12</v>
      </c>
      <c r="E1582">
        <v>2</v>
      </c>
      <c r="F1582">
        <v>2</v>
      </c>
    </row>
    <row r="1583" spans="1:6" x14ac:dyDescent="0.35">
      <c r="A1583">
        <v>1091</v>
      </c>
      <c r="B1583">
        <v>1833</v>
      </c>
      <c r="C1583">
        <v>8</v>
      </c>
      <c r="D1583">
        <v>8</v>
      </c>
      <c r="E1583">
        <v>2</v>
      </c>
      <c r="F1583">
        <v>4</v>
      </c>
    </row>
    <row r="1584" spans="1:6" x14ac:dyDescent="0.35">
      <c r="A1584">
        <v>1130</v>
      </c>
      <c r="B1584">
        <v>3412</v>
      </c>
      <c r="C1584">
        <v>8</v>
      </c>
      <c r="D1584">
        <v>0</v>
      </c>
      <c r="E1584">
        <v>2</v>
      </c>
      <c r="F1584">
        <v>9</v>
      </c>
    </row>
    <row r="1585" spans="1:6" x14ac:dyDescent="0.35">
      <c r="A1585">
        <v>1457</v>
      </c>
      <c r="B1585">
        <v>2157</v>
      </c>
      <c r="C1585">
        <v>8</v>
      </c>
      <c r="D1585">
        <v>5</v>
      </c>
      <c r="E1585">
        <v>2</v>
      </c>
      <c r="F1585">
        <v>4</v>
      </c>
    </row>
    <row r="1586" spans="1:6" x14ac:dyDescent="0.35">
      <c r="A1586">
        <v>1517</v>
      </c>
      <c r="B1586">
        <v>6310</v>
      </c>
      <c r="C1586">
        <v>8</v>
      </c>
      <c r="D1586">
        <v>8</v>
      </c>
      <c r="E1586">
        <v>2</v>
      </c>
      <c r="F1586">
        <v>4</v>
      </c>
    </row>
    <row r="1587" spans="1:6" x14ac:dyDescent="0.35">
      <c r="A1587">
        <v>1527</v>
      </c>
      <c r="B1587">
        <v>7998</v>
      </c>
      <c r="C1587">
        <v>8</v>
      </c>
      <c r="D1587">
        <v>0</v>
      </c>
      <c r="E1587">
        <v>2</v>
      </c>
      <c r="F1587">
        <v>2</v>
      </c>
    </row>
    <row r="1588" spans="1:6" x14ac:dyDescent="0.35">
      <c r="A1588">
        <v>1583</v>
      </c>
      <c r="B1588">
        <v>5223</v>
      </c>
      <c r="C1588">
        <v>8</v>
      </c>
      <c r="D1588">
        <v>10</v>
      </c>
      <c r="E1588">
        <v>2</v>
      </c>
      <c r="F1588">
        <v>3</v>
      </c>
    </row>
    <row r="1589" spans="1:6" x14ac:dyDescent="0.35">
      <c r="A1589">
        <v>1665</v>
      </c>
      <c r="B1589">
        <v>6437</v>
      </c>
      <c r="C1589">
        <v>8</v>
      </c>
      <c r="D1589">
        <v>3</v>
      </c>
      <c r="E1589">
        <v>2</v>
      </c>
      <c r="F1589">
        <v>3</v>
      </c>
    </row>
    <row r="1590" spans="1:6" x14ac:dyDescent="0.35">
      <c r="A1590">
        <v>2183</v>
      </c>
      <c r="B1590">
        <v>11187</v>
      </c>
      <c r="C1590">
        <v>8</v>
      </c>
      <c r="D1590">
        <v>14</v>
      </c>
      <c r="E1590">
        <v>2</v>
      </c>
      <c r="F1590">
        <v>3</v>
      </c>
    </row>
    <row r="1591" spans="1:6" x14ac:dyDescent="0.35">
      <c r="A1591">
        <v>269</v>
      </c>
      <c r="B1591">
        <v>4557</v>
      </c>
      <c r="C1591">
        <v>7</v>
      </c>
      <c r="D1591">
        <v>2</v>
      </c>
      <c r="E1591">
        <v>2</v>
      </c>
      <c r="F1591">
        <v>2</v>
      </c>
    </row>
    <row r="1592" spans="1:6" x14ac:dyDescent="0.35">
      <c r="A1592">
        <v>448</v>
      </c>
      <c r="B1592">
        <v>2541</v>
      </c>
      <c r="C1592">
        <v>7</v>
      </c>
      <c r="D1592">
        <v>0</v>
      </c>
      <c r="E1592">
        <v>2</v>
      </c>
      <c r="F1592">
        <v>3</v>
      </c>
    </row>
    <row r="1593" spans="1:6" x14ac:dyDescent="0.35">
      <c r="A1593">
        <v>480</v>
      </c>
      <c r="B1593">
        <v>5300</v>
      </c>
      <c r="C1593">
        <v>7</v>
      </c>
      <c r="D1593">
        <v>1</v>
      </c>
      <c r="E1593">
        <v>2</v>
      </c>
      <c r="F1593">
        <v>2</v>
      </c>
    </row>
    <row r="1594" spans="1:6" x14ac:dyDescent="0.35">
      <c r="A1594">
        <v>598</v>
      </c>
      <c r="B1594">
        <v>6919</v>
      </c>
      <c r="C1594">
        <v>7</v>
      </c>
      <c r="D1594">
        <v>9</v>
      </c>
      <c r="E1594">
        <v>2</v>
      </c>
      <c r="F1594">
        <v>3</v>
      </c>
    </row>
    <row r="1595" spans="1:6" x14ac:dyDescent="0.35">
      <c r="A1595">
        <v>819</v>
      </c>
      <c r="B1595">
        <v>7034</v>
      </c>
      <c r="C1595">
        <v>7</v>
      </c>
      <c r="D1595">
        <v>6</v>
      </c>
      <c r="E1595">
        <v>2</v>
      </c>
      <c r="F1595">
        <v>3</v>
      </c>
    </row>
    <row r="1596" spans="1:6" x14ac:dyDescent="0.35">
      <c r="A1596">
        <v>944</v>
      </c>
      <c r="B1596">
        <v>8700</v>
      </c>
      <c r="C1596">
        <v>7</v>
      </c>
      <c r="D1596">
        <v>16</v>
      </c>
      <c r="E1596">
        <v>2</v>
      </c>
      <c r="F1596">
        <v>3</v>
      </c>
    </row>
    <row r="1597" spans="1:6" x14ac:dyDescent="0.35">
      <c r="A1597">
        <v>962</v>
      </c>
      <c r="B1597">
        <v>3547</v>
      </c>
      <c r="C1597">
        <v>7</v>
      </c>
      <c r="D1597">
        <v>16</v>
      </c>
      <c r="E1597">
        <v>2</v>
      </c>
      <c r="F1597">
        <v>3</v>
      </c>
    </row>
    <row r="1598" spans="1:6" x14ac:dyDescent="0.35">
      <c r="A1598">
        <v>1227</v>
      </c>
      <c r="B1598">
        <v>7736</v>
      </c>
      <c r="C1598">
        <v>7</v>
      </c>
      <c r="D1598">
        <v>2</v>
      </c>
      <c r="E1598">
        <v>2</v>
      </c>
      <c r="F1598">
        <v>2</v>
      </c>
    </row>
    <row r="1599" spans="1:6" x14ac:dyDescent="0.35">
      <c r="A1599">
        <v>1364</v>
      </c>
      <c r="B1599">
        <v>10507</v>
      </c>
      <c r="C1599">
        <v>7</v>
      </c>
      <c r="D1599">
        <v>7</v>
      </c>
      <c r="E1599">
        <v>2</v>
      </c>
      <c r="F1599">
        <v>7</v>
      </c>
    </row>
    <row r="1600" spans="1:6" x14ac:dyDescent="0.35">
      <c r="A1600">
        <v>1592</v>
      </c>
      <c r="B1600">
        <v>10069</v>
      </c>
      <c r="C1600">
        <v>7</v>
      </c>
      <c r="D1600">
        <v>15</v>
      </c>
      <c r="E1600">
        <v>2</v>
      </c>
      <c r="F1600">
        <v>2</v>
      </c>
    </row>
    <row r="1601" spans="1:6" x14ac:dyDescent="0.35">
      <c r="A1601">
        <v>1725</v>
      </c>
      <c r="B1601">
        <v>2634</v>
      </c>
      <c r="C1601">
        <v>7</v>
      </c>
      <c r="D1601">
        <v>4</v>
      </c>
      <c r="E1601">
        <v>2</v>
      </c>
      <c r="F1601">
        <v>3</v>
      </c>
    </row>
    <row r="1602" spans="1:6" x14ac:dyDescent="0.35">
      <c r="A1602">
        <v>2104</v>
      </c>
      <c r="B1602">
        <v>5802</v>
      </c>
      <c r="C1602">
        <v>7</v>
      </c>
      <c r="D1602">
        <v>12</v>
      </c>
      <c r="E1602">
        <v>2</v>
      </c>
      <c r="F1602">
        <v>4</v>
      </c>
    </row>
    <row r="1603" spans="1:6" x14ac:dyDescent="0.35">
      <c r="A1603">
        <v>2116</v>
      </c>
      <c r="B1603">
        <v>87</v>
      </c>
      <c r="C1603">
        <v>7</v>
      </c>
      <c r="D1603">
        <v>2</v>
      </c>
      <c r="E1603">
        <v>2</v>
      </c>
      <c r="F1603">
        <v>3</v>
      </c>
    </row>
    <row r="1604" spans="1:6" x14ac:dyDescent="0.35">
      <c r="A1604">
        <v>47</v>
      </c>
      <c r="B1604">
        <v>7286</v>
      </c>
      <c r="C1604">
        <v>6</v>
      </c>
      <c r="D1604">
        <v>5</v>
      </c>
      <c r="E1604">
        <v>2</v>
      </c>
      <c r="F1604">
        <v>2</v>
      </c>
    </row>
    <row r="1605" spans="1:6" x14ac:dyDescent="0.35">
      <c r="A1605">
        <v>52</v>
      </c>
      <c r="B1605">
        <v>1331</v>
      </c>
      <c r="C1605">
        <v>6</v>
      </c>
      <c r="D1605">
        <v>1</v>
      </c>
      <c r="E1605">
        <v>2</v>
      </c>
      <c r="F1605">
        <v>3</v>
      </c>
    </row>
    <row r="1606" spans="1:6" x14ac:dyDescent="0.35">
      <c r="A1606">
        <v>119</v>
      </c>
      <c r="B1606">
        <v>9862</v>
      </c>
      <c r="C1606">
        <v>6</v>
      </c>
      <c r="D1606">
        <v>5</v>
      </c>
      <c r="E1606">
        <v>2</v>
      </c>
      <c r="F1606">
        <v>3</v>
      </c>
    </row>
    <row r="1607" spans="1:6" x14ac:dyDescent="0.35">
      <c r="A1607">
        <v>192</v>
      </c>
      <c r="B1607">
        <v>7829</v>
      </c>
      <c r="C1607">
        <v>6</v>
      </c>
      <c r="D1607">
        <v>4</v>
      </c>
      <c r="E1607">
        <v>2</v>
      </c>
      <c r="F1607">
        <v>2</v>
      </c>
    </row>
    <row r="1608" spans="1:6" x14ac:dyDescent="0.35">
      <c r="A1608">
        <v>274</v>
      </c>
      <c r="B1608">
        <v>10967</v>
      </c>
      <c r="C1608">
        <v>6</v>
      </c>
      <c r="D1608">
        <v>7</v>
      </c>
      <c r="E1608">
        <v>2</v>
      </c>
      <c r="F1608">
        <v>4</v>
      </c>
    </row>
    <row r="1609" spans="1:6" x14ac:dyDescent="0.35">
      <c r="A1609">
        <v>574</v>
      </c>
      <c r="B1609">
        <v>7369</v>
      </c>
      <c r="C1609">
        <v>6</v>
      </c>
      <c r="D1609">
        <v>0</v>
      </c>
      <c r="E1609">
        <v>2</v>
      </c>
      <c r="F1609">
        <v>3</v>
      </c>
    </row>
    <row r="1610" spans="1:6" x14ac:dyDescent="0.35">
      <c r="A1610">
        <v>840</v>
      </c>
      <c r="B1610">
        <v>4186</v>
      </c>
      <c r="C1610">
        <v>6</v>
      </c>
      <c r="D1610">
        <v>8</v>
      </c>
      <c r="E1610">
        <v>2</v>
      </c>
      <c r="F1610">
        <v>3</v>
      </c>
    </row>
    <row r="1611" spans="1:6" x14ac:dyDescent="0.35">
      <c r="A1611">
        <v>1200</v>
      </c>
      <c r="B1611">
        <v>837</v>
      </c>
      <c r="C1611">
        <v>6</v>
      </c>
      <c r="D1611">
        <v>13</v>
      </c>
      <c r="E1611">
        <v>2</v>
      </c>
      <c r="F1611">
        <v>5</v>
      </c>
    </row>
    <row r="1612" spans="1:6" x14ac:dyDescent="0.35">
      <c r="A1612">
        <v>1274</v>
      </c>
      <c r="B1612">
        <v>7527</v>
      </c>
      <c r="C1612">
        <v>6</v>
      </c>
      <c r="D1612">
        <v>15</v>
      </c>
      <c r="E1612">
        <v>2</v>
      </c>
      <c r="F1612">
        <v>3</v>
      </c>
    </row>
    <row r="1613" spans="1:6" x14ac:dyDescent="0.35">
      <c r="A1613">
        <v>1302</v>
      </c>
      <c r="B1613">
        <v>1878</v>
      </c>
      <c r="C1613">
        <v>6</v>
      </c>
      <c r="D1613">
        <v>3</v>
      </c>
      <c r="E1613">
        <v>2</v>
      </c>
      <c r="F1613">
        <v>3</v>
      </c>
    </row>
    <row r="1614" spans="1:6" x14ac:dyDescent="0.35">
      <c r="A1614">
        <v>1522</v>
      </c>
      <c r="B1614">
        <v>1998</v>
      </c>
      <c r="C1614">
        <v>6</v>
      </c>
      <c r="D1614">
        <v>4</v>
      </c>
      <c r="E1614">
        <v>2</v>
      </c>
      <c r="F1614">
        <v>3</v>
      </c>
    </row>
    <row r="1615" spans="1:6" x14ac:dyDescent="0.35">
      <c r="A1615">
        <v>1611</v>
      </c>
      <c r="B1615">
        <v>1773</v>
      </c>
      <c r="C1615">
        <v>6</v>
      </c>
      <c r="D1615">
        <v>7</v>
      </c>
      <c r="E1615">
        <v>2</v>
      </c>
      <c r="F1615">
        <v>3</v>
      </c>
    </row>
    <row r="1616" spans="1:6" x14ac:dyDescent="0.35">
      <c r="A1616">
        <v>1790</v>
      </c>
      <c r="B1616">
        <v>1419</v>
      </c>
      <c r="C1616">
        <v>6</v>
      </c>
      <c r="D1616">
        <v>8</v>
      </c>
      <c r="E1616">
        <v>2</v>
      </c>
      <c r="F1616">
        <v>3</v>
      </c>
    </row>
    <row r="1617" spans="1:6" x14ac:dyDescent="0.35">
      <c r="A1617">
        <v>1793</v>
      </c>
      <c r="B1617">
        <v>1250</v>
      </c>
      <c r="C1617">
        <v>6</v>
      </c>
      <c r="D1617">
        <v>4</v>
      </c>
      <c r="E1617">
        <v>2</v>
      </c>
      <c r="F1617">
        <v>3</v>
      </c>
    </row>
    <row r="1618" spans="1:6" x14ac:dyDescent="0.35">
      <c r="A1618">
        <v>1834</v>
      </c>
      <c r="B1618">
        <v>10521</v>
      </c>
      <c r="C1618">
        <v>6</v>
      </c>
      <c r="D1618">
        <v>13</v>
      </c>
      <c r="E1618">
        <v>2</v>
      </c>
      <c r="F1618">
        <v>5</v>
      </c>
    </row>
    <row r="1619" spans="1:6" x14ac:dyDescent="0.35">
      <c r="A1619">
        <v>1847</v>
      </c>
      <c r="B1619">
        <v>10595</v>
      </c>
      <c r="C1619">
        <v>6</v>
      </c>
      <c r="D1619">
        <v>4</v>
      </c>
      <c r="E1619">
        <v>2</v>
      </c>
      <c r="F1619">
        <v>3</v>
      </c>
    </row>
    <row r="1620" spans="1:6" x14ac:dyDescent="0.35">
      <c r="A1620">
        <v>1892</v>
      </c>
      <c r="B1620">
        <v>5790</v>
      </c>
      <c r="C1620">
        <v>6</v>
      </c>
      <c r="D1620">
        <v>0</v>
      </c>
      <c r="E1620">
        <v>2</v>
      </c>
      <c r="F1620">
        <v>3</v>
      </c>
    </row>
    <row r="1621" spans="1:6" x14ac:dyDescent="0.35">
      <c r="A1621">
        <v>1944</v>
      </c>
      <c r="B1621">
        <v>5015</v>
      </c>
      <c r="C1621">
        <v>6</v>
      </c>
      <c r="D1621">
        <v>6</v>
      </c>
      <c r="E1621">
        <v>2</v>
      </c>
      <c r="F1621">
        <v>3</v>
      </c>
    </row>
    <row r="1622" spans="1:6" x14ac:dyDescent="0.35">
      <c r="A1622">
        <v>2042</v>
      </c>
      <c r="B1622">
        <v>8416</v>
      </c>
      <c r="C1622">
        <v>6</v>
      </c>
      <c r="D1622">
        <v>5</v>
      </c>
      <c r="E1622">
        <v>2</v>
      </c>
      <c r="F1622">
        <v>3</v>
      </c>
    </row>
    <row r="1623" spans="1:6" x14ac:dyDescent="0.35">
      <c r="A1623">
        <v>48</v>
      </c>
      <c r="B1623">
        <v>7244</v>
      </c>
      <c r="C1623">
        <v>5</v>
      </c>
      <c r="D1623">
        <v>10</v>
      </c>
      <c r="E1623">
        <v>2</v>
      </c>
      <c r="F1623">
        <v>4</v>
      </c>
    </row>
    <row r="1624" spans="1:6" x14ac:dyDescent="0.35">
      <c r="A1624">
        <v>402</v>
      </c>
      <c r="B1624">
        <v>7617</v>
      </c>
      <c r="C1624">
        <v>5</v>
      </c>
      <c r="D1624">
        <v>8</v>
      </c>
      <c r="E1624">
        <v>2</v>
      </c>
      <c r="F1624">
        <v>5</v>
      </c>
    </row>
    <row r="1625" spans="1:6" x14ac:dyDescent="0.35">
      <c r="A1625">
        <v>416</v>
      </c>
      <c r="B1625">
        <v>6504</v>
      </c>
      <c r="C1625">
        <v>5</v>
      </c>
      <c r="D1625">
        <v>6</v>
      </c>
      <c r="E1625">
        <v>2</v>
      </c>
      <c r="F1625">
        <v>3</v>
      </c>
    </row>
    <row r="1626" spans="1:6" x14ac:dyDescent="0.35">
      <c r="A1626">
        <v>746</v>
      </c>
      <c r="B1626">
        <v>7235</v>
      </c>
      <c r="C1626">
        <v>5</v>
      </c>
      <c r="D1626">
        <v>8</v>
      </c>
      <c r="E1626">
        <v>2</v>
      </c>
      <c r="F1626">
        <v>4</v>
      </c>
    </row>
    <row r="1627" spans="1:6" x14ac:dyDescent="0.35">
      <c r="A1627">
        <v>830</v>
      </c>
      <c r="B1627">
        <v>4887</v>
      </c>
      <c r="C1627">
        <v>5</v>
      </c>
      <c r="D1627">
        <v>1</v>
      </c>
      <c r="E1627">
        <v>2</v>
      </c>
      <c r="F1627">
        <v>3</v>
      </c>
    </row>
    <row r="1628" spans="1:6" x14ac:dyDescent="0.35">
      <c r="A1628">
        <v>833</v>
      </c>
      <c r="B1628">
        <v>11003</v>
      </c>
      <c r="C1628">
        <v>5</v>
      </c>
      <c r="D1628">
        <v>18</v>
      </c>
      <c r="E1628">
        <v>2</v>
      </c>
      <c r="F1628">
        <v>3</v>
      </c>
    </row>
    <row r="1629" spans="1:6" x14ac:dyDescent="0.35">
      <c r="A1629">
        <v>1142</v>
      </c>
      <c r="B1629">
        <v>4066</v>
      </c>
      <c r="C1629">
        <v>5</v>
      </c>
      <c r="D1629">
        <v>8</v>
      </c>
      <c r="E1629">
        <v>2</v>
      </c>
      <c r="F1629">
        <v>2</v>
      </c>
    </row>
    <row r="1630" spans="1:6" x14ac:dyDescent="0.35">
      <c r="A1630">
        <v>1178</v>
      </c>
      <c r="B1630">
        <v>2918</v>
      </c>
      <c r="C1630">
        <v>5</v>
      </c>
      <c r="D1630">
        <v>4</v>
      </c>
      <c r="E1630">
        <v>2</v>
      </c>
      <c r="F1630">
        <v>4</v>
      </c>
    </row>
    <row r="1631" spans="1:6" x14ac:dyDescent="0.35">
      <c r="A1631">
        <v>1292</v>
      </c>
      <c r="B1631">
        <v>7628</v>
      </c>
      <c r="C1631">
        <v>5</v>
      </c>
      <c r="D1631">
        <v>3</v>
      </c>
      <c r="E1631">
        <v>2</v>
      </c>
      <c r="F1631">
        <v>4</v>
      </c>
    </row>
    <row r="1632" spans="1:6" x14ac:dyDescent="0.35">
      <c r="A1632">
        <v>1299</v>
      </c>
      <c r="B1632">
        <v>10641</v>
      </c>
      <c r="C1632">
        <v>5</v>
      </c>
      <c r="D1632">
        <v>4</v>
      </c>
      <c r="E1632">
        <v>2</v>
      </c>
      <c r="F1632">
        <v>3</v>
      </c>
    </row>
    <row r="1633" spans="1:6" x14ac:dyDescent="0.35">
      <c r="A1633">
        <v>1330</v>
      </c>
      <c r="B1633">
        <v>4832</v>
      </c>
      <c r="C1633">
        <v>5</v>
      </c>
      <c r="D1633">
        <v>24</v>
      </c>
      <c r="E1633">
        <v>2</v>
      </c>
      <c r="F1633">
        <v>2</v>
      </c>
    </row>
    <row r="1634" spans="1:6" x14ac:dyDescent="0.35">
      <c r="A1634">
        <v>1558</v>
      </c>
      <c r="B1634">
        <v>6642</v>
      </c>
      <c r="C1634">
        <v>5</v>
      </c>
      <c r="D1634">
        <v>9</v>
      </c>
      <c r="E1634">
        <v>2</v>
      </c>
      <c r="F1634">
        <v>4</v>
      </c>
    </row>
    <row r="1635" spans="1:6" x14ac:dyDescent="0.35">
      <c r="A1635">
        <v>1655</v>
      </c>
      <c r="B1635">
        <v>1834</v>
      </c>
      <c r="C1635">
        <v>5</v>
      </c>
      <c r="D1635">
        <v>1</v>
      </c>
      <c r="E1635">
        <v>2</v>
      </c>
      <c r="F1635">
        <v>3</v>
      </c>
    </row>
    <row r="1636" spans="1:6" x14ac:dyDescent="0.35">
      <c r="A1636">
        <v>1835</v>
      </c>
      <c r="B1636">
        <v>7393</v>
      </c>
      <c r="C1636">
        <v>5</v>
      </c>
      <c r="D1636">
        <v>0</v>
      </c>
      <c r="E1636">
        <v>2</v>
      </c>
      <c r="F1636">
        <v>3</v>
      </c>
    </row>
    <row r="1637" spans="1:6" x14ac:dyDescent="0.35">
      <c r="A1637">
        <v>3</v>
      </c>
      <c r="B1637">
        <v>6182</v>
      </c>
      <c r="C1637">
        <v>4</v>
      </c>
      <c r="D1637">
        <v>3</v>
      </c>
      <c r="E1637">
        <v>2</v>
      </c>
      <c r="F1637">
        <v>4</v>
      </c>
    </row>
    <row r="1638" spans="1:6" x14ac:dyDescent="0.35">
      <c r="A1638">
        <v>25</v>
      </c>
      <c r="B1638">
        <v>7892</v>
      </c>
      <c r="C1638">
        <v>4</v>
      </c>
      <c r="D1638">
        <v>12</v>
      </c>
      <c r="E1638">
        <v>2</v>
      </c>
      <c r="F1638">
        <v>3</v>
      </c>
    </row>
    <row r="1639" spans="1:6" x14ac:dyDescent="0.35">
      <c r="A1639">
        <v>171</v>
      </c>
      <c r="B1639">
        <v>6460</v>
      </c>
      <c r="C1639">
        <v>4</v>
      </c>
      <c r="D1639">
        <v>8</v>
      </c>
      <c r="E1639">
        <v>2</v>
      </c>
      <c r="F1639">
        <v>3</v>
      </c>
    </row>
    <row r="1640" spans="1:6" x14ac:dyDescent="0.35">
      <c r="A1640">
        <v>258</v>
      </c>
      <c r="B1640">
        <v>2661</v>
      </c>
      <c r="C1640">
        <v>4</v>
      </c>
      <c r="D1640">
        <v>6</v>
      </c>
      <c r="E1640">
        <v>2</v>
      </c>
      <c r="F1640">
        <v>4</v>
      </c>
    </row>
    <row r="1641" spans="1:6" x14ac:dyDescent="0.35">
      <c r="A1641">
        <v>399</v>
      </c>
      <c r="B1641">
        <v>8213</v>
      </c>
      <c r="C1641">
        <v>4</v>
      </c>
      <c r="D1641">
        <v>36</v>
      </c>
      <c r="E1641">
        <v>2</v>
      </c>
      <c r="F1641">
        <v>3</v>
      </c>
    </row>
    <row r="1642" spans="1:6" x14ac:dyDescent="0.35">
      <c r="A1642">
        <v>508</v>
      </c>
      <c r="B1642">
        <v>3386</v>
      </c>
      <c r="C1642">
        <v>4</v>
      </c>
      <c r="D1642">
        <v>10</v>
      </c>
      <c r="E1642">
        <v>2</v>
      </c>
      <c r="F1642">
        <v>4</v>
      </c>
    </row>
    <row r="1643" spans="1:6" x14ac:dyDescent="0.35">
      <c r="A1643">
        <v>538</v>
      </c>
      <c r="B1643">
        <v>11096</v>
      </c>
      <c r="C1643">
        <v>4</v>
      </c>
      <c r="D1643">
        <v>54</v>
      </c>
      <c r="E1643">
        <v>2</v>
      </c>
      <c r="F1643">
        <v>7</v>
      </c>
    </row>
    <row r="1644" spans="1:6" x14ac:dyDescent="0.35">
      <c r="A1644">
        <v>545</v>
      </c>
      <c r="B1644">
        <v>8541</v>
      </c>
      <c r="C1644">
        <v>4</v>
      </c>
      <c r="D1644">
        <v>7</v>
      </c>
      <c r="E1644">
        <v>2</v>
      </c>
      <c r="F1644">
        <v>4</v>
      </c>
    </row>
    <row r="1645" spans="1:6" x14ac:dyDescent="0.35">
      <c r="A1645">
        <v>558</v>
      </c>
      <c r="B1645">
        <v>8420</v>
      </c>
      <c r="C1645">
        <v>4</v>
      </c>
      <c r="D1645">
        <v>8</v>
      </c>
      <c r="E1645">
        <v>2</v>
      </c>
      <c r="F1645">
        <v>4</v>
      </c>
    </row>
    <row r="1646" spans="1:6" x14ac:dyDescent="0.35">
      <c r="A1646">
        <v>695</v>
      </c>
      <c r="B1646">
        <v>9239</v>
      </c>
      <c r="C1646">
        <v>4</v>
      </c>
      <c r="D1646">
        <v>3</v>
      </c>
      <c r="E1646">
        <v>2</v>
      </c>
      <c r="F1646">
        <v>4</v>
      </c>
    </row>
    <row r="1647" spans="1:6" x14ac:dyDescent="0.35">
      <c r="A1647">
        <v>717</v>
      </c>
      <c r="B1647">
        <v>1715</v>
      </c>
      <c r="C1647">
        <v>4</v>
      </c>
      <c r="D1647">
        <v>5</v>
      </c>
      <c r="E1647">
        <v>2</v>
      </c>
      <c r="F1647">
        <v>3</v>
      </c>
    </row>
    <row r="1648" spans="1:6" x14ac:dyDescent="0.35">
      <c r="A1648">
        <v>963</v>
      </c>
      <c r="B1648">
        <v>2456</v>
      </c>
      <c r="C1648">
        <v>4</v>
      </c>
      <c r="D1648">
        <v>17</v>
      </c>
      <c r="E1648">
        <v>2</v>
      </c>
      <c r="F1648">
        <v>5</v>
      </c>
    </row>
    <row r="1649" spans="1:6" x14ac:dyDescent="0.35">
      <c r="A1649">
        <v>1017</v>
      </c>
      <c r="B1649">
        <v>8562</v>
      </c>
      <c r="C1649">
        <v>4</v>
      </c>
      <c r="D1649">
        <v>6</v>
      </c>
      <c r="E1649">
        <v>2</v>
      </c>
      <c r="F1649">
        <v>7</v>
      </c>
    </row>
    <row r="1650" spans="1:6" x14ac:dyDescent="0.35">
      <c r="A1650">
        <v>1107</v>
      </c>
      <c r="B1650">
        <v>10065</v>
      </c>
      <c r="C1650">
        <v>4</v>
      </c>
      <c r="D1650">
        <v>8</v>
      </c>
      <c r="E1650">
        <v>2</v>
      </c>
      <c r="F1650">
        <v>4</v>
      </c>
    </row>
    <row r="1651" spans="1:6" x14ac:dyDescent="0.35">
      <c r="A1651">
        <v>1267</v>
      </c>
      <c r="B1651">
        <v>11114</v>
      </c>
      <c r="C1651">
        <v>4</v>
      </c>
      <c r="D1651">
        <v>8</v>
      </c>
      <c r="E1651">
        <v>2</v>
      </c>
      <c r="F1651">
        <v>3</v>
      </c>
    </row>
    <row r="1652" spans="1:6" x14ac:dyDescent="0.35">
      <c r="A1652">
        <v>1361</v>
      </c>
      <c r="B1652">
        <v>1384</v>
      </c>
      <c r="C1652">
        <v>4</v>
      </c>
      <c r="D1652">
        <v>8</v>
      </c>
      <c r="E1652">
        <v>2</v>
      </c>
      <c r="F1652">
        <v>2</v>
      </c>
    </row>
    <row r="1653" spans="1:6" x14ac:dyDescent="0.35">
      <c r="A1653">
        <v>1371</v>
      </c>
      <c r="B1653">
        <v>9140</v>
      </c>
      <c r="C1653">
        <v>4</v>
      </c>
      <c r="D1653">
        <v>7</v>
      </c>
      <c r="E1653">
        <v>2</v>
      </c>
      <c r="F1653">
        <v>4</v>
      </c>
    </row>
    <row r="1654" spans="1:6" x14ac:dyDescent="0.35">
      <c r="A1654">
        <v>1418</v>
      </c>
      <c r="B1654">
        <v>5654</v>
      </c>
      <c r="C1654">
        <v>4</v>
      </c>
      <c r="D1654">
        <v>4</v>
      </c>
      <c r="E1654">
        <v>2</v>
      </c>
      <c r="F1654">
        <v>3</v>
      </c>
    </row>
    <row r="1655" spans="1:6" x14ac:dyDescent="0.35">
      <c r="A1655">
        <v>1578</v>
      </c>
      <c r="B1655">
        <v>8175</v>
      </c>
      <c r="C1655">
        <v>4</v>
      </c>
      <c r="D1655">
        <v>10</v>
      </c>
      <c r="E1655">
        <v>2</v>
      </c>
      <c r="F1655">
        <v>4</v>
      </c>
    </row>
    <row r="1656" spans="1:6" x14ac:dyDescent="0.35">
      <c r="A1656">
        <v>1649</v>
      </c>
      <c r="B1656">
        <v>7485</v>
      </c>
      <c r="C1656">
        <v>4</v>
      </c>
      <c r="D1656">
        <v>2</v>
      </c>
      <c r="E1656">
        <v>2</v>
      </c>
      <c r="F1656">
        <v>4</v>
      </c>
    </row>
    <row r="1657" spans="1:6" x14ac:dyDescent="0.35">
      <c r="A1657">
        <v>1694</v>
      </c>
      <c r="B1657">
        <v>2431</v>
      </c>
      <c r="C1657">
        <v>4</v>
      </c>
      <c r="D1657">
        <v>6</v>
      </c>
      <c r="E1657">
        <v>2</v>
      </c>
      <c r="F1657">
        <v>3</v>
      </c>
    </row>
    <row r="1658" spans="1:6" x14ac:dyDescent="0.35">
      <c r="A1658">
        <v>1780</v>
      </c>
      <c r="B1658">
        <v>5150</v>
      </c>
      <c r="C1658">
        <v>4</v>
      </c>
      <c r="D1658">
        <v>10</v>
      </c>
      <c r="E1658">
        <v>2</v>
      </c>
      <c r="F1658">
        <v>3</v>
      </c>
    </row>
    <row r="1659" spans="1:6" x14ac:dyDescent="0.35">
      <c r="A1659">
        <v>1807</v>
      </c>
      <c r="B1659">
        <v>3130</v>
      </c>
      <c r="C1659">
        <v>4</v>
      </c>
      <c r="D1659">
        <v>6</v>
      </c>
      <c r="E1659">
        <v>2</v>
      </c>
      <c r="F1659">
        <v>4</v>
      </c>
    </row>
    <row r="1660" spans="1:6" x14ac:dyDescent="0.35">
      <c r="A1660">
        <v>1857</v>
      </c>
      <c r="B1660">
        <v>5316</v>
      </c>
      <c r="C1660">
        <v>4</v>
      </c>
      <c r="D1660">
        <v>2</v>
      </c>
      <c r="E1660">
        <v>2</v>
      </c>
      <c r="F1660">
        <v>4</v>
      </c>
    </row>
    <row r="1661" spans="1:6" x14ac:dyDescent="0.35">
      <c r="A1661">
        <v>1930</v>
      </c>
      <c r="B1661">
        <v>5734</v>
      </c>
      <c r="C1661">
        <v>4</v>
      </c>
      <c r="D1661">
        <v>2</v>
      </c>
      <c r="E1661">
        <v>2</v>
      </c>
      <c r="F1661">
        <v>4</v>
      </c>
    </row>
    <row r="1662" spans="1:6" x14ac:dyDescent="0.35">
      <c r="A1662">
        <v>1959</v>
      </c>
      <c r="B1662">
        <v>7530</v>
      </c>
      <c r="C1662">
        <v>4</v>
      </c>
      <c r="D1662">
        <v>2</v>
      </c>
      <c r="E1662">
        <v>2</v>
      </c>
      <c r="F1662">
        <v>4</v>
      </c>
    </row>
    <row r="1663" spans="1:6" x14ac:dyDescent="0.35">
      <c r="A1663">
        <v>2020</v>
      </c>
      <c r="B1663">
        <v>9829</v>
      </c>
      <c r="C1663">
        <v>4</v>
      </c>
      <c r="D1663">
        <v>10</v>
      </c>
      <c r="E1663">
        <v>2</v>
      </c>
      <c r="F1663">
        <v>4</v>
      </c>
    </row>
    <row r="1664" spans="1:6" x14ac:dyDescent="0.35">
      <c r="A1664">
        <v>2113</v>
      </c>
      <c r="B1664">
        <v>3969</v>
      </c>
      <c r="C1664">
        <v>4</v>
      </c>
      <c r="D1664">
        <v>6</v>
      </c>
      <c r="E1664">
        <v>2</v>
      </c>
      <c r="F1664">
        <v>2</v>
      </c>
    </row>
    <row r="1665" spans="1:6" x14ac:dyDescent="0.35">
      <c r="A1665">
        <v>2142</v>
      </c>
      <c r="B1665">
        <v>7124</v>
      </c>
      <c r="C1665">
        <v>4</v>
      </c>
      <c r="D1665">
        <v>0</v>
      </c>
      <c r="E1665">
        <v>2</v>
      </c>
      <c r="F1665">
        <v>4</v>
      </c>
    </row>
    <row r="1666" spans="1:6" x14ac:dyDescent="0.35">
      <c r="A1666">
        <v>58</v>
      </c>
      <c r="B1666">
        <v>8557</v>
      </c>
      <c r="C1666">
        <v>3</v>
      </c>
      <c r="D1666">
        <v>2</v>
      </c>
      <c r="E1666">
        <v>2</v>
      </c>
      <c r="F1666">
        <v>3</v>
      </c>
    </row>
    <row r="1667" spans="1:6" x14ac:dyDescent="0.35">
      <c r="A1667">
        <v>95</v>
      </c>
      <c r="B1667">
        <v>7516</v>
      </c>
      <c r="C1667">
        <v>3</v>
      </c>
      <c r="D1667">
        <v>5</v>
      </c>
      <c r="E1667">
        <v>2</v>
      </c>
      <c r="F1667">
        <v>3</v>
      </c>
    </row>
    <row r="1668" spans="1:6" x14ac:dyDescent="0.35">
      <c r="A1668">
        <v>121</v>
      </c>
      <c r="B1668">
        <v>6205</v>
      </c>
      <c r="C1668">
        <v>3</v>
      </c>
      <c r="D1668">
        <v>4</v>
      </c>
      <c r="E1668">
        <v>2</v>
      </c>
      <c r="F1668">
        <v>3</v>
      </c>
    </row>
    <row r="1669" spans="1:6" x14ac:dyDescent="0.35">
      <c r="A1669">
        <v>250</v>
      </c>
      <c r="B1669">
        <v>10236</v>
      </c>
      <c r="C1669">
        <v>3</v>
      </c>
      <c r="D1669">
        <v>1</v>
      </c>
      <c r="E1669">
        <v>2</v>
      </c>
      <c r="F1669">
        <v>3</v>
      </c>
    </row>
    <row r="1670" spans="1:6" x14ac:dyDescent="0.35">
      <c r="A1670">
        <v>362</v>
      </c>
      <c r="B1670">
        <v>2958</v>
      </c>
      <c r="C1670">
        <v>3</v>
      </c>
      <c r="D1670">
        <v>8</v>
      </c>
      <c r="E1670">
        <v>2</v>
      </c>
      <c r="F1670">
        <v>4</v>
      </c>
    </row>
    <row r="1671" spans="1:6" x14ac:dyDescent="0.35">
      <c r="A1671">
        <v>367</v>
      </c>
      <c r="B1671">
        <v>4432</v>
      </c>
      <c r="C1671">
        <v>3</v>
      </c>
      <c r="D1671">
        <v>11</v>
      </c>
      <c r="E1671">
        <v>2</v>
      </c>
      <c r="F1671">
        <v>3</v>
      </c>
    </row>
    <row r="1672" spans="1:6" x14ac:dyDescent="0.35">
      <c r="A1672">
        <v>406</v>
      </c>
      <c r="B1672">
        <v>3645</v>
      </c>
      <c r="C1672">
        <v>3</v>
      </c>
      <c r="D1672">
        <v>9</v>
      </c>
      <c r="E1672">
        <v>2</v>
      </c>
      <c r="F1672">
        <v>4</v>
      </c>
    </row>
    <row r="1673" spans="1:6" x14ac:dyDescent="0.35">
      <c r="A1673">
        <v>420</v>
      </c>
      <c r="B1673">
        <v>5929</v>
      </c>
      <c r="C1673">
        <v>3</v>
      </c>
      <c r="D1673">
        <v>1</v>
      </c>
      <c r="E1673">
        <v>2</v>
      </c>
      <c r="F1673">
        <v>3</v>
      </c>
    </row>
    <row r="1674" spans="1:6" x14ac:dyDescent="0.35">
      <c r="A1674">
        <v>421</v>
      </c>
      <c r="B1674">
        <v>3129</v>
      </c>
      <c r="C1674">
        <v>3</v>
      </c>
      <c r="D1674">
        <v>5</v>
      </c>
      <c r="E1674">
        <v>2</v>
      </c>
      <c r="F1674">
        <v>3</v>
      </c>
    </row>
    <row r="1675" spans="1:6" x14ac:dyDescent="0.35">
      <c r="A1675">
        <v>481</v>
      </c>
      <c r="B1675">
        <v>5154</v>
      </c>
      <c r="C1675">
        <v>3</v>
      </c>
      <c r="D1675">
        <v>10</v>
      </c>
      <c r="E1675">
        <v>2</v>
      </c>
      <c r="F1675">
        <v>3</v>
      </c>
    </row>
    <row r="1676" spans="1:6" x14ac:dyDescent="0.35">
      <c r="A1676">
        <v>534</v>
      </c>
      <c r="B1676">
        <v>8724</v>
      </c>
      <c r="C1676">
        <v>3</v>
      </c>
      <c r="D1676">
        <v>2</v>
      </c>
      <c r="E1676">
        <v>2</v>
      </c>
      <c r="F1676">
        <v>3</v>
      </c>
    </row>
    <row r="1677" spans="1:6" x14ac:dyDescent="0.35">
      <c r="A1677">
        <v>890</v>
      </c>
      <c r="B1677">
        <v>1928</v>
      </c>
      <c r="C1677">
        <v>3</v>
      </c>
      <c r="D1677">
        <v>1</v>
      </c>
      <c r="E1677">
        <v>2</v>
      </c>
      <c r="F1677">
        <v>3</v>
      </c>
    </row>
    <row r="1678" spans="1:6" x14ac:dyDescent="0.35">
      <c r="A1678">
        <v>982</v>
      </c>
      <c r="B1678">
        <v>6634</v>
      </c>
      <c r="C1678">
        <v>3</v>
      </c>
      <c r="D1678">
        <v>0</v>
      </c>
      <c r="E1678">
        <v>2</v>
      </c>
      <c r="F1678">
        <v>3</v>
      </c>
    </row>
    <row r="1679" spans="1:6" x14ac:dyDescent="0.35">
      <c r="A1679">
        <v>1233</v>
      </c>
      <c r="B1679">
        <v>1502</v>
      </c>
      <c r="C1679">
        <v>3</v>
      </c>
      <c r="D1679">
        <v>3</v>
      </c>
      <c r="E1679">
        <v>2</v>
      </c>
      <c r="F1679">
        <v>3</v>
      </c>
    </row>
    <row r="1680" spans="1:6" x14ac:dyDescent="0.35">
      <c r="A1680">
        <v>1384</v>
      </c>
      <c r="B1680">
        <v>793</v>
      </c>
      <c r="C1680">
        <v>3</v>
      </c>
      <c r="D1680">
        <v>0</v>
      </c>
      <c r="E1680">
        <v>2</v>
      </c>
      <c r="F1680">
        <v>3</v>
      </c>
    </row>
    <row r="1681" spans="1:6" x14ac:dyDescent="0.35">
      <c r="A1681">
        <v>1397</v>
      </c>
      <c r="B1681">
        <v>2589</v>
      </c>
      <c r="C1681">
        <v>3</v>
      </c>
      <c r="D1681">
        <v>5</v>
      </c>
      <c r="E1681">
        <v>2</v>
      </c>
      <c r="F1681">
        <v>3</v>
      </c>
    </row>
    <row r="1682" spans="1:6" x14ac:dyDescent="0.35">
      <c r="A1682">
        <v>1419</v>
      </c>
      <c r="B1682">
        <v>4098</v>
      </c>
      <c r="C1682">
        <v>3</v>
      </c>
      <c r="D1682">
        <v>4</v>
      </c>
      <c r="E1682">
        <v>2</v>
      </c>
      <c r="F1682">
        <v>4</v>
      </c>
    </row>
    <row r="1683" spans="1:6" x14ac:dyDescent="0.35">
      <c r="A1683">
        <v>1433</v>
      </c>
      <c r="B1683">
        <v>274</v>
      </c>
      <c r="C1683">
        <v>3</v>
      </c>
      <c r="D1683">
        <v>3</v>
      </c>
      <c r="E1683">
        <v>2</v>
      </c>
      <c r="F1683">
        <v>3</v>
      </c>
    </row>
    <row r="1684" spans="1:6" x14ac:dyDescent="0.35">
      <c r="A1684">
        <v>1494</v>
      </c>
      <c r="B1684">
        <v>2005</v>
      </c>
      <c r="C1684">
        <v>3</v>
      </c>
      <c r="D1684">
        <v>5</v>
      </c>
      <c r="E1684">
        <v>2</v>
      </c>
      <c r="F1684">
        <v>4</v>
      </c>
    </row>
    <row r="1685" spans="1:6" x14ac:dyDescent="0.35">
      <c r="A1685">
        <v>1523</v>
      </c>
      <c r="B1685">
        <v>10795</v>
      </c>
      <c r="C1685">
        <v>3</v>
      </c>
      <c r="D1685">
        <v>1</v>
      </c>
      <c r="E1685">
        <v>2</v>
      </c>
      <c r="F1685">
        <v>3</v>
      </c>
    </row>
    <row r="1686" spans="1:6" x14ac:dyDescent="0.35">
      <c r="A1686">
        <v>1717</v>
      </c>
      <c r="B1686">
        <v>7629</v>
      </c>
      <c r="C1686">
        <v>3</v>
      </c>
      <c r="D1686">
        <v>2</v>
      </c>
      <c r="E1686">
        <v>2</v>
      </c>
      <c r="F1686">
        <v>3</v>
      </c>
    </row>
    <row r="1687" spans="1:6" x14ac:dyDescent="0.35">
      <c r="A1687">
        <v>1761</v>
      </c>
      <c r="B1687">
        <v>8812</v>
      </c>
      <c r="C1687">
        <v>3</v>
      </c>
      <c r="D1687">
        <v>0</v>
      </c>
      <c r="E1687">
        <v>2</v>
      </c>
      <c r="F1687">
        <v>3</v>
      </c>
    </row>
    <row r="1688" spans="1:6" x14ac:dyDescent="0.35">
      <c r="A1688">
        <v>1842</v>
      </c>
      <c r="B1688">
        <v>7419</v>
      </c>
      <c r="C1688">
        <v>3</v>
      </c>
      <c r="D1688">
        <v>2</v>
      </c>
      <c r="E1688">
        <v>2</v>
      </c>
      <c r="F1688">
        <v>3</v>
      </c>
    </row>
    <row r="1689" spans="1:6" x14ac:dyDescent="0.35">
      <c r="A1689">
        <v>2016</v>
      </c>
      <c r="B1689">
        <v>7042</v>
      </c>
      <c r="C1689">
        <v>3</v>
      </c>
      <c r="D1689">
        <v>21</v>
      </c>
      <c r="E1689">
        <v>2</v>
      </c>
      <c r="F1689">
        <v>2</v>
      </c>
    </row>
    <row r="1690" spans="1:6" x14ac:dyDescent="0.35">
      <c r="A1690">
        <v>2025</v>
      </c>
      <c r="B1690">
        <v>9423</v>
      </c>
      <c r="C1690">
        <v>3</v>
      </c>
      <c r="D1690">
        <v>3</v>
      </c>
      <c r="E1690">
        <v>2</v>
      </c>
      <c r="F1690">
        <v>4</v>
      </c>
    </row>
    <row r="1691" spans="1:6" x14ac:dyDescent="0.35">
      <c r="A1691">
        <v>2077</v>
      </c>
      <c r="B1691">
        <v>954</v>
      </c>
      <c r="C1691">
        <v>3</v>
      </c>
      <c r="D1691">
        <v>7</v>
      </c>
      <c r="E1691">
        <v>2</v>
      </c>
      <c r="F1691">
        <v>3</v>
      </c>
    </row>
    <row r="1692" spans="1:6" x14ac:dyDescent="0.35">
      <c r="A1692">
        <v>2133</v>
      </c>
      <c r="B1692">
        <v>642</v>
      </c>
      <c r="C1692">
        <v>3</v>
      </c>
      <c r="D1692">
        <v>30</v>
      </c>
      <c r="E1692">
        <v>2</v>
      </c>
      <c r="F1692">
        <v>2</v>
      </c>
    </row>
    <row r="1693" spans="1:6" x14ac:dyDescent="0.35">
      <c r="A1693">
        <v>2155</v>
      </c>
      <c r="B1693">
        <v>8933</v>
      </c>
      <c r="C1693">
        <v>3</v>
      </c>
      <c r="D1693">
        <v>7</v>
      </c>
      <c r="E1693">
        <v>2</v>
      </c>
      <c r="F1693">
        <v>4</v>
      </c>
    </row>
    <row r="1694" spans="1:6" x14ac:dyDescent="0.35">
      <c r="A1694">
        <v>2216</v>
      </c>
      <c r="B1694">
        <v>736</v>
      </c>
      <c r="C1694">
        <v>3</v>
      </c>
      <c r="D1694">
        <v>3</v>
      </c>
      <c r="E1694">
        <v>2</v>
      </c>
      <c r="F1694">
        <v>3</v>
      </c>
    </row>
    <row r="1695" spans="1:6" x14ac:dyDescent="0.35">
      <c r="A1695">
        <v>28</v>
      </c>
      <c r="B1695">
        <v>9422</v>
      </c>
      <c r="C1695">
        <v>2</v>
      </c>
      <c r="D1695">
        <v>21</v>
      </c>
      <c r="E1695">
        <v>2</v>
      </c>
      <c r="F1695">
        <v>4</v>
      </c>
    </row>
    <row r="1696" spans="1:6" x14ac:dyDescent="0.35">
      <c r="A1696">
        <v>97</v>
      </c>
      <c r="B1696">
        <v>11100</v>
      </c>
      <c r="C1696">
        <v>2</v>
      </c>
      <c r="D1696">
        <v>1</v>
      </c>
      <c r="E1696">
        <v>2</v>
      </c>
      <c r="F1696">
        <v>3</v>
      </c>
    </row>
    <row r="1697" spans="1:6" x14ac:dyDescent="0.35">
      <c r="A1697">
        <v>273</v>
      </c>
      <c r="B1697">
        <v>6336</v>
      </c>
      <c r="C1697">
        <v>2</v>
      </c>
      <c r="D1697">
        <v>7</v>
      </c>
      <c r="E1697">
        <v>2</v>
      </c>
      <c r="F1697">
        <v>4</v>
      </c>
    </row>
    <row r="1698" spans="1:6" x14ac:dyDescent="0.35">
      <c r="A1698">
        <v>326</v>
      </c>
      <c r="B1698">
        <v>5835</v>
      </c>
      <c r="C1698">
        <v>2</v>
      </c>
      <c r="D1698">
        <v>2</v>
      </c>
      <c r="E1698">
        <v>2</v>
      </c>
      <c r="F1698">
        <v>4</v>
      </c>
    </row>
    <row r="1699" spans="1:6" x14ac:dyDescent="0.35">
      <c r="A1699">
        <v>334</v>
      </c>
      <c r="B1699">
        <v>9592</v>
      </c>
      <c r="C1699">
        <v>2</v>
      </c>
      <c r="D1699">
        <v>0</v>
      </c>
      <c r="E1699">
        <v>2</v>
      </c>
      <c r="F1699">
        <v>3</v>
      </c>
    </row>
    <row r="1700" spans="1:6" x14ac:dyDescent="0.35">
      <c r="A1700">
        <v>355</v>
      </c>
      <c r="B1700">
        <v>6201</v>
      </c>
      <c r="C1700">
        <v>2</v>
      </c>
      <c r="D1700">
        <v>1</v>
      </c>
      <c r="E1700">
        <v>2</v>
      </c>
      <c r="F1700">
        <v>3</v>
      </c>
    </row>
    <row r="1701" spans="1:6" x14ac:dyDescent="0.35">
      <c r="A1701">
        <v>452</v>
      </c>
      <c r="B1701">
        <v>6471</v>
      </c>
      <c r="C1701">
        <v>2</v>
      </c>
      <c r="D1701">
        <v>2</v>
      </c>
      <c r="E1701">
        <v>2</v>
      </c>
      <c r="F1701">
        <v>4</v>
      </c>
    </row>
    <row r="1702" spans="1:6" x14ac:dyDescent="0.35">
      <c r="A1702">
        <v>625</v>
      </c>
      <c r="B1702">
        <v>3641</v>
      </c>
      <c r="C1702">
        <v>2</v>
      </c>
      <c r="D1702">
        <v>1</v>
      </c>
      <c r="E1702">
        <v>2</v>
      </c>
      <c r="F1702">
        <v>3</v>
      </c>
    </row>
    <row r="1703" spans="1:6" x14ac:dyDescent="0.35">
      <c r="A1703">
        <v>663</v>
      </c>
      <c r="B1703">
        <v>1777</v>
      </c>
      <c r="C1703">
        <v>2</v>
      </c>
      <c r="D1703">
        <v>7</v>
      </c>
      <c r="E1703">
        <v>2</v>
      </c>
      <c r="F1703">
        <v>3</v>
      </c>
    </row>
    <row r="1704" spans="1:6" x14ac:dyDescent="0.35">
      <c r="A1704">
        <v>758</v>
      </c>
      <c r="B1704">
        <v>10470</v>
      </c>
      <c r="C1704">
        <v>2</v>
      </c>
      <c r="D1704">
        <v>4</v>
      </c>
      <c r="E1704">
        <v>2</v>
      </c>
      <c r="F1704">
        <v>3</v>
      </c>
    </row>
    <row r="1705" spans="1:6" x14ac:dyDescent="0.35">
      <c r="A1705">
        <v>811</v>
      </c>
      <c r="B1705">
        <v>5585</v>
      </c>
      <c r="C1705">
        <v>2</v>
      </c>
      <c r="D1705">
        <v>1</v>
      </c>
      <c r="E1705">
        <v>2</v>
      </c>
      <c r="F1705">
        <v>3</v>
      </c>
    </row>
    <row r="1706" spans="1:6" x14ac:dyDescent="0.35">
      <c r="A1706">
        <v>860</v>
      </c>
      <c r="B1706">
        <v>4297</v>
      </c>
      <c r="C1706">
        <v>2</v>
      </c>
      <c r="D1706">
        <v>1</v>
      </c>
      <c r="E1706">
        <v>2</v>
      </c>
      <c r="F1706">
        <v>3</v>
      </c>
    </row>
    <row r="1707" spans="1:6" x14ac:dyDescent="0.35">
      <c r="A1707">
        <v>948</v>
      </c>
      <c r="B1707">
        <v>6515</v>
      </c>
      <c r="C1707">
        <v>2</v>
      </c>
      <c r="D1707">
        <v>8</v>
      </c>
      <c r="E1707">
        <v>2</v>
      </c>
      <c r="F1707">
        <v>3</v>
      </c>
    </row>
    <row r="1708" spans="1:6" x14ac:dyDescent="0.35">
      <c r="A1708">
        <v>958</v>
      </c>
      <c r="B1708">
        <v>1523</v>
      </c>
      <c r="C1708">
        <v>2</v>
      </c>
      <c r="D1708">
        <v>2</v>
      </c>
      <c r="E1708">
        <v>2</v>
      </c>
      <c r="F1708">
        <v>4</v>
      </c>
    </row>
    <row r="1709" spans="1:6" x14ac:dyDescent="0.35">
      <c r="A1709">
        <v>1175</v>
      </c>
      <c r="B1709">
        <v>1604</v>
      </c>
      <c r="C1709">
        <v>2</v>
      </c>
      <c r="D1709">
        <v>8</v>
      </c>
      <c r="E1709">
        <v>2</v>
      </c>
      <c r="F1709">
        <v>6</v>
      </c>
    </row>
    <row r="1710" spans="1:6" x14ac:dyDescent="0.35">
      <c r="A1710">
        <v>1194</v>
      </c>
      <c r="B1710">
        <v>2245</v>
      </c>
      <c r="C1710">
        <v>2</v>
      </c>
      <c r="D1710">
        <v>2</v>
      </c>
      <c r="E1710">
        <v>2</v>
      </c>
      <c r="F1710">
        <v>4</v>
      </c>
    </row>
    <row r="1711" spans="1:6" x14ac:dyDescent="0.35">
      <c r="A1711">
        <v>1296</v>
      </c>
      <c r="B1711">
        <v>1663</v>
      </c>
      <c r="C1711">
        <v>2</v>
      </c>
      <c r="D1711">
        <v>0</v>
      </c>
      <c r="E1711">
        <v>2</v>
      </c>
      <c r="F1711">
        <v>2</v>
      </c>
    </row>
    <row r="1712" spans="1:6" x14ac:dyDescent="0.35">
      <c r="A1712">
        <v>1440</v>
      </c>
      <c r="B1712">
        <v>5967</v>
      </c>
      <c r="C1712">
        <v>2</v>
      </c>
      <c r="D1712">
        <v>5</v>
      </c>
      <c r="E1712">
        <v>2</v>
      </c>
      <c r="F1712">
        <v>3</v>
      </c>
    </row>
    <row r="1713" spans="1:6" x14ac:dyDescent="0.35">
      <c r="A1713">
        <v>1679</v>
      </c>
      <c r="B1713">
        <v>8230</v>
      </c>
      <c r="C1713">
        <v>2</v>
      </c>
      <c r="D1713">
        <v>4</v>
      </c>
      <c r="E1713">
        <v>2</v>
      </c>
      <c r="F1713">
        <v>3</v>
      </c>
    </row>
    <row r="1714" spans="1:6" x14ac:dyDescent="0.35">
      <c r="A1714">
        <v>1756</v>
      </c>
      <c r="B1714">
        <v>3798</v>
      </c>
      <c r="C1714">
        <v>2</v>
      </c>
      <c r="D1714">
        <v>8</v>
      </c>
      <c r="E1714">
        <v>2</v>
      </c>
      <c r="F1714">
        <v>3</v>
      </c>
    </row>
    <row r="1715" spans="1:6" x14ac:dyDescent="0.35">
      <c r="A1715">
        <v>1870</v>
      </c>
      <c r="B1715">
        <v>3286</v>
      </c>
      <c r="C1715">
        <v>2</v>
      </c>
      <c r="D1715">
        <v>2</v>
      </c>
      <c r="E1715">
        <v>2</v>
      </c>
      <c r="F1715">
        <v>3</v>
      </c>
    </row>
    <row r="1716" spans="1:6" x14ac:dyDescent="0.35">
      <c r="A1716">
        <v>2141</v>
      </c>
      <c r="B1716">
        <v>9216</v>
      </c>
      <c r="C1716">
        <v>2</v>
      </c>
      <c r="D1716">
        <v>1</v>
      </c>
      <c r="E1716">
        <v>2</v>
      </c>
      <c r="F1716">
        <v>3</v>
      </c>
    </row>
    <row r="1717" spans="1:6" x14ac:dyDescent="0.35">
      <c r="A1717">
        <v>2212</v>
      </c>
      <c r="B1717">
        <v>6983</v>
      </c>
      <c r="C1717">
        <v>2</v>
      </c>
      <c r="D1717">
        <v>1</v>
      </c>
      <c r="E1717">
        <v>2</v>
      </c>
      <c r="F1717">
        <v>3</v>
      </c>
    </row>
    <row r="1718" spans="1:6" x14ac:dyDescent="0.35">
      <c r="A1718">
        <v>2229</v>
      </c>
      <c r="B1718">
        <v>10084</v>
      </c>
      <c r="C1718">
        <v>2</v>
      </c>
      <c r="D1718">
        <v>0</v>
      </c>
      <c r="E1718">
        <v>2</v>
      </c>
      <c r="F1718">
        <v>2</v>
      </c>
    </row>
    <row r="1719" spans="1:6" x14ac:dyDescent="0.35">
      <c r="A1719">
        <v>41</v>
      </c>
      <c r="B1719">
        <v>503</v>
      </c>
      <c r="C1719">
        <v>1</v>
      </c>
      <c r="D1719">
        <v>0</v>
      </c>
      <c r="E1719">
        <v>2</v>
      </c>
      <c r="F1719">
        <v>3</v>
      </c>
    </row>
    <row r="1720" spans="1:6" x14ac:dyDescent="0.35">
      <c r="A1720">
        <v>44</v>
      </c>
      <c r="B1720">
        <v>2139</v>
      </c>
      <c r="C1720">
        <v>1</v>
      </c>
      <c r="D1720">
        <v>2</v>
      </c>
      <c r="E1720">
        <v>2</v>
      </c>
      <c r="F1720">
        <v>3</v>
      </c>
    </row>
    <row r="1721" spans="1:6" x14ac:dyDescent="0.35">
      <c r="A1721">
        <v>100</v>
      </c>
      <c r="B1721">
        <v>1473</v>
      </c>
      <c r="C1721">
        <v>1</v>
      </c>
      <c r="D1721">
        <v>1</v>
      </c>
      <c r="E1721">
        <v>2</v>
      </c>
      <c r="F1721">
        <v>3</v>
      </c>
    </row>
    <row r="1722" spans="1:6" x14ac:dyDescent="0.35">
      <c r="A1722">
        <v>101</v>
      </c>
      <c r="B1722">
        <v>1016</v>
      </c>
      <c r="C1722">
        <v>1</v>
      </c>
      <c r="D1722">
        <v>0</v>
      </c>
      <c r="E1722">
        <v>2</v>
      </c>
      <c r="F1722">
        <v>3</v>
      </c>
    </row>
    <row r="1723" spans="1:6" x14ac:dyDescent="0.35">
      <c r="A1723">
        <v>115</v>
      </c>
      <c r="B1723">
        <v>2286</v>
      </c>
      <c r="C1723">
        <v>1</v>
      </c>
      <c r="D1723">
        <v>1</v>
      </c>
      <c r="E1723">
        <v>2</v>
      </c>
      <c r="F1723">
        <v>3</v>
      </c>
    </row>
    <row r="1724" spans="1:6" x14ac:dyDescent="0.35">
      <c r="A1724">
        <v>137</v>
      </c>
      <c r="B1724">
        <v>9579</v>
      </c>
      <c r="C1724">
        <v>1</v>
      </c>
      <c r="D1724">
        <v>0</v>
      </c>
      <c r="E1724">
        <v>2</v>
      </c>
      <c r="F1724">
        <v>2</v>
      </c>
    </row>
    <row r="1725" spans="1:6" x14ac:dyDescent="0.35">
      <c r="A1725">
        <v>139</v>
      </c>
      <c r="B1725">
        <v>1461</v>
      </c>
      <c r="C1725">
        <v>1</v>
      </c>
      <c r="D1725">
        <v>1</v>
      </c>
      <c r="E1725">
        <v>2</v>
      </c>
      <c r="F1725">
        <v>3</v>
      </c>
    </row>
    <row r="1726" spans="1:6" x14ac:dyDescent="0.35">
      <c r="A1726">
        <v>146</v>
      </c>
      <c r="B1726">
        <v>10837</v>
      </c>
      <c r="C1726">
        <v>1</v>
      </c>
      <c r="D1726">
        <v>11</v>
      </c>
      <c r="E1726">
        <v>2</v>
      </c>
      <c r="F1726">
        <v>3</v>
      </c>
    </row>
    <row r="1727" spans="1:6" x14ac:dyDescent="0.35">
      <c r="A1727">
        <v>165</v>
      </c>
      <c r="B1727">
        <v>4370</v>
      </c>
      <c r="C1727">
        <v>1</v>
      </c>
      <c r="D1727">
        <v>3</v>
      </c>
      <c r="E1727">
        <v>2</v>
      </c>
      <c r="F1727">
        <v>4</v>
      </c>
    </row>
    <row r="1728" spans="1:6" x14ac:dyDescent="0.35">
      <c r="A1728">
        <v>189</v>
      </c>
      <c r="B1728">
        <v>6431</v>
      </c>
      <c r="C1728">
        <v>1</v>
      </c>
      <c r="D1728">
        <v>0</v>
      </c>
      <c r="E1728">
        <v>2</v>
      </c>
      <c r="F1728">
        <v>3</v>
      </c>
    </row>
    <row r="1729" spans="1:6" x14ac:dyDescent="0.35">
      <c r="A1729">
        <v>242</v>
      </c>
      <c r="B1729">
        <v>10735</v>
      </c>
      <c r="C1729">
        <v>1</v>
      </c>
      <c r="D1729">
        <v>1</v>
      </c>
      <c r="E1729">
        <v>2</v>
      </c>
      <c r="F1729">
        <v>2</v>
      </c>
    </row>
    <row r="1730" spans="1:6" x14ac:dyDescent="0.35">
      <c r="A1730">
        <v>400</v>
      </c>
      <c r="B1730">
        <v>2488</v>
      </c>
      <c r="C1730">
        <v>1</v>
      </c>
      <c r="D1730">
        <v>8</v>
      </c>
      <c r="E1730">
        <v>2</v>
      </c>
      <c r="F1730">
        <v>3</v>
      </c>
    </row>
    <row r="1731" spans="1:6" x14ac:dyDescent="0.35">
      <c r="A1731">
        <v>496</v>
      </c>
      <c r="B1731">
        <v>8737</v>
      </c>
      <c r="C1731">
        <v>1</v>
      </c>
      <c r="D1731">
        <v>0</v>
      </c>
      <c r="E1731">
        <v>2</v>
      </c>
      <c r="F1731">
        <v>3</v>
      </c>
    </row>
    <row r="1732" spans="1:6" x14ac:dyDescent="0.35">
      <c r="A1732">
        <v>520</v>
      </c>
      <c r="B1732">
        <v>3696</v>
      </c>
      <c r="C1732">
        <v>1</v>
      </c>
      <c r="D1732">
        <v>0</v>
      </c>
      <c r="E1732">
        <v>2</v>
      </c>
      <c r="F1732">
        <v>3</v>
      </c>
    </row>
    <row r="1733" spans="1:6" x14ac:dyDescent="0.35">
      <c r="A1733">
        <v>524</v>
      </c>
      <c r="B1733">
        <v>35</v>
      </c>
      <c r="C1733">
        <v>1</v>
      </c>
      <c r="D1733">
        <v>12</v>
      </c>
      <c r="E1733">
        <v>2</v>
      </c>
      <c r="F1733">
        <v>3</v>
      </c>
    </row>
    <row r="1734" spans="1:6" x14ac:dyDescent="0.35">
      <c r="A1734">
        <v>585</v>
      </c>
      <c r="B1734">
        <v>8036</v>
      </c>
      <c r="C1734">
        <v>1</v>
      </c>
      <c r="D1734">
        <v>2</v>
      </c>
      <c r="E1734">
        <v>2</v>
      </c>
      <c r="F1734">
        <v>4</v>
      </c>
    </row>
    <row r="1735" spans="1:6" x14ac:dyDescent="0.35">
      <c r="A1735">
        <v>694</v>
      </c>
      <c r="B1735">
        <v>6379</v>
      </c>
      <c r="C1735">
        <v>1</v>
      </c>
      <c r="D1735">
        <v>2</v>
      </c>
      <c r="E1735">
        <v>2</v>
      </c>
      <c r="F1735">
        <v>2</v>
      </c>
    </row>
    <row r="1736" spans="1:6" x14ac:dyDescent="0.35">
      <c r="A1736">
        <v>697</v>
      </c>
      <c r="B1736">
        <v>2868</v>
      </c>
      <c r="C1736">
        <v>1</v>
      </c>
      <c r="D1736">
        <v>3</v>
      </c>
      <c r="E1736">
        <v>2</v>
      </c>
      <c r="F1736">
        <v>3</v>
      </c>
    </row>
    <row r="1737" spans="1:6" x14ac:dyDescent="0.35">
      <c r="A1737">
        <v>742</v>
      </c>
      <c r="B1737">
        <v>5237</v>
      </c>
      <c r="C1737">
        <v>1</v>
      </c>
      <c r="D1737">
        <v>0</v>
      </c>
      <c r="E1737">
        <v>2</v>
      </c>
      <c r="F1737">
        <v>3</v>
      </c>
    </row>
    <row r="1738" spans="1:6" x14ac:dyDescent="0.35">
      <c r="A1738">
        <v>763</v>
      </c>
      <c r="B1738">
        <v>7573</v>
      </c>
      <c r="C1738">
        <v>1</v>
      </c>
      <c r="D1738">
        <v>1</v>
      </c>
      <c r="E1738">
        <v>2</v>
      </c>
      <c r="F1738">
        <v>2</v>
      </c>
    </row>
    <row r="1739" spans="1:6" x14ac:dyDescent="0.35">
      <c r="A1739">
        <v>773</v>
      </c>
      <c r="B1739">
        <v>2371</v>
      </c>
      <c r="C1739">
        <v>1</v>
      </c>
      <c r="D1739">
        <v>4</v>
      </c>
      <c r="E1739">
        <v>2</v>
      </c>
      <c r="F1739">
        <v>4</v>
      </c>
    </row>
    <row r="1740" spans="1:6" x14ac:dyDescent="0.35">
      <c r="A1740">
        <v>881</v>
      </c>
      <c r="B1740">
        <v>9653</v>
      </c>
      <c r="C1740">
        <v>1</v>
      </c>
      <c r="D1740">
        <v>1</v>
      </c>
      <c r="E1740">
        <v>2</v>
      </c>
      <c r="F1740">
        <v>3</v>
      </c>
    </row>
    <row r="1741" spans="1:6" x14ac:dyDescent="0.35">
      <c r="A1741">
        <v>1021</v>
      </c>
      <c r="B1741">
        <v>2445</v>
      </c>
      <c r="C1741">
        <v>1</v>
      </c>
      <c r="D1741">
        <v>0</v>
      </c>
      <c r="E1741">
        <v>2</v>
      </c>
      <c r="F1741">
        <v>3</v>
      </c>
    </row>
    <row r="1742" spans="1:6" x14ac:dyDescent="0.35">
      <c r="A1742">
        <v>1041</v>
      </c>
      <c r="B1742">
        <v>6730</v>
      </c>
      <c r="C1742">
        <v>1</v>
      </c>
      <c r="D1742">
        <v>0</v>
      </c>
      <c r="E1742">
        <v>2</v>
      </c>
      <c r="F1742">
        <v>3</v>
      </c>
    </row>
    <row r="1743" spans="1:6" x14ac:dyDescent="0.35">
      <c r="A1743">
        <v>1045</v>
      </c>
      <c r="B1743">
        <v>5985</v>
      </c>
      <c r="C1743">
        <v>1</v>
      </c>
      <c r="D1743">
        <v>1</v>
      </c>
      <c r="E1743">
        <v>2</v>
      </c>
      <c r="F1743">
        <v>4</v>
      </c>
    </row>
    <row r="1744" spans="1:6" x14ac:dyDescent="0.35">
      <c r="A1744">
        <v>1223</v>
      </c>
      <c r="B1744">
        <v>938</v>
      </c>
      <c r="C1744">
        <v>1</v>
      </c>
      <c r="D1744">
        <v>1</v>
      </c>
      <c r="E1744">
        <v>2</v>
      </c>
      <c r="F1744">
        <v>2</v>
      </c>
    </row>
    <row r="1745" spans="1:6" x14ac:dyDescent="0.35">
      <c r="A1745">
        <v>1224</v>
      </c>
      <c r="B1745">
        <v>2740</v>
      </c>
      <c r="C1745">
        <v>1</v>
      </c>
      <c r="D1745">
        <v>2</v>
      </c>
      <c r="E1745">
        <v>2</v>
      </c>
      <c r="F1745">
        <v>4</v>
      </c>
    </row>
    <row r="1746" spans="1:6" x14ac:dyDescent="0.35">
      <c r="A1746">
        <v>1236</v>
      </c>
      <c r="B1746">
        <v>4174</v>
      </c>
      <c r="C1746">
        <v>1</v>
      </c>
      <c r="D1746">
        <v>0</v>
      </c>
      <c r="E1746">
        <v>2</v>
      </c>
      <c r="F1746">
        <v>4</v>
      </c>
    </row>
    <row r="1747" spans="1:6" x14ac:dyDescent="0.35">
      <c r="A1747">
        <v>1241</v>
      </c>
      <c r="B1747">
        <v>1921</v>
      </c>
      <c r="C1747">
        <v>1</v>
      </c>
      <c r="D1747">
        <v>0</v>
      </c>
      <c r="E1747">
        <v>2</v>
      </c>
      <c r="F1747">
        <v>3</v>
      </c>
    </row>
    <row r="1748" spans="1:6" x14ac:dyDescent="0.35">
      <c r="A1748">
        <v>1291</v>
      </c>
      <c r="B1748">
        <v>5068</v>
      </c>
      <c r="C1748">
        <v>1</v>
      </c>
      <c r="D1748">
        <v>1</v>
      </c>
      <c r="E1748">
        <v>2</v>
      </c>
      <c r="F1748">
        <v>2</v>
      </c>
    </row>
    <row r="1749" spans="1:6" x14ac:dyDescent="0.35">
      <c r="A1749">
        <v>1295</v>
      </c>
      <c r="B1749">
        <v>3551</v>
      </c>
      <c r="C1749">
        <v>1</v>
      </c>
      <c r="D1749">
        <v>11</v>
      </c>
      <c r="E1749">
        <v>2</v>
      </c>
      <c r="F1749">
        <v>5</v>
      </c>
    </row>
    <row r="1750" spans="1:6" x14ac:dyDescent="0.35">
      <c r="A1750">
        <v>1359</v>
      </c>
      <c r="B1750">
        <v>7275</v>
      </c>
      <c r="C1750">
        <v>1</v>
      </c>
      <c r="D1750">
        <v>4</v>
      </c>
      <c r="E1750">
        <v>2</v>
      </c>
      <c r="F1750">
        <v>4</v>
      </c>
    </row>
    <row r="1751" spans="1:6" x14ac:dyDescent="0.35">
      <c r="A1751">
        <v>1571</v>
      </c>
      <c r="B1751">
        <v>9916</v>
      </c>
      <c r="C1751">
        <v>1</v>
      </c>
      <c r="D1751">
        <v>0</v>
      </c>
      <c r="E1751">
        <v>2</v>
      </c>
      <c r="F1751">
        <v>3</v>
      </c>
    </row>
    <row r="1752" spans="1:6" x14ac:dyDescent="0.35">
      <c r="A1752">
        <v>1604</v>
      </c>
      <c r="B1752">
        <v>11092</v>
      </c>
      <c r="C1752">
        <v>1</v>
      </c>
      <c r="D1752">
        <v>2</v>
      </c>
      <c r="E1752">
        <v>2</v>
      </c>
      <c r="F1752">
        <v>3</v>
      </c>
    </row>
    <row r="1753" spans="1:6" x14ac:dyDescent="0.35">
      <c r="A1753">
        <v>1638</v>
      </c>
      <c r="B1753">
        <v>10785</v>
      </c>
      <c r="C1753">
        <v>1</v>
      </c>
      <c r="D1753">
        <v>0</v>
      </c>
      <c r="E1753">
        <v>2</v>
      </c>
      <c r="F1753">
        <v>3</v>
      </c>
    </row>
    <row r="1754" spans="1:6" x14ac:dyDescent="0.35">
      <c r="A1754">
        <v>1650</v>
      </c>
      <c r="B1754">
        <v>8079</v>
      </c>
      <c r="C1754">
        <v>1</v>
      </c>
      <c r="D1754">
        <v>2</v>
      </c>
      <c r="E1754">
        <v>2</v>
      </c>
      <c r="F1754">
        <v>3</v>
      </c>
    </row>
    <row r="1755" spans="1:6" x14ac:dyDescent="0.35">
      <c r="A1755">
        <v>1764</v>
      </c>
      <c r="B1755">
        <v>4328</v>
      </c>
      <c r="C1755">
        <v>1</v>
      </c>
      <c r="D1755">
        <v>14</v>
      </c>
      <c r="E1755">
        <v>2</v>
      </c>
      <c r="F1755">
        <v>3</v>
      </c>
    </row>
    <row r="1756" spans="1:6" x14ac:dyDescent="0.35">
      <c r="A1756">
        <v>1781</v>
      </c>
      <c r="B1756">
        <v>5283</v>
      </c>
      <c r="C1756">
        <v>1</v>
      </c>
      <c r="D1756">
        <v>4</v>
      </c>
      <c r="E1756">
        <v>2</v>
      </c>
      <c r="F1756">
        <v>4</v>
      </c>
    </row>
    <row r="1757" spans="1:6" x14ac:dyDescent="0.35">
      <c r="A1757">
        <v>1822</v>
      </c>
      <c r="B1757">
        <v>8334</v>
      </c>
      <c r="C1757">
        <v>1</v>
      </c>
      <c r="D1757">
        <v>4</v>
      </c>
      <c r="E1757">
        <v>2</v>
      </c>
      <c r="F1757">
        <v>4</v>
      </c>
    </row>
    <row r="1758" spans="1:6" x14ac:dyDescent="0.35">
      <c r="A1758">
        <v>1856</v>
      </c>
      <c r="B1758">
        <v>6710</v>
      </c>
      <c r="C1758">
        <v>1</v>
      </c>
      <c r="D1758">
        <v>5</v>
      </c>
      <c r="E1758">
        <v>2</v>
      </c>
      <c r="F1758">
        <v>4</v>
      </c>
    </row>
    <row r="1759" spans="1:6" x14ac:dyDescent="0.35">
      <c r="A1759">
        <v>1872</v>
      </c>
      <c r="B1759">
        <v>3722</v>
      </c>
      <c r="C1759">
        <v>1</v>
      </c>
      <c r="D1759">
        <v>0</v>
      </c>
      <c r="E1759">
        <v>2</v>
      </c>
      <c r="F1759">
        <v>3</v>
      </c>
    </row>
    <row r="1760" spans="1:6" x14ac:dyDescent="0.35">
      <c r="A1760">
        <v>1900</v>
      </c>
      <c r="B1760">
        <v>10789</v>
      </c>
      <c r="C1760">
        <v>1</v>
      </c>
      <c r="D1760">
        <v>0</v>
      </c>
      <c r="E1760">
        <v>2</v>
      </c>
      <c r="F1760">
        <v>3</v>
      </c>
    </row>
    <row r="1761" spans="1:6" x14ac:dyDescent="0.35">
      <c r="A1761">
        <v>1978</v>
      </c>
      <c r="B1761">
        <v>9289</v>
      </c>
      <c r="C1761">
        <v>1</v>
      </c>
      <c r="D1761">
        <v>3</v>
      </c>
      <c r="E1761">
        <v>2</v>
      </c>
      <c r="F1761">
        <v>2</v>
      </c>
    </row>
    <row r="1762" spans="1:6" x14ac:dyDescent="0.35">
      <c r="A1762">
        <v>1983</v>
      </c>
      <c r="B1762">
        <v>4470</v>
      </c>
      <c r="C1762">
        <v>1</v>
      </c>
      <c r="D1762">
        <v>5</v>
      </c>
      <c r="E1762">
        <v>2</v>
      </c>
      <c r="F1762">
        <v>4</v>
      </c>
    </row>
    <row r="1763" spans="1:6" x14ac:dyDescent="0.35">
      <c r="A1763">
        <v>2017</v>
      </c>
      <c r="B1763">
        <v>10598</v>
      </c>
      <c r="C1763">
        <v>1</v>
      </c>
      <c r="D1763">
        <v>1</v>
      </c>
      <c r="E1763">
        <v>2</v>
      </c>
      <c r="F1763">
        <v>3</v>
      </c>
    </row>
    <row r="1764" spans="1:6" x14ac:dyDescent="0.35">
      <c r="A1764">
        <v>2063</v>
      </c>
      <c r="B1764">
        <v>322</v>
      </c>
      <c r="C1764">
        <v>1</v>
      </c>
      <c r="D1764">
        <v>0</v>
      </c>
      <c r="E1764">
        <v>2</v>
      </c>
      <c r="F1764">
        <v>3</v>
      </c>
    </row>
    <row r="1765" spans="1:6" x14ac:dyDescent="0.35">
      <c r="A1765">
        <v>2078</v>
      </c>
      <c r="B1765">
        <v>5079</v>
      </c>
      <c r="C1765">
        <v>1</v>
      </c>
      <c r="D1765">
        <v>0</v>
      </c>
      <c r="E1765">
        <v>2</v>
      </c>
      <c r="F1765">
        <v>3</v>
      </c>
    </row>
    <row r="1766" spans="1:6" x14ac:dyDescent="0.35">
      <c r="A1766">
        <v>2106</v>
      </c>
      <c r="B1766">
        <v>6183</v>
      </c>
      <c r="C1766">
        <v>1</v>
      </c>
      <c r="D1766">
        <v>5</v>
      </c>
      <c r="E1766">
        <v>2</v>
      </c>
      <c r="F1766">
        <v>4</v>
      </c>
    </row>
    <row r="1767" spans="1:6" x14ac:dyDescent="0.35">
      <c r="A1767">
        <v>2150</v>
      </c>
      <c r="B1767">
        <v>6950</v>
      </c>
      <c r="C1767">
        <v>1</v>
      </c>
      <c r="D1767">
        <v>1</v>
      </c>
      <c r="E1767">
        <v>2</v>
      </c>
      <c r="F1767">
        <v>3</v>
      </c>
    </row>
    <row r="1768" spans="1:6" x14ac:dyDescent="0.35">
      <c r="A1768">
        <v>2165</v>
      </c>
      <c r="B1768">
        <v>9706</v>
      </c>
      <c r="C1768">
        <v>1</v>
      </c>
      <c r="D1768">
        <v>0</v>
      </c>
      <c r="E1768">
        <v>2</v>
      </c>
      <c r="F1768">
        <v>3</v>
      </c>
    </row>
    <row r="1769" spans="1:6" x14ac:dyDescent="0.35">
      <c r="A1769">
        <v>22</v>
      </c>
      <c r="B1769">
        <v>1993</v>
      </c>
      <c r="C1769">
        <v>0</v>
      </c>
      <c r="D1769">
        <v>0</v>
      </c>
      <c r="E1769">
        <v>2</v>
      </c>
      <c r="F1769">
        <v>9</v>
      </c>
    </row>
    <row r="1770" spans="1:6" x14ac:dyDescent="0.35">
      <c r="A1770">
        <v>32</v>
      </c>
      <c r="B1770">
        <v>5710</v>
      </c>
      <c r="C1770">
        <v>0</v>
      </c>
      <c r="D1770">
        <v>0</v>
      </c>
      <c r="E1770">
        <v>2</v>
      </c>
      <c r="F1770">
        <v>4</v>
      </c>
    </row>
    <row r="1771" spans="1:6" x14ac:dyDescent="0.35">
      <c r="A1771">
        <v>35</v>
      </c>
      <c r="B1771">
        <v>10738</v>
      </c>
      <c r="C1771">
        <v>0</v>
      </c>
      <c r="D1771">
        <v>1</v>
      </c>
      <c r="E1771">
        <v>2</v>
      </c>
      <c r="F1771">
        <v>3</v>
      </c>
    </row>
    <row r="1772" spans="1:6" x14ac:dyDescent="0.35">
      <c r="A1772">
        <v>127</v>
      </c>
      <c r="B1772">
        <v>3381</v>
      </c>
      <c r="C1772">
        <v>0</v>
      </c>
      <c r="D1772">
        <v>0</v>
      </c>
      <c r="E1772">
        <v>2</v>
      </c>
      <c r="F1772">
        <v>4</v>
      </c>
    </row>
    <row r="1773" spans="1:6" x14ac:dyDescent="0.35">
      <c r="A1773">
        <v>173</v>
      </c>
      <c r="B1773">
        <v>1880</v>
      </c>
      <c r="C1773">
        <v>0</v>
      </c>
      <c r="D1773">
        <v>0</v>
      </c>
      <c r="E1773">
        <v>2</v>
      </c>
      <c r="F1773">
        <v>3</v>
      </c>
    </row>
    <row r="1774" spans="1:6" x14ac:dyDescent="0.35">
      <c r="A1774">
        <v>174</v>
      </c>
      <c r="B1774">
        <v>641</v>
      </c>
      <c r="C1774">
        <v>0</v>
      </c>
      <c r="D1774">
        <v>0</v>
      </c>
      <c r="E1774">
        <v>2</v>
      </c>
      <c r="F1774">
        <v>2</v>
      </c>
    </row>
    <row r="1775" spans="1:6" x14ac:dyDescent="0.35">
      <c r="A1775">
        <v>177</v>
      </c>
      <c r="B1775">
        <v>10854</v>
      </c>
      <c r="C1775">
        <v>0</v>
      </c>
      <c r="D1775">
        <v>0</v>
      </c>
      <c r="E1775">
        <v>2</v>
      </c>
      <c r="F1775">
        <v>3</v>
      </c>
    </row>
    <row r="1776" spans="1:6" x14ac:dyDescent="0.35">
      <c r="A1776">
        <v>208</v>
      </c>
      <c r="B1776">
        <v>868</v>
      </c>
      <c r="C1776">
        <v>0</v>
      </c>
      <c r="D1776">
        <v>0</v>
      </c>
      <c r="E1776">
        <v>2</v>
      </c>
      <c r="F1776">
        <v>3</v>
      </c>
    </row>
    <row r="1777" spans="1:6" x14ac:dyDescent="0.35">
      <c r="A1777">
        <v>284</v>
      </c>
      <c r="B1777">
        <v>8962</v>
      </c>
      <c r="C1777">
        <v>0</v>
      </c>
      <c r="D1777">
        <v>0</v>
      </c>
      <c r="E1777">
        <v>2</v>
      </c>
      <c r="F1777">
        <v>3</v>
      </c>
    </row>
    <row r="1778" spans="1:6" x14ac:dyDescent="0.35">
      <c r="A1778">
        <v>302</v>
      </c>
      <c r="B1778">
        <v>10812</v>
      </c>
      <c r="C1778">
        <v>0</v>
      </c>
      <c r="D1778">
        <v>3</v>
      </c>
      <c r="E1778">
        <v>2</v>
      </c>
      <c r="F1778">
        <v>3</v>
      </c>
    </row>
    <row r="1779" spans="1:6" x14ac:dyDescent="0.35">
      <c r="A1779">
        <v>311</v>
      </c>
      <c r="B1779">
        <v>2826</v>
      </c>
      <c r="C1779">
        <v>0</v>
      </c>
      <c r="D1779">
        <v>0</v>
      </c>
      <c r="E1779">
        <v>2</v>
      </c>
      <c r="F1779">
        <v>3</v>
      </c>
    </row>
    <row r="1780" spans="1:6" x14ac:dyDescent="0.35">
      <c r="A1780">
        <v>315</v>
      </c>
      <c r="B1780">
        <v>231</v>
      </c>
      <c r="C1780">
        <v>0</v>
      </c>
      <c r="D1780">
        <v>0</v>
      </c>
      <c r="E1780">
        <v>2</v>
      </c>
      <c r="F1780">
        <v>3</v>
      </c>
    </row>
    <row r="1781" spans="1:6" x14ac:dyDescent="0.35">
      <c r="A1781">
        <v>348</v>
      </c>
      <c r="B1781">
        <v>8842</v>
      </c>
      <c r="C1781">
        <v>0</v>
      </c>
      <c r="D1781">
        <v>3</v>
      </c>
      <c r="E1781">
        <v>2</v>
      </c>
      <c r="F1781">
        <v>3</v>
      </c>
    </row>
    <row r="1782" spans="1:6" x14ac:dyDescent="0.35">
      <c r="A1782">
        <v>356</v>
      </c>
      <c r="B1782">
        <v>2061</v>
      </c>
      <c r="C1782">
        <v>0</v>
      </c>
      <c r="D1782">
        <v>0</v>
      </c>
      <c r="E1782">
        <v>2</v>
      </c>
      <c r="F1782">
        <v>4</v>
      </c>
    </row>
    <row r="1783" spans="1:6" x14ac:dyDescent="0.35">
      <c r="A1783">
        <v>369</v>
      </c>
      <c r="B1783">
        <v>2928</v>
      </c>
      <c r="C1783">
        <v>0</v>
      </c>
      <c r="D1783">
        <v>9</v>
      </c>
      <c r="E1783">
        <v>2</v>
      </c>
      <c r="F1783">
        <v>8</v>
      </c>
    </row>
    <row r="1784" spans="1:6" x14ac:dyDescent="0.35">
      <c r="A1784">
        <v>388</v>
      </c>
      <c r="B1784">
        <v>2066</v>
      </c>
      <c r="C1784">
        <v>0</v>
      </c>
      <c r="D1784">
        <v>8</v>
      </c>
      <c r="E1784">
        <v>2</v>
      </c>
      <c r="F1784">
        <v>3</v>
      </c>
    </row>
    <row r="1785" spans="1:6" x14ac:dyDescent="0.35">
      <c r="A1785">
        <v>427</v>
      </c>
      <c r="B1785">
        <v>8746</v>
      </c>
      <c r="C1785">
        <v>0</v>
      </c>
      <c r="D1785">
        <v>34</v>
      </c>
      <c r="E1785">
        <v>2</v>
      </c>
      <c r="F1785">
        <v>10</v>
      </c>
    </row>
    <row r="1786" spans="1:6" x14ac:dyDescent="0.35">
      <c r="A1786">
        <v>438</v>
      </c>
      <c r="B1786">
        <v>5455</v>
      </c>
      <c r="C1786">
        <v>0</v>
      </c>
      <c r="D1786">
        <v>1</v>
      </c>
      <c r="E1786">
        <v>2</v>
      </c>
      <c r="F1786">
        <v>4</v>
      </c>
    </row>
    <row r="1787" spans="1:6" x14ac:dyDescent="0.35">
      <c r="A1787">
        <v>460</v>
      </c>
      <c r="B1787">
        <v>1992</v>
      </c>
      <c r="C1787">
        <v>0</v>
      </c>
      <c r="D1787">
        <v>16</v>
      </c>
      <c r="E1787">
        <v>2</v>
      </c>
      <c r="F1787">
        <v>8</v>
      </c>
    </row>
    <row r="1788" spans="1:6" x14ac:dyDescent="0.35">
      <c r="A1788">
        <v>493</v>
      </c>
      <c r="B1788">
        <v>9426</v>
      </c>
      <c r="C1788">
        <v>0</v>
      </c>
      <c r="D1788">
        <v>0</v>
      </c>
      <c r="E1788">
        <v>2</v>
      </c>
      <c r="F1788">
        <v>3</v>
      </c>
    </row>
    <row r="1789" spans="1:6" x14ac:dyDescent="0.35">
      <c r="A1789">
        <v>536</v>
      </c>
      <c r="B1789">
        <v>1991</v>
      </c>
      <c r="C1789">
        <v>0</v>
      </c>
      <c r="D1789">
        <v>0</v>
      </c>
      <c r="E1789">
        <v>2</v>
      </c>
      <c r="F1789">
        <v>3</v>
      </c>
    </row>
    <row r="1790" spans="1:6" x14ac:dyDescent="0.35">
      <c r="A1790">
        <v>578</v>
      </c>
      <c r="B1790">
        <v>10242</v>
      </c>
      <c r="C1790">
        <v>0</v>
      </c>
      <c r="D1790">
        <v>0</v>
      </c>
      <c r="E1790">
        <v>2</v>
      </c>
      <c r="F1790">
        <v>4</v>
      </c>
    </row>
    <row r="1791" spans="1:6" x14ac:dyDescent="0.35">
      <c r="A1791">
        <v>584</v>
      </c>
      <c r="B1791">
        <v>5756</v>
      </c>
      <c r="C1791">
        <v>0</v>
      </c>
      <c r="D1791">
        <v>0</v>
      </c>
      <c r="E1791">
        <v>2</v>
      </c>
      <c r="F1791">
        <v>3</v>
      </c>
    </row>
    <row r="1792" spans="1:6" x14ac:dyDescent="0.35">
      <c r="A1792">
        <v>590</v>
      </c>
      <c r="B1792">
        <v>3710</v>
      </c>
      <c r="C1792">
        <v>0</v>
      </c>
      <c r="D1792">
        <v>4</v>
      </c>
      <c r="E1792">
        <v>2</v>
      </c>
      <c r="F1792">
        <v>2</v>
      </c>
    </row>
    <row r="1793" spans="1:6" x14ac:dyDescent="0.35">
      <c r="A1793">
        <v>613</v>
      </c>
      <c r="B1793">
        <v>6222</v>
      </c>
      <c r="C1793">
        <v>0</v>
      </c>
      <c r="D1793">
        <v>0</v>
      </c>
      <c r="E1793">
        <v>2</v>
      </c>
      <c r="F1793">
        <v>3</v>
      </c>
    </row>
    <row r="1794" spans="1:6" x14ac:dyDescent="0.35">
      <c r="A1794">
        <v>674</v>
      </c>
      <c r="B1794">
        <v>2920</v>
      </c>
      <c r="C1794">
        <v>0</v>
      </c>
      <c r="D1794">
        <v>9</v>
      </c>
      <c r="E1794">
        <v>2</v>
      </c>
      <c r="F1794">
        <v>8</v>
      </c>
    </row>
    <row r="1795" spans="1:6" x14ac:dyDescent="0.35">
      <c r="A1795">
        <v>708</v>
      </c>
      <c r="B1795">
        <v>3336</v>
      </c>
      <c r="C1795">
        <v>0</v>
      </c>
      <c r="D1795">
        <v>0</v>
      </c>
      <c r="E1795">
        <v>2</v>
      </c>
      <c r="F1795">
        <v>5</v>
      </c>
    </row>
    <row r="1796" spans="1:6" x14ac:dyDescent="0.35">
      <c r="A1796">
        <v>725</v>
      </c>
      <c r="B1796">
        <v>7212</v>
      </c>
      <c r="C1796">
        <v>0</v>
      </c>
      <c r="D1796">
        <v>0</v>
      </c>
      <c r="E1796">
        <v>2</v>
      </c>
      <c r="F1796">
        <v>3</v>
      </c>
    </row>
    <row r="1797" spans="1:6" x14ac:dyDescent="0.35">
      <c r="A1797">
        <v>776</v>
      </c>
      <c r="B1797">
        <v>1072</v>
      </c>
      <c r="C1797">
        <v>0</v>
      </c>
      <c r="D1797">
        <v>0</v>
      </c>
      <c r="E1797">
        <v>2</v>
      </c>
      <c r="F1797">
        <v>3</v>
      </c>
    </row>
    <row r="1798" spans="1:6" x14ac:dyDescent="0.35">
      <c r="A1798">
        <v>883</v>
      </c>
      <c r="B1798">
        <v>8017</v>
      </c>
      <c r="C1798">
        <v>0</v>
      </c>
      <c r="D1798">
        <v>5</v>
      </c>
      <c r="E1798">
        <v>2</v>
      </c>
      <c r="F1798">
        <v>3</v>
      </c>
    </row>
    <row r="1799" spans="1:6" x14ac:dyDescent="0.35">
      <c r="A1799">
        <v>887</v>
      </c>
      <c r="B1799">
        <v>8086</v>
      </c>
      <c r="C1799">
        <v>0</v>
      </c>
      <c r="D1799">
        <v>0</v>
      </c>
      <c r="E1799">
        <v>2</v>
      </c>
      <c r="F1799">
        <v>3</v>
      </c>
    </row>
    <row r="1800" spans="1:6" x14ac:dyDescent="0.35">
      <c r="A1800">
        <v>908</v>
      </c>
      <c r="B1800">
        <v>6534</v>
      </c>
      <c r="C1800">
        <v>0</v>
      </c>
      <c r="D1800">
        <v>5</v>
      </c>
      <c r="E1800">
        <v>2</v>
      </c>
      <c r="F1800">
        <v>3</v>
      </c>
    </row>
    <row r="1801" spans="1:6" x14ac:dyDescent="0.35">
      <c r="A1801">
        <v>950</v>
      </c>
      <c r="B1801">
        <v>7574</v>
      </c>
      <c r="C1801">
        <v>0</v>
      </c>
      <c r="D1801">
        <v>4</v>
      </c>
      <c r="E1801">
        <v>2</v>
      </c>
      <c r="F1801">
        <v>3</v>
      </c>
    </row>
    <row r="1802" spans="1:6" x14ac:dyDescent="0.35">
      <c r="A1802">
        <v>951</v>
      </c>
      <c r="B1802">
        <v>6387</v>
      </c>
      <c r="C1802">
        <v>0</v>
      </c>
      <c r="D1802">
        <v>0</v>
      </c>
      <c r="E1802">
        <v>2</v>
      </c>
      <c r="F1802">
        <v>3</v>
      </c>
    </row>
    <row r="1803" spans="1:6" x14ac:dyDescent="0.35">
      <c r="A1803">
        <v>989</v>
      </c>
      <c r="B1803">
        <v>453</v>
      </c>
      <c r="C1803">
        <v>0</v>
      </c>
      <c r="D1803">
        <v>1</v>
      </c>
      <c r="E1803">
        <v>2</v>
      </c>
      <c r="F1803">
        <v>3</v>
      </c>
    </row>
    <row r="1804" spans="1:6" x14ac:dyDescent="0.35">
      <c r="A1804">
        <v>1014</v>
      </c>
      <c r="B1804">
        <v>5313</v>
      </c>
      <c r="C1804">
        <v>0</v>
      </c>
      <c r="D1804">
        <v>0</v>
      </c>
      <c r="E1804">
        <v>2</v>
      </c>
      <c r="F1804">
        <v>4</v>
      </c>
    </row>
    <row r="1805" spans="1:6" x14ac:dyDescent="0.35">
      <c r="A1805">
        <v>1037</v>
      </c>
      <c r="B1805">
        <v>67</v>
      </c>
      <c r="C1805">
        <v>0</v>
      </c>
      <c r="D1805">
        <v>0</v>
      </c>
      <c r="E1805">
        <v>2</v>
      </c>
      <c r="F1805">
        <v>4</v>
      </c>
    </row>
    <row r="1806" spans="1:6" x14ac:dyDescent="0.35">
      <c r="A1806">
        <v>1073</v>
      </c>
      <c r="B1806">
        <v>9197</v>
      </c>
      <c r="C1806">
        <v>0</v>
      </c>
      <c r="D1806">
        <v>0</v>
      </c>
      <c r="E1806">
        <v>2</v>
      </c>
      <c r="F1806">
        <v>3</v>
      </c>
    </row>
    <row r="1807" spans="1:6" x14ac:dyDescent="0.35">
      <c r="A1807">
        <v>1094</v>
      </c>
      <c r="B1807">
        <v>6466</v>
      </c>
      <c r="C1807">
        <v>0</v>
      </c>
      <c r="D1807">
        <v>1</v>
      </c>
      <c r="E1807">
        <v>2</v>
      </c>
      <c r="F1807">
        <v>4</v>
      </c>
    </row>
    <row r="1808" spans="1:6" x14ac:dyDescent="0.35">
      <c r="A1808">
        <v>1104</v>
      </c>
      <c r="B1808">
        <v>4444</v>
      </c>
      <c r="C1808">
        <v>0</v>
      </c>
      <c r="D1808">
        <v>6</v>
      </c>
      <c r="E1808">
        <v>2</v>
      </c>
      <c r="F1808">
        <v>3</v>
      </c>
    </row>
    <row r="1809" spans="1:6" x14ac:dyDescent="0.35">
      <c r="A1809">
        <v>1106</v>
      </c>
      <c r="B1809">
        <v>6271</v>
      </c>
      <c r="C1809">
        <v>0</v>
      </c>
      <c r="D1809">
        <v>0</v>
      </c>
      <c r="E1809">
        <v>2</v>
      </c>
      <c r="F1809">
        <v>3</v>
      </c>
    </row>
    <row r="1810" spans="1:6" x14ac:dyDescent="0.35">
      <c r="A1810">
        <v>1121</v>
      </c>
      <c r="B1810">
        <v>4713</v>
      </c>
      <c r="C1810">
        <v>0</v>
      </c>
      <c r="D1810">
        <v>1</v>
      </c>
      <c r="E1810">
        <v>2</v>
      </c>
      <c r="F1810">
        <v>4</v>
      </c>
    </row>
    <row r="1811" spans="1:6" x14ac:dyDescent="0.35">
      <c r="A1811">
        <v>1141</v>
      </c>
      <c r="B1811">
        <v>523</v>
      </c>
      <c r="C1811">
        <v>0</v>
      </c>
      <c r="D1811">
        <v>15</v>
      </c>
      <c r="E1811">
        <v>2</v>
      </c>
      <c r="F1811">
        <v>4</v>
      </c>
    </row>
    <row r="1812" spans="1:6" x14ac:dyDescent="0.35">
      <c r="A1812">
        <v>1143</v>
      </c>
      <c r="B1812">
        <v>8414</v>
      </c>
      <c r="C1812">
        <v>0</v>
      </c>
      <c r="D1812">
        <v>0</v>
      </c>
      <c r="E1812">
        <v>2</v>
      </c>
      <c r="F1812">
        <v>4</v>
      </c>
    </row>
    <row r="1813" spans="1:6" x14ac:dyDescent="0.35">
      <c r="A1813">
        <v>1145</v>
      </c>
      <c r="B1813">
        <v>4961</v>
      </c>
      <c r="C1813">
        <v>0</v>
      </c>
      <c r="D1813">
        <v>2</v>
      </c>
      <c r="E1813">
        <v>2</v>
      </c>
      <c r="F1813">
        <v>4</v>
      </c>
    </row>
    <row r="1814" spans="1:6" x14ac:dyDescent="0.35">
      <c r="A1814">
        <v>1155</v>
      </c>
      <c r="B1814">
        <v>213</v>
      </c>
      <c r="C1814">
        <v>0</v>
      </c>
      <c r="D1814">
        <v>0</v>
      </c>
      <c r="E1814">
        <v>2</v>
      </c>
      <c r="F1814">
        <v>3</v>
      </c>
    </row>
    <row r="1815" spans="1:6" x14ac:dyDescent="0.35">
      <c r="A1815">
        <v>1219</v>
      </c>
      <c r="B1815">
        <v>9739</v>
      </c>
      <c r="C1815">
        <v>0</v>
      </c>
      <c r="D1815">
        <v>1</v>
      </c>
      <c r="E1815">
        <v>2</v>
      </c>
      <c r="F1815">
        <v>2</v>
      </c>
    </row>
    <row r="1816" spans="1:6" x14ac:dyDescent="0.35">
      <c r="A1816">
        <v>1263</v>
      </c>
      <c r="B1816">
        <v>8147</v>
      </c>
      <c r="C1816">
        <v>0</v>
      </c>
      <c r="D1816">
        <v>0</v>
      </c>
      <c r="E1816">
        <v>2</v>
      </c>
      <c r="F1816">
        <v>3</v>
      </c>
    </row>
    <row r="1817" spans="1:6" x14ac:dyDescent="0.35">
      <c r="A1817">
        <v>1264</v>
      </c>
      <c r="B1817">
        <v>1857</v>
      </c>
      <c r="C1817">
        <v>0</v>
      </c>
      <c r="D1817">
        <v>2</v>
      </c>
      <c r="E1817">
        <v>2</v>
      </c>
      <c r="F1817">
        <v>2</v>
      </c>
    </row>
    <row r="1818" spans="1:6" x14ac:dyDescent="0.35">
      <c r="A1818">
        <v>1394</v>
      </c>
      <c r="B1818">
        <v>2587</v>
      </c>
      <c r="C1818">
        <v>0</v>
      </c>
      <c r="D1818">
        <v>0</v>
      </c>
      <c r="E1818">
        <v>2</v>
      </c>
      <c r="F1818">
        <v>3</v>
      </c>
    </row>
    <row r="1819" spans="1:6" x14ac:dyDescent="0.35">
      <c r="A1819">
        <v>1453</v>
      </c>
      <c r="B1819">
        <v>5975</v>
      </c>
      <c r="C1819">
        <v>0</v>
      </c>
      <c r="D1819">
        <v>0</v>
      </c>
      <c r="E1819">
        <v>2</v>
      </c>
      <c r="F1819">
        <v>3</v>
      </c>
    </row>
    <row r="1820" spans="1:6" x14ac:dyDescent="0.35">
      <c r="A1820">
        <v>1477</v>
      </c>
      <c r="B1820">
        <v>4220</v>
      </c>
      <c r="C1820">
        <v>0</v>
      </c>
      <c r="D1820">
        <v>1</v>
      </c>
      <c r="E1820">
        <v>2</v>
      </c>
      <c r="F1820">
        <v>3</v>
      </c>
    </row>
    <row r="1821" spans="1:6" x14ac:dyDescent="0.35">
      <c r="A1821">
        <v>1496</v>
      </c>
      <c r="B1821">
        <v>6885</v>
      </c>
      <c r="C1821">
        <v>0</v>
      </c>
      <c r="D1821">
        <v>1</v>
      </c>
      <c r="E1821">
        <v>2</v>
      </c>
      <c r="F1821">
        <v>3</v>
      </c>
    </row>
    <row r="1822" spans="1:6" x14ac:dyDescent="0.35">
      <c r="A1822">
        <v>1594</v>
      </c>
      <c r="B1822">
        <v>1131</v>
      </c>
      <c r="C1822">
        <v>0</v>
      </c>
      <c r="D1822">
        <v>0</v>
      </c>
      <c r="E1822">
        <v>2</v>
      </c>
      <c r="F1822">
        <v>4</v>
      </c>
    </row>
    <row r="1823" spans="1:6" x14ac:dyDescent="0.35">
      <c r="A1823">
        <v>1605</v>
      </c>
      <c r="B1823">
        <v>5062</v>
      </c>
      <c r="C1823">
        <v>0</v>
      </c>
      <c r="D1823">
        <v>0</v>
      </c>
      <c r="E1823">
        <v>2</v>
      </c>
      <c r="F1823">
        <v>2</v>
      </c>
    </row>
    <row r="1824" spans="1:6" x14ac:dyDescent="0.35">
      <c r="A1824">
        <v>1632</v>
      </c>
      <c r="B1824">
        <v>3783</v>
      </c>
      <c r="C1824">
        <v>0</v>
      </c>
      <c r="D1824">
        <v>1</v>
      </c>
      <c r="E1824">
        <v>2</v>
      </c>
      <c r="F1824">
        <v>4</v>
      </c>
    </row>
    <row r="1825" spans="1:6" x14ac:dyDescent="0.35">
      <c r="A1825">
        <v>1641</v>
      </c>
      <c r="B1825">
        <v>1665</v>
      </c>
      <c r="C1825">
        <v>0</v>
      </c>
      <c r="D1825">
        <v>15</v>
      </c>
      <c r="E1825">
        <v>2</v>
      </c>
      <c r="F1825">
        <v>6</v>
      </c>
    </row>
    <row r="1826" spans="1:6" x14ac:dyDescent="0.35">
      <c r="A1826">
        <v>1682</v>
      </c>
      <c r="B1826">
        <v>2156</v>
      </c>
      <c r="C1826">
        <v>0</v>
      </c>
      <c r="D1826">
        <v>0</v>
      </c>
      <c r="E1826">
        <v>2</v>
      </c>
      <c r="F1826">
        <v>4</v>
      </c>
    </row>
    <row r="1827" spans="1:6" x14ac:dyDescent="0.35">
      <c r="A1827">
        <v>1730</v>
      </c>
      <c r="B1827">
        <v>8605</v>
      </c>
      <c r="C1827">
        <v>0</v>
      </c>
      <c r="D1827">
        <v>0</v>
      </c>
      <c r="E1827">
        <v>2</v>
      </c>
      <c r="F1827">
        <v>3</v>
      </c>
    </row>
    <row r="1828" spans="1:6" x14ac:dyDescent="0.35">
      <c r="A1828">
        <v>1754</v>
      </c>
      <c r="B1828">
        <v>2154</v>
      </c>
      <c r="C1828">
        <v>0</v>
      </c>
      <c r="D1828">
        <v>3</v>
      </c>
      <c r="E1828">
        <v>2</v>
      </c>
      <c r="F1828">
        <v>3</v>
      </c>
    </row>
    <row r="1829" spans="1:6" x14ac:dyDescent="0.35">
      <c r="A1829">
        <v>1787</v>
      </c>
      <c r="B1829">
        <v>8008</v>
      </c>
      <c r="C1829">
        <v>0</v>
      </c>
      <c r="D1829">
        <v>1</v>
      </c>
      <c r="E1829">
        <v>2</v>
      </c>
      <c r="F1829">
        <v>4</v>
      </c>
    </row>
    <row r="1830" spans="1:6" x14ac:dyDescent="0.35">
      <c r="A1830">
        <v>1821</v>
      </c>
      <c r="B1830">
        <v>5684</v>
      </c>
      <c r="C1830">
        <v>0</v>
      </c>
      <c r="D1830">
        <v>0</v>
      </c>
      <c r="E1830">
        <v>2</v>
      </c>
      <c r="F1830">
        <v>3</v>
      </c>
    </row>
    <row r="1831" spans="1:6" x14ac:dyDescent="0.35">
      <c r="A1831">
        <v>1866</v>
      </c>
      <c r="B1831">
        <v>4227</v>
      </c>
      <c r="C1831">
        <v>0</v>
      </c>
      <c r="D1831">
        <v>2</v>
      </c>
      <c r="E1831">
        <v>2</v>
      </c>
      <c r="F1831">
        <v>3</v>
      </c>
    </row>
    <row r="1832" spans="1:6" x14ac:dyDescent="0.35">
      <c r="A1832">
        <v>1962</v>
      </c>
      <c r="B1832">
        <v>6355</v>
      </c>
      <c r="C1832">
        <v>0</v>
      </c>
      <c r="D1832">
        <v>3</v>
      </c>
      <c r="E1832">
        <v>2</v>
      </c>
      <c r="F1832">
        <v>4</v>
      </c>
    </row>
    <row r="1833" spans="1:6" x14ac:dyDescent="0.35">
      <c r="A1833">
        <v>2004</v>
      </c>
      <c r="B1833">
        <v>9923</v>
      </c>
      <c r="C1833">
        <v>0</v>
      </c>
      <c r="D1833">
        <v>0</v>
      </c>
      <c r="E1833">
        <v>2</v>
      </c>
      <c r="F1833">
        <v>4</v>
      </c>
    </row>
    <row r="1834" spans="1:6" x14ac:dyDescent="0.35">
      <c r="A1834">
        <v>2005</v>
      </c>
      <c r="B1834">
        <v>7181</v>
      </c>
      <c r="C1834">
        <v>0</v>
      </c>
      <c r="D1834">
        <v>0</v>
      </c>
      <c r="E1834">
        <v>2</v>
      </c>
      <c r="F1834">
        <v>3</v>
      </c>
    </row>
    <row r="1835" spans="1:6" x14ac:dyDescent="0.35">
      <c r="A1835">
        <v>2038</v>
      </c>
      <c r="B1835">
        <v>6568</v>
      </c>
      <c r="C1835">
        <v>0</v>
      </c>
      <c r="D1835">
        <v>5</v>
      </c>
      <c r="E1835">
        <v>2</v>
      </c>
      <c r="F1835">
        <v>3</v>
      </c>
    </row>
    <row r="1836" spans="1:6" x14ac:dyDescent="0.35">
      <c r="A1836">
        <v>2043</v>
      </c>
      <c r="B1836">
        <v>5454</v>
      </c>
      <c r="C1836">
        <v>0</v>
      </c>
      <c r="D1836">
        <v>0</v>
      </c>
      <c r="E1836">
        <v>2</v>
      </c>
      <c r="F1836">
        <v>3</v>
      </c>
    </row>
    <row r="1837" spans="1:6" x14ac:dyDescent="0.35">
      <c r="A1837">
        <v>2146</v>
      </c>
      <c r="B1837">
        <v>1818</v>
      </c>
      <c r="C1837">
        <v>0</v>
      </c>
      <c r="D1837">
        <v>1</v>
      </c>
      <c r="E1837">
        <v>2</v>
      </c>
      <c r="F1837">
        <v>2</v>
      </c>
    </row>
    <row r="1838" spans="1:6" x14ac:dyDescent="0.35">
      <c r="A1838">
        <v>2207</v>
      </c>
      <c r="B1838">
        <v>4333</v>
      </c>
      <c r="C1838">
        <v>0</v>
      </c>
      <c r="D1838">
        <v>0</v>
      </c>
      <c r="E1838">
        <v>2</v>
      </c>
      <c r="F1838">
        <v>3</v>
      </c>
    </row>
    <row r="1839" spans="1:6" x14ac:dyDescent="0.35">
      <c r="A1839">
        <v>1243</v>
      </c>
      <c r="B1839">
        <v>7718</v>
      </c>
      <c r="C1839">
        <v>51</v>
      </c>
      <c r="D1839">
        <v>0</v>
      </c>
      <c r="E1839">
        <v>1</v>
      </c>
      <c r="F1839">
        <v>5</v>
      </c>
    </row>
    <row r="1840" spans="1:6" x14ac:dyDescent="0.35">
      <c r="A1840">
        <v>1438</v>
      </c>
      <c r="B1840">
        <v>574</v>
      </c>
      <c r="C1840">
        <v>36</v>
      </c>
      <c r="D1840">
        <v>26</v>
      </c>
      <c r="E1840">
        <v>1</v>
      </c>
      <c r="F1840">
        <v>4</v>
      </c>
    </row>
    <row r="1841" spans="1:6" x14ac:dyDescent="0.35">
      <c r="A1841">
        <v>2182</v>
      </c>
      <c r="B1841">
        <v>3266</v>
      </c>
      <c r="C1841">
        <v>36</v>
      </c>
      <c r="D1841">
        <v>26</v>
      </c>
      <c r="E1841">
        <v>1</v>
      </c>
      <c r="F1841">
        <v>4</v>
      </c>
    </row>
    <row r="1842" spans="1:6" x14ac:dyDescent="0.35">
      <c r="A1842">
        <v>794</v>
      </c>
      <c r="B1842">
        <v>4442</v>
      </c>
      <c r="C1842">
        <v>19</v>
      </c>
      <c r="D1842">
        <v>14</v>
      </c>
      <c r="E1842">
        <v>1</v>
      </c>
      <c r="F1842">
        <v>5</v>
      </c>
    </row>
    <row r="1843" spans="1:6" x14ac:dyDescent="0.35">
      <c r="A1843">
        <v>692</v>
      </c>
      <c r="B1843">
        <v>450</v>
      </c>
      <c r="C1843">
        <v>15</v>
      </c>
      <c r="D1843">
        <v>11</v>
      </c>
      <c r="E1843">
        <v>1</v>
      </c>
      <c r="F1843">
        <v>4</v>
      </c>
    </row>
    <row r="1844" spans="1:6" x14ac:dyDescent="0.35">
      <c r="A1844">
        <v>14</v>
      </c>
      <c r="B1844">
        <v>2569</v>
      </c>
      <c r="C1844">
        <v>14</v>
      </c>
      <c r="D1844">
        <v>1</v>
      </c>
      <c r="E1844">
        <v>1</v>
      </c>
      <c r="F1844">
        <v>3</v>
      </c>
    </row>
    <row r="1845" spans="1:6" x14ac:dyDescent="0.35">
      <c r="A1845">
        <v>1166</v>
      </c>
      <c r="B1845">
        <v>6116</v>
      </c>
      <c r="C1845">
        <v>13</v>
      </c>
      <c r="D1845">
        <v>7</v>
      </c>
      <c r="E1845">
        <v>1</v>
      </c>
      <c r="F1845">
        <v>3</v>
      </c>
    </row>
    <row r="1846" spans="1:6" x14ac:dyDescent="0.35">
      <c r="A1846">
        <v>43</v>
      </c>
      <c r="B1846">
        <v>7281</v>
      </c>
      <c r="C1846">
        <v>11</v>
      </c>
      <c r="D1846">
        <v>2</v>
      </c>
      <c r="E1846">
        <v>1</v>
      </c>
      <c r="F1846">
        <v>4</v>
      </c>
    </row>
    <row r="1847" spans="1:6" x14ac:dyDescent="0.35">
      <c r="A1847">
        <v>158</v>
      </c>
      <c r="B1847">
        <v>9970</v>
      </c>
      <c r="C1847">
        <v>11</v>
      </c>
      <c r="D1847">
        <v>28</v>
      </c>
      <c r="E1847">
        <v>1</v>
      </c>
      <c r="F1847">
        <v>6</v>
      </c>
    </row>
    <row r="1848" spans="1:6" x14ac:dyDescent="0.35">
      <c r="A1848">
        <v>220</v>
      </c>
      <c r="B1848">
        <v>1755</v>
      </c>
      <c r="C1848">
        <v>11</v>
      </c>
      <c r="D1848">
        <v>1</v>
      </c>
      <c r="E1848">
        <v>1</v>
      </c>
      <c r="F1848">
        <v>4</v>
      </c>
    </row>
    <row r="1849" spans="1:6" x14ac:dyDescent="0.35">
      <c r="A1849">
        <v>1328</v>
      </c>
      <c r="B1849">
        <v>4246</v>
      </c>
      <c r="C1849">
        <v>11</v>
      </c>
      <c r="D1849">
        <v>3</v>
      </c>
      <c r="E1849">
        <v>1</v>
      </c>
      <c r="F1849">
        <v>1</v>
      </c>
    </row>
    <row r="1850" spans="1:6" x14ac:dyDescent="0.35">
      <c r="A1850">
        <v>1529</v>
      </c>
      <c r="B1850">
        <v>3536</v>
      </c>
      <c r="C1850">
        <v>11</v>
      </c>
      <c r="D1850">
        <v>4</v>
      </c>
      <c r="E1850">
        <v>1</v>
      </c>
      <c r="F1850">
        <v>3</v>
      </c>
    </row>
    <row r="1851" spans="1:6" x14ac:dyDescent="0.35">
      <c r="A1851">
        <v>2088</v>
      </c>
      <c r="B1851">
        <v>6507</v>
      </c>
      <c r="C1851">
        <v>11</v>
      </c>
      <c r="D1851">
        <v>0</v>
      </c>
      <c r="E1851">
        <v>1</v>
      </c>
      <c r="F1851">
        <v>4</v>
      </c>
    </row>
    <row r="1852" spans="1:6" x14ac:dyDescent="0.35">
      <c r="A1852">
        <v>810</v>
      </c>
      <c r="B1852">
        <v>2964</v>
      </c>
      <c r="C1852">
        <v>10</v>
      </c>
      <c r="D1852">
        <v>16</v>
      </c>
      <c r="E1852">
        <v>1</v>
      </c>
      <c r="F1852">
        <v>2</v>
      </c>
    </row>
    <row r="1853" spans="1:6" x14ac:dyDescent="0.35">
      <c r="A1853">
        <v>1033</v>
      </c>
      <c r="B1853">
        <v>5263</v>
      </c>
      <c r="C1853">
        <v>10</v>
      </c>
      <c r="D1853">
        <v>8</v>
      </c>
      <c r="E1853">
        <v>1</v>
      </c>
      <c r="F1853">
        <v>3</v>
      </c>
    </row>
    <row r="1854" spans="1:6" x14ac:dyDescent="0.35">
      <c r="A1854">
        <v>1874</v>
      </c>
      <c r="B1854">
        <v>4796</v>
      </c>
      <c r="C1854">
        <v>10</v>
      </c>
      <c r="D1854">
        <v>5</v>
      </c>
      <c r="E1854">
        <v>1</v>
      </c>
      <c r="F1854">
        <v>3</v>
      </c>
    </row>
    <row r="1855" spans="1:6" x14ac:dyDescent="0.35">
      <c r="A1855">
        <v>1955</v>
      </c>
      <c r="B1855">
        <v>6428</v>
      </c>
      <c r="C1855">
        <v>10</v>
      </c>
      <c r="D1855">
        <v>54</v>
      </c>
      <c r="E1855">
        <v>1</v>
      </c>
      <c r="F1855">
        <v>7</v>
      </c>
    </row>
    <row r="1856" spans="1:6" x14ac:dyDescent="0.35">
      <c r="A1856">
        <v>376</v>
      </c>
      <c r="B1856">
        <v>1726</v>
      </c>
      <c r="C1856">
        <v>9</v>
      </c>
      <c r="D1856">
        <v>2</v>
      </c>
      <c r="E1856">
        <v>1</v>
      </c>
      <c r="F1856">
        <v>2</v>
      </c>
    </row>
    <row r="1857" spans="1:6" x14ac:dyDescent="0.35">
      <c r="A1857">
        <v>379</v>
      </c>
      <c r="B1857">
        <v>1517</v>
      </c>
      <c r="C1857">
        <v>9</v>
      </c>
      <c r="D1857">
        <v>12</v>
      </c>
      <c r="E1857">
        <v>1</v>
      </c>
      <c r="F1857">
        <v>3</v>
      </c>
    </row>
    <row r="1858" spans="1:6" x14ac:dyDescent="0.35">
      <c r="A1858">
        <v>589</v>
      </c>
      <c r="B1858">
        <v>4179</v>
      </c>
      <c r="C1858">
        <v>9</v>
      </c>
      <c r="D1858">
        <v>5</v>
      </c>
      <c r="E1858">
        <v>1</v>
      </c>
      <c r="F1858">
        <v>3</v>
      </c>
    </row>
    <row r="1859" spans="1:6" x14ac:dyDescent="0.35">
      <c r="A1859">
        <v>931</v>
      </c>
      <c r="B1859">
        <v>538</v>
      </c>
      <c r="C1859">
        <v>9</v>
      </c>
      <c r="D1859">
        <v>9</v>
      </c>
      <c r="E1859">
        <v>1</v>
      </c>
      <c r="F1859">
        <v>4</v>
      </c>
    </row>
    <row r="1860" spans="1:6" x14ac:dyDescent="0.35">
      <c r="A1860">
        <v>1755</v>
      </c>
      <c r="B1860">
        <v>5394</v>
      </c>
      <c r="C1860">
        <v>9</v>
      </c>
      <c r="D1860">
        <v>8</v>
      </c>
      <c r="E1860">
        <v>1</v>
      </c>
      <c r="F1860">
        <v>4</v>
      </c>
    </row>
    <row r="1861" spans="1:6" x14ac:dyDescent="0.35">
      <c r="A1861">
        <v>2189</v>
      </c>
      <c r="B1861">
        <v>1646</v>
      </c>
      <c r="C1861">
        <v>9</v>
      </c>
      <c r="D1861">
        <v>2</v>
      </c>
      <c r="E1861">
        <v>1</v>
      </c>
      <c r="F1861">
        <v>3</v>
      </c>
    </row>
    <row r="1862" spans="1:6" x14ac:dyDescent="0.35">
      <c r="A1862">
        <v>85</v>
      </c>
      <c r="B1862">
        <v>5268</v>
      </c>
      <c r="C1862">
        <v>8</v>
      </c>
      <c r="D1862">
        <v>4</v>
      </c>
      <c r="E1862">
        <v>1</v>
      </c>
      <c r="F1862">
        <v>4</v>
      </c>
    </row>
    <row r="1863" spans="1:6" x14ac:dyDescent="0.35">
      <c r="A1863">
        <v>612</v>
      </c>
      <c r="B1863">
        <v>6682</v>
      </c>
      <c r="C1863">
        <v>8</v>
      </c>
      <c r="D1863">
        <v>7</v>
      </c>
      <c r="E1863">
        <v>1</v>
      </c>
      <c r="F1863">
        <v>3</v>
      </c>
    </row>
    <row r="1864" spans="1:6" x14ac:dyDescent="0.35">
      <c r="A1864">
        <v>619</v>
      </c>
      <c r="B1864">
        <v>10862</v>
      </c>
      <c r="C1864">
        <v>8</v>
      </c>
      <c r="D1864">
        <v>11</v>
      </c>
      <c r="E1864">
        <v>1</v>
      </c>
      <c r="F1864">
        <v>9</v>
      </c>
    </row>
    <row r="1865" spans="1:6" x14ac:dyDescent="0.35">
      <c r="A1865">
        <v>1675</v>
      </c>
      <c r="B1865">
        <v>4712</v>
      </c>
      <c r="C1865">
        <v>8</v>
      </c>
      <c r="D1865">
        <v>11</v>
      </c>
      <c r="E1865">
        <v>1</v>
      </c>
      <c r="F1865">
        <v>4</v>
      </c>
    </row>
    <row r="1866" spans="1:6" x14ac:dyDescent="0.35">
      <c r="A1866">
        <v>1849</v>
      </c>
      <c r="B1866">
        <v>5010</v>
      </c>
      <c r="C1866">
        <v>8</v>
      </c>
      <c r="D1866">
        <v>1</v>
      </c>
      <c r="E1866">
        <v>1</v>
      </c>
      <c r="F1866">
        <v>3</v>
      </c>
    </row>
    <row r="1867" spans="1:6" x14ac:dyDescent="0.35">
      <c r="A1867">
        <v>1875</v>
      </c>
      <c r="B1867">
        <v>9612</v>
      </c>
      <c r="C1867">
        <v>8</v>
      </c>
      <c r="D1867">
        <v>8</v>
      </c>
      <c r="E1867">
        <v>1</v>
      </c>
      <c r="F1867">
        <v>3</v>
      </c>
    </row>
    <row r="1868" spans="1:6" x14ac:dyDescent="0.35">
      <c r="A1868">
        <v>385</v>
      </c>
      <c r="B1868">
        <v>948</v>
      </c>
      <c r="C1868">
        <v>7</v>
      </c>
      <c r="D1868">
        <v>4</v>
      </c>
      <c r="E1868">
        <v>1</v>
      </c>
      <c r="F1868">
        <v>2</v>
      </c>
    </row>
    <row r="1869" spans="1:6" x14ac:dyDescent="0.35">
      <c r="A1869">
        <v>517</v>
      </c>
      <c r="B1869">
        <v>10203</v>
      </c>
      <c r="C1869">
        <v>7</v>
      </c>
      <c r="D1869">
        <v>1</v>
      </c>
      <c r="E1869">
        <v>1</v>
      </c>
      <c r="F1869">
        <v>3</v>
      </c>
    </row>
    <row r="1870" spans="1:6" x14ac:dyDescent="0.35">
      <c r="A1870">
        <v>1346</v>
      </c>
      <c r="B1870">
        <v>10390</v>
      </c>
      <c r="C1870">
        <v>7</v>
      </c>
      <c r="D1870">
        <v>4</v>
      </c>
      <c r="E1870">
        <v>1</v>
      </c>
      <c r="F1870">
        <v>3</v>
      </c>
    </row>
    <row r="1871" spans="1:6" x14ac:dyDescent="0.35">
      <c r="A1871">
        <v>1727</v>
      </c>
      <c r="B1871">
        <v>1744</v>
      </c>
      <c r="C1871">
        <v>7</v>
      </c>
      <c r="D1871">
        <v>2</v>
      </c>
      <c r="E1871">
        <v>1</v>
      </c>
      <c r="F1871">
        <v>2</v>
      </c>
    </row>
    <row r="1872" spans="1:6" x14ac:dyDescent="0.35">
      <c r="A1872">
        <v>206</v>
      </c>
      <c r="B1872">
        <v>5176</v>
      </c>
      <c r="C1872">
        <v>6</v>
      </c>
      <c r="D1872">
        <v>6</v>
      </c>
      <c r="E1872">
        <v>1</v>
      </c>
      <c r="F1872">
        <v>3</v>
      </c>
    </row>
    <row r="1873" spans="1:6" x14ac:dyDescent="0.35">
      <c r="A1873">
        <v>290</v>
      </c>
      <c r="B1873">
        <v>9262</v>
      </c>
      <c r="C1873">
        <v>6</v>
      </c>
      <c r="D1873">
        <v>9</v>
      </c>
      <c r="E1873">
        <v>1</v>
      </c>
      <c r="F1873">
        <v>3</v>
      </c>
    </row>
    <row r="1874" spans="1:6" x14ac:dyDescent="0.35">
      <c r="A1874">
        <v>344</v>
      </c>
      <c r="B1874">
        <v>8234</v>
      </c>
      <c r="C1874">
        <v>6</v>
      </c>
      <c r="D1874">
        <v>1</v>
      </c>
      <c r="E1874">
        <v>1</v>
      </c>
      <c r="F1874">
        <v>2</v>
      </c>
    </row>
    <row r="1875" spans="1:6" x14ac:dyDescent="0.35">
      <c r="A1875">
        <v>444</v>
      </c>
      <c r="B1875">
        <v>2106</v>
      </c>
      <c r="C1875">
        <v>6</v>
      </c>
      <c r="D1875">
        <v>6</v>
      </c>
      <c r="E1875">
        <v>1</v>
      </c>
      <c r="F1875">
        <v>3</v>
      </c>
    </row>
    <row r="1876" spans="1:6" x14ac:dyDescent="0.35">
      <c r="A1876">
        <v>593</v>
      </c>
      <c r="B1876">
        <v>6424</v>
      </c>
      <c r="C1876">
        <v>6</v>
      </c>
      <c r="D1876">
        <v>2</v>
      </c>
      <c r="E1876">
        <v>1</v>
      </c>
      <c r="F1876">
        <v>3</v>
      </c>
    </row>
    <row r="1877" spans="1:6" x14ac:dyDescent="0.35">
      <c r="A1877">
        <v>618</v>
      </c>
      <c r="B1877">
        <v>8650</v>
      </c>
      <c r="C1877">
        <v>6</v>
      </c>
      <c r="D1877">
        <v>5</v>
      </c>
      <c r="E1877">
        <v>1</v>
      </c>
      <c r="F1877">
        <v>3</v>
      </c>
    </row>
    <row r="1878" spans="1:6" x14ac:dyDescent="0.35">
      <c r="A1878">
        <v>623</v>
      </c>
      <c r="B1878">
        <v>10708</v>
      </c>
      <c r="C1878">
        <v>6</v>
      </c>
      <c r="D1878">
        <v>4</v>
      </c>
      <c r="E1878">
        <v>1</v>
      </c>
      <c r="F1878">
        <v>3</v>
      </c>
    </row>
    <row r="1879" spans="1:6" x14ac:dyDescent="0.35">
      <c r="A1879">
        <v>923</v>
      </c>
      <c r="B1879">
        <v>4988</v>
      </c>
      <c r="C1879">
        <v>6</v>
      </c>
      <c r="D1879">
        <v>5</v>
      </c>
      <c r="E1879">
        <v>1</v>
      </c>
      <c r="F1879">
        <v>4</v>
      </c>
    </row>
    <row r="1880" spans="1:6" x14ac:dyDescent="0.35">
      <c r="A1880">
        <v>1154</v>
      </c>
      <c r="B1880">
        <v>2613</v>
      </c>
      <c r="C1880">
        <v>6</v>
      </c>
      <c r="D1880">
        <v>13</v>
      </c>
      <c r="E1880">
        <v>1</v>
      </c>
      <c r="F1880">
        <v>6</v>
      </c>
    </row>
    <row r="1881" spans="1:6" x14ac:dyDescent="0.35">
      <c r="A1881">
        <v>1171</v>
      </c>
      <c r="B1881">
        <v>3363</v>
      </c>
      <c r="C1881">
        <v>6</v>
      </c>
      <c r="D1881">
        <v>6</v>
      </c>
      <c r="E1881">
        <v>1</v>
      </c>
      <c r="F1881">
        <v>3</v>
      </c>
    </row>
    <row r="1882" spans="1:6" x14ac:dyDescent="0.35">
      <c r="A1882">
        <v>1221</v>
      </c>
      <c r="B1882">
        <v>1176</v>
      </c>
      <c r="C1882">
        <v>6</v>
      </c>
      <c r="D1882">
        <v>1</v>
      </c>
      <c r="E1882">
        <v>1</v>
      </c>
      <c r="F1882">
        <v>2</v>
      </c>
    </row>
    <row r="1883" spans="1:6" x14ac:dyDescent="0.35">
      <c r="A1883">
        <v>1240</v>
      </c>
      <c r="B1883">
        <v>11086</v>
      </c>
      <c r="C1883">
        <v>6</v>
      </c>
      <c r="D1883">
        <v>6</v>
      </c>
      <c r="E1883">
        <v>1</v>
      </c>
      <c r="F1883">
        <v>3</v>
      </c>
    </row>
    <row r="1884" spans="1:6" x14ac:dyDescent="0.35">
      <c r="A1884">
        <v>1338</v>
      </c>
      <c r="B1884">
        <v>2173</v>
      </c>
      <c r="C1884">
        <v>6</v>
      </c>
      <c r="D1884">
        <v>3</v>
      </c>
      <c r="E1884">
        <v>1</v>
      </c>
      <c r="F1884">
        <v>3</v>
      </c>
    </row>
    <row r="1885" spans="1:6" x14ac:dyDescent="0.35">
      <c r="A1885">
        <v>1693</v>
      </c>
      <c r="B1885">
        <v>10398</v>
      </c>
      <c r="C1885">
        <v>6</v>
      </c>
      <c r="D1885">
        <v>2</v>
      </c>
      <c r="E1885">
        <v>1</v>
      </c>
      <c r="F1885">
        <v>2</v>
      </c>
    </row>
    <row r="1886" spans="1:6" x14ac:dyDescent="0.35">
      <c r="A1886">
        <v>10</v>
      </c>
      <c r="B1886">
        <v>1994</v>
      </c>
      <c r="C1886">
        <v>5</v>
      </c>
      <c r="D1886">
        <v>2</v>
      </c>
      <c r="E1886">
        <v>1</v>
      </c>
      <c r="F1886">
        <v>2</v>
      </c>
    </row>
    <row r="1887" spans="1:6" x14ac:dyDescent="0.35">
      <c r="A1887">
        <v>118</v>
      </c>
      <c r="B1887">
        <v>5234</v>
      </c>
      <c r="C1887">
        <v>5</v>
      </c>
      <c r="D1887">
        <v>9</v>
      </c>
      <c r="E1887">
        <v>1</v>
      </c>
      <c r="F1887">
        <v>3</v>
      </c>
    </row>
    <row r="1888" spans="1:6" x14ac:dyDescent="0.35">
      <c r="A1888">
        <v>781</v>
      </c>
      <c r="B1888">
        <v>10839</v>
      </c>
      <c r="C1888">
        <v>5</v>
      </c>
      <c r="D1888">
        <v>0</v>
      </c>
      <c r="E1888">
        <v>1</v>
      </c>
      <c r="F1888">
        <v>3</v>
      </c>
    </row>
    <row r="1889" spans="1:6" x14ac:dyDescent="0.35">
      <c r="A1889">
        <v>1667</v>
      </c>
      <c r="B1889">
        <v>7327</v>
      </c>
      <c r="C1889">
        <v>5</v>
      </c>
      <c r="D1889">
        <v>1</v>
      </c>
      <c r="E1889">
        <v>1</v>
      </c>
      <c r="F1889">
        <v>4</v>
      </c>
    </row>
    <row r="1890" spans="1:6" x14ac:dyDescent="0.35">
      <c r="A1890">
        <v>1746</v>
      </c>
      <c r="B1890">
        <v>10250</v>
      </c>
      <c r="C1890">
        <v>5</v>
      </c>
      <c r="D1890">
        <v>4</v>
      </c>
      <c r="E1890">
        <v>1</v>
      </c>
      <c r="F1890">
        <v>2</v>
      </c>
    </row>
    <row r="1891" spans="1:6" x14ac:dyDescent="0.35">
      <c r="A1891">
        <v>1901</v>
      </c>
      <c r="B1891">
        <v>10779</v>
      </c>
      <c r="C1891">
        <v>5</v>
      </c>
      <c r="D1891">
        <v>4</v>
      </c>
      <c r="E1891">
        <v>1</v>
      </c>
      <c r="F1891">
        <v>3</v>
      </c>
    </row>
    <row r="1892" spans="1:6" x14ac:dyDescent="0.35">
      <c r="A1892">
        <v>190</v>
      </c>
      <c r="B1892">
        <v>9733</v>
      </c>
      <c r="C1892">
        <v>4</v>
      </c>
      <c r="D1892">
        <v>0</v>
      </c>
      <c r="E1892">
        <v>1</v>
      </c>
      <c r="F1892">
        <v>2</v>
      </c>
    </row>
    <row r="1893" spans="1:6" x14ac:dyDescent="0.35">
      <c r="A1893">
        <v>233</v>
      </c>
      <c r="B1893">
        <v>9617</v>
      </c>
      <c r="C1893">
        <v>4</v>
      </c>
      <c r="D1893">
        <v>0</v>
      </c>
      <c r="E1893">
        <v>1</v>
      </c>
      <c r="F1893">
        <v>3</v>
      </c>
    </row>
    <row r="1894" spans="1:6" x14ac:dyDescent="0.35">
      <c r="A1894">
        <v>296</v>
      </c>
      <c r="B1894">
        <v>2874</v>
      </c>
      <c r="C1894">
        <v>4</v>
      </c>
      <c r="D1894">
        <v>3</v>
      </c>
      <c r="E1894">
        <v>1</v>
      </c>
      <c r="F1894">
        <v>3</v>
      </c>
    </row>
    <row r="1895" spans="1:6" x14ac:dyDescent="0.35">
      <c r="A1895">
        <v>370</v>
      </c>
      <c r="B1895">
        <v>5680</v>
      </c>
      <c r="C1895">
        <v>4</v>
      </c>
      <c r="D1895">
        <v>6</v>
      </c>
      <c r="E1895">
        <v>1</v>
      </c>
      <c r="F1895">
        <v>3</v>
      </c>
    </row>
    <row r="1896" spans="1:6" x14ac:dyDescent="0.35">
      <c r="A1896">
        <v>377</v>
      </c>
      <c r="B1896">
        <v>4459</v>
      </c>
      <c r="C1896">
        <v>4</v>
      </c>
      <c r="D1896">
        <v>4</v>
      </c>
      <c r="E1896">
        <v>1</v>
      </c>
      <c r="F1896">
        <v>3</v>
      </c>
    </row>
    <row r="1897" spans="1:6" x14ac:dyDescent="0.35">
      <c r="A1897">
        <v>440</v>
      </c>
      <c r="B1897">
        <v>5012</v>
      </c>
      <c r="C1897">
        <v>4</v>
      </c>
      <c r="D1897">
        <v>0</v>
      </c>
      <c r="E1897">
        <v>1</v>
      </c>
      <c r="F1897">
        <v>3</v>
      </c>
    </row>
    <row r="1898" spans="1:6" x14ac:dyDescent="0.35">
      <c r="A1898">
        <v>443</v>
      </c>
      <c r="B1898">
        <v>10642</v>
      </c>
      <c r="C1898">
        <v>4</v>
      </c>
      <c r="D1898">
        <v>4</v>
      </c>
      <c r="E1898">
        <v>1</v>
      </c>
      <c r="F1898">
        <v>3</v>
      </c>
    </row>
    <row r="1899" spans="1:6" x14ac:dyDescent="0.35">
      <c r="A1899">
        <v>525</v>
      </c>
      <c r="B1899">
        <v>2258</v>
      </c>
      <c r="C1899">
        <v>4</v>
      </c>
      <c r="D1899">
        <v>6</v>
      </c>
      <c r="E1899">
        <v>1</v>
      </c>
      <c r="F1899">
        <v>3</v>
      </c>
    </row>
    <row r="1900" spans="1:6" x14ac:dyDescent="0.35">
      <c r="A1900">
        <v>550</v>
      </c>
      <c r="B1900">
        <v>4279</v>
      </c>
      <c r="C1900">
        <v>4</v>
      </c>
      <c r="D1900">
        <v>4</v>
      </c>
      <c r="E1900">
        <v>1</v>
      </c>
      <c r="F1900">
        <v>3</v>
      </c>
    </row>
    <row r="1901" spans="1:6" x14ac:dyDescent="0.35">
      <c r="A1901">
        <v>608</v>
      </c>
      <c r="B1901">
        <v>2457</v>
      </c>
      <c r="C1901">
        <v>4</v>
      </c>
      <c r="D1901">
        <v>2</v>
      </c>
      <c r="E1901">
        <v>1</v>
      </c>
      <c r="F1901">
        <v>3</v>
      </c>
    </row>
    <row r="1902" spans="1:6" x14ac:dyDescent="0.35">
      <c r="A1902">
        <v>933</v>
      </c>
      <c r="B1902">
        <v>5692</v>
      </c>
      <c r="C1902">
        <v>4</v>
      </c>
      <c r="D1902">
        <v>9</v>
      </c>
      <c r="E1902">
        <v>1</v>
      </c>
      <c r="F1902">
        <v>3</v>
      </c>
    </row>
    <row r="1903" spans="1:6" x14ac:dyDescent="0.35">
      <c r="A1903">
        <v>1065</v>
      </c>
      <c r="B1903">
        <v>4415</v>
      </c>
      <c r="C1903">
        <v>4</v>
      </c>
      <c r="D1903">
        <v>3</v>
      </c>
      <c r="E1903">
        <v>1</v>
      </c>
      <c r="F1903">
        <v>3</v>
      </c>
    </row>
    <row r="1904" spans="1:6" x14ac:dyDescent="0.35">
      <c r="A1904">
        <v>1132</v>
      </c>
      <c r="B1904">
        <v>5961</v>
      </c>
      <c r="C1904">
        <v>4</v>
      </c>
      <c r="D1904">
        <v>3</v>
      </c>
      <c r="E1904">
        <v>1</v>
      </c>
      <c r="F1904">
        <v>3</v>
      </c>
    </row>
    <row r="1905" spans="1:6" x14ac:dyDescent="0.35">
      <c r="A1905">
        <v>1185</v>
      </c>
      <c r="B1905">
        <v>2292</v>
      </c>
      <c r="C1905">
        <v>4</v>
      </c>
      <c r="D1905">
        <v>0</v>
      </c>
      <c r="E1905">
        <v>1</v>
      </c>
      <c r="F1905">
        <v>3</v>
      </c>
    </row>
    <row r="1906" spans="1:6" x14ac:dyDescent="0.35">
      <c r="A1906">
        <v>1238</v>
      </c>
      <c r="B1906">
        <v>6918</v>
      </c>
      <c r="C1906">
        <v>4</v>
      </c>
      <c r="D1906">
        <v>0</v>
      </c>
      <c r="E1906">
        <v>1</v>
      </c>
      <c r="F1906">
        <v>3</v>
      </c>
    </row>
    <row r="1907" spans="1:6" x14ac:dyDescent="0.35">
      <c r="A1907">
        <v>1282</v>
      </c>
      <c r="B1907">
        <v>679</v>
      </c>
      <c r="C1907">
        <v>4</v>
      </c>
      <c r="D1907">
        <v>0</v>
      </c>
      <c r="E1907">
        <v>1</v>
      </c>
      <c r="F1907">
        <v>3</v>
      </c>
    </row>
    <row r="1908" spans="1:6" x14ac:dyDescent="0.35">
      <c r="A1908">
        <v>1344</v>
      </c>
      <c r="B1908">
        <v>5181</v>
      </c>
      <c r="C1908">
        <v>4</v>
      </c>
      <c r="D1908">
        <v>11</v>
      </c>
      <c r="E1908">
        <v>1</v>
      </c>
      <c r="F1908">
        <v>2</v>
      </c>
    </row>
    <row r="1909" spans="1:6" x14ac:dyDescent="0.35">
      <c r="A1909">
        <v>1367</v>
      </c>
      <c r="B1909">
        <v>3231</v>
      </c>
      <c r="C1909">
        <v>4</v>
      </c>
      <c r="D1909">
        <v>2</v>
      </c>
      <c r="E1909">
        <v>1</v>
      </c>
      <c r="F1909">
        <v>3</v>
      </c>
    </row>
    <row r="1910" spans="1:6" x14ac:dyDescent="0.35">
      <c r="A1910">
        <v>1382</v>
      </c>
      <c r="B1910">
        <v>2902</v>
      </c>
      <c r="C1910">
        <v>4</v>
      </c>
      <c r="D1910">
        <v>2</v>
      </c>
      <c r="E1910">
        <v>1</v>
      </c>
      <c r="F1910">
        <v>3</v>
      </c>
    </row>
    <row r="1911" spans="1:6" x14ac:dyDescent="0.35">
      <c r="A1911">
        <v>1393</v>
      </c>
      <c r="B1911">
        <v>5289</v>
      </c>
      <c r="C1911">
        <v>4</v>
      </c>
      <c r="D1911">
        <v>4</v>
      </c>
      <c r="E1911">
        <v>1</v>
      </c>
      <c r="F1911">
        <v>2</v>
      </c>
    </row>
    <row r="1912" spans="1:6" x14ac:dyDescent="0.35">
      <c r="A1912">
        <v>1483</v>
      </c>
      <c r="B1912">
        <v>5868</v>
      </c>
      <c r="C1912">
        <v>4</v>
      </c>
      <c r="D1912">
        <v>5</v>
      </c>
      <c r="E1912">
        <v>1</v>
      </c>
      <c r="F1912">
        <v>3</v>
      </c>
    </row>
    <row r="1913" spans="1:6" x14ac:dyDescent="0.35">
      <c r="A1913">
        <v>1573</v>
      </c>
      <c r="B1913">
        <v>8135</v>
      </c>
      <c r="C1913">
        <v>4</v>
      </c>
      <c r="D1913">
        <v>0</v>
      </c>
      <c r="E1913">
        <v>1</v>
      </c>
      <c r="F1913">
        <v>3</v>
      </c>
    </row>
    <row r="1914" spans="1:6" x14ac:dyDescent="0.35">
      <c r="A1914">
        <v>1752</v>
      </c>
      <c r="B1914">
        <v>3878</v>
      </c>
      <c r="C1914">
        <v>4</v>
      </c>
      <c r="D1914">
        <v>8</v>
      </c>
      <c r="E1914">
        <v>1</v>
      </c>
      <c r="F1914">
        <v>3</v>
      </c>
    </row>
    <row r="1915" spans="1:6" x14ac:dyDescent="0.35">
      <c r="A1915">
        <v>1896</v>
      </c>
      <c r="B1915">
        <v>8462</v>
      </c>
      <c r="C1915">
        <v>4</v>
      </c>
      <c r="D1915">
        <v>0</v>
      </c>
      <c r="E1915">
        <v>1</v>
      </c>
      <c r="F1915">
        <v>2</v>
      </c>
    </row>
    <row r="1916" spans="1:6" x14ac:dyDescent="0.35">
      <c r="A1916">
        <v>1909</v>
      </c>
      <c r="B1916">
        <v>5623</v>
      </c>
      <c r="C1916">
        <v>4</v>
      </c>
      <c r="D1916">
        <v>0</v>
      </c>
      <c r="E1916">
        <v>1</v>
      </c>
      <c r="F1916">
        <v>2</v>
      </c>
    </row>
    <row r="1917" spans="1:6" x14ac:dyDescent="0.35">
      <c r="A1917">
        <v>1920</v>
      </c>
      <c r="B1917">
        <v>2546</v>
      </c>
      <c r="C1917">
        <v>4</v>
      </c>
      <c r="D1917">
        <v>5</v>
      </c>
      <c r="E1917">
        <v>1</v>
      </c>
      <c r="F1917">
        <v>4</v>
      </c>
    </row>
    <row r="1918" spans="1:6" x14ac:dyDescent="0.35">
      <c r="A1918">
        <v>1925</v>
      </c>
      <c r="B1918">
        <v>3112</v>
      </c>
      <c r="C1918">
        <v>4</v>
      </c>
      <c r="D1918">
        <v>4</v>
      </c>
      <c r="E1918">
        <v>1</v>
      </c>
      <c r="F1918">
        <v>3</v>
      </c>
    </row>
    <row r="1919" spans="1:6" x14ac:dyDescent="0.35">
      <c r="A1919">
        <v>1935</v>
      </c>
      <c r="B1919">
        <v>1403</v>
      </c>
      <c r="C1919">
        <v>4</v>
      </c>
      <c r="D1919">
        <v>5</v>
      </c>
      <c r="E1919">
        <v>1</v>
      </c>
      <c r="F1919">
        <v>3</v>
      </c>
    </row>
    <row r="1920" spans="1:6" x14ac:dyDescent="0.35">
      <c r="A1920">
        <v>2169</v>
      </c>
      <c r="B1920">
        <v>4548</v>
      </c>
      <c r="C1920">
        <v>4</v>
      </c>
      <c r="D1920">
        <v>2</v>
      </c>
      <c r="E1920">
        <v>1</v>
      </c>
      <c r="F1920">
        <v>3</v>
      </c>
    </row>
    <row r="1921" spans="1:6" x14ac:dyDescent="0.35">
      <c r="A1921">
        <v>2214</v>
      </c>
      <c r="B1921">
        <v>9303</v>
      </c>
      <c r="C1921">
        <v>4</v>
      </c>
      <c r="D1921">
        <v>3</v>
      </c>
      <c r="E1921">
        <v>1</v>
      </c>
      <c r="F1921">
        <v>0</v>
      </c>
    </row>
    <row r="1922" spans="1:6" x14ac:dyDescent="0.35">
      <c r="A1922">
        <v>65</v>
      </c>
      <c r="B1922">
        <v>8082</v>
      </c>
      <c r="C1922">
        <v>3</v>
      </c>
      <c r="D1922">
        <v>6</v>
      </c>
      <c r="E1922">
        <v>1</v>
      </c>
      <c r="F1922">
        <v>2</v>
      </c>
    </row>
    <row r="1923" spans="1:6" x14ac:dyDescent="0.35">
      <c r="A1923">
        <v>105</v>
      </c>
      <c r="B1923">
        <v>8373</v>
      </c>
      <c r="C1923">
        <v>3</v>
      </c>
      <c r="D1923">
        <v>0</v>
      </c>
      <c r="E1923">
        <v>1</v>
      </c>
      <c r="F1923">
        <v>3</v>
      </c>
    </row>
    <row r="1924" spans="1:6" x14ac:dyDescent="0.35">
      <c r="A1924">
        <v>170</v>
      </c>
      <c r="B1924">
        <v>5610</v>
      </c>
      <c r="C1924">
        <v>3</v>
      </c>
      <c r="D1924">
        <v>1</v>
      </c>
      <c r="E1924">
        <v>1</v>
      </c>
      <c r="F1924">
        <v>3</v>
      </c>
    </row>
    <row r="1925" spans="1:6" x14ac:dyDescent="0.35">
      <c r="A1925">
        <v>251</v>
      </c>
      <c r="B1925">
        <v>6340</v>
      </c>
      <c r="C1925">
        <v>3</v>
      </c>
      <c r="D1925">
        <v>2</v>
      </c>
      <c r="E1925">
        <v>1</v>
      </c>
      <c r="F1925">
        <v>3</v>
      </c>
    </row>
    <row r="1926" spans="1:6" x14ac:dyDescent="0.35">
      <c r="A1926">
        <v>321</v>
      </c>
      <c r="B1926">
        <v>520</v>
      </c>
      <c r="C1926">
        <v>3</v>
      </c>
      <c r="D1926">
        <v>2</v>
      </c>
      <c r="E1926">
        <v>1</v>
      </c>
      <c r="F1926">
        <v>2</v>
      </c>
    </row>
    <row r="1927" spans="1:6" x14ac:dyDescent="0.35">
      <c r="A1927">
        <v>476</v>
      </c>
      <c r="B1927">
        <v>916</v>
      </c>
      <c r="C1927">
        <v>3</v>
      </c>
      <c r="D1927">
        <v>0</v>
      </c>
      <c r="E1927">
        <v>1</v>
      </c>
      <c r="F1927">
        <v>3</v>
      </c>
    </row>
    <row r="1928" spans="1:6" x14ac:dyDescent="0.35">
      <c r="A1928">
        <v>710</v>
      </c>
      <c r="B1928">
        <v>1940</v>
      </c>
      <c r="C1928">
        <v>3</v>
      </c>
      <c r="D1928">
        <v>2</v>
      </c>
      <c r="E1928">
        <v>1</v>
      </c>
      <c r="F1928">
        <v>2</v>
      </c>
    </row>
    <row r="1929" spans="1:6" x14ac:dyDescent="0.35">
      <c r="A1929">
        <v>748</v>
      </c>
      <c r="B1929">
        <v>2281</v>
      </c>
      <c r="C1929">
        <v>3</v>
      </c>
      <c r="D1929">
        <v>3</v>
      </c>
      <c r="E1929">
        <v>1</v>
      </c>
      <c r="F1929">
        <v>2</v>
      </c>
    </row>
    <row r="1930" spans="1:6" x14ac:dyDescent="0.35">
      <c r="A1930">
        <v>782</v>
      </c>
      <c r="B1930">
        <v>49</v>
      </c>
      <c r="C1930">
        <v>3</v>
      </c>
      <c r="D1930">
        <v>1</v>
      </c>
      <c r="E1930">
        <v>1</v>
      </c>
      <c r="F1930">
        <v>2</v>
      </c>
    </row>
    <row r="1931" spans="1:6" x14ac:dyDescent="0.35">
      <c r="A1931">
        <v>783</v>
      </c>
      <c r="B1931">
        <v>4290</v>
      </c>
      <c r="C1931">
        <v>3</v>
      </c>
      <c r="D1931">
        <v>5</v>
      </c>
      <c r="E1931">
        <v>1</v>
      </c>
      <c r="F1931">
        <v>2</v>
      </c>
    </row>
    <row r="1932" spans="1:6" x14ac:dyDescent="0.35">
      <c r="A1932">
        <v>1018</v>
      </c>
      <c r="B1932">
        <v>3158</v>
      </c>
      <c r="C1932">
        <v>3</v>
      </c>
      <c r="D1932">
        <v>5</v>
      </c>
      <c r="E1932">
        <v>1</v>
      </c>
      <c r="F1932">
        <v>3</v>
      </c>
    </row>
    <row r="1933" spans="1:6" x14ac:dyDescent="0.35">
      <c r="A1933">
        <v>1038</v>
      </c>
      <c r="B1933">
        <v>6019</v>
      </c>
      <c r="C1933">
        <v>3</v>
      </c>
      <c r="D1933">
        <v>4</v>
      </c>
      <c r="E1933">
        <v>1</v>
      </c>
      <c r="F1933">
        <v>2</v>
      </c>
    </row>
    <row r="1934" spans="1:6" x14ac:dyDescent="0.35">
      <c r="A1934">
        <v>1431</v>
      </c>
      <c r="B1934">
        <v>10033</v>
      </c>
      <c r="C1934">
        <v>3</v>
      </c>
      <c r="D1934">
        <v>2</v>
      </c>
      <c r="E1934">
        <v>1</v>
      </c>
      <c r="F1934">
        <v>3</v>
      </c>
    </row>
    <row r="1935" spans="1:6" x14ac:dyDescent="0.35">
      <c r="A1935">
        <v>1470</v>
      </c>
      <c r="B1935">
        <v>9672</v>
      </c>
      <c r="C1935">
        <v>3</v>
      </c>
      <c r="D1935">
        <v>4</v>
      </c>
      <c r="E1935">
        <v>1</v>
      </c>
      <c r="F1935">
        <v>3</v>
      </c>
    </row>
    <row r="1936" spans="1:6" x14ac:dyDescent="0.35">
      <c r="A1936">
        <v>1482</v>
      </c>
      <c r="B1936">
        <v>3102</v>
      </c>
      <c r="C1936">
        <v>3</v>
      </c>
      <c r="D1936">
        <v>5</v>
      </c>
      <c r="E1936">
        <v>1</v>
      </c>
      <c r="F1936">
        <v>3</v>
      </c>
    </row>
    <row r="1937" spans="1:6" x14ac:dyDescent="0.35">
      <c r="A1937">
        <v>1501</v>
      </c>
      <c r="B1937">
        <v>5751</v>
      </c>
      <c r="C1937">
        <v>3</v>
      </c>
      <c r="D1937">
        <v>2</v>
      </c>
      <c r="E1937">
        <v>1</v>
      </c>
      <c r="F1937">
        <v>3</v>
      </c>
    </row>
    <row r="1938" spans="1:6" x14ac:dyDescent="0.35">
      <c r="A1938">
        <v>1562</v>
      </c>
      <c r="B1938">
        <v>9530</v>
      </c>
      <c r="C1938">
        <v>3</v>
      </c>
      <c r="D1938">
        <v>1</v>
      </c>
      <c r="E1938">
        <v>1</v>
      </c>
      <c r="F1938">
        <v>2</v>
      </c>
    </row>
    <row r="1939" spans="1:6" x14ac:dyDescent="0.35">
      <c r="A1939">
        <v>1643</v>
      </c>
      <c r="B1939">
        <v>3829</v>
      </c>
      <c r="C1939">
        <v>3</v>
      </c>
      <c r="D1939">
        <v>0</v>
      </c>
      <c r="E1939">
        <v>1</v>
      </c>
      <c r="F1939">
        <v>3</v>
      </c>
    </row>
    <row r="1940" spans="1:6" x14ac:dyDescent="0.35">
      <c r="A1940">
        <v>1884</v>
      </c>
      <c r="B1940">
        <v>7679</v>
      </c>
      <c r="C1940">
        <v>3</v>
      </c>
      <c r="D1940">
        <v>1</v>
      </c>
      <c r="E1940">
        <v>1</v>
      </c>
      <c r="F1940">
        <v>3</v>
      </c>
    </row>
    <row r="1941" spans="1:6" x14ac:dyDescent="0.35">
      <c r="A1941">
        <v>2027</v>
      </c>
      <c r="B1941">
        <v>153</v>
      </c>
      <c r="C1941">
        <v>3</v>
      </c>
      <c r="D1941">
        <v>2</v>
      </c>
      <c r="E1941">
        <v>1</v>
      </c>
      <c r="F1941">
        <v>3</v>
      </c>
    </row>
    <row r="1942" spans="1:6" x14ac:dyDescent="0.35">
      <c r="A1942">
        <v>2069</v>
      </c>
      <c r="B1942">
        <v>1655</v>
      </c>
      <c r="C1942">
        <v>3</v>
      </c>
      <c r="D1942">
        <v>1</v>
      </c>
      <c r="E1942">
        <v>1</v>
      </c>
      <c r="F1942">
        <v>3</v>
      </c>
    </row>
    <row r="1943" spans="1:6" x14ac:dyDescent="0.35">
      <c r="A1943">
        <v>2102</v>
      </c>
      <c r="B1943">
        <v>1241</v>
      </c>
      <c r="C1943">
        <v>3</v>
      </c>
      <c r="D1943">
        <v>4</v>
      </c>
      <c r="E1943">
        <v>1</v>
      </c>
      <c r="F1943">
        <v>3</v>
      </c>
    </row>
    <row r="1944" spans="1:6" x14ac:dyDescent="0.35">
      <c r="A1944">
        <v>2137</v>
      </c>
      <c r="B1944">
        <v>4973</v>
      </c>
      <c r="C1944">
        <v>3</v>
      </c>
      <c r="D1944">
        <v>1</v>
      </c>
      <c r="E1944">
        <v>1</v>
      </c>
      <c r="F1944">
        <v>2</v>
      </c>
    </row>
    <row r="1945" spans="1:6" x14ac:dyDescent="0.35">
      <c r="A1945">
        <v>2164</v>
      </c>
      <c r="B1945">
        <v>7600</v>
      </c>
      <c r="C1945">
        <v>3</v>
      </c>
      <c r="D1945">
        <v>1</v>
      </c>
      <c r="E1945">
        <v>1</v>
      </c>
      <c r="F1945">
        <v>3</v>
      </c>
    </row>
    <row r="1946" spans="1:6" x14ac:dyDescent="0.35">
      <c r="A1946">
        <v>2208</v>
      </c>
      <c r="B1946">
        <v>3850</v>
      </c>
      <c r="C1946">
        <v>3</v>
      </c>
      <c r="D1946">
        <v>4</v>
      </c>
      <c r="E1946">
        <v>1</v>
      </c>
      <c r="F1946">
        <v>3</v>
      </c>
    </row>
    <row r="1947" spans="1:6" x14ac:dyDescent="0.35">
      <c r="A1947">
        <v>2234</v>
      </c>
      <c r="B1947">
        <v>8372</v>
      </c>
      <c r="C1947">
        <v>3</v>
      </c>
      <c r="D1947">
        <v>2</v>
      </c>
      <c r="E1947">
        <v>1</v>
      </c>
      <c r="F1947">
        <v>2</v>
      </c>
    </row>
    <row r="1948" spans="1:6" x14ac:dyDescent="0.35">
      <c r="A1948">
        <v>93</v>
      </c>
      <c r="B1948">
        <v>11178</v>
      </c>
      <c r="C1948">
        <v>2</v>
      </c>
      <c r="D1948">
        <v>1</v>
      </c>
      <c r="E1948">
        <v>1</v>
      </c>
      <c r="F1948">
        <v>3</v>
      </c>
    </row>
    <row r="1949" spans="1:6" x14ac:dyDescent="0.35">
      <c r="A1949">
        <v>260</v>
      </c>
      <c r="B1949">
        <v>10264</v>
      </c>
      <c r="C1949">
        <v>2</v>
      </c>
      <c r="D1949">
        <v>3</v>
      </c>
      <c r="E1949">
        <v>1</v>
      </c>
      <c r="F1949">
        <v>2</v>
      </c>
    </row>
    <row r="1950" spans="1:6" x14ac:dyDescent="0.35">
      <c r="A1950">
        <v>331</v>
      </c>
      <c r="B1950">
        <v>663</v>
      </c>
      <c r="C1950">
        <v>2</v>
      </c>
      <c r="D1950">
        <v>0</v>
      </c>
      <c r="E1950">
        <v>1</v>
      </c>
      <c r="F1950">
        <v>3</v>
      </c>
    </row>
    <row r="1951" spans="1:6" x14ac:dyDescent="0.35">
      <c r="A1951">
        <v>337</v>
      </c>
      <c r="B1951">
        <v>4099</v>
      </c>
      <c r="C1951">
        <v>2</v>
      </c>
      <c r="D1951">
        <v>2</v>
      </c>
      <c r="E1951">
        <v>1</v>
      </c>
      <c r="F1951">
        <v>3</v>
      </c>
    </row>
    <row r="1952" spans="1:6" x14ac:dyDescent="0.35">
      <c r="A1952">
        <v>397</v>
      </c>
      <c r="B1952">
        <v>6354</v>
      </c>
      <c r="C1952">
        <v>2</v>
      </c>
      <c r="D1952">
        <v>2</v>
      </c>
      <c r="E1952">
        <v>1</v>
      </c>
      <c r="F1952">
        <v>2</v>
      </c>
    </row>
    <row r="1953" spans="1:6" x14ac:dyDescent="0.35">
      <c r="A1953">
        <v>422</v>
      </c>
      <c r="B1953">
        <v>6528</v>
      </c>
      <c r="C1953">
        <v>2</v>
      </c>
      <c r="D1953">
        <v>1</v>
      </c>
      <c r="E1953">
        <v>1</v>
      </c>
      <c r="F1953">
        <v>2</v>
      </c>
    </row>
    <row r="1954" spans="1:6" x14ac:dyDescent="0.35">
      <c r="A1954">
        <v>428</v>
      </c>
      <c r="B1954">
        <v>5987</v>
      </c>
      <c r="C1954">
        <v>2</v>
      </c>
      <c r="D1954">
        <v>6</v>
      </c>
      <c r="E1954">
        <v>1</v>
      </c>
      <c r="F1954">
        <v>4</v>
      </c>
    </row>
    <row r="1955" spans="1:6" x14ac:dyDescent="0.35">
      <c r="A1955">
        <v>500</v>
      </c>
      <c r="B1955">
        <v>9135</v>
      </c>
      <c r="C1955">
        <v>2</v>
      </c>
      <c r="D1955">
        <v>0</v>
      </c>
      <c r="E1955">
        <v>1</v>
      </c>
      <c r="F1955">
        <v>2</v>
      </c>
    </row>
    <row r="1956" spans="1:6" x14ac:dyDescent="0.35">
      <c r="A1956">
        <v>653</v>
      </c>
      <c r="B1956">
        <v>4725</v>
      </c>
      <c r="C1956">
        <v>2</v>
      </c>
      <c r="D1956">
        <v>1</v>
      </c>
      <c r="E1956">
        <v>1</v>
      </c>
      <c r="F1956">
        <v>4</v>
      </c>
    </row>
    <row r="1957" spans="1:6" x14ac:dyDescent="0.35">
      <c r="A1957">
        <v>696</v>
      </c>
      <c r="B1957">
        <v>8315</v>
      </c>
      <c r="C1957">
        <v>2</v>
      </c>
      <c r="D1957">
        <v>0</v>
      </c>
      <c r="E1957">
        <v>1</v>
      </c>
      <c r="F1957">
        <v>2</v>
      </c>
    </row>
    <row r="1958" spans="1:6" x14ac:dyDescent="0.35">
      <c r="A1958">
        <v>719</v>
      </c>
      <c r="B1958">
        <v>1463</v>
      </c>
      <c r="C1958">
        <v>2</v>
      </c>
      <c r="D1958">
        <v>0</v>
      </c>
      <c r="E1958">
        <v>1</v>
      </c>
      <c r="F1958">
        <v>2</v>
      </c>
    </row>
    <row r="1959" spans="1:6" x14ac:dyDescent="0.35">
      <c r="A1959">
        <v>784</v>
      </c>
      <c r="B1959">
        <v>10219</v>
      </c>
      <c r="C1959">
        <v>2</v>
      </c>
      <c r="D1959">
        <v>6</v>
      </c>
      <c r="E1959">
        <v>1</v>
      </c>
      <c r="F1959">
        <v>3</v>
      </c>
    </row>
    <row r="1960" spans="1:6" x14ac:dyDescent="0.35">
      <c r="A1960">
        <v>816</v>
      </c>
      <c r="B1960">
        <v>2986</v>
      </c>
      <c r="C1960">
        <v>2</v>
      </c>
      <c r="D1960">
        <v>1</v>
      </c>
      <c r="E1960">
        <v>1</v>
      </c>
      <c r="F1960">
        <v>2</v>
      </c>
    </row>
    <row r="1961" spans="1:6" x14ac:dyDescent="0.35">
      <c r="A1961">
        <v>858</v>
      </c>
      <c r="B1961">
        <v>3007</v>
      </c>
      <c r="C1961">
        <v>2</v>
      </c>
      <c r="D1961">
        <v>0</v>
      </c>
      <c r="E1961">
        <v>1</v>
      </c>
      <c r="F1961">
        <v>3</v>
      </c>
    </row>
    <row r="1962" spans="1:6" x14ac:dyDescent="0.35">
      <c r="A1962">
        <v>995</v>
      </c>
      <c r="B1962">
        <v>5184</v>
      </c>
      <c r="C1962">
        <v>2</v>
      </c>
      <c r="D1962">
        <v>0</v>
      </c>
      <c r="E1962">
        <v>1</v>
      </c>
      <c r="F1962">
        <v>2</v>
      </c>
    </row>
    <row r="1963" spans="1:6" x14ac:dyDescent="0.35">
      <c r="A1963">
        <v>1053</v>
      </c>
      <c r="B1963">
        <v>5740</v>
      </c>
      <c r="C1963">
        <v>2</v>
      </c>
      <c r="D1963">
        <v>5</v>
      </c>
      <c r="E1963">
        <v>1</v>
      </c>
      <c r="F1963">
        <v>2</v>
      </c>
    </row>
    <row r="1964" spans="1:6" x14ac:dyDescent="0.35">
      <c r="A1964">
        <v>1068</v>
      </c>
      <c r="B1964">
        <v>4817</v>
      </c>
      <c r="C1964">
        <v>2</v>
      </c>
      <c r="D1964">
        <v>4</v>
      </c>
      <c r="E1964">
        <v>1</v>
      </c>
      <c r="F1964">
        <v>2</v>
      </c>
    </row>
    <row r="1965" spans="1:6" x14ac:dyDescent="0.35">
      <c r="A1965">
        <v>1079</v>
      </c>
      <c r="B1965">
        <v>3081</v>
      </c>
      <c r="C1965">
        <v>2</v>
      </c>
      <c r="D1965">
        <v>0</v>
      </c>
      <c r="E1965">
        <v>1</v>
      </c>
      <c r="F1965">
        <v>2</v>
      </c>
    </row>
    <row r="1966" spans="1:6" x14ac:dyDescent="0.35">
      <c r="A1966">
        <v>1116</v>
      </c>
      <c r="B1966">
        <v>3885</v>
      </c>
      <c r="C1966">
        <v>2</v>
      </c>
      <c r="D1966">
        <v>0</v>
      </c>
      <c r="E1966">
        <v>1</v>
      </c>
      <c r="F1966">
        <v>2</v>
      </c>
    </row>
    <row r="1967" spans="1:6" x14ac:dyDescent="0.35">
      <c r="A1967">
        <v>1152</v>
      </c>
      <c r="B1967">
        <v>10710</v>
      </c>
      <c r="C1967">
        <v>2</v>
      </c>
      <c r="D1967">
        <v>0</v>
      </c>
      <c r="E1967">
        <v>1</v>
      </c>
      <c r="F1967">
        <v>2</v>
      </c>
    </row>
    <row r="1968" spans="1:6" x14ac:dyDescent="0.35">
      <c r="A1968">
        <v>1186</v>
      </c>
      <c r="B1968">
        <v>10466</v>
      </c>
      <c r="C1968">
        <v>2</v>
      </c>
      <c r="D1968">
        <v>2</v>
      </c>
      <c r="E1968">
        <v>1</v>
      </c>
      <c r="F1968">
        <v>4</v>
      </c>
    </row>
    <row r="1969" spans="1:6" x14ac:dyDescent="0.35">
      <c r="A1969">
        <v>1189</v>
      </c>
      <c r="B1969">
        <v>5231</v>
      </c>
      <c r="C1969">
        <v>2</v>
      </c>
      <c r="D1969">
        <v>2</v>
      </c>
      <c r="E1969">
        <v>1</v>
      </c>
      <c r="F1969">
        <v>3</v>
      </c>
    </row>
    <row r="1970" spans="1:6" x14ac:dyDescent="0.35">
      <c r="A1970">
        <v>1203</v>
      </c>
      <c r="B1970">
        <v>234</v>
      </c>
      <c r="C1970">
        <v>2</v>
      </c>
      <c r="D1970">
        <v>3</v>
      </c>
      <c r="E1970">
        <v>1</v>
      </c>
      <c r="F1970">
        <v>2</v>
      </c>
    </row>
    <row r="1971" spans="1:6" x14ac:dyDescent="0.35">
      <c r="A1971">
        <v>1276</v>
      </c>
      <c r="B1971">
        <v>2296</v>
      </c>
      <c r="C1971">
        <v>2</v>
      </c>
      <c r="D1971">
        <v>2</v>
      </c>
      <c r="E1971">
        <v>1</v>
      </c>
      <c r="F1971">
        <v>2</v>
      </c>
    </row>
    <row r="1972" spans="1:6" x14ac:dyDescent="0.35">
      <c r="A1972">
        <v>1285</v>
      </c>
      <c r="B1972">
        <v>5267</v>
      </c>
      <c r="C1972">
        <v>2</v>
      </c>
      <c r="D1972">
        <v>1</v>
      </c>
      <c r="E1972">
        <v>1</v>
      </c>
      <c r="F1972">
        <v>3</v>
      </c>
    </row>
    <row r="1973" spans="1:6" x14ac:dyDescent="0.35">
      <c r="A1973">
        <v>1287</v>
      </c>
      <c r="B1973">
        <v>2516</v>
      </c>
      <c r="C1973">
        <v>2</v>
      </c>
      <c r="D1973">
        <v>4</v>
      </c>
      <c r="E1973">
        <v>1</v>
      </c>
      <c r="F1973">
        <v>2</v>
      </c>
    </row>
    <row r="1974" spans="1:6" x14ac:dyDescent="0.35">
      <c r="A1974">
        <v>1290</v>
      </c>
      <c r="B1974">
        <v>4808</v>
      </c>
      <c r="C1974">
        <v>2</v>
      </c>
      <c r="D1974">
        <v>0</v>
      </c>
      <c r="E1974">
        <v>1</v>
      </c>
      <c r="F1974">
        <v>2</v>
      </c>
    </row>
    <row r="1975" spans="1:6" x14ac:dyDescent="0.35">
      <c r="A1975">
        <v>1317</v>
      </c>
      <c r="B1975">
        <v>4937</v>
      </c>
      <c r="C1975">
        <v>2</v>
      </c>
      <c r="D1975">
        <v>2</v>
      </c>
      <c r="E1975">
        <v>1</v>
      </c>
      <c r="F1975">
        <v>3</v>
      </c>
    </row>
    <row r="1976" spans="1:6" x14ac:dyDescent="0.35">
      <c r="A1976">
        <v>1319</v>
      </c>
      <c r="B1976">
        <v>8749</v>
      </c>
      <c r="C1976">
        <v>2</v>
      </c>
      <c r="D1976">
        <v>6</v>
      </c>
      <c r="E1976">
        <v>1</v>
      </c>
      <c r="F1976">
        <v>2</v>
      </c>
    </row>
    <row r="1977" spans="1:6" x14ac:dyDescent="0.35">
      <c r="A1977">
        <v>1435</v>
      </c>
      <c r="B1977">
        <v>922</v>
      </c>
      <c r="C1977">
        <v>2</v>
      </c>
      <c r="D1977">
        <v>0</v>
      </c>
      <c r="E1977">
        <v>1</v>
      </c>
      <c r="F1977">
        <v>2</v>
      </c>
    </row>
    <row r="1978" spans="1:6" x14ac:dyDescent="0.35">
      <c r="A1978">
        <v>1664</v>
      </c>
      <c r="B1978">
        <v>8299</v>
      </c>
      <c r="C1978">
        <v>2</v>
      </c>
      <c r="D1978">
        <v>0</v>
      </c>
      <c r="E1978">
        <v>1</v>
      </c>
      <c r="F1978">
        <v>3</v>
      </c>
    </row>
    <row r="1979" spans="1:6" x14ac:dyDescent="0.35">
      <c r="A1979">
        <v>1712</v>
      </c>
      <c r="B1979">
        <v>2202</v>
      </c>
      <c r="C1979">
        <v>2</v>
      </c>
      <c r="D1979">
        <v>3</v>
      </c>
      <c r="E1979">
        <v>1</v>
      </c>
      <c r="F1979">
        <v>4</v>
      </c>
    </row>
    <row r="1980" spans="1:6" x14ac:dyDescent="0.35">
      <c r="A1980">
        <v>1720</v>
      </c>
      <c r="B1980">
        <v>6742</v>
      </c>
      <c r="C1980">
        <v>2</v>
      </c>
      <c r="D1980">
        <v>1</v>
      </c>
      <c r="E1980">
        <v>1</v>
      </c>
      <c r="F1980">
        <v>2</v>
      </c>
    </row>
    <row r="1981" spans="1:6" x14ac:dyDescent="0.35">
      <c r="A1981">
        <v>1732</v>
      </c>
      <c r="B1981">
        <v>4351</v>
      </c>
      <c r="C1981">
        <v>2</v>
      </c>
      <c r="D1981">
        <v>0</v>
      </c>
      <c r="E1981">
        <v>1</v>
      </c>
      <c r="F1981">
        <v>2</v>
      </c>
    </row>
    <row r="1982" spans="1:6" x14ac:dyDescent="0.35">
      <c r="A1982">
        <v>1810</v>
      </c>
      <c r="B1982">
        <v>5513</v>
      </c>
      <c r="C1982">
        <v>2</v>
      </c>
      <c r="D1982">
        <v>0</v>
      </c>
      <c r="E1982">
        <v>1</v>
      </c>
      <c r="F1982">
        <v>3</v>
      </c>
    </row>
    <row r="1983" spans="1:6" x14ac:dyDescent="0.35">
      <c r="A1983">
        <v>1867</v>
      </c>
      <c r="B1983">
        <v>9467</v>
      </c>
      <c r="C1983">
        <v>2</v>
      </c>
      <c r="D1983">
        <v>0</v>
      </c>
      <c r="E1983">
        <v>1</v>
      </c>
      <c r="F1983">
        <v>3</v>
      </c>
    </row>
    <row r="1984" spans="1:6" x14ac:dyDescent="0.35">
      <c r="A1984">
        <v>1939</v>
      </c>
      <c r="B1984">
        <v>2478</v>
      </c>
      <c r="C1984">
        <v>2</v>
      </c>
      <c r="D1984">
        <v>13</v>
      </c>
      <c r="E1984">
        <v>1</v>
      </c>
      <c r="F1984">
        <v>4</v>
      </c>
    </row>
    <row r="1985" spans="1:6" x14ac:dyDescent="0.35">
      <c r="A1985">
        <v>1979</v>
      </c>
      <c r="B1985">
        <v>10913</v>
      </c>
      <c r="C1985">
        <v>2</v>
      </c>
      <c r="D1985">
        <v>1</v>
      </c>
      <c r="E1985">
        <v>1</v>
      </c>
      <c r="F1985">
        <v>2</v>
      </c>
    </row>
    <row r="1986" spans="1:6" x14ac:dyDescent="0.35">
      <c r="A1986">
        <v>1994</v>
      </c>
      <c r="B1986">
        <v>4547</v>
      </c>
      <c r="C1986">
        <v>2</v>
      </c>
      <c r="D1986">
        <v>1</v>
      </c>
      <c r="E1986">
        <v>1</v>
      </c>
      <c r="F1986">
        <v>3</v>
      </c>
    </row>
    <row r="1987" spans="1:6" x14ac:dyDescent="0.35">
      <c r="A1987">
        <v>2000</v>
      </c>
      <c r="B1987">
        <v>4860</v>
      </c>
      <c r="C1987">
        <v>2</v>
      </c>
      <c r="D1987">
        <v>2</v>
      </c>
      <c r="E1987">
        <v>1</v>
      </c>
      <c r="F1987">
        <v>3</v>
      </c>
    </row>
    <row r="1988" spans="1:6" x14ac:dyDescent="0.35">
      <c r="A1988">
        <v>2001</v>
      </c>
      <c r="B1988">
        <v>10757</v>
      </c>
      <c r="C1988">
        <v>2</v>
      </c>
      <c r="D1988">
        <v>0</v>
      </c>
      <c r="E1988">
        <v>1</v>
      </c>
      <c r="F1988">
        <v>2</v>
      </c>
    </row>
    <row r="1989" spans="1:6" x14ac:dyDescent="0.35">
      <c r="A1989">
        <v>2050</v>
      </c>
      <c r="B1989">
        <v>626</v>
      </c>
      <c r="C1989">
        <v>2</v>
      </c>
      <c r="D1989">
        <v>2</v>
      </c>
      <c r="E1989">
        <v>1</v>
      </c>
      <c r="F1989">
        <v>3</v>
      </c>
    </row>
    <row r="1990" spans="1:6" x14ac:dyDescent="0.35">
      <c r="A1990">
        <v>2112</v>
      </c>
      <c r="B1990">
        <v>11091</v>
      </c>
      <c r="C1990">
        <v>2</v>
      </c>
      <c r="D1990">
        <v>0</v>
      </c>
      <c r="E1990">
        <v>1</v>
      </c>
      <c r="F1990">
        <v>3</v>
      </c>
    </row>
    <row r="1991" spans="1:6" x14ac:dyDescent="0.35">
      <c r="A1991">
        <v>2157</v>
      </c>
      <c r="B1991">
        <v>1515</v>
      </c>
      <c r="C1991">
        <v>2</v>
      </c>
      <c r="D1991">
        <v>2</v>
      </c>
      <c r="E1991">
        <v>1</v>
      </c>
      <c r="F1991">
        <v>3</v>
      </c>
    </row>
    <row r="1992" spans="1:6" x14ac:dyDescent="0.35">
      <c r="A1992">
        <v>2215</v>
      </c>
      <c r="B1992">
        <v>692</v>
      </c>
      <c r="C1992">
        <v>2</v>
      </c>
      <c r="D1992">
        <v>0</v>
      </c>
      <c r="E1992">
        <v>1</v>
      </c>
      <c r="F1992">
        <v>2</v>
      </c>
    </row>
    <row r="1993" spans="1:6" x14ac:dyDescent="0.35">
      <c r="A1993">
        <v>1</v>
      </c>
      <c r="B1993">
        <v>2174</v>
      </c>
      <c r="C1993">
        <v>1</v>
      </c>
      <c r="D1993">
        <v>1</v>
      </c>
      <c r="E1993">
        <v>1</v>
      </c>
      <c r="F1993">
        <v>2</v>
      </c>
    </row>
    <row r="1994" spans="1:6" x14ac:dyDescent="0.35">
      <c r="A1994">
        <v>75</v>
      </c>
      <c r="B1994">
        <v>5846</v>
      </c>
      <c r="C1994">
        <v>1</v>
      </c>
      <c r="D1994">
        <v>1</v>
      </c>
      <c r="E1994">
        <v>1</v>
      </c>
      <c r="F1994">
        <v>2</v>
      </c>
    </row>
    <row r="1995" spans="1:6" x14ac:dyDescent="0.35">
      <c r="A1995">
        <v>81</v>
      </c>
      <c r="B1995">
        <v>2261</v>
      </c>
      <c r="C1995">
        <v>1</v>
      </c>
      <c r="D1995">
        <v>0</v>
      </c>
      <c r="E1995">
        <v>1</v>
      </c>
      <c r="F1995">
        <v>2</v>
      </c>
    </row>
    <row r="1996" spans="1:6" x14ac:dyDescent="0.35">
      <c r="A1996">
        <v>136</v>
      </c>
      <c r="B1996">
        <v>5342</v>
      </c>
      <c r="C1996">
        <v>1</v>
      </c>
      <c r="D1996">
        <v>6</v>
      </c>
      <c r="E1996">
        <v>1</v>
      </c>
      <c r="F1996">
        <v>3</v>
      </c>
    </row>
    <row r="1997" spans="1:6" x14ac:dyDescent="0.35">
      <c r="A1997">
        <v>147</v>
      </c>
      <c r="B1997">
        <v>3120</v>
      </c>
      <c r="C1997">
        <v>1</v>
      </c>
      <c r="D1997">
        <v>1</v>
      </c>
      <c r="E1997">
        <v>1</v>
      </c>
      <c r="F1997">
        <v>2</v>
      </c>
    </row>
    <row r="1998" spans="1:6" x14ac:dyDescent="0.35">
      <c r="A1998">
        <v>183</v>
      </c>
      <c r="B1998">
        <v>10796</v>
      </c>
      <c r="C1998">
        <v>1</v>
      </c>
      <c r="D1998">
        <v>0</v>
      </c>
      <c r="E1998">
        <v>1</v>
      </c>
      <c r="F1998">
        <v>3</v>
      </c>
    </row>
    <row r="1999" spans="1:6" x14ac:dyDescent="0.35">
      <c r="A1999">
        <v>185</v>
      </c>
      <c r="B1999">
        <v>3518</v>
      </c>
      <c r="C1999">
        <v>1</v>
      </c>
      <c r="D1999">
        <v>4</v>
      </c>
      <c r="E1999">
        <v>1</v>
      </c>
      <c r="F1999">
        <v>2</v>
      </c>
    </row>
    <row r="2000" spans="1:6" x14ac:dyDescent="0.35">
      <c r="A2000">
        <v>229</v>
      </c>
      <c r="B2000">
        <v>3726</v>
      </c>
      <c r="C2000">
        <v>1</v>
      </c>
      <c r="D2000">
        <v>0</v>
      </c>
      <c r="E2000">
        <v>1</v>
      </c>
      <c r="F2000">
        <v>2</v>
      </c>
    </row>
    <row r="2001" spans="1:6" x14ac:dyDescent="0.35">
      <c r="A2001">
        <v>232</v>
      </c>
      <c r="B2001">
        <v>1606</v>
      </c>
      <c r="C2001">
        <v>1</v>
      </c>
      <c r="D2001">
        <v>3</v>
      </c>
      <c r="E2001">
        <v>1</v>
      </c>
      <c r="F2001">
        <v>2</v>
      </c>
    </row>
    <row r="2002" spans="1:6" x14ac:dyDescent="0.35">
      <c r="A2002">
        <v>327</v>
      </c>
      <c r="B2002">
        <v>3896</v>
      </c>
      <c r="C2002">
        <v>1</v>
      </c>
      <c r="D2002">
        <v>1</v>
      </c>
      <c r="E2002">
        <v>1</v>
      </c>
      <c r="F2002">
        <v>3</v>
      </c>
    </row>
    <row r="2003" spans="1:6" x14ac:dyDescent="0.35">
      <c r="A2003">
        <v>330</v>
      </c>
      <c r="B2003">
        <v>2861</v>
      </c>
      <c r="C2003">
        <v>1</v>
      </c>
      <c r="D2003">
        <v>0</v>
      </c>
      <c r="E2003">
        <v>1</v>
      </c>
      <c r="F2003">
        <v>2</v>
      </c>
    </row>
    <row r="2004" spans="1:6" x14ac:dyDescent="0.35">
      <c r="A2004">
        <v>333</v>
      </c>
      <c r="B2004">
        <v>2521</v>
      </c>
      <c r="C2004">
        <v>1</v>
      </c>
      <c r="D2004">
        <v>2</v>
      </c>
      <c r="E2004">
        <v>1</v>
      </c>
      <c r="F2004">
        <v>2</v>
      </c>
    </row>
    <row r="2005" spans="1:6" x14ac:dyDescent="0.35">
      <c r="A2005">
        <v>372</v>
      </c>
      <c r="B2005">
        <v>2557</v>
      </c>
      <c r="C2005">
        <v>1</v>
      </c>
      <c r="D2005">
        <v>1</v>
      </c>
      <c r="E2005">
        <v>1</v>
      </c>
      <c r="F2005">
        <v>2</v>
      </c>
    </row>
    <row r="2006" spans="1:6" x14ac:dyDescent="0.35">
      <c r="A2006">
        <v>467</v>
      </c>
      <c r="B2006">
        <v>9213</v>
      </c>
      <c r="C2006">
        <v>1</v>
      </c>
      <c r="D2006">
        <v>0</v>
      </c>
      <c r="E2006">
        <v>1</v>
      </c>
      <c r="F2006">
        <v>2</v>
      </c>
    </row>
    <row r="2007" spans="1:6" x14ac:dyDescent="0.35">
      <c r="A2007">
        <v>473</v>
      </c>
      <c r="B2007">
        <v>6619</v>
      </c>
      <c r="C2007">
        <v>1</v>
      </c>
      <c r="D2007">
        <v>0</v>
      </c>
      <c r="E2007">
        <v>1</v>
      </c>
      <c r="F2007">
        <v>3</v>
      </c>
    </row>
    <row r="2008" spans="1:6" x14ac:dyDescent="0.35">
      <c r="A2008">
        <v>474</v>
      </c>
      <c r="B2008">
        <v>9081</v>
      </c>
      <c r="C2008">
        <v>1</v>
      </c>
      <c r="D2008">
        <v>1</v>
      </c>
      <c r="E2008">
        <v>1</v>
      </c>
      <c r="F2008">
        <v>2</v>
      </c>
    </row>
    <row r="2009" spans="1:6" x14ac:dyDescent="0.35">
      <c r="A2009">
        <v>607</v>
      </c>
      <c r="B2009">
        <v>8477</v>
      </c>
      <c r="C2009">
        <v>1</v>
      </c>
      <c r="D2009">
        <v>5</v>
      </c>
      <c r="E2009">
        <v>1</v>
      </c>
      <c r="F2009">
        <v>3</v>
      </c>
    </row>
    <row r="2010" spans="1:6" x14ac:dyDescent="0.35">
      <c r="A2010">
        <v>664</v>
      </c>
      <c r="B2010">
        <v>8162</v>
      </c>
      <c r="C2010">
        <v>1</v>
      </c>
      <c r="D2010">
        <v>2</v>
      </c>
      <c r="E2010">
        <v>1</v>
      </c>
      <c r="F2010">
        <v>3</v>
      </c>
    </row>
    <row r="2011" spans="1:6" x14ac:dyDescent="0.35">
      <c r="A2011">
        <v>665</v>
      </c>
      <c r="B2011">
        <v>10826</v>
      </c>
      <c r="C2011">
        <v>1</v>
      </c>
      <c r="D2011">
        <v>4</v>
      </c>
      <c r="E2011">
        <v>1</v>
      </c>
      <c r="F2011">
        <v>2</v>
      </c>
    </row>
    <row r="2012" spans="1:6" x14ac:dyDescent="0.35">
      <c r="A2012">
        <v>675</v>
      </c>
      <c r="B2012">
        <v>6961</v>
      </c>
      <c r="C2012">
        <v>1</v>
      </c>
      <c r="D2012">
        <v>3</v>
      </c>
      <c r="E2012">
        <v>1</v>
      </c>
      <c r="F2012">
        <v>2</v>
      </c>
    </row>
    <row r="2013" spans="1:6" x14ac:dyDescent="0.35">
      <c r="A2013">
        <v>709</v>
      </c>
      <c r="B2013">
        <v>4301</v>
      </c>
      <c r="C2013">
        <v>1</v>
      </c>
      <c r="D2013">
        <v>2</v>
      </c>
      <c r="E2013">
        <v>1</v>
      </c>
      <c r="F2013">
        <v>2</v>
      </c>
    </row>
    <row r="2014" spans="1:6" x14ac:dyDescent="0.35">
      <c r="A2014">
        <v>778</v>
      </c>
      <c r="B2014">
        <v>2461</v>
      </c>
      <c r="C2014">
        <v>1</v>
      </c>
      <c r="D2014">
        <v>1</v>
      </c>
      <c r="E2014">
        <v>1</v>
      </c>
      <c r="F2014">
        <v>3</v>
      </c>
    </row>
    <row r="2015" spans="1:6" x14ac:dyDescent="0.35">
      <c r="A2015">
        <v>801</v>
      </c>
      <c r="B2015">
        <v>8629</v>
      </c>
      <c r="C2015">
        <v>1</v>
      </c>
      <c r="D2015">
        <v>1</v>
      </c>
      <c r="E2015">
        <v>1</v>
      </c>
      <c r="F2015">
        <v>3</v>
      </c>
    </row>
    <row r="2016" spans="1:6" x14ac:dyDescent="0.35">
      <c r="A2016">
        <v>806</v>
      </c>
      <c r="B2016">
        <v>7326</v>
      </c>
      <c r="C2016">
        <v>1</v>
      </c>
      <c r="D2016">
        <v>7</v>
      </c>
      <c r="E2016">
        <v>1</v>
      </c>
      <c r="F2016">
        <v>3</v>
      </c>
    </row>
    <row r="2017" spans="1:6" x14ac:dyDescent="0.35">
      <c r="A2017">
        <v>827</v>
      </c>
      <c r="B2017">
        <v>6768</v>
      </c>
      <c r="C2017">
        <v>1</v>
      </c>
      <c r="D2017">
        <v>1</v>
      </c>
      <c r="E2017">
        <v>1</v>
      </c>
      <c r="F2017">
        <v>3</v>
      </c>
    </row>
    <row r="2018" spans="1:6" x14ac:dyDescent="0.35">
      <c r="A2018">
        <v>834</v>
      </c>
      <c r="B2018">
        <v>10402</v>
      </c>
      <c r="C2018">
        <v>1</v>
      </c>
      <c r="D2018">
        <v>1</v>
      </c>
      <c r="E2018">
        <v>1</v>
      </c>
      <c r="F2018">
        <v>3</v>
      </c>
    </row>
    <row r="2019" spans="1:6" x14ac:dyDescent="0.35">
      <c r="A2019">
        <v>907</v>
      </c>
      <c r="B2019">
        <v>1968</v>
      </c>
      <c r="C2019">
        <v>1</v>
      </c>
      <c r="D2019">
        <v>0</v>
      </c>
      <c r="E2019">
        <v>1</v>
      </c>
      <c r="F2019">
        <v>2</v>
      </c>
    </row>
    <row r="2020" spans="1:6" x14ac:dyDescent="0.35">
      <c r="A2020">
        <v>1011</v>
      </c>
      <c r="B2020">
        <v>5723</v>
      </c>
      <c r="C2020">
        <v>1</v>
      </c>
      <c r="D2020">
        <v>1</v>
      </c>
      <c r="E2020">
        <v>1</v>
      </c>
      <c r="F2020">
        <v>5</v>
      </c>
    </row>
    <row r="2021" spans="1:6" x14ac:dyDescent="0.35">
      <c r="A2021">
        <v>1077</v>
      </c>
      <c r="B2021">
        <v>577</v>
      </c>
      <c r="C2021">
        <v>1</v>
      </c>
      <c r="D2021">
        <v>3</v>
      </c>
      <c r="E2021">
        <v>1</v>
      </c>
      <c r="F2021">
        <v>3</v>
      </c>
    </row>
    <row r="2022" spans="1:6" x14ac:dyDescent="0.35">
      <c r="A2022">
        <v>1086</v>
      </c>
      <c r="B2022">
        <v>10914</v>
      </c>
      <c r="C2022">
        <v>1</v>
      </c>
      <c r="D2022">
        <v>1</v>
      </c>
      <c r="E2022">
        <v>1</v>
      </c>
      <c r="F2022">
        <v>3</v>
      </c>
    </row>
    <row r="2023" spans="1:6" x14ac:dyDescent="0.35">
      <c r="A2023">
        <v>1131</v>
      </c>
      <c r="B2023">
        <v>606</v>
      </c>
      <c r="C2023">
        <v>1</v>
      </c>
      <c r="D2023">
        <v>0</v>
      </c>
      <c r="E2023">
        <v>1</v>
      </c>
      <c r="F2023">
        <v>2</v>
      </c>
    </row>
    <row r="2024" spans="1:6" x14ac:dyDescent="0.35">
      <c r="A2024">
        <v>1184</v>
      </c>
      <c r="B2024">
        <v>9392</v>
      </c>
      <c r="C2024">
        <v>1</v>
      </c>
      <c r="D2024">
        <v>0</v>
      </c>
      <c r="E2024">
        <v>1</v>
      </c>
      <c r="F2024">
        <v>2</v>
      </c>
    </row>
    <row r="2025" spans="1:6" x14ac:dyDescent="0.35">
      <c r="A2025">
        <v>1300</v>
      </c>
      <c r="B2025">
        <v>5336</v>
      </c>
      <c r="C2025">
        <v>1</v>
      </c>
      <c r="D2025">
        <v>0</v>
      </c>
      <c r="E2025">
        <v>1</v>
      </c>
      <c r="F2025">
        <v>1</v>
      </c>
    </row>
    <row r="2026" spans="1:6" x14ac:dyDescent="0.35">
      <c r="A2026">
        <v>1383</v>
      </c>
      <c r="B2026">
        <v>4345</v>
      </c>
      <c r="C2026">
        <v>1</v>
      </c>
      <c r="D2026">
        <v>0</v>
      </c>
      <c r="E2026">
        <v>1</v>
      </c>
      <c r="F2026">
        <v>2</v>
      </c>
    </row>
    <row r="2027" spans="1:6" x14ac:dyDescent="0.35">
      <c r="A2027">
        <v>1386</v>
      </c>
      <c r="B2027">
        <v>3769</v>
      </c>
      <c r="C2027">
        <v>1</v>
      </c>
      <c r="D2027">
        <v>0</v>
      </c>
      <c r="E2027">
        <v>1</v>
      </c>
      <c r="F2027">
        <v>3</v>
      </c>
    </row>
    <row r="2028" spans="1:6" x14ac:dyDescent="0.35">
      <c r="A2028">
        <v>1387</v>
      </c>
      <c r="B2028">
        <v>8702</v>
      </c>
      <c r="C2028">
        <v>1</v>
      </c>
      <c r="D2028">
        <v>3</v>
      </c>
      <c r="E2028">
        <v>1</v>
      </c>
      <c r="F2028">
        <v>3</v>
      </c>
    </row>
    <row r="2029" spans="1:6" x14ac:dyDescent="0.35">
      <c r="A2029">
        <v>1388</v>
      </c>
      <c r="B2029">
        <v>4791</v>
      </c>
      <c r="C2029">
        <v>1</v>
      </c>
      <c r="D2029">
        <v>0</v>
      </c>
      <c r="E2029">
        <v>1</v>
      </c>
      <c r="F2029">
        <v>3</v>
      </c>
    </row>
    <row r="2030" spans="1:6" x14ac:dyDescent="0.35">
      <c r="A2030">
        <v>1392</v>
      </c>
      <c r="B2030">
        <v>10146</v>
      </c>
      <c r="C2030">
        <v>1</v>
      </c>
      <c r="D2030">
        <v>0</v>
      </c>
      <c r="E2030">
        <v>1</v>
      </c>
      <c r="F2030">
        <v>3</v>
      </c>
    </row>
    <row r="2031" spans="1:6" x14ac:dyDescent="0.35">
      <c r="A2031">
        <v>1412</v>
      </c>
      <c r="B2031">
        <v>361</v>
      </c>
      <c r="C2031">
        <v>1</v>
      </c>
      <c r="D2031">
        <v>1</v>
      </c>
      <c r="E2031">
        <v>1</v>
      </c>
      <c r="F2031">
        <v>2</v>
      </c>
    </row>
    <row r="2032" spans="1:6" x14ac:dyDescent="0.35">
      <c r="A2032">
        <v>1423</v>
      </c>
      <c r="B2032">
        <v>5229</v>
      </c>
      <c r="C2032">
        <v>1</v>
      </c>
      <c r="D2032">
        <v>0</v>
      </c>
      <c r="E2032">
        <v>1</v>
      </c>
      <c r="F2032">
        <v>3</v>
      </c>
    </row>
    <row r="2033" spans="1:6" x14ac:dyDescent="0.35">
      <c r="A2033">
        <v>1424</v>
      </c>
      <c r="B2033">
        <v>4086</v>
      </c>
      <c r="C2033">
        <v>1</v>
      </c>
      <c r="D2033">
        <v>4</v>
      </c>
      <c r="E2033">
        <v>1</v>
      </c>
      <c r="F2033">
        <v>2</v>
      </c>
    </row>
    <row r="2034" spans="1:6" x14ac:dyDescent="0.35">
      <c r="A2034">
        <v>1427</v>
      </c>
      <c r="B2034">
        <v>2836</v>
      </c>
      <c r="C2034">
        <v>1</v>
      </c>
      <c r="D2034">
        <v>0</v>
      </c>
      <c r="E2034">
        <v>1</v>
      </c>
      <c r="F2034">
        <v>2</v>
      </c>
    </row>
    <row r="2035" spans="1:6" x14ac:dyDescent="0.35">
      <c r="A2035">
        <v>1441</v>
      </c>
      <c r="B2035">
        <v>1183</v>
      </c>
      <c r="C2035">
        <v>1</v>
      </c>
      <c r="D2035">
        <v>2</v>
      </c>
      <c r="E2035">
        <v>1</v>
      </c>
      <c r="F2035">
        <v>2</v>
      </c>
    </row>
    <row r="2036" spans="1:6" x14ac:dyDescent="0.35">
      <c r="A2036">
        <v>1550</v>
      </c>
      <c r="B2036">
        <v>2544</v>
      </c>
      <c r="C2036">
        <v>1</v>
      </c>
      <c r="D2036">
        <v>7</v>
      </c>
      <c r="E2036">
        <v>1</v>
      </c>
      <c r="F2036">
        <v>4</v>
      </c>
    </row>
    <row r="2037" spans="1:6" x14ac:dyDescent="0.35">
      <c r="A2037">
        <v>1555</v>
      </c>
      <c r="B2037">
        <v>7791</v>
      </c>
      <c r="C2037">
        <v>1</v>
      </c>
      <c r="D2037">
        <v>1</v>
      </c>
      <c r="E2037">
        <v>1</v>
      </c>
      <c r="F2037">
        <v>3</v>
      </c>
    </row>
    <row r="2038" spans="1:6" x14ac:dyDescent="0.35">
      <c r="A2038">
        <v>1557</v>
      </c>
      <c r="B2038">
        <v>4037</v>
      </c>
      <c r="C2038">
        <v>1</v>
      </c>
      <c r="D2038">
        <v>0</v>
      </c>
      <c r="E2038">
        <v>1</v>
      </c>
      <c r="F2038">
        <v>2</v>
      </c>
    </row>
    <row r="2039" spans="1:6" x14ac:dyDescent="0.35">
      <c r="A2039">
        <v>1580</v>
      </c>
      <c r="B2039">
        <v>3790</v>
      </c>
      <c r="C2039">
        <v>1</v>
      </c>
      <c r="D2039">
        <v>0</v>
      </c>
      <c r="E2039">
        <v>1</v>
      </c>
      <c r="F2039">
        <v>2</v>
      </c>
    </row>
    <row r="2040" spans="1:6" x14ac:dyDescent="0.35">
      <c r="A2040">
        <v>1603</v>
      </c>
      <c r="B2040">
        <v>800</v>
      </c>
      <c r="C2040">
        <v>1</v>
      </c>
      <c r="D2040">
        <v>0</v>
      </c>
      <c r="E2040">
        <v>1</v>
      </c>
      <c r="F2040">
        <v>3</v>
      </c>
    </row>
    <row r="2041" spans="1:6" x14ac:dyDescent="0.35">
      <c r="A2041">
        <v>1633</v>
      </c>
      <c r="B2041">
        <v>10207</v>
      </c>
      <c r="C2041">
        <v>1</v>
      </c>
      <c r="D2041">
        <v>0</v>
      </c>
      <c r="E2041">
        <v>1</v>
      </c>
      <c r="F2041">
        <v>2</v>
      </c>
    </row>
    <row r="2042" spans="1:6" x14ac:dyDescent="0.35">
      <c r="A2042">
        <v>1639</v>
      </c>
      <c r="B2042">
        <v>2814</v>
      </c>
      <c r="C2042">
        <v>1</v>
      </c>
      <c r="D2042">
        <v>5</v>
      </c>
      <c r="E2042">
        <v>1</v>
      </c>
      <c r="F2042">
        <v>3</v>
      </c>
    </row>
    <row r="2043" spans="1:6" x14ac:dyDescent="0.35">
      <c r="A2043">
        <v>1677</v>
      </c>
      <c r="B2043">
        <v>6347</v>
      </c>
      <c r="C2043">
        <v>1</v>
      </c>
      <c r="D2043">
        <v>9</v>
      </c>
      <c r="E2043">
        <v>1</v>
      </c>
      <c r="F2043">
        <v>3</v>
      </c>
    </row>
    <row r="2044" spans="1:6" x14ac:dyDescent="0.35">
      <c r="A2044">
        <v>1696</v>
      </c>
      <c r="B2044">
        <v>1890</v>
      </c>
      <c r="C2044">
        <v>1</v>
      </c>
      <c r="D2044">
        <v>0</v>
      </c>
      <c r="E2044">
        <v>1</v>
      </c>
      <c r="F2044">
        <v>2</v>
      </c>
    </row>
    <row r="2045" spans="1:6" x14ac:dyDescent="0.35">
      <c r="A2045">
        <v>1731</v>
      </c>
      <c r="B2045">
        <v>10304</v>
      </c>
      <c r="C2045">
        <v>1</v>
      </c>
      <c r="D2045">
        <v>4</v>
      </c>
      <c r="E2045">
        <v>1</v>
      </c>
      <c r="F2045">
        <v>2</v>
      </c>
    </row>
    <row r="2046" spans="1:6" x14ac:dyDescent="0.35">
      <c r="A2046">
        <v>1739</v>
      </c>
      <c r="B2046">
        <v>1064</v>
      </c>
      <c r="C2046">
        <v>1</v>
      </c>
      <c r="D2046">
        <v>5</v>
      </c>
      <c r="E2046">
        <v>1</v>
      </c>
      <c r="F2046">
        <v>3</v>
      </c>
    </row>
    <row r="2047" spans="1:6" x14ac:dyDescent="0.35">
      <c r="A2047">
        <v>1766</v>
      </c>
      <c r="B2047">
        <v>10560</v>
      </c>
      <c r="C2047">
        <v>1</v>
      </c>
      <c r="D2047">
        <v>0</v>
      </c>
      <c r="E2047">
        <v>1</v>
      </c>
      <c r="F2047">
        <v>3</v>
      </c>
    </row>
    <row r="2048" spans="1:6" x14ac:dyDescent="0.35">
      <c r="A2048">
        <v>1851</v>
      </c>
      <c r="B2048">
        <v>11148</v>
      </c>
      <c r="C2048">
        <v>1</v>
      </c>
      <c r="D2048">
        <v>1</v>
      </c>
      <c r="E2048">
        <v>1</v>
      </c>
      <c r="F2048">
        <v>2</v>
      </c>
    </row>
    <row r="2049" spans="1:6" x14ac:dyDescent="0.35">
      <c r="A2049">
        <v>1886</v>
      </c>
      <c r="B2049">
        <v>7505</v>
      </c>
      <c r="C2049">
        <v>1</v>
      </c>
      <c r="D2049">
        <v>0</v>
      </c>
      <c r="E2049">
        <v>1</v>
      </c>
      <c r="F2049">
        <v>2</v>
      </c>
    </row>
    <row r="2050" spans="1:6" x14ac:dyDescent="0.35">
      <c r="A2050">
        <v>1908</v>
      </c>
      <c r="B2050">
        <v>3265</v>
      </c>
      <c r="C2050">
        <v>1</v>
      </c>
      <c r="D2050">
        <v>3</v>
      </c>
      <c r="E2050">
        <v>1</v>
      </c>
      <c r="F2050">
        <v>3</v>
      </c>
    </row>
    <row r="2051" spans="1:6" x14ac:dyDescent="0.35">
      <c r="A2051">
        <v>1941</v>
      </c>
      <c r="B2051">
        <v>5138</v>
      </c>
      <c r="C2051">
        <v>1</v>
      </c>
      <c r="D2051">
        <v>2</v>
      </c>
      <c r="E2051">
        <v>1</v>
      </c>
      <c r="F2051">
        <v>3</v>
      </c>
    </row>
    <row r="2052" spans="1:6" x14ac:dyDescent="0.35">
      <c r="A2052">
        <v>2091</v>
      </c>
      <c r="B2052">
        <v>2686</v>
      </c>
      <c r="C2052">
        <v>1</v>
      </c>
      <c r="D2052">
        <v>1</v>
      </c>
      <c r="E2052">
        <v>1</v>
      </c>
      <c r="F2052">
        <v>2</v>
      </c>
    </row>
    <row r="2053" spans="1:6" x14ac:dyDescent="0.35">
      <c r="A2053">
        <v>2095</v>
      </c>
      <c r="B2053">
        <v>11031</v>
      </c>
      <c r="C2053">
        <v>1</v>
      </c>
      <c r="D2053">
        <v>0</v>
      </c>
      <c r="E2053">
        <v>1</v>
      </c>
      <c r="F2053">
        <v>3</v>
      </c>
    </row>
    <row r="2054" spans="1:6" x14ac:dyDescent="0.35">
      <c r="A2054">
        <v>2154</v>
      </c>
      <c r="B2054">
        <v>2711</v>
      </c>
      <c r="C2054">
        <v>1</v>
      </c>
      <c r="D2054">
        <v>5</v>
      </c>
      <c r="E2054">
        <v>1</v>
      </c>
      <c r="F2054">
        <v>3</v>
      </c>
    </row>
    <row r="2055" spans="1:6" x14ac:dyDescent="0.35">
      <c r="A2055">
        <v>2191</v>
      </c>
      <c r="B2055">
        <v>2656</v>
      </c>
      <c r="C2055">
        <v>1</v>
      </c>
      <c r="D2055">
        <v>4</v>
      </c>
      <c r="E2055">
        <v>1</v>
      </c>
      <c r="F2055">
        <v>2</v>
      </c>
    </row>
    <row r="2056" spans="1:6" x14ac:dyDescent="0.35">
      <c r="A2056">
        <v>2218</v>
      </c>
      <c r="B2056">
        <v>4838</v>
      </c>
      <c r="C2056">
        <v>1</v>
      </c>
      <c r="D2056">
        <v>0</v>
      </c>
      <c r="E2056">
        <v>1</v>
      </c>
      <c r="F2056">
        <v>2</v>
      </c>
    </row>
    <row r="2057" spans="1:6" x14ac:dyDescent="0.35">
      <c r="A2057">
        <v>9</v>
      </c>
      <c r="B2057">
        <v>5899</v>
      </c>
      <c r="C2057">
        <v>0</v>
      </c>
      <c r="D2057">
        <v>1</v>
      </c>
      <c r="E2057">
        <v>1</v>
      </c>
      <c r="F2057">
        <v>0</v>
      </c>
    </row>
    <row r="2058" spans="1:6" x14ac:dyDescent="0.35">
      <c r="A2058">
        <v>38</v>
      </c>
      <c r="B2058">
        <v>8595</v>
      </c>
      <c r="C2058">
        <v>0</v>
      </c>
      <c r="D2058">
        <v>0</v>
      </c>
      <c r="E2058">
        <v>1</v>
      </c>
      <c r="F2058">
        <v>3</v>
      </c>
    </row>
    <row r="2059" spans="1:6" x14ac:dyDescent="0.35">
      <c r="A2059">
        <v>57</v>
      </c>
      <c r="B2059">
        <v>7437</v>
      </c>
      <c r="C2059">
        <v>0</v>
      </c>
      <c r="D2059">
        <v>1</v>
      </c>
      <c r="E2059">
        <v>1</v>
      </c>
      <c r="F2059">
        <v>4</v>
      </c>
    </row>
    <row r="2060" spans="1:6" x14ac:dyDescent="0.35">
      <c r="A2060">
        <v>66</v>
      </c>
      <c r="B2060">
        <v>1386</v>
      </c>
      <c r="C2060">
        <v>0</v>
      </c>
      <c r="D2060">
        <v>0</v>
      </c>
      <c r="E2060">
        <v>1</v>
      </c>
      <c r="F2060">
        <v>2</v>
      </c>
    </row>
    <row r="2061" spans="1:6" x14ac:dyDescent="0.35">
      <c r="A2061">
        <v>91</v>
      </c>
      <c r="B2061">
        <v>9235</v>
      </c>
      <c r="C2061">
        <v>0</v>
      </c>
      <c r="D2061">
        <v>0</v>
      </c>
      <c r="E2061">
        <v>1</v>
      </c>
      <c r="F2061">
        <v>2</v>
      </c>
    </row>
    <row r="2062" spans="1:6" x14ac:dyDescent="0.35">
      <c r="A2062">
        <v>122</v>
      </c>
      <c r="B2062">
        <v>8442</v>
      </c>
      <c r="C2062">
        <v>0</v>
      </c>
      <c r="D2062">
        <v>4</v>
      </c>
      <c r="E2062">
        <v>1</v>
      </c>
      <c r="F2062">
        <v>3</v>
      </c>
    </row>
    <row r="2063" spans="1:6" x14ac:dyDescent="0.35">
      <c r="A2063">
        <v>123</v>
      </c>
      <c r="B2063">
        <v>7386</v>
      </c>
      <c r="C2063">
        <v>0</v>
      </c>
      <c r="D2063">
        <v>3</v>
      </c>
      <c r="E2063">
        <v>1</v>
      </c>
      <c r="F2063">
        <v>3</v>
      </c>
    </row>
    <row r="2064" spans="1:6" x14ac:dyDescent="0.35">
      <c r="A2064">
        <v>138</v>
      </c>
      <c r="B2064">
        <v>7660</v>
      </c>
      <c r="C2064">
        <v>0</v>
      </c>
      <c r="D2064">
        <v>2</v>
      </c>
      <c r="E2064">
        <v>1</v>
      </c>
      <c r="F2064">
        <v>2</v>
      </c>
    </row>
    <row r="2065" spans="1:6" x14ac:dyDescent="0.35">
      <c r="A2065">
        <v>160</v>
      </c>
      <c r="B2065">
        <v>2795</v>
      </c>
      <c r="C2065">
        <v>0</v>
      </c>
      <c r="D2065">
        <v>0</v>
      </c>
      <c r="E2065">
        <v>1</v>
      </c>
      <c r="F2065">
        <v>2</v>
      </c>
    </row>
    <row r="2066" spans="1:6" x14ac:dyDescent="0.35">
      <c r="A2066">
        <v>186</v>
      </c>
      <c r="B2066">
        <v>5823</v>
      </c>
      <c r="C2066">
        <v>0</v>
      </c>
      <c r="D2066">
        <v>0</v>
      </c>
      <c r="E2066">
        <v>1</v>
      </c>
      <c r="F2066">
        <v>4</v>
      </c>
    </row>
    <row r="2067" spans="1:6" x14ac:dyDescent="0.35">
      <c r="A2067">
        <v>195</v>
      </c>
      <c r="B2067">
        <v>7224</v>
      </c>
      <c r="C2067">
        <v>0</v>
      </c>
      <c r="D2067">
        <v>1</v>
      </c>
      <c r="E2067">
        <v>1</v>
      </c>
      <c r="F2067">
        <v>2</v>
      </c>
    </row>
    <row r="2068" spans="1:6" x14ac:dyDescent="0.35">
      <c r="A2068">
        <v>204</v>
      </c>
      <c r="B2068">
        <v>1030</v>
      </c>
      <c r="C2068">
        <v>0</v>
      </c>
      <c r="D2068">
        <v>0</v>
      </c>
      <c r="E2068">
        <v>1</v>
      </c>
      <c r="F2068">
        <v>3</v>
      </c>
    </row>
    <row r="2069" spans="1:6" x14ac:dyDescent="0.35">
      <c r="A2069">
        <v>216</v>
      </c>
      <c r="B2069">
        <v>7264</v>
      </c>
      <c r="C2069">
        <v>0</v>
      </c>
      <c r="D2069">
        <v>0</v>
      </c>
      <c r="E2069">
        <v>1</v>
      </c>
      <c r="F2069">
        <v>2</v>
      </c>
    </row>
    <row r="2070" spans="1:6" x14ac:dyDescent="0.35">
      <c r="A2070">
        <v>236</v>
      </c>
      <c r="B2070">
        <v>2936</v>
      </c>
      <c r="C2070">
        <v>0</v>
      </c>
      <c r="D2070">
        <v>0</v>
      </c>
      <c r="E2070">
        <v>1</v>
      </c>
      <c r="F2070">
        <v>3</v>
      </c>
    </row>
    <row r="2071" spans="1:6" x14ac:dyDescent="0.35">
      <c r="A2071">
        <v>239</v>
      </c>
      <c r="B2071">
        <v>11004</v>
      </c>
      <c r="C2071">
        <v>0</v>
      </c>
      <c r="D2071">
        <v>0</v>
      </c>
      <c r="E2071">
        <v>1</v>
      </c>
      <c r="F2071">
        <v>2</v>
      </c>
    </row>
    <row r="2072" spans="1:6" x14ac:dyDescent="0.35">
      <c r="A2072">
        <v>245</v>
      </c>
      <c r="B2072">
        <v>7411</v>
      </c>
      <c r="C2072">
        <v>0</v>
      </c>
      <c r="D2072">
        <v>0</v>
      </c>
      <c r="E2072">
        <v>1</v>
      </c>
      <c r="F2072">
        <v>3</v>
      </c>
    </row>
    <row r="2073" spans="1:6" x14ac:dyDescent="0.35">
      <c r="A2073">
        <v>255</v>
      </c>
      <c r="B2073">
        <v>5304</v>
      </c>
      <c r="C2073">
        <v>0</v>
      </c>
      <c r="D2073">
        <v>0</v>
      </c>
      <c r="E2073">
        <v>1</v>
      </c>
      <c r="F2073">
        <v>3</v>
      </c>
    </row>
    <row r="2074" spans="1:6" x14ac:dyDescent="0.35">
      <c r="A2074">
        <v>259</v>
      </c>
      <c r="B2074">
        <v>3153</v>
      </c>
      <c r="C2074">
        <v>0</v>
      </c>
      <c r="D2074">
        <v>0</v>
      </c>
      <c r="E2074">
        <v>1</v>
      </c>
      <c r="F2074">
        <v>2</v>
      </c>
    </row>
    <row r="2075" spans="1:6" x14ac:dyDescent="0.35">
      <c r="A2075">
        <v>263</v>
      </c>
      <c r="B2075">
        <v>9396</v>
      </c>
      <c r="C2075">
        <v>0</v>
      </c>
      <c r="D2075">
        <v>1</v>
      </c>
      <c r="E2075">
        <v>1</v>
      </c>
      <c r="F2075">
        <v>2</v>
      </c>
    </row>
    <row r="2076" spans="1:6" x14ac:dyDescent="0.35">
      <c r="A2076">
        <v>318</v>
      </c>
      <c r="B2076">
        <v>113</v>
      </c>
      <c r="C2076">
        <v>0</v>
      </c>
      <c r="D2076">
        <v>1</v>
      </c>
      <c r="E2076">
        <v>1</v>
      </c>
      <c r="F2076">
        <v>3</v>
      </c>
    </row>
    <row r="2077" spans="1:6" x14ac:dyDescent="0.35">
      <c r="A2077">
        <v>322</v>
      </c>
      <c r="B2077">
        <v>8275</v>
      </c>
      <c r="C2077">
        <v>0</v>
      </c>
      <c r="D2077">
        <v>0</v>
      </c>
      <c r="E2077">
        <v>1</v>
      </c>
      <c r="F2077">
        <v>2</v>
      </c>
    </row>
    <row r="2078" spans="1:6" x14ac:dyDescent="0.35">
      <c r="A2078">
        <v>328</v>
      </c>
      <c r="B2078">
        <v>10350</v>
      </c>
      <c r="C2078">
        <v>0</v>
      </c>
      <c r="D2078">
        <v>0</v>
      </c>
      <c r="E2078">
        <v>1</v>
      </c>
      <c r="F2078">
        <v>3</v>
      </c>
    </row>
    <row r="2079" spans="1:6" x14ac:dyDescent="0.35">
      <c r="A2079">
        <v>346</v>
      </c>
      <c r="B2079">
        <v>8553</v>
      </c>
      <c r="C2079">
        <v>0</v>
      </c>
      <c r="D2079">
        <v>0</v>
      </c>
      <c r="E2079">
        <v>1</v>
      </c>
      <c r="F2079">
        <v>3</v>
      </c>
    </row>
    <row r="2080" spans="1:6" x14ac:dyDescent="0.35">
      <c r="A2080">
        <v>349</v>
      </c>
      <c r="B2080">
        <v>11030</v>
      </c>
      <c r="C2080">
        <v>0</v>
      </c>
      <c r="D2080">
        <v>0</v>
      </c>
      <c r="E2080">
        <v>1</v>
      </c>
      <c r="F2080">
        <v>2</v>
      </c>
    </row>
    <row r="2081" spans="1:6" x14ac:dyDescent="0.35">
      <c r="A2081">
        <v>363</v>
      </c>
      <c r="B2081">
        <v>933</v>
      </c>
      <c r="C2081">
        <v>0</v>
      </c>
      <c r="D2081">
        <v>1</v>
      </c>
      <c r="E2081">
        <v>1</v>
      </c>
      <c r="F2081">
        <v>2</v>
      </c>
    </row>
    <row r="2082" spans="1:6" x14ac:dyDescent="0.35">
      <c r="A2082">
        <v>380</v>
      </c>
      <c r="B2082">
        <v>2098</v>
      </c>
      <c r="C2082">
        <v>0</v>
      </c>
      <c r="D2082">
        <v>0</v>
      </c>
      <c r="E2082">
        <v>1</v>
      </c>
      <c r="F2082">
        <v>2</v>
      </c>
    </row>
    <row r="2083" spans="1:6" x14ac:dyDescent="0.35">
      <c r="A2083">
        <v>398</v>
      </c>
      <c r="B2083">
        <v>798</v>
      </c>
      <c r="C2083">
        <v>0</v>
      </c>
      <c r="D2083">
        <v>6</v>
      </c>
      <c r="E2083">
        <v>1</v>
      </c>
      <c r="F2083">
        <v>3</v>
      </c>
    </row>
    <row r="2084" spans="1:6" x14ac:dyDescent="0.35">
      <c r="A2084">
        <v>405</v>
      </c>
      <c r="B2084">
        <v>194</v>
      </c>
      <c r="C2084">
        <v>0</v>
      </c>
      <c r="D2084">
        <v>2</v>
      </c>
      <c r="E2084">
        <v>1</v>
      </c>
      <c r="F2084">
        <v>3</v>
      </c>
    </row>
    <row r="2085" spans="1:6" x14ac:dyDescent="0.35">
      <c r="A2085">
        <v>425</v>
      </c>
      <c r="B2085">
        <v>7284</v>
      </c>
      <c r="C2085">
        <v>0</v>
      </c>
      <c r="D2085">
        <v>0</v>
      </c>
      <c r="E2085">
        <v>1</v>
      </c>
      <c r="F2085">
        <v>2</v>
      </c>
    </row>
    <row r="2086" spans="1:6" x14ac:dyDescent="0.35">
      <c r="A2086">
        <v>434</v>
      </c>
      <c r="B2086">
        <v>498</v>
      </c>
      <c r="C2086">
        <v>0</v>
      </c>
      <c r="D2086">
        <v>3</v>
      </c>
      <c r="E2086">
        <v>1</v>
      </c>
      <c r="F2086">
        <v>4</v>
      </c>
    </row>
    <row r="2087" spans="1:6" x14ac:dyDescent="0.35">
      <c r="A2087">
        <v>435</v>
      </c>
      <c r="B2087">
        <v>9347</v>
      </c>
      <c r="C2087">
        <v>0</v>
      </c>
      <c r="D2087">
        <v>0</v>
      </c>
      <c r="E2087">
        <v>1</v>
      </c>
      <c r="F2087">
        <v>3</v>
      </c>
    </row>
    <row r="2088" spans="1:6" x14ac:dyDescent="0.35">
      <c r="A2088">
        <v>445</v>
      </c>
      <c r="B2088">
        <v>10364</v>
      </c>
      <c r="C2088">
        <v>0</v>
      </c>
      <c r="D2088">
        <v>12</v>
      </c>
      <c r="E2088">
        <v>1</v>
      </c>
      <c r="F2088">
        <v>2</v>
      </c>
    </row>
    <row r="2089" spans="1:6" x14ac:dyDescent="0.35">
      <c r="A2089">
        <v>471</v>
      </c>
      <c r="B2089">
        <v>1581</v>
      </c>
      <c r="C2089">
        <v>0</v>
      </c>
      <c r="D2089">
        <v>2</v>
      </c>
      <c r="E2089">
        <v>1</v>
      </c>
      <c r="F2089">
        <v>2</v>
      </c>
    </row>
    <row r="2090" spans="1:6" x14ac:dyDescent="0.35">
      <c r="A2090">
        <v>488</v>
      </c>
      <c r="B2090">
        <v>3436</v>
      </c>
      <c r="C2090">
        <v>0</v>
      </c>
      <c r="D2090">
        <v>1</v>
      </c>
      <c r="E2090">
        <v>1</v>
      </c>
      <c r="F2090">
        <v>3</v>
      </c>
    </row>
    <row r="2091" spans="1:6" x14ac:dyDescent="0.35">
      <c r="A2091">
        <v>501</v>
      </c>
      <c r="B2091">
        <v>10623</v>
      </c>
      <c r="C2091">
        <v>0</v>
      </c>
      <c r="D2091">
        <v>0</v>
      </c>
      <c r="E2091">
        <v>1</v>
      </c>
      <c r="F2091">
        <v>3</v>
      </c>
    </row>
    <row r="2092" spans="1:6" x14ac:dyDescent="0.35">
      <c r="A2092">
        <v>504</v>
      </c>
      <c r="B2092">
        <v>10160</v>
      </c>
      <c r="C2092">
        <v>0</v>
      </c>
      <c r="D2092">
        <v>0</v>
      </c>
      <c r="E2092">
        <v>1</v>
      </c>
      <c r="F2092">
        <v>3</v>
      </c>
    </row>
    <row r="2093" spans="1:6" x14ac:dyDescent="0.35">
      <c r="A2093">
        <v>549</v>
      </c>
      <c r="B2093">
        <v>2256</v>
      </c>
      <c r="C2093">
        <v>0</v>
      </c>
      <c r="D2093">
        <v>0</v>
      </c>
      <c r="E2093">
        <v>1</v>
      </c>
      <c r="F2093">
        <v>3</v>
      </c>
    </row>
    <row r="2094" spans="1:6" x14ac:dyDescent="0.35">
      <c r="A2094">
        <v>567</v>
      </c>
      <c r="B2094">
        <v>891</v>
      </c>
      <c r="C2094">
        <v>0</v>
      </c>
      <c r="D2094">
        <v>0</v>
      </c>
      <c r="E2094">
        <v>1</v>
      </c>
      <c r="F2094">
        <v>2</v>
      </c>
    </row>
    <row r="2095" spans="1:6" x14ac:dyDescent="0.35">
      <c r="A2095">
        <v>568</v>
      </c>
      <c r="B2095">
        <v>10381</v>
      </c>
      <c r="C2095">
        <v>0</v>
      </c>
      <c r="D2095">
        <v>0</v>
      </c>
      <c r="E2095">
        <v>1</v>
      </c>
      <c r="F2095">
        <v>2</v>
      </c>
    </row>
    <row r="2096" spans="1:6" x14ac:dyDescent="0.35">
      <c r="A2096">
        <v>569</v>
      </c>
      <c r="B2096">
        <v>3525</v>
      </c>
      <c r="C2096">
        <v>0</v>
      </c>
      <c r="D2096">
        <v>0</v>
      </c>
      <c r="E2096">
        <v>1</v>
      </c>
      <c r="F2096">
        <v>2</v>
      </c>
    </row>
    <row r="2097" spans="1:6" x14ac:dyDescent="0.35">
      <c r="A2097">
        <v>571</v>
      </c>
      <c r="B2097">
        <v>3526</v>
      </c>
      <c r="C2097">
        <v>0</v>
      </c>
      <c r="D2097">
        <v>0</v>
      </c>
      <c r="E2097">
        <v>1</v>
      </c>
      <c r="F2097">
        <v>3</v>
      </c>
    </row>
    <row r="2098" spans="1:6" x14ac:dyDescent="0.35">
      <c r="A2098">
        <v>582</v>
      </c>
      <c r="B2098">
        <v>5081</v>
      </c>
      <c r="C2098">
        <v>0</v>
      </c>
      <c r="D2098">
        <v>6</v>
      </c>
      <c r="E2098">
        <v>1</v>
      </c>
      <c r="F2098">
        <v>3</v>
      </c>
    </row>
    <row r="2099" spans="1:6" x14ac:dyDescent="0.35">
      <c r="A2099">
        <v>597</v>
      </c>
      <c r="B2099">
        <v>7444</v>
      </c>
      <c r="C2099">
        <v>0</v>
      </c>
      <c r="D2099">
        <v>0</v>
      </c>
      <c r="E2099">
        <v>1</v>
      </c>
      <c r="F2099">
        <v>3</v>
      </c>
    </row>
    <row r="2100" spans="1:6" x14ac:dyDescent="0.35">
      <c r="A2100">
        <v>600</v>
      </c>
      <c r="B2100">
        <v>10277</v>
      </c>
      <c r="C2100">
        <v>0</v>
      </c>
      <c r="D2100">
        <v>0</v>
      </c>
      <c r="E2100">
        <v>1</v>
      </c>
      <c r="F2100">
        <v>3</v>
      </c>
    </row>
    <row r="2101" spans="1:6" x14ac:dyDescent="0.35">
      <c r="A2101">
        <v>606</v>
      </c>
      <c r="B2101">
        <v>7232</v>
      </c>
      <c r="C2101">
        <v>0</v>
      </c>
      <c r="D2101">
        <v>0</v>
      </c>
      <c r="E2101">
        <v>1</v>
      </c>
      <c r="F2101">
        <v>3</v>
      </c>
    </row>
    <row r="2102" spans="1:6" x14ac:dyDescent="0.35">
      <c r="A2102">
        <v>616</v>
      </c>
      <c r="B2102">
        <v>8953</v>
      </c>
      <c r="C2102">
        <v>0</v>
      </c>
      <c r="D2102">
        <v>0</v>
      </c>
      <c r="E2102">
        <v>1</v>
      </c>
      <c r="F2102">
        <v>3</v>
      </c>
    </row>
    <row r="2103" spans="1:6" x14ac:dyDescent="0.35">
      <c r="A2103">
        <v>635</v>
      </c>
      <c r="B2103">
        <v>8461</v>
      </c>
      <c r="C2103">
        <v>0</v>
      </c>
      <c r="D2103">
        <v>0</v>
      </c>
      <c r="E2103">
        <v>1</v>
      </c>
      <c r="F2103">
        <v>2</v>
      </c>
    </row>
    <row r="2104" spans="1:6" x14ac:dyDescent="0.35">
      <c r="A2104">
        <v>651</v>
      </c>
      <c r="B2104">
        <v>6728</v>
      </c>
      <c r="C2104">
        <v>0</v>
      </c>
      <c r="D2104">
        <v>3</v>
      </c>
      <c r="E2104">
        <v>1</v>
      </c>
      <c r="F2104">
        <v>3</v>
      </c>
    </row>
    <row r="2105" spans="1:6" x14ac:dyDescent="0.35">
      <c r="A2105">
        <v>666</v>
      </c>
      <c r="B2105">
        <v>8754</v>
      </c>
      <c r="C2105">
        <v>0</v>
      </c>
      <c r="D2105">
        <v>0</v>
      </c>
      <c r="E2105">
        <v>1</v>
      </c>
      <c r="F2105">
        <v>2</v>
      </c>
    </row>
    <row r="2106" spans="1:6" x14ac:dyDescent="0.35">
      <c r="A2106">
        <v>668</v>
      </c>
      <c r="B2106">
        <v>11007</v>
      </c>
      <c r="C2106">
        <v>0</v>
      </c>
      <c r="D2106">
        <v>0</v>
      </c>
      <c r="E2106">
        <v>1</v>
      </c>
      <c r="F2106">
        <v>3</v>
      </c>
    </row>
    <row r="2107" spans="1:6" x14ac:dyDescent="0.35">
      <c r="A2107">
        <v>693</v>
      </c>
      <c r="B2107">
        <v>9316</v>
      </c>
      <c r="C2107">
        <v>0</v>
      </c>
      <c r="D2107">
        <v>7</v>
      </c>
      <c r="E2107">
        <v>1</v>
      </c>
      <c r="F2107">
        <v>3</v>
      </c>
    </row>
    <row r="2108" spans="1:6" x14ac:dyDescent="0.35">
      <c r="A2108">
        <v>706</v>
      </c>
      <c r="B2108">
        <v>4472</v>
      </c>
      <c r="C2108">
        <v>0</v>
      </c>
      <c r="D2108">
        <v>2</v>
      </c>
      <c r="E2108">
        <v>1</v>
      </c>
      <c r="F2108">
        <v>3</v>
      </c>
    </row>
    <row r="2109" spans="1:6" x14ac:dyDescent="0.35">
      <c r="A2109">
        <v>722</v>
      </c>
      <c r="B2109">
        <v>4329</v>
      </c>
      <c r="C2109">
        <v>0</v>
      </c>
      <c r="D2109">
        <v>1</v>
      </c>
      <c r="E2109">
        <v>1</v>
      </c>
      <c r="F2109">
        <v>3</v>
      </c>
    </row>
    <row r="2110" spans="1:6" x14ac:dyDescent="0.35">
      <c r="A2110">
        <v>738</v>
      </c>
      <c r="B2110">
        <v>6516</v>
      </c>
      <c r="C2110">
        <v>0</v>
      </c>
      <c r="D2110">
        <v>4</v>
      </c>
      <c r="E2110">
        <v>1</v>
      </c>
      <c r="F2110">
        <v>2</v>
      </c>
    </row>
    <row r="2111" spans="1:6" x14ac:dyDescent="0.35">
      <c r="A2111">
        <v>775</v>
      </c>
      <c r="B2111">
        <v>6825</v>
      </c>
      <c r="C2111">
        <v>0</v>
      </c>
      <c r="D2111">
        <v>0</v>
      </c>
      <c r="E2111">
        <v>1</v>
      </c>
      <c r="F2111">
        <v>2</v>
      </c>
    </row>
    <row r="2112" spans="1:6" x14ac:dyDescent="0.35">
      <c r="A2112">
        <v>829</v>
      </c>
      <c r="B2112">
        <v>6646</v>
      </c>
      <c r="C2112">
        <v>0</v>
      </c>
      <c r="D2112">
        <v>0</v>
      </c>
      <c r="E2112">
        <v>1</v>
      </c>
      <c r="F2112">
        <v>3</v>
      </c>
    </row>
    <row r="2113" spans="1:6" x14ac:dyDescent="0.35">
      <c r="A2113">
        <v>838</v>
      </c>
      <c r="B2113">
        <v>10856</v>
      </c>
      <c r="C2113">
        <v>0</v>
      </c>
      <c r="D2113">
        <v>1</v>
      </c>
      <c r="E2113">
        <v>1</v>
      </c>
      <c r="F2113">
        <v>3</v>
      </c>
    </row>
    <row r="2114" spans="1:6" x14ac:dyDescent="0.35">
      <c r="A2114">
        <v>853</v>
      </c>
      <c r="B2114">
        <v>7186</v>
      </c>
      <c r="C2114">
        <v>0</v>
      </c>
      <c r="D2114">
        <v>0</v>
      </c>
      <c r="E2114">
        <v>1</v>
      </c>
      <c r="F2114">
        <v>2</v>
      </c>
    </row>
    <row r="2115" spans="1:6" x14ac:dyDescent="0.35">
      <c r="A2115">
        <v>856</v>
      </c>
      <c r="B2115">
        <v>4877</v>
      </c>
      <c r="C2115">
        <v>0</v>
      </c>
      <c r="D2115">
        <v>0</v>
      </c>
      <c r="E2115">
        <v>1</v>
      </c>
      <c r="F2115">
        <v>3</v>
      </c>
    </row>
    <row r="2116" spans="1:6" x14ac:dyDescent="0.35">
      <c r="A2116">
        <v>867</v>
      </c>
      <c r="B2116">
        <v>4259</v>
      </c>
      <c r="C2116">
        <v>0</v>
      </c>
      <c r="D2116">
        <v>0</v>
      </c>
      <c r="E2116">
        <v>1</v>
      </c>
      <c r="F2116">
        <v>2</v>
      </c>
    </row>
    <row r="2117" spans="1:6" x14ac:dyDescent="0.35">
      <c r="A2117">
        <v>893</v>
      </c>
      <c r="B2117">
        <v>9960</v>
      </c>
      <c r="C2117">
        <v>0</v>
      </c>
      <c r="D2117">
        <v>3</v>
      </c>
      <c r="E2117">
        <v>1</v>
      </c>
      <c r="F2117">
        <v>2</v>
      </c>
    </row>
    <row r="2118" spans="1:6" x14ac:dyDescent="0.35">
      <c r="A2118">
        <v>920</v>
      </c>
      <c r="B2118">
        <v>9972</v>
      </c>
      <c r="C2118">
        <v>0</v>
      </c>
      <c r="D2118">
        <v>0</v>
      </c>
      <c r="E2118">
        <v>1</v>
      </c>
      <c r="F2118">
        <v>3</v>
      </c>
    </row>
    <row r="2119" spans="1:6" x14ac:dyDescent="0.35">
      <c r="A2119">
        <v>954</v>
      </c>
      <c r="B2119">
        <v>8146</v>
      </c>
      <c r="C2119">
        <v>0</v>
      </c>
      <c r="D2119">
        <v>0</v>
      </c>
      <c r="E2119">
        <v>1</v>
      </c>
      <c r="F2119">
        <v>2</v>
      </c>
    </row>
    <row r="2120" spans="1:6" x14ac:dyDescent="0.35">
      <c r="A2120">
        <v>968</v>
      </c>
      <c r="B2120">
        <v>2620</v>
      </c>
      <c r="C2120">
        <v>0</v>
      </c>
      <c r="D2120">
        <v>0</v>
      </c>
      <c r="E2120">
        <v>1</v>
      </c>
      <c r="F2120">
        <v>2</v>
      </c>
    </row>
    <row r="2121" spans="1:6" x14ac:dyDescent="0.35">
      <c r="A2121">
        <v>994</v>
      </c>
      <c r="B2121">
        <v>1640</v>
      </c>
      <c r="C2121">
        <v>0</v>
      </c>
      <c r="D2121">
        <v>6</v>
      </c>
      <c r="E2121">
        <v>1</v>
      </c>
      <c r="F2121">
        <v>4</v>
      </c>
    </row>
    <row r="2122" spans="1:6" x14ac:dyDescent="0.35">
      <c r="A2122">
        <v>1009</v>
      </c>
      <c r="B2122">
        <v>6119</v>
      </c>
      <c r="C2122">
        <v>0</v>
      </c>
      <c r="D2122">
        <v>0</v>
      </c>
      <c r="E2122">
        <v>1</v>
      </c>
      <c r="F2122">
        <v>2</v>
      </c>
    </row>
    <row r="2123" spans="1:6" x14ac:dyDescent="0.35">
      <c r="A2123">
        <v>1023</v>
      </c>
      <c r="B2123">
        <v>4550</v>
      </c>
      <c r="C2123">
        <v>0</v>
      </c>
      <c r="D2123">
        <v>0</v>
      </c>
      <c r="E2123">
        <v>1</v>
      </c>
      <c r="F2123">
        <v>3</v>
      </c>
    </row>
    <row r="2124" spans="1:6" x14ac:dyDescent="0.35">
      <c r="A2124">
        <v>1028</v>
      </c>
      <c r="B2124">
        <v>10175</v>
      </c>
      <c r="C2124">
        <v>0</v>
      </c>
      <c r="D2124">
        <v>0</v>
      </c>
      <c r="E2124">
        <v>1</v>
      </c>
      <c r="F2124">
        <v>3</v>
      </c>
    </row>
    <row r="2125" spans="1:6" x14ac:dyDescent="0.35">
      <c r="A2125">
        <v>1044</v>
      </c>
      <c r="B2125">
        <v>6287</v>
      </c>
      <c r="C2125">
        <v>0</v>
      </c>
      <c r="D2125">
        <v>0</v>
      </c>
      <c r="E2125">
        <v>1</v>
      </c>
      <c r="F2125">
        <v>2</v>
      </c>
    </row>
    <row r="2126" spans="1:6" x14ac:dyDescent="0.35">
      <c r="A2126">
        <v>1051</v>
      </c>
      <c r="B2126">
        <v>9725</v>
      </c>
      <c r="C2126">
        <v>0</v>
      </c>
      <c r="D2126">
        <v>0</v>
      </c>
      <c r="E2126">
        <v>1</v>
      </c>
      <c r="F2126">
        <v>2</v>
      </c>
    </row>
    <row r="2127" spans="1:6" x14ac:dyDescent="0.35">
      <c r="A2127">
        <v>1054</v>
      </c>
      <c r="B2127">
        <v>5731</v>
      </c>
      <c r="C2127">
        <v>0</v>
      </c>
      <c r="D2127">
        <v>0</v>
      </c>
      <c r="E2127">
        <v>1</v>
      </c>
      <c r="F2127">
        <v>3</v>
      </c>
    </row>
    <row r="2128" spans="1:6" x14ac:dyDescent="0.35">
      <c r="A2128">
        <v>1063</v>
      </c>
      <c r="B2128">
        <v>2055</v>
      </c>
      <c r="C2128">
        <v>0</v>
      </c>
      <c r="D2128">
        <v>2</v>
      </c>
      <c r="E2128">
        <v>1</v>
      </c>
      <c r="F2128">
        <v>2</v>
      </c>
    </row>
    <row r="2129" spans="1:6" x14ac:dyDescent="0.35">
      <c r="A2129">
        <v>1088</v>
      </c>
      <c r="B2129">
        <v>5577</v>
      </c>
      <c r="C2129">
        <v>0</v>
      </c>
      <c r="D2129">
        <v>1</v>
      </c>
      <c r="E2129">
        <v>1</v>
      </c>
      <c r="F2129">
        <v>2</v>
      </c>
    </row>
    <row r="2130" spans="1:6" x14ac:dyDescent="0.35">
      <c r="A2130">
        <v>1098</v>
      </c>
      <c r="B2130">
        <v>1109</v>
      </c>
      <c r="C2130">
        <v>0</v>
      </c>
      <c r="D2130">
        <v>0</v>
      </c>
      <c r="E2130">
        <v>1</v>
      </c>
      <c r="F2130">
        <v>2</v>
      </c>
    </row>
    <row r="2131" spans="1:6" x14ac:dyDescent="0.35">
      <c r="A2131">
        <v>1112</v>
      </c>
      <c r="B2131">
        <v>10022</v>
      </c>
      <c r="C2131">
        <v>0</v>
      </c>
      <c r="D2131">
        <v>0</v>
      </c>
      <c r="E2131">
        <v>1</v>
      </c>
      <c r="F2131">
        <v>2</v>
      </c>
    </row>
    <row r="2132" spans="1:6" x14ac:dyDescent="0.35">
      <c r="A2132">
        <v>1127</v>
      </c>
      <c r="B2132">
        <v>1010</v>
      </c>
      <c r="C2132">
        <v>0</v>
      </c>
      <c r="D2132">
        <v>1</v>
      </c>
      <c r="E2132">
        <v>1</v>
      </c>
      <c r="F2132">
        <v>3</v>
      </c>
    </row>
    <row r="2133" spans="1:6" x14ac:dyDescent="0.35">
      <c r="A2133">
        <v>1149</v>
      </c>
      <c r="B2133">
        <v>10525</v>
      </c>
      <c r="C2133">
        <v>0</v>
      </c>
      <c r="D2133">
        <v>0</v>
      </c>
      <c r="E2133">
        <v>1</v>
      </c>
      <c r="F2133">
        <v>2</v>
      </c>
    </row>
    <row r="2134" spans="1:6" x14ac:dyDescent="0.35">
      <c r="A2134">
        <v>1170</v>
      </c>
      <c r="B2134">
        <v>193</v>
      </c>
      <c r="C2134">
        <v>0</v>
      </c>
      <c r="D2134">
        <v>3</v>
      </c>
      <c r="E2134">
        <v>1</v>
      </c>
      <c r="F2134">
        <v>2</v>
      </c>
    </row>
    <row r="2135" spans="1:6" x14ac:dyDescent="0.35">
      <c r="A2135">
        <v>1176</v>
      </c>
      <c r="B2135">
        <v>5907</v>
      </c>
      <c r="C2135">
        <v>0</v>
      </c>
      <c r="D2135">
        <v>0</v>
      </c>
      <c r="E2135">
        <v>1</v>
      </c>
      <c r="F2135">
        <v>2</v>
      </c>
    </row>
    <row r="2136" spans="1:6" x14ac:dyDescent="0.35">
      <c r="A2136">
        <v>1192</v>
      </c>
      <c r="B2136">
        <v>2315</v>
      </c>
      <c r="C2136">
        <v>0</v>
      </c>
      <c r="D2136">
        <v>29</v>
      </c>
      <c r="E2136">
        <v>1</v>
      </c>
      <c r="F2136">
        <v>2</v>
      </c>
    </row>
    <row r="2137" spans="1:6" x14ac:dyDescent="0.35">
      <c r="A2137">
        <v>1208</v>
      </c>
      <c r="B2137">
        <v>8955</v>
      </c>
      <c r="C2137">
        <v>0</v>
      </c>
      <c r="D2137">
        <v>0</v>
      </c>
      <c r="E2137">
        <v>1</v>
      </c>
      <c r="F2137">
        <v>2</v>
      </c>
    </row>
    <row r="2138" spans="1:6" x14ac:dyDescent="0.35">
      <c r="A2138">
        <v>1231</v>
      </c>
      <c r="B2138">
        <v>7325</v>
      </c>
      <c r="C2138">
        <v>0</v>
      </c>
      <c r="D2138">
        <v>1</v>
      </c>
      <c r="E2138">
        <v>1</v>
      </c>
      <c r="F2138">
        <v>3</v>
      </c>
    </row>
    <row r="2139" spans="1:6" x14ac:dyDescent="0.35">
      <c r="A2139">
        <v>1234</v>
      </c>
      <c r="B2139">
        <v>6211</v>
      </c>
      <c r="C2139">
        <v>0</v>
      </c>
      <c r="D2139">
        <v>1</v>
      </c>
      <c r="E2139">
        <v>1</v>
      </c>
      <c r="F2139">
        <v>3</v>
      </c>
    </row>
    <row r="2140" spans="1:6" x14ac:dyDescent="0.35">
      <c r="A2140">
        <v>1248</v>
      </c>
      <c r="B2140">
        <v>4298</v>
      </c>
      <c r="C2140">
        <v>0</v>
      </c>
      <c r="D2140">
        <v>0</v>
      </c>
      <c r="E2140">
        <v>1</v>
      </c>
      <c r="F2140">
        <v>2</v>
      </c>
    </row>
    <row r="2141" spans="1:6" x14ac:dyDescent="0.35">
      <c r="A2141">
        <v>1258</v>
      </c>
      <c r="B2141">
        <v>5493</v>
      </c>
      <c r="C2141">
        <v>0</v>
      </c>
      <c r="D2141">
        <v>0</v>
      </c>
      <c r="E2141">
        <v>1</v>
      </c>
      <c r="F2141">
        <v>2</v>
      </c>
    </row>
    <row r="2142" spans="1:6" x14ac:dyDescent="0.35">
      <c r="A2142">
        <v>1260</v>
      </c>
      <c r="B2142">
        <v>5107</v>
      </c>
      <c r="C2142">
        <v>0</v>
      </c>
      <c r="D2142">
        <v>2</v>
      </c>
      <c r="E2142">
        <v>1</v>
      </c>
      <c r="F2142">
        <v>2</v>
      </c>
    </row>
    <row r="2143" spans="1:6" x14ac:dyDescent="0.35">
      <c r="A2143">
        <v>1293</v>
      </c>
      <c r="B2143">
        <v>7128</v>
      </c>
      <c r="C2143">
        <v>0</v>
      </c>
      <c r="D2143">
        <v>1</v>
      </c>
      <c r="E2143">
        <v>1</v>
      </c>
      <c r="F2143">
        <v>2</v>
      </c>
    </row>
    <row r="2144" spans="1:6" x14ac:dyDescent="0.35">
      <c r="A2144">
        <v>1294</v>
      </c>
      <c r="B2144">
        <v>2811</v>
      </c>
      <c r="C2144">
        <v>0</v>
      </c>
      <c r="D2144">
        <v>0</v>
      </c>
      <c r="E2144">
        <v>1</v>
      </c>
      <c r="F2144">
        <v>4</v>
      </c>
    </row>
    <row r="2145" spans="1:6" x14ac:dyDescent="0.35">
      <c r="A2145">
        <v>1343</v>
      </c>
      <c r="B2145">
        <v>2253</v>
      </c>
      <c r="C2145">
        <v>0</v>
      </c>
      <c r="D2145">
        <v>4</v>
      </c>
      <c r="E2145">
        <v>1</v>
      </c>
      <c r="F2145">
        <v>4</v>
      </c>
    </row>
    <row r="2146" spans="1:6" x14ac:dyDescent="0.35">
      <c r="A2146">
        <v>1372</v>
      </c>
      <c r="B2146">
        <v>10258</v>
      </c>
      <c r="C2146">
        <v>0</v>
      </c>
      <c r="D2146">
        <v>0</v>
      </c>
      <c r="E2146">
        <v>1</v>
      </c>
      <c r="F2146">
        <v>3</v>
      </c>
    </row>
    <row r="2147" spans="1:6" x14ac:dyDescent="0.35">
      <c r="A2147">
        <v>1396</v>
      </c>
      <c r="B2147">
        <v>8663</v>
      </c>
      <c r="C2147">
        <v>0</v>
      </c>
      <c r="D2147">
        <v>0</v>
      </c>
      <c r="E2147">
        <v>1</v>
      </c>
      <c r="F2147">
        <v>2</v>
      </c>
    </row>
    <row r="2148" spans="1:6" x14ac:dyDescent="0.35">
      <c r="A2148">
        <v>1420</v>
      </c>
      <c r="B2148">
        <v>5824</v>
      </c>
      <c r="C2148">
        <v>0</v>
      </c>
      <c r="D2148">
        <v>0</v>
      </c>
      <c r="E2148">
        <v>1</v>
      </c>
      <c r="F2148">
        <v>2</v>
      </c>
    </row>
    <row r="2149" spans="1:6" x14ac:dyDescent="0.35">
      <c r="A2149">
        <v>1426</v>
      </c>
      <c r="B2149">
        <v>8254</v>
      </c>
      <c r="C2149">
        <v>0</v>
      </c>
      <c r="D2149">
        <v>0</v>
      </c>
      <c r="E2149">
        <v>1</v>
      </c>
      <c r="F2149">
        <v>2</v>
      </c>
    </row>
    <row r="2150" spans="1:6" x14ac:dyDescent="0.35">
      <c r="A2150">
        <v>1430</v>
      </c>
      <c r="B2150">
        <v>7152</v>
      </c>
      <c r="C2150">
        <v>0</v>
      </c>
      <c r="D2150">
        <v>0</v>
      </c>
      <c r="E2150">
        <v>1</v>
      </c>
      <c r="F2150">
        <v>3</v>
      </c>
    </row>
    <row r="2151" spans="1:6" x14ac:dyDescent="0.35">
      <c r="A2151">
        <v>1462</v>
      </c>
      <c r="B2151">
        <v>2945</v>
      </c>
      <c r="C2151">
        <v>0</v>
      </c>
      <c r="D2151">
        <v>0</v>
      </c>
      <c r="E2151">
        <v>1</v>
      </c>
      <c r="F2151">
        <v>3</v>
      </c>
    </row>
    <row r="2152" spans="1:6" x14ac:dyDescent="0.35">
      <c r="A2152">
        <v>1464</v>
      </c>
      <c r="B2152">
        <v>5074</v>
      </c>
      <c r="C2152">
        <v>0</v>
      </c>
      <c r="D2152">
        <v>0</v>
      </c>
      <c r="E2152">
        <v>1</v>
      </c>
      <c r="F2152">
        <v>3</v>
      </c>
    </row>
    <row r="2153" spans="1:6" x14ac:dyDescent="0.35">
      <c r="A2153">
        <v>1472</v>
      </c>
      <c r="B2153">
        <v>4706</v>
      </c>
      <c r="C2153">
        <v>0</v>
      </c>
      <c r="D2153">
        <v>1</v>
      </c>
      <c r="E2153">
        <v>1</v>
      </c>
      <c r="F2153">
        <v>3</v>
      </c>
    </row>
    <row r="2154" spans="1:6" x14ac:dyDescent="0.35">
      <c r="A2154">
        <v>1536</v>
      </c>
      <c r="B2154">
        <v>451</v>
      </c>
      <c r="C2154">
        <v>0</v>
      </c>
      <c r="D2154">
        <v>0</v>
      </c>
      <c r="E2154">
        <v>1</v>
      </c>
      <c r="F2154">
        <v>2</v>
      </c>
    </row>
    <row r="2155" spans="1:6" x14ac:dyDescent="0.35">
      <c r="A2155">
        <v>1585</v>
      </c>
      <c r="B2155">
        <v>1626</v>
      </c>
      <c r="C2155">
        <v>0</v>
      </c>
      <c r="D2155">
        <v>2</v>
      </c>
      <c r="E2155">
        <v>1</v>
      </c>
      <c r="F2155">
        <v>2</v>
      </c>
    </row>
    <row r="2156" spans="1:6" x14ac:dyDescent="0.35">
      <c r="A2156">
        <v>1599</v>
      </c>
      <c r="B2156">
        <v>7943</v>
      </c>
      <c r="C2156">
        <v>0</v>
      </c>
      <c r="D2156">
        <v>3</v>
      </c>
      <c r="E2156">
        <v>1</v>
      </c>
      <c r="F2156">
        <v>3</v>
      </c>
    </row>
    <row r="2157" spans="1:6" x14ac:dyDescent="0.35">
      <c r="A2157">
        <v>1614</v>
      </c>
      <c r="B2157">
        <v>6215</v>
      </c>
      <c r="C2157">
        <v>0</v>
      </c>
      <c r="D2157">
        <v>1</v>
      </c>
      <c r="E2157">
        <v>1</v>
      </c>
      <c r="F2157">
        <v>2</v>
      </c>
    </row>
    <row r="2158" spans="1:6" x14ac:dyDescent="0.35">
      <c r="A2158">
        <v>1616</v>
      </c>
      <c r="B2158">
        <v>5423</v>
      </c>
      <c r="C2158">
        <v>0</v>
      </c>
      <c r="D2158">
        <v>1</v>
      </c>
      <c r="E2158">
        <v>1</v>
      </c>
      <c r="F2158">
        <v>2</v>
      </c>
    </row>
    <row r="2159" spans="1:6" x14ac:dyDescent="0.35">
      <c r="A2159">
        <v>1640</v>
      </c>
      <c r="B2159">
        <v>6866</v>
      </c>
      <c r="C2159">
        <v>0</v>
      </c>
      <c r="D2159">
        <v>3</v>
      </c>
      <c r="E2159">
        <v>1</v>
      </c>
      <c r="F2159">
        <v>3</v>
      </c>
    </row>
    <row r="2160" spans="1:6" x14ac:dyDescent="0.35">
      <c r="A2160">
        <v>1654</v>
      </c>
      <c r="B2160">
        <v>13</v>
      </c>
      <c r="C2160">
        <v>0</v>
      </c>
      <c r="D2160">
        <v>0</v>
      </c>
      <c r="E2160">
        <v>1</v>
      </c>
      <c r="F2160">
        <v>3</v>
      </c>
    </row>
    <row r="2161" spans="1:6" x14ac:dyDescent="0.35">
      <c r="A2161">
        <v>1685</v>
      </c>
      <c r="B2161">
        <v>7947</v>
      </c>
      <c r="C2161">
        <v>0</v>
      </c>
      <c r="D2161">
        <v>1</v>
      </c>
      <c r="E2161">
        <v>1</v>
      </c>
      <c r="F2161">
        <v>3</v>
      </c>
    </row>
    <row r="2162" spans="1:6" x14ac:dyDescent="0.35">
      <c r="A2162">
        <v>1692</v>
      </c>
      <c r="B2162">
        <v>10790</v>
      </c>
      <c r="C2162">
        <v>0</v>
      </c>
      <c r="D2162">
        <v>0</v>
      </c>
      <c r="E2162">
        <v>1</v>
      </c>
      <c r="F2162">
        <v>2</v>
      </c>
    </row>
    <row r="2163" spans="1:6" x14ac:dyDescent="0.35">
      <c r="A2163">
        <v>1698</v>
      </c>
      <c r="B2163">
        <v>10356</v>
      </c>
      <c r="C2163">
        <v>0</v>
      </c>
      <c r="D2163">
        <v>0</v>
      </c>
      <c r="E2163">
        <v>1</v>
      </c>
      <c r="F2163">
        <v>3</v>
      </c>
    </row>
    <row r="2164" spans="1:6" x14ac:dyDescent="0.35">
      <c r="A2164">
        <v>1758</v>
      </c>
      <c r="B2164">
        <v>5247</v>
      </c>
      <c r="C2164">
        <v>0</v>
      </c>
      <c r="D2164">
        <v>1</v>
      </c>
      <c r="E2164">
        <v>1</v>
      </c>
      <c r="F2164">
        <v>4</v>
      </c>
    </row>
    <row r="2165" spans="1:6" x14ac:dyDescent="0.35">
      <c r="A2165">
        <v>1774</v>
      </c>
      <c r="B2165">
        <v>2694</v>
      </c>
      <c r="C2165">
        <v>0</v>
      </c>
      <c r="D2165">
        <v>0</v>
      </c>
      <c r="E2165">
        <v>1</v>
      </c>
      <c r="F2165">
        <v>3</v>
      </c>
    </row>
    <row r="2166" spans="1:6" x14ac:dyDescent="0.35">
      <c r="A2166">
        <v>1791</v>
      </c>
      <c r="B2166">
        <v>9150</v>
      </c>
      <c r="C2166">
        <v>0</v>
      </c>
      <c r="D2166">
        <v>0</v>
      </c>
      <c r="E2166">
        <v>1</v>
      </c>
      <c r="F2166">
        <v>4</v>
      </c>
    </row>
    <row r="2167" spans="1:6" x14ac:dyDescent="0.35">
      <c r="A2167">
        <v>1795</v>
      </c>
      <c r="B2167">
        <v>10691</v>
      </c>
      <c r="C2167">
        <v>0</v>
      </c>
      <c r="D2167">
        <v>2</v>
      </c>
      <c r="E2167">
        <v>1</v>
      </c>
      <c r="F2167">
        <v>2</v>
      </c>
    </row>
    <row r="2168" spans="1:6" x14ac:dyDescent="0.35">
      <c r="A2168">
        <v>1804</v>
      </c>
      <c r="B2168">
        <v>8397</v>
      </c>
      <c r="C2168">
        <v>0</v>
      </c>
      <c r="D2168">
        <v>0</v>
      </c>
      <c r="E2168">
        <v>1</v>
      </c>
      <c r="F2168">
        <v>2</v>
      </c>
    </row>
    <row r="2169" spans="1:6" x14ac:dyDescent="0.35">
      <c r="A2169">
        <v>1815</v>
      </c>
      <c r="B2169">
        <v>2549</v>
      </c>
      <c r="C2169">
        <v>0</v>
      </c>
      <c r="D2169">
        <v>0</v>
      </c>
      <c r="E2169">
        <v>1</v>
      </c>
      <c r="F2169">
        <v>3</v>
      </c>
    </row>
    <row r="2170" spans="1:6" x14ac:dyDescent="0.35">
      <c r="A2170">
        <v>1819</v>
      </c>
      <c r="B2170">
        <v>8566</v>
      </c>
      <c r="C2170">
        <v>0</v>
      </c>
      <c r="D2170">
        <v>0</v>
      </c>
      <c r="E2170">
        <v>1</v>
      </c>
      <c r="F2170">
        <v>2</v>
      </c>
    </row>
    <row r="2171" spans="1:6" x14ac:dyDescent="0.35">
      <c r="A2171">
        <v>1825</v>
      </c>
      <c r="B2171">
        <v>78</v>
      </c>
      <c r="C2171">
        <v>0</v>
      </c>
      <c r="D2171">
        <v>2</v>
      </c>
      <c r="E2171">
        <v>1</v>
      </c>
      <c r="F2171">
        <v>2</v>
      </c>
    </row>
    <row r="2172" spans="1:6" x14ac:dyDescent="0.35">
      <c r="A2172">
        <v>1861</v>
      </c>
      <c r="B2172">
        <v>10241</v>
      </c>
      <c r="C2172">
        <v>0</v>
      </c>
      <c r="D2172">
        <v>2</v>
      </c>
      <c r="E2172">
        <v>1</v>
      </c>
      <c r="F2172">
        <v>2</v>
      </c>
    </row>
    <row r="2173" spans="1:6" x14ac:dyDescent="0.35">
      <c r="A2173">
        <v>1881</v>
      </c>
      <c r="B2173">
        <v>8341</v>
      </c>
      <c r="C2173">
        <v>0</v>
      </c>
      <c r="D2173">
        <v>1</v>
      </c>
      <c r="E2173">
        <v>1</v>
      </c>
      <c r="F2173">
        <v>2</v>
      </c>
    </row>
    <row r="2174" spans="1:6" x14ac:dyDescent="0.35">
      <c r="A2174">
        <v>1916</v>
      </c>
      <c r="B2174">
        <v>2326</v>
      </c>
      <c r="C2174">
        <v>0</v>
      </c>
      <c r="D2174">
        <v>4</v>
      </c>
      <c r="E2174">
        <v>1</v>
      </c>
      <c r="F2174">
        <v>4</v>
      </c>
    </row>
    <row r="2175" spans="1:6" x14ac:dyDescent="0.35">
      <c r="A2175">
        <v>1919</v>
      </c>
      <c r="B2175">
        <v>10686</v>
      </c>
      <c r="C2175">
        <v>0</v>
      </c>
      <c r="D2175">
        <v>0</v>
      </c>
      <c r="E2175">
        <v>1</v>
      </c>
      <c r="F2175">
        <v>2</v>
      </c>
    </row>
    <row r="2176" spans="1:6" x14ac:dyDescent="0.35">
      <c r="A2176">
        <v>1942</v>
      </c>
      <c r="B2176">
        <v>5393</v>
      </c>
      <c r="C2176">
        <v>0</v>
      </c>
      <c r="D2176">
        <v>2</v>
      </c>
      <c r="E2176">
        <v>1</v>
      </c>
      <c r="F2176">
        <v>3</v>
      </c>
    </row>
    <row r="2177" spans="1:6" x14ac:dyDescent="0.35">
      <c r="A2177">
        <v>1956</v>
      </c>
      <c r="B2177">
        <v>8514</v>
      </c>
      <c r="C2177">
        <v>0</v>
      </c>
      <c r="D2177">
        <v>1</v>
      </c>
      <c r="E2177">
        <v>1</v>
      </c>
      <c r="F2177">
        <v>3</v>
      </c>
    </row>
    <row r="2178" spans="1:6" x14ac:dyDescent="0.35">
      <c r="A2178">
        <v>1971</v>
      </c>
      <c r="B2178">
        <v>4338</v>
      </c>
      <c r="C2178">
        <v>0</v>
      </c>
      <c r="D2178">
        <v>0</v>
      </c>
      <c r="E2178">
        <v>1</v>
      </c>
      <c r="F2178">
        <v>3</v>
      </c>
    </row>
    <row r="2179" spans="1:6" x14ac:dyDescent="0.35">
      <c r="A2179">
        <v>2018</v>
      </c>
      <c r="B2179">
        <v>255</v>
      </c>
      <c r="C2179">
        <v>0</v>
      </c>
      <c r="D2179">
        <v>0</v>
      </c>
      <c r="E2179">
        <v>1</v>
      </c>
      <c r="F2179">
        <v>3</v>
      </c>
    </row>
    <row r="2180" spans="1:6" x14ac:dyDescent="0.35">
      <c r="A2180">
        <v>2054</v>
      </c>
      <c r="B2180">
        <v>6382</v>
      </c>
      <c r="C2180">
        <v>0</v>
      </c>
      <c r="D2180">
        <v>0</v>
      </c>
      <c r="E2180">
        <v>1</v>
      </c>
      <c r="F2180">
        <v>3</v>
      </c>
    </row>
    <row r="2181" spans="1:6" x14ac:dyDescent="0.35">
      <c r="A2181">
        <v>2072</v>
      </c>
      <c r="B2181">
        <v>5517</v>
      </c>
      <c r="C2181">
        <v>0</v>
      </c>
      <c r="D2181">
        <v>2</v>
      </c>
      <c r="E2181">
        <v>1</v>
      </c>
      <c r="F2181">
        <v>2</v>
      </c>
    </row>
    <row r="2182" spans="1:6" x14ac:dyDescent="0.35">
      <c r="A2182">
        <v>2076</v>
      </c>
      <c r="B2182">
        <v>6958</v>
      </c>
      <c r="C2182">
        <v>0</v>
      </c>
      <c r="D2182">
        <v>0</v>
      </c>
      <c r="E2182">
        <v>1</v>
      </c>
      <c r="F2182">
        <v>2</v>
      </c>
    </row>
    <row r="2183" spans="1:6" x14ac:dyDescent="0.35">
      <c r="A2183">
        <v>2100</v>
      </c>
      <c r="B2183">
        <v>1055</v>
      </c>
      <c r="C2183">
        <v>0</v>
      </c>
      <c r="D2183">
        <v>0</v>
      </c>
      <c r="E2183">
        <v>1</v>
      </c>
      <c r="F2183">
        <v>3</v>
      </c>
    </row>
    <row r="2184" spans="1:6" x14ac:dyDescent="0.35">
      <c r="A2184">
        <v>2121</v>
      </c>
      <c r="B2184">
        <v>10067</v>
      </c>
      <c r="C2184">
        <v>0</v>
      </c>
      <c r="D2184">
        <v>0</v>
      </c>
      <c r="E2184">
        <v>1</v>
      </c>
      <c r="F2184">
        <v>2</v>
      </c>
    </row>
    <row r="2185" spans="1:6" x14ac:dyDescent="0.35">
      <c r="A2185">
        <v>2124</v>
      </c>
      <c r="B2185">
        <v>2115</v>
      </c>
      <c r="C2185">
        <v>0</v>
      </c>
      <c r="D2185">
        <v>0</v>
      </c>
      <c r="E2185">
        <v>1</v>
      </c>
      <c r="F2185">
        <v>4</v>
      </c>
    </row>
    <row r="2186" spans="1:6" x14ac:dyDescent="0.35">
      <c r="A2186">
        <v>2129</v>
      </c>
      <c r="B2186">
        <v>10104</v>
      </c>
      <c r="C2186">
        <v>0</v>
      </c>
      <c r="D2186">
        <v>0</v>
      </c>
      <c r="E2186">
        <v>1</v>
      </c>
      <c r="F2186">
        <v>2</v>
      </c>
    </row>
    <row r="2187" spans="1:6" x14ac:dyDescent="0.35">
      <c r="A2187">
        <v>2130</v>
      </c>
      <c r="B2187">
        <v>3006</v>
      </c>
      <c r="C2187">
        <v>0</v>
      </c>
      <c r="D2187">
        <v>3</v>
      </c>
      <c r="E2187">
        <v>1</v>
      </c>
      <c r="F2187">
        <v>3</v>
      </c>
    </row>
    <row r="2188" spans="1:6" x14ac:dyDescent="0.35">
      <c r="A2188">
        <v>2140</v>
      </c>
      <c r="B2188">
        <v>10432</v>
      </c>
      <c r="C2188">
        <v>0</v>
      </c>
      <c r="D2188">
        <v>6</v>
      </c>
      <c r="E2188">
        <v>1</v>
      </c>
      <c r="F2188">
        <v>3</v>
      </c>
    </row>
    <row r="2189" spans="1:6" x14ac:dyDescent="0.35">
      <c r="A2189">
        <v>2149</v>
      </c>
      <c r="B2189">
        <v>10609</v>
      </c>
      <c r="C2189">
        <v>0</v>
      </c>
      <c r="D2189">
        <v>1</v>
      </c>
      <c r="E2189">
        <v>1</v>
      </c>
      <c r="F2189">
        <v>4</v>
      </c>
    </row>
    <row r="2190" spans="1:6" x14ac:dyDescent="0.35">
      <c r="A2190">
        <v>2184</v>
      </c>
      <c r="B2190">
        <v>8207</v>
      </c>
      <c r="C2190">
        <v>0</v>
      </c>
      <c r="D2190">
        <v>0</v>
      </c>
      <c r="E2190">
        <v>1</v>
      </c>
      <c r="F2190">
        <v>3</v>
      </c>
    </row>
    <row r="2191" spans="1:6" x14ac:dyDescent="0.35">
      <c r="A2191">
        <v>2204</v>
      </c>
      <c r="B2191">
        <v>1876</v>
      </c>
      <c r="C2191">
        <v>0</v>
      </c>
      <c r="D2191">
        <v>4</v>
      </c>
      <c r="E2191">
        <v>1</v>
      </c>
      <c r="F2191">
        <v>4</v>
      </c>
    </row>
    <row r="2192" spans="1:6" x14ac:dyDescent="0.35">
      <c r="A2192">
        <v>2209</v>
      </c>
      <c r="B2192">
        <v>6168</v>
      </c>
      <c r="C2192">
        <v>0</v>
      </c>
      <c r="D2192">
        <v>0</v>
      </c>
      <c r="E2192">
        <v>1</v>
      </c>
      <c r="F2192">
        <v>2</v>
      </c>
    </row>
    <row r="2193" spans="1:6" x14ac:dyDescent="0.35">
      <c r="A2193">
        <v>1042</v>
      </c>
      <c r="B2193">
        <v>10749</v>
      </c>
      <c r="C2193">
        <v>18</v>
      </c>
      <c r="D2193">
        <v>12</v>
      </c>
      <c r="E2193">
        <v>0</v>
      </c>
      <c r="F2193">
        <v>0</v>
      </c>
    </row>
    <row r="2194" spans="1:6" x14ac:dyDescent="0.35">
      <c r="A2194">
        <v>687</v>
      </c>
      <c r="B2194">
        <v>1501</v>
      </c>
      <c r="C2194">
        <v>16</v>
      </c>
      <c r="D2194">
        <v>3</v>
      </c>
      <c r="E2194">
        <v>0</v>
      </c>
      <c r="F2194">
        <v>1</v>
      </c>
    </row>
    <row r="2195" spans="1:6" x14ac:dyDescent="0.35">
      <c r="A2195">
        <v>381</v>
      </c>
      <c r="B2195">
        <v>9543</v>
      </c>
      <c r="C2195">
        <v>6</v>
      </c>
      <c r="D2195">
        <v>2</v>
      </c>
      <c r="E2195">
        <v>0</v>
      </c>
      <c r="F2195">
        <v>3</v>
      </c>
    </row>
    <row r="2196" spans="1:6" x14ac:dyDescent="0.35">
      <c r="A2196">
        <v>661</v>
      </c>
      <c r="B2196">
        <v>7093</v>
      </c>
      <c r="C2196">
        <v>6</v>
      </c>
      <c r="D2196">
        <v>2</v>
      </c>
      <c r="E2196">
        <v>0</v>
      </c>
      <c r="F2196">
        <v>3</v>
      </c>
    </row>
    <row r="2197" spans="1:6" x14ac:dyDescent="0.35">
      <c r="A2197">
        <v>991</v>
      </c>
      <c r="B2197">
        <v>9850</v>
      </c>
      <c r="C2197">
        <v>6</v>
      </c>
      <c r="D2197">
        <v>0</v>
      </c>
      <c r="E2197">
        <v>0</v>
      </c>
      <c r="F2197">
        <v>3</v>
      </c>
    </row>
    <row r="2198" spans="1:6" x14ac:dyDescent="0.35">
      <c r="A2198">
        <v>205</v>
      </c>
      <c r="B2198">
        <v>624</v>
      </c>
      <c r="C2198">
        <v>4</v>
      </c>
      <c r="D2198">
        <v>2</v>
      </c>
      <c r="E2198">
        <v>0</v>
      </c>
      <c r="F2198">
        <v>2</v>
      </c>
    </row>
    <row r="2199" spans="1:6" x14ac:dyDescent="0.35">
      <c r="A2199">
        <v>1437</v>
      </c>
      <c r="B2199">
        <v>2518</v>
      </c>
      <c r="C2199">
        <v>4</v>
      </c>
      <c r="D2199">
        <v>2</v>
      </c>
      <c r="E2199">
        <v>0</v>
      </c>
      <c r="F2199">
        <v>2</v>
      </c>
    </row>
    <row r="2200" spans="1:6" x14ac:dyDescent="0.35">
      <c r="A2200">
        <v>1128</v>
      </c>
      <c r="B2200">
        <v>8977</v>
      </c>
      <c r="C2200">
        <v>3</v>
      </c>
      <c r="D2200">
        <v>3</v>
      </c>
      <c r="E2200">
        <v>0</v>
      </c>
      <c r="F2200">
        <v>3</v>
      </c>
    </row>
    <row r="2201" spans="1:6" x14ac:dyDescent="0.35">
      <c r="A2201">
        <v>2003</v>
      </c>
      <c r="B2201">
        <v>6679</v>
      </c>
      <c r="C2201">
        <v>3</v>
      </c>
      <c r="D2201">
        <v>0</v>
      </c>
      <c r="E2201">
        <v>0</v>
      </c>
      <c r="F2201">
        <v>3</v>
      </c>
    </row>
    <row r="2202" spans="1:6" x14ac:dyDescent="0.35">
      <c r="A2202">
        <v>164</v>
      </c>
      <c r="B2202">
        <v>8475</v>
      </c>
      <c r="C2202">
        <v>2</v>
      </c>
      <c r="D2202">
        <v>2</v>
      </c>
      <c r="E2202">
        <v>0</v>
      </c>
      <c r="F2202">
        <v>0</v>
      </c>
    </row>
    <row r="2203" spans="1:6" x14ac:dyDescent="0.35">
      <c r="A2203">
        <v>774</v>
      </c>
      <c r="B2203">
        <v>4303</v>
      </c>
      <c r="C2203">
        <v>2</v>
      </c>
      <c r="D2203">
        <v>2</v>
      </c>
      <c r="E2203">
        <v>0</v>
      </c>
      <c r="F2203">
        <v>1</v>
      </c>
    </row>
    <row r="2204" spans="1:6" x14ac:dyDescent="0.35">
      <c r="A2204">
        <v>862</v>
      </c>
      <c r="B2204">
        <v>9553</v>
      </c>
      <c r="C2204">
        <v>2</v>
      </c>
      <c r="D2204">
        <v>1</v>
      </c>
      <c r="E2204">
        <v>0</v>
      </c>
      <c r="F2204">
        <v>3</v>
      </c>
    </row>
    <row r="2205" spans="1:6" x14ac:dyDescent="0.35">
      <c r="A2205">
        <v>1352</v>
      </c>
      <c r="B2205">
        <v>8369</v>
      </c>
      <c r="C2205">
        <v>2</v>
      </c>
      <c r="D2205">
        <v>3</v>
      </c>
      <c r="E2205">
        <v>0</v>
      </c>
      <c r="F2205">
        <v>2</v>
      </c>
    </row>
    <row r="2206" spans="1:6" x14ac:dyDescent="0.35">
      <c r="A2206">
        <v>1938</v>
      </c>
      <c r="B2206">
        <v>9291</v>
      </c>
      <c r="C2206">
        <v>2</v>
      </c>
      <c r="D2206">
        <v>0</v>
      </c>
      <c r="E2206">
        <v>0</v>
      </c>
      <c r="F2206">
        <v>3</v>
      </c>
    </row>
    <row r="2207" spans="1:6" x14ac:dyDescent="0.35">
      <c r="A2207">
        <v>2119</v>
      </c>
      <c r="B2207">
        <v>6147</v>
      </c>
      <c r="C2207">
        <v>2</v>
      </c>
      <c r="D2207">
        <v>2</v>
      </c>
      <c r="E2207">
        <v>0</v>
      </c>
      <c r="F2207">
        <v>2</v>
      </c>
    </row>
    <row r="2208" spans="1:6" x14ac:dyDescent="0.35">
      <c r="A2208">
        <v>2228</v>
      </c>
      <c r="B2208">
        <v>8720</v>
      </c>
      <c r="C2208">
        <v>2</v>
      </c>
      <c r="D2208">
        <v>4</v>
      </c>
      <c r="E2208">
        <v>0</v>
      </c>
      <c r="F2208">
        <v>1</v>
      </c>
    </row>
    <row r="2209" spans="1:6" x14ac:dyDescent="0.35">
      <c r="A2209">
        <v>21</v>
      </c>
      <c r="B2209">
        <v>5376</v>
      </c>
      <c r="C2209">
        <v>1</v>
      </c>
      <c r="D2209">
        <v>1</v>
      </c>
      <c r="E2209">
        <v>0</v>
      </c>
      <c r="F2209">
        <v>0</v>
      </c>
    </row>
    <row r="2210" spans="1:6" x14ac:dyDescent="0.35">
      <c r="A2210">
        <v>157</v>
      </c>
      <c r="B2210">
        <v>9283</v>
      </c>
      <c r="C2210">
        <v>1</v>
      </c>
      <c r="D2210">
        <v>0</v>
      </c>
      <c r="E2210">
        <v>0</v>
      </c>
      <c r="F2210">
        <v>3</v>
      </c>
    </row>
    <row r="2211" spans="1:6" x14ac:dyDescent="0.35">
      <c r="A2211">
        <v>294</v>
      </c>
      <c r="B2211">
        <v>10451</v>
      </c>
      <c r="C2211">
        <v>1</v>
      </c>
      <c r="D2211">
        <v>4</v>
      </c>
      <c r="E2211">
        <v>0</v>
      </c>
      <c r="F2211">
        <v>3</v>
      </c>
    </row>
    <row r="2212" spans="1:6" x14ac:dyDescent="0.35">
      <c r="A2212">
        <v>442</v>
      </c>
      <c r="B2212">
        <v>5029</v>
      </c>
      <c r="C2212">
        <v>1</v>
      </c>
      <c r="D2212">
        <v>3</v>
      </c>
      <c r="E2212">
        <v>0</v>
      </c>
      <c r="F2212">
        <v>3</v>
      </c>
    </row>
    <row r="2213" spans="1:6" x14ac:dyDescent="0.35">
      <c r="A2213">
        <v>617</v>
      </c>
      <c r="B2213">
        <v>1503</v>
      </c>
      <c r="C2213">
        <v>1</v>
      </c>
      <c r="D2213">
        <v>1</v>
      </c>
      <c r="E2213">
        <v>0</v>
      </c>
      <c r="F2213">
        <v>1</v>
      </c>
    </row>
    <row r="2214" spans="1:6" x14ac:dyDescent="0.35">
      <c r="A2214">
        <v>655</v>
      </c>
      <c r="B2214">
        <v>5555</v>
      </c>
      <c r="C2214">
        <v>1</v>
      </c>
      <c r="D2214">
        <v>1</v>
      </c>
      <c r="E2214">
        <v>0</v>
      </c>
      <c r="F2214">
        <v>0</v>
      </c>
    </row>
    <row r="2215" spans="1:6" x14ac:dyDescent="0.35">
      <c r="A2215">
        <v>882</v>
      </c>
      <c r="B2215">
        <v>8916</v>
      </c>
      <c r="C2215">
        <v>1</v>
      </c>
      <c r="D2215">
        <v>0</v>
      </c>
      <c r="E2215">
        <v>0</v>
      </c>
      <c r="F2215">
        <v>3</v>
      </c>
    </row>
    <row r="2216" spans="1:6" x14ac:dyDescent="0.35">
      <c r="A2216">
        <v>980</v>
      </c>
      <c r="B2216">
        <v>2166</v>
      </c>
      <c r="C2216">
        <v>1</v>
      </c>
      <c r="D2216">
        <v>0</v>
      </c>
      <c r="E2216">
        <v>0</v>
      </c>
      <c r="F2216">
        <v>2</v>
      </c>
    </row>
    <row r="2217" spans="1:6" x14ac:dyDescent="0.35">
      <c r="A2217">
        <v>981</v>
      </c>
      <c r="B2217">
        <v>3955</v>
      </c>
      <c r="C2217">
        <v>1</v>
      </c>
      <c r="D2217">
        <v>0</v>
      </c>
      <c r="E2217">
        <v>0</v>
      </c>
      <c r="F2217">
        <v>0</v>
      </c>
    </row>
    <row r="2218" spans="1:6" x14ac:dyDescent="0.35">
      <c r="A2218">
        <v>1245</v>
      </c>
      <c r="B2218">
        <v>6862</v>
      </c>
      <c r="C2218">
        <v>1</v>
      </c>
      <c r="D2218">
        <v>1</v>
      </c>
      <c r="E2218">
        <v>0</v>
      </c>
      <c r="F2218">
        <v>0</v>
      </c>
    </row>
    <row r="2219" spans="1:6" x14ac:dyDescent="0.35">
      <c r="A2219">
        <v>1524</v>
      </c>
      <c r="B2219">
        <v>11110</v>
      </c>
      <c r="C2219">
        <v>1</v>
      </c>
      <c r="D2219">
        <v>0</v>
      </c>
      <c r="E2219">
        <v>0</v>
      </c>
      <c r="F2219">
        <v>0</v>
      </c>
    </row>
    <row r="2220" spans="1:6" x14ac:dyDescent="0.35">
      <c r="A2220">
        <v>1549</v>
      </c>
      <c r="B2220">
        <v>2217</v>
      </c>
      <c r="C2220">
        <v>1</v>
      </c>
      <c r="D2220">
        <v>1</v>
      </c>
      <c r="E2220">
        <v>0</v>
      </c>
      <c r="F2220">
        <v>3</v>
      </c>
    </row>
    <row r="2221" spans="1:6" x14ac:dyDescent="0.35">
      <c r="A2221">
        <v>1645</v>
      </c>
      <c r="B2221">
        <v>10141</v>
      </c>
      <c r="C2221">
        <v>1</v>
      </c>
      <c r="D2221">
        <v>3</v>
      </c>
      <c r="E2221">
        <v>0</v>
      </c>
      <c r="F2221">
        <v>3</v>
      </c>
    </row>
    <row r="2222" spans="1:6" x14ac:dyDescent="0.35">
      <c r="A2222">
        <v>2015</v>
      </c>
      <c r="B2222">
        <v>4102</v>
      </c>
      <c r="C2222">
        <v>1</v>
      </c>
      <c r="D2222">
        <v>1</v>
      </c>
      <c r="E2222">
        <v>0</v>
      </c>
      <c r="F2222">
        <v>3</v>
      </c>
    </row>
    <row r="2223" spans="1:6" x14ac:dyDescent="0.35">
      <c r="A2223">
        <v>2026</v>
      </c>
      <c r="B2223">
        <v>4198</v>
      </c>
      <c r="C2223">
        <v>1</v>
      </c>
      <c r="D2223">
        <v>4</v>
      </c>
      <c r="E2223">
        <v>0</v>
      </c>
      <c r="F2223">
        <v>3</v>
      </c>
    </row>
    <row r="2224" spans="1:6" x14ac:dyDescent="0.35">
      <c r="A2224">
        <v>2089</v>
      </c>
      <c r="B2224">
        <v>7901</v>
      </c>
      <c r="C2224">
        <v>1</v>
      </c>
      <c r="D2224">
        <v>1</v>
      </c>
      <c r="E2224">
        <v>0</v>
      </c>
      <c r="F2224">
        <v>3</v>
      </c>
    </row>
    <row r="2225" spans="1:6" x14ac:dyDescent="0.35">
      <c r="A2225">
        <v>2132</v>
      </c>
      <c r="B2225">
        <v>11181</v>
      </c>
      <c r="C2225">
        <v>1</v>
      </c>
      <c r="D2225">
        <v>1</v>
      </c>
      <c r="E2225">
        <v>0</v>
      </c>
      <c r="F2225">
        <v>0</v>
      </c>
    </row>
    <row r="2226" spans="1:6" x14ac:dyDescent="0.35">
      <c r="A2226">
        <v>2192</v>
      </c>
      <c r="B2226">
        <v>7990</v>
      </c>
      <c r="C2226">
        <v>1</v>
      </c>
      <c r="D2226">
        <v>2</v>
      </c>
      <c r="E2226">
        <v>0</v>
      </c>
      <c r="F2226">
        <v>3</v>
      </c>
    </row>
    <row r="2227" spans="1:6" x14ac:dyDescent="0.35">
      <c r="A2227">
        <v>2232</v>
      </c>
      <c r="B2227">
        <v>8080</v>
      </c>
      <c r="C2227">
        <v>1</v>
      </c>
      <c r="D2227">
        <v>4</v>
      </c>
      <c r="E2227">
        <v>0</v>
      </c>
      <c r="F2227">
        <v>3</v>
      </c>
    </row>
    <row r="2228" spans="1:6" x14ac:dyDescent="0.35">
      <c r="A2228">
        <v>42</v>
      </c>
      <c r="B2228">
        <v>8430</v>
      </c>
      <c r="C2228">
        <v>0</v>
      </c>
      <c r="D2228">
        <v>1</v>
      </c>
      <c r="E2228">
        <v>0</v>
      </c>
      <c r="F2228">
        <v>3</v>
      </c>
    </row>
    <row r="2229" spans="1:6" x14ac:dyDescent="0.35">
      <c r="A2229">
        <v>78</v>
      </c>
      <c r="B2229">
        <v>10401</v>
      </c>
      <c r="C2229">
        <v>0</v>
      </c>
      <c r="D2229">
        <v>3</v>
      </c>
      <c r="E2229">
        <v>0</v>
      </c>
      <c r="F2229">
        <v>3</v>
      </c>
    </row>
    <row r="2230" spans="1:6" x14ac:dyDescent="0.35">
      <c r="A2230">
        <v>178</v>
      </c>
      <c r="B2230">
        <v>10492</v>
      </c>
      <c r="C2230">
        <v>0</v>
      </c>
      <c r="D2230">
        <v>0</v>
      </c>
      <c r="E2230">
        <v>0</v>
      </c>
      <c r="F2230">
        <v>3</v>
      </c>
    </row>
    <row r="2231" spans="1:6" x14ac:dyDescent="0.35">
      <c r="A2231">
        <v>384</v>
      </c>
      <c r="B2231">
        <v>2724</v>
      </c>
      <c r="C2231">
        <v>0</v>
      </c>
      <c r="D2231">
        <v>0</v>
      </c>
      <c r="E2231">
        <v>0</v>
      </c>
      <c r="F2231">
        <v>2</v>
      </c>
    </row>
    <row r="2232" spans="1:6" x14ac:dyDescent="0.35">
      <c r="A2232">
        <v>730</v>
      </c>
      <c r="B2232">
        <v>5329</v>
      </c>
      <c r="C2232">
        <v>0</v>
      </c>
      <c r="D2232">
        <v>0</v>
      </c>
      <c r="E2232">
        <v>0</v>
      </c>
      <c r="F2232">
        <v>3</v>
      </c>
    </row>
    <row r="2233" spans="1:6" x14ac:dyDescent="0.35">
      <c r="A2233">
        <v>1083</v>
      </c>
      <c r="B2233">
        <v>9523</v>
      </c>
      <c r="C2233">
        <v>0</v>
      </c>
      <c r="D2233">
        <v>0</v>
      </c>
      <c r="E2233">
        <v>0</v>
      </c>
      <c r="F2233">
        <v>3</v>
      </c>
    </row>
    <row r="2234" spans="1:6" x14ac:dyDescent="0.35">
      <c r="A2234">
        <v>1247</v>
      </c>
      <c r="B2234">
        <v>803</v>
      </c>
      <c r="C2234">
        <v>0</v>
      </c>
      <c r="D2234">
        <v>0</v>
      </c>
      <c r="E2234">
        <v>0</v>
      </c>
      <c r="F2234">
        <v>2</v>
      </c>
    </row>
    <row r="2235" spans="1:6" x14ac:dyDescent="0.35">
      <c r="A2235">
        <v>1468</v>
      </c>
      <c r="B2235">
        <v>7196</v>
      </c>
      <c r="C2235">
        <v>0</v>
      </c>
      <c r="D2235">
        <v>0</v>
      </c>
      <c r="E2235">
        <v>0</v>
      </c>
      <c r="F2235">
        <v>3</v>
      </c>
    </row>
    <row r="2236" spans="1:6" x14ac:dyDescent="0.35">
      <c r="A2236">
        <v>1543</v>
      </c>
      <c r="B2236">
        <v>73</v>
      </c>
      <c r="C2236">
        <v>0</v>
      </c>
      <c r="D2236">
        <v>0</v>
      </c>
      <c r="E2236">
        <v>0</v>
      </c>
      <c r="F2236">
        <v>3</v>
      </c>
    </row>
    <row r="2237" spans="1:6" x14ac:dyDescent="0.35">
      <c r="A2237">
        <v>1653</v>
      </c>
      <c r="B2237">
        <v>4931</v>
      </c>
      <c r="C2237">
        <v>0</v>
      </c>
      <c r="D2237">
        <v>1</v>
      </c>
      <c r="E2237">
        <v>0</v>
      </c>
      <c r="F2237">
        <v>0</v>
      </c>
    </row>
    <row r="2238" spans="1:6" x14ac:dyDescent="0.35">
      <c r="A2238">
        <v>1683</v>
      </c>
      <c r="B2238">
        <v>7788</v>
      </c>
      <c r="C2238">
        <v>0</v>
      </c>
      <c r="D2238">
        <v>0</v>
      </c>
      <c r="E2238">
        <v>0</v>
      </c>
      <c r="F2238">
        <v>3</v>
      </c>
    </row>
    <row r="2239" spans="1:6" x14ac:dyDescent="0.35">
      <c r="A2239">
        <v>1846</v>
      </c>
      <c r="B2239">
        <v>9931</v>
      </c>
      <c r="C2239">
        <v>0</v>
      </c>
      <c r="D2239">
        <v>1</v>
      </c>
      <c r="E2239">
        <v>0</v>
      </c>
      <c r="F2239">
        <v>0</v>
      </c>
    </row>
    <row r="2240" spans="1:6" x14ac:dyDescent="0.35">
      <c r="A2240">
        <v>1985</v>
      </c>
      <c r="B2240">
        <v>8619</v>
      </c>
      <c r="C2240">
        <v>0</v>
      </c>
      <c r="D2240">
        <v>1</v>
      </c>
      <c r="E2240">
        <v>0</v>
      </c>
      <c r="F2240">
        <v>3</v>
      </c>
    </row>
    <row r="2241" spans="1:6" x14ac:dyDescent="0.35">
      <c r="A2241">
        <v>2019</v>
      </c>
      <c r="B2241">
        <v>2375</v>
      </c>
      <c r="C2241">
        <v>0</v>
      </c>
      <c r="D2241">
        <v>3</v>
      </c>
      <c r="E2241">
        <v>0</v>
      </c>
      <c r="F2241">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7FC03-88FE-4901-BE35-FFD48E9E2C81}">
  <dimension ref="A1:U72"/>
  <sheetViews>
    <sheetView topLeftCell="A35" zoomScale="85" zoomScaleNormal="85" workbookViewId="0">
      <selection activeCell="D44" sqref="D44"/>
    </sheetView>
  </sheetViews>
  <sheetFormatPr defaultRowHeight="14.5" x14ac:dyDescent="0.35"/>
  <cols>
    <col min="1" max="1" width="12.81640625" bestFit="1" customWidth="1"/>
    <col min="2" max="2" width="22" bestFit="1" customWidth="1"/>
    <col min="3" max="3" width="12" bestFit="1" customWidth="1"/>
    <col min="4" max="4" width="12.36328125" bestFit="1" customWidth="1"/>
    <col min="5" max="5" width="22" bestFit="1" customWidth="1"/>
    <col min="6" max="11" width="12.7265625" bestFit="1" customWidth="1"/>
    <col min="12" max="12" width="5.54296875" bestFit="1" customWidth="1"/>
    <col min="13" max="13" width="12.7265625" bestFit="1" customWidth="1"/>
    <col min="14" max="14" width="12.6328125" bestFit="1" customWidth="1"/>
  </cols>
  <sheetData>
    <row r="1" spans="1:14" x14ac:dyDescent="0.35">
      <c r="A1" s="12" t="s">
        <v>33</v>
      </c>
      <c r="B1" s="13" t="s">
        <v>37</v>
      </c>
    </row>
    <row r="2" spans="1:14" x14ac:dyDescent="0.35">
      <c r="A2" s="14" t="s">
        <v>34</v>
      </c>
      <c r="B2" s="15">
        <v>51375</v>
      </c>
    </row>
    <row r="3" spans="1:14" x14ac:dyDescent="0.35">
      <c r="A3" s="16" t="s">
        <v>35</v>
      </c>
      <c r="B3" s="17">
        <v>22216</v>
      </c>
      <c r="N3" s="28"/>
    </row>
    <row r="4" spans="1:14" x14ac:dyDescent="0.35">
      <c r="A4" s="18" t="s">
        <v>36</v>
      </c>
      <c r="B4" s="19">
        <v>73591</v>
      </c>
    </row>
    <row r="6" spans="1:14" x14ac:dyDescent="0.35">
      <c r="A6" s="12" t="s">
        <v>33</v>
      </c>
      <c r="B6" s="13" t="s">
        <v>44</v>
      </c>
      <c r="N6" s="28"/>
    </row>
    <row r="7" spans="1:14" x14ac:dyDescent="0.35">
      <c r="A7" s="14" t="s">
        <v>40</v>
      </c>
      <c r="B7" s="15">
        <v>58917</v>
      </c>
    </row>
    <row r="8" spans="1:14" x14ac:dyDescent="0.35">
      <c r="A8" s="16" t="s">
        <v>39</v>
      </c>
      <c r="B8" s="17">
        <v>60621</v>
      </c>
    </row>
    <row r="9" spans="1:14" x14ac:dyDescent="0.35">
      <c r="A9" s="16" t="s">
        <v>41</v>
      </c>
      <c r="B9" s="17">
        <v>119538</v>
      </c>
      <c r="N9" s="28"/>
    </row>
    <row r="10" spans="1:14" x14ac:dyDescent="0.35">
      <c r="A10" s="18" t="s">
        <v>36</v>
      </c>
      <c r="B10" s="19">
        <v>239076</v>
      </c>
    </row>
    <row r="12" spans="1:14" x14ac:dyDescent="0.35">
      <c r="A12" s="12" t="s">
        <v>33</v>
      </c>
      <c r="B12" s="9" t="s">
        <v>54</v>
      </c>
      <c r="C12" s="29" t="s">
        <v>37</v>
      </c>
      <c r="D12" s="21" t="s">
        <v>52</v>
      </c>
      <c r="E12" s="33"/>
      <c r="F12" s="9" t="s">
        <v>33</v>
      </c>
      <c r="G12" s="9" t="s">
        <v>54</v>
      </c>
      <c r="H12" s="29" t="s">
        <v>37</v>
      </c>
      <c r="I12" s="21" t="s">
        <v>52</v>
      </c>
      <c r="N12" s="28"/>
    </row>
    <row r="13" spans="1:14" x14ac:dyDescent="0.35">
      <c r="A13" s="14" t="s">
        <v>48</v>
      </c>
      <c r="B13" s="22">
        <v>13.017766497461929</v>
      </c>
      <c r="C13" s="30">
        <v>4181</v>
      </c>
      <c r="D13" s="23">
        <v>10.611675126903553</v>
      </c>
      <c r="E13" s="34"/>
      <c r="F13" t="str">
        <f>A13</f>
        <v>30k</v>
      </c>
      <c r="G13" cm="1">
        <f t="array" ref="G13:G17">B13:B17</f>
        <v>13.017766497461929</v>
      </c>
      <c r="H13" cm="1">
        <f t="array" ref="H13:H17">C13:C17</f>
        <v>4181</v>
      </c>
      <c r="I13" cm="1">
        <f t="array" ref="I13:I17">D13:D17</f>
        <v>10.611675126903553</v>
      </c>
    </row>
    <row r="14" spans="1:14" x14ac:dyDescent="0.35">
      <c r="A14" s="16" t="s">
        <v>49</v>
      </c>
      <c r="B14" s="24">
        <v>12.946376811594202</v>
      </c>
      <c r="C14" s="31">
        <v>7806</v>
      </c>
      <c r="D14" s="25">
        <v>11.31304347826087</v>
      </c>
      <c r="E14" s="34"/>
      <c r="F14" t="str">
        <f t="shared" ref="F14:F17" si="0">A14</f>
        <v>30k-50k</v>
      </c>
      <c r="G14">
        <v>12.946376811594202</v>
      </c>
      <c r="H14">
        <v>7806</v>
      </c>
      <c r="I14">
        <v>11.31304347826087</v>
      </c>
    </row>
    <row r="15" spans="1:14" x14ac:dyDescent="0.35">
      <c r="A15" s="16" t="s">
        <v>50</v>
      </c>
      <c r="B15" s="24">
        <v>13.003764115432872</v>
      </c>
      <c r="C15" s="31">
        <v>34370</v>
      </c>
      <c r="D15" s="25">
        <v>43.12421580928482</v>
      </c>
      <c r="E15" s="34"/>
      <c r="F15" t="str">
        <f t="shared" si="0"/>
        <v>50k-75k</v>
      </c>
      <c r="G15">
        <v>13.003764115432872</v>
      </c>
      <c r="H15">
        <v>34370</v>
      </c>
      <c r="I15">
        <v>43.12421580928482</v>
      </c>
    </row>
    <row r="16" spans="1:14" x14ac:dyDescent="0.35">
      <c r="A16" s="16" t="s">
        <v>51</v>
      </c>
      <c r="B16" s="24">
        <v>12.898843930635838</v>
      </c>
      <c r="C16" s="31">
        <v>26466</v>
      </c>
      <c r="D16" s="25">
        <v>76.49132947976878</v>
      </c>
      <c r="E16" s="34"/>
      <c r="F16" t="str">
        <f t="shared" si="0"/>
        <v>75k-100k</v>
      </c>
      <c r="G16">
        <v>12.898843930635838</v>
      </c>
      <c r="H16">
        <v>26466</v>
      </c>
      <c r="I16">
        <v>76.49132947976878</v>
      </c>
    </row>
    <row r="17" spans="1:21" x14ac:dyDescent="0.35">
      <c r="A17" s="16" t="s">
        <v>47</v>
      </c>
      <c r="B17" s="24">
        <v>12.923076923076923</v>
      </c>
      <c r="C17" s="31">
        <v>768</v>
      </c>
      <c r="D17" s="25">
        <v>59.07692307692308</v>
      </c>
      <c r="E17" s="34"/>
      <c r="F17" t="str">
        <f t="shared" si="0"/>
        <v>100k</v>
      </c>
      <c r="G17">
        <v>12.923076923076923</v>
      </c>
      <c r="H17">
        <v>768</v>
      </c>
      <c r="I17">
        <v>59.07692307692308</v>
      </c>
    </row>
    <row r="18" spans="1:21" x14ac:dyDescent="0.35">
      <c r="A18" s="18" t="s">
        <v>36</v>
      </c>
      <c r="B18" s="26">
        <v>12.971875000000001</v>
      </c>
      <c r="C18" s="32">
        <v>73591</v>
      </c>
      <c r="D18" s="27">
        <v>32.853124999999999</v>
      </c>
      <c r="E18" s="34"/>
    </row>
    <row r="21" spans="1:21" x14ac:dyDescent="0.35">
      <c r="A21" s="12" t="s">
        <v>33</v>
      </c>
      <c r="B21" s="9" t="s">
        <v>37</v>
      </c>
      <c r="C21" s="29" t="s">
        <v>55</v>
      </c>
      <c r="D21" s="21" t="s">
        <v>52</v>
      </c>
    </row>
    <row r="22" spans="1:21" x14ac:dyDescent="0.35">
      <c r="A22" s="14" t="s">
        <v>18</v>
      </c>
      <c r="B22" s="22">
        <v>8071</v>
      </c>
      <c r="C22" s="30">
        <v>47633.19</v>
      </c>
      <c r="D22" s="23">
        <v>39.758620689655174</v>
      </c>
    </row>
    <row r="23" spans="1:21" x14ac:dyDescent="0.35">
      <c r="A23" s="16" t="s">
        <v>17</v>
      </c>
      <c r="B23" s="24">
        <v>808</v>
      </c>
      <c r="C23" s="31">
        <v>20306.259259259259</v>
      </c>
      <c r="D23" s="25">
        <v>14.962962962962964</v>
      </c>
    </row>
    <row r="24" spans="1:21" x14ac:dyDescent="0.35">
      <c r="A24" s="16" t="s">
        <v>10</v>
      </c>
      <c r="B24" s="24">
        <v>41921</v>
      </c>
      <c r="C24" s="31">
        <v>52720.37365591398</v>
      </c>
      <c r="D24" s="25">
        <v>37.196983141082519</v>
      </c>
    </row>
    <row r="25" spans="1:21" x14ac:dyDescent="0.35">
      <c r="A25" s="16" t="s">
        <v>15</v>
      </c>
      <c r="B25" s="24">
        <v>10017</v>
      </c>
      <c r="C25" s="31">
        <v>52917.534246575342</v>
      </c>
      <c r="D25" s="25">
        <v>27.072972972972973</v>
      </c>
    </row>
    <row r="26" spans="1:21" x14ac:dyDescent="0.35">
      <c r="A26" s="16" t="s">
        <v>13</v>
      </c>
      <c r="B26" s="24">
        <v>12774</v>
      </c>
      <c r="C26" s="31">
        <v>56145.313929313932</v>
      </c>
      <c r="D26" s="25">
        <v>26.283950617283949</v>
      </c>
    </row>
    <row r="27" spans="1:21" x14ac:dyDescent="0.35">
      <c r="A27" s="18" t="s">
        <v>36</v>
      </c>
      <c r="B27" s="26">
        <v>73591</v>
      </c>
      <c r="C27" s="32">
        <v>52247.251353790612</v>
      </c>
      <c r="D27" s="27">
        <v>32.853124999999999</v>
      </c>
    </row>
    <row r="30" spans="1:21" x14ac:dyDescent="0.35">
      <c r="A30" s="12" t="s">
        <v>57</v>
      </c>
      <c r="B30" s="12" t="s">
        <v>56</v>
      </c>
      <c r="C30" s="10"/>
      <c r="D30" s="10"/>
      <c r="E30" s="10"/>
      <c r="F30" s="10"/>
      <c r="G30" s="10"/>
      <c r="H30" s="10"/>
      <c r="I30" s="10"/>
      <c r="J30" s="11"/>
      <c r="L30" s="9" t="s">
        <v>57</v>
      </c>
    </row>
    <row r="31" spans="1:21" x14ac:dyDescent="0.35">
      <c r="A31" s="12" t="s">
        <v>33</v>
      </c>
      <c r="B31" s="9" t="s">
        <v>21</v>
      </c>
      <c r="C31" s="29" t="s">
        <v>20</v>
      </c>
      <c r="D31" s="29" t="s">
        <v>16</v>
      </c>
      <c r="E31" s="29" t="s">
        <v>14</v>
      </c>
      <c r="F31" s="29" t="s">
        <v>11</v>
      </c>
      <c r="G31" s="29" t="s">
        <v>12</v>
      </c>
      <c r="H31" s="29" t="s">
        <v>19</v>
      </c>
      <c r="I31" s="29" t="s">
        <v>22</v>
      </c>
      <c r="J31" s="13" t="s">
        <v>36</v>
      </c>
      <c r="L31" s="9" t="s">
        <v>33</v>
      </c>
      <c r="M31" s="9" t="s">
        <v>21</v>
      </c>
      <c r="N31" s="29" t="s">
        <v>20</v>
      </c>
      <c r="O31" s="29" t="s">
        <v>16</v>
      </c>
      <c r="P31" s="29" t="s">
        <v>14</v>
      </c>
      <c r="Q31" s="29" t="s">
        <v>11</v>
      </c>
      <c r="R31" s="29" t="s">
        <v>12</v>
      </c>
      <c r="S31" s="29" t="s">
        <v>19</v>
      </c>
      <c r="T31" s="29" t="s">
        <v>22</v>
      </c>
      <c r="U31" s="13" t="s">
        <v>36</v>
      </c>
    </row>
    <row r="32" spans="1:21" x14ac:dyDescent="0.35">
      <c r="A32" s="14" t="s">
        <v>18</v>
      </c>
      <c r="B32" s="35"/>
      <c r="C32" s="36"/>
      <c r="D32" s="36">
        <v>45.260869565217391</v>
      </c>
      <c r="E32" s="36">
        <v>48.444444444444443</v>
      </c>
      <c r="F32" s="36">
        <v>44.081081081081081</v>
      </c>
      <c r="G32" s="36">
        <v>51.456140350877192</v>
      </c>
      <c r="H32" s="36">
        <v>60</v>
      </c>
      <c r="I32" s="36"/>
      <c r="J32" s="37">
        <v>48.418719211822662</v>
      </c>
      <c r="L32" s="14" t="s">
        <v>18</v>
      </c>
      <c r="M32" s="35"/>
      <c r="N32" s="36"/>
      <c r="O32" s="36">
        <v>45.260869565217391</v>
      </c>
      <c r="P32" s="36">
        <v>48.444444444444443</v>
      </c>
      <c r="Q32" s="36">
        <v>44.081081081081081</v>
      </c>
      <c r="R32" s="36">
        <v>51.456140350877192</v>
      </c>
      <c r="S32" s="36">
        <v>60</v>
      </c>
      <c r="T32" s="36"/>
      <c r="U32" s="37">
        <v>48.418719211822662</v>
      </c>
    </row>
    <row r="33" spans="1:21" x14ac:dyDescent="0.35">
      <c r="A33" s="16" t="s">
        <v>17</v>
      </c>
      <c r="B33" s="38"/>
      <c r="C33" s="39"/>
      <c r="D33" s="39">
        <v>31</v>
      </c>
      <c r="E33" s="39">
        <v>45.6</v>
      </c>
      <c r="F33" s="39">
        <v>50.166666666666664</v>
      </c>
      <c r="G33" s="39">
        <v>49.5</v>
      </c>
      <c r="H33" s="39">
        <v>77</v>
      </c>
      <c r="I33" s="39"/>
      <c r="J33" s="40">
        <v>48.444444444444443</v>
      </c>
      <c r="L33" s="16" t="s">
        <v>17</v>
      </c>
      <c r="M33" s="38"/>
      <c r="N33" s="39"/>
      <c r="O33" s="39">
        <v>31</v>
      </c>
      <c r="P33" s="39">
        <v>45.6</v>
      </c>
      <c r="Q33" s="39">
        <v>50.166666666666664</v>
      </c>
      <c r="R33" s="39">
        <v>49.5</v>
      </c>
      <c r="S33" s="39">
        <v>77</v>
      </c>
      <c r="T33" s="39"/>
      <c r="U33" s="40">
        <v>48.444444444444443</v>
      </c>
    </row>
    <row r="34" spans="1:21" x14ac:dyDescent="0.35">
      <c r="A34" s="16" t="s">
        <v>10</v>
      </c>
      <c r="B34" s="38">
        <v>58</v>
      </c>
      <c r="C34" s="39">
        <v>12</v>
      </c>
      <c r="D34" s="39">
        <v>52.512605042016808</v>
      </c>
      <c r="E34" s="39">
        <v>48.951501154734409</v>
      </c>
      <c r="F34" s="39">
        <v>50.801587301587304</v>
      </c>
      <c r="G34" s="39">
        <v>49.83916083916084</v>
      </c>
      <c r="H34" s="39">
        <v>51.971428571428568</v>
      </c>
      <c r="I34" s="39"/>
      <c r="J34" s="40">
        <v>50.035492457852705</v>
      </c>
      <c r="L34" s="16" t="s">
        <v>10</v>
      </c>
      <c r="M34" s="38">
        <v>58</v>
      </c>
      <c r="N34" s="39">
        <v>12</v>
      </c>
      <c r="O34" s="39">
        <v>52.512605042016808</v>
      </c>
      <c r="P34" s="39">
        <v>48.951501154734409</v>
      </c>
      <c r="Q34" s="39">
        <v>50.801587301587304</v>
      </c>
      <c r="R34" s="39">
        <v>49.83916083916084</v>
      </c>
      <c r="S34" s="39">
        <v>51.971428571428568</v>
      </c>
      <c r="T34" s="39"/>
      <c r="U34" s="40">
        <v>50.035492457852705</v>
      </c>
    </row>
    <row r="35" spans="1:21" x14ac:dyDescent="0.35">
      <c r="A35" s="16" t="s">
        <v>15</v>
      </c>
      <c r="B35" s="38">
        <v>48</v>
      </c>
      <c r="C35" s="39">
        <v>42</v>
      </c>
      <c r="D35" s="39">
        <v>49.351351351351354</v>
      </c>
      <c r="E35" s="39">
        <v>44.521739130434781</v>
      </c>
      <c r="F35" s="39">
        <v>48.586666666666666</v>
      </c>
      <c r="G35" s="39">
        <v>50.405660377358494</v>
      </c>
      <c r="H35" s="39">
        <v>46.666666666666664</v>
      </c>
      <c r="I35" s="39"/>
      <c r="J35" s="40">
        <v>47.586486486486486</v>
      </c>
      <c r="L35" s="16" t="s">
        <v>15</v>
      </c>
      <c r="M35" s="38">
        <v>48</v>
      </c>
      <c r="N35" s="39">
        <v>42</v>
      </c>
      <c r="O35" s="39">
        <v>49.351351351351354</v>
      </c>
      <c r="P35" s="39">
        <v>44.521739130434781</v>
      </c>
      <c r="Q35" s="39">
        <v>48.586666666666666</v>
      </c>
      <c r="R35" s="39">
        <v>50.405660377358494</v>
      </c>
      <c r="S35" s="39">
        <v>46.666666666666664</v>
      </c>
      <c r="T35" s="39"/>
      <c r="U35" s="40">
        <v>47.586486486486486</v>
      </c>
    </row>
    <row r="36" spans="1:21" x14ac:dyDescent="0.35">
      <c r="A36" s="16" t="s">
        <v>13</v>
      </c>
      <c r="B36" s="38"/>
      <c r="C36" s="39">
        <v>37</v>
      </c>
      <c r="D36" s="39">
        <v>44.884615384615387</v>
      </c>
      <c r="E36" s="39">
        <v>49.666666666666664</v>
      </c>
      <c r="F36" s="39">
        <v>48.806122448979593</v>
      </c>
      <c r="G36" s="39">
        <v>49.905982905982903</v>
      </c>
      <c r="H36" s="39">
        <v>42.833333333333336</v>
      </c>
      <c r="I36" s="39">
        <v>3</v>
      </c>
      <c r="J36" s="40">
        <v>48.483539094650205</v>
      </c>
      <c r="L36" s="16" t="s">
        <v>13</v>
      </c>
      <c r="M36" s="38"/>
      <c r="N36" s="39">
        <v>37</v>
      </c>
      <c r="O36" s="39">
        <v>44.884615384615387</v>
      </c>
      <c r="P36" s="39">
        <v>49.666666666666664</v>
      </c>
      <c r="Q36" s="39">
        <v>48.806122448979593</v>
      </c>
      <c r="R36" s="39">
        <v>49.905982905982903</v>
      </c>
      <c r="S36" s="39">
        <v>42.833333333333336</v>
      </c>
      <c r="T36" s="39">
        <v>3</v>
      </c>
      <c r="U36" s="40">
        <v>48.483539094650205</v>
      </c>
    </row>
    <row r="37" spans="1:21" x14ac:dyDescent="0.35">
      <c r="A37" s="18" t="s">
        <v>36</v>
      </c>
      <c r="B37" s="41">
        <v>53</v>
      </c>
      <c r="C37" s="42">
        <v>30.333333333333332</v>
      </c>
      <c r="D37" s="42">
        <v>49.487068965517238</v>
      </c>
      <c r="E37" s="42">
        <v>48.277777777777779</v>
      </c>
      <c r="F37" s="42">
        <v>49.506250000000001</v>
      </c>
      <c r="G37" s="42">
        <v>50.106896551724141</v>
      </c>
      <c r="H37" s="42">
        <v>49.142857142857146</v>
      </c>
      <c r="I37" s="42">
        <v>3</v>
      </c>
      <c r="J37" s="43">
        <v>49.109375</v>
      </c>
      <c r="L37" s="18" t="s">
        <v>36</v>
      </c>
      <c r="M37" s="41">
        <v>53</v>
      </c>
      <c r="N37" s="42">
        <v>30.333333333333332</v>
      </c>
      <c r="O37" s="42">
        <v>49.487068965517238</v>
      </c>
      <c r="P37" s="42">
        <v>48.277777777777779</v>
      </c>
      <c r="Q37" s="42">
        <v>49.506250000000001</v>
      </c>
      <c r="R37" s="42">
        <v>50.106896551724141</v>
      </c>
      <c r="S37" s="42">
        <v>49.142857142857146</v>
      </c>
      <c r="T37" s="42">
        <v>3</v>
      </c>
      <c r="U37" s="43">
        <v>49.109375</v>
      </c>
    </row>
    <row r="42" spans="1:21" x14ac:dyDescent="0.35">
      <c r="A42" t="s">
        <v>58</v>
      </c>
      <c r="D42" t="s">
        <v>63</v>
      </c>
    </row>
    <row r="43" spans="1:21" x14ac:dyDescent="0.35">
      <c r="A43" t="s">
        <v>59</v>
      </c>
      <c r="D43" s="12" t="s">
        <v>64</v>
      </c>
      <c r="E43" s="13" t="s">
        <v>37</v>
      </c>
    </row>
    <row r="44" spans="1:21" x14ac:dyDescent="0.35">
      <c r="A44" s="28">
        <v>119538</v>
      </c>
      <c r="D44" s="14" t="s">
        <v>34</v>
      </c>
      <c r="E44" s="15">
        <v>51375</v>
      </c>
    </row>
    <row r="45" spans="1:21" x14ac:dyDescent="0.35">
      <c r="D45" s="16" t="s">
        <v>35</v>
      </c>
      <c r="E45" s="17">
        <v>22216</v>
      </c>
    </row>
    <row r="46" spans="1:21" x14ac:dyDescent="0.35">
      <c r="A46" t="s">
        <v>60</v>
      </c>
      <c r="D46" s="18" t="s">
        <v>36</v>
      </c>
      <c r="E46" s="19">
        <v>73591</v>
      </c>
    </row>
    <row r="47" spans="1:21" x14ac:dyDescent="0.35">
      <c r="A47" s="28">
        <v>73591</v>
      </c>
    </row>
    <row r="48" spans="1:21" x14ac:dyDescent="0.35">
      <c r="D48" t="s">
        <v>63</v>
      </c>
    </row>
    <row r="49" spans="1:5" x14ac:dyDescent="0.35">
      <c r="A49" t="s">
        <v>61</v>
      </c>
      <c r="D49" s="12" t="s">
        <v>64</v>
      </c>
      <c r="E49" s="13" t="s">
        <v>44</v>
      </c>
    </row>
    <row r="50" spans="1:5" x14ac:dyDescent="0.35">
      <c r="A50" s="28">
        <v>52247.251353790612</v>
      </c>
      <c r="D50" s="14" t="s">
        <v>40</v>
      </c>
      <c r="E50" s="15">
        <v>58917</v>
      </c>
    </row>
    <row r="51" spans="1:5" x14ac:dyDescent="0.35">
      <c r="D51" s="16" t="s">
        <v>39</v>
      </c>
      <c r="E51" s="17">
        <v>60621</v>
      </c>
    </row>
    <row r="52" spans="1:5" x14ac:dyDescent="0.35">
      <c r="A52" t="s">
        <v>62</v>
      </c>
      <c r="D52" s="16" t="s">
        <v>41</v>
      </c>
      <c r="E52" s="17">
        <v>119538</v>
      </c>
    </row>
    <row r="53" spans="1:5" x14ac:dyDescent="0.35">
      <c r="A53" s="28">
        <v>49.109375</v>
      </c>
      <c r="D53" s="18" t="s">
        <v>36</v>
      </c>
      <c r="E53" s="19">
        <v>239076</v>
      </c>
    </row>
    <row r="55" spans="1:5" x14ac:dyDescent="0.35">
      <c r="D55" t="s">
        <v>63</v>
      </c>
    </row>
    <row r="56" spans="1:5" x14ac:dyDescent="0.35">
      <c r="D56" s="12" t="s">
        <v>64</v>
      </c>
      <c r="E56" s="13" t="s">
        <v>37</v>
      </c>
    </row>
    <row r="57" spans="1:5" x14ac:dyDescent="0.35">
      <c r="D57" s="14" t="s">
        <v>47</v>
      </c>
      <c r="E57" s="15">
        <v>768</v>
      </c>
    </row>
    <row r="58" spans="1:5" x14ac:dyDescent="0.35">
      <c r="D58" s="16" t="s">
        <v>48</v>
      </c>
      <c r="E58" s="17">
        <v>4181</v>
      </c>
    </row>
    <row r="59" spans="1:5" x14ac:dyDescent="0.35">
      <c r="D59" s="16" t="s">
        <v>49</v>
      </c>
      <c r="E59" s="17">
        <v>7806</v>
      </c>
    </row>
    <row r="60" spans="1:5" x14ac:dyDescent="0.35">
      <c r="D60" s="16" t="s">
        <v>50</v>
      </c>
      <c r="E60" s="17">
        <v>34370</v>
      </c>
    </row>
    <row r="61" spans="1:5" x14ac:dyDescent="0.35">
      <c r="D61" s="16" t="s">
        <v>51</v>
      </c>
      <c r="E61" s="17">
        <v>26466</v>
      </c>
    </row>
    <row r="62" spans="1:5" x14ac:dyDescent="0.35">
      <c r="D62" s="18" t="s">
        <v>36</v>
      </c>
      <c r="E62" s="19">
        <v>73591</v>
      </c>
    </row>
    <row r="64" spans="1:5" x14ac:dyDescent="0.35">
      <c r="D64" t="s">
        <v>63</v>
      </c>
    </row>
    <row r="65" spans="4:13" x14ac:dyDescent="0.35">
      <c r="D65" s="12" t="s">
        <v>57</v>
      </c>
      <c r="E65" s="12" t="s">
        <v>56</v>
      </c>
      <c r="F65" s="10"/>
      <c r="G65" s="10"/>
      <c r="H65" s="10"/>
      <c r="I65" s="10"/>
      <c r="J65" s="10"/>
      <c r="K65" s="10"/>
      <c r="L65" s="10"/>
      <c r="M65" s="11"/>
    </row>
    <row r="66" spans="4:13" x14ac:dyDescent="0.35">
      <c r="D66" s="12" t="s">
        <v>64</v>
      </c>
      <c r="E66" s="9" t="s">
        <v>21</v>
      </c>
      <c r="F66" s="29" t="s">
        <v>20</v>
      </c>
      <c r="G66" s="29" t="s">
        <v>16</v>
      </c>
      <c r="H66" s="29" t="s">
        <v>14</v>
      </c>
      <c r="I66" s="29" t="s">
        <v>11</v>
      </c>
      <c r="J66" s="29" t="s">
        <v>12</v>
      </c>
      <c r="K66" s="29" t="s">
        <v>19</v>
      </c>
      <c r="L66" s="29" t="s">
        <v>22</v>
      </c>
      <c r="M66" s="13" t="s">
        <v>36</v>
      </c>
    </row>
    <row r="67" spans="4:13" x14ac:dyDescent="0.35">
      <c r="D67" s="14" t="s">
        <v>18</v>
      </c>
      <c r="E67" s="22"/>
      <c r="F67" s="30"/>
      <c r="G67" s="30">
        <v>45.260869565217391</v>
      </c>
      <c r="H67" s="30">
        <v>48.444444444444443</v>
      </c>
      <c r="I67" s="30">
        <v>44.081081081081081</v>
      </c>
      <c r="J67" s="30">
        <v>51.456140350877192</v>
      </c>
      <c r="K67" s="30">
        <v>60</v>
      </c>
      <c r="L67" s="30"/>
      <c r="M67" s="15">
        <v>48.418719211822662</v>
      </c>
    </row>
    <row r="68" spans="4:13" x14ac:dyDescent="0.35">
      <c r="D68" s="16" t="s">
        <v>17</v>
      </c>
      <c r="E68" s="24"/>
      <c r="F68" s="31"/>
      <c r="G68" s="31">
        <v>31</v>
      </c>
      <c r="H68" s="31">
        <v>45.6</v>
      </c>
      <c r="I68" s="31">
        <v>50.166666666666664</v>
      </c>
      <c r="J68" s="31">
        <v>49.5</v>
      </c>
      <c r="K68" s="31">
        <v>77</v>
      </c>
      <c r="L68" s="31"/>
      <c r="M68" s="17">
        <v>48.444444444444443</v>
      </c>
    </row>
    <row r="69" spans="4:13" x14ac:dyDescent="0.35">
      <c r="D69" s="16" t="s">
        <v>10</v>
      </c>
      <c r="E69" s="24">
        <v>58</v>
      </c>
      <c r="F69" s="31">
        <v>12</v>
      </c>
      <c r="G69" s="31">
        <v>52.512605042016808</v>
      </c>
      <c r="H69" s="31">
        <v>48.951501154734409</v>
      </c>
      <c r="I69" s="31">
        <v>50.801587301587304</v>
      </c>
      <c r="J69" s="31">
        <v>49.83916083916084</v>
      </c>
      <c r="K69" s="31">
        <v>51.971428571428568</v>
      </c>
      <c r="L69" s="31"/>
      <c r="M69" s="17">
        <v>50.035492457852705</v>
      </c>
    </row>
    <row r="70" spans="4:13" x14ac:dyDescent="0.35">
      <c r="D70" s="16" t="s">
        <v>15</v>
      </c>
      <c r="E70" s="24">
        <v>48</v>
      </c>
      <c r="F70" s="31">
        <v>42</v>
      </c>
      <c r="G70" s="31">
        <v>49.351351351351354</v>
      </c>
      <c r="H70" s="31">
        <v>44.521739130434781</v>
      </c>
      <c r="I70" s="31">
        <v>48.586666666666666</v>
      </c>
      <c r="J70" s="31">
        <v>50.405660377358494</v>
      </c>
      <c r="K70" s="31">
        <v>46.666666666666664</v>
      </c>
      <c r="L70" s="31"/>
      <c r="M70" s="17">
        <v>47.586486486486486</v>
      </c>
    </row>
    <row r="71" spans="4:13" x14ac:dyDescent="0.35">
      <c r="D71" s="16" t="s">
        <v>13</v>
      </c>
      <c r="E71" s="24"/>
      <c r="F71" s="31">
        <v>37</v>
      </c>
      <c r="G71" s="31">
        <v>44.884615384615387</v>
      </c>
      <c r="H71" s="31">
        <v>49.666666666666664</v>
      </c>
      <c r="I71" s="31">
        <v>48.806122448979593</v>
      </c>
      <c r="J71" s="31">
        <v>49.905982905982903</v>
      </c>
      <c r="K71" s="31">
        <v>42.833333333333336</v>
      </c>
      <c r="L71" s="31">
        <v>3</v>
      </c>
      <c r="M71" s="17">
        <v>48.483539094650205</v>
      </c>
    </row>
    <row r="72" spans="4:13" x14ac:dyDescent="0.35">
      <c r="D72" s="18" t="s">
        <v>36</v>
      </c>
      <c r="E72" s="26">
        <v>53</v>
      </c>
      <c r="F72" s="32">
        <v>30.333333333333332</v>
      </c>
      <c r="G72" s="32">
        <v>49.487068965517238</v>
      </c>
      <c r="H72" s="32">
        <v>48.277777777777779</v>
      </c>
      <c r="I72" s="32">
        <v>49.506250000000001</v>
      </c>
      <c r="J72" s="32">
        <v>50.106896551724141</v>
      </c>
      <c r="K72" s="32">
        <v>49.142857142857146</v>
      </c>
      <c r="L72" s="32">
        <v>3</v>
      </c>
      <c r="M72" s="19">
        <v>49.109375</v>
      </c>
    </row>
  </sheetData>
  <conditionalFormatting sqref="L32:U37">
    <cfRule type="colorScale" priority="1">
      <colorScale>
        <cfvo type="min"/>
        <cfvo type="percentile" val="50"/>
        <cfvo type="max"/>
        <color rgb="FFF8696B"/>
        <color rgb="FFFFEB84"/>
        <color rgb="FF63BE7B"/>
      </colorScale>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9071-22F3-4EE7-86B0-F0C201AEBF19}">
  <dimension ref="C1:V32"/>
  <sheetViews>
    <sheetView showGridLines="0" zoomScale="55" zoomScaleNormal="55" workbookViewId="0">
      <selection activeCell="X23" sqref="X23"/>
    </sheetView>
  </sheetViews>
  <sheetFormatPr defaultRowHeight="14.5" x14ac:dyDescent="0.35"/>
  <sheetData>
    <row r="1" spans="3:22" ht="15" thickBot="1" x14ac:dyDescent="0.4">
      <c r="C1" s="48"/>
      <c r="D1" s="49"/>
      <c r="E1" s="49"/>
      <c r="F1" s="49"/>
      <c r="G1" s="49"/>
      <c r="H1" s="49"/>
      <c r="I1" s="49"/>
      <c r="J1" s="49"/>
      <c r="K1" s="49"/>
      <c r="L1" s="49"/>
      <c r="M1" s="49"/>
      <c r="N1" s="49"/>
      <c r="O1" s="49"/>
      <c r="P1" s="49"/>
      <c r="Q1" s="49"/>
      <c r="R1" s="49"/>
      <c r="S1" s="49"/>
      <c r="T1" s="49"/>
      <c r="U1" s="49"/>
      <c r="V1" s="50"/>
    </row>
    <row r="2" spans="3:22" x14ac:dyDescent="0.35">
      <c r="C2" s="51"/>
      <c r="D2" s="48"/>
      <c r="E2" s="49"/>
      <c r="F2" s="49"/>
      <c r="G2" s="49"/>
      <c r="H2" s="49"/>
      <c r="I2" s="49"/>
      <c r="J2" s="49"/>
      <c r="K2" s="49"/>
      <c r="L2" s="49"/>
      <c r="M2" s="49"/>
      <c r="N2" s="49"/>
      <c r="O2" s="49"/>
      <c r="P2" s="49"/>
      <c r="Q2" s="49"/>
      <c r="R2" s="49"/>
      <c r="S2" s="49"/>
      <c r="T2" s="49"/>
      <c r="U2" s="50"/>
      <c r="V2" s="52"/>
    </row>
    <row r="3" spans="3:22" x14ac:dyDescent="0.35">
      <c r="C3" s="51"/>
      <c r="D3" s="51"/>
      <c r="E3" s="33"/>
      <c r="F3" s="33"/>
      <c r="G3" s="33"/>
      <c r="H3" s="33"/>
      <c r="I3" s="33"/>
      <c r="J3" s="33"/>
      <c r="K3" s="33"/>
      <c r="L3" s="33"/>
      <c r="M3" s="33"/>
      <c r="N3" s="33"/>
      <c r="O3" s="33"/>
      <c r="P3" s="33"/>
      <c r="Q3" s="33"/>
      <c r="R3" s="33"/>
      <c r="S3" s="33"/>
      <c r="T3" s="33"/>
      <c r="U3" s="52"/>
      <c r="V3" s="52"/>
    </row>
    <row r="4" spans="3:22" x14ac:dyDescent="0.35">
      <c r="C4" s="51"/>
      <c r="D4" s="51"/>
      <c r="E4" s="33"/>
      <c r="F4" s="33"/>
      <c r="G4" s="33"/>
      <c r="H4" s="33"/>
      <c r="I4" s="33"/>
      <c r="J4" s="33"/>
      <c r="K4" s="33"/>
      <c r="L4" s="33"/>
      <c r="M4" s="33"/>
      <c r="N4" s="33"/>
      <c r="O4" s="33"/>
      <c r="P4" s="33"/>
      <c r="Q4" s="33"/>
      <c r="R4" s="33"/>
      <c r="S4" s="33"/>
      <c r="T4" s="33"/>
      <c r="U4" s="52"/>
      <c r="V4" s="52"/>
    </row>
    <row r="5" spans="3:22" ht="14.5" customHeight="1" x14ac:dyDescent="0.35">
      <c r="C5" s="51"/>
      <c r="D5" s="56" t="s">
        <v>59</v>
      </c>
      <c r="E5" s="44"/>
      <c r="F5" s="44"/>
      <c r="G5" s="44" t="s">
        <v>60</v>
      </c>
      <c r="H5" s="44"/>
      <c r="I5" s="44"/>
      <c r="J5" s="44" t="s">
        <v>61</v>
      </c>
      <c r="K5" s="44"/>
      <c r="L5" s="44"/>
      <c r="M5" s="44" t="s">
        <v>62</v>
      </c>
      <c r="N5" s="44"/>
      <c r="O5" s="44"/>
      <c r="P5" s="33"/>
      <c r="Q5" s="33"/>
      <c r="R5" s="33"/>
      <c r="S5" s="33"/>
      <c r="T5" s="33"/>
      <c r="U5" s="52"/>
      <c r="V5" s="52"/>
    </row>
    <row r="6" spans="3:22" ht="14.5" customHeight="1" x14ac:dyDescent="0.35">
      <c r="C6" s="51"/>
      <c r="D6" s="56"/>
      <c r="E6" s="44"/>
      <c r="F6" s="44"/>
      <c r="G6" s="44"/>
      <c r="H6" s="44"/>
      <c r="I6" s="44"/>
      <c r="J6" s="44"/>
      <c r="K6" s="44"/>
      <c r="L6" s="44"/>
      <c r="M6" s="44"/>
      <c r="N6" s="44"/>
      <c r="O6" s="44"/>
      <c r="P6" s="33"/>
      <c r="Q6" s="33"/>
      <c r="R6" s="33"/>
      <c r="S6" s="33"/>
      <c r="T6" s="33"/>
      <c r="U6" s="52"/>
      <c r="V6" s="52"/>
    </row>
    <row r="7" spans="3:22" ht="14.5" customHeight="1" x14ac:dyDescent="0.35">
      <c r="C7" s="51"/>
      <c r="D7" s="56"/>
      <c r="E7" s="44"/>
      <c r="F7" s="44"/>
      <c r="G7" s="44"/>
      <c r="H7" s="44"/>
      <c r="I7" s="44"/>
      <c r="J7" s="44"/>
      <c r="K7" s="44"/>
      <c r="L7" s="44"/>
      <c r="M7" s="44"/>
      <c r="N7" s="44"/>
      <c r="O7" s="44"/>
      <c r="P7" s="33"/>
      <c r="Q7" s="33"/>
      <c r="R7" s="33"/>
      <c r="S7" s="33"/>
      <c r="T7" s="33"/>
      <c r="U7" s="52"/>
      <c r="V7" s="52"/>
    </row>
    <row r="8" spans="3:22" x14ac:dyDescent="0.35">
      <c r="C8" s="51"/>
      <c r="D8" s="57">
        <v>119538</v>
      </c>
      <c r="E8" s="45"/>
      <c r="F8" s="45"/>
      <c r="G8" s="46">
        <v>73591</v>
      </c>
      <c r="H8" s="46"/>
      <c r="I8" s="46"/>
      <c r="J8" s="46">
        <v>52247.251353790612</v>
      </c>
      <c r="K8" s="46"/>
      <c r="L8" s="46"/>
      <c r="M8" s="47">
        <v>49.109375</v>
      </c>
      <c r="N8" s="47"/>
      <c r="O8" s="47"/>
      <c r="P8" s="33"/>
      <c r="Q8" s="33"/>
      <c r="R8" s="33"/>
      <c r="S8" s="33"/>
      <c r="T8" s="33"/>
      <c r="U8" s="52"/>
      <c r="V8" s="52"/>
    </row>
    <row r="9" spans="3:22" x14ac:dyDescent="0.35">
      <c r="C9" s="51"/>
      <c r="D9" s="57"/>
      <c r="E9" s="45"/>
      <c r="F9" s="45"/>
      <c r="G9" s="46"/>
      <c r="H9" s="46"/>
      <c r="I9" s="46"/>
      <c r="J9" s="46"/>
      <c r="K9" s="46"/>
      <c r="L9" s="46"/>
      <c r="M9" s="47"/>
      <c r="N9" s="47"/>
      <c r="O9" s="47"/>
      <c r="P9" s="33"/>
      <c r="Q9" s="33"/>
      <c r="R9" s="33"/>
      <c r="S9" s="33"/>
      <c r="T9" s="33"/>
      <c r="U9" s="52"/>
      <c r="V9" s="52"/>
    </row>
    <row r="10" spans="3:22" x14ac:dyDescent="0.35">
      <c r="C10" s="51"/>
      <c r="D10" s="51"/>
      <c r="E10" s="33"/>
      <c r="F10" s="33"/>
      <c r="G10" s="33"/>
      <c r="H10" s="33"/>
      <c r="I10" s="33"/>
      <c r="J10" s="33"/>
      <c r="K10" s="33"/>
      <c r="L10" s="33"/>
      <c r="M10" s="33"/>
      <c r="N10" s="33"/>
      <c r="O10" s="33"/>
      <c r="P10" s="33"/>
      <c r="Q10" s="33"/>
      <c r="R10" s="33"/>
      <c r="S10" s="33"/>
      <c r="T10" s="33"/>
      <c r="U10" s="52"/>
      <c r="V10" s="52"/>
    </row>
    <row r="11" spans="3:22" x14ac:dyDescent="0.35">
      <c r="C11" s="51"/>
      <c r="D11" s="51"/>
      <c r="E11" s="33"/>
      <c r="F11" s="33"/>
      <c r="G11" s="33"/>
      <c r="H11" s="33"/>
      <c r="I11" s="33"/>
      <c r="J11" s="33"/>
      <c r="K11" s="33"/>
      <c r="L11" s="33"/>
      <c r="M11" s="33"/>
      <c r="N11" s="33"/>
      <c r="O11" s="33"/>
      <c r="P11" s="33"/>
      <c r="Q11" s="33"/>
      <c r="R11" s="33"/>
      <c r="S11" s="33"/>
      <c r="T11" s="33"/>
      <c r="U11" s="52"/>
      <c r="V11" s="52"/>
    </row>
    <row r="12" spans="3:22" x14ac:dyDescent="0.35">
      <c r="C12" s="51"/>
      <c r="D12" s="51"/>
      <c r="E12" s="33"/>
      <c r="F12" s="33"/>
      <c r="G12" s="33"/>
      <c r="H12" s="33"/>
      <c r="I12" s="33"/>
      <c r="J12" s="33"/>
      <c r="K12" s="33"/>
      <c r="L12" s="33"/>
      <c r="M12" s="33"/>
      <c r="N12" s="33"/>
      <c r="O12" s="33"/>
      <c r="P12" s="33"/>
      <c r="Q12" s="33"/>
      <c r="R12" s="33"/>
      <c r="S12" s="33"/>
      <c r="T12" s="33"/>
      <c r="U12" s="52"/>
      <c r="V12" s="52"/>
    </row>
    <row r="13" spans="3:22" x14ac:dyDescent="0.35">
      <c r="C13" s="51"/>
      <c r="D13" s="51"/>
      <c r="E13" s="33"/>
      <c r="F13" s="33"/>
      <c r="G13" s="33"/>
      <c r="H13" s="33"/>
      <c r="I13" s="33"/>
      <c r="J13" s="33"/>
      <c r="K13" s="33"/>
      <c r="L13" s="33"/>
      <c r="M13" s="33"/>
      <c r="N13" s="33"/>
      <c r="O13" s="33"/>
      <c r="P13" s="33"/>
      <c r="Q13" s="33"/>
      <c r="R13" s="33"/>
      <c r="S13" s="33"/>
      <c r="T13" s="33"/>
      <c r="U13" s="52"/>
      <c r="V13" s="52"/>
    </row>
    <row r="14" spans="3:22" x14ac:dyDescent="0.35">
      <c r="C14" s="51"/>
      <c r="D14" s="51"/>
      <c r="E14" s="33"/>
      <c r="F14" s="33"/>
      <c r="G14" s="33"/>
      <c r="H14" s="33"/>
      <c r="I14" s="33"/>
      <c r="J14" s="33"/>
      <c r="K14" s="33"/>
      <c r="L14" s="33"/>
      <c r="M14" s="33"/>
      <c r="N14" s="33"/>
      <c r="O14" s="33"/>
      <c r="P14" s="33"/>
      <c r="Q14" s="33"/>
      <c r="R14" s="33"/>
      <c r="S14" s="33"/>
      <c r="T14" s="33"/>
      <c r="U14" s="52"/>
      <c r="V14" s="52"/>
    </row>
    <row r="15" spans="3:22" x14ac:dyDescent="0.35">
      <c r="C15" s="51"/>
      <c r="D15" s="51"/>
      <c r="E15" s="33"/>
      <c r="F15" s="33"/>
      <c r="G15" s="33"/>
      <c r="H15" s="33"/>
      <c r="I15" s="33"/>
      <c r="J15" s="33"/>
      <c r="K15" s="33"/>
      <c r="L15" s="33"/>
      <c r="M15" s="33"/>
      <c r="N15" s="33"/>
      <c r="O15" s="33"/>
      <c r="P15" s="33"/>
      <c r="Q15" s="33"/>
      <c r="R15" s="33"/>
      <c r="S15" s="33"/>
      <c r="T15" s="33"/>
      <c r="U15" s="52"/>
      <c r="V15" s="52"/>
    </row>
    <row r="16" spans="3:22" x14ac:dyDescent="0.35">
      <c r="C16" s="51"/>
      <c r="D16" s="51"/>
      <c r="E16" s="33"/>
      <c r="F16" s="33"/>
      <c r="G16" s="33"/>
      <c r="H16" s="33"/>
      <c r="I16" s="33"/>
      <c r="J16" s="33"/>
      <c r="K16" s="33"/>
      <c r="L16" s="33"/>
      <c r="M16" s="33"/>
      <c r="N16" s="33"/>
      <c r="O16" s="33"/>
      <c r="P16" s="33"/>
      <c r="Q16" s="33"/>
      <c r="R16" s="33"/>
      <c r="S16" s="33"/>
      <c r="T16" s="33"/>
      <c r="U16" s="52"/>
      <c r="V16" s="52"/>
    </row>
    <row r="17" spans="3:22" x14ac:dyDescent="0.35">
      <c r="C17" s="51"/>
      <c r="D17" s="51"/>
      <c r="E17" s="33"/>
      <c r="F17" s="33"/>
      <c r="G17" s="33"/>
      <c r="H17" s="33"/>
      <c r="I17" s="33"/>
      <c r="J17" s="33"/>
      <c r="K17" s="33"/>
      <c r="L17" s="33"/>
      <c r="M17" s="33"/>
      <c r="N17" s="33"/>
      <c r="O17" s="33"/>
      <c r="P17" s="33"/>
      <c r="Q17" s="33"/>
      <c r="R17" s="33"/>
      <c r="S17" s="33"/>
      <c r="T17" s="33"/>
      <c r="U17" s="52"/>
      <c r="V17" s="52"/>
    </row>
    <row r="18" spans="3:22" x14ac:dyDescent="0.35">
      <c r="C18" s="51"/>
      <c r="D18" s="51"/>
      <c r="E18" s="33"/>
      <c r="F18" s="33"/>
      <c r="G18" s="33"/>
      <c r="H18" s="33"/>
      <c r="I18" s="33"/>
      <c r="J18" s="33"/>
      <c r="K18" s="33"/>
      <c r="L18" s="33"/>
      <c r="M18" s="33"/>
      <c r="N18" s="33"/>
      <c r="O18" s="33"/>
      <c r="P18" s="33"/>
      <c r="Q18" s="33"/>
      <c r="R18" s="33"/>
      <c r="S18" s="33"/>
      <c r="T18" s="33"/>
      <c r="U18" s="52"/>
      <c r="V18" s="52"/>
    </row>
    <row r="19" spans="3:22" x14ac:dyDescent="0.35">
      <c r="C19" s="51"/>
      <c r="D19" s="51"/>
      <c r="E19" s="33"/>
      <c r="F19" s="33"/>
      <c r="G19" s="33"/>
      <c r="H19" s="33"/>
      <c r="I19" s="33"/>
      <c r="J19" s="33"/>
      <c r="K19" s="33"/>
      <c r="L19" s="33"/>
      <c r="M19" s="33"/>
      <c r="N19" s="33"/>
      <c r="O19" s="33"/>
      <c r="P19" s="33"/>
      <c r="Q19" s="33"/>
      <c r="R19" s="33"/>
      <c r="S19" s="33"/>
      <c r="T19" s="33"/>
      <c r="U19" s="52"/>
      <c r="V19" s="52"/>
    </row>
    <row r="20" spans="3:22" x14ac:dyDescent="0.35">
      <c r="C20" s="51"/>
      <c r="D20" s="51"/>
      <c r="E20" s="33"/>
      <c r="F20" s="33"/>
      <c r="G20" s="33"/>
      <c r="H20" s="33"/>
      <c r="I20" s="33"/>
      <c r="J20" s="33"/>
      <c r="K20" s="33"/>
      <c r="L20" s="33"/>
      <c r="M20" s="33"/>
      <c r="N20" s="33"/>
      <c r="O20" s="33"/>
      <c r="P20" s="33"/>
      <c r="Q20" s="33"/>
      <c r="R20" s="33"/>
      <c r="S20" s="33"/>
      <c r="T20" s="33"/>
      <c r="U20" s="52"/>
      <c r="V20" s="52"/>
    </row>
    <row r="21" spans="3:22" x14ac:dyDescent="0.35">
      <c r="C21" s="51"/>
      <c r="D21" s="51"/>
      <c r="E21" s="33"/>
      <c r="F21" s="33"/>
      <c r="G21" s="33"/>
      <c r="H21" s="33"/>
      <c r="I21" s="33"/>
      <c r="J21" s="33"/>
      <c r="K21" s="33"/>
      <c r="L21" s="33"/>
      <c r="M21" s="33"/>
      <c r="N21" s="33"/>
      <c r="O21" s="33"/>
      <c r="P21" s="33"/>
      <c r="Q21" s="33"/>
      <c r="R21" s="33"/>
      <c r="S21" s="33"/>
      <c r="T21" s="33"/>
      <c r="U21" s="52"/>
      <c r="V21" s="52"/>
    </row>
    <row r="22" spans="3:22" x14ac:dyDescent="0.35">
      <c r="C22" s="51"/>
      <c r="D22" s="51"/>
      <c r="E22" s="33"/>
      <c r="F22" s="33"/>
      <c r="G22" s="33"/>
      <c r="H22" s="33"/>
      <c r="I22" s="33"/>
      <c r="J22" s="33"/>
      <c r="K22" s="33"/>
      <c r="L22" s="33"/>
      <c r="M22" s="33"/>
      <c r="N22" s="33"/>
      <c r="O22" s="33"/>
      <c r="P22" s="33"/>
      <c r="Q22" s="33"/>
      <c r="R22" s="33"/>
      <c r="S22" s="33"/>
      <c r="T22" s="33"/>
      <c r="U22" s="52"/>
      <c r="V22" s="52"/>
    </row>
    <row r="23" spans="3:22" x14ac:dyDescent="0.35">
      <c r="C23" s="51"/>
      <c r="D23" s="51"/>
      <c r="E23" s="33"/>
      <c r="F23" s="33"/>
      <c r="G23" s="33"/>
      <c r="H23" s="33"/>
      <c r="I23" s="33"/>
      <c r="J23" s="33"/>
      <c r="K23" s="33"/>
      <c r="L23" s="33"/>
      <c r="M23" s="33"/>
      <c r="N23" s="33"/>
      <c r="O23" s="33"/>
      <c r="P23" s="33"/>
      <c r="Q23" s="33"/>
      <c r="R23" s="33"/>
      <c r="S23" s="33"/>
      <c r="T23" s="33"/>
      <c r="U23" s="52"/>
      <c r="V23" s="52"/>
    </row>
    <row r="24" spans="3:22" x14ac:dyDescent="0.35">
      <c r="C24" s="51"/>
      <c r="D24" s="51"/>
      <c r="E24" s="33"/>
      <c r="F24" s="33"/>
      <c r="G24" s="33"/>
      <c r="H24" s="33"/>
      <c r="I24" s="33"/>
      <c r="J24" s="33"/>
      <c r="K24" s="33"/>
      <c r="L24" s="33"/>
      <c r="M24" s="33"/>
      <c r="N24" s="33"/>
      <c r="O24" s="33"/>
      <c r="P24" s="33"/>
      <c r="Q24" s="33"/>
      <c r="R24" s="33"/>
      <c r="S24" s="33"/>
      <c r="T24" s="33"/>
      <c r="U24" s="52"/>
      <c r="V24" s="52"/>
    </row>
    <row r="25" spans="3:22" x14ac:dyDescent="0.35">
      <c r="C25" s="51"/>
      <c r="D25" s="51"/>
      <c r="E25" s="33"/>
      <c r="F25" s="33"/>
      <c r="G25" s="33"/>
      <c r="H25" s="33"/>
      <c r="I25" s="33"/>
      <c r="J25" s="33"/>
      <c r="K25" s="33"/>
      <c r="L25" s="33"/>
      <c r="M25" s="33"/>
      <c r="N25" s="33"/>
      <c r="O25" s="33"/>
      <c r="P25" s="33"/>
      <c r="Q25" s="33"/>
      <c r="R25" s="33"/>
      <c r="S25" s="33"/>
      <c r="T25" s="33"/>
      <c r="U25" s="52"/>
      <c r="V25" s="52"/>
    </row>
    <row r="26" spans="3:22" x14ac:dyDescent="0.35">
      <c r="C26" s="51"/>
      <c r="D26" s="51"/>
      <c r="E26" s="33"/>
      <c r="F26" s="33"/>
      <c r="G26" s="33"/>
      <c r="H26" s="33"/>
      <c r="I26" s="33"/>
      <c r="J26" s="33"/>
      <c r="K26" s="33"/>
      <c r="L26" s="33"/>
      <c r="M26" s="33"/>
      <c r="N26" s="33"/>
      <c r="O26" s="33"/>
      <c r="P26" s="33"/>
      <c r="Q26" s="33"/>
      <c r="R26" s="33"/>
      <c r="S26" s="33"/>
      <c r="T26" s="33"/>
      <c r="U26" s="52"/>
      <c r="V26" s="52"/>
    </row>
    <row r="27" spans="3:22" x14ac:dyDescent="0.35">
      <c r="C27" s="51"/>
      <c r="D27" s="51"/>
      <c r="E27" s="33"/>
      <c r="F27" s="33"/>
      <c r="G27" s="33"/>
      <c r="H27" s="33"/>
      <c r="I27" s="33"/>
      <c r="J27" s="33"/>
      <c r="K27" s="33"/>
      <c r="L27" s="33"/>
      <c r="M27" s="33"/>
      <c r="N27" s="33"/>
      <c r="O27" s="33"/>
      <c r="P27" s="33"/>
      <c r="Q27" s="33"/>
      <c r="R27" s="33"/>
      <c r="S27" s="33"/>
      <c r="T27" s="33"/>
      <c r="U27" s="52"/>
      <c r="V27" s="52"/>
    </row>
    <row r="28" spans="3:22" x14ac:dyDescent="0.35">
      <c r="C28" s="51"/>
      <c r="D28" s="51"/>
      <c r="E28" s="33"/>
      <c r="F28" s="33"/>
      <c r="G28" s="33"/>
      <c r="H28" s="33"/>
      <c r="I28" s="33"/>
      <c r="J28" s="33"/>
      <c r="K28" s="33"/>
      <c r="L28" s="33"/>
      <c r="M28" s="33"/>
      <c r="N28" s="33"/>
      <c r="O28" s="33"/>
      <c r="P28" s="33"/>
      <c r="Q28" s="33"/>
      <c r="R28" s="33"/>
      <c r="S28" s="33"/>
      <c r="T28" s="33"/>
      <c r="U28" s="52"/>
      <c r="V28" s="52"/>
    </row>
    <row r="29" spans="3:22" x14ac:dyDescent="0.35">
      <c r="C29" s="51"/>
      <c r="D29" s="51"/>
      <c r="E29" s="33"/>
      <c r="F29" s="33"/>
      <c r="G29" s="33"/>
      <c r="H29" s="33"/>
      <c r="I29" s="33"/>
      <c r="J29" s="33"/>
      <c r="K29" s="33"/>
      <c r="L29" s="33"/>
      <c r="M29" s="33"/>
      <c r="N29" s="33"/>
      <c r="O29" s="33"/>
      <c r="P29" s="33"/>
      <c r="Q29" s="33"/>
      <c r="R29" s="33"/>
      <c r="S29" s="33"/>
      <c r="T29" s="33"/>
      <c r="U29" s="52"/>
      <c r="V29" s="52"/>
    </row>
    <row r="30" spans="3:22" x14ac:dyDescent="0.35">
      <c r="C30" s="51"/>
      <c r="D30" s="51"/>
      <c r="E30" s="33"/>
      <c r="F30" s="33"/>
      <c r="G30" s="33"/>
      <c r="H30" s="33"/>
      <c r="I30" s="33"/>
      <c r="J30" s="33"/>
      <c r="K30" s="33"/>
      <c r="L30" s="33"/>
      <c r="M30" s="33"/>
      <c r="N30" s="33"/>
      <c r="O30" s="33"/>
      <c r="P30" s="33"/>
      <c r="Q30" s="33"/>
      <c r="R30" s="33"/>
      <c r="S30" s="33"/>
      <c r="T30" s="33"/>
      <c r="U30" s="52"/>
      <c r="V30" s="52"/>
    </row>
    <row r="31" spans="3:22" ht="15" thickBot="1" x14ac:dyDescent="0.4">
      <c r="C31" s="51"/>
      <c r="D31" s="53"/>
      <c r="E31" s="54"/>
      <c r="F31" s="54"/>
      <c r="G31" s="54"/>
      <c r="H31" s="54"/>
      <c r="I31" s="54"/>
      <c r="J31" s="54"/>
      <c r="K31" s="54"/>
      <c r="L31" s="54"/>
      <c r="M31" s="54"/>
      <c r="N31" s="54"/>
      <c r="O31" s="54"/>
      <c r="P31" s="54"/>
      <c r="Q31" s="54"/>
      <c r="R31" s="54"/>
      <c r="S31" s="54"/>
      <c r="T31" s="54"/>
      <c r="U31" s="55"/>
      <c r="V31" s="52"/>
    </row>
    <row r="32" spans="3:22" ht="15" thickBot="1" x14ac:dyDescent="0.4">
      <c r="C32" s="53"/>
      <c r="D32" s="54"/>
      <c r="E32" s="54"/>
      <c r="F32" s="54"/>
      <c r="G32" s="54"/>
      <c r="H32" s="54"/>
      <c r="I32" s="54"/>
      <c r="J32" s="54"/>
      <c r="K32" s="54"/>
      <c r="L32" s="54"/>
      <c r="M32" s="54"/>
      <c r="N32" s="54"/>
      <c r="O32" s="54"/>
      <c r="P32" s="54"/>
      <c r="Q32" s="54"/>
      <c r="R32" s="54"/>
      <c r="S32" s="54"/>
      <c r="T32" s="54"/>
      <c r="U32" s="54"/>
      <c r="V32" s="55"/>
    </row>
  </sheetData>
  <mergeCells count="8">
    <mergeCell ref="M5:O7"/>
    <mergeCell ref="M8:O9"/>
    <mergeCell ref="D5:F7"/>
    <mergeCell ref="D8:F9"/>
    <mergeCell ref="G5:I7"/>
    <mergeCell ref="G8:I9"/>
    <mergeCell ref="J5:L7"/>
    <mergeCell ref="J8:L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03CE75-1C79-4274-BE74-8168A37944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customer_dataset</vt:lpstr>
      <vt:lpstr>purchase_dataset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MISRA</dc:creator>
  <cp:lastModifiedBy>KARTHIK MISRA</cp:lastModifiedBy>
  <dcterms:created xsi:type="dcterms:W3CDTF">2026-09-15T14:36:45Z</dcterms:created>
  <dcterms:modified xsi:type="dcterms:W3CDTF">2026-09-15T19:34:05Z</dcterms:modified>
</cp:coreProperties>
</file>